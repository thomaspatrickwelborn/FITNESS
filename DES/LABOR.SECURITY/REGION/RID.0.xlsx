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30.xml" ContentType="application/vnd.openxmlformats-officedocument.drawingml.chart+xml"/>
  <Override PartName="/xl/charts/chart4.xml" ContentType="application/vnd.openxmlformats-officedocument.drawingml.chart+xml"/>
  <Override PartName="/xl/charts/chart15.xml" ContentType="application/vnd.openxmlformats-officedocument.drawingml.chart+xml"/>
  <Override PartName="/xl/charts/chart26.xml" ContentType="application/vnd.openxmlformats-officedocument.drawingml.chart+xml"/>
  <Override PartName="/xl/charts/chart7.xml" ContentType="application/vnd.openxmlformats-officedocument.drawingml.chart+xml"/>
  <Override PartName="/xl/charts/chart31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2.xml" ContentType="application/vnd.openxmlformats-officedocument.drawingml.chart+xml"/>
  <Override PartName="/xl/charts/chart13.xml" ContentType="application/vnd.openxmlformats-officedocument.drawingml.chart+xml"/>
  <Override PartName="/xl/charts/chart16.xml" ContentType="application/vnd.openxmlformats-officedocument.drawingml.chart+xml"/>
  <Override PartName="/xl/charts/chart6.xml" ContentType="application/vnd.openxmlformats-officedocument.drawingml.chart+xml"/>
  <Override PartName="/xl/charts/chart9.xml" ContentType="application/vnd.openxmlformats-officedocument.drawingml.chart+xml"/>
  <Override PartName="/xl/charts/chart5.xml" ContentType="application/vnd.openxmlformats-officedocument.drawingml.chart+xml"/>
  <Override PartName="/xl/charts/chart32.xml" ContentType="application/vnd.openxmlformats-officedocument.drawingml.chart+xml"/>
  <Override PartName="/xl/charts/chart11.xml" ContentType="application/vnd.openxmlformats-officedocument.drawingml.chart+xml"/>
  <Override PartName="/xl/charts/chart18.xml" ContentType="application/vnd.openxmlformats-officedocument.drawingml.chart+xml"/>
  <Override PartName="/xl/charts/chart1.xml" ContentType="application/vnd.openxmlformats-officedocument.drawingml.chart+xml"/>
  <Override PartName="/xl/charts/chart14.xml" ContentType="application/vnd.openxmlformats-officedocument.drawingml.chart+xml"/>
  <Override PartName="/xl/charts/chart17.xml" ContentType="application/vnd.openxmlformats-officedocument.drawingml.chart+xml"/>
  <Override PartName="/xl/charts/chart21.xml" ContentType="application/vnd.openxmlformats-officedocument.drawingml.chart+xml"/>
  <Override PartName="/xl/charts/chart20.xml" ContentType="application/vnd.openxmlformats-officedocument.drawingml.chart+xml"/>
  <Override PartName="/xl/charts/chart19.xml" ContentType="application/vnd.openxmlformats-officedocument.drawingml.chart+xml"/>
  <Override PartName="/xl/charts/chart3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4.xml" ContentType="application/vnd.openxmlformats-officedocument.drawingml.chart+xml"/>
  <Override PartName="/xl/charts/chart10.xml" ContentType="application/vnd.openxmlformats-officedocument.drawingml.chart+xml"/>
  <Override PartName="/xl/charts/chart2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RID.0" sheetId="1" state="visible" r:id="rId3"/>
    <sheet name="TIMELINE" sheetId="2" state="hidden" r:id="rId4"/>
    <sheet name="STATES" sheetId="3" state="visible" r:id="rId5"/>
    <sheet name="AL" sheetId="4" state="visible" r:id="rId6"/>
    <sheet name="AR" sheetId="5" state="visible" r:id="rId7"/>
    <sheet name="FL" sheetId="6" state="visible" r:id="rId8"/>
    <sheet name="GA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<sst xmlns="http://schemas.openxmlformats.org/spreadsheetml/2006/main" count="1360" uniqueCount="185">
  <si>
    <t xml:space="preserve">Labor Statistics  
Southeast States (AL, AR, FL, GA, KY, LA, MS, NC, SC, TN, VA, WV)</t>
  </si>
  <si>
    <t xml:space="preserve">RID</t>
  </si>
  <si>
    <t xml:space="preserve">SID</t>
  </si>
  <si>
    <t xml:space="preserve">State Name</t>
  </si>
  <si>
    <t xml:space="preserve">Region Name</t>
  </si>
  <si>
    <t xml:space="preserve">Tab</t>
  </si>
  <si>
    <t xml:space="preserve">AL</t>
  </si>
  <si>
    <t xml:space="preserve">Alabama</t>
  </si>
  <si>
    <t xml:space="preserve">Southeast</t>
  </si>
  <si>
    <t xml:space="preserve">AR</t>
  </si>
  <si>
    <t xml:space="preserve">Arkansas</t>
  </si>
  <si>
    <t xml:space="preserve">Glossary</t>
  </si>
  <si>
    <t xml:space="preserve">Region ID</t>
  </si>
  <si>
    <t xml:space="preserve">SLIID</t>
  </si>
  <si>
    <t xml:space="preserve">State Labor Industry ID</t>
  </si>
  <si>
    <t xml:space="preserve">SLIVID</t>
  </si>
  <si>
    <t xml:space="preserve">State Labor Industry Visualization ID</t>
  </si>
  <si>
    <t xml:space="preserve">ILLER Timeline</t>
  </si>
  <si>
    <t xml:space="preserve">1.A</t>
  </si>
  <si>
    <t xml:space="preserve">ILLER Phases</t>
  </si>
  <si>
    <t xml:space="preserve">1.B</t>
  </si>
  <si>
    <t xml:space="preserve">ILLER Schedule</t>
  </si>
  <si>
    <t xml:space="preserve">Region</t>
  </si>
  <si>
    <t xml:space="preserve">State</t>
  </si>
  <si>
    <t xml:space="preserve">Industry</t>
  </si>
  <si>
    <t xml:space="preserve">Role</t>
  </si>
  <si>
    <t xml:space="preserve">Total Population</t>
  </si>
  <si>
    <t xml:space="preserve">Authorized Population</t>
  </si>
  <si>
    <t xml:space="preserve">Unauthorized Population</t>
  </si>
  <si>
    <t xml:space="preserve">American Population</t>
  </si>
  <si>
    <t xml:space="preserve">Employment Rate (%)</t>
  </si>
  <si>
    <t xml:space="preserve">Authorized Immigrant Employment Rate (%)</t>
  </si>
  <si>
    <t xml:space="preserve">Unauthorized Immigrant Employment Rate (%)</t>
  </si>
  <si>
    <t xml:space="preserve">American Employment Rate (%)</t>
  </si>
  <si>
    <t xml:space="preserve">Unemployment Rate (%)</t>
  </si>
  <si>
    <t xml:space="preserve">Authorized Immigrant Unemployment Rate (%)</t>
  </si>
  <si>
    <t xml:space="preserve">Unauthorized Immigrant Unemployment Rate (%)</t>
  </si>
  <si>
    <t xml:space="preserve">American Unemployment Rate (%)</t>
  </si>
  <si>
    <t xml:space="preserve">Underemployment Rate (%)</t>
  </si>
  <si>
    <t xml:space="preserve">Authorized Immigrant Underemployment Rate (%)</t>
  </si>
  <si>
    <t xml:space="preserve">Unauthorized Immigrant Underemployment Rate (%)</t>
  </si>
  <si>
    <t xml:space="preserve">American Underemployment Rate (%)</t>
  </si>
  <si>
    <t xml:space="preserve">Wage Average ($/hr)</t>
  </si>
  <si>
    <t xml:space="preserve">Wage Min ($/hr)</t>
  </si>
  <si>
    <t xml:space="preserve">Wage Max ($/hr)</t>
  </si>
  <si>
    <t xml:space="preserve">Annual Income ($)</t>
  </si>
  <si>
    <t xml:space="preserve">Annual Income Min ($)</t>
  </si>
  <si>
    <t xml:space="preserve">Annual Income Max ($)</t>
  </si>
  <si>
    <t xml:space="preserve">Authorized Immigrant Wage Average ($/hr)</t>
  </si>
  <si>
    <t xml:space="preserve">Authorized Immigrant Wage Min ($/hr)</t>
  </si>
  <si>
    <t xml:space="preserve">Authorized Immigrant Wage Max ($/hr)</t>
  </si>
  <si>
    <t xml:space="preserve">Authorized Immigrant Annual Income Average ($)</t>
  </si>
  <si>
    <t xml:space="preserve">Authorized Immigrant Annual Income Min ($)</t>
  </si>
  <si>
    <t xml:space="preserve">Authorized Immigrant Annual Income Max ($)</t>
  </si>
  <si>
    <t xml:space="preserve">Unauthorized Immigrant Wage Average ($/hr)</t>
  </si>
  <si>
    <t xml:space="preserve">Unauthorized Immigrant Wage Min ($/hr)</t>
  </si>
  <si>
    <t xml:space="preserve">Unauthorized Immigrant Wage Max ($/hr)</t>
  </si>
  <si>
    <t xml:space="preserve">Unauthorized Immigrant Annual Income Average ($)</t>
  </si>
  <si>
    <t xml:space="preserve">Unauthorized Immigrant Annual Income Min ($)</t>
  </si>
  <si>
    <t xml:space="preserve">Unauthorized Immigrant Annual Income Max ($)</t>
  </si>
  <si>
    <t xml:space="preserve">American Wage Average ($/hr)</t>
  </si>
  <si>
    <t xml:space="preserve">American Wage Min ($/hr)</t>
  </si>
  <si>
    <t xml:space="preserve">American Wage Max ($/hr)</t>
  </si>
  <si>
    <t xml:space="preserve">American Annual Income Average ($)</t>
  </si>
  <si>
    <t xml:space="preserve">American Annual Income Min ($)</t>
  </si>
  <si>
    <t xml:space="preserve">American Annual Income Max ($)</t>
  </si>
  <si>
    <t xml:space="preserve">Federal Personal Income Tax Revenue ($)</t>
  </si>
  <si>
    <t xml:space="preserve">Authorized Immigrant Federal Personal Income Tax Revenue ($)</t>
  </si>
  <si>
    <t xml:space="preserve">Unauthorized Immigrant Federal Personal Income Tax Revenue ($)</t>
  </si>
  <si>
    <t xml:space="preserve">American Federal Personal Income Tax Revenue ($)</t>
  </si>
  <si>
    <t xml:space="preserve">Payroll Tax Revenue ($)</t>
  </si>
  <si>
    <t xml:space="preserve">Authorized Immigrant Payroll Tax Revenue ($)</t>
  </si>
  <si>
    <t xml:space="preserve">Unauthorized Immigrant Payroll Tax Revenue ($)</t>
  </si>
  <si>
    <t xml:space="preserve">American Payroll Tax Revenue ($)</t>
  </si>
  <si>
    <t xml:space="preserve">GA</t>
  </si>
  <si>
    <t xml:space="preserve">All Industries</t>
  </si>
  <si>
    <t xml:space="preserve">All Roles</t>
  </si>
  <si>
    <t xml:space="preserve">Agriculture</t>
  </si>
  <si>
    <t xml:space="preserve">Worker</t>
  </si>
  <si>
    <t xml:space="preserve">Support</t>
  </si>
  <si>
    <t xml:space="preserve">Construction</t>
  </si>
  <si>
    <t xml:space="preserve">Hospitality</t>
  </si>
  <si>
    <t xml:space="preserve">Cleaning/Maintenance</t>
  </si>
  <si>
    <t xml:space="preserve">Manufacturing</t>
  </si>
  <si>
    <t xml:space="preserve">Transportation &amp; Warehousing</t>
  </si>
  <si>
    <t xml:space="preserve">Retail Trade</t>
  </si>
  <si>
    <t xml:space="preserve">Landscaping / Groundskeeping</t>
  </si>
  <si>
    <t xml:space="preserve">Automotive &amp; Repair</t>
  </si>
  <si>
    <t xml:space="preserve">Other Services</t>
  </si>
  <si>
    <t xml:space="preserve">KY</t>
  </si>
  <si>
    <t xml:space="preserve">LA</t>
  </si>
  <si>
    <t xml:space="preserve">MS</t>
  </si>
  <si>
    <t xml:space="preserve">NC</t>
  </si>
  <si>
    <t xml:space="preserve">SC</t>
  </si>
  <si>
    <t xml:space="preserve">TN</t>
  </si>
  <si>
    <t xml:space="preserve">VA</t>
  </si>
  <si>
    <t xml:space="preserve">WV</t>
  </si>
  <si>
    <t xml:space="preserve">RID.0.AL</t>
  </si>
  <si>
    <t xml:space="preserve">U.S. Labor Statistics (Alabama)</t>
  </si>
  <si>
    <t xml:space="preserve">Employment Rate</t>
  </si>
  <si>
    <t xml:space="preserve">Authorized Immigrant Employment Rate</t>
  </si>
  <si>
    <t xml:space="preserve">Unauthorized Immigrant Employment Rate</t>
  </si>
  <si>
    <t xml:space="preserve">American Employment Rate</t>
  </si>
  <si>
    <t xml:space="preserve">Unemployment Rate</t>
  </si>
  <si>
    <t xml:space="preserve">Authorized Immigrant Unemployment Rate</t>
  </si>
  <si>
    <t xml:space="preserve">Unauthorized Immigrant Unemployment Rate</t>
  </si>
  <si>
    <t xml:space="preserve">American Unemployment Rate</t>
  </si>
  <si>
    <t xml:space="preserve">Underemployment Rate</t>
  </si>
  <si>
    <t xml:space="preserve">Authorized Immigrant Underemployment Rate</t>
  </si>
  <si>
    <t xml:space="preserve">Unauthorized Immigrant Underemployment Rate</t>
  </si>
  <si>
    <t xml:space="preserve">American Underemployment Rate</t>
  </si>
  <si>
    <t xml:space="preserve">Wage Average ($$ /hr)</t>
  </si>
  <si>
    <t xml:space="preserve">Wage Min ( $$/hr)</t>
  </si>
  <si>
    <t xml:space="preserve">Wage Max ($$ /hr)</t>
  </si>
  <si>
    <t xml:space="preserve">Annual Income ( $$)</t>
  </si>
  <si>
    <t xml:space="preserve">Annual Income Min ($$ )</t>
  </si>
  <si>
    <t xml:space="preserve">Annual Income Max ( $$)</t>
  </si>
  <si>
    <t xml:space="preserve">Authorized Immigrant Wage Average ($$ /hr)</t>
  </si>
  <si>
    <t xml:space="preserve">Authorized Immigrant Wage Min ( $$/hr)</t>
  </si>
  <si>
    <t xml:space="preserve">Authorized Immigrant Wage Max ($$ /hr)</t>
  </si>
  <si>
    <t xml:space="preserve">Authorized Immigrant Annual Income Average ( $$)</t>
  </si>
  <si>
    <t xml:space="preserve">Authorized Immigrant Annual Income Min ($$ )</t>
  </si>
  <si>
    <t xml:space="preserve">Authorized Immigrant Annual Income Max ( $$)</t>
  </si>
  <si>
    <t xml:space="preserve">Unauthorized Immigrant Wage Average ($$ /hr)</t>
  </si>
  <si>
    <t xml:space="preserve">Unauthorized Immigrant Wage Min ( $$/hr)</t>
  </si>
  <si>
    <t xml:space="preserve">Unauthorized Immigrant Wage Max ($$ /hr)</t>
  </si>
  <si>
    <t xml:space="preserve">Unauthorized Immigrant Annual Income Average ( $$)</t>
  </si>
  <si>
    <t xml:space="preserve">Unauthorized Immigrant Annual Income Min ($$ )</t>
  </si>
  <si>
    <t xml:space="preserve">Unauthorized Immigrant Annual Income Max ( $$)</t>
  </si>
  <si>
    <t xml:space="preserve">American Wage Average ($$ /hr)</t>
  </si>
  <si>
    <t xml:space="preserve">American Wage Min ( $$/hr)</t>
  </si>
  <si>
    <t xml:space="preserve">American Wage Max ($$ /hr)</t>
  </si>
  <si>
    <t xml:space="preserve">American Annual Income Average ( $$)</t>
  </si>
  <si>
    <t xml:space="preserve">American Annual Income Min ($$ )</t>
  </si>
  <si>
    <t xml:space="preserve">American Annual Income Max ( $$)</t>
  </si>
  <si>
    <t xml:space="preserve">Federal Personal Income Tax Revenue ($$ )</t>
  </si>
  <si>
    <t xml:space="preserve">Authorized Immigrant Federal Personal Income Tax Revenue ( $$)</t>
  </si>
  <si>
    <t xml:space="preserve">Unauthorized Immigrant Federal Personal Income Tax Revenue ($$ )</t>
  </si>
  <si>
    <t xml:space="preserve">American Federal Personal Income Tax Revenue ( $$)</t>
  </si>
  <si>
    <t xml:space="preserve">Payroll Tax Revenue ($$ )</t>
  </si>
  <si>
    <t xml:space="preserve">Authorized Immigrant Payroll Tax Revenue ( $$)</t>
  </si>
  <si>
    <t xml:space="preserve">Unauthorized Immigrant Payroll Tax Revenue ($$ )</t>
  </si>
  <si>
    <t xml:space="preserve">American Payroll Tax Revenue ( $$)</t>
  </si>
  <si>
    <t xml:space="preserve">AL.0</t>
  </si>
  <si>
    <t xml:space="preserve">Authorized, Unauthorized, American Laborer Population By Industrial Labor Role</t>
  </si>
  <si>
    <t xml:space="preserve">Industry: Role</t>
  </si>
  <si>
    <t xml:space="preserve">AL.1</t>
  </si>
  <si>
    <r>
      <rPr>
        <i val="true"/>
        <sz val="10"/>
        <rFont val="Arial"/>
        <family val="2"/>
        <charset val="1"/>
      </rPr>
      <t xml:space="preserve">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Unauthorized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American </t>
    </r>
    <r>
      <rPr>
        <sz val="10"/>
        <rFont val="Arial"/>
        <family val="2"/>
        <charset val="1"/>
      </rPr>
      <t xml:space="preserve">Laborer </t>
    </r>
    <r>
      <rPr>
        <b val="true"/>
        <sz val="10"/>
        <rFont val="Arial"/>
        <family val="2"/>
        <charset val="1"/>
      </rPr>
      <t xml:space="preserve">Employment Rate</t>
    </r>
    <r>
      <rPr>
        <sz val="10"/>
        <rFont val="Arial"/>
        <family val="2"/>
        <charset val="1"/>
      </rPr>
      <t xml:space="preserve"> By </t>
    </r>
    <r>
      <rPr>
        <u val="single"/>
        <sz val="10"/>
        <rFont val="Arial"/>
        <family val="2"/>
        <charset val="1"/>
      </rPr>
      <t xml:space="preserve">Industrial Labor Role</t>
    </r>
  </si>
  <si>
    <t xml:space="preserve">AL.2</t>
  </si>
  <si>
    <r>
      <rPr>
        <i val="true"/>
        <sz val="10"/>
        <rFont val="Arial"/>
        <family val="2"/>
        <charset val="1"/>
      </rPr>
      <t xml:space="preserve">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Unauthorized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American </t>
    </r>
    <r>
      <rPr>
        <sz val="10"/>
        <rFont val="Arial"/>
        <family val="2"/>
        <charset val="1"/>
      </rPr>
      <t xml:space="preserve">Laborer </t>
    </r>
    <r>
      <rPr>
        <b val="true"/>
        <sz val="10"/>
        <rFont val="Arial"/>
        <family val="2"/>
        <charset val="1"/>
      </rPr>
      <t xml:space="preserve">Unemployment Rate </t>
    </r>
    <r>
      <rPr>
        <sz val="10"/>
        <rFont val="Arial"/>
        <family val="2"/>
        <charset val="1"/>
      </rPr>
      <t xml:space="preserve">By </t>
    </r>
    <r>
      <rPr>
        <u val="single"/>
        <sz val="10"/>
        <rFont val="Arial"/>
        <family val="2"/>
        <charset val="1"/>
      </rPr>
      <t xml:space="preserve">Industrial Labor Role</t>
    </r>
  </si>
  <si>
    <t xml:space="preserve">AL.3</t>
  </si>
  <si>
    <r>
      <rPr>
        <i val="true"/>
        <sz val="10"/>
        <rFont val="Arial"/>
        <family val="2"/>
        <charset val="1"/>
      </rPr>
      <t xml:space="preserve">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Unauthorized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American </t>
    </r>
    <r>
      <rPr>
        <sz val="10"/>
        <rFont val="Arial"/>
        <family val="2"/>
        <charset val="1"/>
      </rPr>
      <t xml:space="preserve">Laborer </t>
    </r>
    <r>
      <rPr>
        <b val="true"/>
        <sz val="10"/>
        <rFont val="Arial"/>
        <family val="2"/>
        <charset val="1"/>
      </rPr>
      <t xml:space="preserve">Underemployment Rate </t>
    </r>
    <r>
      <rPr>
        <sz val="10"/>
        <rFont val="Arial"/>
        <family val="2"/>
        <charset val="1"/>
      </rPr>
      <t xml:space="preserve">By </t>
    </r>
    <r>
      <rPr>
        <u val="single"/>
        <sz val="10"/>
        <rFont val="Arial"/>
        <family val="2"/>
        <charset val="1"/>
      </rPr>
      <t xml:space="preserve">Industrial Labor Role</t>
    </r>
  </si>
  <si>
    <t xml:space="preserve">AL.4</t>
  </si>
  <si>
    <r>
      <rPr>
        <i val="true"/>
        <sz val="10"/>
        <rFont val="Arial"/>
        <family val="2"/>
        <charset val="1"/>
      </rPr>
      <t xml:space="preserve">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Unauthorized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American </t>
    </r>
    <r>
      <rPr>
        <sz val="10"/>
        <rFont val="Arial"/>
        <family val="2"/>
        <charset val="1"/>
      </rPr>
      <t xml:space="preserve">Laborer </t>
    </r>
    <r>
      <rPr>
        <b val="true"/>
        <sz val="10"/>
        <rFont val="Arial"/>
        <family val="2"/>
        <charset val="1"/>
      </rPr>
      <t xml:space="preserve">Wage Average </t>
    </r>
    <r>
      <rPr>
        <sz val="10"/>
        <rFont val="Arial"/>
        <family val="2"/>
        <charset val="1"/>
      </rPr>
      <t xml:space="preserve">By </t>
    </r>
    <r>
      <rPr>
        <u val="single"/>
        <sz val="10"/>
        <rFont val="Arial"/>
        <family val="2"/>
        <charset val="1"/>
      </rPr>
      <t xml:space="preserve">Industrial Labor Role</t>
    </r>
  </si>
  <si>
    <t xml:space="preserve">AL.5</t>
  </si>
  <si>
    <r>
      <rPr>
        <i val="true"/>
        <sz val="10"/>
        <rFont val="Arial"/>
        <family val="2"/>
        <charset val="1"/>
      </rPr>
      <t xml:space="preserve">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Unauthorized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American </t>
    </r>
    <r>
      <rPr>
        <sz val="10"/>
        <rFont val="Arial"/>
        <family val="2"/>
        <charset val="1"/>
      </rPr>
      <t xml:space="preserve">Laborer </t>
    </r>
    <r>
      <rPr>
        <b val="true"/>
        <sz val="10"/>
        <rFont val="Arial"/>
        <family val="2"/>
        <charset val="1"/>
      </rPr>
      <t xml:space="preserve">Annual Income Average </t>
    </r>
    <r>
      <rPr>
        <sz val="10"/>
        <rFont val="Arial"/>
        <family val="2"/>
        <charset val="1"/>
      </rPr>
      <t xml:space="preserve">By </t>
    </r>
    <r>
      <rPr>
        <u val="single"/>
        <sz val="10"/>
        <rFont val="Arial"/>
        <family val="2"/>
        <charset val="1"/>
      </rPr>
      <t xml:space="preserve">Industrial Labor Role</t>
    </r>
  </si>
  <si>
    <t xml:space="preserve">AL.6</t>
  </si>
  <si>
    <r>
      <rPr>
        <i val="true"/>
        <sz val="10"/>
        <rFont val="Arial"/>
        <family val="2"/>
        <charset val="1"/>
      </rPr>
      <t xml:space="preserve">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Unauthorized</t>
    </r>
    <r>
      <rPr>
        <sz val="10"/>
        <rFont val="Arial"/>
        <family val="2"/>
        <charset val="1"/>
      </rPr>
      <t xml:space="preserve">, </t>
    </r>
    <r>
      <rPr>
        <i val="true"/>
        <sz val="10"/>
        <rFont val="Arial"/>
        <family val="2"/>
        <charset val="1"/>
      </rPr>
      <t xml:space="preserve">American </t>
    </r>
    <r>
      <rPr>
        <sz val="10"/>
        <rFont val="Arial"/>
        <family val="2"/>
        <charset val="1"/>
      </rPr>
      <t xml:space="preserve">Laborer </t>
    </r>
    <r>
      <rPr>
        <b val="true"/>
        <sz val="10"/>
        <rFont val="Arial"/>
        <family val="2"/>
        <charset val="1"/>
      </rPr>
      <t xml:space="preserve">Federal Personal Income Tax </t>
    </r>
    <r>
      <rPr>
        <sz val="10"/>
        <rFont val="Arial"/>
        <family val="2"/>
        <charset val="1"/>
      </rPr>
      <t xml:space="preserve">By </t>
    </r>
    <r>
      <rPr>
        <u val="single"/>
        <sz val="10"/>
        <rFont val="Arial"/>
        <family val="2"/>
        <charset val="1"/>
      </rPr>
      <t xml:space="preserve">Industrial Labor Role</t>
    </r>
  </si>
  <si>
    <t xml:space="preserve">RID.0.AR</t>
  </si>
  <si>
    <t xml:space="preserve">U.S. Labor Statistics (Arkansas)</t>
  </si>
  <si>
    <t xml:space="preserve">AR.0</t>
  </si>
  <si>
    <t xml:space="preserve">AR.1</t>
  </si>
  <si>
    <t xml:space="preserve">AR.2</t>
  </si>
  <si>
    <t xml:space="preserve">AR.3</t>
  </si>
  <si>
    <t xml:space="preserve">AR.4</t>
  </si>
  <si>
    <t xml:space="preserve">AR.5</t>
  </si>
  <si>
    <t xml:space="preserve">AR.6</t>
  </si>
  <si>
    <t xml:space="preserve">RID.0.FL</t>
  </si>
  <si>
    <t xml:space="preserve">U.S. Labor Statistics (Florida)</t>
  </si>
  <si>
    <t xml:space="preserve">FL.0</t>
  </si>
  <si>
    <t xml:space="preserve">FL.1</t>
  </si>
  <si>
    <t xml:space="preserve">FL.2</t>
  </si>
  <si>
    <t xml:space="preserve">FL.3</t>
  </si>
  <si>
    <t xml:space="preserve">FL.4</t>
  </si>
  <si>
    <t xml:space="preserve">FL.5</t>
  </si>
  <si>
    <t xml:space="preserve">FL.6</t>
  </si>
  <si>
    <t xml:space="preserve">RID.0.GA</t>
  </si>
  <si>
    <t xml:space="preserve">U.S. Labor Statistics (Georgia)</t>
  </si>
  <si>
    <t xml:space="preserve">GA.0</t>
  </si>
  <si>
    <t xml:space="preserve">GA.1</t>
  </si>
  <si>
    <t xml:space="preserve">GA.2</t>
  </si>
  <si>
    <t xml:space="preserve">GA.3</t>
  </si>
  <si>
    <t xml:space="preserve">GA.4</t>
  </si>
  <si>
    <t xml:space="preserve">GA.5</t>
  </si>
  <si>
    <t xml:space="preserve">GA.6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</si>
</sst>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_);&quot;($&quot;#,##0.00\)"/>
    <numFmt numFmtId="166" formatCode="\$#,##0_);[RED]&quot;($&quot;#,##0\)"/>
    <numFmt numFmtId="167" formatCode="#,##0"/>
    <numFmt numFmtId="168" formatCode="0.00%"/>
    <numFmt numFmtId="169" formatCode="[$$-409]#,##0.00;[RED]\-[$$-409]#,##0.00"/>
    <numFmt numFmtId="170" formatCode="[$$-409]#,##0;\-[$$-409]#,##0"/>
    <numFmt numFmtId="171" formatCode="[$$-409]#,##0.00;\-[$$-409]#,##0.00"/>
    <numFmt numFmtId="172" formatCode="[$$-409]#,##0;[RED]\-[$$-409]#,##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i val="true"/>
      <u val="singl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sz val="13"/>
      <color rgb="FF000000"/>
      <name val="Arial"/>
      <family val="2"/>
    </font>
    <font>
      <sz val="11"/>
      <color rgb="FF000000"/>
      <name val="Arial"/>
      <family val="2"/>
    </font>
    <font>
      <sz val="8"/>
      <color rgb="FFFFFFFF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00"/>
        <bgColor rgb="FF333333"/>
      </patternFill>
    </fill>
    <fill>
      <patternFill patternType="solid">
        <fgColor rgb="FFFFCC00"/>
        <bgColor rgb="FFFFD32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2" applyFont="true" applyBorder="tru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4" applyFont="true" applyBorder="true" applyAlignment="true" applyProtection="false">
      <alignment horizontal="right" vertical="bottom" textRotation="0" wrapText="true" indent="0" shrinkToFit="false"/>
    </xf>
    <xf numFmtId="164" fontId="0" fillId="3" borderId="5" applyFont="true" applyBorder="true" applyAlignment="true" applyProtection="false">
      <alignment horizontal="right" vertical="bottom" textRotation="0" wrapText="true" indent="0" shrinkToFit="false"/>
    </xf>
    <xf numFmtId="164" fontId="0" fillId="3" borderId="6" applyFont="true" applyBorder="true" applyAlignment="true" applyProtection="false">
      <alignment horizontal="right" vertical="bottom" textRotation="0" wrapText="true" indent="0" shrinkToFit="false"/>
    </xf>
    <xf numFmtId="164" fontId="0" fillId="3" borderId="7" applyFont="true" applyBorder="true" applyAlignment="true" applyProtection="false">
      <alignment horizontal="right" vertical="bottom" textRotation="0" wrapText="true" indent="0" shrinkToFit="false"/>
    </xf>
    <xf numFmtId="164" fontId="0" fillId="3" borderId="8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5" fontId="0" fillId="0" borderId="9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1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2" xfId="32"/>
  </cellStyles>
  <colors>
    <indexedColors>
      <rgbColor rgb="FF000000"/>
      <rgbColor rgb="FFFFFFFF"/>
      <rgbColor rgb="FFFF0000"/>
      <rgbColor rgb="FF00FF00"/>
      <rgbColor rgb="FF0000FF"/>
      <rgbColor rgb="FFFFD32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99999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118115461181"/>
          <c:y val="0.0241061892895286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AL!$C$143</c:f>
              <c:strCache>
                <c:ptCount val="1"/>
                <c:pt idx="0">
                  <c:v>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AL!$B$143:$B$164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AL!$C$145:$C$164</c:f>
              <c:numCache>
                <c:formatCode>0.00%</c:formatCode>
                <c:ptCount val="20"/>
                <c:pt idx="0">
                  <c:v>0.8746</c:v>
                </c:pt>
                <c:pt idx="1">
                  <c:v>0.8749</c:v>
                </c:pt>
                <c:pt idx="2">
                  <c:v>0.9001</c:v>
                </c:pt>
                <c:pt idx="3">
                  <c:v>0.9</c:v>
                </c:pt>
                <c:pt idx="4">
                  <c:v>0.8729</c:v>
                </c:pt>
                <c:pt idx="5">
                  <c:v>0.8729</c:v>
                </c:pt>
                <c:pt idx="6">
                  <c:v>0.8697</c:v>
                </c:pt>
                <c:pt idx="7">
                  <c:v>0.8697</c:v>
                </c:pt>
                <c:pt idx="8">
                  <c:v>0.9179</c:v>
                </c:pt>
                <c:pt idx="9">
                  <c:v>0.9179</c:v>
                </c:pt>
                <c:pt idx="10">
                  <c:v>0.9077</c:v>
                </c:pt>
                <c:pt idx="11">
                  <c:v>0.9077</c:v>
                </c:pt>
                <c:pt idx="12">
                  <c:v>0.8849</c:v>
                </c:pt>
                <c:pt idx="13">
                  <c:v>0.8849</c:v>
                </c:pt>
                <c:pt idx="14">
                  <c:v>0.8776</c:v>
                </c:pt>
                <c:pt idx="15">
                  <c:v>0.8775</c:v>
                </c:pt>
                <c:pt idx="16">
                  <c:v>0.8843</c:v>
                </c:pt>
                <c:pt idx="17">
                  <c:v>0.8844</c:v>
                </c:pt>
                <c:pt idx="18">
                  <c:v>0.8843</c:v>
                </c:pt>
                <c:pt idx="19">
                  <c:v>0.8844</c:v>
                </c:pt>
              </c:numCache>
            </c:numRef>
          </c:val>
        </c:ser>
        <c:ser>
          <c:idx val="1"/>
          <c:order val="1"/>
          <c:tx>
            <c:strRef>
              <c:f>AL!$D$143</c:f>
              <c:strCache>
                <c:ptCount val="1"/>
                <c:pt idx="0">
                  <c:v>Authorized Immigrant 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AL!$B$143:$B$164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AL!$D$145:$D$164</c:f>
              <c:numCache>
                <c:formatCode>0.00%</c:formatCode>
                <c:ptCount val="20"/>
                <c:pt idx="0">
                  <c:v>0.75</c:v>
                </c:pt>
                <c:pt idx="1">
                  <c:v>0.75</c:v>
                </c:pt>
                <c:pt idx="2">
                  <c:v>0.752</c:v>
                </c:pt>
                <c:pt idx="3">
                  <c:v>0.752</c:v>
                </c:pt>
                <c:pt idx="4">
                  <c:v>0.715</c:v>
                </c:pt>
                <c:pt idx="5">
                  <c:v>0.715</c:v>
                </c:pt>
                <c:pt idx="6">
                  <c:v>0.716</c:v>
                </c:pt>
                <c:pt idx="7">
                  <c:v>0.716</c:v>
                </c:pt>
                <c:pt idx="8">
                  <c:v>0.76</c:v>
                </c:pt>
                <c:pt idx="9">
                  <c:v>0.76</c:v>
                </c:pt>
                <c:pt idx="10">
                  <c:v>0.75</c:v>
                </c:pt>
                <c:pt idx="11">
                  <c:v>0.75</c:v>
                </c:pt>
                <c:pt idx="12">
                  <c:v>0.698</c:v>
                </c:pt>
                <c:pt idx="13">
                  <c:v>0.698</c:v>
                </c:pt>
                <c:pt idx="14">
                  <c:v>0.73</c:v>
                </c:pt>
                <c:pt idx="15">
                  <c:v>0.73</c:v>
                </c:pt>
                <c:pt idx="16">
                  <c:v>0.715</c:v>
                </c:pt>
                <c:pt idx="17">
                  <c:v>0.715</c:v>
                </c:pt>
                <c:pt idx="18">
                  <c:v>0.715</c:v>
                </c:pt>
                <c:pt idx="19">
                  <c:v>0.715</c:v>
                </c:pt>
              </c:numCache>
            </c:numRef>
          </c:val>
        </c:ser>
        <c:ser>
          <c:idx val="2"/>
          <c:order val="2"/>
          <c:tx>
            <c:strRef>
              <c:f>AL!$E$143</c:f>
              <c:strCache>
                <c:ptCount val="1"/>
                <c:pt idx="0">
                  <c:v>Unauthorized Immigrant 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AL!$B$143:$B$164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AL!$E$145:$E$164</c:f>
              <c:numCache>
                <c:formatCode>0.00%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0.802</c:v>
                </c:pt>
                <c:pt idx="3">
                  <c:v>0.802</c:v>
                </c:pt>
                <c:pt idx="4">
                  <c:v>0.765</c:v>
                </c:pt>
                <c:pt idx="5">
                  <c:v>0.765</c:v>
                </c:pt>
                <c:pt idx="6">
                  <c:v>0.766</c:v>
                </c:pt>
                <c:pt idx="7">
                  <c:v>0.766</c:v>
                </c:pt>
                <c:pt idx="8">
                  <c:v>0.81</c:v>
                </c:pt>
                <c:pt idx="9">
                  <c:v>0.81</c:v>
                </c:pt>
                <c:pt idx="10">
                  <c:v>0.8</c:v>
                </c:pt>
                <c:pt idx="11">
                  <c:v>0.8</c:v>
                </c:pt>
                <c:pt idx="12">
                  <c:v>0.748</c:v>
                </c:pt>
                <c:pt idx="13">
                  <c:v>0.748</c:v>
                </c:pt>
                <c:pt idx="14">
                  <c:v>0.78</c:v>
                </c:pt>
                <c:pt idx="15">
                  <c:v>0.78</c:v>
                </c:pt>
                <c:pt idx="16">
                  <c:v>0.765</c:v>
                </c:pt>
                <c:pt idx="17">
                  <c:v>0.765</c:v>
                </c:pt>
                <c:pt idx="18">
                  <c:v>0.765</c:v>
                </c:pt>
                <c:pt idx="19">
                  <c:v>0.765</c:v>
                </c:pt>
              </c:numCache>
            </c:numRef>
          </c:val>
        </c:ser>
        <c:ser>
          <c:idx val="3"/>
          <c:order val="3"/>
          <c:tx>
            <c:strRef>
              <c:f>AL!$F$143</c:f>
              <c:strCache>
                <c:ptCount val="1"/>
                <c:pt idx="0">
                  <c:v>American 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AL!$B$143:$B$164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AL!$F$145:$F$164</c:f>
              <c:numCache>
                <c:formatCode>0.00%</c:formatCode>
                <c:ptCount val="20"/>
                <c:pt idx="0">
                  <c:v>0.95</c:v>
                </c:pt>
                <c:pt idx="1">
                  <c:v>0.95</c:v>
                </c:pt>
                <c:pt idx="2">
                  <c:v>0.945</c:v>
                </c:pt>
                <c:pt idx="3">
                  <c:v>0.945</c:v>
                </c:pt>
                <c:pt idx="4">
                  <c:v>0.92</c:v>
                </c:pt>
                <c:pt idx="5">
                  <c:v>0.92</c:v>
                </c:pt>
                <c:pt idx="6">
                  <c:v>0.924</c:v>
                </c:pt>
                <c:pt idx="7">
                  <c:v>0.924</c:v>
                </c:pt>
                <c:pt idx="8">
                  <c:v>0.95</c:v>
                </c:pt>
                <c:pt idx="9">
                  <c:v>0.95</c:v>
                </c:pt>
                <c:pt idx="10">
                  <c:v>0.945</c:v>
                </c:pt>
                <c:pt idx="11">
                  <c:v>0.945</c:v>
                </c:pt>
                <c:pt idx="12">
                  <c:v>0.908</c:v>
                </c:pt>
                <c:pt idx="13">
                  <c:v>0.908</c:v>
                </c:pt>
                <c:pt idx="14">
                  <c:v>0.92</c:v>
                </c:pt>
                <c:pt idx="15">
                  <c:v>0.92</c:v>
                </c:pt>
                <c:pt idx="16">
                  <c:v>0.918</c:v>
                </c:pt>
                <c:pt idx="17">
                  <c:v>0.918</c:v>
                </c:pt>
                <c:pt idx="18">
                  <c:v>0.918</c:v>
                </c:pt>
                <c:pt idx="19">
                  <c:v>0.918</c:v>
                </c:pt>
              </c:numCache>
            </c:numRef>
          </c:val>
        </c:ser>
        <c:gapWidth val="100"/>
        <c:overlap val="0"/>
        <c:axId val="78038581"/>
        <c:axId val="67711805"/>
      </c:barChart>
      <c:catAx>
        <c:axId val="7803858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7711805"/>
        <c:crosses val="autoZero"/>
        <c:auto val="1"/>
        <c:lblAlgn val="ctr"/>
        <c:lblOffset val="100"/>
        <c:noMultiLvlLbl val="0"/>
      </c:catAx>
      <c:valAx>
        <c:axId val="677118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8038581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109730334286"/>
          <c:y val="0.473411286222674"/>
          <c:w val="0.180191375667951"/>
          <c:h val="0.10894763599389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5036362711692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AL!$C$260</c:f>
              <c:strCache>
                <c:ptCount val="1"/>
                <c:pt idx="0">
                  <c:v>Unemployment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AL!$B$262:$B$281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AL!$C$262:$C$281</c:f>
              <c:numCache>
                <c:formatCode>0.00%</c:formatCode>
                <c:ptCount val="20"/>
                <c:pt idx="0">
                  <c:v>0.1254</c:v>
                </c:pt>
                <c:pt idx="1">
                  <c:v>0.1251</c:v>
                </c:pt>
                <c:pt idx="2">
                  <c:v>0.0999</c:v>
                </c:pt>
                <c:pt idx="3">
                  <c:v>0.1</c:v>
                </c:pt>
                <c:pt idx="4">
                  <c:v>0.1271</c:v>
                </c:pt>
                <c:pt idx="5">
                  <c:v>0.1271</c:v>
                </c:pt>
                <c:pt idx="6">
                  <c:v>0.1303</c:v>
                </c:pt>
                <c:pt idx="7">
                  <c:v>0.1303</c:v>
                </c:pt>
                <c:pt idx="8">
                  <c:v>0.0821</c:v>
                </c:pt>
                <c:pt idx="9">
                  <c:v>0.0821</c:v>
                </c:pt>
                <c:pt idx="10">
                  <c:v>0.0923</c:v>
                </c:pt>
                <c:pt idx="11">
                  <c:v>0.0923</c:v>
                </c:pt>
                <c:pt idx="12">
                  <c:v>0.1151</c:v>
                </c:pt>
                <c:pt idx="13">
                  <c:v>0.1151</c:v>
                </c:pt>
                <c:pt idx="14">
                  <c:v>0.1224</c:v>
                </c:pt>
                <c:pt idx="15">
                  <c:v>0.1225</c:v>
                </c:pt>
                <c:pt idx="16">
                  <c:v>0.1157</c:v>
                </c:pt>
                <c:pt idx="17">
                  <c:v>0.1156</c:v>
                </c:pt>
                <c:pt idx="18">
                  <c:v>0.1157</c:v>
                </c:pt>
                <c:pt idx="19">
                  <c:v>0.1156</c:v>
                </c:pt>
              </c:numCache>
            </c:numRef>
          </c:val>
        </c:ser>
        <c:ser>
          <c:idx val="1"/>
          <c:order val="1"/>
          <c:tx>
            <c:strRef>
              <c:f>AL!$D$260</c:f>
              <c:strCache>
                <c:ptCount val="1"/>
                <c:pt idx="0">
                  <c:v>Authorized Immigrant Unemployment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AL!$B$262:$B$281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AL!$D$262:$D$281</c:f>
              <c:numCache>
                <c:formatCode>0.00%</c:formatCode>
                <c:ptCount val="20"/>
                <c:pt idx="0">
                  <c:v>0.25</c:v>
                </c:pt>
                <c:pt idx="1">
                  <c:v>0.25</c:v>
                </c:pt>
                <c:pt idx="2">
                  <c:v>0.248</c:v>
                </c:pt>
                <c:pt idx="3">
                  <c:v>0.248</c:v>
                </c:pt>
                <c:pt idx="4">
                  <c:v>0.285</c:v>
                </c:pt>
                <c:pt idx="5">
                  <c:v>0.285</c:v>
                </c:pt>
                <c:pt idx="6">
                  <c:v>0.284</c:v>
                </c:pt>
                <c:pt idx="7">
                  <c:v>0.284</c:v>
                </c:pt>
                <c:pt idx="8">
                  <c:v>0.24</c:v>
                </c:pt>
                <c:pt idx="9">
                  <c:v>0.24</c:v>
                </c:pt>
                <c:pt idx="10">
                  <c:v>0.25</c:v>
                </c:pt>
                <c:pt idx="11">
                  <c:v>0.25</c:v>
                </c:pt>
                <c:pt idx="12">
                  <c:v>0.302</c:v>
                </c:pt>
                <c:pt idx="13">
                  <c:v>0.302</c:v>
                </c:pt>
                <c:pt idx="14">
                  <c:v>0.27</c:v>
                </c:pt>
                <c:pt idx="15">
                  <c:v>0.27</c:v>
                </c:pt>
                <c:pt idx="16">
                  <c:v>0.285</c:v>
                </c:pt>
                <c:pt idx="17">
                  <c:v>0.285</c:v>
                </c:pt>
                <c:pt idx="18">
                  <c:v>0.285</c:v>
                </c:pt>
                <c:pt idx="19">
                  <c:v>0.285</c:v>
                </c:pt>
              </c:numCache>
            </c:numRef>
          </c:val>
        </c:ser>
        <c:ser>
          <c:idx val="2"/>
          <c:order val="2"/>
          <c:tx>
            <c:strRef>
              <c:f>AL!$E$260</c:f>
              <c:strCache>
                <c:ptCount val="1"/>
                <c:pt idx="0">
                  <c:v>Unauthorized Immigrant Unemployment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AL!$B$262:$B$281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AL!$E$262:$E$281</c:f>
              <c:numCache>
                <c:formatCode>0.00%</c:formatCode>
                <c:ptCount val="20"/>
                <c:pt idx="0">
                  <c:v>0.2</c:v>
                </c:pt>
                <c:pt idx="1">
                  <c:v>0.2</c:v>
                </c:pt>
                <c:pt idx="2">
                  <c:v>0.198</c:v>
                </c:pt>
                <c:pt idx="3">
                  <c:v>0.198</c:v>
                </c:pt>
                <c:pt idx="4">
                  <c:v>0.235</c:v>
                </c:pt>
                <c:pt idx="5">
                  <c:v>0.235</c:v>
                </c:pt>
                <c:pt idx="6">
                  <c:v>0.234</c:v>
                </c:pt>
                <c:pt idx="7">
                  <c:v>0.234</c:v>
                </c:pt>
                <c:pt idx="8">
                  <c:v>0.19</c:v>
                </c:pt>
                <c:pt idx="9">
                  <c:v>0.19</c:v>
                </c:pt>
                <c:pt idx="10">
                  <c:v>0.2</c:v>
                </c:pt>
                <c:pt idx="11">
                  <c:v>0.2</c:v>
                </c:pt>
                <c:pt idx="12">
                  <c:v>0.252</c:v>
                </c:pt>
                <c:pt idx="13">
                  <c:v>0.252</c:v>
                </c:pt>
                <c:pt idx="14">
                  <c:v>0.22</c:v>
                </c:pt>
                <c:pt idx="15">
                  <c:v>0.22</c:v>
                </c:pt>
                <c:pt idx="16">
                  <c:v>0.235</c:v>
                </c:pt>
                <c:pt idx="17">
                  <c:v>0.235</c:v>
                </c:pt>
                <c:pt idx="18">
                  <c:v>0.235</c:v>
                </c:pt>
                <c:pt idx="19">
                  <c:v>0.235</c:v>
                </c:pt>
              </c:numCache>
            </c:numRef>
          </c:val>
        </c:ser>
        <c:ser>
          <c:idx val="3"/>
          <c:order val="3"/>
          <c:tx>
            <c:strRef>
              <c:f>AL!$F$260</c:f>
              <c:strCache>
                <c:ptCount val="1"/>
                <c:pt idx="0">
                  <c:v>American Unemployment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AL!$B$262:$B$281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AL!$F$262:$F$281</c:f>
              <c:numCache>
                <c:formatCode>0.00%</c:formatCode>
                <c:ptCount val="20"/>
                <c:pt idx="0">
                  <c:v>0.05</c:v>
                </c:pt>
                <c:pt idx="1">
                  <c:v>0.05</c:v>
                </c:pt>
                <c:pt idx="2">
                  <c:v>0.055</c:v>
                </c:pt>
                <c:pt idx="3">
                  <c:v>0.055</c:v>
                </c:pt>
                <c:pt idx="4">
                  <c:v>0.08</c:v>
                </c:pt>
                <c:pt idx="5">
                  <c:v>0.08</c:v>
                </c:pt>
                <c:pt idx="6">
                  <c:v>0.076</c:v>
                </c:pt>
                <c:pt idx="7">
                  <c:v>0.076</c:v>
                </c:pt>
                <c:pt idx="8">
                  <c:v>0.05</c:v>
                </c:pt>
                <c:pt idx="9">
                  <c:v>0.05</c:v>
                </c:pt>
                <c:pt idx="10">
                  <c:v>0.055</c:v>
                </c:pt>
                <c:pt idx="11">
                  <c:v>0.055</c:v>
                </c:pt>
                <c:pt idx="12">
                  <c:v>0.092</c:v>
                </c:pt>
                <c:pt idx="13">
                  <c:v>0.092</c:v>
                </c:pt>
                <c:pt idx="14">
                  <c:v>0.08</c:v>
                </c:pt>
                <c:pt idx="15">
                  <c:v>0.08</c:v>
                </c:pt>
                <c:pt idx="16">
                  <c:v>0.082</c:v>
                </c:pt>
                <c:pt idx="17">
                  <c:v>0.082</c:v>
                </c:pt>
                <c:pt idx="18">
                  <c:v>0.082</c:v>
                </c:pt>
                <c:pt idx="19">
                  <c:v>0.082</c:v>
                </c:pt>
              </c:numCache>
            </c:numRef>
          </c:val>
        </c:ser>
        <c:gapWidth val="100"/>
        <c:overlap val="0"/>
        <c:axId val="51837363"/>
        <c:axId val="58282007"/>
      </c:barChart>
      <c:catAx>
        <c:axId val="5183736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8282007"/>
        <c:crosses val="autoZero"/>
        <c:auto val="1"/>
        <c:lblAlgn val="ctr"/>
        <c:lblOffset val="100"/>
        <c:noMultiLvlLbl val="0"/>
      </c:catAx>
      <c:valAx>
        <c:axId val="582820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83736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47524957541"/>
          <c:y val="0.468352821555669"/>
          <c:w val="0.196553581044696"/>
          <c:h val="0.11802236908998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Underemployment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5799216803133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AL!$C$377</c:f>
              <c:strCache>
                <c:ptCount val="1"/>
                <c:pt idx="0">
                  <c:v>Underemployment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AL!$B$377:$B$398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AL!$C$378:$C$398</c:f>
              <c:numCache>
                <c:formatCode>0.00%</c:formatCode>
                <c:ptCount val="21"/>
                <c:pt idx="0">
                  <c:v>0.0809</c:v>
                </c:pt>
                <c:pt idx="1">
                  <c:v>0.0841</c:v>
                </c:pt>
                <c:pt idx="2">
                  <c:v>0.0841</c:v>
                </c:pt>
                <c:pt idx="3">
                  <c:v>0.0827</c:v>
                </c:pt>
                <c:pt idx="4">
                  <c:v>0.0827</c:v>
                </c:pt>
                <c:pt idx="5">
                  <c:v>0.1137</c:v>
                </c:pt>
                <c:pt idx="6">
                  <c:v>0.1137</c:v>
                </c:pt>
                <c:pt idx="7">
                  <c:v>0.1135</c:v>
                </c:pt>
                <c:pt idx="8">
                  <c:v>0.1135</c:v>
                </c:pt>
                <c:pt idx="9">
                  <c:v>0.1022</c:v>
                </c:pt>
                <c:pt idx="10">
                  <c:v>0.1022</c:v>
                </c:pt>
                <c:pt idx="11">
                  <c:v>0.1018</c:v>
                </c:pt>
                <c:pt idx="12">
                  <c:v>0.1018</c:v>
                </c:pt>
                <c:pt idx="13">
                  <c:v>0.1144</c:v>
                </c:pt>
                <c:pt idx="14">
                  <c:v>0.1144</c:v>
                </c:pt>
                <c:pt idx="15">
                  <c:v>0.1037</c:v>
                </c:pt>
                <c:pt idx="16">
                  <c:v>0.1037</c:v>
                </c:pt>
                <c:pt idx="17">
                  <c:v>0.1082</c:v>
                </c:pt>
                <c:pt idx="18">
                  <c:v>0.1082</c:v>
                </c:pt>
                <c:pt idx="19">
                  <c:v>0.1082</c:v>
                </c:pt>
                <c:pt idx="20">
                  <c:v>0.1082</c:v>
                </c:pt>
              </c:numCache>
            </c:numRef>
          </c:val>
        </c:ser>
        <c:ser>
          <c:idx val="1"/>
          <c:order val="1"/>
          <c:tx>
            <c:strRef>
              <c:f>AL!$D$377</c:f>
              <c:strCache>
                <c:ptCount val="1"/>
                <c:pt idx="0">
                  <c:v>Authorized Immigrant Underemployment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AL!$B$377:$B$398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AL!$D$378:$D$398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2"/>
          <c:order val="2"/>
          <c:tx>
            <c:strRef>
              <c:f>AL!$E$377</c:f>
              <c:strCache>
                <c:ptCount val="1"/>
                <c:pt idx="0">
                  <c:v>Unauthorized Immigrant Underemployment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AL!$B$377:$B$398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AL!$E$378:$E$398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3"/>
          <c:order val="3"/>
          <c:tx>
            <c:strRef>
              <c:f>AL!$F$377</c:f>
              <c:strCache>
                <c:ptCount val="1"/>
                <c:pt idx="0">
                  <c:v>American Underemployment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AL!$B$377:$B$398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AL!$F$378:$F$398</c:f>
              <c:numCache>
                <c:formatCode>0.00%</c:formatCode>
                <c:ptCount val="2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0.115</c:v>
                </c:pt>
                <c:pt idx="6">
                  <c:v>0.115</c:v>
                </c:pt>
                <c:pt idx="7">
                  <c:v>0.115</c:v>
                </c:pt>
                <c:pt idx="8">
                  <c:v>0.115</c:v>
                </c:pt>
                <c:pt idx="9">
                  <c:v>0.105</c:v>
                </c:pt>
                <c:pt idx="10">
                  <c:v>0.105</c:v>
                </c:pt>
                <c:pt idx="11">
                  <c:v>0.105</c:v>
                </c:pt>
                <c:pt idx="12">
                  <c:v>0.105</c:v>
                </c:pt>
                <c:pt idx="13">
                  <c:v>0.115</c:v>
                </c:pt>
                <c:pt idx="14">
                  <c:v>0.115</c:v>
                </c:pt>
                <c:pt idx="15">
                  <c:v>0.105</c:v>
                </c:pt>
                <c:pt idx="16">
                  <c:v>0.105</c:v>
                </c:pt>
                <c:pt idx="17">
                  <c:v>0.11</c:v>
                </c:pt>
                <c:pt idx="18">
                  <c:v>0.11</c:v>
                </c:pt>
                <c:pt idx="19">
                  <c:v>0.11</c:v>
                </c:pt>
                <c:pt idx="20">
                  <c:v>0.11</c:v>
                </c:pt>
              </c:numCache>
            </c:numRef>
          </c:val>
        </c:ser>
        <c:gapWidth val="100"/>
        <c:overlap val="0"/>
        <c:axId val="33097623"/>
        <c:axId val="46552612"/>
      </c:barChart>
      <c:catAx>
        <c:axId val="3309762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6552612"/>
        <c:crosses val="autoZero"/>
        <c:auto val="1"/>
        <c:lblAlgn val="ctr"/>
        <c:lblOffset val="100"/>
        <c:noMultiLvlLbl val="0"/>
      </c:catAx>
      <c:valAx>
        <c:axId val="465526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Underemployment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30976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14605252258"/>
          <c:y val="0.468340916601002"/>
          <c:w val="0.196553581044696"/>
          <c:h val="0.11802236908998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Wage Average By Industrial Labor Role</a:t>
            </a:r>
          </a:p>
        </c:rich>
      </c:tx>
      <c:layout>
        <c:manualLayout>
          <c:xMode val="edge"/>
          <c:yMode val="edge"/>
          <c:x val="0.160459522229595"/>
          <c:y val="0.0195799216803133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AL!$C$495</c:f>
              <c:strCache>
                <c:ptCount val="1"/>
                <c:pt idx="0">
                  <c:v>Wage Average ($$ /hr)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AL!$B$496:$B$516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AL!$C$496:$C$516</c:f>
              <c:numCache>
                <c:formatCode>[$$-409]#,##0.00;[RED]\-[$$-409]#,##0.00</c:formatCode>
                <c:ptCount val="21"/>
                <c:pt idx="0">
                  <c:v>13.02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13.5</c:v>
                </c:pt>
                <c:pt idx="6">
                  <c:v>12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1"/>
          <c:order val="1"/>
          <c:tx>
            <c:strRef>
              <c:f>AL!$D$495</c:f>
              <c:strCache>
                <c:ptCount val="1"/>
                <c:pt idx="0">
                  <c:v>Authorized Immigrant Wage Average ($$ /hr)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AL!$B$496:$B$516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AL!$D$496:$D$516</c:f>
              <c:numCache>
                <c:formatCode>[$$-409]#,##0.00;[RED]\-[$$-409]#,##0.00</c:formatCode>
                <c:ptCount val="21"/>
                <c:pt idx="0">
                  <c:v>9.8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13.5</c:v>
                </c:pt>
                <c:pt idx="6">
                  <c:v>12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2"/>
          <c:order val="2"/>
          <c:tx>
            <c:strRef>
              <c:f>AL!$E$495</c:f>
              <c:strCache>
                <c:ptCount val="1"/>
                <c:pt idx="0">
                  <c:v>Unauthorized Immigrant Wage Average ($$ /hr)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AL!$B$496:$B$516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AL!$E$496:$E$516</c:f>
              <c:numCache>
                <c:formatCode>[$$-409]#,##0.00;[RED]\-[$$-409]#,##0.00</c:formatCode>
                <c:ptCount val="21"/>
                <c:pt idx="0">
                  <c:v>9.8</c:v>
                </c:pt>
                <c:pt idx="1">
                  <c:v>17</c:v>
                </c:pt>
                <c:pt idx="2">
                  <c:v>15.5</c:v>
                </c:pt>
                <c:pt idx="3">
                  <c:v>20</c:v>
                </c:pt>
                <c:pt idx="4">
                  <c:v>18</c:v>
                </c:pt>
                <c:pt idx="5">
                  <c:v>12</c:v>
                </c:pt>
                <c:pt idx="6">
                  <c:v>10.5</c:v>
                </c:pt>
                <c:pt idx="7">
                  <c:v>13</c:v>
                </c:pt>
                <c:pt idx="8">
                  <c:v>11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20</c:v>
                </c:pt>
                <c:pt idx="13">
                  <c:v>13.5</c:v>
                </c:pt>
                <c:pt idx="14">
                  <c:v>12</c:v>
                </c:pt>
                <c:pt idx="15">
                  <c:v>16.5</c:v>
                </c:pt>
                <c:pt idx="16">
                  <c:v>14.5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16</c:v>
                </c:pt>
              </c:numCache>
            </c:numRef>
          </c:val>
        </c:ser>
        <c:ser>
          <c:idx val="3"/>
          <c:order val="3"/>
          <c:tx>
            <c:strRef>
              <c:f>AL!$F$495</c:f>
              <c:strCache>
                <c:ptCount val="1"/>
                <c:pt idx="0">
                  <c:v>American Wage Average ($$ /hr)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0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AL!$B$496:$B$516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AL!$F$496:$F$516</c:f>
              <c:numCache>
                <c:formatCode>[$$-409]#,##0.00;[RED]\-[$$-409]#,##0.00</c:formatCode>
                <c:ptCount val="21"/>
                <c:pt idx="0">
                  <c:v>13.2</c:v>
                </c:pt>
                <c:pt idx="1">
                  <c:v>21</c:v>
                </c:pt>
                <c:pt idx="2">
                  <c:v>19</c:v>
                </c:pt>
                <c:pt idx="3">
                  <c:v>24</c:v>
                </c:pt>
                <c:pt idx="4">
                  <c:v>22</c:v>
                </c:pt>
                <c:pt idx="5">
                  <c:v>15</c:v>
                </c:pt>
                <c:pt idx="6">
                  <c:v>13.5</c:v>
                </c:pt>
                <c:pt idx="7">
                  <c:v>16</c:v>
                </c:pt>
                <c:pt idx="8">
                  <c:v>14</c:v>
                </c:pt>
                <c:pt idx="9">
                  <c:v>24</c:v>
                </c:pt>
                <c:pt idx="10">
                  <c:v>22</c:v>
                </c:pt>
                <c:pt idx="11">
                  <c:v>26</c:v>
                </c:pt>
                <c:pt idx="12">
                  <c:v>24</c:v>
                </c:pt>
                <c:pt idx="13">
                  <c:v>17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22</c:v>
                </c:pt>
                <c:pt idx="18">
                  <c:v>20</c:v>
                </c:pt>
                <c:pt idx="19">
                  <c:v>22</c:v>
                </c:pt>
                <c:pt idx="20">
                  <c:v>20</c:v>
                </c:pt>
              </c:numCache>
            </c:numRef>
          </c:val>
        </c:ser>
        <c:gapWidth val="100"/>
        <c:overlap val="0"/>
        <c:axId val="74685779"/>
        <c:axId val="53135018"/>
      </c:barChart>
      <c:catAx>
        <c:axId val="7468577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3135018"/>
        <c:crosses val="autoZero"/>
        <c:auto val="1"/>
        <c:lblAlgn val="ctr"/>
        <c:lblOffset val="100"/>
        <c:noMultiLvlLbl val="0"/>
      </c:catAx>
      <c:valAx>
        <c:axId val="531350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Wage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4685779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14605252258"/>
          <c:y val="0.468340916601002"/>
          <c:w val="0.196553581044696"/>
          <c:h val="0.118022369089985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201061712011"/>
          <c:y val="0.0241061892895286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AL!$C$27</c:f>
              <c:strCache>
                <c:ptCount val="1"/>
                <c:pt idx="0">
                  <c:v>Total Population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AL!$C$29:$C$48</c:f>
              <c:numCache>
                <c:formatCode>#,##0</c:formatCode>
                <c:ptCount val="20"/>
                <c:pt idx="0">
                  <c:v>815</c:v>
                </c:pt>
                <c:pt idx="1">
                  <c:v>440</c:v>
                </c:pt>
                <c:pt idx="2">
                  <c:v>2958</c:v>
                </c:pt>
                <c:pt idx="3">
                  <c:v>1595</c:v>
                </c:pt>
                <c:pt idx="4">
                  <c:v>9475</c:v>
                </c:pt>
                <c:pt idx="5">
                  <c:v>5109</c:v>
                </c:pt>
                <c:pt idx="6">
                  <c:v>4212</c:v>
                </c:pt>
                <c:pt idx="7">
                  <c:v>2270</c:v>
                </c:pt>
                <c:pt idx="8">
                  <c:v>8819</c:v>
                </c:pt>
                <c:pt idx="9">
                  <c:v>4756</c:v>
                </c:pt>
                <c:pt idx="10">
                  <c:v>6451</c:v>
                </c:pt>
                <c:pt idx="11">
                  <c:v>3481</c:v>
                </c:pt>
                <c:pt idx="12">
                  <c:v>9475</c:v>
                </c:pt>
                <c:pt idx="13">
                  <c:v>5109</c:v>
                </c:pt>
                <c:pt idx="14">
                  <c:v>3423</c:v>
                </c:pt>
                <c:pt idx="15">
                  <c:v>1845</c:v>
                </c:pt>
                <c:pt idx="16">
                  <c:v>2503</c:v>
                </c:pt>
                <c:pt idx="17">
                  <c:v>1350</c:v>
                </c:pt>
                <c:pt idx="18">
                  <c:v>2503</c:v>
                </c:pt>
                <c:pt idx="19">
                  <c:v>1350</c:v>
                </c:pt>
              </c:numCache>
            </c:numRef>
          </c:val>
        </c:ser>
        <c:ser>
          <c:idx val="1"/>
          <c:order val="1"/>
          <c:tx>
            <c:strRef>
              <c:f>AL!$D$27</c:f>
              <c:strCache>
                <c:ptCount val="1"/>
                <c:pt idx="0">
                  <c:v>Authorized Population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AL!$D$29:$D$48</c:f>
              <c:numCache>
                <c:formatCode>#,##0</c:formatCode>
                <c:ptCount val="20"/>
                <c:pt idx="0">
                  <c:v>219</c:v>
                </c:pt>
                <c:pt idx="1">
                  <c:v>118</c:v>
                </c:pt>
                <c:pt idx="2">
                  <c:v>456</c:v>
                </c:pt>
                <c:pt idx="3">
                  <c:v>246</c:v>
                </c:pt>
                <c:pt idx="4">
                  <c:v>1446</c:v>
                </c:pt>
                <c:pt idx="5">
                  <c:v>780</c:v>
                </c:pt>
                <c:pt idx="6">
                  <c:v>728</c:v>
                </c:pt>
                <c:pt idx="7">
                  <c:v>393</c:v>
                </c:pt>
                <c:pt idx="8">
                  <c:v>1320</c:v>
                </c:pt>
                <c:pt idx="9">
                  <c:v>712</c:v>
                </c:pt>
                <c:pt idx="10">
                  <c:v>1103</c:v>
                </c:pt>
                <c:pt idx="11">
                  <c:v>595</c:v>
                </c:pt>
                <c:pt idx="12">
                  <c:v>913</c:v>
                </c:pt>
                <c:pt idx="13">
                  <c:v>492</c:v>
                </c:pt>
                <c:pt idx="14">
                  <c:v>513</c:v>
                </c:pt>
                <c:pt idx="15">
                  <c:v>277</c:v>
                </c:pt>
                <c:pt idx="16">
                  <c:v>384</c:v>
                </c:pt>
                <c:pt idx="17">
                  <c:v>207</c:v>
                </c:pt>
                <c:pt idx="18">
                  <c:v>384</c:v>
                </c:pt>
                <c:pt idx="19">
                  <c:v>207</c:v>
                </c:pt>
              </c:numCache>
            </c:numRef>
          </c:val>
        </c:ser>
        <c:ser>
          <c:idx val="2"/>
          <c:order val="2"/>
          <c:tx>
            <c:strRef>
              <c:f>AL!$E$27</c:f>
              <c:strCache>
                <c:ptCount val="1"/>
                <c:pt idx="0">
                  <c:v>Unauthorized Population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AL!$E$29:$E$48</c:f>
              <c:numCache>
                <c:formatCode>#,##0</c:formatCode>
                <c:ptCount val="20"/>
                <c:pt idx="0">
                  <c:v>118</c:v>
                </c:pt>
                <c:pt idx="1">
                  <c:v>63</c:v>
                </c:pt>
                <c:pt idx="2">
                  <c:v>462</c:v>
                </c:pt>
                <c:pt idx="3">
                  <c:v>249</c:v>
                </c:pt>
                <c:pt idx="4">
                  <c:v>1425</c:v>
                </c:pt>
                <c:pt idx="5">
                  <c:v>769</c:v>
                </c:pt>
                <c:pt idx="6">
                  <c:v>720</c:v>
                </c:pt>
                <c:pt idx="7">
                  <c:v>388</c:v>
                </c:pt>
                <c:pt idx="8">
                  <c:v>662</c:v>
                </c:pt>
                <c:pt idx="9">
                  <c:v>357</c:v>
                </c:pt>
                <c:pt idx="10">
                  <c:v>536</c:v>
                </c:pt>
                <c:pt idx="11">
                  <c:v>289</c:v>
                </c:pt>
                <c:pt idx="12">
                  <c:v>456</c:v>
                </c:pt>
                <c:pt idx="13">
                  <c:v>246</c:v>
                </c:pt>
                <c:pt idx="14">
                  <c:v>513</c:v>
                </c:pt>
                <c:pt idx="15">
                  <c:v>277</c:v>
                </c:pt>
                <c:pt idx="16">
                  <c:v>170</c:v>
                </c:pt>
                <c:pt idx="17">
                  <c:v>91</c:v>
                </c:pt>
                <c:pt idx="18">
                  <c:v>170</c:v>
                </c:pt>
                <c:pt idx="19">
                  <c:v>91</c:v>
                </c:pt>
              </c:numCache>
            </c:numRef>
          </c:val>
        </c:ser>
        <c:ser>
          <c:idx val="3"/>
          <c:order val="3"/>
          <c:tx>
            <c:strRef>
              <c:f>AL!$F$27</c:f>
              <c:strCache>
                <c:ptCount val="1"/>
                <c:pt idx="0">
                  <c:v>American Population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AL!$F$29:$F$48</c:f>
              <c:numCache>
                <c:formatCode>#,##0</c:formatCode>
                <c:ptCount val="20"/>
                <c:pt idx="0">
                  <c:v>478</c:v>
                </c:pt>
                <c:pt idx="1">
                  <c:v>259</c:v>
                </c:pt>
                <c:pt idx="2">
                  <c:v>2039</c:v>
                </c:pt>
                <c:pt idx="3">
                  <c:v>1100</c:v>
                </c:pt>
                <c:pt idx="4">
                  <c:v>6605</c:v>
                </c:pt>
                <c:pt idx="5">
                  <c:v>3560</c:v>
                </c:pt>
                <c:pt idx="6">
                  <c:v>2764</c:v>
                </c:pt>
                <c:pt idx="7">
                  <c:v>1489</c:v>
                </c:pt>
                <c:pt idx="8">
                  <c:v>6837</c:v>
                </c:pt>
                <c:pt idx="9">
                  <c:v>3687</c:v>
                </c:pt>
                <c:pt idx="10">
                  <c:v>4812</c:v>
                </c:pt>
                <c:pt idx="11">
                  <c:v>2597</c:v>
                </c:pt>
                <c:pt idx="12">
                  <c:v>8106</c:v>
                </c:pt>
                <c:pt idx="13">
                  <c:v>4371</c:v>
                </c:pt>
                <c:pt idx="14">
                  <c:v>2397</c:v>
                </c:pt>
                <c:pt idx="15">
                  <c:v>1292</c:v>
                </c:pt>
                <c:pt idx="16">
                  <c:v>1949</c:v>
                </c:pt>
                <c:pt idx="17">
                  <c:v>1051</c:v>
                </c:pt>
                <c:pt idx="18">
                  <c:v>1949</c:v>
                </c:pt>
                <c:pt idx="19">
                  <c:v>1051</c:v>
                </c:pt>
              </c:numCache>
            </c:numRef>
          </c:val>
        </c:ser>
        <c:gapWidth val="100"/>
        <c:overlap val="0"/>
        <c:axId val="49426587"/>
        <c:axId val="52398945"/>
      </c:barChart>
      <c:catAx>
        <c:axId val="4942658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2398945"/>
        <c:crosses val="autoZero"/>
        <c:auto val="1"/>
        <c:lblAlgn val="ctr"/>
        <c:lblOffset val="100"/>
        <c:noMultiLvlLbl val="0"/>
      </c:catAx>
      <c:valAx>
        <c:axId val="523989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Laborer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9426587"/>
        <c:crossesAt val="0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78427310768"/>
          <c:y val="0.473408582468985"/>
          <c:w val="0.180187272124627"/>
          <c:h val="0.108936062031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625414731254"/>
          <c:y val="0.0196816355591721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6066688785667"/>
          <c:y val="0.0872196511213955"/>
          <c:w val="0.453259787657598"/>
          <c:h val="0.836291511976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AL!$C$612</c:f>
              <c:strCache>
                <c:ptCount val="1"/>
                <c:pt idx="0">
                  <c:v>Annual Income ( $$)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AL!$B$614:$B$633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AL!$C$614:$C$633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20925</c:v>
                </c:pt>
                <c:pt idx="5">
                  <c:v>19200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38000</c:v>
                </c:pt>
                <c:pt idx="17">
                  <c:v>32400</c:v>
                </c:pt>
                <c:pt idx="18">
                  <c:v>34000</c:v>
                </c:pt>
                <c:pt idx="19">
                  <c:v>30600</c:v>
                </c:pt>
              </c:numCache>
            </c:numRef>
          </c:val>
        </c:ser>
        <c:ser>
          <c:idx val="1"/>
          <c:order val="1"/>
          <c:tx>
            <c:strRef>
              <c:f>AL!$D$612</c:f>
              <c:strCache>
                <c:ptCount val="1"/>
                <c:pt idx="0">
                  <c:v>Authorized Immigrant Annual Income Average ( $$)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AL!$B$614:$B$633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AL!$D$614:$D$633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20925</c:v>
                </c:pt>
                <c:pt idx="5">
                  <c:v>19200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38000</c:v>
                </c:pt>
                <c:pt idx="17">
                  <c:v>32400</c:v>
                </c:pt>
                <c:pt idx="18">
                  <c:v>34000</c:v>
                </c:pt>
                <c:pt idx="19">
                  <c:v>30600</c:v>
                </c:pt>
              </c:numCache>
            </c:numRef>
          </c:val>
        </c:ser>
        <c:ser>
          <c:idx val="2"/>
          <c:order val="2"/>
          <c:tx>
            <c:strRef>
              <c:f>AL!$E$612</c:f>
              <c:strCache>
                <c:ptCount val="1"/>
                <c:pt idx="0">
                  <c:v>Unauthorized Immigrant Annual Income Average ( $$)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AL!$B$614:$B$633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AL!$E$614:$E$633</c:f>
              <c:numCache>
                <c:formatCode>[$$-409]#,##0;[RED]\-[$$-409]#,##0</c:formatCode>
                <c:ptCount val="20"/>
                <c:pt idx="0">
                  <c:v>28050</c:v>
                </c:pt>
                <c:pt idx="1">
                  <c:v>27900</c:v>
                </c:pt>
                <c:pt idx="2">
                  <c:v>39000</c:v>
                </c:pt>
                <c:pt idx="3">
                  <c:v>32400</c:v>
                </c:pt>
                <c:pt idx="4">
                  <c:v>18600</c:v>
                </c:pt>
                <c:pt idx="5">
                  <c:v>16800</c:v>
                </c:pt>
                <c:pt idx="6">
                  <c:v>20800</c:v>
                </c:pt>
                <c:pt idx="7">
                  <c:v>17600</c:v>
                </c:pt>
                <c:pt idx="8">
                  <c:v>39000</c:v>
                </c:pt>
                <c:pt idx="9">
                  <c:v>32400</c:v>
                </c:pt>
                <c:pt idx="10">
                  <c:v>42900</c:v>
                </c:pt>
                <c:pt idx="11">
                  <c:v>36000</c:v>
                </c:pt>
                <c:pt idx="12">
                  <c:v>22950</c:v>
                </c:pt>
                <c:pt idx="13">
                  <c:v>20400</c:v>
                </c:pt>
                <c:pt idx="14">
                  <c:v>27225</c:v>
                </c:pt>
                <c:pt idx="15">
                  <c:v>23925</c:v>
                </c:pt>
                <c:pt idx="16">
                  <c:v>34200</c:v>
                </c:pt>
                <c:pt idx="17">
                  <c:v>28800</c:v>
                </c:pt>
                <c:pt idx="18">
                  <c:v>30600</c:v>
                </c:pt>
                <c:pt idx="19">
                  <c:v>27200</c:v>
                </c:pt>
              </c:numCache>
            </c:numRef>
          </c:val>
        </c:ser>
        <c:ser>
          <c:idx val="3"/>
          <c:order val="3"/>
          <c:tx>
            <c:strRef>
              <c:f>AL!$F$612</c:f>
              <c:strCache>
                <c:ptCount val="1"/>
                <c:pt idx="0">
                  <c:v>American Annual Income Average ( $$)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AL!$B$614:$B$633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AL!$F$614:$F$633</c:f>
              <c:numCache>
                <c:formatCode>[$$-409]#,##0;[RED]\-[$$-409]#,##0</c:formatCode>
                <c:ptCount val="20"/>
                <c:pt idx="0">
                  <c:v>34650</c:v>
                </c:pt>
                <c:pt idx="1">
                  <c:v>34200</c:v>
                </c:pt>
                <c:pt idx="2">
                  <c:v>46800</c:v>
                </c:pt>
                <c:pt idx="3">
                  <c:v>39600</c:v>
                </c:pt>
                <c:pt idx="4">
                  <c:v>23250</c:v>
                </c:pt>
                <c:pt idx="5">
                  <c:v>21600</c:v>
                </c:pt>
                <c:pt idx="6">
                  <c:v>25600</c:v>
                </c:pt>
                <c:pt idx="7">
                  <c:v>22400</c:v>
                </c:pt>
                <c:pt idx="8">
                  <c:v>46800</c:v>
                </c:pt>
                <c:pt idx="9">
                  <c:v>39600</c:v>
                </c:pt>
                <c:pt idx="10">
                  <c:v>50700</c:v>
                </c:pt>
                <c:pt idx="11">
                  <c:v>43200</c:v>
                </c:pt>
                <c:pt idx="12">
                  <c:v>28900</c:v>
                </c:pt>
                <c:pt idx="13">
                  <c:v>25500</c:v>
                </c:pt>
                <c:pt idx="14">
                  <c:v>33000</c:v>
                </c:pt>
                <c:pt idx="15">
                  <c:v>29700</c:v>
                </c:pt>
                <c:pt idx="16">
                  <c:v>41800</c:v>
                </c:pt>
                <c:pt idx="17">
                  <c:v>36000</c:v>
                </c:pt>
                <c:pt idx="18">
                  <c:v>37400</c:v>
                </c:pt>
                <c:pt idx="19">
                  <c:v>34000</c:v>
                </c:pt>
              </c:numCache>
            </c:numRef>
          </c:val>
        </c:ser>
        <c:gapWidth val="100"/>
        <c:overlap val="0"/>
        <c:axId val="11347734"/>
        <c:axId val="1690177"/>
      </c:barChart>
      <c:catAx>
        <c:axId val="113477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90177"/>
        <c:crosses val="autoZero"/>
        <c:auto val="1"/>
        <c:lblAlgn val="ctr"/>
        <c:lblOffset val="100"/>
        <c:noMultiLvlLbl val="0"/>
      </c:catAx>
      <c:valAx>
        <c:axId val="16901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Annual Income</a:t>
                </a:r>
              </a:p>
            </c:rich>
          </c:tx>
          <c:layout>
            <c:manualLayout>
              <c:xMode val="edge"/>
              <c:yMode val="edge"/>
              <c:x val="0.447785335102853"/>
              <c:y val="0.975029242740172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134773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61818483353"/>
          <c:y val="0.46832964629898"/>
          <c:w val="0.178538850650966"/>
          <c:h val="0.1180135279458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749834107498"/>
          <c:y val="0.0196816355591721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AL!$C$730</c:f>
              <c:strCache>
                <c:ptCount val="1"/>
                <c:pt idx="0">
                  <c:v>Federal Personal Income Tax Revenue ($$ 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AL!$B$732:$B$751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AL!$C$732:$C$751</c:f>
              <c:numCache>
                <c:formatCode>[$$-409]#,##0;\-[$$-409]#,##0</c:formatCode>
                <c:ptCount val="20"/>
                <c:pt idx="0">
                  <c:v>65109</c:v>
                </c:pt>
                <c:pt idx="1">
                  <c:v>20482</c:v>
                </c:pt>
                <c:pt idx="2">
                  <c:v>4701832</c:v>
                </c:pt>
                <c:pt idx="3">
                  <c:v>1184632</c:v>
                </c:pt>
                <c:pt idx="4">
                  <c:v>-9851680</c:v>
                </c:pt>
                <c:pt idx="5">
                  <c:v>-6170920</c:v>
                </c:pt>
                <c:pt idx="6">
                  <c:v>-3292320</c:v>
                </c:pt>
                <c:pt idx="7">
                  <c:v>-2500960</c:v>
                </c:pt>
                <c:pt idx="8">
                  <c:v>13279832</c:v>
                </c:pt>
                <c:pt idx="9">
                  <c:v>3103760</c:v>
                </c:pt>
                <c:pt idx="10">
                  <c:v>12723864</c:v>
                </c:pt>
                <c:pt idx="11">
                  <c:v>3775048</c:v>
                </c:pt>
                <c:pt idx="12">
                  <c:v>-5872082</c:v>
                </c:pt>
                <c:pt idx="13">
                  <c:v>-4919010</c:v>
                </c:pt>
                <c:pt idx="14">
                  <c:v>-72386</c:v>
                </c:pt>
                <c:pt idx="15">
                  <c:v>-742590</c:v>
                </c:pt>
                <c:pt idx="16">
                  <c:v>2252544</c:v>
                </c:pt>
                <c:pt idx="17">
                  <c:v>283752</c:v>
                </c:pt>
                <c:pt idx="18">
                  <c:v>965712</c:v>
                </c:pt>
                <c:pt idx="19">
                  <c:v>-29216</c:v>
                </c:pt>
              </c:numCache>
            </c:numRef>
          </c:val>
        </c:ser>
        <c:ser>
          <c:idx val="1"/>
          <c:order val="1"/>
          <c:tx>
            <c:strRef>
              <c:f>AL!$D$730</c:f>
              <c:strCache>
                <c:ptCount val="1"/>
                <c:pt idx="0">
                  <c:v>Authorized Immigrant Federal Personal Income Tax Revenue ( $$)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AL!$B$732:$B$751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AL!$D$732:$D$751</c:f>
              <c:numCache>
                <c:formatCode>[$$-409]#,##0;\-[$$-409]#,##0</c:formatCode>
                <c:ptCount val="20"/>
                <c:pt idx="0">
                  <c:v>-100083</c:v>
                </c:pt>
                <c:pt idx="1">
                  <c:v>-52864</c:v>
                </c:pt>
                <c:pt idx="2">
                  <c:v>468768</c:v>
                </c:pt>
                <c:pt idx="3">
                  <c:v>49200</c:v>
                </c:pt>
                <c:pt idx="4">
                  <c:v>-2122005</c:v>
                </c:pt>
                <c:pt idx="5">
                  <c:v>-1279200</c:v>
                </c:pt>
                <c:pt idx="6">
                  <c:v>-902720</c:v>
                </c:pt>
                <c:pt idx="7">
                  <c:v>-613080</c:v>
                </c:pt>
                <c:pt idx="8">
                  <c:v>1356960</c:v>
                </c:pt>
                <c:pt idx="9">
                  <c:v>142400</c:v>
                </c:pt>
                <c:pt idx="10">
                  <c:v>1650088</c:v>
                </c:pt>
                <c:pt idx="11">
                  <c:v>376040</c:v>
                </c:pt>
                <c:pt idx="12">
                  <c:v>-922130</c:v>
                </c:pt>
                <c:pt idx="13">
                  <c:v>-622380</c:v>
                </c:pt>
                <c:pt idx="14">
                  <c:v>-285228</c:v>
                </c:pt>
                <c:pt idx="15">
                  <c:v>-254840</c:v>
                </c:pt>
                <c:pt idx="16">
                  <c:v>168960</c:v>
                </c:pt>
                <c:pt idx="17">
                  <c:v>-48024</c:v>
                </c:pt>
                <c:pt idx="18">
                  <c:v>-15360</c:v>
                </c:pt>
                <c:pt idx="19">
                  <c:v>-92736</c:v>
                </c:pt>
              </c:numCache>
            </c:numRef>
          </c:val>
        </c:ser>
        <c:ser>
          <c:idx val="2"/>
          <c:order val="2"/>
          <c:tx>
            <c:strRef>
              <c:f>AL!$E$730</c:f>
              <c:strCache>
                <c:ptCount val="1"/>
                <c:pt idx="0">
                  <c:v>Unauthorized Immigrant Federal Personal Income Tax Revenue ($$ 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AL!$B$732:$B$751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AL!$E$732:$E$751</c:f>
              <c:numCache>
                <c:formatCode>[$$-409]#,##0;\-[$$-409]#,##0</c:formatCode>
                <c:ptCount val="20"/>
                <c:pt idx="0">
                  <c:v>147028</c:v>
                </c:pt>
                <c:pt idx="1">
                  <c:v>77490</c:v>
                </c:pt>
                <c:pt idx="2">
                  <c:v>1182720</c:v>
                </c:pt>
                <c:pt idx="3">
                  <c:v>440232</c:v>
                </c:pt>
                <c:pt idx="4">
                  <c:v>427500</c:v>
                </c:pt>
                <c:pt idx="5">
                  <c:v>92280</c:v>
                </c:pt>
                <c:pt idx="6">
                  <c:v>374400</c:v>
                </c:pt>
                <c:pt idx="7">
                  <c:v>77600</c:v>
                </c:pt>
                <c:pt idx="8">
                  <c:v>1694720</c:v>
                </c:pt>
                <c:pt idx="9">
                  <c:v>631176</c:v>
                </c:pt>
                <c:pt idx="10">
                  <c:v>1623008</c:v>
                </c:pt>
                <c:pt idx="11">
                  <c:v>635800</c:v>
                </c:pt>
                <c:pt idx="12">
                  <c:v>335160</c:v>
                </c:pt>
                <c:pt idx="13">
                  <c:v>118080</c:v>
                </c:pt>
                <c:pt idx="14">
                  <c:v>596362</c:v>
                </c:pt>
                <c:pt idx="15">
                  <c:v>230602</c:v>
                </c:pt>
                <c:pt idx="16">
                  <c:v>337280</c:v>
                </c:pt>
                <c:pt idx="17">
                  <c:v>121576</c:v>
                </c:pt>
                <c:pt idx="18">
                  <c:v>263840</c:v>
                </c:pt>
                <c:pt idx="19">
                  <c:v>105560</c:v>
                </c:pt>
              </c:numCache>
            </c:numRef>
          </c:val>
        </c:ser>
        <c:ser>
          <c:idx val="3"/>
          <c:order val="3"/>
          <c:tx>
            <c:strRef>
              <c:f>AL!$F$730</c:f>
              <c:strCache>
                <c:ptCount val="1"/>
                <c:pt idx="0">
                  <c:v>American Federal Personal Income Tax Revenue ( $$)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AL!$B$732:$B$751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AL!$F$732:$F$751</c:f>
              <c:numCache>
                <c:formatCode>[$$-409]#,##0;\-[$$-409]#,##0</c:formatCode>
                <c:ptCount val="20"/>
                <c:pt idx="0">
                  <c:v>18164</c:v>
                </c:pt>
                <c:pt idx="1">
                  <c:v>-4144</c:v>
                </c:pt>
                <c:pt idx="2">
                  <c:v>3050344</c:v>
                </c:pt>
                <c:pt idx="3">
                  <c:v>695200</c:v>
                </c:pt>
                <c:pt idx="4">
                  <c:v>-8157175</c:v>
                </c:pt>
                <c:pt idx="5">
                  <c:v>-4984000</c:v>
                </c:pt>
                <c:pt idx="6">
                  <c:v>-2764000</c:v>
                </c:pt>
                <c:pt idx="7">
                  <c:v>-1965480</c:v>
                </c:pt>
                <c:pt idx="8">
                  <c:v>10228152</c:v>
                </c:pt>
                <c:pt idx="9">
                  <c:v>2330184</c:v>
                </c:pt>
                <c:pt idx="10">
                  <c:v>9450768</c:v>
                </c:pt>
                <c:pt idx="11">
                  <c:v>2763208</c:v>
                </c:pt>
                <c:pt idx="12">
                  <c:v>-5285112</c:v>
                </c:pt>
                <c:pt idx="13">
                  <c:v>-4414710</c:v>
                </c:pt>
                <c:pt idx="14">
                  <c:v>-383520</c:v>
                </c:pt>
                <c:pt idx="15">
                  <c:v>-718352</c:v>
                </c:pt>
                <c:pt idx="16">
                  <c:v>1746304</c:v>
                </c:pt>
                <c:pt idx="17">
                  <c:v>210200</c:v>
                </c:pt>
                <c:pt idx="18">
                  <c:v>717232</c:v>
                </c:pt>
                <c:pt idx="19">
                  <c:v>-42040</c:v>
                </c:pt>
              </c:numCache>
            </c:numRef>
          </c:val>
        </c:ser>
        <c:gapWidth val="100"/>
        <c:overlap val="0"/>
        <c:axId val="50825679"/>
        <c:axId val="21876709"/>
      </c:barChart>
      <c:catAx>
        <c:axId val="5082567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1876709"/>
        <c:crosses val="autoZero"/>
        <c:auto val="1"/>
        <c:lblAlgn val="ctr"/>
        <c:lblOffset val="100"/>
        <c:noMultiLvlLbl val="0"/>
      </c:catAx>
      <c:valAx>
        <c:axId val="21876709"/>
        <c:scaling>
          <c:orientation val="minMax"/>
          <c:max val="15000000"/>
          <c:min val="-10000000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Federal Personal Income Tax Revenue</a:t>
                </a:r>
              </a:p>
            </c:rich>
          </c:tx>
          <c:layout>
            <c:manualLayout>
              <c:xMode val="edge"/>
              <c:yMode val="edge"/>
              <c:x val="0.378193430656934"/>
              <c:y val="0.974571530285307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825679"/>
        <c:crosses val="autoZero"/>
        <c:crossBetween val="midCat"/>
        <c:majorUnit val="1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61818483353"/>
          <c:y val="0.46832964629898"/>
          <c:w val="0.178538850650966"/>
          <c:h val="0.1180135279458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(Alabama)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Payroll Tax Revenue By Industrial Labor Role</a:t>
            </a:r>
          </a:p>
        </c:rich>
      </c:tx>
      <c:layout>
        <c:manualLayout>
          <c:xMode val="edge"/>
          <c:yMode val="edge"/>
          <c:x val="0.160832780358328"/>
          <c:y val="0.0196816355591721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AL!$C$846</c:f>
              <c:strCache>
                <c:ptCount val="1"/>
                <c:pt idx="0">
                  <c:v>Payroll Tax Revenue ($$ 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AL!$B$848:$B$867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AL!$C$848:$C$867</c:f>
              <c:numCache>
                <c:formatCode>[$$-409]#,##0;\-[$$-409]#,##0</c:formatCode>
                <c:ptCount val="20"/>
                <c:pt idx="0">
                  <c:v>4063309</c:v>
                </c:pt>
                <c:pt idx="1">
                  <c:v>2176623</c:v>
                </c:pt>
                <c:pt idx="2">
                  <c:v>20349857</c:v>
                </c:pt>
                <c:pt idx="3">
                  <c:v>9253991</c:v>
                </c:pt>
                <c:pt idx="4">
                  <c:v>32180306</c:v>
                </c:pt>
                <c:pt idx="5">
                  <c:v>16033054</c:v>
                </c:pt>
                <c:pt idx="6">
                  <c:v>15701472</c:v>
                </c:pt>
                <c:pt idx="7">
                  <c:v>7350487</c:v>
                </c:pt>
                <c:pt idx="8">
                  <c:v>61569893</c:v>
                </c:pt>
                <c:pt idx="9">
                  <c:v>28030212</c:v>
                </c:pt>
                <c:pt idx="10">
                  <c:v>48743229</c:v>
                </c:pt>
                <c:pt idx="11">
                  <c:v>22361929</c:v>
                </c:pt>
                <c:pt idx="12">
                  <c:v>41005546</c:v>
                </c:pt>
                <c:pt idx="13">
                  <c:v>19548855</c:v>
                </c:pt>
                <c:pt idx="14">
                  <c:v>16570439</c:v>
                </c:pt>
                <c:pt idx="15">
                  <c:v>8003800</c:v>
                </c:pt>
                <c:pt idx="16">
                  <c:v>15586753</c:v>
                </c:pt>
                <c:pt idx="17">
                  <c:v>7216030</c:v>
                </c:pt>
                <c:pt idx="18">
                  <c:v>13946042</c:v>
                </c:pt>
                <c:pt idx="19">
                  <c:v>6815141</c:v>
                </c:pt>
              </c:numCache>
            </c:numRef>
          </c:val>
        </c:ser>
        <c:ser>
          <c:idx val="1"/>
          <c:order val="1"/>
          <c:tx>
            <c:strRef>
              <c:f>AL!$D$846</c:f>
              <c:strCache>
                <c:ptCount val="1"/>
                <c:pt idx="0">
                  <c:v>Authorized Immigrant Payroll Tax Revenue ( $$)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AL!$B$848:$B$867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AL!$D$848:$D$867</c:f>
              <c:numCache>
                <c:formatCode>[$$-409]#,##0;\-[$$-409]#,##0</c:formatCode>
                <c:ptCount val="20"/>
                <c:pt idx="0">
                  <c:v>1022801</c:v>
                </c:pt>
                <c:pt idx="1">
                  <c:v>552452</c:v>
                </c:pt>
                <c:pt idx="2">
                  <c:v>2993047</c:v>
                </c:pt>
                <c:pt idx="3">
                  <c:v>1354968</c:v>
                </c:pt>
                <c:pt idx="4">
                  <c:v>4629405</c:v>
                </c:pt>
                <c:pt idx="5">
                  <c:v>2291328</c:v>
                </c:pt>
                <c:pt idx="6">
                  <c:v>2584109</c:v>
                </c:pt>
                <c:pt idx="7">
                  <c:v>1202580</c:v>
                </c:pt>
                <c:pt idx="8">
                  <c:v>8664084</c:v>
                </c:pt>
                <c:pt idx="9">
                  <c:v>3921696</c:v>
                </c:pt>
                <c:pt idx="10">
                  <c:v>7897921</c:v>
                </c:pt>
                <c:pt idx="11">
                  <c:v>3604986</c:v>
                </c:pt>
                <c:pt idx="12">
                  <c:v>3562070</c:v>
                </c:pt>
                <c:pt idx="13">
                  <c:v>1727584</c:v>
                </c:pt>
                <c:pt idx="14">
                  <c:v>2331123</c:v>
                </c:pt>
                <c:pt idx="15">
                  <c:v>1118858</c:v>
                </c:pt>
                <c:pt idx="16">
                  <c:v>2232576</c:v>
                </c:pt>
                <c:pt idx="17">
                  <c:v>1026140</c:v>
                </c:pt>
                <c:pt idx="18">
                  <c:v>1997568</c:v>
                </c:pt>
                <c:pt idx="19">
                  <c:v>969133</c:v>
                </c:pt>
              </c:numCache>
            </c:numRef>
          </c:val>
        </c:ser>
        <c:ser>
          <c:idx val="2"/>
          <c:order val="2"/>
          <c:tx>
            <c:strRef>
              <c:f>AL!$E$846</c:f>
              <c:strCache>
                <c:ptCount val="1"/>
                <c:pt idx="0">
                  <c:v>Unauthorized Immigrant Payroll Tax Revenue ($$ 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AL!$B$848:$B$867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AL!$E$848:$E$867</c:f>
              <c:numCache>
                <c:formatCode>[$$-409]#,##0;\-[$$-409]#,##0</c:formatCode>
                <c:ptCount val="20"/>
                <c:pt idx="0">
                  <c:v>506415</c:v>
                </c:pt>
                <c:pt idx="1">
                  <c:v>268928</c:v>
                </c:pt>
                <c:pt idx="2">
                  <c:v>2756754</c:v>
                </c:pt>
                <c:pt idx="3">
                  <c:v>1234343</c:v>
                </c:pt>
                <c:pt idx="4">
                  <c:v>4055265</c:v>
                </c:pt>
                <c:pt idx="5">
                  <c:v>1976638</c:v>
                </c:pt>
                <c:pt idx="6">
                  <c:v>2291328</c:v>
                </c:pt>
                <c:pt idx="7">
                  <c:v>1044806</c:v>
                </c:pt>
                <c:pt idx="8">
                  <c:v>3950154</c:v>
                </c:pt>
                <c:pt idx="9">
                  <c:v>1769720</c:v>
                </c:pt>
                <c:pt idx="10">
                  <c:v>3518143</c:v>
                </c:pt>
                <c:pt idx="11">
                  <c:v>1591812</c:v>
                </c:pt>
                <c:pt idx="12">
                  <c:v>1601176</c:v>
                </c:pt>
                <c:pt idx="13">
                  <c:v>767815</c:v>
                </c:pt>
                <c:pt idx="14">
                  <c:v>2136863</c:v>
                </c:pt>
                <c:pt idx="15">
                  <c:v>1013965</c:v>
                </c:pt>
                <c:pt idx="16">
                  <c:v>889542</c:v>
                </c:pt>
                <c:pt idx="17">
                  <c:v>400982</c:v>
                </c:pt>
                <c:pt idx="18">
                  <c:v>795906</c:v>
                </c:pt>
                <c:pt idx="19">
                  <c:v>378706</c:v>
                </c:pt>
              </c:numCache>
            </c:numRef>
          </c:val>
        </c:ser>
        <c:ser>
          <c:idx val="3"/>
          <c:order val="3"/>
          <c:tx>
            <c:strRef>
              <c:f>AL!$F$846</c:f>
              <c:strCache>
                <c:ptCount val="1"/>
                <c:pt idx="0">
                  <c:v>American Payroll Tax Revenue ( $$)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AL!$B$848:$B$867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AL!$F$848:$F$867</c:f>
              <c:numCache>
                <c:formatCode>[$$-409]#,##0;\-[$$-409]#,##0</c:formatCode>
                <c:ptCount val="20"/>
                <c:pt idx="0">
                  <c:v>2534093</c:v>
                </c:pt>
                <c:pt idx="1">
                  <c:v>1355243</c:v>
                </c:pt>
                <c:pt idx="2">
                  <c:v>14600056</c:v>
                </c:pt>
                <c:pt idx="3">
                  <c:v>6664680</c:v>
                </c:pt>
                <c:pt idx="4">
                  <c:v>23495636</c:v>
                </c:pt>
                <c:pt idx="5">
                  <c:v>11765088</c:v>
                </c:pt>
                <c:pt idx="6">
                  <c:v>10826035</c:v>
                </c:pt>
                <c:pt idx="7">
                  <c:v>5103101</c:v>
                </c:pt>
                <c:pt idx="8">
                  <c:v>48955655</c:v>
                </c:pt>
                <c:pt idx="9">
                  <c:v>22338796</c:v>
                </c:pt>
                <c:pt idx="10">
                  <c:v>37327165</c:v>
                </c:pt>
                <c:pt idx="11">
                  <c:v>17165131</c:v>
                </c:pt>
                <c:pt idx="12">
                  <c:v>35842300</c:v>
                </c:pt>
                <c:pt idx="13">
                  <c:v>17053456</c:v>
                </c:pt>
                <c:pt idx="14">
                  <c:v>12102453</c:v>
                </c:pt>
                <c:pt idx="15">
                  <c:v>5870977</c:v>
                </c:pt>
                <c:pt idx="16">
                  <c:v>12464635</c:v>
                </c:pt>
                <c:pt idx="17">
                  <c:v>5788908</c:v>
                </c:pt>
                <c:pt idx="18">
                  <c:v>11152568</c:v>
                </c:pt>
                <c:pt idx="19">
                  <c:v>5467302</c:v>
                </c:pt>
              </c:numCache>
            </c:numRef>
          </c:val>
        </c:ser>
        <c:gapWidth val="100"/>
        <c:overlap val="0"/>
        <c:axId val="64963721"/>
        <c:axId val="75181542"/>
      </c:barChart>
      <c:catAx>
        <c:axId val="6496372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5181542"/>
        <c:crosses val="autoZero"/>
        <c:auto val="1"/>
        <c:lblAlgn val="ctr"/>
        <c:lblOffset val="100"/>
        <c:noMultiLvlLbl val="0"/>
      </c:catAx>
      <c:valAx>
        <c:axId val="75181542"/>
        <c:scaling>
          <c:orientation val="minMax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Payroll Tax Revenue</a:t>
                </a:r>
              </a:p>
            </c:rich>
          </c:tx>
          <c:layout>
            <c:manualLayout>
              <c:xMode val="edge"/>
              <c:yMode val="edge"/>
              <c:x val="0.438619774386198"/>
              <c:y val="0.975232670497889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4963721"/>
        <c:crossesAt val="0"/>
        <c:crossBetween val="midCat"/>
        <c:majorUnit val="5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89888432665588"/>
          <c:y val="0.468328035600763"/>
          <c:w val="0.199701381112355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159588586596"/>
          <c:y val="0.0241316177592433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AR!$C$145</c:f>
              <c:strCache>
                <c:ptCount val="1"/>
                <c:pt idx="0">
                  <c:v>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AR!$C$147:$C$166</c:f>
              <c:numCache>
                <c:formatCode>0.00%</c:formatCode>
                <c:ptCount val="20"/>
                <c:pt idx="0">
                  <c:v>0.8746</c:v>
                </c:pt>
                <c:pt idx="1">
                  <c:v>0.8749</c:v>
                </c:pt>
                <c:pt idx="2">
                  <c:v>0.9001</c:v>
                </c:pt>
                <c:pt idx="3">
                  <c:v>0.9</c:v>
                </c:pt>
                <c:pt idx="4">
                  <c:v>0.8729</c:v>
                </c:pt>
                <c:pt idx="5">
                  <c:v>0.8729</c:v>
                </c:pt>
                <c:pt idx="6">
                  <c:v>0.8697</c:v>
                </c:pt>
                <c:pt idx="7">
                  <c:v>0.8697</c:v>
                </c:pt>
                <c:pt idx="8">
                  <c:v>0.9179</c:v>
                </c:pt>
                <c:pt idx="9">
                  <c:v>0.9179</c:v>
                </c:pt>
                <c:pt idx="10">
                  <c:v>0.9077</c:v>
                </c:pt>
                <c:pt idx="11">
                  <c:v>0.9077</c:v>
                </c:pt>
                <c:pt idx="12">
                  <c:v>0.8849</c:v>
                </c:pt>
                <c:pt idx="13">
                  <c:v>0.8849</c:v>
                </c:pt>
                <c:pt idx="14">
                  <c:v>0.8776</c:v>
                </c:pt>
                <c:pt idx="15">
                  <c:v>0.8775</c:v>
                </c:pt>
                <c:pt idx="16">
                  <c:v>0.8843</c:v>
                </c:pt>
                <c:pt idx="17">
                  <c:v>0.8843</c:v>
                </c:pt>
                <c:pt idx="18">
                  <c:v>0.8891</c:v>
                </c:pt>
                <c:pt idx="19">
                  <c:v>0.8891</c:v>
                </c:pt>
              </c:numCache>
            </c:numRef>
          </c:val>
        </c:ser>
        <c:ser>
          <c:idx val="1"/>
          <c:order val="1"/>
          <c:tx>
            <c:strRef>
              <c:f>AR!$D$145</c:f>
              <c:strCache>
                <c:ptCount val="1"/>
                <c:pt idx="0">
                  <c:v>Authorized Immigrant 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AR!$D$147:$D$166</c:f>
              <c:numCache>
                <c:formatCode>0.00%</c:formatCode>
                <c:ptCount val="20"/>
                <c:pt idx="0">
                  <c:v>0.75</c:v>
                </c:pt>
                <c:pt idx="1">
                  <c:v>0.75</c:v>
                </c:pt>
                <c:pt idx="2">
                  <c:v>0.752</c:v>
                </c:pt>
                <c:pt idx="3">
                  <c:v>0.752</c:v>
                </c:pt>
                <c:pt idx="4">
                  <c:v>0.715</c:v>
                </c:pt>
                <c:pt idx="5">
                  <c:v>0.715</c:v>
                </c:pt>
                <c:pt idx="6">
                  <c:v>0.716</c:v>
                </c:pt>
                <c:pt idx="7">
                  <c:v>0.716</c:v>
                </c:pt>
                <c:pt idx="8">
                  <c:v>0.76</c:v>
                </c:pt>
                <c:pt idx="9">
                  <c:v>0.76</c:v>
                </c:pt>
                <c:pt idx="10">
                  <c:v>0.75</c:v>
                </c:pt>
                <c:pt idx="11">
                  <c:v>0.75</c:v>
                </c:pt>
                <c:pt idx="12">
                  <c:v>0.698</c:v>
                </c:pt>
                <c:pt idx="13">
                  <c:v>0.698</c:v>
                </c:pt>
                <c:pt idx="14">
                  <c:v>0.73</c:v>
                </c:pt>
                <c:pt idx="15">
                  <c:v>0.73</c:v>
                </c:pt>
                <c:pt idx="16">
                  <c:v>0.715</c:v>
                </c:pt>
                <c:pt idx="17">
                  <c:v>0.715</c:v>
                </c:pt>
                <c:pt idx="18">
                  <c:v>0.716</c:v>
                </c:pt>
                <c:pt idx="19">
                  <c:v>0.716</c:v>
                </c:pt>
              </c:numCache>
            </c:numRef>
          </c:val>
        </c:ser>
        <c:ser>
          <c:idx val="2"/>
          <c:order val="2"/>
          <c:tx>
            <c:strRef>
              <c:f>AR!$E$145</c:f>
              <c:strCache>
                <c:ptCount val="1"/>
                <c:pt idx="0">
                  <c:v>Unauthorized Immigrant 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AR!$E$147:$E$166</c:f>
              <c:numCache>
                <c:formatCode>0.00%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0.802</c:v>
                </c:pt>
                <c:pt idx="3">
                  <c:v>0.802</c:v>
                </c:pt>
                <c:pt idx="4">
                  <c:v>0.765</c:v>
                </c:pt>
                <c:pt idx="5">
                  <c:v>0.765</c:v>
                </c:pt>
                <c:pt idx="6">
                  <c:v>0.766</c:v>
                </c:pt>
                <c:pt idx="7">
                  <c:v>0.766</c:v>
                </c:pt>
                <c:pt idx="8">
                  <c:v>0.81</c:v>
                </c:pt>
                <c:pt idx="9">
                  <c:v>0.81</c:v>
                </c:pt>
                <c:pt idx="10">
                  <c:v>0.8</c:v>
                </c:pt>
                <c:pt idx="11">
                  <c:v>0.8</c:v>
                </c:pt>
                <c:pt idx="12">
                  <c:v>0.748</c:v>
                </c:pt>
                <c:pt idx="13">
                  <c:v>0.748</c:v>
                </c:pt>
                <c:pt idx="14">
                  <c:v>0.78</c:v>
                </c:pt>
                <c:pt idx="15">
                  <c:v>0.78</c:v>
                </c:pt>
                <c:pt idx="16">
                  <c:v>0.765</c:v>
                </c:pt>
                <c:pt idx="17">
                  <c:v>0.765</c:v>
                </c:pt>
                <c:pt idx="18">
                  <c:v>0.766</c:v>
                </c:pt>
                <c:pt idx="19">
                  <c:v>0.766</c:v>
                </c:pt>
              </c:numCache>
            </c:numRef>
          </c:val>
        </c:ser>
        <c:ser>
          <c:idx val="3"/>
          <c:order val="3"/>
          <c:tx>
            <c:strRef>
              <c:f>AR!$F$145</c:f>
              <c:strCache>
                <c:ptCount val="1"/>
                <c:pt idx="0">
                  <c:v>American 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AR!$F$147:$F$166</c:f>
              <c:numCache>
                <c:formatCode>0.00%</c:formatCode>
                <c:ptCount val="20"/>
                <c:pt idx="0">
                  <c:v>0.95</c:v>
                </c:pt>
                <c:pt idx="1">
                  <c:v>0.95</c:v>
                </c:pt>
                <c:pt idx="2">
                  <c:v>0.945</c:v>
                </c:pt>
                <c:pt idx="3">
                  <c:v>0.945</c:v>
                </c:pt>
                <c:pt idx="4">
                  <c:v>0.92</c:v>
                </c:pt>
                <c:pt idx="5">
                  <c:v>0.92</c:v>
                </c:pt>
                <c:pt idx="6">
                  <c:v>0.924</c:v>
                </c:pt>
                <c:pt idx="7">
                  <c:v>0.924</c:v>
                </c:pt>
                <c:pt idx="8">
                  <c:v>0.95</c:v>
                </c:pt>
                <c:pt idx="9">
                  <c:v>0.95</c:v>
                </c:pt>
                <c:pt idx="10">
                  <c:v>0.945</c:v>
                </c:pt>
                <c:pt idx="11">
                  <c:v>0.945</c:v>
                </c:pt>
                <c:pt idx="12">
                  <c:v>0.908</c:v>
                </c:pt>
                <c:pt idx="13">
                  <c:v>0.908</c:v>
                </c:pt>
                <c:pt idx="14">
                  <c:v>0.92</c:v>
                </c:pt>
                <c:pt idx="15">
                  <c:v>0.92</c:v>
                </c:pt>
                <c:pt idx="16">
                  <c:v>0.918</c:v>
                </c:pt>
                <c:pt idx="17">
                  <c:v>0.918</c:v>
                </c:pt>
                <c:pt idx="18">
                  <c:v>0.916</c:v>
                </c:pt>
                <c:pt idx="19">
                  <c:v>0.916</c:v>
                </c:pt>
              </c:numCache>
            </c:numRef>
          </c:val>
        </c:ser>
        <c:gapWidth val="100"/>
        <c:overlap val="0"/>
        <c:axId val="15331327"/>
        <c:axId val="15663299"/>
      </c:barChart>
      <c:catAx>
        <c:axId val="1533132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663299"/>
        <c:crosses val="autoZero"/>
        <c:auto val="1"/>
        <c:lblAlgn val="ctr"/>
        <c:lblOffset val="100"/>
        <c:noMultiLvlLbl val="0"/>
      </c:catAx>
      <c:valAx>
        <c:axId val="156632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33132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89913735899"/>
          <c:y val="0.473401820678432"/>
          <c:w val="0.180166728878935"/>
          <c:h val="0.10893833439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5036362711692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AR!$C$262</c:f>
              <c:strCache>
                <c:ptCount val="1"/>
                <c:pt idx="0">
                  <c:v>Unemployment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AR!$C$264:$C$283</c:f>
              <c:numCache>
                <c:formatCode>0.00%</c:formatCode>
                <c:ptCount val="20"/>
                <c:pt idx="0">
                  <c:v>0.1254</c:v>
                </c:pt>
                <c:pt idx="1">
                  <c:v>0.1251</c:v>
                </c:pt>
                <c:pt idx="2">
                  <c:v>0.0999</c:v>
                </c:pt>
                <c:pt idx="3">
                  <c:v>0.1</c:v>
                </c:pt>
                <c:pt idx="4">
                  <c:v>0.1271</c:v>
                </c:pt>
                <c:pt idx="5">
                  <c:v>0.1271</c:v>
                </c:pt>
                <c:pt idx="6">
                  <c:v>0.1303</c:v>
                </c:pt>
                <c:pt idx="7">
                  <c:v>0.1303</c:v>
                </c:pt>
                <c:pt idx="8">
                  <c:v>0.0821</c:v>
                </c:pt>
                <c:pt idx="9">
                  <c:v>0.0821</c:v>
                </c:pt>
                <c:pt idx="10">
                  <c:v>0.0923</c:v>
                </c:pt>
                <c:pt idx="11">
                  <c:v>0.0923</c:v>
                </c:pt>
                <c:pt idx="12">
                  <c:v>0.1151</c:v>
                </c:pt>
                <c:pt idx="13">
                  <c:v>0.1151</c:v>
                </c:pt>
                <c:pt idx="14">
                  <c:v>0.1224</c:v>
                </c:pt>
                <c:pt idx="15">
                  <c:v>0.1225</c:v>
                </c:pt>
                <c:pt idx="16">
                  <c:v>0.1157</c:v>
                </c:pt>
                <c:pt idx="17">
                  <c:v>0.1157</c:v>
                </c:pt>
                <c:pt idx="18">
                  <c:v>0.1109</c:v>
                </c:pt>
                <c:pt idx="19">
                  <c:v>0.1109</c:v>
                </c:pt>
              </c:numCache>
            </c:numRef>
          </c:val>
        </c:ser>
        <c:ser>
          <c:idx val="1"/>
          <c:order val="1"/>
          <c:tx>
            <c:strRef>
              <c:f>AR!$D$262</c:f>
              <c:strCache>
                <c:ptCount val="1"/>
                <c:pt idx="0">
                  <c:v>Authorized Immigrant Unemployment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AR!$D$264:$D$283</c:f>
              <c:numCache>
                <c:formatCode>0.00%</c:formatCode>
                <c:ptCount val="20"/>
                <c:pt idx="0">
                  <c:v>0.25</c:v>
                </c:pt>
                <c:pt idx="1">
                  <c:v>0.25</c:v>
                </c:pt>
                <c:pt idx="2">
                  <c:v>0.248</c:v>
                </c:pt>
                <c:pt idx="3">
                  <c:v>0.248</c:v>
                </c:pt>
                <c:pt idx="4">
                  <c:v>0.285</c:v>
                </c:pt>
                <c:pt idx="5">
                  <c:v>0.285</c:v>
                </c:pt>
                <c:pt idx="6">
                  <c:v>0.284</c:v>
                </c:pt>
                <c:pt idx="7">
                  <c:v>0.284</c:v>
                </c:pt>
                <c:pt idx="8">
                  <c:v>0.24</c:v>
                </c:pt>
                <c:pt idx="9">
                  <c:v>0.24</c:v>
                </c:pt>
                <c:pt idx="10">
                  <c:v>0.25</c:v>
                </c:pt>
                <c:pt idx="11">
                  <c:v>0.25</c:v>
                </c:pt>
                <c:pt idx="12">
                  <c:v>0.302</c:v>
                </c:pt>
                <c:pt idx="13">
                  <c:v>0.302</c:v>
                </c:pt>
                <c:pt idx="14">
                  <c:v>0.27</c:v>
                </c:pt>
                <c:pt idx="15">
                  <c:v>0.27</c:v>
                </c:pt>
                <c:pt idx="16">
                  <c:v>0.285</c:v>
                </c:pt>
                <c:pt idx="17">
                  <c:v>0.285</c:v>
                </c:pt>
                <c:pt idx="18">
                  <c:v>0.284</c:v>
                </c:pt>
                <c:pt idx="19">
                  <c:v>0.284</c:v>
                </c:pt>
              </c:numCache>
            </c:numRef>
          </c:val>
        </c:ser>
        <c:ser>
          <c:idx val="2"/>
          <c:order val="2"/>
          <c:tx>
            <c:strRef>
              <c:f>AR!$E$262</c:f>
              <c:strCache>
                <c:ptCount val="1"/>
                <c:pt idx="0">
                  <c:v>Unauthorized Immigrant Unemployment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AR!$E$264:$E$283</c:f>
              <c:numCache>
                <c:formatCode>0.00%</c:formatCode>
                <c:ptCount val="20"/>
                <c:pt idx="0">
                  <c:v>0.2</c:v>
                </c:pt>
                <c:pt idx="1">
                  <c:v>0.2</c:v>
                </c:pt>
                <c:pt idx="2">
                  <c:v>0.198</c:v>
                </c:pt>
                <c:pt idx="3">
                  <c:v>0.198</c:v>
                </c:pt>
                <c:pt idx="4">
                  <c:v>0.235</c:v>
                </c:pt>
                <c:pt idx="5">
                  <c:v>0.235</c:v>
                </c:pt>
                <c:pt idx="6">
                  <c:v>0.234</c:v>
                </c:pt>
                <c:pt idx="7">
                  <c:v>0.234</c:v>
                </c:pt>
                <c:pt idx="8">
                  <c:v>0.19</c:v>
                </c:pt>
                <c:pt idx="9">
                  <c:v>0.19</c:v>
                </c:pt>
                <c:pt idx="10">
                  <c:v>0.2</c:v>
                </c:pt>
                <c:pt idx="11">
                  <c:v>0.2</c:v>
                </c:pt>
                <c:pt idx="12">
                  <c:v>0.252</c:v>
                </c:pt>
                <c:pt idx="13">
                  <c:v>0.252</c:v>
                </c:pt>
                <c:pt idx="14">
                  <c:v>0.22</c:v>
                </c:pt>
                <c:pt idx="15">
                  <c:v>0.22</c:v>
                </c:pt>
                <c:pt idx="16">
                  <c:v>0.235</c:v>
                </c:pt>
                <c:pt idx="17">
                  <c:v>0.235</c:v>
                </c:pt>
                <c:pt idx="18">
                  <c:v>0.234</c:v>
                </c:pt>
                <c:pt idx="19">
                  <c:v>0.234</c:v>
                </c:pt>
              </c:numCache>
            </c:numRef>
          </c:val>
        </c:ser>
        <c:ser>
          <c:idx val="3"/>
          <c:order val="3"/>
          <c:tx>
            <c:strRef>
              <c:f>AR!$F$262</c:f>
              <c:strCache>
                <c:ptCount val="1"/>
                <c:pt idx="0">
                  <c:v>American Unemployment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AR!$F$264:$F$283</c:f>
              <c:numCache>
                <c:formatCode>0.00%</c:formatCode>
                <c:ptCount val="20"/>
                <c:pt idx="0">
                  <c:v>0.05</c:v>
                </c:pt>
                <c:pt idx="1">
                  <c:v>0.05</c:v>
                </c:pt>
                <c:pt idx="2">
                  <c:v>0.055</c:v>
                </c:pt>
                <c:pt idx="3">
                  <c:v>0.055</c:v>
                </c:pt>
                <c:pt idx="4">
                  <c:v>0.08</c:v>
                </c:pt>
                <c:pt idx="5">
                  <c:v>0.08</c:v>
                </c:pt>
                <c:pt idx="6">
                  <c:v>0.076</c:v>
                </c:pt>
                <c:pt idx="7">
                  <c:v>0.076</c:v>
                </c:pt>
                <c:pt idx="8">
                  <c:v>0.05</c:v>
                </c:pt>
                <c:pt idx="9">
                  <c:v>0.05</c:v>
                </c:pt>
                <c:pt idx="10">
                  <c:v>0.055</c:v>
                </c:pt>
                <c:pt idx="11">
                  <c:v>0.055</c:v>
                </c:pt>
                <c:pt idx="12">
                  <c:v>0.092</c:v>
                </c:pt>
                <c:pt idx="13">
                  <c:v>0.092</c:v>
                </c:pt>
                <c:pt idx="14">
                  <c:v>0.08</c:v>
                </c:pt>
                <c:pt idx="15">
                  <c:v>0.08</c:v>
                </c:pt>
                <c:pt idx="16">
                  <c:v>0.082</c:v>
                </c:pt>
                <c:pt idx="17">
                  <c:v>0.082</c:v>
                </c:pt>
                <c:pt idx="18">
                  <c:v>0.084</c:v>
                </c:pt>
                <c:pt idx="19">
                  <c:v>0.084</c:v>
                </c:pt>
              </c:numCache>
            </c:numRef>
          </c:val>
        </c:ser>
        <c:gapWidth val="100"/>
        <c:overlap val="0"/>
        <c:axId val="29884573"/>
        <c:axId val="57827615"/>
      </c:barChart>
      <c:catAx>
        <c:axId val="2988457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827615"/>
        <c:crosses val="autoZero"/>
        <c:auto val="1"/>
        <c:lblAlgn val="ctr"/>
        <c:lblOffset val="100"/>
        <c:noMultiLvlLbl val="0"/>
      </c:catAx>
      <c:valAx>
        <c:axId val="578276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988457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0802919708"/>
          <c:y val="0.468341555205208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Underemployment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60535015002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AR!$C$379</c:f>
              <c:strCache>
                <c:ptCount val="1"/>
                <c:pt idx="0">
                  <c:v>Underemployment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AR!$C$380:$C$400</c:f>
              <c:numCache>
                <c:formatCode>0.00%</c:formatCode>
                <c:ptCount val="21"/>
                <c:pt idx="0">
                  <c:v>0.0809</c:v>
                </c:pt>
                <c:pt idx="1">
                  <c:v>0.0841</c:v>
                </c:pt>
                <c:pt idx="2">
                  <c:v>0.0841</c:v>
                </c:pt>
                <c:pt idx="3">
                  <c:v>0.0827</c:v>
                </c:pt>
                <c:pt idx="4">
                  <c:v>0.0827</c:v>
                </c:pt>
                <c:pt idx="5">
                  <c:v>0.1137</c:v>
                </c:pt>
                <c:pt idx="6">
                  <c:v>0.1137</c:v>
                </c:pt>
                <c:pt idx="7">
                  <c:v>0.1135</c:v>
                </c:pt>
                <c:pt idx="8">
                  <c:v>0.1135</c:v>
                </c:pt>
                <c:pt idx="9">
                  <c:v>0.1022</c:v>
                </c:pt>
                <c:pt idx="10">
                  <c:v>0.1022</c:v>
                </c:pt>
                <c:pt idx="11">
                  <c:v>0.1018</c:v>
                </c:pt>
                <c:pt idx="12">
                  <c:v>0.1018</c:v>
                </c:pt>
                <c:pt idx="13">
                  <c:v>0.1144</c:v>
                </c:pt>
                <c:pt idx="14">
                  <c:v>0.1144</c:v>
                </c:pt>
                <c:pt idx="15">
                  <c:v>0.1037</c:v>
                </c:pt>
                <c:pt idx="16">
                  <c:v>0.1037</c:v>
                </c:pt>
                <c:pt idx="17">
                  <c:v>0.104</c:v>
                </c:pt>
                <c:pt idx="18">
                  <c:v>0.104</c:v>
                </c:pt>
                <c:pt idx="19">
                  <c:v>0.1034</c:v>
                </c:pt>
                <c:pt idx="20">
                  <c:v>0.1034</c:v>
                </c:pt>
              </c:numCache>
            </c:numRef>
          </c:val>
        </c:ser>
        <c:ser>
          <c:idx val="1"/>
          <c:order val="1"/>
          <c:tx>
            <c:strRef>
              <c:f>AR!$D$379</c:f>
              <c:strCache>
                <c:ptCount val="1"/>
                <c:pt idx="0">
                  <c:v>Authorized Immigrant Underemployment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AR!$D$380:$D$400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2"/>
          <c:order val="2"/>
          <c:tx>
            <c:strRef>
              <c:f>AR!$E$379</c:f>
              <c:strCache>
                <c:ptCount val="1"/>
                <c:pt idx="0">
                  <c:v>Unauthorized Immigrant Underemployment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AR!$E$380:$E$400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3"/>
          <c:order val="3"/>
          <c:tx>
            <c:strRef>
              <c:f>AR!$F$379</c:f>
              <c:strCache>
                <c:ptCount val="1"/>
                <c:pt idx="0">
                  <c:v>American Underemployment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AR!$F$380:$F$400</c:f>
              <c:numCache>
                <c:formatCode>0.00%</c:formatCode>
                <c:ptCount val="2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0.115</c:v>
                </c:pt>
                <c:pt idx="6">
                  <c:v>0.115</c:v>
                </c:pt>
                <c:pt idx="7">
                  <c:v>0.115</c:v>
                </c:pt>
                <c:pt idx="8">
                  <c:v>0.115</c:v>
                </c:pt>
                <c:pt idx="9">
                  <c:v>0.105</c:v>
                </c:pt>
                <c:pt idx="10">
                  <c:v>0.105</c:v>
                </c:pt>
                <c:pt idx="11">
                  <c:v>0.105</c:v>
                </c:pt>
                <c:pt idx="12">
                  <c:v>0.105</c:v>
                </c:pt>
                <c:pt idx="13">
                  <c:v>0.115</c:v>
                </c:pt>
                <c:pt idx="14">
                  <c:v>0.115</c:v>
                </c:pt>
                <c:pt idx="15">
                  <c:v>0.105</c:v>
                </c:pt>
                <c:pt idx="16">
                  <c:v>0.105</c:v>
                </c:pt>
                <c:pt idx="17">
                  <c:v>0.105</c:v>
                </c:pt>
                <c:pt idx="18">
                  <c:v>0.105</c:v>
                </c:pt>
                <c:pt idx="19">
                  <c:v>0.105</c:v>
                </c:pt>
                <c:pt idx="20">
                  <c:v>0.105</c:v>
                </c:pt>
              </c:numCache>
            </c:numRef>
          </c:val>
        </c:ser>
        <c:gapWidth val="100"/>
        <c:overlap val="0"/>
        <c:axId val="57347716"/>
        <c:axId val="10027269"/>
      </c:barChart>
      <c:catAx>
        <c:axId val="5734771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0027269"/>
        <c:crosses val="autoZero"/>
        <c:auto val="1"/>
        <c:lblAlgn val="ctr"/>
        <c:lblOffset val="100"/>
        <c:noMultiLvlLbl val="0"/>
      </c:catAx>
      <c:valAx>
        <c:axId val="100272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Underemployment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34771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0802919708"/>
          <c:y val="0.468316126735493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Wage Average By Industrial Labor Role</a:t>
            </a:r>
          </a:p>
        </c:rich>
      </c:tx>
      <c:layout>
        <c:manualLayout>
          <c:xMode val="edge"/>
          <c:yMode val="edge"/>
          <c:x val="0.160459522229595"/>
          <c:y val="0.01960535015002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AR!$C$497</c:f>
              <c:strCache>
                <c:ptCount val="1"/>
                <c:pt idx="0">
                  <c:v>Wage Average ($/hr)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AR!$C$498:$C$518</c:f>
              <c:numCache>
                <c:formatCode>[$$-409]#,##0.00;[RED]\-[$$-409]#,##0.00</c:formatCode>
                <c:ptCount val="21"/>
                <c:pt idx="0">
                  <c:v>13.4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14</c:v>
                </c:pt>
                <c:pt idx="6">
                  <c:v>12.5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1"/>
          <c:order val="1"/>
          <c:tx>
            <c:strRef>
              <c:f>AR!$D$497</c:f>
              <c:strCache>
                <c:ptCount val="1"/>
                <c:pt idx="0">
                  <c:v>Authorized Immigrant Wage Average ($/hr)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AR!$D$498:$D$518</c:f>
              <c:numCache>
                <c:formatCode>[$$-409]#,##0.00;[RED]\-[$$-409]#,##0.00</c:formatCode>
                <c:ptCount val="21"/>
                <c:pt idx="0">
                  <c:v>10.1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14</c:v>
                </c:pt>
                <c:pt idx="6">
                  <c:v>12.5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2"/>
          <c:order val="2"/>
          <c:tx>
            <c:strRef>
              <c:f>AR!$E$497</c:f>
              <c:strCache>
                <c:ptCount val="1"/>
                <c:pt idx="0">
                  <c:v>Unauthorized Immigrant Wage Average ($/hr)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AR!$E$498:$E$518</c:f>
              <c:numCache>
                <c:formatCode>[$$-409]#,##0.00;[RED]\-[$$-409]#,##0.00</c:formatCode>
                <c:ptCount val="21"/>
                <c:pt idx="0">
                  <c:v>10.1</c:v>
                </c:pt>
                <c:pt idx="1">
                  <c:v>17</c:v>
                </c:pt>
                <c:pt idx="2">
                  <c:v>15.5</c:v>
                </c:pt>
                <c:pt idx="3">
                  <c:v>20</c:v>
                </c:pt>
                <c:pt idx="4">
                  <c:v>18</c:v>
                </c:pt>
                <c:pt idx="5">
                  <c:v>12.5</c:v>
                </c:pt>
                <c:pt idx="6">
                  <c:v>11</c:v>
                </c:pt>
                <c:pt idx="7">
                  <c:v>13</c:v>
                </c:pt>
                <c:pt idx="8">
                  <c:v>11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20</c:v>
                </c:pt>
                <c:pt idx="13">
                  <c:v>13.5</c:v>
                </c:pt>
                <c:pt idx="14">
                  <c:v>12</c:v>
                </c:pt>
                <c:pt idx="15">
                  <c:v>16.5</c:v>
                </c:pt>
                <c:pt idx="16">
                  <c:v>14.5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16</c:v>
                </c:pt>
              </c:numCache>
            </c:numRef>
          </c:val>
        </c:ser>
        <c:ser>
          <c:idx val="3"/>
          <c:order val="3"/>
          <c:tx>
            <c:strRef>
              <c:f>AR!$F$497</c:f>
              <c:strCache>
                <c:ptCount val="1"/>
                <c:pt idx="0">
                  <c:v>American Wage Average ($/hr)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0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AR!$F$498:$F$518</c:f>
              <c:numCache>
                <c:formatCode>[$$-409]#,##0.00;\-[$$-409]#,##0.00</c:formatCode>
                <c:ptCount val="21"/>
                <c:pt idx="0">
                  <c:v>13.6</c:v>
                </c:pt>
                <c:pt idx="1">
                  <c:v>21</c:v>
                </c:pt>
                <c:pt idx="2">
                  <c:v>19</c:v>
                </c:pt>
                <c:pt idx="3">
                  <c:v>24</c:v>
                </c:pt>
                <c:pt idx="4">
                  <c:v>22</c:v>
                </c:pt>
                <c:pt idx="5">
                  <c:v>15.5</c:v>
                </c:pt>
                <c:pt idx="6">
                  <c:v>14</c:v>
                </c:pt>
                <c:pt idx="7">
                  <c:v>16</c:v>
                </c:pt>
                <c:pt idx="8">
                  <c:v>14</c:v>
                </c:pt>
                <c:pt idx="9">
                  <c:v>24</c:v>
                </c:pt>
                <c:pt idx="10">
                  <c:v>22</c:v>
                </c:pt>
                <c:pt idx="11">
                  <c:v>26</c:v>
                </c:pt>
                <c:pt idx="12">
                  <c:v>24</c:v>
                </c:pt>
                <c:pt idx="13">
                  <c:v>17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22</c:v>
                </c:pt>
                <c:pt idx="18">
                  <c:v>20</c:v>
                </c:pt>
                <c:pt idx="19">
                  <c:v>22</c:v>
                </c:pt>
                <c:pt idx="20">
                  <c:v>20</c:v>
                </c:pt>
              </c:numCache>
            </c:numRef>
          </c:val>
        </c:ser>
        <c:gapWidth val="100"/>
        <c:overlap val="0"/>
        <c:axId val="32881477"/>
        <c:axId val="51643051"/>
      </c:barChart>
      <c:catAx>
        <c:axId val="3288147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643051"/>
        <c:crosses val="autoZero"/>
        <c:auto val="1"/>
        <c:lblAlgn val="ctr"/>
        <c:lblOffset val="100"/>
        <c:noMultiLvlLbl val="0"/>
      </c:catAx>
      <c:valAx>
        <c:axId val="516430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Wage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28814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3007631055076"/>
          <c:y val="0.468316126735493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242534837425"/>
          <c:y val="0.0241316177592433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AR!$C$27</c:f>
              <c:strCache>
                <c:ptCount val="1"/>
                <c:pt idx="0">
                  <c:v>Total Population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AR!$C$29:$C$48</c:f>
              <c:numCache>
                <c:formatCode>General</c:formatCode>
                <c:ptCount val="20"/>
                <c:pt idx="0">
                  <c:v>493</c:v>
                </c:pt>
                <c:pt idx="1">
                  <c:v>266</c:v>
                </c:pt>
                <c:pt idx="2">
                  <c:v>1786</c:v>
                </c:pt>
                <c:pt idx="3">
                  <c:v>963</c:v>
                </c:pt>
                <c:pt idx="4">
                  <c:v>5724</c:v>
                </c:pt>
                <c:pt idx="5">
                  <c:v>3087</c:v>
                </c:pt>
                <c:pt idx="6">
                  <c:v>2552</c:v>
                </c:pt>
                <c:pt idx="7">
                  <c:v>1376</c:v>
                </c:pt>
                <c:pt idx="8">
                  <c:v>5344</c:v>
                </c:pt>
                <c:pt idx="9">
                  <c:v>2881</c:v>
                </c:pt>
                <c:pt idx="10">
                  <c:v>3910</c:v>
                </c:pt>
                <c:pt idx="11">
                  <c:v>2109</c:v>
                </c:pt>
                <c:pt idx="12">
                  <c:v>5745</c:v>
                </c:pt>
                <c:pt idx="13">
                  <c:v>3097</c:v>
                </c:pt>
                <c:pt idx="14">
                  <c:v>2074</c:v>
                </c:pt>
                <c:pt idx="15">
                  <c:v>1119</c:v>
                </c:pt>
                <c:pt idx="16">
                  <c:v>1517</c:v>
                </c:pt>
                <c:pt idx="17">
                  <c:v>818</c:v>
                </c:pt>
                <c:pt idx="18">
                  <c:v>2800</c:v>
                </c:pt>
                <c:pt idx="19">
                  <c:v>1510</c:v>
                </c:pt>
              </c:numCache>
            </c:numRef>
          </c:val>
        </c:ser>
        <c:ser>
          <c:idx val="1"/>
          <c:order val="1"/>
          <c:tx>
            <c:strRef>
              <c:f>AR!$D$27</c:f>
              <c:strCache>
                <c:ptCount val="1"/>
                <c:pt idx="0">
                  <c:v>Authorized Population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AR!$D$29:$D$48</c:f>
              <c:numCache>
                <c:formatCode>General</c:formatCode>
                <c:ptCount val="20"/>
                <c:pt idx="0">
                  <c:v>133</c:v>
                </c:pt>
                <c:pt idx="1">
                  <c:v>72</c:v>
                </c:pt>
                <c:pt idx="2">
                  <c:v>275</c:v>
                </c:pt>
                <c:pt idx="3">
                  <c:v>148</c:v>
                </c:pt>
                <c:pt idx="4">
                  <c:v>874</c:v>
                </c:pt>
                <c:pt idx="5">
                  <c:v>471</c:v>
                </c:pt>
                <c:pt idx="6">
                  <c:v>441</c:v>
                </c:pt>
                <c:pt idx="7">
                  <c:v>238</c:v>
                </c:pt>
                <c:pt idx="8">
                  <c:v>800</c:v>
                </c:pt>
                <c:pt idx="9">
                  <c:v>384</c:v>
                </c:pt>
                <c:pt idx="10">
                  <c:v>669</c:v>
                </c:pt>
                <c:pt idx="11">
                  <c:v>360</c:v>
                </c:pt>
                <c:pt idx="12">
                  <c:v>553</c:v>
                </c:pt>
                <c:pt idx="13">
                  <c:v>298</c:v>
                </c:pt>
                <c:pt idx="14">
                  <c:v>311</c:v>
                </c:pt>
                <c:pt idx="15">
                  <c:v>168</c:v>
                </c:pt>
                <c:pt idx="16">
                  <c:v>233</c:v>
                </c:pt>
                <c:pt idx="17">
                  <c:v>125</c:v>
                </c:pt>
                <c:pt idx="18">
                  <c:v>428</c:v>
                </c:pt>
                <c:pt idx="19">
                  <c:v>231</c:v>
                </c:pt>
              </c:numCache>
            </c:numRef>
          </c:val>
        </c:ser>
        <c:ser>
          <c:idx val="2"/>
          <c:order val="2"/>
          <c:tx>
            <c:strRef>
              <c:f>AR!$E$27</c:f>
              <c:strCache>
                <c:ptCount val="1"/>
                <c:pt idx="0">
                  <c:v>Unauthorized Population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AR!$E$29:$E$48</c:f>
              <c:numCache>
                <c:formatCode>General</c:formatCode>
                <c:ptCount val="20"/>
                <c:pt idx="0">
                  <c:v>71</c:v>
                </c:pt>
                <c:pt idx="1">
                  <c:v>38</c:v>
                </c:pt>
                <c:pt idx="2">
                  <c:v>279</c:v>
                </c:pt>
                <c:pt idx="3">
                  <c:v>150</c:v>
                </c:pt>
                <c:pt idx="4">
                  <c:v>861</c:v>
                </c:pt>
                <c:pt idx="5">
                  <c:v>464</c:v>
                </c:pt>
                <c:pt idx="6">
                  <c:v>436</c:v>
                </c:pt>
                <c:pt idx="7">
                  <c:v>235</c:v>
                </c:pt>
                <c:pt idx="8">
                  <c:v>401</c:v>
                </c:pt>
                <c:pt idx="9">
                  <c:v>216</c:v>
                </c:pt>
                <c:pt idx="10">
                  <c:v>325</c:v>
                </c:pt>
                <c:pt idx="11">
                  <c:v>175</c:v>
                </c:pt>
                <c:pt idx="12">
                  <c:v>276</c:v>
                </c:pt>
                <c:pt idx="13">
                  <c:v>149</c:v>
                </c:pt>
                <c:pt idx="14">
                  <c:v>311</c:v>
                </c:pt>
                <c:pt idx="15">
                  <c:v>168</c:v>
                </c:pt>
                <c:pt idx="16">
                  <c:v>103</c:v>
                </c:pt>
                <c:pt idx="17">
                  <c:v>56</c:v>
                </c:pt>
                <c:pt idx="18">
                  <c:v>210</c:v>
                </c:pt>
                <c:pt idx="19">
                  <c:v>113</c:v>
                </c:pt>
              </c:numCache>
            </c:numRef>
          </c:val>
        </c:ser>
        <c:ser>
          <c:idx val="3"/>
          <c:order val="3"/>
          <c:tx>
            <c:strRef>
              <c:f>AR!$F$27</c:f>
              <c:strCache>
                <c:ptCount val="1"/>
                <c:pt idx="0">
                  <c:v>American Population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AR!$F$29:$F$48</c:f>
              <c:numCache>
                <c:formatCode>General</c:formatCode>
                <c:ptCount val="20"/>
                <c:pt idx="0">
                  <c:v>289</c:v>
                </c:pt>
                <c:pt idx="1">
                  <c:v>156</c:v>
                </c:pt>
                <c:pt idx="2">
                  <c:v>1232</c:v>
                </c:pt>
                <c:pt idx="3">
                  <c:v>665</c:v>
                </c:pt>
                <c:pt idx="4">
                  <c:v>3989</c:v>
                </c:pt>
                <c:pt idx="5">
                  <c:v>2152</c:v>
                </c:pt>
                <c:pt idx="6">
                  <c:v>1675</c:v>
                </c:pt>
                <c:pt idx="7">
                  <c:v>903</c:v>
                </c:pt>
                <c:pt idx="8">
                  <c:v>4143</c:v>
                </c:pt>
                <c:pt idx="9">
                  <c:v>2281</c:v>
                </c:pt>
                <c:pt idx="10">
                  <c:v>2916</c:v>
                </c:pt>
                <c:pt idx="11">
                  <c:v>1574</c:v>
                </c:pt>
                <c:pt idx="12">
                  <c:v>4916</c:v>
                </c:pt>
                <c:pt idx="13">
                  <c:v>2650</c:v>
                </c:pt>
                <c:pt idx="14">
                  <c:v>1452</c:v>
                </c:pt>
                <c:pt idx="15">
                  <c:v>783</c:v>
                </c:pt>
                <c:pt idx="16">
                  <c:v>1181</c:v>
                </c:pt>
                <c:pt idx="17">
                  <c:v>637</c:v>
                </c:pt>
                <c:pt idx="18">
                  <c:v>2162</c:v>
                </c:pt>
                <c:pt idx="19">
                  <c:v>1166</c:v>
                </c:pt>
              </c:numCache>
            </c:numRef>
          </c:val>
        </c:ser>
        <c:gapWidth val="100"/>
        <c:overlap val="0"/>
        <c:axId val="77088819"/>
        <c:axId val="9635484"/>
      </c:barChart>
      <c:catAx>
        <c:axId val="7708881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635484"/>
        <c:crosses val="autoZero"/>
        <c:auto val="1"/>
        <c:lblAlgn val="ctr"/>
        <c:lblOffset val="100"/>
        <c:noMultiLvlLbl val="0"/>
      </c:catAx>
      <c:valAx>
        <c:axId val="963548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Laborer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08881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73401820678432"/>
          <c:w val="0.180166728878935"/>
          <c:h val="0.10893833439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625414731254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6066688785667"/>
          <c:y val="0.0872196511213955"/>
          <c:w val="0.453259787657598"/>
          <c:h val="0.836291511976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AR!$C$614</c:f>
              <c:strCache>
                <c:ptCount val="1"/>
                <c:pt idx="0">
                  <c:v>Annual Income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AR!$C$616:$C$635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21700</c:v>
                </c:pt>
                <c:pt idx="5">
                  <c:v>20000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36000</c:v>
                </c:pt>
                <c:pt idx="17">
                  <c:v>32400</c:v>
                </c:pt>
                <c:pt idx="18">
                  <c:v>36000</c:v>
                </c:pt>
                <c:pt idx="19">
                  <c:v>32400</c:v>
                </c:pt>
              </c:numCache>
            </c:numRef>
          </c:val>
        </c:ser>
        <c:ser>
          <c:idx val="1"/>
          <c:order val="1"/>
          <c:tx>
            <c:strRef>
              <c:f>AR!$D$614</c:f>
              <c:strCache>
                <c:ptCount val="1"/>
                <c:pt idx="0">
                  <c:v>Authorized Immigrant Annual Income Average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AR!$D$616:$D$635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21700</c:v>
                </c:pt>
                <c:pt idx="5">
                  <c:v>20000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36000</c:v>
                </c:pt>
                <c:pt idx="17">
                  <c:v>32400</c:v>
                </c:pt>
                <c:pt idx="18">
                  <c:v>36000</c:v>
                </c:pt>
                <c:pt idx="19">
                  <c:v>32400</c:v>
                </c:pt>
              </c:numCache>
            </c:numRef>
          </c:val>
        </c:ser>
        <c:ser>
          <c:idx val="2"/>
          <c:order val="2"/>
          <c:tx>
            <c:strRef>
              <c:f>AR!$E$614</c:f>
              <c:strCache>
                <c:ptCount val="1"/>
                <c:pt idx="0">
                  <c:v>Unauthorized Immigrant Annual Income Average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AR!$E$616:$E$635</c:f>
              <c:numCache>
                <c:formatCode>[$$-409]#,##0;[RED]\-[$$-409]#,##0</c:formatCode>
                <c:ptCount val="20"/>
                <c:pt idx="0">
                  <c:v>28050</c:v>
                </c:pt>
                <c:pt idx="1">
                  <c:v>27900</c:v>
                </c:pt>
                <c:pt idx="2">
                  <c:v>39000</c:v>
                </c:pt>
                <c:pt idx="3">
                  <c:v>32400</c:v>
                </c:pt>
                <c:pt idx="4">
                  <c:v>19400</c:v>
                </c:pt>
                <c:pt idx="5">
                  <c:v>17600</c:v>
                </c:pt>
                <c:pt idx="6">
                  <c:v>20800</c:v>
                </c:pt>
                <c:pt idx="7">
                  <c:v>17600</c:v>
                </c:pt>
                <c:pt idx="8">
                  <c:v>39000</c:v>
                </c:pt>
                <c:pt idx="9">
                  <c:v>32400</c:v>
                </c:pt>
                <c:pt idx="10">
                  <c:v>42900</c:v>
                </c:pt>
                <c:pt idx="11">
                  <c:v>36000</c:v>
                </c:pt>
                <c:pt idx="12">
                  <c:v>22950</c:v>
                </c:pt>
                <c:pt idx="13">
                  <c:v>20400</c:v>
                </c:pt>
                <c:pt idx="14">
                  <c:v>27225</c:v>
                </c:pt>
                <c:pt idx="15">
                  <c:v>23925</c:v>
                </c:pt>
                <c:pt idx="16">
                  <c:v>32400</c:v>
                </c:pt>
                <c:pt idx="17">
                  <c:v>28800</c:v>
                </c:pt>
                <c:pt idx="18">
                  <c:v>32400</c:v>
                </c:pt>
                <c:pt idx="19">
                  <c:v>28800</c:v>
                </c:pt>
              </c:numCache>
            </c:numRef>
          </c:val>
        </c:ser>
        <c:ser>
          <c:idx val="3"/>
          <c:order val="3"/>
          <c:tx>
            <c:strRef>
              <c:f>AR!$F$614</c:f>
              <c:strCache>
                <c:ptCount val="1"/>
                <c:pt idx="0">
                  <c:v>American Annual Income Average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AR!$F$616:$F$635</c:f>
              <c:numCache>
                <c:formatCode>[$$-409]#,##0;[RED]\-[$$-409]#,##0</c:formatCode>
                <c:ptCount val="20"/>
                <c:pt idx="0">
                  <c:v>34650</c:v>
                </c:pt>
                <c:pt idx="1">
                  <c:v>34200</c:v>
                </c:pt>
                <c:pt idx="2">
                  <c:v>46800</c:v>
                </c:pt>
                <c:pt idx="3">
                  <c:v>39600</c:v>
                </c:pt>
                <c:pt idx="4">
                  <c:v>24100</c:v>
                </c:pt>
                <c:pt idx="5">
                  <c:v>22400</c:v>
                </c:pt>
                <c:pt idx="6">
                  <c:v>25600</c:v>
                </c:pt>
                <c:pt idx="7">
                  <c:v>22400</c:v>
                </c:pt>
                <c:pt idx="8">
                  <c:v>46800</c:v>
                </c:pt>
                <c:pt idx="9">
                  <c:v>39600</c:v>
                </c:pt>
                <c:pt idx="10">
                  <c:v>50700</c:v>
                </c:pt>
                <c:pt idx="11">
                  <c:v>43200</c:v>
                </c:pt>
                <c:pt idx="12">
                  <c:v>28900</c:v>
                </c:pt>
                <c:pt idx="13">
                  <c:v>25500</c:v>
                </c:pt>
                <c:pt idx="14">
                  <c:v>33000</c:v>
                </c:pt>
                <c:pt idx="15">
                  <c:v>29700</c:v>
                </c:pt>
                <c:pt idx="16">
                  <c:v>39600</c:v>
                </c:pt>
                <c:pt idx="17">
                  <c:v>36000</c:v>
                </c:pt>
                <c:pt idx="18">
                  <c:v>39600</c:v>
                </c:pt>
                <c:pt idx="19">
                  <c:v>36000</c:v>
                </c:pt>
              </c:numCache>
            </c:numRef>
          </c:val>
        </c:ser>
        <c:gapWidth val="100"/>
        <c:overlap val="0"/>
        <c:axId val="24694555"/>
        <c:axId val="20920279"/>
      </c:barChart>
      <c:catAx>
        <c:axId val="246945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0920279"/>
        <c:crosses val="autoZero"/>
        <c:auto val="1"/>
        <c:lblAlgn val="ctr"/>
        <c:lblOffset val="100"/>
        <c:noMultiLvlLbl val="0"/>
      </c:catAx>
      <c:valAx>
        <c:axId val="209202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Annual Income</a:t>
                </a:r>
              </a:p>
            </c:rich>
          </c:tx>
          <c:layout>
            <c:manualLayout>
              <c:xMode val="edge"/>
              <c:yMode val="edge"/>
              <c:x val="0.447826808228268"/>
              <c:y val="0.975029242740172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46945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68316126735493"/>
          <c:w val="0.178507735058687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791307232913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AR!$C$732</c:f>
              <c:strCache>
                <c:ptCount val="1"/>
                <c:pt idx="0">
                  <c:v>Federal Personal Income Tax Revenue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AR!$C$734:$C$753</c:f>
              <c:numCache>
                <c:formatCode>[$$-409]#,##0;\-[$$-409]#,##0</c:formatCode>
                <c:ptCount val="20"/>
                <c:pt idx="0">
                  <c:v>39438</c:v>
                </c:pt>
                <c:pt idx="1">
                  <c:v>12410</c:v>
                </c:pt>
                <c:pt idx="2">
                  <c:v>2847828</c:v>
                </c:pt>
                <c:pt idx="3">
                  <c:v>717183</c:v>
                </c:pt>
                <c:pt idx="4">
                  <c:v>-5957249</c:v>
                </c:pt>
                <c:pt idx="5">
                  <c:v>-3733735</c:v>
                </c:pt>
                <c:pt idx="6">
                  <c:v>-1995240</c:v>
                </c:pt>
                <c:pt idx="7">
                  <c:v>-1515680</c:v>
                </c:pt>
                <c:pt idx="8">
                  <c:v>8048149</c:v>
                </c:pt>
                <c:pt idx="9">
                  <c:v>1881326</c:v>
                </c:pt>
                <c:pt idx="10">
                  <c:v>7712496</c:v>
                </c:pt>
                <c:pt idx="11">
                  <c:v>2288704</c:v>
                </c:pt>
                <c:pt idx="12">
                  <c:v>-3558876</c:v>
                </c:pt>
                <c:pt idx="13">
                  <c:v>-2982060</c:v>
                </c:pt>
                <c:pt idx="14">
                  <c:v>-43878</c:v>
                </c:pt>
                <c:pt idx="15">
                  <c:v>-450246</c:v>
                </c:pt>
                <c:pt idx="16">
                  <c:v>1011744</c:v>
                </c:pt>
                <c:pt idx="17">
                  <c:v>436104</c:v>
                </c:pt>
                <c:pt idx="18">
                  <c:v>2931600</c:v>
                </c:pt>
                <c:pt idx="19">
                  <c:v>1315440</c:v>
                </c:pt>
              </c:numCache>
            </c:numRef>
          </c:val>
        </c:ser>
        <c:ser>
          <c:idx val="1"/>
          <c:order val="1"/>
          <c:tx>
            <c:strRef>
              <c:f>AR!$D$732</c:f>
              <c:strCache>
                <c:ptCount val="1"/>
                <c:pt idx="0">
                  <c:v>Authorized Immigrant Federal Personal Income Tax Revenue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AR!$D$734:$D$753</c:f>
              <c:numCache>
                <c:formatCode>[$$-409]#,##0;\-[$$-409]#,##0</c:formatCode>
                <c:ptCount val="20"/>
                <c:pt idx="0">
                  <c:v>-60605</c:v>
                </c:pt>
                <c:pt idx="1">
                  <c:v>-32032</c:v>
                </c:pt>
                <c:pt idx="2">
                  <c:v>283902</c:v>
                </c:pt>
                <c:pt idx="3">
                  <c:v>29800</c:v>
                </c:pt>
                <c:pt idx="4">
                  <c:v>-1283977</c:v>
                </c:pt>
                <c:pt idx="5">
                  <c:v>-774867</c:v>
                </c:pt>
                <c:pt idx="6">
                  <c:v>-547080</c:v>
                </c:pt>
                <c:pt idx="7">
                  <c:v>-371448</c:v>
                </c:pt>
                <c:pt idx="8">
                  <c:v>822432</c:v>
                </c:pt>
                <c:pt idx="9">
                  <c:v>86336</c:v>
                </c:pt>
                <c:pt idx="10">
                  <c:v>1000400</c:v>
                </c:pt>
                <c:pt idx="11">
                  <c:v>227952</c:v>
                </c:pt>
                <c:pt idx="12">
                  <c:v>-559068</c:v>
                </c:pt>
                <c:pt idx="13">
                  <c:v>-377388</c:v>
                </c:pt>
                <c:pt idx="14">
                  <c:v>-172930</c:v>
                </c:pt>
                <c:pt idx="15">
                  <c:v>-154520</c:v>
                </c:pt>
                <c:pt idx="16">
                  <c:v>129920</c:v>
                </c:pt>
                <c:pt idx="17">
                  <c:v>58320</c:v>
                </c:pt>
                <c:pt idx="18">
                  <c:v>287280</c:v>
                </c:pt>
                <c:pt idx="19">
                  <c:v>129360</c:v>
                </c:pt>
              </c:numCache>
            </c:numRef>
          </c:val>
        </c:ser>
        <c:ser>
          <c:idx val="2"/>
          <c:order val="2"/>
          <c:tx>
            <c:strRef>
              <c:f>AR!$E$732</c:f>
              <c:strCache>
                <c:ptCount val="1"/>
                <c:pt idx="0">
                  <c:v>Unauthorized Immigrant Federal Personal Income Tax Revenue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AR!$E$734:$E$753</c:f>
              <c:numCache>
                <c:formatCode>[$$-409]#,##0;\-[$$-409]#,##0</c:formatCode>
                <c:ptCount val="20"/>
                <c:pt idx="0">
                  <c:v>89038</c:v>
                </c:pt>
                <c:pt idx="1">
                  <c:v>46958</c:v>
                </c:pt>
                <c:pt idx="2">
                  <c:v>716257</c:v>
                </c:pt>
                <c:pt idx="3">
                  <c:v>266459</c:v>
                </c:pt>
                <c:pt idx="4">
                  <c:v>258650</c:v>
                </c:pt>
                <c:pt idx="5">
                  <c:v>55887</c:v>
                </c:pt>
                <c:pt idx="6">
                  <c:v>226944</c:v>
                </c:pt>
                <c:pt idx="7">
                  <c:v>47024</c:v>
                </c:pt>
                <c:pt idx="8">
                  <c:v>1027408</c:v>
                </c:pt>
                <c:pt idx="9">
                  <c:v>382748</c:v>
                </c:pt>
                <c:pt idx="10">
                  <c:v>984000</c:v>
                </c:pt>
                <c:pt idx="11">
                  <c:v>385440</c:v>
                </c:pt>
                <c:pt idx="12">
                  <c:v>203172</c:v>
                </c:pt>
                <c:pt idx="13">
                  <c:v>71616</c:v>
                </c:pt>
                <c:pt idx="14">
                  <c:v>361410</c:v>
                </c:pt>
                <c:pt idx="15">
                  <c:v>139802</c:v>
                </c:pt>
                <c:pt idx="16">
                  <c:v>43520</c:v>
                </c:pt>
                <c:pt idx="17">
                  <c:v>18592</c:v>
                </c:pt>
                <c:pt idx="18">
                  <c:v>125160</c:v>
                </c:pt>
                <c:pt idx="19">
                  <c:v>53280</c:v>
                </c:pt>
              </c:numCache>
            </c:numRef>
          </c:val>
        </c:ser>
        <c:ser>
          <c:idx val="3"/>
          <c:order val="3"/>
          <c:tx>
            <c:strRef>
              <c:f>AR!$F$732</c:f>
              <c:strCache>
                <c:ptCount val="1"/>
                <c:pt idx="0">
                  <c:v>American Federal Personal Income Tax Revenue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AR!$F$734:$F$753</c:f>
              <c:numCache>
                <c:formatCode>[$$-409]#,##0;\-[$$-409]#,##0</c:formatCode>
                <c:ptCount val="20"/>
                <c:pt idx="0">
                  <c:v>11005</c:v>
                </c:pt>
                <c:pt idx="1">
                  <c:v>-2508</c:v>
                </c:pt>
                <c:pt idx="2">
                  <c:v>1845669</c:v>
                </c:pt>
                <c:pt idx="3">
                  <c:v>420924</c:v>
                </c:pt>
                <c:pt idx="4">
                  <c:v>-4935922</c:v>
                </c:pt>
                <c:pt idx="5">
                  <c:v>-3014755</c:v>
                </c:pt>
                <c:pt idx="6">
                  <c:v>-1675104</c:v>
                </c:pt>
                <c:pt idx="7">
                  <c:v>-1191256</c:v>
                </c:pt>
                <c:pt idx="8">
                  <c:v>6198309</c:v>
                </c:pt>
                <c:pt idx="9">
                  <c:v>1413242</c:v>
                </c:pt>
                <c:pt idx="10">
                  <c:v>5728096</c:v>
                </c:pt>
                <c:pt idx="11">
                  <c:v>1675312</c:v>
                </c:pt>
                <c:pt idx="12">
                  <c:v>-3200980</c:v>
                </c:pt>
                <c:pt idx="13">
                  <c:v>-2679288</c:v>
                </c:pt>
                <c:pt idx="14">
                  <c:v>-232358</c:v>
                </c:pt>
                <c:pt idx="15">
                  <c:v>-435528</c:v>
                </c:pt>
                <c:pt idx="16">
                  <c:v>837304</c:v>
                </c:pt>
                <c:pt idx="17">
                  <c:v>359192</c:v>
                </c:pt>
                <c:pt idx="18">
                  <c:v>2519160</c:v>
                </c:pt>
                <c:pt idx="19">
                  <c:v>1177800</c:v>
                </c:pt>
              </c:numCache>
            </c:numRef>
          </c:val>
        </c:ser>
        <c:gapWidth val="100"/>
        <c:overlap val="0"/>
        <c:axId val="573669"/>
        <c:axId val="4387360"/>
      </c:barChart>
      <c:catAx>
        <c:axId val="57366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387360"/>
        <c:crosses val="autoZero"/>
        <c:auto val="1"/>
        <c:lblAlgn val="ctr"/>
        <c:lblOffset val="100"/>
        <c:noMultiLvlLbl val="0"/>
      </c:catAx>
      <c:valAx>
        <c:axId val="4387360"/>
        <c:scaling>
          <c:orientation val="minMax"/>
          <c:max val="10000000"/>
          <c:min val="-7500000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Federal Personal Income Tax Revenue</a:t>
                </a:r>
              </a:p>
            </c:rich>
          </c:tx>
          <c:layout>
            <c:manualLayout>
              <c:xMode val="edge"/>
              <c:yMode val="edge"/>
              <c:x val="0.378234903782349"/>
              <c:y val="0.974571530285307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[RED]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3669"/>
        <c:crossesAt val="0"/>
        <c:crossBetween val="midCat"/>
        <c:majorUnit val="1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68316126735493"/>
          <c:w val="0.178507735058687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(Arkansas)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Payroll Tax Revenue By Industrial Labor Role</a:t>
            </a:r>
          </a:p>
        </c:rich>
      </c:tx>
      <c:layout>
        <c:manualLayout>
          <c:xMode val="edge"/>
          <c:yMode val="edge"/>
          <c:x val="0.160832780358328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AR!$C$848</c:f>
              <c:strCache>
                <c:ptCount val="1"/>
                <c:pt idx="0">
                  <c:v>Payroll Tax Revenue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AR!$C$850:$C$869</c:f>
              <c:numCache>
                <c:formatCode>[$$-409]#,##0;\-[$$-409]#,##0</c:formatCode>
                <c:ptCount val="20"/>
                <c:pt idx="0">
                  <c:v>2461839</c:v>
                </c:pt>
                <c:pt idx="1">
                  <c:v>1319527</c:v>
                </c:pt>
                <c:pt idx="2">
                  <c:v>12316235</c:v>
                </c:pt>
                <c:pt idx="3">
                  <c:v>5604728</c:v>
                </c:pt>
                <c:pt idx="4">
                  <c:v>19467256</c:v>
                </c:pt>
                <c:pt idx="5">
                  <c:v>9699945</c:v>
                </c:pt>
                <c:pt idx="6">
                  <c:v>9517715</c:v>
                </c:pt>
                <c:pt idx="7">
                  <c:v>4456290</c:v>
                </c:pt>
                <c:pt idx="8">
                  <c:v>37315841</c:v>
                </c:pt>
                <c:pt idx="9">
                  <c:v>16990767</c:v>
                </c:pt>
                <c:pt idx="10">
                  <c:v>29544584</c:v>
                </c:pt>
                <c:pt idx="11">
                  <c:v>13553228</c:v>
                </c:pt>
                <c:pt idx="12">
                  <c:v>24864658</c:v>
                </c:pt>
                <c:pt idx="13">
                  <c:v>11852893</c:v>
                </c:pt>
                <c:pt idx="14">
                  <c:v>10042253</c:v>
                </c:pt>
                <c:pt idx="15">
                  <c:v>4854301</c:v>
                </c:pt>
                <c:pt idx="16">
                  <c:v>6820744</c:v>
                </c:pt>
                <c:pt idx="17">
                  <c:v>3049974</c:v>
                </c:pt>
                <c:pt idx="18">
                  <c:v>11353392</c:v>
                </c:pt>
                <c:pt idx="19">
                  <c:v>5090616</c:v>
                </c:pt>
              </c:numCache>
            </c:numRef>
          </c:val>
        </c:ser>
        <c:ser>
          <c:idx val="1"/>
          <c:order val="1"/>
          <c:tx>
            <c:strRef>
              <c:f>AR!$D$848</c:f>
              <c:strCache>
                <c:ptCount val="1"/>
                <c:pt idx="0">
                  <c:v>Authorized Immigrant Payroll Tax Revenue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AR!$D$850:$D$869</c:f>
              <c:numCache>
                <c:formatCode>[$$-409]#,##0;\-[$$-409]#,##0</c:formatCode>
                <c:ptCount val="20"/>
                <c:pt idx="0">
                  <c:v>619802</c:v>
                </c:pt>
                <c:pt idx="1">
                  <c:v>334796</c:v>
                </c:pt>
                <c:pt idx="2">
                  <c:v>1812352</c:v>
                </c:pt>
                <c:pt idx="3">
                  <c:v>819851</c:v>
                </c:pt>
                <c:pt idx="4">
                  <c:v>2801943</c:v>
                </c:pt>
                <c:pt idx="5">
                  <c:v>1386043</c:v>
                </c:pt>
                <c:pt idx="6">
                  <c:v>1566016</c:v>
                </c:pt>
                <c:pt idx="7">
                  <c:v>728864</c:v>
                </c:pt>
                <c:pt idx="8">
                  <c:v>5251900</c:v>
                </c:pt>
                <c:pt idx="9">
                  <c:v>2376933</c:v>
                </c:pt>
                <c:pt idx="10">
                  <c:v>4787744</c:v>
                </c:pt>
                <c:pt idx="11">
                  <c:v>2184934</c:v>
                </c:pt>
                <c:pt idx="12">
                  <c:v>2159616</c:v>
                </c:pt>
                <c:pt idx="13">
                  <c:v>1047552</c:v>
                </c:pt>
                <c:pt idx="14">
                  <c:v>1413220</c:v>
                </c:pt>
                <c:pt idx="15">
                  <c:v>678078</c:v>
                </c:pt>
                <c:pt idx="16">
                  <c:v>1002612</c:v>
                </c:pt>
                <c:pt idx="17">
                  <c:v>450288</c:v>
                </c:pt>
                <c:pt idx="18">
                  <c:v>1646592</c:v>
                </c:pt>
                <c:pt idx="19">
                  <c:v>741960</c:v>
                </c:pt>
              </c:numCache>
            </c:numRef>
          </c:val>
        </c:ser>
        <c:ser>
          <c:idx val="2"/>
          <c:order val="2"/>
          <c:tx>
            <c:strRef>
              <c:f>AR!$E$848</c:f>
              <c:strCache>
                <c:ptCount val="1"/>
                <c:pt idx="0">
                  <c:v>Unauthorized Immigrant Payroll Tax Revenue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AR!$E$850:$E$869</c:f>
              <c:numCache>
                <c:formatCode>[$$-409]#,##0;\-[$$-409]#,##0</c:formatCode>
                <c:ptCount val="20"/>
                <c:pt idx="0">
                  <c:v>306813</c:v>
                </c:pt>
                <c:pt idx="1">
                  <c:v>162870</c:v>
                </c:pt>
                <c:pt idx="2">
                  <c:v>1668490</c:v>
                </c:pt>
                <c:pt idx="3">
                  <c:v>746748</c:v>
                </c:pt>
                <c:pt idx="4">
                  <c:v>2452451</c:v>
                </c:pt>
                <c:pt idx="5">
                  <c:v>1195496</c:v>
                </c:pt>
                <c:pt idx="6">
                  <c:v>1388651</c:v>
                </c:pt>
                <c:pt idx="7">
                  <c:v>633248</c:v>
                </c:pt>
                <c:pt idx="8">
                  <c:v>2395232</c:v>
                </c:pt>
                <c:pt idx="9">
                  <c:v>1072854</c:v>
                </c:pt>
                <c:pt idx="10">
                  <c:v>2132339</c:v>
                </c:pt>
                <c:pt idx="11">
                  <c:v>965234</c:v>
                </c:pt>
                <c:pt idx="12">
                  <c:v>970501</c:v>
                </c:pt>
                <c:pt idx="13">
                  <c:v>465533</c:v>
                </c:pt>
                <c:pt idx="14">
                  <c:v>1295489</c:v>
                </c:pt>
                <c:pt idx="15">
                  <c:v>614881</c:v>
                </c:pt>
                <c:pt idx="16">
                  <c:v>433620</c:v>
                </c:pt>
                <c:pt idx="17">
                  <c:v>194544</c:v>
                </c:pt>
                <c:pt idx="18">
                  <c:v>817740</c:v>
                </c:pt>
                <c:pt idx="19">
                  <c:v>366912</c:v>
                </c:pt>
              </c:numCache>
            </c:numRef>
          </c:val>
        </c:ser>
        <c:ser>
          <c:idx val="3"/>
          <c:order val="3"/>
          <c:tx>
            <c:strRef>
              <c:f>AR!$F$848</c:f>
              <c:strCache>
                <c:ptCount val="1"/>
                <c:pt idx="0">
                  <c:v>American Payroll Tax Revenue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AR!$F$850:$F$869</c:f>
              <c:numCache>
                <c:formatCode>[$$-409]#,##0;\-[$$-409]#,##0</c:formatCode>
                <c:ptCount val="20"/>
                <c:pt idx="0">
                  <c:v>1534224</c:v>
                </c:pt>
                <c:pt idx="1">
                  <c:v>820861</c:v>
                </c:pt>
                <c:pt idx="2">
                  <c:v>8845393</c:v>
                </c:pt>
                <c:pt idx="3">
                  <c:v>4038129</c:v>
                </c:pt>
                <c:pt idx="4">
                  <c:v>14212862</c:v>
                </c:pt>
                <c:pt idx="5">
                  <c:v>7118406</c:v>
                </c:pt>
                <c:pt idx="6">
                  <c:v>6573048</c:v>
                </c:pt>
                <c:pt idx="7">
                  <c:v>3094178</c:v>
                </c:pt>
                <c:pt idx="8">
                  <c:v>31768709</c:v>
                </c:pt>
                <c:pt idx="9">
                  <c:v>13540980</c:v>
                </c:pt>
                <c:pt idx="10">
                  <c:v>24574501</c:v>
                </c:pt>
                <c:pt idx="11">
                  <c:v>10403060</c:v>
                </c:pt>
                <c:pt idx="12">
                  <c:v>21724541</c:v>
                </c:pt>
                <c:pt idx="13">
                  <c:v>10339808</c:v>
                </c:pt>
                <c:pt idx="14">
                  <c:v>7733544</c:v>
                </c:pt>
                <c:pt idx="15">
                  <c:v>3561342</c:v>
                </c:pt>
                <c:pt idx="16">
                  <c:v>5384512</c:v>
                </c:pt>
                <c:pt idx="17">
                  <c:v>2405142</c:v>
                </c:pt>
                <c:pt idx="18">
                  <c:v>8889060</c:v>
                </c:pt>
                <c:pt idx="19">
                  <c:v>4287744</c:v>
                </c:pt>
              </c:numCache>
            </c:numRef>
          </c:val>
        </c:ser>
        <c:gapWidth val="100"/>
        <c:overlap val="0"/>
        <c:axId val="68175950"/>
        <c:axId val="14268265"/>
      </c:barChart>
      <c:catAx>
        <c:axId val="6817595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4268265"/>
        <c:crosses val="autoZero"/>
        <c:auto val="1"/>
        <c:lblAlgn val="ctr"/>
        <c:lblOffset val="100"/>
        <c:noMultiLvlLbl val="0"/>
      </c:catAx>
      <c:valAx>
        <c:axId val="14268265"/>
        <c:scaling>
          <c:orientation val="minMax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Payroll Tax Revenue</a:t>
                </a:r>
              </a:p>
            </c:rich>
          </c:tx>
          <c:layout>
            <c:manualLayout>
              <c:xMode val="edge"/>
              <c:yMode val="edge"/>
              <c:x val="0.438619774386198"/>
              <c:y val="0.975232670497889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175950"/>
        <c:crosses val="autoZero"/>
        <c:crossBetween val="midCat"/>
        <c:majorUnit val="5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89855673523557"/>
          <c:y val="0.468316126735493"/>
          <c:w val="0.199701381112355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201061712011"/>
          <c:y val="0.0241570462289579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FL!$C$145</c:f>
              <c:strCache>
                <c:ptCount val="1"/>
                <c:pt idx="0">
                  <c:v>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FL!$C$147:$C$166</c:f>
              <c:numCache>
                <c:formatCode>0.00%</c:formatCode>
                <c:ptCount val="20"/>
                <c:pt idx="0">
                  <c:v>0.8746</c:v>
                </c:pt>
                <c:pt idx="1">
                  <c:v>0.8749</c:v>
                </c:pt>
                <c:pt idx="2">
                  <c:v>0.9001</c:v>
                </c:pt>
                <c:pt idx="3">
                  <c:v>0.9</c:v>
                </c:pt>
                <c:pt idx="4">
                  <c:v>0.8729</c:v>
                </c:pt>
                <c:pt idx="5">
                  <c:v>0.8729</c:v>
                </c:pt>
                <c:pt idx="6">
                  <c:v>0.8697</c:v>
                </c:pt>
                <c:pt idx="7">
                  <c:v>0.8697</c:v>
                </c:pt>
                <c:pt idx="8">
                  <c:v>0.9179</c:v>
                </c:pt>
                <c:pt idx="9">
                  <c:v>0.9179</c:v>
                </c:pt>
                <c:pt idx="10">
                  <c:v>0.9077</c:v>
                </c:pt>
                <c:pt idx="11">
                  <c:v>0.9077</c:v>
                </c:pt>
                <c:pt idx="12">
                  <c:v>0.8849</c:v>
                </c:pt>
                <c:pt idx="13">
                  <c:v>0.8849</c:v>
                </c:pt>
                <c:pt idx="14">
                  <c:v>0.8776</c:v>
                </c:pt>
                <c:pt idx="15">
                  <c:v>0.8775</c:v>
                </c:pt>
                <c:pt idx="16">
                  <c:v>0.8843</c:v>
                </c:pt>
                <c:pt idx="17">
                  <c:v>0.8843</c:v>
                </c:pt>
                <c:pt idx="18">
                  <c:v>0.8891</c:v>
                </c:pt>
                <c:pt idx="19">
                  <c:v>0.8891</c:v>
                </c:pt>
              </c:numCache>
            </c:numRef>
          </c:val>
        </c:ser>
        <c:ser>
          <c:idx val="1"/>
          <c:order val="1"/>
          <c:tx>
            <c:strRef>
              <c:f>FL!$D$145</c:f>
              <c:strCache>
                <c:ptCount val="1"/>
                <c:pt idx="0">
                  <c:v>Authorized Immigrant 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FL!$D$147:$D$166</c:f>
              <c:numCache>
                <c:formatCode>0.00%</c:formatCode>
                <c:ptCount val="20"/>
                <c:pt idx="0">
                  <c:v>0.75</c:v>
                </c:pt>
                <c:pt idx="1">
                  <c:v>0.75</c:v>
                </c:pt>
                <c:pt idx="2">
                  <c:v>0.752</c:v>
                </c:pt>
                <c:pt idx="3">
                  <c:v>0.752</c:v>
                </c:pt>
                <c:pt idx="4">
                  <c:v>0.715</c:v>
                </c:pt>
                <c:pt idx="5">
                  <c:v>0.715</c:v>
                </c:pt>
                <c:pt idx="6">
                  <c:v>0.716</c:v>
                </c:pt>
                <c:pt idx="7">
                  <c:v>0.716</c:v>
                </c:pt>
                <c:pt idx="8">
                  <c:v>0.76</c:v>
                </c:pt>
                <c:pt idx="9">
                  <c:v>0.76</c:v>
                </c:pt>
                <c:pt idx="10">
                  <c:v>0.75</c:v>
                </c:pt>
                <c:pt idx="11">
                  <c:v>0.75</c:v>
                </c:pt>
                <c:pt idx="12">
                  <c:v>0.698</c:v>
                </c:pt>
                <c:pt idx="13">
                  <c:v>0.698</c:v>
                </c:pt>
                <c:pt idx="14">
                  <c:v>0.73</c:v>
                </c:pt>
                <c:pt idx="15">
                  <c:v>0.73</c:v>
                </c:pt>
                <c:pt idx="16">
                  <c:v>0.715</c:v>
                </c:pt>
                <c:pt idx="17">
                  <c:v>0.715</c:v>
                </c:pt>
                <c:pt idx="18">
                  <c:v>0.716</c:v>
                </c:pt>
                <c:pt idx="19">
                  <c:v>0.716</c:v>
                </c:pt>
              </c:numCache>
            </c:numRef>
          </c:val>
        </c:ser>
        <c:ser>
          <c:idx val="2"/>
          <c:order val="2"/>
          <c:tx>
            <c:strRef>
              <c:f>FL!$E$145</c:f>
              <c:strCache>
                <c:ptCount val="1"/>
                <c:pt idx="0">
                  <c:v>Unauthorized Immigrant 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FL!$E$147:$E$166</c:f>
              <c:numCache>
                <c:formatCode>0.00%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0.802</c:v>
                </c:pt>
                <c:pt idx="3">
                  <c:v>0.802</c:v>
                </c:pt>
                <c:pt idx="4">
                  <c:v>0.765</c:v>
                </c:pt>
                <c:pt idx="5">
                  <c:v>0.765</c:v>
                </c:pt>
                <c:pt idx="6">
                  <c:v>0.766</c:v>
                </c:pt>
                <c:pt idx="7">
                  <c:v>0.766</c:v>
                </c:pt>
                <c:pt idx="8">
                  <c:v>0.81</c:v>
                </c:pt>
                <c:pt idx="9">
                  <c:v>0.81</c:v>
                </c:pt>
                <c:pt idx="10">
                  <c:v>0.8</c:v>
                </c:pt>
                <c:pt idx="11">
                  <c:v>0.8</c:v>
                </c:pt>
                <c:pt idx="12">
                  <c:v>0.748</c:v>
                </c:pt>
                <c:pt idx="13">
                  <c:v>0.748</c:v>
                </c:pt>
                <c:pt idx="14">
                  <c:v>0.78</c:v>
                </c:pt>
                <c:pt idx="15">
                  <c:v>0.78</c:v>
                </c:pt>
                <c:pt idx="16">
                  <c:v>0.765</c:v>
                </c:pt>
                <c:pt idx="17">
                  <c:v>0.765</c:v>
                </c:pt>
                <c:pt idx="18">
                  <c:v>0.766</c:v>
                </c:pt>
                <c:pt idx="19">
                  <c:v>0.766</c:v>
                </c:pt>
              </c:numCache>
            </c:numRef>
          </c:val>
        </c:ser>
        <c:ser>
          <c:idx val="3"/>
          <c:order val="3"/>
          <c:tx>
            <c:strRef>
              <c:f>FL!$F$145</c:f>
              <c:strCache>
                <c:ptCount val="1"/>
                <c:pt idx="0">
                  <c:v>American 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FL!$F$147:$F$166</c:f>
              <c:numCache>
                <c:formatCode>0.00%</c:formatCode>
                <c:ptCount val="20"/>
                <c:pt idx="0">
                  <c:v>0.95</c:v>
                </c:pt>
                <c:pt idx="1">
                  <c:v>0.95</c:v>
                </c:pt>
                <c:pt idx="2">
                  <c:v>0.945</c:v>
                </c:pt>
                <c:pt idx="3">
                  <c:v>0.945</c:v>
                </c:pt>
                <c:pt idx="4">
                  <c:v>0.92</c:v>
                </c:pt>
                <c:pt idx="5">
                  <c:v>0.92</c:v>
                </c:pt>
                <c:pt idx="6">
                  <c:v>0.924</c:v>
                </c:pt>
                <c:pt idx="7">
                  <c:v>0.924</c:v>
                </c:pt>
                <c:pt idx="8">
                  <c:v>0.95</c:v>
                </c:pt>
                <c:pt idx="9">
                  <c:v>0.95</c:v>
                </c:pt>
                <c:pt idx="10">
                  <c:v>0.945</c:v>
                </c:pt>
                <c:pt idx="11">
                  <c:v>0.945</c:v>
                </c:pt>
                <c:pt idx="12">
                  <c:v>0.908</c:v>
                </c:pt>
                <c:pt idx="13">
                  <c:v>0.908</c:v>
                </c:pt>
                <c:pt idx="14">
                  <c:v>0.92</c:v>
                </c:pt>
                <c:pt idx="15">
                  <c:v>0.92</c:v>
                </c:pt>
                <c:pt idx="16">
                  <c:v>0.918</c:v>
                </c:pt>
                <c:pt idx="17">
                  <c:v>0.918</c:v>
                </c:pt>
                <c:pt idx="18">
                  <c:v>0.916</c:v>
                </c:pt>
                <c:pt idx="19">
                  <c:v>0.916</c:v>
                </c:pt>
              </c:numCache>
            </c:numRef>
          </c:val>
        </c:ser>
        <c:gapWidth val="100"/>
        <c:overlap val="0"/>
        <c:axId val="50452489"/>
        <c:axId val="7429978"/>
      </c:barChart>
      <c:catAx>
        <c:axId val="5045248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429978"/>
        <c:crosses val="autoZero"/>
        <c:auto val="1"/>
        <c:lblAlgn val="ctr"/>
        <c:lblOffset val="100"/>
        <c:noMultiLvlLbl val="0"/>
      </c:catAx>
      <c:valAx>
        <c:axId val="74299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45248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89913735899"/>
          <c:y val="0.473401820678432"/>
          <c:w val="0.180166728878935"/>
          <c:h val="0.10893833439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5036362711692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FL!$C$262</c:f>
              <c:strCache>
                <c:ptCount val="1"/>
                <c:pt idx="0">
                  <c:v>Unemployment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FL!$C$264:$C$283</c:f>
              <c:numCache>
                <c:formatCode>0.00%</c:formatCode>
                <c:ptCount val="20"/>
                <c:pt idx="0">
                  <c:v>0.1254</c:v>
                </c:pt>
                <c:pt idx="1">
                  <c:v>0.1251</c:v>
                </c:pt>
                <c:pt idx="2">
                  <c:v>0.0999</c:v>
                </c:pt>
                <c:pt idx="3">
                  <c:v>0.1</c:v>
                </c:pt>
                <c:pt idx="4">
                  <c:v>0.1271</c:v>
                </c:pt>
                <c:pt idx="5">
                  <c:v>0.1271</c:v>
                </c:pt>
                <c:pt idx="6">
                  <c:v>0.1303</c:v>
                </c:pt>
                <c:pt idx="7">
                  <c:v>0.1303</c:v>
                </c:pt>
                <c:pt idx="8">
                  <c:v>0.0821</c:v>
                </c:pt>
                <c:pt idx="9">
                  <c:v>0.0821</c:v>
                </c:pt>
                <c:pt idx="10">
                  <c:v>0.0923</c:v>
                </c:pt>
                <c:pt idx="11">
                  <c:v>0.0923</c:v>
                </c:pt>
                <c:pt idx="12">
                  <c:v>0.1151</c:v>
                </c:pt>
                <c:pt idx="13">
                  <c:v>0.1151</c:v>
                </c:pt>
                <c:pt idx="14">
                  <c:v>0.1224</c:v>
                </c:pt>
                <c:pt idx="15">
                  <c:v>0.1225</c:v>
                </c:pt>
                <c:pt idx="16">
                  <c:v>0.1157</c:v>
                </c:pt>
                <c:pt idx="17">
                  <c:v>0.1157</c:v>
                </c:pt>
                <c:pt idx="18">
                  <c:v>0.1109</c:v>
                </c:pt>
                <c:pt idx="19">
                  <c:v>0.1109</c:v>
                </c:pt>
              </c:numCache>
            </c:numRef>
          </c:val>
        </c:ser>
        <c:ser>
          <c:idx val="1"/>
          <c:order val="1"/>
          <c:tx>
            <c:strRef>
              <c:f>FL!$D$262</c:f>
              <c:strCache>
                <c:ptCount val="1"/>
                <c:pt idx="0">
                  <c:v>Authorized Immigrant Unemployment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FL!$D$264:$D$283</c:f>
              <c:numCache>
                <c:formatCode>0.00%</c:formatCode>
                <c:ptCount val="20"/>
                <c:pt idx="0">
                  <c:v>0.25</c:v>
                </c:pt>
                <c:pt idx="1">
                  <c:v>0.25</c:v>
                </c:pt>
                <c:pt idx="2">
                  <c:v>0.248</c:v>
                </c:pt>
                <c:pt idx="3">
                  <c:v>0.248</c:v>
                </c:pt>
                <c:pt idx="4">
                  <c:v>0.285</c:v>
                </c:pt>
                <c:pt idx="5">
                  <c:v>0.285</c:v>
                </c:pt>
                <c:pt idx="6">
                  <c:v>0.284</c:v>
                </c:pt>
                <c:pt idx="7">
                  <c:v>0.284</c:v>
                </c:pt>
                <c:pt idx="8">
                  <c:v>0.24</c:v>
                </c:pt>
                <c:pt idx="9">
                  <c:v>0.24</c:v>
                </c:pt>
                <c:pt idx="10">
                  <c:v>0.25</c:v>
                </c:pt>
                <c:pt idx="11">
                  <c:v>0.25</c:v>
                </c:pt>
                <c:pt idx="12">
                  <c:v>0.302</c:v>
                </c:pt>
                <c:pt idx="13">
                  <c:v>0.302</c:v>
                </c:pt>
                <c:pt idx="14">
                  <c:v>0.27</c:v>
                </c:pt>
                <c:pt idx="15">
                  <c:v>0.27</c:v>
                </c:pt>
                <c:pt idx="16">
                  <c:v>0.285</c:v>
                </c:pt>
                <c:pt idx="17">
                  <c:v>0.285</c:v>
                </c:pt>
                <c:pt idx="18">
                  <c:v>0.284</c:v>
                </c:pt>
                <c:pt idx="19">
                  <c:v>0.284</c:v>
                </c:pt>
              </c:numCache>
            </c:numRef>
          </c:val>
        </c:ser>
        <c:ser>
          <c:idx val="2"/>
          <c:order val="2"/>
          <c:tx>
            <c:strRef>
              <c:f>FL!$E$262</c:f>
              <c:strCache>
                <c:ptCount val="1"/>
                <c:pt idx="0">
                  <c:v>Unauthorized Immigrant Unemployment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FL!$E$264:$E$283</c:f>
              <c:numCache>
                <c:formatCode>0.00%</c:formatCode>
                <c:ptCount val="20"/>
                <c:pt idx="0">
                  <c:v>0.2</c:v>
                </c:pt>
                <c:pt idx="1">
                  <c:v>0.2</c:v>
                </c:pt>
                <c:pt idx="2">
                  <c:v>0.198</c:v>
                </c:pt>
                <c:pt idx="3">
                  <c:v>0.198</c:v>
                </c:pt>
                <c:pt idx="4">
                  <c:v>0.235</c:v>
                </c:pt>
                <c:pt idx="5">
                  <c:v>0.235</c:v>
                </c:pt>
                <c:pt idx="6">
                  <c:v>0.234</c:v>
                </c:pt>
                <c:pt idx="7">
                  <c:v>0.234</c:v>
                </c:pt>
                <c:pt idx="8">
                  <c:v>0.19</c:v>
                </c:pt>
                <c:pt idx="9">
                  <c:v>0.19</c:v>
                </c:pt>
                <c:pt idx="10">
                  <c:v>0.2</c:v>
                </c:pt>
                <c:pt idx="11">
                  <c:v>0.2</c:v>
                </c:pt>
                <c:pt idx="12">
                  <c:v>0.252</c:v>
                </c:pt>
                <c:pt idx="13">
                  <c:v>0.252</c:v>
                </c:pt>
                <c:pt idx="14">
                  <c:v>0.22</c:v>
                </c:pt>
                <c:pt idx="15">
                  <c:v>0.22</c:v>
                </c:pt>
                <c:pt idx="16">
                  <c:v>0.235</c:v>
                </c:pt>
                <c:pt idx="17">
                  <c:v>0.235</c:v>
                </c:pt>
                <c:pt idx="18">
                  <c:v>0.234</c:v>
                </c:pt>
                <c:pt idx="19">
                  <c:v>0.234</c:v>
                </c:pt>
              </c:numCache>
            </c:numRef>
          </c:val>
        </c:ser>
        <c:ser>
          <c:idx val="3"/>
          <c:order val="3"/>
          <c:tx>
            <c:strRef>
              <c:f>FL!$F$262</c:f>
              <c:strCache>
                <c:ptCount val="1"/>
                <c:pt idx="0">
                  <c:v>American Unemployment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FL!$F$264:$F$283</c:f>
              <c:numCache>
                <c:formatCode>0.00%</c:formatCode>
                <c:ptCount val="20"/>
                <c:pt idx="0">
                  <c:v>0.05</c:v>
                </c:pt>
                <c:pt idx="1">
                  <c:v>0.05</c:v>
                </c:pt>
                <c:pt idx="2">
                  <c:v>0.055</c:v>
                </c:pt>
                <c:pt idx="3">
                  <c:v>0.055</c:v>
                </c:pt>
                <c:pt idx="4">
                  <c:v>0.08</c:v>
                </c:pt>
                <c:pt idx="5">
                  <c:v>0.08</c:v>
                </c:pt>
                <c:pt idx="6">
                  <c:v>0.076</c:v>
                </c:pt>
                <c:pt idx="7">
                  <c:v>0.076</c:v>
                </c:pt>
                <c:pt idx="8">
                  <c:v>0.05</c:v>
                </c:pt>
                <c:pt idx="9">
                  <c:v>0.05</c:v>
                </c:pt>
                <c:pt idx="10">
                  <c:v>0.055</c:v>
                </c:pt>
                <c:pt idx="11">
                  <c:v>0.055</c:v>
                </c:pt>
                <c:pt idx="12">
                  <c:v>0.092</c:v>
                </c:pt>
                <c:pt idx="13">
                  <c:v>0.092</c:v>
                </c:pt>
                <c:pt idx="14">
                  <c:v>0.08</c:v>
                </c:pt>
                <c:pt idx="15">
                  <c:v>0.08</c:v>
                </c:pt>
                <c:pt idx="16">
                  <c:v>0.082</c:v>
                </c:pt>
                <c:pt idx="17">
                  <c:v>0.082</c:v>
                </c:pt>
                <c:pt idx="18">
                  <c:v>0.084</c:v>
                </c:pt>
                <c:pt idx="19">
                  <c:v>0.084</c:v>
                </c:pt>
              </c:numCache>
            </c:numRef>
          </c:val>
        </c:ser>
        <c:gapWidth val="100"/>
        <c:overlap val="0"/>
        <c:axId val="87268827"/>
        <c:axId val="93909446"/>
      </c:barChart>
      <c:catAx>
        <c:axId val="8726882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3909446"/>
        <c:crosses val="autoZero"/>
        <c:auto val="1"/>
        <c:lblAlgn val="ctr"/>
        <c:lblOffset val="100"/>
        <c:noMultiLvlLbl val="0"/>
      </c:catAx>
      <c:valAx>
        <c:axId val="939094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726882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0802919708"/>
          <c:y val="0.468341555205208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Underemployment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60535015002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FL!$C$379</c:f>
              <c:strCache>
                <c:ptCount val="1"/>
                <c:pt idx="0">
                  <c:v>Underemployment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FL!$C$380:$C$400</c:f>
              <c:numCache>
                <c:formatCode>0.00%</c:formatCode>
                <c:ptCount val="21"/>
                <c:pt idx="0">
                  <c:v>0.0809</c:v>
                </c:pt>
                <c:pt idx="1">
                  <c:v>0.0841</c:v>
                </c:pt>
                <c:pt idx="2">
                  <c:v>0.0841</c:v>
                </c:pt>
                <c:pt idx="3">
                  <c:v>0.0827</c:v>
                </c:pt>
                <c:pt idx="4">
                  <c:v>0.0827</c:v>
                </c:pt>
                <c:pt idx="5">
                  <c:v>0.1137</c:v>
                </c:pt>
                <c:pt idx="6">
                  <c:v>0.1137</c:v>
                </c:pt>
                <c:pt idx="7">
                  <c:v>0.1135</c:v>
                </c:pt>
                <c:pt idx="8">
                  <c:v>0.1135</c:v>
                </c:pt>
                <c:pt idx="9">
                  <c:v>0.1022</c:v>
                </c:pt>
                <c:pt idx="10">
                  <c:v>0.1022</c:v>
                </c:pt>
                <c:pt idx="11">
                  <c:v>0.1018</c:v>
                </c:pt>
                <c:pt idx="12">
                  <c:v>0.1018</c:v>
                </c:pt>
                <c:pt idx="13">
                  <c:v>0.1144</c:v>
                </c:pt>
                <c:pt idx="14">
                  <c:v>0.1144</c:v>
                </c:pt>
                <c:pt idx="15">
                  <c:v>0.1037</c:v>
                </c:pt>
                <c:pt idx="16">
                  <c:v>0.1037</c:v>
                </c:pt>
                <c:pt idx="17">
                  <c:v>0.104</c:v>
                </c:pt>
                <c:pt idx="18">
                  <c:v>0.104</c:v>
                </c:pt>
                <c:pt idx="19">
                  <c:v>0.1034</c:v>
                </c:pt>
                <c:pt idx="20">
                  <c:v>0.1034</c:v>
                </c:pt>
              </c:numCache>
            </c:numRef>
          </c:val>
        </c:ser>
        <c:ser>
          <c:idx val="1"/>
          <c:order val="1"/>
          <c:tx>
            <c:strRef>
              <c:f>FL!$D$379</c:f>
              <c:strCache>
                <c:ptCount val="1"/>
                <c:pt idx="0">
                  <c:v>Authorized Immigrant Underemployment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FL!$D$380:$D$400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2"/>
          <c:order val="2"/>
          <c:tx>
            <c:strRef>
              <c:f>FL!$E$379</c:f>
              <c:strCache>
                <c:ptCount val="1"/>
                <c:pt idx="0">
                  <c:v>Unauthorized Immigrant Underemployment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FL!$E$380:$E$400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3"/>
          <c:order val="3"/>
          <c:tx>
            <c:strRef>
              <c:f>FL!$F$379</c:f>
              <c:strCache>
                <c:ptCount val="1"/>
                <c:pt idx="0">
                  <c:v>American Underemployment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FL!$F$380:$F$400</c:f>
              <c:numCache>
                <c:formatCode>0.00%</c:formatCode>
                <c:ptCount val="2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0.115</c:v>
                </c:pt>
                <c:pt idx="6">
                  <c:v>0.115</c:v>
                </c:pt>
                <c:pt idx="7">
                  <c:v>0.115</c:v>
                </c:pt>
                <c:pt idx="8">
                  <c:v>0.115</c:v>
                </c:pt>
                <c:pt idx="9">
                  <c:v>0.105</c:v>
                </c:pt>
                <c:pt idx="10">
                  <c:v>0.105</c:v>
                </c:pt>
                <c:pt idx="11">
                  <c:v>0.105</c:v>
                </c:pt>
                <c:pt idx="12">
                  <c:v>0.105</c:v>
                </c:pt>
                <c:pt idx="13">
                  <c:v>0.115</c:v>
                </c:pt>
                <c:pt idx="14">
                  <c:v>0.115</c:v>
                </c:pt>
                <c:pt idx="15">
                  <c:v>0.105</c:v>
                </c:pt>
                <c:pt idx="16">
                  <c:v>0.105</c:v>
                </c:pt>
                <c:pt idx="17">
                  <c:v>0.105</c:v>
                </c:pt>
                <c:pt idx="18">
                  <c:v>0.105</c:v>
                </c:pt>
                <c:pt idx="19">
                  <c:v>0.105</c:v>
                </c:pt>
                <c:pt idx="20">
                  <c:v>0.105</c:v>
                </c:pt>
              </c:numCache>
            </c:numRef>
          </c:val>
        </c:ser>
        <c:gapWidth val="100"/>
        <c:overlap val="0"/>
        <c:axId val="37662995"/>
        <c:axId val="55594828"/>
      </c:barChart>
      <c:catAx>
        <c:axId val="376629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5594828"/>
        <c:crosses val="autoZero"/>
        <c:auto val="1"/>
        <c:lblAlgn val="ctr"/>
        <c:lblOffset val="100"/>
        <c:noMultiLvlLbl val="0"/>
      </c:catAx>
      <c:valAx>
        <c:axId val="5559482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Underemployment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766299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0802919708"/>
          <c:y val="0.468316126735493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Wage Average By Industrial Labor Role</a:t>
            </a:r>
          </a:p>
        </c:rich>
      </c:tx>
      <c:layout>
        <c:manualLayout>
          <c:xMode val="edge"/>
          <c:yMode val="edge"/>
          <c:x val="0.160459522229595"/>
          <c:y val="0.01960535015002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FL!$C$497</c:f>
              <c:strCache>
                <c:ptCount val="1"/>
                <c:pt idx="0">
                  <c:v>Wage Average ($/hr)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FL!$C$498:$C$518</c:f>
              <c:numCache>
                <c:formatCode>[$$-409]#,##0.00;[RED]\-[$$-409]#,##0.00</c:formatCode>
                <c:ptCount val="21"/>
                <c:pt idx="0">
                  <c:v>14.2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14.5</c:v>
                </c:pt>
                <c:pt idx="6">
                  <c:v>13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1"/>
          <c:order val="1"/>
          <c:tx>
            <c:strRef>
              <c:f>FL!$D$497</c:f>
              <c:strCache>
                <c:ptCount val="1"/>
                <c:pt idx="0">
                  <c:v>Authorized Immigrant Wage Average ($/hr)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FL!$D$498:$D$518</c:f>
              <c:numCache>
                <c:formatCode>[$$-409]#,##0.00;[RED]\-[$$-409]#,##0.00</c:formatCode>
                <c:ptCount val="21"/>
                <c:pt idx="0">
                  <c:v>10.7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14.5</c:v>
                </c:pt>
                <c:pt idx="6">
                  <c:v>13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2"/>
          <c:order val="2"/>
          <c:tx>
            <c:strRef>
              <c:f>FL!$E$497</c:f>
              <c:strCache>
                <c:ptCount val="1"/>
                <c:pt idx="0">
                  <c:v>Unauthorized Immigrant Wage Average ($/hr)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FL!$E$498:$E$518</c:f>
              <c:numCache>
                <c:formatCode>[$$-409]#,##0.00;[RED]\-[$$-409]#,##0.00</c:formatCode>
                <c:ptCount val="21"/>
                <c:pt idx="0">
                  <c:v>10.7</c:v>
                </c:pt>
                <c:pt idx="1">
                  <c:v>17</c:v>
                </c:pt>
                <c:pt idx="2">
                  <c:v>15.5</c:v>
                </c:pt>
                <c:pt idx="3">
                  <c:v>20</c:v>
                </c:pt>
                <c:pt idx="4">
                  <c:v>18</c:v>
                </c:pt>
                <c:pt idx="5">
                  <c:v>13</c:v>
                </c:pt>
                <c:pt idx="6">
                  <c:v>11.5</c:v>
                </c:pt>
                <c:pt idx="7">
                  <c:v>13</c:v>
                </c:pt>
                <c:pt idx="8">
                  <c:v>11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20</c:v>
                </c:pt>
                <c:pt idx="13">
                  <c:v>13.5</c:v>
                </c:pt>
                <c:pt idx="14">
                  <c:v>12</c:v>
                </c:pt>
                <c:pt idx="15">
                  <c:v>16.5</c:v>
                </c:pt>
                <c:pt idx="16">
                  <c:v>14.5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16</c:v>
                </c:pt>
              </c:numCache>
            </c:numRef>
          </c:val>
        </c:ser>
        <c:ser>
          <c:idx val="3"/>
          <c:order val="3"/>
          <c:tx>
            <c:strRef>
              <c:f>FL!$F$497</c:f>
              <c:strCache>
                <c:ptCount val="1"/>
                <c:pt idx="0">
                  <c:v>American Wage Average ($/hr)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0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FL!$F$498:$F$518</c:f>
              <c:numCache>
                <c:formatCode>[$$-409]#,##0.00;\-[$$-409]#,##0.00</c:formatCode>
                <c:ptCount val="21"/>
                <c:pt idx="0">
                  <c:v>14.4</c:v>
                </c:pt>
                <c:pt idx="1">
                  <c:v>21</c:v>
                </c:pt>
                <c:pt idx="2">
                  <c:v>19</c:v>
                </c:pt>
                <c:pt idx="3">
                  <c:v>24</c:v>
                </c:pt>
                <c:pt idx="4">
                  <c:v>22</c:v>
                </c:pt>
                <c:pt idx="5">
                  <c:v>16</c:v>
                </c:pt>
                <c:pt idx="6">
                  <c:v>14.5</c:v>
                </c:pt>
                <c:pt idx="7">
                  <c:v>16</c:v>
                </c:pt>
                <c:pt idx="8">
                  <c:v>14</c:v>
                </c:pt>
                <c:pt idx="9">
                  <c:v>24</c:v>
                </c:pt>
                <c:pt idx="10">
                  <c:v>22</c:v>
                </c:pt>
                <c:pt idx="11">
                  <c:v>26</c:v>
                </c:pt>
                <c:pt idx="12">
                  <c:v>24</c:v>
                </c:pt>
                <c:pt idx="13">
                  <c:v>17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22</c:v>
                </c:pt>
                <c:pt idx="18">
                  <c:v>20</c:v>
                </c:pt>
                <c:pt idx="19">
                  <c:v>22</c:v>
                </c:pt>
                <c:pt idx="20">
                  <c:v>20</c:v>
                </c:pt>
              </c:numCache>
            </c:numRef>
          </c:val>
        </c:ser>
        <c:gapWidth val="100"/>
        <c:overlap val="0"/>
        <c:axId val="85282378"/>
        <c:axId val="80958158"/>
      </c:barChart>
      <c:catAx>
        <c:axId val="8528237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0958158"/>
        <c:crosses val="autoZero"/>
        <c:auto val="1"/>
        <c:lblAlgn val="ctr"/>
        <c:lblOffset val="100"/>
        <c:noMultiLvlLbl val="0"/>
      </c:catAx>
      <c:valAx>
        <c:axId val="8095815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Wage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528237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3007631055076"/>
          <c:y val="0.468316126735493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28400796284"/>
          <c:y val="0.0241570462289579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FL!$C$27</c:f>
              <c:strCache>
                <c:ptCount val="1"/>
                <c:pt idx="0">
                  <c:v>Total Population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FL!$C$29:$C$48</c:f>
              <c:numCache>
                <c:formatCode>General</c:formatCode>
                <c:ptCount val="20"/>
                <c:pt idx="0">
                  <c:v>3705</c:v>
                </c:pt>
                <c:pt idx="1">
                  <c:v>2000</c:v>
                </c:pt>
                <c:pt idx="2">
                  <c:v>13446</c:v>
                </c:pt>
                <c:pt idx="3">
                  <c:v>7254</c:v>
                </c:pt>
                <c:pt idx="4">
                  <c:v>43148</c:v>
                </c:pt>
                <c:pt idx="5">
                  <c:v>23274</c:v>
                </c:pt>
                <c:pt idx="6">
                  <c:v>19200</c:v>
                </c:pt>
                <c:pt idx="7">
                  <c:v>10360</c:v>
                </c:pt>
                <c:pt idx="8">
                  <c:v>40200</c:v>
                </c:pt>
                <c:pt idx="9">
                  <c:v>21690</c:v>
                </c:pt>
                <c:pt idx="10">
                  <c:v>29415</c:v>
                </c:pt>
                <c:pt idx="11">
                  <c:v>15865</c:v>
                </c:pt>
                <c:pt idx="12">
                  <c:v>43148</c:v>
                </c:pt>
                <c:pt idx="13">
                  <c:v>23274</c:v>
                </c:pt>
                <c:pt idx="14">
                  <c:v>15600</c:v>
                </c:pt>
                <c:pt idx="15">
                  <c:v>8415</c:v>
                </c:pt>
                <c:pt idx="16">
                  <c:v>11415</c:v>
                </c:pt>
                <c:pt idx="17">
                  <c:v>6158</c:v>
                </c:pt>
                <c:pt idx="18">
                  <c:v>21060</c:v>
                </c:pt>
                <c:pt idx="19">
                  <c:v>11357</c:v>
                </c:pt>
              </c:numCache>
            </c:numRef>
          </c:val>
        </c:ser>
        <c:ser>
          <c:idx val="1"/>
          <c:order val="1"/>
          <c:tx>
            <c:strRef>
              <c:f>FL!$D$27</c:f>
              <c:strCache>
                <c:ptCount val="1"/>
                <c:pt idx="0">
                  <c:v>Authorized Population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FL!$D$29:$D$48</c:f>
              <c:numCache>
                <c:formatCode>General</c:formatCode>
                <c:ptCount val="20"/>
                <c:pt idx="0">
                  <c:v>996</c:v>
                </c:pt>
                <c:pt idx="1">
                  <c:v>537</c:v>
                </c:pt>
                <c:pt idx="2">
                  <c:v>2074</c:v>
                </c:pt>
                <c:pt idx="3">
                  <c:v>1118</c:v>
                </c:pt>
                <c:pt idx="4">
                  <c:v>6590</c:v>
                </c:pt>
                <c:pt idx="5">
                  <c:v>3555</c:v>
                </c:pt>
                <c:pt idx="6">
                  <c:v>3316</c:v>
                </c:pt>
                <c:pt idx="7">
                  <c:v>1790</c:v>
                </c:pt>
                <c:pt idx="8">
                  <c:v>6024</c:v>
                </c:pt>
                <c:pt idx="9">
                  <c:v>2892</c:v>
                </c:pt>
                <c:pt idx="10">
                  <c:v>5034</c:v>
                </c:pt>
                <c:pt idx="11">
                  <c:v>2709</c:v>
                </c:pt>
                <c:pt idx="12">
                  <c:v>4163</c:v>
                </c:pt>
                <c:pt idx="13">
                  <c:v>2242</c:v>
                </c:pt>
                <c:pt idx="14">
                  <c:v>2340</c:v>
                </c:pt>
                <c:pt idx="15">
                  <c:v>1262</c:v>
                </c:pt>
                <c:pt idx="16">
                  <c:v>1754</c:v>
                </c:pt>
                <c:pt idx="17">
                  <c:v>942</c:v>
                </c:pt>
                <c:pt idx="18">
                  <c:v>3222</c:v>
                </c:pt>
                <c:pt idx="19">
                  <c:v>1738</c:v>
                </c:pt>
              </c:numCache>
            </c:numRef>
          </c:val>
        </c:ser>
        <c:ser>
          <c:idx val="2"/>
          <c:order val="2"/>
          <c:tx>
            <c:strRef>
              <c:f>FL!$E$27</c:f>
              <c:strCache>
                <c:ptCount val="1"/>
                <c:pt idx="0">
                  <c:v>Unauthorized Population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FL!$E$29:$E$48</c:f>
              <c:numCache>
                <c:formatCode>General</c:formatCode>
                <c:ptCount val="20"/>
                <c:pt idx="0">
                  <c:v>536</c:v>
                </c:pt>
                <c:pt idx="1">
                  <c:v>289</c:v>
                </c:pt>
                <c:pt idx="2">
                  <c:v>2101</c:v>
                </c:pt>
                <c:pt idx="3">
                  <c:v>1134</c:v>
                </c:pt>
                <c:pt idx="4">
                  <c:v>6486</c:v>
                </c:pt>
                <c:pt idx="5">
                  <c:v>3498</c:v>
                </c:pt>
                <c:pt idx="6">
                  <c:v>3281</c:v>
                </c:pt>
                <c:pt idx="7">
                  <c:v>1769</c:v>
                </c:pt>
                <c:pt idx="8">
                  <c:v>3018</c:v>
                </c:pt>
                <c:pt idx="9">
                  <c:v>1626</c:v>
                </c:pt>
                <c:pt idx="10">
                  <c:v>2447</c:v>
                </c:pt>
                <c:pt idx="11">
                  <c:v>1317</c:v>
                </c:pt>
                <c:pt idx="12">
                  <c:v>2078</c:v>
                </c:pt>
                <c:pt idx="13">
                  <c:v>1121</c:v>
                </c:pt>
                <c:pt idx="14">
                  <c:v>2340</c:v>
                </c:pt>
                <c:pt idx="15">
                  <c:v>1262</c:v>
                </c:pt>
                <c:pt idx="16">
                  <c:v>775</c:v>
                </c:pt>
                <c:pt idx="17">
                  <c:v>421</c:v>
                </c:pt>
                <c:pt idx="18">
                  <c:v>1580</c:v>
                </c:pt>
                <c:pt idx="19">
                  <c:v>850</c:v>
                </c:pt>
              </c:numCache>
            </c:numRef>
          </c:val>
        </c:ser>
        <c:ser>
          <c:idx val="3"/>
          <c:order val="3"/>
          <c:tx>
            <c:strRef>
              <c:f>FL!$F$27</c:f>
              <c:strCache>
                <c:ptCount val="1"/>
                <c:pt idx="0">
                  <c:v>American Population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FL!$F$29:$F$48</c:f>
              <c:numCache>
                <c:formatCode>General</c:formatCode>
                <c:ptCount val="20"/>
                <c:pt idx="0">
                  <c:v>2173</c:v>
                </c:pt>
                <c:pt idx="1">
                  <c:v>1174</c:v>
                </c:pt>
                <c:pt idx="2">
                  <c:v>9271</c:v>
                </c:pt>
                <c:pt idx="3">
                  <c:v>5002</c:v>
                </c:pt>
                <c:pt idx="4">
                  <c:v>30072</c:v>
                </c:pt>
                <c:pt idx="5">
                  <c:v>16221</c:v>
                </c:pt>
                <c:pt idx="6">
                  <c:v>12603</c:v>
                </c:pt>
                <c:pt idx="7">
                  <c:v>6801</c:v>
                </c:pt>
                <c:pt idx="8">
                  <c:v>31158</c:v>
                </c:pt>
                <c:pt idx="9">
                  <c:v>17172</c:v>
                </c:pt>
                <c:pt idx="10">
                  <c:v>21934</c:v>
                </c:pt>
                <c:pt idx="11">
                  <c:v>11839</c:v>
                </c:pt>
                <c:pt idx="12">
                  <c:v>36907</c:v>
                </c:pt>
                <c:pt idx="13">
                  <c:v>19911</c:v>
                </c:pt>
                <c:pt idx="14">
                  <c:v>10920</c:v>
                </c:pt>
                <c:pt idx="15">
                  <c:v>5891</c:v>
                </c:pt>
                <c:pt idx="16">
                  <c:v>8886</c:v>
                </c:pt>
                <c:pt idx="17">
                  <c:v>4795</c:v>
                </c:pt>
                <c:pt idx="18">
                  <c:v>16258</c:v>
                </c:pt>
                <c:pt idx="19">
                  <c:v>8769</c:v>
                </c:pt>
              </c:numCache>
            </c:numRef>
          </c:val>
        </c:ser>
        <c:gapWidth val="100"/>
        <c:overlap val="0"/>
        <c:axId val="21480656"/>
        <c:axId val="71817868"/>
      </c:barChart>
      <c:catAx>
        <c:axId val="2148065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1817868"/>
        <c:crosses val="autoZero"/>
        <c:auto val="1"/>
        <c:lblAlgn val="ctr"/>
        <c:lblOffset val="100"/>
        <c:noMultiLvlLbl val="0"/>
      </c:catAx>
      <c:valAx>
        <c:axId val="71817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Laborer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148065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73401820678432"/>
          <c:w val="0.180166728878935"/>
          <c:h val="0.10893833439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625414731254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6066688785667"/>
          <c:y val="0.0872196511213955"/>
          <c:w val="0.453259787657598"/>
          <c:h val="0.836291511976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FL!$C$614</c:f>
              <c:strCache>
                <c:ptCount val="1"/>
                <c:pt idx="0">
                  <c:v>Annual Income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FL!$C$616:$C$635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22475</c:v>
                </c:pt>
                <c:pt idx="5">
                  <c:v>20800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36000</c:v>
                </c:pt>
                <c:pt idx="17">
                  <c:v>32400</c:v>
                </c:pt>
                <c:pt idx="18">
                  <c:v>36000</c:v>
                </c:pt>
                <c:pt idx="19">
                  <c:v>32400</c:v>
                </c:pt>
              </c:numCache>
            </c:numRef>
          </c:val>
        </c:ser>
        <c:ser>
          <c:idx val="1"/>
          <c:order val="1"/>
          <c:tx>
            <c:strRef>
              <c:f>FL!$D$614</c:f>
              <c:strCache>
                <c:ptCount val="1"/>
                <c:pt idx="0">
                  <c:v>Authorized Immigrant Annual Income Average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FL!$D$616:$D$635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22475</c:v>
                </c:pt>
                <c:pt idx="5">
                  <c:v>20800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36000</c:v>
                </c:pt>
                <c:pt idx="17">
                  <c:v>32400</c:v>
                </c:pt>
                <c:pt idx="18">
                  <c:v>36000</c:v>
                </c:pt>
                <c:pt idx="19">
                  <c:v>32400</c:v>
                </c:pt>
              </c:numCache>
            </c:numRef>
          </c:val>
        </c:ser>
        <c:ser>
          <c:idx val="2"/>
          <c:order val="2"/>
          <c:tx>
            <c:strRef>
              <c:f>FL!$E$614</c:f>
              <c:strCache>
                <c:ptCount val="1"/>
                <c:pt idx="0">
                  <c:v>Unauthorized Immigrant Annual Income Average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FL!$E$616:$E$635</c:f>
              <c:numCache>
                <c:formatCode>[$$-409]#,##0;[RED]\-[$$-409]#,##0</c:formatCode>
                <c:ptCount val="20"/>
                <c:pt idx="0">
                  <c:v>28050</c:v>
                </c:pt>
                <c:pt idx="1">
                  <c:v>27900</c:v>
                </c:pt>
                <c:pt idx="2">
                  <c:v>39000</c:v>
                </c:pt>
                <c:pt idx="3">
                  <c:v>32400</c:v>
                </c:pt>
                <c:pt idx="4">
                  <c:v>20150</c:v>
                </c:pt>
                <c:pt idx="5">
                  <c:v>18400</c:v>
                </c:pt>
                <c:pt idx="6">
                  <c:v>20800</c:v>
                </c:pt>
                <c:pt idx="7">
                  <c:v>17600</c:v>
                </c:pt>
                <c:pt idx="8">
                  <c:v>39000</c:v>
                </c:pt>
                <c:pt idx="9">
                  <c:v>32400</c:v>
                </c:pt>
                <c:pt idx="10">
                  <c:v>42900</c:v>
                </c:pt>
                <c:pt idx="11">
                  <c:v>36000</c:v>
                </c:pt>
                <c:pt idx="12">
                  <c:v>22950</c:v>
                </c:pt>
                <c:pt idx="13">
                  <c:v>20400</c:v>
                </c:pt>
                <c:pt idx="14">
                  <c:v>27225</c:v>
                </c:pt>
                <c:pt idx="15">
                  <c:v>23925</c:v>
                </c:pt>
                <c:pt idx="16">
                  <c:v>32400</c:v>
                </c:pt>
                <c:pt idx="17">
                  <c:v>28800</c:v>
                </c:pt>
                <c:pt idx="18">
                  <c:v>32400</c:v>
                </c:pt>
                <c:pt idx="19">
                  <c:v>28800</c:v>
                </c:pt>
              </c:numCache>
            </c:numRef>
          </c:val>
        </c:ser>
        <c:ser>
          <c:idx val="3"/>
          <c:order val="3"/>
          <c:tx>
            <c:strRef>
              <c:f>FL!$F$614</c:f>
              <c:strCache>
                <c:ptCount val="1"/>
                <c:pt idx="0">
                  <c:v>American Annual Income Average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FL!$F$616:$F$635</c:f>
              <c:numCache>
                <c:formatCode>[$$-409]#,##0;[RED]\-[$$-409]#,##0</c:formatCode>
                <c:ptCount val="20"/>
                <c:pt idx="0">
                  <c:v>34650</c:v>
                </c:pt>
                <c:pt idx="1">
                  <c:v>34200</c:v>
                </c:pt>
                <c:pt idx="2">
                  <c:v>46800</c:v>
                </c:pt>
                <c:pt idx="3">
                  <c:v>39600</c:v>
                </c:pt>
                <c:pt idx="4">
                  <c:v>24800</c:v>
                </c:pt>
                <c:pt idx="5">
                  <c:v>23200</c:v>
                </c:pt>
                <c:pt idx="6">
                  <c:v>25600</c:v>
                </c:pt>
                <c:pt idx="7">
                  <c:v>22400</c:v>
                </c:pt>
                <c:pt idx="8">
                  <c:v>46800</c:v>
                </c:pt>
                <c:pt idx="9">
                  <c:v>39600</c:v>
                </c:pt>
                <c:pt idx="10">
                  <c:v>50700</c:v>
                </c:pt>
                <c:pt idx="11">
                  <c:v>43200</c:v>
                </c:pt>
                <c:pt idx="12">
                  <c:v>28900</c:v>
                </c:pt>
                <c:pt idx="13">
                  <c:v>25500</c:v>
                </c:pt>
                <c:pt idx="14">
                  <c:v>33000</c:v>
                </c:pt>
                <c:pt idx="15">
                  <c:v>29700</c:v>
                </c:pt>
                <c:pt idx="16">
                  <c:v>39600</c:v>
                </c:pt>
                <c:pt idx="17">
                  <c:v>36000</c:v>
                </c:pt>
                <c:pt idx="18">
                  <c:v>39600</c:v>
                </c:pt>
                <c:pt idx="19">
                  <c:v>36000</c:v>
                </c:pt>
              </c:numCache>
            </c:numRef>
          </c:val>
        </c:ser>
        <c:gapWidth val="100"/>
        <c:overlap val="0"/>
        <c:axId val="73833666"/>
        <c:axId val="97386294"/>
      </c:barChart>
      <c:catAx>
        <c:axId val="7383366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7386294"/>
        <c:crosses val="autoZero"/>
        <c:auto val="1"/>
        <c:lblAlgn val="ctr"/>
        <c:lblOffset val="100"/>
        <c:noMultiLvlLbl val="0"/>
      </c:catAx>
      <c:valAx>
        <c:axId val="973862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Annual Income</a:t>
                </a:r>
              </a:p>
            </c:rich>
          </c:tx>
          <c:layout>
            <c:manualLayout>
              <c:xMode val="edge"/>
              <c:yMode val="edge"/>
              <c:x val="0.447868281353683"/>
              <c:y val="0.975029242740172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383366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68316126735493"/>
          <c:w val="0.178507735058687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832780358328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FL!$C$732</c:f>
              <c:strCache>
                <c:ptCount val="1"/>
                <c:pt idx="0">
                  <c:v>Federal Personal Income Tax Revenue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FL!$C$734:$C$753</c:f>
              <c:numCache>
                <c:formatCode>[$$-409]#,##0;\-[$$-409]#,##0</c:formatCode>
                <c:ptCount val="20"/>
                <c:pt idx="0">
                  <c:v>296357</c:v>
                </c:pt>
                <c:pt idx="1">
                  <c:v>93395</c:v>
                </c:pt>
                <c:pt idx="2">
                  <c:v>21406000</c:v>
                </c:pt>
                <c:pt idx="3">
                  <c:v>5389000</c:v>
                </c:pt>
                <c:pt idx="4">
                  <c:v>-44860000</c:v>
                </c:pt>
                <c:pt idx="5">
                  <c:v>-28094000</c:v>
                </c:pt>
                <c:pt idx="6">
                  <c:v>-15004000</c:v>
                </c:pt>
                <c:pt idx="7">
                  <c:v>-11397000</c:v>
                </c:pt>
                <c:pt idx="8">
                  <c:v>60510000</c:v>
                </c:pt>
                <c:pt idx="9">
                  <c:v>14145000</c:v>
                </c:pt>
                <c:pt idx="10">
                  <c:v>58006000</c:v>
                </c:pt>
                <c:pt idx="11">
                  <c:v>17210000</c:v>
                </c:pt>
                <c:pt idx="12">
                  <c:v>-26760000</c:v>
                </c:pt>
                <c:pt idx="13">
                  <c:v>-22425000</c:v>
                </c:pt>
                <c:pt idx="14">
                  <c:v>-329000</c:v>
                </c:pt>
                <c:pt idx="15">
                  <c:v>-3384000</c:v>
                </c:pt>
                <c:pt idx="16">
                  <c:v>7610000</c:v>
                </c:pt>
                <c:pt idx="17">
                  <c:v>3278000</c:v>
                </c:pt>
                <c:pt idx="18">
                  <c:v>22046000</c:v>
                </c:pt>
                <c:pt idx="19">
                  <c:v>9893000</c:v>
                </c:pt>
              </c:numCache>
            </c:numRef>
          </c:val>
        </c:ser>
        <c:ser>
          <c:idx val="1"/>
          <c:order val="1"/>
          <c:tx>
            <c:strRef>
              <c:f>FL!$D$732</c:f>
              <c:strCache>
                <c:ptCount val="1"/>
                <c:pt idx="0">
                  <c:v>Authorized Immigrant Federal Personal Income Tax Revenue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FL!$D$734:$D$753</c:f>
              <c:numCache>
                <c:formatCode>[$$-409]#,##0;\-[$$-409]#,##0</c:formatCode>
                <c:ptCount val="20"/>
                <c:pt idx="0">
                  <c:v>-457561</c:v>
                </c:pt>
                <c:pt idx="1">
                  <c:v>-169247</c:v>
                </c:pt>
                <c:pt idx="2">
                  <c:v>2137000</c:v>
                </c:pt>
                <c:pt idx="3">
                  <c:v>223000</c:v>
                </c:pt>
                <c:pt idx="4">
                  <c:v>-9675000</c:v>
                </c:pt>
                <c:pt idx="5">
                  <c:v>-5831000</c:v>
                </c:pt>
                <c:pt idx="6">
                  <c:v>-4111000</c:v>
                </c:pt>
                <c:pt idx="7">
                  <c:v>-2792000</c:v>
                </c:pt>
                <c:pt idx="8">
                  <c:v>6180000</c:v>
                </c:pt>
                <c:pt idx="9">
                  <c:v>649000</c:v>
                </c:pt>
                <c:pt idx="10">
                  <c:v>7522000</c:v>
                </c:pt>
                <c:pt idx="11">
                  <c:v>1713000</c:v>
                </c:pt>
                <c:pt idx="12">
                  <c:v>-4203000</c:v>
                </c:pt>
                <c:pt idx="13">
                  <c:v>-2836000</c:v>
                </c:pt>
                <c:pt idx="14">
                  <c:v>-1300000</c:v>
                </c:pt>
                <c:pt idx="15">
                  <c:v>-1161000</c:v>
                </c:pt>
                <c:pt idx="16">
                  <c:v>976000</c:v>
                </c:pt>
                <c:pt idx="17">
                  <c:v>438000</c:v>
                </c:pt>
                <c:pt idx="18">
                  <c:v>2160000</c:v>
                </c:pt>
                <c:pt idx="19">
                  <c:v>973000</c:v>
                </c:pt>
              </c:numCache>
            </c:numRef>
          </c:val>
        </c:ser>
        <c:ser>
          <c:idx val="2"/>
          <c:order val="2"/>
          <c:tx>
            <c:strRef>
              <c:f>FL!$E$732</c:f>
              <c:strCache>
                <c:ptCount val="1"/>
                <c:pt idx="0">
                  <c:v>Unauthorized Immigrant Federal Personal Income Tax Revenue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FL!$E$734:$E$753</c:f>
              <c:numCache>
                <c:formatCode>[$$-409]#,##0;\-[$$-409]#,##0</c:formatCode>
                <c:ptCount val="20"/>
                <c:pt idx="0">
                  <c:v>561813</c:v>
                </c:pt>
                <c:pt idx="1">
                  <c:v>9938000</c:v>
                </c:pt>
                <c:pt idx="2">
                  <c:v>5391000</c:v>
                </c:pt>
                <c:pt idx="3">
                  <c:v>2001000</c:v>
                </c:pt>
                <c:pt idx="4">
                  <c:v>1945000</c:v>
                </c:pt>
                <c:pt idx="5">
                  <c:v>420000</c:v>
                </c:pt>
                <c:pt idx="6">
                  <c:v>1706000</c:v>
                </c:pt>
                <c:pt idx="7">
                  <c:v>354000</c:v>
                </c:pt>
                <c:pt idx="8">
                  <c:v>7721000</c:v>
                </c:pt>
                <c:pt idx="9">
                  <c:v>2876000</c:v>
                </c:pt>
                <c:pt idx="10">
                  <c:v>7400000</c:v>
                </c:pt>
                <c:pt idx="11">
                  <c:v>2897000</c:v>
                </c:pt>
                <c:pt idx="12">
                  <c:v>1527000</c:v>
                </c:pt>
                <c:pt idx="13">
                  <c:v>538000</c:v>
                </c:pt>
                <c:pt idx="14">
                  <c:v>2717000</c:v>
                </c:pt>
                <c:pt idx="15">
                  <c:v>1051000</c:v>
                </c:pt>
                <c:pt idx="16">
                  <c:v>327000</c:v>
                </c:pt>
                <c:pt idx="17">
                  <c:v>140000</c:v>
                </c:pt>
                <c:pt idx="18">
                  <c:v>941000</c:v>
                </c:pt>
                <c:pt idx="19">
                  <c:v>400000</c:v>
                </c:pt>
              </c:numCache>
            </c:numRef>
          </c:val>
        </c:ser>
        <c:ser>
          <c:idx val="3"/>
          <c:order val="3"/>
          <c:tx>
            <c:strRef>
              <c:f>FL!$F$732</c:f>
              <c:strCache>
                <c:ptCount val="1"/>
                <c:pt idx="0">
                  <c:v>American Federal Personal Income Tax Revenue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FL!$F$734:$F$753</c:f>
              <c:numCache>
                <c:formatCode>[$$-409]#,##0;\-[$$-409]#,##0</c:formatCode>
                <c:ptCount val="20"/>
                <c:pt idx="0">
                  <c:v>-181095</c:v>
                </c:pt>
                <c:pt idx="1">
                  <c:v>1242000</c:v>
                </c:pt>
                <c:pt idx="2">
                  <c:v>13878000</c:v>
                </c:pt>
                <c:pt idx="3">
                  <c:v>3165000</c:v>
                </c:pt>
                <c:pt idx="4">
                  <c:v>-37130000</c:v>
                </c:pt>
                <c:pt idx="5">
                  <c:v>-22683000</c:v>
                </c:pt>
                <c:pt idx="6">
                  <c:v>-12599000</c:v>
                </c:pt>
                <c:pt idx="7">
                  <c:v>-8959000</c:v>
                </c:pt>
                <c:pt idx="8">
                  <c:v>46609000</c:v>
                </c:pt>
                <c:pt idx="9">
                  <c:v>10620000</c:v>
                </c:pt>
                <c:pt idx="10">
                  <c:v>43084000</c:v>
                </c:pt>
                <c:pt idx="11">
                  <c:v>12600000</c:v>
                </c:pt>
                <c:pt idx="12">
                  <c:v>-24084000</c:v>
                </c:pt>
                <c:pt idx="13">
                  <c:v>-20127000</c:v>
                </c:pt>
                <c:pt idx="14">
                  <c:v>-1746000</c:v>
                </c:pt>
                <c:pt idx="15">
                  <c:v>-3274000</c:v>
                </c:pt>
                <c:pt idx="16">
                  <c:v>6307000</c:v>
                </c:pt>
                <c:pt idx="17">
                  <c:v>2700000</c:v>
                </c:pt>
                <c:pt idx="18">
                  <c:v>18945000</c:v>
                </c:pt>
                <c:pt idx="19">
                  <c:v>8520000</c:v>
                </c:pt>
              </c:numCache>
            </c:numRef>
          </c:val>
        </c:ser>
        <c:gapWidth val="100"/>
        <c:overlap val="0"/>
        <c:axId val="69755938"/>
        <c:axId val="24363299"/>
      </c:barChart>
      <c:catAx>
        <c:axId val="697559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4363299"/>
        <c:crosses val="autoZero"/>
        <c:auto val="1"/>
        <c:lblAlgn val="ctr"/>
        <c:lblOffset val="100"/>
        <c:noMultiLvlLbl val="0"/>
      </c:catAx>
      <c:valAx>
        <c:axId val="24363299"/>
        <c:scaling>
          <c:orientation val="minMax"/>
          <c:max val="70000000"/>
          <c:min val="-50000000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Federal Personal Income Tax Revenue</a:t>
                </a:r>
              </a:p>
            </c:rich>
          </c:tx>
          <c:layout>
            <c:manualLayout>
              <c:xMode val="edge"/>
              <c:yMode val="edge"/>
              <c:x val="0.378276376907764"/>
              <c:y val="0.974571530285307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[RED]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9755938"/>
        <c:crossesAt val="0"/>
        <c:crossBetween val="midCat"/>
        <c:majorUnit val="2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68316126735493"/>
          <c:w val="0.178507735058687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(Florida)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Payroll Tax Revenue By Industrial Labor Role</a:t>
            </a:r>
          </a:p>
        </c:rich>
      </c:tx>
      <c:layout>
        <c:manualLayout>
          <c:xMode val="edge"/>
          <c:yMode val="edge"/>
          <c:x val="0.160832780358328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FL!$C$848</c:f>
              <c:strCache>
                <c:ptCount val="1"/>
                <c:pt idx="0">
                  <c:v>Payroll Tax Revenue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FL!$C$850:$C$869</c:f>
              <c:numCache>
                <c:formatCode>[$$-409]#,##0;\-[$$-409]#,##0</c:formatCode>
                <c:ptCount val="20"/>
                <c:pt idx="0">
                  <c:v>18531000</c:v>
                </c:pt>
                <c:pt idx="1">
                  <c:v>1220000</c:v>
                </c:pt>
                <c:pt idx="2">
                  <c:v>92634000</c:v>
                </c:pt>
                <c:pt idx="3">
                  <c:v>42102000</c:v>
                </c:pt>
                <c:pt idx="4">
                  <c:v>146448000</c:v>
                </c:pt>
                <c:pt idx="5">
                  <c:v>72967000</c:v>
                </c:pt>
                <c:pt idx="6">
                  <c:v>71526000</c:v>
                </c:pt>
                <c:pt idx="7">
                  <c:v>33502000</c:v>
                </c:pt>
                <c:pt idx="8">
                  <c:v>280646000</c:v>
                </c:pt>
                <c:pt idx="9">
                  <c:v>127726000</c:v>
                </c:pt>
                <c:pt idx="10">
                  <c:v>222199000</c:v>
                </c:pt>
                <c:pt idx="11">
                  <c:v>101935000</c:v>
                </c:pt>
                <c:pt idx="12">
                  <c:v>187018000</c:v>
                </c:pt>
                <c:pt idx="13">
                  <c:v>89138000</c:v>
                </c:pt>
                <c:pt idx="14">
                  <c:v>75507000</c:v>
                </c:pt>
                <c:pt idx="15">
                  <c:v>36490000</c:v>
                </c:pt>
                <c:pt idx="16">
                  <c:v>51305000</c:v>
                </c:pt>
                <c:pt idx="17">
                  <c:v>22933000</c:v>
                </c:pt>
                <c:pt idx="18">
                  <c:v>85390000</c:v>
                </c:pt>
                <c:pt idx="19">
                  <c:v>38296000</c:v>
                </c:pt>
              </c:numCache>
            </c:numRef>
          </c:val>
        </c:ser>
        <c:ser>
          <c:idx val="1"/>
          <c:order val="1"/>
          <c:tx>
            <c:strRef>
              <c:f>FL!$D$848</c:f>
              <c:strCache>
                <c:ptCount val="1"/>
                <c:pt idx="0">
                  <c:v>Authorized Immigrant Payroll Tax Revenue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FL!$D$850:$D$869</c:f>
              <c:numCache>
                <c:formatCode>[$$-409]#,##0;\-[$$-409]#,##0</c:formatCode>
                <c:ptCount val="20"/>
                <c:pt idx="0">
                  <c:v>227000</c:v>
                </c:pt>
                <c:pt idx="1">
                  <c:v>6476000</c:v>
                </c:pt>
                <c:pt idx="2">
                  <c:v>13605000</c:v>
                </c:pt>
                <c:pt idx="3">
                  <c:v>6158000</c:v>
                </c:pt>
                <c:pt idx="4">
                  <c:v>21078000</c:v>
                </c:pt>
                <c:pt idx="5">
                  <c:v>10417000</c:v>
                </c:pt>
                <c:pt idx="6">
                  <c:v>11774000</c:v>
                </c:pt>
                <c:pt idx="7">
                  <c:v>5479000</c:v>
                </c:pt>
                <c:pt idx="8">
                  <c:v>39513000</c:v>
                </c:pt>
                <c:pt idx="9">
                  <c:v>17853000</c:v>
                </c:pt>
                <c:pt idx="10">
                  <c:v>35988000</c:v>
                </c:pt>
                <c:pt idx="11">
                  <c:v>16410000</c:v>
                </c:pt>
                <c:pt idx="12">
                  <c:v>16247000</c:v>
                </c:pt>
                <c:pt idx="13">
                  <c:v>7876000</c:v>
                </c:pt>
                <c:pt idx="14">
                  <c:v>10620000</c:v>
                </c:pt>
                <c:pt idx="15">
                  <c:v>5098000</c:v>
                </c:pt>
                <c:pt idx="16">
                  <c:v>7537000</c:v>
                </c:pt>
                <c:pt idx="17">
                  <c:v>3383000</c:v>
                </c:pt>
                <c:pt idx="18">
                  <c:v>12375000</c:v>
                </c:pt>
                <c:pt idx="19">
                  <c:v>5579000</c:v>
                </c:pt>
              </c:numCache>
            </c:numRef>
          </c:val>
        </c:ser>
        <c:ser>
          <c:idx val="2"/>
          <c:order val="2"/>
          <c:tx>
            <c:strRef>
              <c:f>FL!$E$848</c:f>
              <c:strCache>
                <c:ptCount val="1"/>
                <c:pt idx="0">
                  <c:v>Unauthorized Immigrant Payroll Tax Revenue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FL!$E$850:$E$869</c:f>
              <c:numCache>
                <c:formatCode>[$$-409]#,##0;\-[$$-409]#,##0</c:formatCode>
                <c:ptCount val="20"/>
                <c:pt idx="0">
                  <c:v>11515000</c:v>
                </c:pt>
                <c:pt idx="1">
                  <c:v>162870</c:v>
                </c:pt>
                <c:pt idx="2">
                  <c:v>12523000</c:v>
                </c:pt>
                <c:pt idx="3">
                  <c:v>5605000</c:v>
                </c:pt>
                <c:pt idx="4">
                  <c:v>18457000</c:v>
                </c:pt>
                <c:pt idx="5">
                  <c:v>8986000</c:v>
                </c:pt>
                <c:pt idx="6">
                  <c:v>10439000</c:v>
                </c:pt>
                <c:pt idx="7">
                  <c:v>4760000</c:v>
                </c:pt>
                <c:pt idx="8">
                  <c:v>17977000</c:v>
                </c:pt>
                <c:pt idx="9">
                  <c:v>8059000</c:v>
                </c:pt>
                <c:pt idx="10">
                  <c:v>16022000</c:v>
                </c:pt>
                <c:pt idx="11">
                  <c:v>7249000</c:v>
                </c:pt>
                <c:pt idx="12">
                  <c:v>7299000</c:v>
                </c:pt>
                <c:pt idx="13">
                  <c:v>3500000</c:v>
                </c:pt>
                <c:pt idx="14">
                  <c:v>9733000</c:v>
                </c:pt>
                <c:pt idx="15">
                  <c:v>4622000</c:v>
                </c:pt>
                <c:pt idx="16">
                  <c:v>3260000</c:v>
                </c:pt>
                <c:pt idx="17">
                  <c:v>1462000</c:v>
                </c:pt>
                <c:pt idx="18">
                  <c:v>6150000</c:v>
                </c:pt>
                <c:pt idx="19">
                  <c:v>2758000</c:v>
                </c:pt>
              </c:numCache>
            </c:numRef>
          </c:val>
        </c:ser>
        <c:ser>
          <c:idx val="3"/>
          <c:order val="3"/>
          <c:tx>
            <c:strRef>
              <c:f>FL!$F$848</c:f>
              <c:strCache>
                <c:ptCount val="1"/>
                <c:pt idx="0">
                  <c:v>American Payroll Tax Revenue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FL!$F$850:$F$869</c:f>
              <c:numCache>
                <c:formatCode>[$$-409]#,##0;\-[$$-409]#,##0</c:formatCode>
                <c:ptCount val="20"/>
                <c:pt idx="0">
                  <c:v>6223000</c:v>
                </c:pt>
                <c:pt idx="1">
                  <c:v>820861</c:v>
                </c:pt>
                <c:pt idx="2">
                  <c:v>66506000</c:v>
                </c:pt>
                <c:pt idx="3">
                  <c:v>30339000</c:v>
                </c:pt>
                <c:pt idx="4">
                  <c:v>106913000</c:v>
                </c:pt>
                <c:pt idx="5">
                  <c:v>53564000</c:v>
                </c:pt>
                <c:pt idx="6">
                  <c:v>49313000</c:v>
                </c:pt>
                <c:pt idx="7">
                  <c:v>23263000</c:v>
                </c:pt>
                <c:pt idx="8">
                  <c:v>223156000</c:v>
                </c:pt>
                <c:pt idx="9">
                  <c:v>101814000</c:v>
                </c:pt>
                <c:pt idx="10">
                  <c:v>170189000</c:v>
                </c:pt>
                <c:pt idx="11">
                  <c:v>78276000</c:v>
                </c:pt>
                <c:pt idx="12">
                  <c:v>163472000</c:v>
                </c:pt>
                <c:pt idx="13">
                  <c:v>77762000</c:v>
                </c:pt>
                <c:pt idx="14">
                  <c:v>55154000</c:v>
                </c:pt>
                <c:pt idx="15">
                  <c:v>26770000</c:v>
                </c:pt>
                <c:pt idx="16">
                  <c:v>40508000</c:v>
                </c:pt>
                <c:pt idx="17">
                  <c:v>18088000</c:v>
                </c:pt>
                <c:pt idx="18">
                  <c:v>66865000</c:v>
                </c:pt>
                <c:pt idx="19">
                  <c:v>29959000</c:v>
                </c:pt>
              </c:numCache>
            </c:numRef>
          </c:val>
        </c:ser>
        <c:gapWidth val="100"/>
        <c:overlap val="0"/>
        <c:axId val="68658739"/>
        <c:axId val="99710219"/>
      </c:barChart>
      <c:catAx>
        <c:axId val="68658739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710219"/>
        <c:crosses val="autoZero"/>
        <c:auto val="1"/>
        <c:lblAlgn val="ctr"/>
        <c:lblOffset val="100"/>
        <c:noMultiLvlLbl val="0"/>
      </c:catAx>
      <c:valAx>
        <c:axId val="99710219"/>
        <c:scaling>
          <c:orientation val="minMax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Payroll Tax Revenue</a:t>
                </a:r>
              </a:p>
            </c:rich>
          </c:tx>
          <c:layout>
            <c:manualLayout>
              <c:xMode val="edge"/>
              <c:yMode val="edge"/>
              <c:x val="0.438619774386198"/>
              <c:y val="0.975232670497889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658739"/>
        <c:crossesAt val="0"/>
        <c:crossBetween val="midCat"/>
        <c:majorUnit val="5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89855673523557"/>
          <c:y val="0.468316126735493"/>
          <c:w val="0.199701381112355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242534837425"/>
          <c:y val="0.0241824746986726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GA!$C$145</c:f>
              <c:strCache>
                <c:ptCount val="1"/>
                <c:pt idx="0">
                  <c:v>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GA!$C$147:$C$166</c:f>
              <c:numCache>
                <c:formatCode>0.00%</c:formatCode>
                <c:ptCount val="20"/>
                <c:pt idx="0">
                  <c:v>0.8746</c:v>
                </c:pt>
                <c:pt idx="1">
                  <c:v>0.8749</c:v>
                </c:pt>
                <c:pt idx="2">
                  <c:v>0.9001</c:v>
                </c:pt>
                <c:pt idx="3">
                  <c:v>0.9</c:v>
                </c:pt>
                <c:pt idx="4">
                  <c:v>0.8729</c:v>
                </c:pt>
                <c:pt idx="5">
                  <c:v>0.8729</c:v>
                </c:pt>
                <c:pt idx="6">
                  <c:v>0.8697</c:v>
                </c:pt>
                <c:pt idx="7">
                  <c:v>0.8697</c:v>
                </c:pt>
                <c:pt idx="8">
                  <c:v>0.9179</c:v>
                </c:pt>
                <c:pt idx="9">
                  <c:v>0.9179</c:v>
                </c:pt>
                <c:pt idx="10">
                  <c:v>0.9077</c:v>
                </c:pt>
                <c:pt idx="11">
                  <c:v>0.9077</c:v>
                </c:pt>
                <c:pt idx="12">
                  <c:v>0.8849</c:v>
                </c:pt>
                <c:pt idx="13">
                  <c:v>0.8849</c:v>
                </c:pt>
                <c:pt idx="14">
                  <c:v>0.8776</c:v>
                </c:pt>
                <c:pt idx="15">
                  <c:v>0.8775</c:v>
                </c:pt>
                <c:pt idx="16">
                  <c:v>0.8843</c:v>
                </c:pt>
                <c:pt idx="17">
                  <c:v>0.8843</c:v>
                </c:pt>
                <c:pt idx="18">
                  <c:v>0.8891</c:v>
                </c:pt>
                <c:pt idx="19">
                  <c:v>0.8891</c:v>
                </c:pt>
              </c:numCache>
            </c:numRef>
          </c:val>
        </c:ser>
        <c:ser>
          <c:idx val="1"/>
          <c:order val="1"/>
          <c:tx>
            <c:strRef>
              <c:f>GA!$D$145</c:f>
              <c:strCache>
                <c:ptCount val="1"/>
                <c:pt idx="0">
                  <c:v>Authorized Immigrant 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GA!$D$147:$D$166</c:f>
              <c:numCache>
                <c:formatCode>0.00%</c:formatCode>
                <c:ptCount val="20"/>
                <c:pt idx="0">
                  <c:v>0.75</c:v>
                </c:pt>
                <c:pt idx="1">
                  <c:v>0.75</c:v>
                </c:pt>
                <c:pt idx="2">
                  <c:v>0.752</c:v>
                </c:pt>
                <c:pt idx="3">
                  <c:v>0.752</c:v>
                </c:pt>
                <c:pt idx="4">
                  <c:v>0.715</c:v>
                </c:pt>
                <c:pt idx="5">
                  <c:v>0.715</c:v>
                </c:pt>
                <c:pt idx="6">
                  <c:v>0.716</c:v>
                </c:pt>
                <c:pt idx="7">
                  <c:v>0.716</c:v>
                </c:pt>
                <c:pt idx="8">
                  <c:v>0.76</c:v>
                </c:pt>
                <c:pt idx="9">
                  <c:v>0.76</c:v>
                </c:pt>
                <c:pt idx="10">
                  <c:v>0.75</c:v>
                </c:pt>
                <c:pt idx="11">
                  <c:v>0.75</c:v>
                </c:pt>
                <c:pt idx="12">
                  <c:v>0.698</c:v>
                </c:pt>
                <c:pt idx="13">
                  <c:v>0.698</c:v>
                </c:pt>
                <c:pt idx="14">
                  <c:v>0.73</c:v>
                </c:pt>
                <c:pt idx="15">
                  <c:v>0.73</c:v>
                </c:pt>
                <c:pt idx="16">
                  <c:v>0.715</c:v>
                </c:pt>
                <c:pt idx="17">
                  <c:v>0.715</c:v>
                </c:pt>
                <c:pt idx="18">
                  <c:v>0.716</c:v>
                </c:pt>
                <c:pt idx="19">
                  <c:v>0.716</c:v>
                </c:pt>
              </c:numCache>
            </c:numRef>
          </c:val>
        </c:ser>
        <c:ser>
          <c:idx val="2"/>
          <c:order val="2"/>
          <c:tx>
            <c:strRef>
              <c:f>GA!$E$145</c:f>
              <c:strCache>
                <c:ptCount val="1"/>
                <c:pt idx="0">
                  <c:v>Unauthorized Immigrant 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GA!$E$147:$E$166</c:f>
              <c:numCache>
                <c:formatCode>0.00%</c:formatCode>
                <c:ptCount val="20"/>
                <c:pt idx="0">
                  <c:v>0.8</c:v>
                </c:pt>
                <c:pt idx="1">
                  <c:v>0.8</c:v>
                </c:pt>
                <c:pt idx="2">
                  <c:v>0.802</c:v>
                </c:pt>
                <c:pt idx="3">
                  <c:v>0.802</c:v>
                </c:pt>
                <c:pt idx="4">
                  <c:v>0.765</c:v>
                </c:pt>
                <c:pt idx="5">
                  <c:v>0.765</c:v>
                </c:pt>
                <c:pt idx="6">
                  <c:v>0.766</c:v>
                </c:pt>
                <c:pt idx="7">
                  <c:v>0.766</c:v>
                </c:pt>
                <c:pt idx="8">
                  <c:v>0.81</c:v>
                </c:pt>
                <c:pt idx="9">
                  <c:v>0.81</c:v>
                </c:pt>
                <c:pt idx="10">
                  <c:v>0.8</c:v>
                </c:pt>
                <c:pt idx="11">
                  <c:v>0.8</c:v>
                </c:pt>
                <c:pt idx="12">
                  <c:v>0.748</c:v>
                </c:pt>
                <c:pt idx="13">
                  <c:v>0.748</c:v>
                </c:pt>
                <c:pt idx="14">
                  <c:v>0.78</c:v>
                </c:pt>
                <c:pt idx="15">
                  <c:v>0.78</c:v>
                </c:pt>
                <c:pt idx="16">
                  <c:v>0.765</c:v>
                </c:pt>
                <c:pt idx="17">
                  <c:v>0.765</c:v>
                </c:pt>
                <c:pt idx="18">
                  <c:v>0.766</c:v>
                </c:pt>
                <c:pt idx="19">
                  <c:v>0.766</c:v>
                </c:pt>
              </c:numCache>
            </c:numRef>
          </c:val>
        </c:ser>
        <c:ser>
          <c:idx val="3"/>
          <c:order val="3"/>
          <c:tx>
            <c:strRef>
              <c:f>GA!$F$145</c:f>
              <c:strCache>
                <c:ptCount val="1"/>
                <c:pt idx="0">
                  <c:v>American 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GA!$B$145:$B$166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GA!$F$147:$F$166</c:f>
              <c:numCache>
                <c:formatCode>0.00%</c:formatCode>
                <c:ptCount val="20"/>
                <c:pt idx="0">
                  <c:v>0.95</c:v>
                </c:pt>
                <c:pt idx="1">
                  <c:v>0.95</c:v>
                </c:pt>
                <c:pt idx="2">
                  <c:v>0.945</c:v>
                </c:pt>
                <c:pt idx="3">
                  <c:v>0.945</c:v>
                </c:pt>
                <c:pt idx="4">
                  <c:v>0.92</c:v>
                </c:pt>
                <c:pt idx="5">
                  <c:v>0.92</c:v>
                </c:pt>
                <c:pt idx="6">
                  <c:v>0.924</c:v>
                </c:pt>
                <c:pt idx="7">
                  <c:v>0.924</c:v>
                </c:pt>
                <c:pt idx="8">
                  <c:v>0.95</c:v>
                </c:pt>
                <c:pt idx="9">
                  <c:v>0.95</c:v>
                </c:pt>
                <c:pt idx="10">
                  <c:v>0.945</c:v>
                </c:pt>
                <c:pt idx="11">
                  <c:v>0.945</c:v>
                </c:pt>
                <c:pt idx="12">
                  <c:v>0.908</c:v>
                </c:pt>
                <c:pt idx="13">
                  <c:v>0.908</c:v>
                </c:pt>
                <c:pt idx="14">
                  <c:v>0.92</c:v>
                </c:pt>
                <c:pt idx="15">
                  <c:v>0.92</c:v>
                </c:pt>
                <c:pt idx="16">
                  <c:v>0.918</c:v>
                </c:pt>
                <c:pt idx="17">
                  <c:v>0.918</c:v>
                </c:pt>
                <c:pt idx="18">
                  <c:v>0.916</c:v>
                </c:pt>
                <c:pt idx="19">
                  <c:v>0.916</c:v>
                </c:pt>
              </c:numCache>
            </c:numRef>
          </c:val>
        </c:ser>
        <c:gapWidth val="100"/>
        <c:overlap val="0"/>
        <c:axId val="84250806"/>
        <c:axId val="17314786"/>
      </c:barChart>
      <c:catAx>
        <c:axId val="8425080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7314786"/>
        <c:crosses val="autoZero"/>
        <c:auto val="1"/>
        <c:lblAlgn val="ctr"/>
        <c:lblOffset val="100"/>
        <c:noMultiLvlLbl val="0"/>
      </c:catAx>
      <c:valAx>
        <c:axId val="173147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25080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89913735899"/>
          <c:y val="0.473401820678432"/>
          <c:w val="0.180166728878935"/>
          <c:h val="0.10893833439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5036362711692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GA!$C$262</c:f>
              <c:strCache>
                <c:ptCount val="1"/>
                <c:pt idx="0">
                  <c:v>Unemployment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GA!$C$264:$C$283</c:f>
              <c:numCache>
                <c:formatCode>0.00%</c:formatCode>
                <c:ptCount val="20"/>
                <c:pt idx="0">
                  <c:v>0.1254</c:v>
                </c:pt>
                <c:pt idx="1">
                  <c:v>0.1251</c:v>
                </c:pt>
                <c:pt idx="2">
                  <c:v>0.0999</c:v>
                </c:pt>
                <c:pt idx="3">
                  <c:v>0.1</c:v>
                </c:pt>
                <c:pt idx="4">
                  <c:v>0.1271</c:v>
                </c:pt>
                <c:pt idx="5">
                  <c:v>0.1271</c:v>
                </c:pt>
                <c:pt idx="6">
                  <c:v>0.1303</c:v>
                </c:pt>
                <c:pt idx="7">
                  <c:v>0.1303</c:v>
                </c:pt>
                <c:pt idx="8">
                  <c:v>0.0821</c:v>
                </c:pt>
                <c:pt idx="9">
                  <c:v>0.0821</c:v>
                </c:pt>
                <c:pt idx="10">
                  <c:v>0.0923</c:v>
                </c:pt>
                <c:pt idx="11">
                  <c:v>0.0923</c:v>
                </c:pt>
                <c:pt idx="12">
                  <c:v>0.1151</c:v>
                </c:pt>
                <c:pt idx="13">
                  <c:v>0.1151</c:v>
                </c:pt>
                <c:pt idx="14">
                  <c:v>0.1224</c:v>
                </c:pt>
                <c:pt idx="15">
                  <c:v>0.1225</c:v>
                </c:pt>
                <c:pt idx="16">
                  <c:v>0.1157</c:v>
                </c:pt>
                <c:pt idx="17">
                  <c:v>0.1157</c:v>
                </c:pt>
                <c:pt idx="18">
                  <c:v>0.1109</c:v>
                </c:pt>
                <c:pt idx="19">
                  <c:v>0.1109</c:v>
                </c:pt>
              </c:numCache>
            </c:numRef>
          </c:val>
        </c:ser>
        <c:ser>
          <c:idx val="1"/>
          <c:order val="1"/>
          <c:tx>
            <c:strRef>
              <c:f>GA!$D$262</c:f>
              <c:strCache>
                <c:ptCount val="1"/>
                <c:pt idx="0">
                  <c:v>Authorized Immigrant Unemployment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GA!$D$264:$D$283</c:f>
              <c:numCache>
                <c:formatCode>0.00%</c:formatCode>
                <c:ptCount val="20"/>
                <c:pt idx="0">
                  <c:v>0.25</c:v>
                </c:pt>
                <c:pt idx="1">
                  <c:v>0.25</c:v>
                </c:pt>
                <c:pt idx="2">
                  <c:v>0.248</c:v>
                </c:pt>
                <c:pt idx="3">
                  <c:v>0.248</c:v>
                </c:pt>
                <c:pt idx="4">
                  <c:v>0.285</c:v>
                </c:pt>
                <c:pt idx="5">
                  <c:v>0.285</c:v>
                </c:pt>
                <c:pt idx="6">
                  <c:v>0.284</c:v>
                </c:pt>
                <c:pt idx="7">
                  <c:v>0.284</c:v>
                </c:pt>
                <c:pt idx="8">
                  <c:v>0.24</c:v>
                </c:pt>
                <c:pt idx="9">
                  <c:v>0.24</c:v>
                </c:pt>
                <c:pt idx="10">
                  <c:v>0.25</c:v>
                </c:pt>
                <c:pt idx="11">
                  <c:v>0.25</c:v>
                </c:pt>
                <c:pt idx="12">
                  <c:v>0.302</c:v>
                </c:pt>
                <c:pt idx="13">
                  <c:v>0.302</c:v>
                </c:pt>
                <c:pt idx="14">
                  <c:v>0.27</c:v>
                </c:pt>
                <c:pt idx="15">
                  <c:v>0.27</c:v>
                </c:pt>
                <c:pt idx="16">
                  <c:v>0.285</c:v>
                </c:pt>
                <c:pt idx="17">
                  <c:v>0.285</c:v>
                </c:pt>
                <c:pt idx="18">
                  <c:v>0.284</c:v>
                </c:pt>
                <c:pt idx="19">
                  <c:v>0.284</c:v>
                </c:pt>
              </c:numCache>
            </c:numRef>
          </c:val>
        </c:ser>
        <c:ser>
          <c:idx val="2"/>
          <c:order val="2"/>
          <c:tx>
            <c:strRef>
              <c:f>GA!$E$262</c:f>
              <c:strCache>
                <c:ptCount val="1"/>
                <c:pt idx="0">
                  <c:v>Unauthorized Immigrant Unemployment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GA!$E$264:$E$283</c:f>
              <c:numCache>
                <c:formatCode>0.00%</c:formatCode>
                <c:ptCount val="20"/>
                <c:pt idx="0">
                  <c:v>0.2</c:v>
                </c:pt>
                <c:pt idx="1">
                  <c:v>0.2</c:v>
                </c:pt>
                <c:pt idx="2">
                  <c:v>0.198</c:v>
                </c:pt>
                <c:pt idx="3">
                  <c:v>0.198</c:v>
                </c:pt>
                <c:pt idx="4">
                  <c:v>0.235</c:v>
                </c:pt>
                <c:pt idx="5">
                  <c:v>0.235</c:v>
                </c:pt>
                <c:pt idx="6">
                  <c:v>0.234</c:v>
                </c:pt>
                <c:pt idx="7">
                  <c:v>0.234</c:v>
                </c:pt>
                <c:pt idx="8">
                  <c:v>0.19</c:v>
                </c:pt>
                <c:pt idx="9">
                  <c:v>0.19</c:v>
                </c:pt>
                <c:pt idx="10">
                  <c:v>0.2</c:v>
                </c:pt>
                <c:pt idx="11">
                  <c:v>0.2</c:v>
                </c:pt>
                <c:pt idx="12">
                  <c:v>0.252</c:v>
                </c:pt>
                <c:pt idx="13">
                  <c:v>0.252</c:v>
                </c:pt>
                <c:pt idx="14">
                  <c:v>0.22</c:v>
                </c:pt>
                <c:pt idx="15">
                  <c:v>0.22</c:v>
                </c:pt>
                <c:pt idx="16">
                  <c:v>0.235</c:v>
                </c:pt>
                <c:pt idx="17">
                  <c:v>0.235</c:v>
                </c:pt>
                <c:pt idx="18">
                  <c:v>0.234</c:v>
                </c:pt>
                <c:pt idx="19">
                  <c:v>0.234</c:v>
                </c:pt>
              </c:numCache>
            </c:numRef>
          </c:val>
        </c:ser>
        <c:ser>
          <c:idx val="3"/>
          <c:order val="3"/>
          <c:tx>
            <c:strRef>
              <c:f>GA!$F$262</c:f>
              <c:strCache>
                <c:ptCount val="1"/>
                <c:pt idx="0">
                  <c:v>American Unemployment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GA!$B$264:$B$283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GA!$F$264:$F$283</c:f>
              <c:numCache>
                <c:formatCode>0.00%</c:formatCode>
                <c:ptCount val="20"/>
                <c:pt idx="0">
                  <c:v>0.05</c:v>
                </c:pt>
                <c:pt idx="1">
                  <c:v>0.05</c:v>
                </c:pt>
                <c:pt idx="2">
                  <c:v>0.055</c:v>
                </c:pt>
                <c:pt idx="3">
                  <c:v>0.055</c:v>
                </c:pt>
                <c:pt idx="4">
                  <c:v>0.08</c:v>
                </c:pt>
                <c:pt idx="5">
                  <c:v>0.08</c:v>
                </c:pt>
                <c:pt idx="6">
                  <c:v>0.076</c:v>
                </c:pt>
                <c:pt idx="7">
                  <c:v>0.076</c:v>
                </c:pt>
                <c:pt idx="8">
                  <c:v>0.05</c:v>
                </c:pt>
                <c:pt idx="9">
                  <c:v>0.05</c:v>
                </c:pt>
                <c:pt idx="10">
                  <c:v>0.055</c:v>
                </c:pt>
                <c:pt idx="11">
                  <c:v>0.055</c:v>
                </c:pt>
                <c:pt idx="12">
                  <c:v>0.092</c:v>
                </c:pt>
                <c:pt idx="13">
                  <c:v>0.092</c:v>
                </c:pt>
                <c:pt idx="14">
                  <c:v>0.08</c:v>
                </c:pt>
                <c:pt idx="15">
                  <c:v>0.08</c:v>
                </c:pt>
                <c:pt idx="16">
                  <c:v>0.082</c:v>
                </c:pt>
                <c:pt idx="17">
                  <c:v>0.082</c:v>
                </c:pt>
                <c:pt idx="18">
                  <c:v>0.084</c:v>
                </c:pt>
                <c:pt idx="19">
                  <c:v>0.084</c:v>
                </c:pt>
              </c:numCache>
            </c:numRef>
          </c:val>
        </c:ser>
        <c:gapWidth val="100"/>
        <c:overlap val="0"/>
        <c:axId val="53783521"/>
        <c:axId val="93059761"/>
      </c:barChart>
      <c:catAx>
        <c:axId val="5378352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3059761"/>
        <c:crosses val="autoZero"/>
        <c:auto val="1"/>
        <c:lblAlgn val="ctr"/>
        <c:lblOffset val="100"/>
        <c:noMultiLvlLbl val="0"/>
      </c:catAx>
      <c:valAx>
        <c:axId val="930597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378352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0802919708"/>
          <c:y val="0.468341555205208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Underemployment Rate By Industrial Labor Role</a:t>
            </a:r>
          </a:p>
        </c:rich>
      </c:tx>
      <c:layout>
        <c:manualLayout>
          <c:xMode val="edge"/>
          <c:yMode val="edge"/>
          <c:x val="0.160459522229595"/>
          <c:y val="0.01960535015002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GA!$C$379</c:f>
              <c:strCache>
                <c:ptCount val="1"/>
                <c:pt idx="0">
                  <c:v>Underemployment Rate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GA!$C$380:$C$400</c:f>
              <c:numCache>
                <c:formatCode>0.00%</c:formatCode>
                <c:ptCount val="21"/>
                <c:pt idx="0">
                  <c:v>0.0809</c:v>
                </c:pt>
                <c:pt idx="1">
                  <c:v>0.0841</c:v>
                </c:pt>
                <c:pt idx="2">
                  <c:v>0.0841</c:v>
                </c:pt>
                <c:pt idx="3">
                  <c:v>0.0827</c:v>
                </c:pt>
                <c:pt idx="4">
                  <c:v>0.0827</c:v>
                </c:pt>
                <c:pt idx="5">
                  <c:v>0.1137</c:v>
                </c:pt>
                <c:pt idx="6">
                  <c:v>0.1137</c:v>
                </c:pt>
                <c:pt idx="7">
                  <c:v>0.1135</c:v>
                </c:pt>
                <c:pt idx="8">
                  <c:v>0.1135</c:v>
                </c:pt>
                <c:pt idx="9">
                  <c:v>0.1022</c:v>
                </c:pt>
                <c:pt idx="10">
                  <c:v>0.1022</c:v>
                </c:pt>
                <c:pt idx="11">
                  <c:v>0.1018</c:v>
                </c:pt>
                <c:pt idx="12">
                  <c:v>0.1018</c:v>
                </c:pt>
                <c:pt idx="13">
                  <c:v>0.1144</c:v>
                </c:pt>
                <c:pt idx="14">
                  <c:v>0.1144</c:v>
                </c:pt>
                <c:pt idx="15">
                  <c:v>0.1037</c:v>
                </c:pt>
                <c:pt idx="16">
                  <c:v>0.1037</c:v>
                </c:pt>
                <c:pt idx="17">
                  <c:v>0.104</c:v>
                </c:pt>
                <c:pt idx="18">
                  <c:v>0.104</c:v>
                </c:pt>
                <c:pt idx="19">
                  <c:v>0.1034</c:v>
                </c:pt>
                <c:pt idx="20">
                  <c:v>0.1034</c:v>
                </c:pt>
              </c:numCache>
            </c:numRef>
          </c:val>
        </c:ser>
        <c:ser>
          <c:idx val="1"/>
          <c:order val="1"/>
          <c:tx>
            <c:strRef>
              <c:f>GA!$D$379</c:f>
              <c:strCache>
                <c:ptCount val="1"/>
                <c:pt idx="0">
                  <c:v>Authorized Immigrant Underemployment Rate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GA!$D$380:$D$400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2"/>
          <c:order val="2"/>
          <c:tx>
            <c:strRef>
              <c:f>GA!$E$379</c:f>
              <c:strCache>
                <c:ptCount val="1"/>
                <c:pt idx="0">
                  <c:v>Unauthorized Immigrant Underemployment Rate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GA!$E$380:$E$400</c:f>
              <c:numCache>
                <c:formatCode>0.00%</c:formatCode>
                <c:ptCount val="21"/>
                <c:pt idx="0">
                  <c:v>0.095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0.09</c:v>
                </c:pt>
                <c:pt idx="5">
                  <c:v>0.11</c:v>
                </c:pt>
                <c:pt idx="6">
                  <c:v>0.11</c:v>
                </c:pt>
                <c:pt idx="7">
                  <c:v>0.11</c:v>
                </c:pt>
                <c:pt idx="8">
                  <c:v>0.11</c:v>
                </c:pt>
                <c:pt idx="9">
                  <c:v>0.09</c:v>
                </c:pt>
                <c:pt idx="10">
                  <c:v>0.09</c:v>
                </c:pt>
                <c:pt idx="11">
                  <c:v>0.09</c:v>
                </c:pt>
                <c:pt idx="12">
                  <c:v>0.09</c:v>
                </c:pt>
                <c:pt idx="13">
                  <c:v>0.11</c:v>
                </c:pt>
                <c:pt idx="14">
                  <c:v>0.11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</c:numCache>
            </c:numRef>
          </c:val>
        </c:ser>
        <c:ser>
          <c:idx val="3"/>
          <c:order val="3"/>
          <c:tx>
            <c:strRef>
              <c:f>GA!$F$379</c:f>
              <c:strCache>
                <c:ptCount val="1"/>
                <c:pt idx="0">
                  <c:v>American Underemployment Rate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0.00%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0.00%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GA!$B$379:$B$400</c:f>
              <c:strCache>
                <c:ptCount val="22"/>
                <c:pt idx="0">
                  <c:v>Industry: Role</c:v>
                </c:pt>
                <c:pt idx="1">
                  <c:v>All Industries: All Roles</c:v>
                </c:pt>
                <c:pt idx="2">
                  <c:v>Agriculture: Worker</c:v>
                </c:pt>
                <c:pt idx="3">
                  <c:v>Agriculture: Support</c:v>
                </c:pt>
                <c:pt idx="4">
                  <c:v>Construction: Worker</c:v>
                </c:pt>
                <c:pt idx="5">
                  <c:v>Construction: Support</c:v>
                </c:pt>
                <c:pt idx="6">
                  <c:v>Hospitality: Worker</c:v>
                </c:pt>
                <c:pt idx="7">
                  <c:v>Hospitality: Support</c:v>
                </c:pt>
                <c:pt idx="8">
                  <c:v>Cleaning/Maintenance: Worker</c:v>
                </c:pt>
                <c:pt idx="9">
                  <c:v>Cleaning/Maintenance: Support</c:v>
                </c:pt>
                <c:pt idx="10">
                  <c:v>Manufacturing: Worker</c:v>
                </c:pt>
                <c:pt idx="11">
                  <c:v>Manufacturing: Support</c:v>
                </c:pt>
                <c:pt idx="12">
                  <c:v>Transportation &amp; Warehousing: Worker</c:v>
                </c:pt>
                <c:pt idx="13">
                  <c:v>Transportation &amp; Warehousing: Support</c:v>
                </c:pt>
                <c:pt idx="14">
                  <c:v>Retail Trade: Worker</c:v>
                </c:pt>
                <c:pt idx="15">
                  <c:v>Retail Trade: Support</c:v>
                </c:pt>
                <c:pt idx="16">
                  <c:v>Landscaping / Groundskeeping: Worker</c:v>
                </c:pt>
                <c:pt idx="17">
                  <c:v>Landscaping / Groundskeeping: Support</c:v>
                </c:pt>
                <c:pt idx="18">
                  <c:v>Automotive &amp; Repair: Worker</c:v>
                </c:pt>
                <c:pt idx="19">
                  <c:v>Automotive &amp; Repair: Support</c:v>
                </c:pt>
                <c:pt idx="20">
                  <c:v>Other Services: Worker</c:v>
                </c:pt>
                <c:pt idx="21">
                  <c:v>Other Services: Support</c:v>
                </c:pt>
              </c:strCache>
            </c:strRef>
          </c:cat>
          <c:val>
            <c:numRef>
              <c:f>GA!$F$380:$F$400</c:f>
              <c:numCache>
                <c:formatCode>0.00%</c:formatCode>
                <c:ptCount val="21"/>
                <c:pt idx="0">
                  <c:v>0.08</c:v>
                </c:pt>
                <c:pt idx="1">
                  <c:v>0.08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0.115</c:v>
                </c:pt>
                <c:pt idx="6">
                  <c:v>0.115</c:v>
                </c:pt>
                <c:pt idx="7">
                  <c:v>0.115</c:v>
                </c:pt>
                <c:pt idx="8">
                  <c:v>0.115</c:v>
                </c:pt>
                <c:pt idx="9">
                  <c:v>0.105</c:v>
                </c:pt>
                <c:pt idx="10">
                  <c:v>0.105</c:v>
                </c:pt>
                <c:pt idx="11">
                  <c:v>0.105</c:v>
                </c:pt>
                <c:pt idx="12">
                  <c:v>0.105</c:v>
                </c:pt>
                <c:pt idx="13">
                  <c:v>0.115</c:v>
                </c:pt>
                <c:pt idx="14">
                  <c:v>0.115</c:v>
                </c:pt>
                <c:pt idx="15">
                  <c:v>0.105</c:v>
                </c:pt>
                <c:pt idx="16">
                  <c:v>0.105</c:v>
                </c:pt>
                <c:pt idx="17">
                  <c:v>0.105</c:v>
                </c:pt>
                <c:pt idx="18">
                  <c:v>0.105</c:v>
                </c:pt>
                <c:pt idx="19">
                  <c:v>0.105</c:v>
                </c:pt>
                <c:pt idx="20">
                  <c:v>0.105</c:v>
                </c:pt>
              </c:numCache>
            </c:numRef>
          </c:val>
        </c:ser>
        <c:gapWidth val="100"/>
        <c:overlap val="0"/>
        <c:axId val="48531963"/>
        <c:axId val="72249290"/>
      </c:barChart>
      <c:catAx>
        <c:axId val="4853196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2249290"/>
        <c:crosses val="autoZero"/>
        <c:auto val="1"/>
        <c:lblAlgn val="ctr"/>
        <c:lblOffset val="100"/>
        <c:noMultiLvlLbl val="0"/>
      </c:catAx>
      <c:valAx>
        <c:axId val="722492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Underemployment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853196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470802919708"/>
          <c:y val="0.468316126735493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Wage Average By Industrial Labor Role</a:t>
            </a:r>
          </a:p>
        </c:rich>
      </c:tx>
      <c:layout>
        <c:manualLayout>
          <c:xMode val="edge"/>
          <c:yMode val="edge"/>
          <c:x val="0.160459522229595"/>
          <c:y val="0.01960535015002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GA!$C$497</c:f>
              <c:strCache>
                <c:ptCount val="1"/>
                <c:pt idx="0">
                  <c:v>Wage Average ($/hr)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GA!$C$498:$C$518</c:f>
              <c:numCache>
                <c:formatCode>[$$-409]#,##0.00;[RED]\-[$$-409]#,##0.00</c:formatCode>
                <c:ptCount val="21"/>
                <c:pt idx="0">
                  <c:v>13.8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13.5</c:v>
                </c:pt>
                <c:pt idx="6">
                  <c:v>12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1"/>
          <c:order val="1"/>
          <c:tx>
            <c:strRef>
              <c:f>GA!$D$497</c:f>
              <c:strCache>
                <c:ptCount val="1"/>
                <c:pt idx="0">
                  <c:v>Authorized Immigrant Wage Average ($/hr)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GA!$D$498:$D$518</c:f>
              <c:numCache>
                <c:formatCode>[$$-409]#,##0.00;[RED]\-[$$-409]#,##0.00</c:formatCode>
                <c:ptCount val="21"/>
                <c:pt idx="0">
                  <c:v>10.4</c:v>
                </c:pt>
                <c:pt idx="1">
                  <c:v>18.5</c:v>
                </c:pt>
                <c:pt idx="2">
                  <c:v>17</c:v>
                </c:pt>
                <c:pt idx="3">
                  <c:v>22</c:v>
                </c:pt>
                <c:pt idx="4">
                  <c:v>20</c:v>
                </c:pt>
                <c:pt idx="5">
                  <c:v>13.5</c:v>
                </c:pt>
                <c:pt idx="6">
                  <c:v>12</c:v>
                </c:pt>
                <c:pt idx="7">
                  <c:v>14.5</c:v>
                </c:pt>
                <c:pt idx="8">
                  <c:v>12.5</c:v>
                </c:pt>
                <c:pt idx="9">
                  <c:v>22</c:v>
                </c:pt>
                <c:pt idx="10">
                  <c:v>20</c:v>
                </c:pt>
                <c:pt idx="11">
                  <c:v>24</c:v>
                </c:pt>
                <c:pt idx="12">
                  <c:v>22</c:v>
                </c:pt>
                <c:pt idx="13">
                  <c:v>15</c:v>
                </c:pt>
                <c:pt idx="14">
                  <c:v>13.5</c:v>
                </c:pt>
                <c:pt idx="15">
                  <c:v>18</c:v>
                </c:pt>
                <c:pt idx="16">
                  <c:v>16</c:v>
                </c:pt>
                <c:pt idx="17">
                  <c:v>20</c:v>
                </c:pt>
                <c:pt idx="18">
                  <c:v>18</c:v>
                </c:pt>
                <c:pt idx="19">
                  <c:v>20</c:v>
                </c:pt>
                <c:pt idx="20">
                  <c:v>18</c:v>
                </c:pt>
              </c:numCache>
            </c:numRef>
          </c:val>
        </c:ser>
        <c:ser>
          <c:idx val="2"/>
          <c:order val="2"/>
          <c:tx>
            <c:strRef>
              <c:f>GA!$E$497</c:f>
              <c:strCache>
                <c:ptCount val="1"/>
                <c:pt idx="0">
                  <c:v>Unauthorized Immigrant Wage Average ($/hr)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GA!$E$498:$E$518</c:f>
              <c:numCache>
                <c:formatCode>[$$-409]#,##0.00;[RED]\-[$$-409]#,##0.00</c:formatCode>
                <c:ptCount val="21"/>
                <c:pt idx="0">
                  <c:v>10.4</c:v>
                </c:pt>
                <c:pt idx="1">
                  <c:v>17</c:v>
                </c:pt>
                <c:pt idx="2">
                  <c:v>15.5</c:v>
                </c:pt>
                <c:pt idx="3">
                  <c:v>20</c:v>
                </c:pt>
                <c:pt idx="4">
                  <c:v>18</c:v>
                </c:pt>
                <c:pt idx="5">
                  <c:v>12</c:v>
                </c:pt>
                <c:pt idx="6">
                  <c:v>10.5</c:v>
                </c:pt>
                <c:pt idx="7">
                  <c:v>13</c:v>
                </c:pt>
                <c:pt idx="8">
                  <c:v>11</c:v>
                </c:pt>
                <c:pt idx="9">
                  <c:v>20</c:v>
                </c:pt>
                <c:pt idx="10">
                  <c:v>18</c:v>
                </c:pt>
                <c:pt idx="11">
                  <c:v>22</c:v>
                </c:pt>
                <c:pt idx="12">
                  <c:v>20</c:v>
                </c:pt>
                <c:pt idx="13">
                  <c:v>13.5</c:v>
                </c:pt>
                <c:pt idx="14">
                  <c:v>12</c:v>
                </c:pt>
                <c:pt idx="15">
                  <c:v>16.5</c:v>
                </c:pt>
                <c:pt idx="16">
                  <c:v>14.5</c:v>
                </c:pt>
                <c:pt idx="17">
                  <c:v>18</c:v>
                </c:pt>
                <c:pt idx="18">
                  <c:v>16</c:v>
                </c:pt>
                <c:pt idx="19">
                  <c:v>18</c:v>
                </c:pt>
                <c:pt idx="20">
                  <c:v>16</c:v>
                </c:pt>
              </c:numCache>
            </c:numRef>
          </c:val>
        </c:ser>
        <c:ser>
          <c:idx val="3"/>
          <c:order val="3"/>
          <c:tx>
            <c:strRef>
              <c:f>GA!$F$497</c:f>
              <c:strCache>
                <c:ptCount val="1"/>
                <c:pt idx="0">
                  <c:v>American Wage Average ($/hr)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0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GA!$B$498:$B$518</c:f>
              <c:strCache>
                <c:ptCount val="21"/>
                <c:pt idx="0">
                  <c:v>All Industries: All Roles</c:v>
                </c:pt>
                <c:pt idx="1">
                  <c:v>Agriculture: Worker</c:v>
                </c:pt>
                <c:pt idx="2">
                  <c:v>Agriculture: Support</c:v>
                </c:pt>
                <c:pt idx="3">
                  <c:v>Construction: Worker</c:v>
                </c:pt>
                <c:pt idx="4">
                  <c:v>Construction: Support</c:v>
                </c:pt>
                <c:pt idx="5">
                  <c:v>Hospitality: Worker</c:v>
                </c:pt>
                <c:pt idx="6">
                  <c:v>Hospitality: Support</c:v>
                </c:pt>
                <c:pt idx="7">
                  <c:v>Cleaning/Maintenance: Worker</c:v>
                </c:pt>
                <c:pt idx="8">
                  <c:v>Cleaning/Maintenance: Support</c:v>
                </c:pt>
                <c:pt idx="9">
                  <c:v>Manufacturing: Worker</c:v>
                </c:pt>
                <c:pt idx="10">
                  <c:v>Manufacturing: Support</c:v>
                </c:pt>
                <c:pt idx="11">
                  <c:v>Transportation &amp; Warehousing: Worker</c:v>
                </c:pt>
                <c:pt idx="12">
                  <c:v>Transportation &amp; Warehousing: Support</c:v>
                </c:pt>
                <c:pt idx="13">
                  <c:v>Retail Trade: Worker</c:v>
                </c:pt>
                <c:pt idx="14">
                  <c:v>Retail Trade: Support</c:v>
                </c:pt>
                <c:pt idx="15">
                  <c:v>Landscaping / Groundskeeping: Worker</c:v>
                </c:pt>
                <c:pt idx="16">
                  <c:v>Landscaping / Groundskeeping: Support</c:v>
                </c:pt>
                <c:pt idx="17">
                  <c:v>Automotive &amp; Repair: Worker</c:v>
                </c:pt>
                <c:pt idx="18">
                  <c:v>Automotive &amp; Repair: Support</c:v>
                </c:pt>
                <c:pt idx="19">
                  <c:v>Other Services: Worker</c:v>
                </c:pt>
                <c:pt idx="20">
                  <c:v>Other Services: Support</c:v>
                </c:pt>
              </c:strCache>
            </c:strRef>
          </c:cat>
          <c:val>
            <c:numRef>
              <c:f>GA!$F$498:$F$518</c:f>
              <c:numCache>
                <c:formatCode>[$$-409]#,##0.00;\-[$$-409]#,##0.00</c:formatCode>
                <c:ptCount val="21"/>
                <c:pt idx="0">
                  <c:v>14</c:v>
                </c:pt>
                <c:pt idx="1">
                  <c:v>21</c:v>
                </c:pt>
                <c:pt idx="2">
                  <c:v>19</c:v>
                </c:pt>
                <c:pt idx="3">
                  <c:v>24</c:v>
                </c:pt>
                <c:pt idx="4">
                  <c:v>22</c:v>
                </c:pt>
                <c:pt idx="5">
                  <c:v>15</c:v>
                </c:pt>
                <c:pt idx="6">
                  <c:v>13.5</c:v>
                </c:pt>
                <c:pt idx="7">
                  <c:v>16</c:v>
                </c:pt>
                <c:pt idx="8">
                  <c:v>14</c:v>
                </c:pt>
                <c:pt idx="9">
                  <c:v>24</c:v>
                </c:pt>
                <c:pt idx="10">
                  <c:v>22</c:v>
                </c:pt>
                <c:pt idx="11">
                  <c:v>26</c:v>
                </c:pt>
                <c:pt idx="12">
                  <c:v>24</c:v>
                </c:pt>
                <c:pt idx="13">
                  <c:v>17</c:v>
                </c:pt>
                <c:pt idx="14">
                  <c:v>15</c:v>
                </c:pt>
                <c:pt idx="15">
                  <c:v>20</c:v>
                </c:pt>
                <c:pt idx="16">
                  <c:v>18</c:v>
                </c:pt>
                <c:pt idx="17">
                  <c:v>22</c:v>
                </c:pt>
                <c:pt idx="18">
                  <c:v>20</c:v>
                </c:pt>
                <c:pt idx="19">
                  <c:v>22</c:v>
                </c:pt>
                <c:pt idx="20">
                  <c:v>20</c:v>
                </c:pt>
              </c:numCache>
            </c:numRef>
          </c:val>
        </c:ser>
        <c:gapWidth val="100"/>
        <c:overlap val="0"/>
        <c:axId val="5843317"/>
        <c:axId val="64475616"/>
      </c:barChart>
      <c:catAx>
        <c:axId val="584331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4475616"/>
        <c:crosses val="autoZero"/>
        <c:auto val="1"/>
        <c:lblAlgn val="ctr"/>
        <c:lblOffset val="100"/>
        <c:noMultiLvlLbl val="0"/>
      </c:catAx>
      <c:valAx>
        <c:axId val="6447561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Wage Average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84331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93007631055076"/>
          <c:y val="0.468316126735493"/>
          <c:w val="0.196549292853884"/>
          <c:h val="0.118016528925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Employment Rate By Industrial Labor Role</a:t>
            </a:r>
          </a:p>
        </c:rich>
      </c:tx>
      <c:layout>
        <c:manualLayout>
          <c:xMode val="edge"/>
          <c:yMode val="edge"/>
          <c:x val="0.171325481088255"/>
          <c:y val="0.0241824746986726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GA!$C$27</c:f>
              <c:strCache>
                <c:ptCount val="1"/>
                <c:pt idx="0">
                  <c:v>Total Population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2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GA!$C$29:$C$48</c:f>
              <c:numCache>
                <c:formatCode>General</c:formatCode>
                <c:ptCount val="20"/>
                <c:pt idx="0">
                  <c:v>1780</c:v>
                </c:pt>
                <c:pt idx="1">
                  <c:v>960</c:v>
                </c:pt>
                <c:pt idx="2">
                  <c:v>6460</c:v>
                </c:pt>
                <c:pt idx="3">
                  <c:v>3485</c:v>
                </c:pt>
                <c:pt idx="4">
                  <c:v>20750</c:v>
                </c:pt>
                <c:pt idx="5">
                  <c:v>11190</c:v>
                </c:pt>
                <c:pt idx="6">
                  <c:v>9240</c:v>
                </c:pt>
                <c:pt idx="7">
                  <c:v>4985</c:v>
                </c:pt>
                <c:pt idx="8">
                  <c:v>19320</c:v>
                </c:pt>
                <c:pt idx="9">
                  <c:v>10420</c:v>
                </c:pt>
                <c:pt idx="10">
                  <c:v>14140</c:v>
                </c:pt>
                <c:pt idx="11">
                  <c:v>7630</c:v>
                </c:pt>
                <c:pt idx="12">
                  <c:v>20750</c:v>
                </c:pt>
                <c:pt idx="13">
                  <c:v>11190</c:v>
                </c:pt>
                <c:pt idx="14">
                  <c:v>7500</c:v>
                </c:pt>
                <c:pt idx="15">
                  <c:v>4050</c:v>
                </c:pt>
                <c:pt idx="16">
                  <c:v>5480</c:v>
                </c:pt>
                <c:pt idx="17">
                  <c:v>2960</c:v>
                </c:pt>
                <c:pt idx="18">
                  <c:v>10120</c:v>
                </c:pt>
                <c:pt idx="19">
                  <c:v>5455</c:v>
                </c:pt>
              </c:numCache>
            </c:numRef>
          </c:val>
        </c:ser>
        <c:ser>
          <c:idx val="1"/>
          <c:order val="1"/>
          <c:tx>
            <c:strRef>
              <c:f>GA!$D$27</c:f>
              <c:strCache>
                <c:ptCount val="1"/>
                <c:pt idx="0">
                  <c:v>Authorized Population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GA!$D$29:$D$48</c:f>
              <c:numCache>
                <c:formatCode>General</c:formatCode>
                <c:ptCount val="20"/>
                <c:pt idx="0">
                  <c:v>478</c:v>
                </c:pt>
                <c:pt idx="1">
                  <c:v>258</c:v>
                </c:pt>
                <c:pt idx="2">
                  <c:v>997</c:v>
                </c:pt>
                <c:pt idx="3">
                  <c:v>537</c:v>
                </c:pt>
                <c:pt idx="4">
                  <c:v>3170</c:v>
                </c:pt>
                <c:pt idx="5">
                  <c:v>1710</c:v>
                </c:pt>
                <c:pt idx="6">
                  <c:v>1597</c:v>
                </c:pt>
                <c:pt idx="7">
                  <c:v>862</c:v>
                </c:pt>
                <c:pt idx="8">
                  <c:v>2892</c:v>
                </c:pt>
                <c:pt idx="9">
                  <c:v>1388</c:v>
                </c:pt>
                <c:pt idx="10">
                  <c:v>2418</c:v>
                </c:pt>
                <c:pt idx="11">
                  <c:v>1300</c:v>
                </c:pt>
                <c:pt idx="12">
                  <c:v>2000</c:v>
                </c:pt>
                <c:pt idx="13">
                  <c:v>1078</c:v>
                </c:pt>
                <c:pt idx="14">
                  <c:v>1125</c:v>
                </c:pt>
                <c:pt idx="15">
                  <c:v>608</c:v>
                </c:pt>
                <c:pt idx="16">
                  <c:v>842</c:v>
                </c:pt>
                <c:pt idx="17">
                  <c:v>455</c:v>
                </c:pt>
                <c:pt idx="18">
                  <c:v>1548</c:v>
                </c:pt>
                <c:pt idx="19">
                  <c:v>835</c:v>
                </c:pt>
              </c:numCache>
            </c:numRef>
          </c:val>
        </c:ser>
        <c:ser>
          <c:idx val="2"/>
          <c:order val="2"/>
          <c:tx>
            <c:strRef>
              <c:f>GA!$E$27</c:f>
              <c:strCache>
                <c:ptCount val="1"/>
                <c:pt idx="0">
                  <c:v>Unauthorized Population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GA!$E$29:$E$48</c:f>
              <c:numCache>
                <c:formatCode>General</c:formatCode>
                <c:ptCount val="20"/>
                <c:pt idx="0">
                  <c:v>258</c:v>
                </c:pt>
                <c:pt idx="1">
                  <c:v>139</c:v>
                </c:pt>
                <c:pt idx="2">
                  <c:v>1010</c:v>
                </c:pt>
                <c:pt idx="3">
                  <c:v>545</c:v>
                </c:pt>
                <c:pt idx="4">
                  <c:v>3120</c:v>
                </c:pt>
                <c:pt idx="5">
                  <c:v>1680</c:v>
                </c:pt>
                <c:pt idx="6">
                  <c:v>1579</c:v>
                </c:pt>
                <c:pt idx="7">
                  <c:v>852</c:v>
                </c:pt>
                <c:pt idx="8">
                  <c:v>1449</c:v>
                </c:pt>
                <c:pt idx="9">
                  <c:v>781</c:v>
                </c:pt>
                <c:pt idx="10">
                  <c:v>1175</c:v>
                </c:pt>
                <c:pt idx="11">
                  <c:v>632</c:v>
                </c:pt>
                <c:pt idx="12">
                  <c:v>1000</c:v>
                </c:pt>
                <c:pt idx="13">
                  <c:v>539</c:v>
                </c:pt>
                <c:pt idx="14">
                  <c:v>1125</c:v>
                </c:pt>
                <c:pt idx="15">
                  <c:v>608</c:v>
                </c:pt>
                <c:pt idx="16">
                  <c:v>372</c:v>
                </c:pt>
                <c:pt idx="17">
                  <c:v>201</c:v>
                </c:pt>
                <c:pt idx="18">
                  <c:v>760</c:v>
                </c:pt>
                <c:pt idx="19">
                  <c:v>410</c:v>
                </c:pt>
              </c:numCache>
            </c:numRef>
          </c:val>
        </c:ser>
        <c:ser>
          <c:idx val="3"/>
          <c:order val="3"/>
          <c:tx>
            <c:strRef>
              <c:f>GA!$F$27</c:f>
              <c:strCache>
                <c:ptCount val="1"/>
                <c:pt idx="0">
                  <c:v>American Population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General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General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GA!$B$29:$B$48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GA!$F$29:$F$48</c:f>
              <c:numCache>
                <c:formatCode>General</c:formatCode>
                <c:ptCount val="20"/>
                <c:pt idx="0">
                  <c:v>1044</c:v>
                </c:pt>
                <c:pt idx="1">
                  <c:v>563</c:v>
                </c:pt>
                <c:pt idx="2">
                  <c:v>4453</c:v>
                </c:pt>
                <c:pt idx="3">
                  <c:v>2403</c:v>
                </c:pt>
                <c:pt idx="4">
                  <c:v>14460</c:v>
                </c:pt>
                <c:pt idx="5">
                  <c:v>7800</c:v>
                </c:pt>
                <c:pt idx="6">
                  <c:v>6064</c:v>
                </c:pt>
                <c:pt idx="7">
                  <c:v>3271</c:v>
                </c:pt>
                <c:pt idx="8">
                  <c:v>14979</c:v>
                </c:pt>
                <c:pt idx="9">
                  <c:v>8251</c:v>
                </c:pt>
                <c:pt idx="10">
                  <c:v>9547</c:v>
                </c:pt>
                <c:pt idx="11">
                  <c:v>5698</c:v>
                </c:pt>
                <c:pt idx="12">
                  <c:v>17750</c:v>
                </c:pt>
                <c:pt idx="13">
                  <c:v>9573</c:v>
                </c:pt>
                <c:pt idx="14">
                  <c:v>5250</c:v>
                </c:pt>
                <c:pt idx="15">
                  <c:v>2834</c:v>
                </c:pt>
                <c:pt idx="16">
                  <c:v>4266</c:v>
                </c:pt>
                <c:pt idx="17">
                  <c:v>2304</c:v>
                </c:pt>
                <c:pt idx="18">
                  <c:v>7812</c:v>
                </c:pt>
                <c:pt idx="19">
                  <c:v>4210</c:v>
                </c:pt>
              </c:numCache>
            </c:numRef>
          </c:val>
        </c:ser>
        <c:gapWidth val="100"/>
        <c:overlap val="0"/>
        <c:axId val="88720224"/>
        <c:axId val="93989819"/>
      </c:barChart>
      <c:catAx>
        <c:axId val="8872022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3989819"/>
        <c:crosses val="autoZero"/>
        <c:auto val="1"/>
        <c:lblAlgn val="ctr"/>
        <c:lblOffset val="100"/>
        <c:noMultiLvlLbl val="0"/>
      </c:catAx>
      <c:valAx>
        <c:axId val="93989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Laborer Population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72022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73401820678432"/>
          <c:w val="0.180166728878935"/>
          <c:h val="0.1089383343928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625414731254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6066688785667"/>
          <c:y val="0.0872196511213955"/>
          <c:w val="0.453259787657598"/>
          <c:h val="0.836291511976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GA!$C$614</c:f>
              <c:strCache>
                <c:ptCount val="1"/>
                <c:pt idx="0">
                  <c:v>Annual Income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0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ffffff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GA!$C$616:$C$635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20925</c:v>
                </c:pt>
                <c:pt idx="5">
                  <c:v>19200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36000</c:v>
                </c:pt>
                <c:pt idx="17">
                  <c:v>32400</c:v>
                </c:pt>
                <c:pt idx="18">
                  <c:v>36000</c:v>
                </c:pt>
                <c:pt idx="19">
                  <c:v>32400</c:v>
                </c:pt>
              </c:numCache>
            </c:numRef>
          </c:val>
        </c:ser>
        <c:ser>
          <c:idx val="1"/>
          <c:order val="1"/>
          <c:tx>
            <c:strRef>
              <c:f>GA!$D$614</c:f>
              <c:strCache>
                <c:ptCount val="1"/>
                <c:pt idx="0">
                  <c:v>Authorized Immigrant Annual Income Average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GA!$D$616:$D$635</c:f>
              <c:numCache>
                <c:formatCode>[$$-409]#,##0;[RED]\-[$$-409]#,##0</c:formatCode>
                <c:ptCount val="20"/>
                <c:pt idx="0">
                  <c:v>30525</c:v>
                </c:pt>
                <c:pt idx="1">
                  <c:v>30600</c:v>
                </c:pt>
                <c:pt idx="2">
                  <c:v>42900</c:v>
                </c:pt>
                <c:pt idx="3">
                  <c:v>36000</c:v>
                </c:pt>
                <c:pt idx="4">
                  <c:v>20925</c:v>
                </c:pt>
                <c:pt idx="5">
                  <c:v>19200</c:v>
                </c:pt>
                <c:pt idx="6">
                  <c:v>23200</c:v>
                </c:pt>
                <c:pt idx="7">
                  <c:v>20000</c:v>
                </c:pt>
                <c:pt idx="8">
                  <c:v>42900</c:v>
                </c:pt>
                <c:pt idx="9">
                  <c:v>36000</c:v>
                </c:pt>
                <c:pt idx="10">
                  <c:v>46800</c:v>
                </c:pt>
                <c:pt idx="11">
                  <c:v>39600</c:v>
                </c:pt>
                <c:pt idx="12">
                  <c:v>25500</c:v>
                </c:pt>
                <c:pt idx="13">
                  <c:v>22950</c:v>
                </c:pt>
                <c:pt idx="14">
                  <c:v>29700</c:v>
                </c:pt>
                <c:pt idx="15">
                  <c:v>26400</c:v>
                </c:pt>
                <c:pt idx="16">
                  <c:v>36000</c:v>
                </c:pt>
                <c:pt idx="17">
                  <c:v>32400</c:v>
                </c:pt>
                <c:pt idx="18">
                  <c:v>36000</c:v>
                </c:pt>
                <c:pt idx="19">
                  <c:v>32400</c:v>
                </c:pt>
              </c:numCache>
            </c:numRef>
          </c:val>
        </c:ser>
        <c:ser>
          <c:idx val="2"/>
          <c:order val="2"/>
          <c:tx>
            <c:strRef>
              <c:f>GA!$E$614</c:f>
              <c:strCache>
                <c:ptCount val="1"/>
                <c:pt idx="0">
                  <c:v>Unauthorized Immigrant Annual Income Average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GA!$E$616:$E$635</c:f>
              <c:numCache>
                <c:formatCode>[$$-409]#,##0;[RED]\-[$$-409]#,##0</c:formatCode>
                <c:ptCount val="20"/>
                <c:pt idx="0">
                  <c:v>28050</c:v>
                </c:pt>
                <c:pt idx="1">
                  <c:v>27900</c:v>
                </c:pt>
                <c:pt idx="2">
                  <c:v>39000</c:v>
                </c:pt>
                <c:pt idx="3">
                  <c:v>32400</c:v>
                </c:pt>
                <c:pt idx="4">
                  <c:v>18600</c:v>
                </c:pt>
                <c:pt idx="5">
                  <c:v>16800</c:v>
                </c:pt>
                <c:pt idx="6">
                  <c:v>20800</c:v>
                </c:pt>
                <c:pt idx="7">
                  <c:v>17600</c:v>
                </c:pt>
                <c:pt idx="8">
                  <c:v>39000</c:v>
                </c:pt>
                <c:pt idx="9">
                  <c:v>32400</c:v>
                </c:pt>
                <c:pt idx="10">
                  <c:v>42900</c:v>
                </c:pt>
                <c:pt idx="11">
                  <c:v>36000</c:v>
                </c:pt>
                <c:pt idx="12">
                  <c:v>22950</c:v>
                </c:pt>
                <c:pt idx="13">
                  <c:v>20400</c:v>
                </c:pt>
                <c:pt idx="14">
                  <c:v>27225</c:v>
                </c:pt>
                <c:pt idx="15">
                  <c:v>23925</c:v>
                </c:pt>
                <c:pt idx="16">
                  <c:v>32400</c:v>
                </c:pt>
                <c:pt idx="17">
                  <c:v>28800</c:v>
                </c:pt>
                <c:pt idx="18">
                  <c:v>32400</c:v>
                </c:pt>
                <c:pt idx="19">
                  <c:v>28800</c:v>
                </c:pt>
              </c:numCache>
            </c:numRef>
          </c:val>
        </c:ser>
        <c:ser>
          <c:idx val="3"/>
          <c:order val="3"/>
          <c:tx>
            <c:strRef>
              <c:f>GA!$F$614</c:f>
              <c:strCache>
                <c:ptCount val="1"/>
                <c:pt idx="0">
                  <c:v>American Annual Income Average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18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.00;[RED]\-[$$-409]#,##0.0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.00;[RED]\-[$$-409]#,##0.0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GA!$B$616:$B$635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GA!$F$616:$F$635</c:f>
              <c:numCache>
                <c:formatCode>[$$-409]#,##0;[RED]\-[$$-409]#,##0</c:formatCode>
                <c:ptCount val="20"/>
                <c:pt idx="0">
                  <c:v>34650</c:v>
                </c:pt>
                <c:pt idx="1">
                  <c:v>34200</c:v>
                </c:pt>
                <c:pt idx="2">
                  <c:v>46800</c:v>
                </c:pt>
                <c:pt idx="3">
                  <c:v>39600</c:v>
                </c:pt>
                <c:pt idx="4">
                  <c:v>23250</c:v>
                </c:pt>
                <c:pt idx="5">
                  <c:v>21600</c:v>
                </c:pt>
                <c:pt idx="6">
                  <c:v>25600</c:v>
                </c:pt>
                <c:pt idx="7">
                  <c:v>22400</c:v>
                </c:pt>
                <c:pt idx="8">
                  <c:v>46800</c:v>
                </c:pt>
                <c:pt idx="9">
                  <c:v>39600</c:v>
                </c:pt>
                <c:pt idx="10">
                  <c:v>50700</c:v>
                </c:pt>
                <c:pt idx="11">
                  <c:v>43200</c:v>
                </c:pt>
                <c:pt idx="12">
                  <c:v>28900</c:v>
                </c:pt>
                <c:pt idx="13">
                  <c:v>25500</c:v>
                </c:pt>
                <c:pt idx="14">
                  <c:v>33000</c:v>
                </c:pt>
                <c:pt idx="15">
                  <c:v>29700</c:v>
                </c:pt>
                <c:pt idx="16">
                  <c:v>39600</c:v>
                </c:pt>
                <c:pt idx="17">
                  <c:v>36000</c:v>
                </c:pt>
                <c:pt idx="18">
                  <c:v>39600</c:v>
                </c:pt>
                <c:pt idx="19">
                  <c:v>36000</c:v>
                </c:pt>
              </c:numCache>
            </c:numRef>
          </c:val>
        </c:ser>
        <c:gapWidth val="100"/>
        <c:overlap val="0"/>
        <c:axId val="59020536"/>
        <c:axId val="50229508"/>
      </c:barChart>
      <c:catAx>
        <c:axId val="5902053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0229508"/>
        <c:crosses val="autoZero"/>
        <c:auto val="1"/>
        <c:lblAlgn val="ctr"/>
        <c:lblOffset val="100"/>
        <c:noMultiLvlLbl val="0"/>
      </c:catAx>
      <c:valAx>
        <c:axId val="5022950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Annual Income</a:t>
                </a:r>
              </a:p>
            </c:rich>
          </c:tx>
          <c:layout>
            <c:manualLayout>
              <c:xMode val="edge"/>
              <c:yMode val="edge"/>
              <c:x val="0.447909754479098"/>
              <c:y val="0.975029242740172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.00;[RED]\-[$$-409]#,##0.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902053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68316126735493"/>
          <c:w val="0.178507735058687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Annual Income Average By Industrial Labor Role</a:t>
            </a:r>
          </a:p>
        </c:rich>
      </c:tx>
      <c:layout>
        <c:manualLayout>
          <c:xMode val="edge"/>
          <c:yMode val="edge"/>
          <c:x val="0.160832780358328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GA!$C$732</c:f>
              <c:strCache>
                <c:ptCount val="1"/>
                <c:pt idx="0">
                  <c:v>Federal Personal Income Tax Revenue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GA!$C$734:$C$753</c:f>
              <c:numCache>
                <c:formatCode>[$$-409]#,##0;\-[$$-409]#,##0</c:formatCode>
                <c:ptCount val="20"/>
                <c:pt idx="0">
                  <c:v>150000</c:v>
                </c:pt>
                <c:pt idx="1">
                  <c:v>60000</c:v>
                </c:pt>
                <c:pt idx="2">
                  <c:v>10280000</c:v>
                </c:pt>
                <c:pt idx="3">
                  <c:v>2580000</c:v>
                </c:pt>
                <c:pt idx="4">
                  <c:v>-21600000</c:v>
                </c:pt>
                <c:pt idx="5">
                  <c:v>-13500000</c:v>
                </c:pt>
                <c:pt idx="6">
                  <c:v>-7200000</c:v>
                </c:pt>
                <c:pt idx="7">
                  <c:v>-5470000</c:v>
                </c:pt>
                <c:pt idx="8">
                  <c:v>29000000</c:v>
                </c:pt>
                <c:pt idx="9">
                  <c:v>6770000</c:v>
                </c:pt>
                <c:pt idx="10">
                  <c:v>27800000</c:v>
                </c:pt>
                <c:pt idx="11">
                  <c:v>8240000</c:v>
                </c:pt>
                <c:pt idx="12">
                  <c:v>-12800000</c:v>
                </c:pt>
                <c:pt idx="13">
                  <c:v>-10700000</c:v>
                </c:pt>
                <c:pt idx="14">
                  <c:v>-158000</c:v>
                </c:pt>
                <c:pt idx="15">
                  <c:v>-1620000</c:v>
                </c:pt>
                <c:pt idx="16">
                  <c:v>3650000</c:v>
                </c:pt>
                <c:pt idx="17">
                  <c:v>1570000</c:v>
                </c:pt>
                <c:pt idx="18">
                  <c:v>10580000</c:v>
                </c:pt>
                <c:pt idx="19">
                  <c:v>4750000</c:v>
                </c:pt>
              </c:numCache>
            </c:numRef>
          </c:val>
        </c:ser>
        <c:ser>
          <c:idx val="1"/>
          <c:order val="1"/>
          <c:tx>
            <c:strRef>
              <c:f>GA!$D$732</c:f>
              <c:strCache>
                <c:ptCount val="1"/>
                <c:pt idx="0">
                  <c:v>Authorized Immigrant Federal Personal Income Tax Revenue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GA!$D$734:$D$753</c:f>
              <c:numCache>
                <c:formatCode>[$$-409]#,##0;\-[$$-409]#,##0</c:formatCode>
                <c:ptCount val="20"/>
                <c:pt idx="0">
                  <c:v>-48000</c:v>
                </c:pt>
                <c:pt idx="1">
                  <c:v>-25000</c:v>
                </c:pt>
                <c:pt idx="2">
                  <c:v>1025000</c:v>
                </c:pt>
                <c:pt idx="3">
                  <c:v>107000</c:v>
                </c:pt>
                <c:pt idx="4">
                  <c:v>-4650000</c:v>
                </c:pt>
                <c:pt idx="5">
                  <c:v>-2800000</c:v>
                </c:pt>
                <c:pt idx="6">
                  <c:v>-1970000</c:v>
                </c:pt>
                <c:pt idx="7">
                  <c:v>-1340000</c:v>
                </c:pt>
                <c:pt idx="8">
                  <c:v>2960000</c:v>
                </c:pt>
                <c:pt idx="9">
                  <c:v>310000</c:v>
                </c:pt>
                <c:pt idx="10">
                  <c:v>3600000</c:v>
                </c:pt>
                <c:pt idx="11">
                  <c:v>820000</c:v>
                </c:pt>
                <c:pt idx="12">
                  <c:v>-2010000</c:v>
                </c:pt>
                <c:pt idx="13">
                  <c:v>-1360000</c:v>
                </c:pt>
                <c:pt idx="14">
                  <c:v>-623000</c:v>
                </c:pt>
                <c:pt idx="15">
                  <c:v>-556000</c:v>
                </c:pt>
                <c:pt idx="16">
                  <c:v>469000</c:v>
                </c:pt>
                <c:pt idx="17">
                  <c:v>210000</c:v>
                </c:pt>
                <c:pt idx="18">
                  <c:v>1037000</c:v>
                </c:pt>
                <c:pt idx="19">
                  <c:v>466000</c:v>
                </c:pt>
              </c:numCache>
            </c:numRef>
          </c:val>
        </c:ser>
        <c:ser>
          <c:idx val="2"/>
          <c:order val="2"/>
          <c:tx>
            <c:strRef>
              <c:f>GA!$E$732</c:f>
              <c:strCache>
                <c:ptCount val="1"/>
                <c:pt idx="0">
                  <c:v>Unauthorized Immigrant Federal Personal Income Tax Revenue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GA!$E$734:$E$753</c:f>
              <c:numCache>
                <c:formatCode>[$$-409]#,##0;\-[$$-409]#,##0</c:formatCode>
                <c:ptCount val="20"/>
                <c:pt idx="0">
                  <c:v>70000</c:v>
                </c:pt>
                <c:pt idx="1">
                  <c:v>38000</c:v>
                </c:pt>
                <c:pt idx="2">
                  <c:v>2580000</c:v>
                </c:pt>
                <c:pt idx="3">
                  <c:v>1280000</c:v>
                </c:pt>
                <c:pt idx="4">
                  <c:v>205000</c:v>
                </c:pt>
                <c:pt idx="5">
                  <c:v>44000</c:v>
                </c:pt>
                <c:pt idx="6">
                  <c:v>1090000</c:v>
                </c:pt>
                <c:pt idx="7">
                  <c:v>226000</c:v>
                </c:pt>
                <c:pt idx="8">
                  <c:v>3690000</c:v>
                </c:pt>
                <c:pt idx="9">
                  <c:v>1830000</c:v>
                </c:pt>
                <c:pt idx="10">
                  <c:v>3740000</c:v>
                </c:pt>
                <c:pt idx="11">
                  <c:v>1840000</c:v>
                </c:pt>
                <c:pt idx="12">
                  <c:v>770000</c:v>
                </c:pt>
                <c:pt idx="13">
                  <c:v>342000</c:v>
                </c:pt>
                <c:pt idx="14">
                  <c:v>1730000</c:v>
                </c:pt>
                <c:pt idx="15">
                  <c:v>670000</c:v>
                </c:pt>
                <c:pt idx="16">
                  <c:v>157000</c:v>
                </c:pt>
                <c:pt idx="17">
                  <c:v>67000</c:v>
                </c:pt>
                <c:pt idx="18">
                  <c:v>600000</c:v>
                </c:pt>
                <c:pt idx="19">
                  <c:v>255000</c:v>
                </c:pt>
              </c:numCache>
            </c:numRef>
          </c:val>
        </c:ser>
        <c:ser>
          <c:idx val="3"/>
          <c:order val="3"/>
          <c:tx>
            <c:strRef>
              <c:f>GA!$F$732</c:f>
              <c:strCache>
                <c:ptCount val="1"/>
                <c:pt idx="0">
                  <c:v>American Federal Personal Income Tax Revenue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GA!$B$734:$B$753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GA!$F$734:$F$753</c:f>
              <c:numCache>
                <c:formatCode>[$$-409]#,##0;\-[$$-409]#,##0</c:formatCode>
                <c:ptCount val="20"/>
                <c:pt idx="0">
                  <c:v>128000</c:v>
                </c:pt>
                <c:pt idx="1">
                  <c:v>47000</c:v>
                </c:pt>
                <c:pt idx="2">
                  <c:v>6660000</c:v>
                </c:pt>
                <c:pt idx="3">
                  <c:v>2020000</c:v>
                </c:pt>
                <c:pt idx="4">
                  <c:v>-16950000</c:v>
                </c:pt>
                <c:pt idx="5">
                  <c:v>-10700000</c:v>
                </c:pt>
                <c:pt idx="6">
                  <c:v>-6320000</c:v>
                </c:pt>
                <c:pt idx="7">
                  <c:v>-4290000</c:v>
                </c:pt>
                <c:pt idx="8">
                  <c:v>22350000</c:v>
                </c:pt>
                <c:pt idx="9">
                  <c:v>5080000</c:v>
                </c:pt>
                <c:pt idx="10">
                  <c:v>20460000</c:v>
                </c:pt>
                <c:pt idx="11">
                  <c:v>5580000</c:v>
                </c:pt>
                <c:pt idx="12">
                  <c:v>-11500000</c:v>
                </c:pt>
                <c:pt idx="13">
                  <c:v>-9630000</c:v>
                </c:pt>
                <c:pt idx="14">
                  <c:v>-1110000</c:v>
                </c:pt>
                <c:pt idx="15">
                  <c:v>-1570000</c:v>
                </c:pt>
                <c:pt idx="16">
                  <c:v>3020000</c:v>
                </c:pt>
                <c:pt idx="17">
                  <c:v>1290000</c:v>
                </c:pt>
                <c:pt idx="18">
                  <c:v>8940000</c:v>
                </c:pt>
                <c:pt idx="19">
                  <c:v>4030000</c:v>
                </c:pt>
              </c:numCache>
            </c:numRef>
          </c:val>
        </c:ser>
        <c:gapWidth val="100"/>
        <c:overlap val="0"/>
        <c:axId val="21522846"/>
        <c:axId val="19005614"/>
      </c:barChart>
      <c:catAx>
        <c:axId val="2152284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9005614"/>
        <c:crosses val="autoZero"/>
        <c:auto val="1"/>
        <c:lblAlgn val="ctr"/>
        <c:lblOffset val="100"/>
        <c:noMultiLvlLbl val="0"/>
      </c:catAx>
      <c:valAx>
        <c:axId val="19005614"/>
        <c:scaling>
          <c:orientation val="minMax"/>
          <c:max val="35000000"/>
          <c:min val="-25000000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Federal Personal Income Tax Revenue</a:t>
                </a:r>
              </a:p>
            </c:rich>
          </c:tx>
          <c:layout>
            <c:manualLayout>
              <c:xMode val="edge"/>
              <c:yMode val="edge"/>
              <c:x val="0.378317850033179"/>
              <c:y val="0.974571530285307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[RED]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1522846"/>
        <c:crossesAt val="0"/>
        <c:crossBetween val="midCat"/>
        <c:majorUnit val="1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11048440610484"/>
          <c:y val="0.468316126735493"/>
          <c:w val="0.178507735058687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U.S. Labor Statistics (Georgia)</a:t>
            </a:r>
          </a:p>
          <a:p>
            <a:pPr>
              <a:defRPr sz="1300" b="0" u="none" strike="noStrike">
                <a:uFillTx/>
                <a:latin typeface="Arial"/>
              </a:defRPr>
            </a:pPr>
            <a:r>
              <a:rPr sz="11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Authorized, Unauthorized, American Laborer Payroll Tax Revenue By Industrial Labor Role</a:t>
            </a:r>
          </a:p>
        </c:rich>
      </c:tx>
      <c:layout>
        <c:manualLayout>
          <c:xMode val="edge"/>
          <c:yMode val="edge"/>
          <c:x val="0.160832780358328"/>
          <c:y val="0.0197070640288867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GA!$C$848</c:f>
              <c:strCache>
                <c:ptCount val="1"/>
                <c:pt idx="0">
                  <c:v>Payroll Tax Revenue ($)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004586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5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0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ffffff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2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GA!$C$850:$C$869</c:f>
              <c:numCache>
                <c:formatCode>[$$-409]#,##0;\-[$$-409]#,##0</c:formatCode>
                <c:ptCount val="20"/>
                <c:pt idx="0">
                  <c:v>11800000</c:v>
                </c:pt>
                <c:pt idx="1">
                  <c:v>6200000</c:v>
                </c:pt>
                <c:pt idx="2">
                  <c:v>44400000</c:v>
                </c:pt>
                <c:pt idx="3">
                  <c:v>20100000</c:v>
                </c:pt>
                <c:pt idx="4">
                  <c:v>70000000</c:v>
                </c:pt>
                <c:pt idx="5">
                  <c:v>35000000</c:v>
                </c:pt>
                <c:pt idx="6">
                  <c:v>34300000</c:v>
                </c:pt>
                <c:pt idx="7">
                  <c:v>16000000</c:v>
                </c:pt>
                <c:pt idx="8">
                  <c:v>134000000</c:v>
                </c:pt>
                <c:pt idx="9">
                  <c:v>61000000</c:v>
                </c:pt>
                <c:pt idx="10">
                  <c:v>106000000</c:v>
                </c:pt>
                <c:pt idx="11">
                  <c:v>48700000</c:v>
                </c:pt>
                <c:pt idx="12">
                  <c:v>89500000</c:v>
                </c:pt>
                <c:pt idx="13">
                  <c:v>42600000</c:v>
                </c:pt>
                <c:pt idx="14">
                  <c:v>36200000</c:v>
                </c:pt>
                <c:pt idx="15">
                  <c:v>17500000</c:v>
                </c:pt>
                <c:pt idx="16">
                  <c:v>24600000</c:v>
                </c:pt>
                <c:pt idx="17">
                  <c:v>11000000</c:v>
                </c:pt>
                <c:pt idx="18">
                  <c:v>41000000</c:v>
                </c:pt>
                <c:pt idx="19">
                  <c:v>18400000</c:v>
                </c:pt>
              </c:numCache>
            </c:numRef>
          </c:val>
        </c:ser>
        <c:ser>
          <c:idx val="1"/>
          <c:order val="1"/>
          <c:tx>
            <c:strRef>
              <c:f>GA!$D$848</c:f>
              <c:strCache>
                <c:ptCount val="1"/>
                <c:pt idx="0">
                  <c:v>Authorized Immigrant Payroll Tax Revenue ($)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Pt>
            <c:idx val="18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GA!$D$850:$D$869</c:f>
              <c:numCache>
                <c:formatCode>[$$-409]#,##0;\-[$$-409]#,##0</c:formatCode>
                <c:ptCount val="20"/>
                <c:pt idx="0">
                  <c:v>2970000</c:v>
                </c:pt>
                <c:pt idx="1">
                  <c:v>1570000</c:v>
                </c:pt>
                <c:pt idx="2">
                  <c:v>6530000</c:v>
                </c:pt>
                <c:pt idx="3">
                  <c:v>2940000</c:v>
                </c:pt>
                <c:pt idx="4">
                  <c:v>10000000</c:v>
                </c:pt>
                <c:pt idx="5">
                  <c:v>5000000</c:v>
                </c:pt>
                <c:pt idx="6">
                  <c:v>5640000</c:v>
                </c:pt>
                <c:pt idx="7">
                  <c:v>2620000</c:v>
                </c:pt>
                <c:pt idx="8">
                  <c:v>18800000</c:v>
                </c:pt>
                <c:pt idx="9">
                  <c:v>8540000</c:v>
                </c:pt>
                <c:pt idx="10">
                  <c:v>17200000</c:v>
                </c:pt>
                <c:pt idx="11">
                  <c:v>7850000</c:v>
                </c:pt>
                <c:pt idx="12">
                  <c:v>7770000</c:v>
                </c:pt>
                <c:pt idx="13">
                  <c:v>3770000</c:v>
                </c:pt>
                <c:pt idx="14">
                  <c:v>5100000</c:v>
                </c:pt>
                <c:pt idx="15">
                  <c:v>2440000</c:v>
                </c:pt>
                <c:pt idx="16">
                  <c:v>3610000</c:v>
                </c:pt>
                <c:pt idx="17">
                  <c:v>1620000</c:v>
                </c:pt>
                <c:pt idx="18">
                  <c:v>5930000</c:v>
                </c:pt>
                <c:pt idx="19">
                  <c:v>2670000</c:v>
                </c:pt>
              </c:numCache>
            </c:numRef>
          </c:val>
        </c:ser>
        <c:ser>
          <c:idx val="2"/>
          <c:order val="2"/>
          <c:tx>
            <c:strRef>
              <c:f>GA!$E$848</c:f>
              <c:strCache>
                <c:ptCount val="1"/>
                <c:pt idx="0">
                  <c:v>Unauthorized Immigrant Payroll Tax Revenue ($)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Pt>
            <c:idx val="17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17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GA!$E$850:$E$869</c:f>
              <c:numCache>
                <c:formatCode>[$$-409]#,##0;\-[$$-409]#,##0</c:formatCode>
                <c:ptCount val="20"/>
                <c:pt idx="0">
                  <c:v>1470000</c:v>
                </c:pt>
                <c:pt idx="1">
                  <c:v>780000</c:v>
                </c:pt>
                <c:pt idx="2">
                  <c:v>6010000</c:v>
                </c:pt>
                <c:pt idx="3">
                  <c:v>2680000</c:v>
                </c:pt>
                <c:pt idx="4">
                  <c:v>8770000</c:v>
                </c:pt>
                <c:pt idx="5">
                  <c:v>4300000</c:v>
                </c:pt>
                <c:pt idx="6">
                  <c:v>5000000</c:v>
                </c:pt>
                <c:pt idx="7">
                  <c:v>2280000</c:v>
                </c:pt>
                <c:pt idx="8">
                  <c:v>8600000</c:v>
                </c:pt>
                <c:pt idx="9">
                  <c:v>3860000</c:v>
                </c:pt>
                <c:pt idx="10">
                  <c:v>7650000</c:v>
                </c:pt>
                <c:pt idx="11">
                  <c:v>3470000</c:v>
                </c:pt>
                <c:pt idx="12">
                  <c:v>3490000</c:v>
                </c:pt>
                <c:pt idx="13">
                  <c:v>1680000</c:v>
                </c:pt>
                <c:pt idx="14">
                  <c:v>4670000</c:v>
                </c:pt>
                <c:pt idx="15">
                  <c:v>2210000</c:v>
                </c:pt>
                <c:pt idx="16">
                  <c:v>1560000</c:v>
                </c:pt>
                <c:pt idx="17">
                  <c:v>700000</c:v>
                </c:pt>
                <c:pt idx="18">
                  <c:v>2950000</c:v>
                </c:pt>
                <c:pt idx="19">
                  <c:v>1330000</c:v>
                </c:pt>
              </c:numCache>
            </c:numRef>
          </c:val>
        </c:ser>
        <c:ser>
          <c:idx val="3"/>
          <c:order val="3"/>
          <c:tx>
            <c:strRef>
              <c:f>GA!$F$848</c:f>
              <c:strCache>
                <c:ptCount val="1"/>
                <c:pt idx="0">
                  <c:v>American Payroll Tax Revenue ($)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4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8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dLbl>
              <c:idx val="19"/>
              <c:numFmt formatCode="[$$-409]#,##0;\-[$$-409]#,##0" sourceLinked="0"/>
              <c:txPr>
                <a:bodyPr wrap="none"/>
                <a:lstStyle/>
                <a:p>
                  <a:pPr>
                    <a:defRPr sz="8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 </c:separator>
            </c:dLbl>
            <c:numFmt formatCode="[$$-409]#,##0;\-[$$-409]#,##0" sourceLinked="0"/>
            <c:txPr>
              <a:bodyPr wrap="none"/>
              <a:lstStyle/>
              <a:p>
                <a:pPr>
                  <a:defRPr sz="8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GA!$B$850:$B$869</c:f>
              <c:strCache>
                <c:ptCount val="20"/>
                <c:pt idx="0">
                  <c:v>Agriculture: Worker</c:v>
                </c:pt>
                <c:pt idx="1">
                  <c:v>Agriculture: Support</c:v>
                </c:pt>
                <c:pt idx="2">
                  <c:v>Construction: Worker</c:v>
                </c:pt>
                <c:pt idx="3">
                  <c:v>Construction: Support</c:v>
                </c:pt>
                <c:pt idx="4">
                  <c:v>Hospitality: Worker</c:v>
                </c:pt>
                <c:pt idx="5">
                  <c:v>Hospitality: Support</c:v>
                </c:pt>
                <c:pt idx="6">
                  <c:v>Cleaning/Maintenance: Worker</c:v>
                </c:pt>
                <c:pt idx="7">
                  <c:v>Cleaning/Maintenance: Support</c:v>
                </c:pt>
                <c:pt idx="8">
                  <c:v>Manufacturing: Worker</c:v>
                </c:pt>
                <c:pt idx="9">
                  <c:v>Manufacturing: Support</c:v>
                </c:pt>
                <c:pt idx="10">
                  <c:v>Transportation &amp; Warehousing: Worker</c:v>
                </c:pt>
                <c:pt idx="11">
                  <c:v>Transportation &amp; Warehousing: Support</c:v>
                </c:pt>
                <c:pt idx="12">
                  <c:v>Retail Trade: Worker</c:v>
                </c:pt>
                <c:pt idx="13">
                  <c:v>Retail Trade: Support</c:v>
                </c:pt>
                <c:pt idx="14">
                  <c:v>Landscaping / Groundskeeping: Worker</c:v>
                </c:pt>
                <c:pt idx="15">
                  <c:v>Landscaping / Groundskeeping: Support</c:v>
                </c:pt>
                <c:pt idx="16">
                  <c:v>Automotive &amp; Repair: Worker</c:v>
                </c:pt>
                <c:pt idx="17">
                  <c:v>Automotive &amp; Repair: Support</c:v>
                </c:pt>
                <c:pt idx="18">
                  <c:v>Other Services: Worker</c:v>
                </c:pt>
                <c:pt idx="19">
                  <c:v>Other Services: Support</c:v>
                </c:pt>
              </c:strCache>
            </c:strRef>
          </c:cat>
          <c:val>
            <c:numRef>
              <c:f>GA!$F$850:$F$869</c:f>
              <c:numCache>
                <c:formatCode>[$$-409]#,##0;\-[$$-409]#,##0</c:formatCode>
                <c:ptCount val="20"/>
                <c:pt idx="0">
                  <c:v>7350000</c:v>
                </c:pt>
                <c:pt idx="1">
                  <c:v>3840000</c:v>
                </c:pt>
                <c:pt idx="2">
                  <c:v>31860000</c:v>
                </c:pt>
                <c:pt idx="3">
                  <c:v>14500000</c:v>
                </c:pt>
                <c:pt idx="4">
                  <c:v>51200000</c:v>
                </c:pt>
                <c:pt idx="5">
                  <c:v>25700000</c:v>
                </c:pt>
                <c:pt idx="6">
                  <c:v>23650000</c:v>
                </c:pt>
                <c:pt idx="7">
                  <c:v>11100000</c:v>
                </c:pt>
                <c:pt idx="8">
                  <c:v>106600000</c:v>
                </c:pt>
                <c:pt idx="9">
                  <c:v>48600000</c:v>
                </c:pt>
                <c:pt idx="10">
                  <c:v>81100000</c:v>
                </c:pt>
                <c:pt idx="11">
                  <c:v>37400000</c:v>
                </c:pt>
                <c:pt idx="12">
                  <c:v>78200000</c:v>
                </c:pt>
                <c:pt idx="13">
                  <c:v>37200000</c:v>
                </c:pt>
                <c:pt idx="14">
                  <c:v>26400000</c:v>
                </c:pt>
                <c:pt idx="15">
                  <c:v>12800000</c:v>
                </c:pt>
                <c:pt idx="16">
                  <c:v>19400000</c:v>
                </c:pt>
                <c:pt idx="17">
                  <c:v>8690000</c:v>
                </c:pt>
                <c:pt idx="18">
                  <c:v>32100000</c:v>
                </c:pt>
                <c:pt idx="19">
                  <c:v>14400000</c:v>
                </c:pt>
              </c:numCache>
            </c:numRef>
          </c:val>
        </c:ser>
        <c:gapWidth val="100"/>
        <c:overlap val="0"/>
        <c:axId val="36719848"/>
        <c:axId val="77173043"/>
      </c:barChart>
      <c:catAx>
        <c:axId val="3671984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Labor Industry, Labor Role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173043"/>
        <c:crosses val="autoZero"/>
        <c:auto val="1"/>
        <c:lblAlgn val="ctr"/>
        <c:lblOffset val="100"/>
        <c:noMultiLvlLbl val="0"/>
      </c:catAx>
      <c:valAx>
        <c:axId val="77173043"/>
        <c:scaling>
          <c:orientation val="minMax"/>
        </c:scaling>
        <c:delete val="0"/>
        <c:axPos val="l"/>
        <c:majorGridlines>
          <c:spPr>
            <a:ln w="0">
              <a:solidFill>
                <a:srgbClr val="dddddd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Payroll Tax Revenue</a:t>
                </a:r>
              </a:p>
            </c:rich>
          </c:tx>
          <c:layout>
            <c:manualLayout>
              <c:xMode val="edge"/>
              <c:yMode val="edge"/>
              <c:x val="0.438619774386198"/>
              <c:y val="0.975232670497889"/>
            </c:manualLayout>
          </c:layout>
          <c:overlay val="0"/>
          <c:spPr>
            <a:noFill/>
            <a:ln w="0">
              <a:noFill/>
            </a:ln>
          </c:spPr>
        </c:title>
        <c:numFmt formatCode="[$$-409]#,##0;\-[$$-409]#,##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6719848"/>
        <c:crossesAt val="0"/>
        <c:crossBetween val="midCat"/>
        <c:majorUnit val="5000000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789855673523557"/>
          <c:y val="0.468316126735493"/>
          <c:w val="0.199701381112355"/>
          <c:h val="0.1179910998092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6" Type="http://schemas.openxmlformats.org/officeDocument/2006/relationships/chart" Target="../charts/chart22.xml"/><Relationship Id="rId7" Type="http://schemas.openxmlformats.org/officeDocument/2006/relationships/chart" Target="../charts/chart23.xml"/><Relationship Id="rId8" Type="http://schemas.openxmlformats.org/officeDocument/2006/relationships/chart" Target="../charts/chart2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Relationship Id="rId7" Type="http://schemas.openxmlformats.org/officeDocument/2006/relationships/chart" Target="../charts/chart31.xml"/><Relationship Id="rId8" Type="http://schemas.openxmlformats.org/officeDocument/2006/relationships/chart" Target="../charts/chart3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22320</xdr:colOff>
      <xdr:row>167</xdr:row>
      <xdr:rowOff>27000</xdr:rowOff>
    </xdr:from>
    <xdr:to>
      <xdr:col>6</xdr:col>
      <xdr:colOff>1026000</xdr:colOff>
      <xdr:row>254</xdr:row>
      <xdr:rowOff>41400</xdr:rowOff>
    </xdr:to>
    <xdr:graphicFrame>
      <xdr:nvGraphicFramePr>
        <xdr:cNvPr id="1" name=""/>
        <xdr:cNvGraphicFramePr/>
      </xdr:nvGraphicFramePr>
      <xdr:xfrm>
        <a:off x="835200" y="280224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9000</xdr:colOff>
      <xdr:row>284</xdr:row>
      <xdr:rowOff>58320</xdr:rowOff>
    </xdr:from>
    <xdr:to>
      <xdr:col>6</xdr:col>
      <xdr:colOff>1012680</xdr:colOff>
      <xdr:row>371</xdr:row>
      <xdr:rowOff>72720</xdr:rowOff>
    </xdr:to>
    <xdr:graphicFrame>
      <xdr:nvGraphicFramePr>
        <xdr:cNvPr id="2" name=""/>
        <xdr:cNvGraphicFramePr/>
      </xdr:nvGraphicFramePr>
      <xdr:xfrm>
        <a:off x="821880" y="47498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799920</xdr:colOff>
      <xdr:row>401</xdr:row>
      <xdr:rowOff>69120</xdr:rowOff>
    </xdr:from>
    <xdr:to>
      <xdr:col>6</xdr:col>
      <xdr:colOff>990720</xdr:colOff>
      <xdr:row>488</xdr:row>
      <xdr:rowOff>83520</xdr:rowOff>
    </xdr:to>
    <xdr:graphicFrame>
      <xdr:nvGraphicFramePr>
        <xdr:cNvPr id="3" name=""/>
        <xdr:cNvGraphicFramePr/>
      </xdr:nvGraphicFramePr>
      <xdr:xfrm>
        <a:off x="799920" y="6695316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811080</xdr:colOff>
      <xdr:row>519</xdr:row>
      <xdr:rowOff>39240</xdr:rowOff>
    </xdr:from>
    <xdr:to>
      <xdr:col>6</xdr:col>
      <xdr:colOff>1001880</xdr:colOff>
      <xdr:row>606</xdr:row>
      <xdr:rowOff>53640</xdr:rowOff>
    </xdr:to>
    <xdr:graphicFrame>
      <xdr:nvGraphicFramePr>
        <xdr:cNvPr id="4" name=""/>
        <xdr:cNvGraphicFramePr/>
      </xdr:nvGraphicFramePr>
      <xdr:xfrm>
        <a:off x="811080" y="8638776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34920</xdr:colOff>
      <xdr:row>50</xdr:row>
      <xdr:rowOff>24480</xdr:rowOff>
    </xdr:from>
    <xdr:to>
      <xdr:col>6</xdr:col>
      <xdr:colOff>1038600</xdr:colOff>
      <xdr:row>137</xdr:row>
      <xdr:rowOff>38880</xdr:rowOff>
    </xdr:to>
    <xdr:graphicFrame>
      <xdr:nvGraphicFramePr>
        <xdr:cNvPr id="5" name=""/>
        <xdr:cNvGraphicFramePr/>
      </xdr:nvGraphicFramePr>
      <xdr:xfrm>
        <a:off x="847800" y="871776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51120</xdr:colOff>
      <xdr:row>636</xdr:row>
      <xdr:rowOff>0</xdr:rowOff>
    </xdr:from>
    <xdr:to>
      <xdr:col>6</xdr:col>
      <xdr:colOff>1054800</xdr:colOff>
      <xdr:row>723</xdr:row>
      <xdr:rowOff>14040</xdr:rowOff>
    </xdr:to>
    <xdr:graphicFrame>
      <xdr:nvGraphicFramePr>
        <xdr:cNvPr id="6" name=""/>
        <xdr:cNvGraphicFramePr/>
      </xdr:nvGraphicFramePr>
      <xdr:xfrm>
        <a:off x="864000" y="1057928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1800</xdr:colOff>
      <xdr:row>754</xdr:row>
      <xdr:rowOff>42120</xdr:rowOff>
    </xdr:from>
    <xdr:to>
      <xdr:col>6</xdr:col>
      <xdr:colOff>1005480</xdr:colOff>
      <xdr:row>841</xdr:row>
      <xdr:rowOff>56520</xdr:rowOff>
    </xdr:to>
    <xdr:graphicFrame>
      <xdr:nvGraphicFramePr>
        <xdr:cNvPr id="7" name=""/>
        <xdr:cNvGraphicFramePr/>
      </xdr:nvGraphicFramePr>
      <xdr:xfrm>
        <a:off x="814680" y="1254420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51480</xdr:colOff>
      <xdr:row>870</xdr:row>
      <xdr:rowOff>48240</xdr:rowOff>
    </xdr:from>
    <xdr:to>
      <xdr:col>6</xdr:col>
      <xdr:colOff>1055160</xdr:colOff>
      <xdr:row>957</xdr:row>
      <xdr:rowOff>62640</xdr:rowOff>
    </xdr:to>
    <xdr:graphicFrame>
      <xdr:nvGraphicFramePr>
        <xdr:cNvPr id="8" name=""/>
        <xdr:cNvGraphicFramePr/>
      </xdr:nvGraphicFramePr>
      <xdr:xfrm>
        <a:off x="864360" y="1445875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22320</xdr:colOff>
      <xdr:row>169</xdr:row>
      <xdr:rowOff>51120</xdr:rowOff>
    </xdr:from>
    <xdr:to>
      <xdr:col>6</xdr:col>
      <xdr:colOff>1026000</xdr:colOff>
      <xdr:row>256</xdr:row>
      <xdr:rowOff>65520</xdr:rowOff>
    </xdr:to>
    <xdr:graphicFrame>
      <xdr:nvGraphicFramePr>
        <xdr:cNvPr id="9" name=""/>
        <xdr:cNvGraphicFramePr/>
      </xdr:nvGraphicFramePr>
      <xdr:xfrm>
        <a:off x="835200" y="283716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9000</xdr:colOff>
      <xdr:row>286</xdr:row>
      <xdr:rowOff>82440</xdr:rowOff>
    </xdr:from>
    <xdr:to>
      <xdr:col>6</xdr:col>
      <xdr:colOff>1012680</xdr:colOff>
      <xdr:row>373</xdr:row>
      <xdr:rowOff>96840</xdr:rowOff>
    </xdr:to>
    <xdr:graphicFrame>
      <xdr:nvGraphicFramePr>
        <xdr:cNvPr id="10" name=""/>
        <xdr:cNvGraphicFramePr/>
      </xdr:nvGraphicFramePr>
      <xdr:xfrm>
        <a:off x="821880" y="478472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799920</xdr:colOff>
      <xdr:row>403</xdr:row>
      <xdr:rowOff>97920</xdr:rowOff>
    </xdr:from>
    <xdr:to>
      <xdr:col>6</xdr:col>
      <xdr:colOff>990720</xdr:colOff>
      <xdr:row>490</xdr:row>
      <xdr:rowOff>112320</xdr:rowOff>
    </xdr:to>
    <xdr:graphicFrame>
      <xdr:nvGraphicFramePr>
        <xdr:cNvPr id="11" name=""/>
        <xdr:cNvGraphicFramePr/>
      </xdr:nvGraphicFramePr>
      <xdr:xfrm>
        <a:off x="799920" y="67307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811080</xdr:colOff>
      <xdr:row>521</xdr:row>
      <xdr:rowOff>52200</xdr:rowOff>
    </xdr:from>
    <xdr:to>
      <xdr:col>6</xdr:col>
      <xdr:colOff>1001880</xdr:colOff>
      <xdr:row>608</xdr:row>
      <xdr:rowOff>66240</xdr:rowOff>
    </xdr:to>
    <xdr:graphicFrame>
      <xdr:nvGraphicFramePr>
        <xdr:cNvPr id="12" name=""/>
        <xdr:cNvGraphicFramePr/>
      </xdr:nvGraphicFramePr>
      <xdr:xfrm>
        <a:off x="811080" y="867258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34920</xdr:colOff>
      <xdr:row>51</xdr:row>
      <xdr:rowOff>24480</xdr:rowOff>
    </xdr:from>
    <xdr:to>
      <xdr:col>6</xdr:col>
      <xdr:colOff>1038600</xdr:colOff>
      <xdr:row>138</xdr:row>
      <xdr:rowOff>38520</xdr:rowOff>
    </xdr:to>
    <xdr:graphicFrame>
      <xdr:nvGraphicFramePr>
        <xdr:cNvPr id="13" name=""/>
        <xdr:cNvGraphicFramePr/>
      </xdr:nvGraphicFramePr>
      <xdr:xfrm>
        <a:off x="847800" y="88801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51120</xdr:colOff>
      <xdr:row>638</xdr:row>
      <xdr:rowOff>87120</xdr:rowOff>
    </xdr:from>
    <xdr:to>
      <xdr:col>6</xdr:col>
      <xdr:colOff>1054800</xdr:colOff>
      <xdr:row>725</xdr:row>
      <xdr:rowOff>101160</xdr:rowOff>
    </xdr:to>
    <xdr:graphicFrame>
      <xdr:nvGraphicFramePr>
        <xdr:cNvPr id="14" name=""/>
        <xdr:cNvGraphicFramePr/>
      </xdr:nvGraphicFramePr>
      <xdr:xfrm>
        <a:off x="864000" y="106205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1800</xdr:colOff>
      <xdr:row>756</xdr:row>
      <xdr:rowOff>23760</xdr:rowOff>
    </xdr:from>
    <xdr:to>
      <xdr:col>6</xdr:col>
      <xdr:colOff>1005480</xdr:colOff>
      <xdr:row>843</xdr:row>
      <xdr:rowOff>38160</xdr:rowOff>
    </xdr:to>
    <xdr:graphicFrame>
      <xdr:nvGraphicFramePr>
        <xdr:cNvPr id="15" name=""/>
        <xdr:cNvGraphicFramePr/>
      </xdr:nvGraphicFramePr>
      <xdr:xfrm>
        <a:off x="814680" y="1257487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51480</xdr:colOff>
      <xdr:row>872</xdr:row>
      <xdr:rowOff>80640</xdr:rowOff>
    </xdr:from>
    <xdr:to>
      <xdr:col>6</xdr:col>
      <xdr:colOff>1055160</xdr:colOff>
      <xdr:row>959</xdr:row>
      <xdr:rowOff>94680</xdr:rowOff>
    </xdr:to>
    <xdr:graphicFrame>
      <xdr:nvGraphicFramePr>
        <xdr:cNvPr id="16" name=""/>
        <xdr:cNvGraphicFramePr/>
      </xdr:nvGraphicFramePr>
      <xdr:xfrm>
        <a:off x="864360" y="1449450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22320</xdr:colOff>
      <xdr:row>169</xdr:row>
      <xdr:rowOff>51120</xdr:rowOff>
    </xdr:from>
    <xdr:to>
      <xdr:col>6</xdr:col>
      <xdr:colOff>1026000</xdr:colOff>
      <xdr:row>256</xdr:row>
      <xdr:rowOff>65520</xdr:rowOff>
    </xdr:to>
    <xdr:graphicFrame>
      <xdr:nvGraphicFramePr>
        <xdr:cNvPr id="17" name=""/>
        <xdr:cNvGraphicFramePr/>
      </xdr:nvGraphicFramePr>
      <xdr:xfrm>
        <a:off x="835200" y="283716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9000</xdr:colOff>
      <xdr:row>286</xdr:row>
      <xdr:rowOff>82440</xdr:rowOff>
    </xdr:from>
    <xdr:to>
      <xdr:col>6</xdr:col>
      <xdr:colOff>1012680</xdr:colOff>
      <xdr:row>373</xdr:row>
      <xdr:rowOff>96840</xdr:rowOff>
    </xdr:to>
    <xdr:graphicFrame>
      <xdr:nvGraphicFramePr>
        <xdr:cNvPr id="18" name=""/>
        <xdr:cNvGraphicFramePr/>
      </xdr:nvGraphicFramePr>
      <xdr:xfrm>
        <a:off x="821880" y="478472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799920</xdr:colOff>
      <xdr:row>403</xdr:row>
      <xdr:rowOff>97920</xdr:rowOff>
    </xdr:from>
    <xdr:to>
      <xdr:col>6</xdr:col>
      <xdr:colOff>990720</xdr:colOff>
      <xdr:row>490</xdr:row>
      <xdr:rowOff>112320</xdr:rowOff>
    </xdr:to>
    <xdr:graphicFrame>
      <xdr:nvGraphicFramePr>
        <xdr:cNvPr id="19" name=""/>
        <xdr:cNvGraphicFramePr/>
      </xdr:nvGraphicFramePr>
      <xdr:xfrm>
        <a:off x="799920" y="67307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811080</xdr:colOff>
      <xdr:row>521</xdr:row>
      <xdr:rowOff>52200</xdr:rowOff>
    </xdr:from>
    <xdr:to>
      <xdr:col>6</xdr:col>
      <xdr:colOff>1001880</xdr:colOff>
      <xdr:row>608</xdr:row>
      <xdr:rowOff>66240</xdr:rowOff>
    </xdr:to>
    <xdr:graphicFrame>
      <xdr:nvGraphicFramePr>
        <xdr:cNvPr id="20" name=""/>
        <xdr:cNvGraphicFramePr/>
      </xdr:nvGraphicFramePr>
      <xdr:xfrm>
        <a:off x="811080" y="867258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34920</xdr:colOff>
      <xdr:row>51</xdr:row>
      <xdr:rowOff>24480</xdr:rowOff>
    </xdr:from>
    <xdr:to>
      <xdr:col>6</xdr:col>
      <xdr:colOff>1038600</xdr:colOff>
      <xdr:row>138</xdr:row>
      <xdr:rowOff>38520</xdr:rowOff>
    </xdr:to>
    <xdr:graphicFrame>
      <xdr:nvGraphicFramePr>
        <xdr:cNvPr id="21" name=""/>
        <xdr:cNvGraphicFramePr/>
      </xdr:nvGraphicFramePr>
      <xdr:xfrm>
        <a:off x="847800" y="88801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51120</xdr:colOff>
      <xdr:row>638</xdr:row>
      <xdr:rowOff>87120</xdr:rowOff>
    </xdr:from>
    <xdr:to>
      <xdr:col>6</xdr:col>
      <xdr:colOff>1054800</xdr:colOff>
      <xdr:row>725</xdr:row>
      <xdr:rowOff>101160</xdr:rowOff>
    </xdr:to>
    <xdr:graphicFrame>
      <xdr:nvGraphicFramePr>
        <xdr:cNvPr id="22" name=""/>
        <xdr:cNvGraphicFramePr/>
      </xdr:nvGraphicFramePr>
      <xdr:xfrm>
        <a:off x="864000" y="106205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1800</xdr:colOff>
      <xdr:row>756</xdr:row>
      <xdr:rowOff>23760</xdr:rowOff>
    </xdr:from>
    <xdr:to>
      <xdr:col>6</xdr:col>
      <xdr:colOff>1005480</xdr:colOff>
      <xdr:row>843</xdr:row>
      <xdr:rowOff>38160</xdr:rowOff>
    </xdr:to>
    <xdr:graphicFrame>
      <xdr:nvGraphicFramePr>
        <xdr:cNvPr id="23" name=""/>
        <xdr:cNvGraphicFramePr/>
      </xdr:nvGraphicFramePr>
      <xdr:xfrm>
        <a:off x="814680" y="1257487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51480</xdr:colOff>
      <xdr:row>872</xdr:row>
      <xdr:rowOff>80640</xdr:rowOff>
    </xdr:from>
    <xdr:to>
      <xdr:col>6</xdr:col>
      <xdr:colOff>1055160</xdr:colOff>
      <xdr:row>959</xdr:row>
      <xdr:rowOff>94680</xdr:rowOff>
    </xdr:to>
    <xdr:graphicFrame>
      <xdr:nvGraphicFramePr>
        <xdr:cNvPr id="24" name=""/>
        <xdr:cNvGraphicFramePr/>
      </xdr:nvGraphicFramePr>
      <xdr:xfrm>
        <a:off x="864360" y="1449450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22320</xdr:colOff>
      <xdr:row>169</xdr:row>
      <xdr:rowOff>51120</xdr:rowOff>
    </xdr:from>
    <xdr:to>
      <xdr:col>6</xdr:col>
      <xdr:colOff>1026000</xdr:colOff>
      <xdr:row>256</xdr:row>
      <xdr:rowOff>65520</xdr:rowOff>
    </xdr:to>
    <xdr:graphicFrame>
      <xdr:nvGraphicFramePr>
        <xdr:cNvPr id="25" name=""/>
        <xdr:cNvGraphicFramePr/>
      </xdr:nvGraphicFramePr>
      <xdr:xfrm>
        <a:off x="835200" y="283716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9000</xdr:colOff>
      <xdr:row>286</xdr:row>
      <xdr:rowOff>82440</xdr:rowOff>
    </xdr:from>
    <xdr:to>
      <xdr:col>6</xdr:col>
      <xdr:colOff>1012680</xdr:colOff>
      <xdr:row>373</xdr:row>
      <xdr:rowOff>96840</xdr:rowOff>
    </xdr:to>
    <xdr:graphicFrame>
      <xdr:nvGraphicFramePr>
        <xdr:cNvPr id="26" name=""/>
        <xdr:cNvGraphicFramePr/>
      </xdr:nvGraphicFramePr>
      <xdr:xfrm>
        <a:off x="821880" y="478472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799920</xdr:colOff>
      <xdr:row>403</xdr:row>
      <xdr:rowOff>97920</xdr:rowOff>
    </xdr:from>
    <xdr:to>
      <xdr:col>6</xdr:col>
      <xdr:colOff>990720</xdr:colOff>
      <xdr:row>490</xdr:row>
      <xdr:rowOff>112320</xdr:rowOff>
    </xdr:to>
    <xdr:graphicFrame>
      <xdr:nvGraphicFramePr>
        <xdr:cNvPr id="27" name=""/>
        <xdr:cNvGraphicFramePr/>
      </xdr:nvGraphicFramePr>
      <xdr:xfrm>
        <a:off x="799920" y="67307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811080</xdr:colOff>
      <xdr:row>521</xdr:row>
      <xdr:rowOff>52200</xdr:rowOff>
    </xdr:from>
    <xdr:to>
      <xdr:col>6</xdr:col>
      <xdr:colOff>1001880</xdr:colOff>
      <xdr:row>608</xdr:row>
      <xdr:rowOff>66240</xdr:rowOff>
    </xdr:to>
    <xdr:graphicFrame>
      <xdr:nvGraphicFramePr>
        <xdr:cNvPr id="28" name=""/>
        <xdr:cNvGraphicFramePr/>
      </xdr:nvGraphicFramePr>
      <xdr:xfrm>
        <a:off x="811080" y="867258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34920</xdr:colOff>
      <xdr:row>51</xdr:row>
      <xdr:rowOff>24480</xdr:rowOff>
    </xdr:from>
    <xdr:to>
      <xdr:col>6</xdr:col>
      <xdr:colOff>1038600</xdr:colOff>
      <xdr:row>138</xdr:row>
      <xdr:rowOff>38520</xdr:rowOff>
    </xdr:to>
    <xdr:graphicFrame>
      <xdr:nvGraphicFramePr>
        <xdr:cNvPr id="29" name=""/>
        <xdr:cNvGraphicFramePr/>
      </xdr:nvGraphicFramePr>
      <xdr:xfrm>
        <a:off x="847800" y="88801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51120</xdr:colOff>
      <xdr:row>638</xdr:row>
      <xdr:rowOff>87120</xdr:rowOff>
    </xdr:from>
    <xdr:to>
      <xdr:col>6</xdr:col>
      <xdr:colOff>1054800</xdr:colOff>
      <xdr:row>725</xdr:row>
      <xdr:rowOff>101160</xdr:rowOff>
    </xdr:to>
    <xdr:graphicFrame>
      <xdr:nvGraphicFramePr>
        <xdr:cNvPr id="30" name=""/>
        <xdr:cNvGraphicFramePr/>
      </xdr:nvGraphicFramePr>
      <xdr:xfrm>
        <a:off x="864000" y="10620504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1800</xdr:colOff>
      <xdr:row>756</xdr:row>
      <xdr:rowOff>23760</xdr:rowOff>
    </xdr:from>
    <xdr:to>
      <xdr:col>6</xdr:col>
      <xdr:colOff>1005480</xdr:colOff>
      <xdr:row>843</xdr:row>
      <xdr:rowOff>38160</xdr:rowOff>
    </xdr:to>
    <xdr:graphicFrame>
      <xdr:nvGraphicFramePr>
        <xdr:cNvPr id="31" name=""/>
        <xdr:cNvGraphicFramePr/>
      </xdr:nvGraphicFramePr>
      <xdr:xfrm>
        <a:off x="814680" y="12574872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51480</xdr:colOff>
      <xdr:row>872</xdr:row>
      <xdr:rowOff>80640</xdr:rowOff>
    </xdr:from>
    <xdr:to>
      <xdr:col>6</xdr:col>
      <xdr:colOff>1055160</xdr:colOff>
      <xdr:row>959</xdr:row>
      <xdr:rowOff>94680</xdr:rowOff>
    </xdr:to>
    <xdr:graphicFrame>
      <xdr:nvGraphicFramePr>
        <xdr:cNvPr id="32" name=""/>
        <xdr:cNvGraphicFramePr/>
      </xdr:nvGraphicFramePr>
      <xdr:xfrm>
        <a:off x="864360" y="144945000"/>
        <a:ext cx="8679960" cy="1415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9999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20.76"/>
  </cols>
  <sheetData>
    <row r="1" customFormat="false" ht="23.85" hidden="false" customHeight="false" outlineLevel="0" collapsed="false">
      <c r="A1" s="2" t="s">
        <v>0</v>
      </c>
    </row>
    <row r="2" customFormat="false" ht="12.8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customFormat="false" ht="12.8" hidden="false" customHeight="false" outlineLevel="0" collapsed="false">
      <c r="A3" s="1" t="n">
        <v>0</v>
      </c>
      <c r="B3" s="1" t="s">
        <v>6</v>
      </c>
      <c r="C3" s="1" t="s">
        <v>7</v>
      </c>
      <c r="D3" s="1" t="s">
        <v>8</v>
      </c>
      <c r="E3" s="3" t="s">
        <v>6</v>
      </c>
    </row>
    <row r="4" customFormat="false" ht="12.8" hidden="false" customHeight="false" outlineLevel="0" collapsed="false">
      <c r="A4" s="1" t="n">
        <v>0</v>
      </c>
      <c r="B4" s="1" t="s">
        <v>9</v>
      </c>
      <c r="C4" s="1" t="s">
        <v>10</v>
      </c>
      <c r="D4" s="1" t="s">
        <v>8</v>
      </c>
      <c r="E4" s="3" t="s">
        <v>9</v>
      </c>
    </row>
    <row r="5" customFormat="false" ht="12.8" hidden="false" customHeight="false" outlineLevel="0" collapsed="false">
      <c r="A5" s="1"/>
      <c r="B5" s="1"/>
      <c r="C5" s="1"/>
      <c r="E5" s="3"/>
    </row>
    <row r="6" customFormat="false" ht="12.8" hidden="false" customHeight="false" outlineLevel="0" collapsed="false">
      <c r="A6" s="4" t="s">
        <v>11</v>
      </c>
    </row>
    <row r="7" customFormat="false" ht="12.8" hidden="false" customHeight="false" outlineLevel="0" collapsed="false">
      <c r="A7" s="4" t="s">
        <v>1</v>
      </c>
      <c r="B7" s="4" t="s">
        <v>12</v>
      </c>
    </row>
    <row r="8" customFormat="false" ht="12.8" hidden="false" customHeight="false" outlineLevel="0" collapsed="false">
      <c r="A8" s="4" t="s">
        <v>13</v>
      </c>
      <c r="B8" s="4" t="s">
        <v>14</v>
      </c>
    </row>
    <row r="9" customFormat="false" ht="12.8" hidden="false" customHeight="false" outlineLevel="0" collapsed="false">
      <c r="A9" s="4" t="s">
        <v>15</v>
      </c>
      <c r="B9" s="4" t="s">
        <v>16</v>
      </c>
    </row>
  </sheetData>
  <hyperlinks>
    <hyperlink ref="E3" location="AL!A1" display="AL"/>
    <hyperlink ref="E4" location="AR!A1" display="A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6" activeCellId="0" sqref="A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5" width="9.21"/>
    <col collapsed="false" customWidth="false" hidden="false" outlineLevel="0" max="3" min="2" style="5" width="11.53"/>
    <col collapsed="false" customWidth="false" hidden="false" outlineLevel="0" max="5" min="4" style="5" width="11.52"/>
  </cols>
  <sheetData>
    <row r="1" customFormat="false" ht="12.8" hidden="false" customHeight="false" outlineLevel="0" collapsed="false">
      <c r="A1" s="4" t="s">
        <v>17</v>
      </c>
      <c r="F1" s="5"/>
    </row>
    <row r="2" customFormat="false" ht="12.8" hidden="false" customHeight="false" outlineLevel="0" collapsed="false">
      <c r="A2" s="4" t="s">
        <v>18</v>
      </c>
      <c r="B2" s="4" t="s">
        <v>19</v>
      </c>
      <c r="F2" s="5"/>
    </row>
    <row r="3" customFormat="false" ht="12.8" hidden="false" customHeight="false" outlineLevel="0" collapsed="false">
      <c r="A3" s="4"/>
      <c r="F3" s="5"/>
    </row>
    <row r="4" customFormat="false" ht="12.8" hidden="false" customHeight="false" outlineLevel="0" collapsed="false">
      <c r="A4" s="4"/>
      <c r="F4" s="5"/>
    </row>
    <row r="5" customFormat="false" ht="12.8" hidden="false" customHeight="false" outlineLevel="0" collapsed="false">
      <c r="A5" s="4" t="s">
        <v>20</v>
      </c>
      <c r="B5" s="5" t="s">
        <v>21</v>
      </c>
      <c r="C5" s="6"/>
      <c r="D5" s="6"/>
      <c r="E5" s="6"/>
      <c r="F5" s="6"/>
      <c r="G5" s="6"/>
    </row>
    <row r="17" customFormat="false" ht="23.85" hidden="false" customHeight="false" outlineLevel="0" collapsed="false"/>
    <row r="18" customFormat="false" ht="23.85" hidden="false" customHeight="false" outlineLevel="0" collapsed="false"/>
    <row r="19" customFormat="false" ht="23.85" hidden="false" customHeight="false" outlineLevel="0" collapsed="false"/>
    <row r="20" customFormat="false" ht="23.85" hidden="false" customHeight="false" outlineLevel="0" collapsed="false"/>
    <row r="21" customFormat="false" ht="23.85" hidden="false" customHeight="false" outlineLevel="0" collapsed="false"/>
    <row r="22" customFormat="false" ht="23.85" hidden="false" customHeight="false" outlineLevel="0" collapsed="false"/>
    <row r="23" customFormat="false" ht="23.85" hidden="false" customHeight="false" outlineLevel="0" collapsed="false"/>
    <row r="34" customFormat="false" ht="23.85" hidden="false" customHeight="false" outlineLevel="0" collapsed="false"/>
    <row r="35" customFormat="false" ht="23.85" hidden="false" customHeight="false" outlineLevel="0" collapsed="false"/>
    <row r="36" customFormat="false" ht="23.85" hidden="false" customHeight="false" outlineLevel="0" collapsed="false"/>
    <row r="37" customFormat="false" ht="23.85" hidden="false" customHeight="false" outlineLevel="0" collapsed="false"/>
    <row r="38" customFormat="false" ht="23.85" hidden="false" customHeight="false" outlineLevel="0" collapsed="false"/>
    <row r="39" customFormat="false" ht="23.85" hidden="false" customHeight="false" outlineLevel="0" collapsed="false"/>
    <row r="40" customFormat="false" ht="23.8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BA19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5" ySplit="2" topLeftCell="AX3" activePane="bottomRight" state="frozen"/>
      <selection pane="topLeft" activeCell="A1" activeCellId="0" sqref="A1"/>
      <selection pane="topRight" activeCell="AX1" activeCellId="0" sqref="AX1"/>
      <selection pane="bottomLeft" activeCell="A3" activeCellId="0" sqref="A3"/>
      <selection pane="bottomRight" activeCell="A3" activeCellId="0" sqref="A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5" width="4.61"/>
    <col collapsed="false" customWidth="true" hidden="false" outlineLevel="0" max="2" min="2" style="5" width="12.61"/>
    <col collapsed="false" customWidth="true" hidden="false" outlineLevel="0" max="3" min="3" style="5" width="6.02"/>
    <col collapsed="false" customWidth="true" hidden="false" outlineLevel="0" max="4" min="4" style="5" width="22.98"/>
    <col collapsed="false" customWidth="true" hidden="false" outlineLevel="0" max="5" min="5" style="5" width="13.15"/>
    <col collapsed="false" customWidth="true" hidden="false" outlineLevel="0" max="8" min="6" style="7" width="15.2"/>
    <col collapsed="false" customWidth="true" hidden="false" outlineLevel="0" max="14" min="9" style="8" width="15.2"/>
    <col collapsed="false" customWidth="true" hidden="false" outlineLevel="0" max="22" min="15" style="9" width="15.2"/>
    <col collapsed="false" customWidth="false" hidden="false" outlineLevel="0" max="24" min="23" style="1" width="11.53"/>
    <col collapsed="false" customWidth="false" hidden="false" outlineLevel="0" max="27" min="26" style="1" width="11.53"/>
    <col collapsed="false" customWidth="false" hidden="false" outlineLevel="0" max="30" min="29" style="1" width="11.53"/>
    <col collapsed="false" customWidth="false" hidden="false" outlineLevel="0" max="33" min="32" style="1" width="11.53"/>
    <col collapsed="false" customWidth="false" hidden="false" outlineLevel="0" max="36" min="35" style="1" width="11.53"/>
    <col collapsed="false" customWidth="false" hidden="false" outlineLevel="0" max="39" min="38" style="1" width="11.53"/>
    <col collapsed="false" customWidth="false" hidden="false" outlineLevel="0" max="42" min="41" style="1" width="11.53"/>
    <col collapsed="false" customWidth="false" hidden="false" outlineLevel="0" max="45" min="44" style="1" width="11.53"/>
  </cols>
  <sheetData>
    <row r="1" customFormat="false" ht="13.05" hidden="false" customHeight="false" outlineLevel="0" collapsed="false">
      <c r="A1" s="2" t="s">
        <v>0</v>
      </c>
      <c r="B1" s="10"/>
      <c r="C1" s="10"/>
      <c r="D1" s="10"/>
      <c r="E1" s="10"/>
      <c r="F1" s="11"/>
      <c r="G1" s="11"/>
      <c r="H1" s="11"/>
      <c r="I1" s="12"/>
      <c r="J1" s="12"/>
      <c r="K1" s="12"/>
      <c r="L1" s="12"/>
      <c r="M1" s="12"/>
      <c r="N1" s="12"/>
      <c r="O1" s="13"/>
      <c r="P1" s="13"/>
      <c r="Q1" s="13"/>
      <c r="R1" s="13"/>
      <c r="S1" s="13"/>
      <c r="T1" s="13"/>
      <c r="U1" s="13"/>
      <c r="V1" s="13"/>
    </row>
    <row r="2" customFormat="false" ht="68.65" hidden="false" customHeight="false" outlineLevel="0" collapsed="false">
      <c r="A2" s="14" t="s">
        <v>1</v>
      </c>
      <c r="B2" s="14" t="s">
        <v>22</v>
      </c>
      <c r="C2" s="14" t="s">
        <v>23</v>
      </c>
      <c r="D2" s="14" t="s">
        <v>24</v>
      </c>
      <c r="E2" s="14" t="s">
        <v>25</v>
      </c>
      <c r="F2" s="14" t="s">
        <v>26</v>
      </c>
      <c r="G2" s="14" t="s">
        <v>27</v>
      </c>
      <c r="H2" s="14" t="s">
        <v>28</v>
      </c>
      <c r="I2" s="14" t="s">
        <v>29</v>
      </c>
      <c r="J2" s="14" t="s">
        <v>30</v>
      </c>
      <c r="K2" s="14" t="s">
        <v>31</v>
      </c>
      <c r="L2" s="14" t="s">
        <v>32</v>
      </c>
      <c r="M2" s="14" t="s">
        <v>33</v>
      </c>
      <c r="N2" s="14" t="s">
        <v>34</v>
      </c>
      <c r="O2" s="14" t="s">
        <v>35</v>
      </c>
      <c r="P2" s="14" t="s">
        <v>36</v>
      </c>
      <c r="Q2" s="14" t="s">
        <v>37</v>
      </c>
      <c r="R2" s="14" t="s">
        <v>38</v>
      </c>
      <c r="S2" s="14" t="s">
        <v>39</v>
      </c>
      <c r="T2" s="14" t="s">
        <v>40</v>
      </c>
      <c r="U2" s="14" t="s">
        <v>41</v>
      </c>
      <c r="V2" s="14" t="s">
        <v>42</v>
      </c>
      <c r="W2" s="14" t="s">
        <v>43</v>
      </c>
      <c r="X2" s="14" t="s">
        <v>44</v>
      </c>
      <c r="Y2" s="14" t="s">
        <v>45</v>
      </c>
      <c r="Z2" s="14" t="s">
        <v>46</v>
      </c>
      <c r="AA2" s="14" t="s">
        <v>47</v>
      </c>
      <c r="AB2" s="14" t="s">
        <v>48</v>
      </c>
      <c r="AC2" s="14" t="s">
        <v>49</v>
      </c>
      <c r="AD2" s="14" t="s">
        <v>50</v>
      </c>
      <c r="AE2" s="14" t="s">
        <v>51</v>
      </c>
      <c r="AF2" s="14" t="s">
        <v>52</v>
      </c>
      <c r="AG2" s="14" t="s">
        <v>53</v>
      </c>
      <c r="AH2" s="14" t="s">
        <v>54</v>
      </c>
      <c r="AI2" s="14" t="s">
        <v>55</v>
      </c>
      <c r="AJ2" s="14" t="s">
        <v>56</v>
      </c>
      <c r="AK2" s="14" t="s">
        <v>57</v>
      </c>
      <c r="AL2" s="14" t="s">
        <v>58</v>
      </c>
      <c r="AM2" s="14" t="s">
        <v>59</v>
      </c>
      <c r="AN2" s="14" t="s">
        <v>60</v>
      </c>
      <c r="AO2" s="14" t="s">
        <v>61</v>
      </c>
      <c r="AP2" s="14" t="s">
        <v>62</v>
      </c>
      <c r="AQ2" s="14" t="s">
        <v>63</v>
      </c>
      <c r="AR2" s="14" t="s">
        <v>64</v>
      </c>
      <c r="AS2" s="14" t="s">
        <v>65</v>
      </c>
      <c r="AT2" s="14" t="s">
        <v>66</v>
      </c>
      <c r="AU2" s="14" t="s">
        <v>67</v>
      </c>
      <c r="AV2" s="14" t="s">
        <v>68</v>
      </c>
      <c r="AW2" s="14" t="s">
        <v>69</v>
      </c>
      <c r="AX2" s="14" t="s">
        <v>70</v>
      </c>
      <c r="AY2" s="14" t="s">
        <v>71</v>
      </c>
      <c r="AZ2" s="14" t="s">
        <v>72</v>
      </c>
      <c r="BA2" s="14" t="s">
        <v>73</v>
      </c>
    </row>
    <row r="3" customFormat="false" ht="12.8" hidden="false" customHeight="false" outlineLevel="0" collapsed="false">
      <c r="A3" s="15" t="n">
        <v>0</v>
      </c>
      <c r="B3" s="15" t="s">
        <v>8</v>
      </c>
      <c r="C3" s="15" t="s">
        <v>74</v>
      </c>
      <c r="D3" s="16" t="s">
        <v>75</v>
      </c>
      <c r="E3" s="16" t="s">
        <v>76</v>
      </c>
      <c r="F3" s="16"/>
      <c r="G3" s="16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8"/>
      <c r="V3" s="18"/>
      <c r="W3" s="19"/>
      <c r="X3" s="19"/>
      <c r="Y3" s="19"/>
      <c r="Z3" s="20"/>
      <c r="AA3" s="20"/>
      <c r="AB3" s="20"/>
      <c r="AC3" s="19"/>
      <c r="AD3" s="19"/>
      <c r="AE3" s="19"/>
      <c r="AF3" s="20"/>
      <c r="AG3" s="20"/>
      <c r="AH3" s="20"/>
      <c r="AI3" s="19"/>
      <c r="AJ3" s="19"/>
      <c r="AK3" s="19"/>
      <c r="AL3" s="20"/>
      <c r="AM3" s="20"/>
      <c r="AN3" s="20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5"/>
      <c r="BA3" s="15"/>
    </row>
    <row r="4" customFormat="false" ht="12.8" hidden="false" customHeight="false" outlineLevel="0" collapsed="false">
      <c r="A4" s="15" t="n">
        <v>0</v>
      </c>
      <c r="B4" s="15" t="s">
        <v>8</v>
      </c>
      <c r="C4" s="15" t="s">
        <v>74</v>
      </c>
      <c r="D4" s="16" t="s">
        <v>77</v>
      </c>
      <c r="E4" s="16" t="s">
        <v>78</v>
      </c>
      <c r="F4" s="16"/>
      <c r="G4" s="16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  <c r="U4" s="18"/>
      <c r="V4" s="18"/>
      <c r="W4" s="19"/>
      <c r="X4" s="19"/>
      <c r="Y4" s="19"/>
      <c r="Z4" s="20"/>
      <c r="AA4" s="20"/>
      <c r="AB4" s="20"/>
      <c r="AC4" s="19"/>
      <c r="AD4" s="19"/>
      <c r="AE4" s="19"/>
      <c r="AF4" s="20"/>
      <c r="AG4" s="20"/>
      <c r="AH4" s="20"/>
      <c r="AI4" s="19"/>
      <c r="AJ4" s="19"/>
      <c r="AK4" s="19"/>
      <c r="AL4" s="20"/>
      <c r="AM4" s="20"/>
      <c r="AN4" s="20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5"/>
      <c r="BA4" s="15"/>
    </row>
    <row r="5" customFormat="false" ht="12.8" hidden="false" customHeight="false" outlineLevel="0" collapsed="false">
      <c r="A5" s="15" t="n">
        <v>0</v>
      </c>
      <c r="B5" s="15" t="s">
        <v>8</v>
      </c>
      <c r="C5" s="15" t="s">
        <v>74</v>
      </c>
      <c r="D5" s="16" t="s">
        <v>77</v>
      </c>
      <c r="E5" s="16" t="s">
        <v>79</v>
      </c>
      <c r="F5" s="16"/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9"/>
      <c r="X5" s="19"/>
      <c r="Y5" s="19"/>
      <c r="Z5" s="20"/>
      <c r="AA5" s="20"/>
      <c r="AB5" s="20"/>
      <c r="AC5" s="19"/>
      <c r="AD5" s="19"/>
      <c r="AE5" s="19"/>
      <c r="AF5" s="20"/>
      <c r="AG5" s="20"/>
      <c r="AH5" s="20"/>
      <c r="AI5" s="19"/>
      <c r="AJ5" s="19"/>
      <c r="AK5" s="19"/>
      <c r="AL5" s="20"/>
      <c r="AM5" s="20"/>
      <c r="AN5" s="20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5"/>
      <c r="BA5" s="15"/>
    </row>
    <row r="6" customFormat="false" ht="12.8" hidden="false" customHeight="false" outlineLevel="0" collapsed="false">
      <c r="A6" s="15" t="n">
        <v>0</v>
      </c>
      <c r="B6" s="15" t="s">
        <v>8</v>
      </c>
      <c r="C6" s="15" t="s">
        <v>74</v>
      </c>
      <c r="D6" s="16" t="s">
        <v>80</v>
      </c>
      <c r="E6" s="16" t="s">
        <v>78</v>
      </c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8"/>
      <c r="U6" s="18"/>
      <c r="V6" s="18"/>
      <c r="W6" s="19"/>
      <c r="X6" s="19"/>
      <c r="Y6" s="19"/>
      <c r="Z6" s="20"/>
      <c r="AA6" s="20"/>
      <c r="AB6" s="20"/>
      <c r="AC6" s="19"/>
      <c r="AD6" s="19"/>
      <c r="AE6" s="19"/>
      <c r="AF6" s="20"/>
      <c r="AG6" s="20"/>
      <c r="AH6" s="20"/>
      <c r="AI6" s="19"/>
      <c r="AJ6" s="19"/>
      <c r="AK6" s="19"/>
      <c r="AL6" s="20"/>
      <c r="AM6" s="20"/>
      <c r="AN6" s="20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5"/>
      <c r="BA6" s="15"/>
    </row>
    <row r="7" customFormat="false" ht="12.8" hidden="false" customHeight="false" outlineLevel="0" collapsed="false">
      <c r="A7" s="15" t="n">
        <v>0</v>
      </c>
      <c r="B7" s="15" t="s">
        <v>8</v>
      </c>
      <c r="C7" s="15" t="s">
        <v>74</v>
      </c>
      <c r="D7" s="16" t="s">
        <v>80</v>
      </c>
      <c r="E7" s="16" t="s">
        <v>79</v>
      </c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/>
      <c r="U7" s="18"/>
      <c r="V7" s="18"/>
      <c r="W7" s="19"/>
      <c r="X7" s="19"/>
      <c r="Y7" s="19"/>
      <c r="Z7" s="20"/>
      <c r="AA7" s="20"/>
      <c r="AB7" s="20"/>
      <c r="AC7" s="19"/>
      <c r="AD7" s="19"/>
      <c r="AE7" s="19"/>
      <c r="AF7" s="20"/>
      <c r="AG7" s="20"/>
      <c r="AH7" s="20"/>
      <c r="AI7" s="19"/>
      <c r="AJ7" s="19"/>
      <c r="AK7" s="19"/>
      <c r="AL7" s="20"/>
      <c r="AM7" s="20"/>
      <c r="AN7" s="20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5"/>
      <c r="BA7" s="15"/>
    </row>
    <row r="8" customFormat="false" ht="12.8" hidden="false" customHeight="false" outlineLevel="0" collapsed="false">
      <c r="A8" s="15" t="n">
        <v>0</v>
      </c>
      <c r="B8" s="15" t="s">
        <v>8</v>
      </c>
      <c r="C8" s="15" t="s">
        <v>74</v>
      </c>
      <c r="D8" s="16" t="s">
        <v>81</v>
      </c>
      <c r="E8" s="16" t="s">
        <v>78</v>
      </c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8"/>
      <c r="U8" s="18"/>
      <c r="V8" s="18"/>
      <c r="W8" s="19"/>
      <c r="X8" s="19"/>
      <c r="Y8" s="19"/>
      <c r="Z8" s="20"/>
      <c r="AA8" s="20"/>
      <c r="AB8" s="20"/>
      <c r="AC8" s="19"/>
      <c r="AD8" s="19"/>
      <c r="AE8" s="19"/>
      <c r="AF8" s="20"/>
      <c r="AG8" s="20"/>
      <c r="AH8" s="20"/>
      <c r="AI8" s="19"/>
      <c r="AJ8" s="19"/>
      <c r="AK8" s="19"/>
      <c r="AL8" s="20"/>
      <c r="AM8" s="20"/>
      <c r="AN8" s="20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5"/>
      <c r="BA8" s="15"/>
    </row>
    <row r="9" customFormat="false" ht="12.8" hidden="false" customHeight="false" outlineLevel="0" collapsed="false">
      <c r="A9" s="15" t="n">
        <v>0</v>
      </c>
      <c r="B9" s="15" t="s">
        <v>8</v>
      </c>
      <c r="C9" s="15" t="s">
        <v>74</v>
      </c>
      <c r="D9" s="16" t="s">
        <v>81</v>
      </c>
      <c r="E9" s="16" t="s">
        <v>79</v>
      </c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8"/>
      <c r="U9" s="18"/>
      <c r="V9" s="18"/>
      <c r="W9" s="19"/>
      <c r="X9" s="19"/>
      <c r="Y9" s="19"/>
      <c r="Z9" s="20"/>
      <c r="AA9" s="20"/>
      <c r="AB9" s="20"/>
      <c r="AC9" s="19"/>
      <c r="AD9" s="19"/>
      <c r="AE9" s="19"/>
      <c r="AF9" s="20"/>
      <c r="AG9" s="20"/>
      <c r="AH9" s="20"/>
      <c r="AI9" s="19"/>
      <c r="AJ9" s="19"/>
      <c r="AK9" s="19"/>
      <c r="AL9" s="20"/>
      <c r="AM9" s="20"/>
      <c r="AN9" s="20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5"/>
      <c r="BA9" s="15"/>
    </row>
    <row r="10" customFormat="false" ht="12.8" hidden="false" customHeight="false" outlineLevel="0" collapsed="false">
      <c r="A10" s="15" t="n">
        <v>0</v>
      </c>
      <c r="B10" s="15" t="s">
        <v>8</v>
      </c>
      <c r="C10" s="15" t="s">
        <v>74</v>
      </c>
      <c r="D10" s="16" t="s">
        <v>82</v>
      </c>
      <c r="E10" s="16" t="s">
        <v>78</v>
      </c>
      <c r="F10" s="16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8"/>
      <c r="U10" s="18"/>
      <c r="V10" s="18"/>
      <c r="W10" s="19"/>
      <c r="X10" s="19"/>
      <c r="Y10" s="19"/>
      <c r="Z10" s="20"/>
      <c r="AA10" s="20"/>
      <c r="AB10" s="20"/>
      <c r="AC10" s="19"/>
      <c r="AD10" s="19"/>
      <c r="AE10" s="19"/>
      <c r="AF10" s="20"/>
      <c r="AG10" s="20"/>
      <c r="AH10" s="20"/>
      <c r="AI10" s="19"/>
      <c r="AJ10" s="19"/>
      <c r="AK10" s="19"/>
      <c r="AL10" s="20"/>
      <c r="AM10" s="20"/>
      <c r="AN10" s="20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5"/>
      <c r="BA10" s="15"/>
    </row>
    <row r="11" customFormat="false" ht="12.8" hidden="false" customHeight="false" outlineLevel="0" collapsed="false">
      <c r="A11" s="15" t="n">
        <v>0</v>
      </c>
      <c r="B11" s="15" t="s">
        <v>8</v>
      </c>
      <c r="C11" s="15" t="s">
        <v>74</v>
      </c>
      <c r="D11" s="16" t="s">
        <v>82</v>
      </c>
      <c r="E11" s="16" t="s">
        <v>79</v>
      </c>
      <c r="F11" s="16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8"/>
      <c r="U11" s="18"/>
      <c r="V11" s="18"/>
      <c r="W11" s="19"/>
      <c r="X11" s="19"/>
      <c r="Y11" s="19"/>
      <c r="Z11" s="20"/>
      <c r="AA11" s="20"/>
      <c r="AB11" s="20"/>
      <c r="AC11" s="19"/>
      <c r="AD11" s="19"/>
      <c r="AE11" s="19"/>
      <c r="AF11" s="20"/>
      <c r="AG11" s="20"/>
      <c r="AH11" s="20"/>
      <c r="AI11" s="19"/>
      <c r="AJ11" s="19"/>
      <c r="AK11" s="19"/>
      <c r="AL11" s="20"/>
      <c r="AM11" s="20"/>
      <c r="AN11" s="20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5"/>
      <c r="BA11" s="15"/>
    </row>
    <row r="12" customFormat="false" ht="12.8" hidden="false" customHeight="false" outlineLevel="0" collapsed="false">
      <c r="A12" s="15" t="n">
        <v>0</v>
      </c>
      <c r="B12" s="15" t="s">
        <v>8</v>
      </c>
      <c r="C12" s="15" t="s">
        <v>74</v>
      </c>
      <c r="D12" s="16" t="s">
        <v>83</v>
      </c>
      <c r="E12" s="16" t="s">
        <v>78</v>
      </c>
      <c r="F12" s="16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19"/>
      <c r="Y12" s="19"/>
      <c r="Z12" s="20"/>
      <c r="AA12" s="20"/>
      <c r="AB12" s="20"/>
      <c r="AC12" s="19"/>
      <c r="AD12" s="19"/>
      <c r="AE12" s="19"/>
      <c r="AF12" s="20"/>
      <c r="AG12" s="20"/>
      <c r="AH12" s="20"/>
      <c r="AI12" s="19"/>
      <c r="AJ12" s="19"/>
      <c r="AK12" s="19"/>
      <c r="AL12" s="20"/>
      <c r="AM12" s="20"/>
      <c r="AN12" s="20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5"/>
      <c r="BA12" s="15"/>
    </row>
    <row r="13" customFormat="false" ht="12.8" hidden="false" customHeight="false" outlineLevel="0" collapsed="false">
      <c r="A13" s="15" t="n">
        <v>0</v>
      </c>
      <c r="B13" s="15" t="s">
        <v>8</v>
      </c>
      <c r="C13" s="15" t="s">
        <v>74</v>
      </c>
      <c r="D13" s="16" t="s">
        <v>83</v>
      </c>
      <c r="E13" s="16" t="s">
        <v>79</v>
      </c>
      <c r="F13" s="16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8"/>
      <c r="U13" s="18"/>
      <c r="V13" s="18"/>
      <c r="W13" s="19"/>
      <c r="X13" s="19"/>
      <c r="Y13" s="19"/>
      <c r="Z13" s="20"/>
      <c r="AA13" s="20"/>
      <c r="AB13" s="20"/>
      <c r="AC13" s="19"/>
      <c r="AD13" s="19"/>
      <c r="AE13" s="19"/>
      <c r="AF13" s="20"/>
      <c r="AG13" s="20"/>
      <c r="AH13" s="20"/>
      <c r="AI13" s="19"/>
      <c r="AJ13" s="19"/>
      <c r="AK13" s="19"/>
      <c r="AL13" s="20"/>
      <c r="AM13" s="20"/>
      <c r="AN13" s="20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5"/>
      <c r="BA13" s="15"/>
    </row>
    <row r="14" customFormat="false" ht="23.85" hidden="false" customHeight="false" outlineLevel="0" collapsed="false">
      <c r="A14" s="15" t="n">
        <v>0</v>
      </c>
      <c r="B14" s="15" t="s">
        <v>8</v>
      </c>
      <c r="C14" s="15" t="s">
        <v>74</v>
      </c>
      <c r="D14" s="16" t="s">
        <v>84</v>
      </c>
      <c r="E14" s="16" t="s">
        <v>78</v>
      </c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8"/>
      <c r="U14" s="18"/>
      <c r="V14" s="18"/>
      <c r="W14" s="19"/>
      <c r="X14" s="19"/>
      <c r="Y14" s="19"/>
      <c r="Z14" s="20"/>
      <c r="AA14" s="20"/>
      <c r="AB14" s="20"/>
      <c r="AC14" s="19"/>
      <c r="AD14" s="19"/>
      <c r="AE14" s="19"/>
      <c r="AF14" s="20"/>
      <c r="AG14" s="20"/>
      <c r="AH14" s="20"/>
      <c r="AI14" s="19"/>
      <c r="AJ14" s="19"/>
      <c r="AK14" s="19"/>
      <c r="AL14" s="20"/>
      <c r="AM14" s="20"/>
      <c r="AN14" s="20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5"/>
      <c r="BA14" s="15"/>
    </row>
    <row r="15" customFormat="false" ht="23.85" hidden="false" customHeight="false" outlineLevel="0" collapsed="false">
      <c r="A15" s="15" t="n">
        <v>0</v>
      </c>
      <c r="B15" s="15" t="s">
        <v>8</v>
      </c>
      <c r="C15" s="15" t="s">
        <v>74</v>
      </c>
      <c r="D15" s="16" t="s">
        <v>84</v>
      </c>
      <c r="E15" s="16" t="s">
        <v>79</v>
      </c>
      <c r="F15" s="16"/>
      <c r="G15" s="1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8"/>
      <c r="U15" s="18"/>
      <c r="V15" s="18"/>
      <c r="W15" s="19"/>
      <c r="X15" s="19"/>
      <c r="Y15" s="19"/>
      <c r="Z15" s="20"/>
      <c r="AA15" s="20"/>
      <c r="AB15" s="20"/>
      <c r="AC15" s="19"/>
      <c r="AD15" s="19"/>
      <c r="AE15" s="19"/>
      <c r="AF15" s="20"/>
      <c r="AG15" s="20"/>
      <c r="AH15" s="20"/>
      <c r="AI15" s="19"/>
      <c r="AJ15" s="19"/>
      <c r="AK15" s="19"/>
      <c r="AL15" s="20"/>
      <c r="AM15" s="20"/>
      <c r="AN15" s="20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5"/>
      <c r="BA15" s="15"/>
    </row>
    <row r="16" customFormat="false" ht="12.8" hidden="false" customHeight="false" outlineLevel="0" collapsed="false">
      <c r="A16" s="15" t="n">
        <v>0</v>
      </c>
      <c r="B16" s="15" t="s">
        <v>8</v>
      </c>
      <c r="C16" s="15" t="s">
        <v>74</v>
      </c>
      <c r="D16" s="16" t="s">
        <v>85</v>
      </c>
      <c r="E16" s="16" t="s">
        <v>78</v>
      </c>
      <c r="F16" s="16"/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8"/>
      <c r="U16" s="18"/>
      <c r="V16" s="18"/>
      <c r="W16" s="19"/>
      <c r="X16" s="19"/>
      <c r="Y16" s="19"/>
      <c r="Z16" s="20"/>
      <c r="AA16" s="20"/>
      <c r="AB16" s="20"/>
      <c r="AC16" s="19"/>
      <c r="AD16" s="19"/>
      <c r="AE16" s="19"/>
      <c r="AF16" s="20"/>
      <c r="AG16" s="20"/>
      <c r="AH16" s="20"/>
      <c r="AI16" s="19"/>
      <c r="AJ16" s="19"/>
      <c r="AK16" s="19"/>
      <c r="AL16" s="20"/>
      <c r="AM16" s="20"/>
      <c r="AN16" s="20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5"/>
      <c r="BA16" s="15"/>
    </row>
    <row r="17" customFormat="false" ht="12.8" hidden="false" customHeight="false" outlineLevel="0" collapsed="false">
      <c r="A17" s="15" t="n">
        <v>0</v>
      </c>
      <c r="B17" s="15" t="s">
        <v>8</v>
      </c>
      <c r="C17" s="15" t="s">
        <v>74</v>
      </c>
      <c r="D17" s="16" t="s">
        <v>85</v>
      </c>
      <c r="E17" s="16" t="s">
        <v>79</v>
      </c>
      <c r="F17" s="16"/>
      <c r="G17" s="1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8"/>
      <c r="U17" s="18"/>
      <c r="V17" s="18"/>
      <c r="W17" s="19"/>
      <c r="X17" s="19"/>
      <c r="Y17" s="19"/>
      <c r="Z17" s="20"/>
      <c r="AA17" s="20"/>
      <c r="AB17" s="20"/>
      <c r="AC17" s="19"/>
      <c r="AD17" s="19"/>
      <c r="AE17" s="19"/>
      <c r="AF17" s="20"/>
      <c r="AG17" s="20"/>
      <c r="AH17" s="20"/>
      <c r="AI17" s="19"/>
      <c r="AJ17" s="19"/>
      <c r="AK17" s="19"/>
      <c r="AL17" s="20"/>
      <c r="AM17" s="20"/>
      <c r="AN17" s="20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5"/>
      <c r="BA17" s="15"/>
    </row>
    <row r="18" customFormat="false" ht="23.85" hidden="false" customHeight="false" outlineLevel="0" collapsed="false">
      <c r="A18" s="15" t="n">
        <v>0</v>
      </c>
      <c r="B18" s="15" t="s">
        <v>8</v>
      </c>
      <c r="C18" s="15" t="s">
        <v>74</v>
      </c>
      <c r="D18" s="16" t="s">
        <v>86</v>
      </c>
      <c r="E18" s="16" t="s">
        <v>78</v>
      </c>
      <c r="F18" s="16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8"/>
      <c r="U18" s="18"/>
      <c r="V18" s="18"/>
      <c r="W18" s="19"/>
      <c r="X18" s="19"/>
      <c r="Y18" s="19"/>
      <c r="Z18" s="20"/>
      <c r="AA18" s="20"/>
      <c r="AB18" s="20"/>
      <c r="AC18" s="19"/>
      <c r="AD18" s="19"/>
      <c r="AE18" s="19"/>
      <c r="AF18" s="20"/>
      <c r="AG18" s="20"/>
      <c r="AH18" s="20"/>
      <c r="AI18" s="19"/>
      <c r="AJ18" s="19"/>
      <c r="AK18" s="19"/>
      <c r="AL18" s="20"/>
      <c r="AM18" s="20"/>
      <c r="AN18" s="20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5"/>
      <c r="BA18" s="15"/>
    </row>
    <row r="19" customFormat="false" ht="23.85" hidden="false" customHeight="false" outlineLevel="0" collapsed="false">
      <c r="A19" s="15" t="n">
        <v>0</v>
      </c>
      <c r="B19" s="15" t="s">
        <v>8</v>
      </c>
      <c r="C19" s="15" t="s">
        <v>74</v>
      </c>
      <c r="D19" s="16" t="s">
        <v>86</v>
      </c>
      <c r="E19" s="16" t="s">
        <v>79</v>
      </c>
      <c r="F19" s="16"/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8"/>
      <c r="U19" s="18"/>
      <c r="V19" s="18"/>
      <c r="W19" s="19"/>
      <c r="X19" s="19"/>
      <c r="Y19" s="19"/>
      <c r="Z19" s="20"/>
      <c r="AA19" s="20"/>
      <c r="AB19" s="20"/>
      <c r="AC19" s="19"/>
      <c r="AD19" s="19"/>
      <c r="AE19" s="19"/>
      <c r="AF19" s="20"/>
      <c r="AG19" s="20"/>
      <c r="AH19" s="20"/>
      <c r="AI19" s="19"/>
      <c r="AJ19" s="19"/>
      <c r="AK19" s="19"/>
      <c r="AL19" s="20"/>
      <c r="AM19" s="20"/>
      <c r="AN19" s="20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5"/>
      <c r="BA19" s="15"/>
    </row>
    <row r="20" customFormat="false" ht="12.8" hidden="false" customHeight="false" outlineLevel="0" collapsed="false">
      <c r="A20" s="15" t="n">
        <v>0</v>
      </c>
      <c r="B20" s="15" t="s">
        <v>8</v>
      </c>
      <c r="C20" s="15" t="s">
        <v>74</v>
      </c>
      <c r="D20" s="16" t="s">
        <v>87</v>
      </c>
      <c r="E20" s="16" t="s">
        <v>78</v>
      </c>
      <c r="F20" s="16"/>
      <c r="G20" s="1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8"/>
      <c r="U20" s="18"/>
      <c r="V20" s="18"/>
      <c r="W20" s="19"/>
      <c r="X20" s="19"/>
      <c r="Y20" s="19"/>
      <c r="Z20" s="20"/>
      <c r="AA20" s="20"/>
      <c r="AB20" s="20"/>
      <c r="AC20" s="19"/>
      <c r="AD20" s="19"/>
      <c r="AE20" s="19"/>
      <c r="AF20" s="20"/>
      <c r="AG20" s="20"/>
      <c r="AH20" s="20"/>
      <c r="AI20" s="19"/>
      <c r="AJ20" s="19"/>
      <c r="AK20" s="19"/>
      <c r="AL20" s="20"/>
      <c r="AM20" s="20"/>
      <c r="AN20" s="20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5"/>
      <c r="BA20" s="15"/>
    </row>
    <row r="21" customFormat="false" ht="12.8" hidden="false" customHeight="false" outlineLevel="0" collapsed="false">
      <c r="A21" s="15" t="n">
        <v>0</v>
      </c>
      <c r="B21" s="15" t="s">
        <v>8</v>
      </c>
      <c r="C21" s="15" t="s">
        <v>74</v>
      </c>
      <c r="D21" s="16" t="s">
        <v>87</v>
      </c>
      <c r="E21" s="16" t="s">
        <v>79</v>
      </c>
      <c r="F21" s="16"/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8"/>
      <c r="U21" s="18"/>
      <c r="V21" s="18"/>
      <c r="W21" s="19"/>
      <c r="X21" s="19"/>
      <c r="Y21" s="19"/>
      <c r="Z21" s="20"/>
      <c r="AA21" s="20"/>
      <c r="AB21" s="20"/>
      <c r="AC21" s="19"/>
      <c r="AD21" s="19"/>
      <c r="AE21" s="19"/>
      <c r="AF21" s="20"/>
      <c r="AG21" s="20"/>
      <c r="AH21" s="20"/>
      <c r="AI21" s="19"/>
      <c r="AJ21" s="19"/>
      <c r="AK21" s="19"/>
      <c r="AL21" s="20"/>
      <c r="AM21" s="20"/>
      <c r="AN21" s="20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5"/>
      <c r="BA21" s="15"/>
    </row>
    <row r="22" customFormat="false" ht="12.8" hidden="false" customHeight="false" outlineLevel="0" collapsed="false">
      <c r="A22" s="15" t="n">
        <v>0</v>
      </c>
      <c r="B22" s="15" t="s">
        <v>8</v>
      </c>
      <c r="C22" s="15" t="s">
        <v>74</v>
      </c>
      <c r="D22" s="16" t="s">
        <v>88</v>
      </c>
      <c r="E22" s="16" t="s">
        <v>78</v>
      </c>
      <c r="F22" s="16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  <c r="U22" s="18"/>
      <c r="V22" s="18"/>
      <c r="W22" s="19"/>
      <c r="X22" s="19"/>
      <c r="Y22" s="19"/>
      <c r="Z22" s="20"/>
      <c r="AA22" s="20"/>
      <c r="AB22" s="20"/>
      <c r="AC22" s="19"/>
      <c r="AD22" s="19"/>
      <c r="AE22" s="19"/>
      <c r="AF22" s="20"/>
      <c r="AG22" s="20"/>
      <c r="AH22" s="20"/>
      <c r="AI22" s="19"/>
      <c r="AJ22" s="19"/>
      <c r="AK22" s="19"/>
      <c r="AL22" s="20"/>
      <c r="AM22" s="20"/>
      <c r="AN22" s="20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5"/>
      <c r="BA22" s="15"/>
    </row>
    <row r="23" customFormat="false" ht="12.8" hidden="false" customHeight="false" outlineLevel="0" collapsed="false">
      <c r="A23" s="15" t="n">
        <v>0</v>
      </c>
      <c r="B23" s="15" t="s">
        <v>8</v>
      </c>
      <c r="C23" s="15" t="s">
        <v>74</v>
      </c>
      <c r="D23" s="16" t="s">
        <v>88</v>
      </c>
      <c r="E23" s="16" t="s">
        <v>79</v>
      </c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8"/>
      <c r="U23" s="18"/>
      <c r="V23" s="18"/>
      <c r="W23" s="19"/>
      <c r="X23" s="19"/>
      <c r="Y23" s="19"/>
      <c r="Z23" s="20"/>
      <c r="AA23" s="20"/>
      <c r="AB23" s="20"/>
      <c r="AC23" s="19"/>
      <c r="AD23" s="19"/>
      <c r="AE23" s="19"/>
      <c r="AF23" s="20"/>
      <c r="AG23" s="20"/>
      <c r="AH23" s="20"/>
      <c r="AI23" s="19"/>
      <c r="AJ23" s="19"/>
      <c r="AK23" s="19"/>
      <c r="AL23" s="20"/>
      <c r="AM23" s="20"/>
      <c r="AN23" s="20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5"/>
      <c r="BA23" s="15"/>
    </row>
    <row r="24" customFormat="false" ht="12.8" hidden="false" customHeight="false" outlineLevel="0" collapsed="false">
      <c r="A24" s="15"/>
      <c r="B24" s="15"/>
      <c r="C24" s="15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8"/>
      <c r="U24" s="18"/>
      <c r="V24" s="18"/>
      <c r="W24" s="19"/>
      <c r="X24" s="19"/>
      <c r="Y24" s="19"/>
      <c r="Z24" s="20"/>
      <c r="AA24" s="20"/>
      <c r="AB24" s="20"/>
      <c r="AC24" s="19"/>
      <c r="AD24" s="19"/>
      <c r="AE24" s="19"/>
      <c r="AF24" s="20"/>
      <c r="AG24" s="20"/>
      <c r="AH24" s="20"/>
      <c r="AI24" s="19"/>
      <c r="AJ24" s="19"/>
      <c r="AK24" s="19"/>
      <c r="AL24" s="20"/>
      <c r="AM24" s="20"/>
      <c r="AN24" s="20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5"/>
      <c r="BA24" s="15"/>
    </row>
    <row r="25" customFormat="false" ht="12.8" hidden="false" customHeight="false" outlineLevel="0" collapsed="false">
      <c r="A25" s="15" t="n">
        <v>0</v>
      </c>
      <c r="B25" s="15" t="s">
        <v>8</v>
      </c>
      <c r="C25" s="15" t="s">
        <v>89</v>
      </c>
      <c r="D25" s="16" t="s">
        <v>75</v>
      </c>
      <c r="E25" s="16" t="s">
        <v>76</v>
      </c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8"/>
      <c r="U25" s="18"/>
      <c r="V25" s="18"/>
      <c r="W25" s="19"/>
      <c r="X25" s="19"/>
      <c r="Y25" s="19"/>
      <c r="Z25" s="20"/>
      <c r="AA25" s="20"/>
      <c r="AB25" s="20"/>
      <c r="AC25" s="19"/>
      <c r="AD25" s="19"/>
      <c r="AE25" s="19"/>
      <c r="AF25" s="20"/>
      <c r="AG25" s="20"/>
      <c r="AH25" s="20"/>
      <c r="AI25" s="19"/>
      <c r="AJ25" s="19"/>
      <c r="AK25" s="19"/>
      <c r="AL25" s="20"/>
      <c r="AM25" s="20"/>
      <c r="AN25" s="20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5"/>
      <c r="BA25" s="15"/>
    </row>
    <row r="26" customFormat="false" ht="12.8" hidden="false" customHeight="false" outlineLevel="0" collapsed="false">
      <c r="A26" s="15" t="n">
        <v>0</v>
      </c>
      <c r="B26" s="15" t="s">
        <v>8</v>
      </c>
      <c r="C26" s="15" t="s">
        <v>89</v>
      </c>
      <c r="D26" s="16" t="s">
        <v>77</v>
      </c>
      <c r="E26" s="16" t="s">
        <v>78</v>
      </c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8"/>
      <c r="U26" s="18"/>
      <c r="V26" s="18"/>
      <c r="W26" s="19"/>
      <c r="X26" s="19"/>
      <c r="Y26" s="19"/>
      <c r="Z26" s="20"/>
      <c r="AA26" s="20"/>
      <c r="AB26" s="20"/>
      <c r="AC26" s="19"/>
      <c r="AD26" s="19"/>
      <c r="AE26" s="19"/>
      <c r="AF26" s="20"/>
      <c r="AG26" s="20"/>
      <c r="AH26" s="20"/>
      <c r="AI26" s="19"/>
      <c r="AJ26" s="19"/>
      <c r="AK26" s="19"/>
      <c r="AL26" s="20"/>
      <c r="AM26" s="20"/>
      <c r="AN26" s="20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5"/>
      <c r="BA26" s="15"/>
    </row>
    <row r="27" customFormat="false" ht="12.8" hidden="false" customHeight="false" outlineLevel="0" collapsed="false">
      <c r="A27" s="15" t="n">
        <v>0</v>
      </c>
      <c r="B27" s="15" t="s">
        <v>8</v>
      </c>
      <c r="C27" s="15" t="s">
        <v>89</v>
      </c>
      <c r="D27" s="16" t="s">
        <v>77</v>
      </c>
      <c r="E27" s="16" t="s">
        <v>79</v>
      </c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8"/>
      <c r="U27" s="18"/>
      <c r="V27" s="18"/>
      <c r="W27" s="19"/>
      <c r="X27" s="19"/>
      <c r="Y27" s="19"/>
      <c r="Z27" s="20"/>
      <c r="AA27" s="20"/>
      <c r="AB27" s="20"/>
      <c r="AC27" s="19"/>
      <c r="AD27" s="19"/>
      <c r="AE27" s="19"/>
      <c r="AF27" s="20"/>
      <c r="AG27" s="20"/>
      <c r="AH27" s="20"/>
      <c r="AI27" s="19"/>
      <c r="AJ27" s="19"/>
      <c r="AK27" s="19"/>
      <c r="AL27" s="20"/>
      <c r="AM27" s="20"/>
      <c r="AN27" s="20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5"/>
      <c r="BA27" s="15"/>
    </row>
    <row r="28" customFormat="false" ht="12.8" hidden="false" customHeight="false" outlineLevel="0" collapsed="false">
      <c r="A28" s="15" t="n">
        <v>0</v>
      </c>
      <c r="B28" s="15" t="s">
        <v>8</v>
      </c>
      <c r="C28" s="15" t="s">
        <v>89</v>
      </c>
      <c r="D28" s="16" t="s">
        <v>80</v>
      </c>
      <c r="E28" s="16" t="s">
        <v>78</v>
      </c>
      <c r="F28" s="16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8"/>
      <c r="U28" s="18"/>
      <c r="V28" s="18"/>
      <c r="W28" s="19"/>
      <c r="X28" s="19"/>
      <c r="Y28" s="19"/>
      <c r="Z28" s="20"/>
      <c r="AA28" s="20"/>
      <c r="AB28" s="20"/>
      <c r="AC28" s="19"/>
      <c r="AD28" s="19"/>
      <c r="AE28" s="19"/>
      <c r="AF28" s="20"/>
      <c r="AG28" s="20"/>
      <c r="AH28" s="20"/>
      <c r="AI28" s="19"/>
      <c r="AJ28" s="19"/>
      <c r="AK28" s="19"/>
      <c r="AL28" s="20"/>
      <c r="AM28" s="20"/>
      <c r="AN28" s="20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5"/>
      <c r="BA28" s="15"/>
    </row>
    <row r="29" customFormat="false" ht="12.8" hidden="false" customHeight="false" outlineLevel="0" collapsed="false">
      <c r="A29" s="15" t="n">
        <v>0</v>
      </c>
      <c r="B29" s="15" t="s">
        <v>8</v>
      </c>
      <c r="C29" s="15" t="s">
        <v>89</v>
      </c>
      <c r="D29" s="16" t="s">
        <v>80</v>
      </c>
      <c r="E29" s="16" t="s">
        <v>79</v>
      </c>
      <c r="F29" s="16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8"/>
      <c r="U29" s="18"/>
      <c r="V29" s="18"/>
      <c r="W29" s="19"/>
      <c r="X29" s="19"/>
      <c r="Y29" s="19"/>
      <c r="Z29" s="20"/>
      <c r="AA29" s="20"/>
      <c r="AB29" s="20"/>
      <c r="AC29" s="19"/>
      <c r="AD29" s="19"/>
      <c r="AE29" s="19"/>
      <c r="AF29" s="20"/>
      <c r="AG29" s="20"/>
      <c r="AH29" s="20"/>
      <c r="AI29" s="19"/>
      <c r="AJ29" s="19"/>
      <c r="AK29" s="19"/>
      <c r="AL29" s="20"/>
      <c r="AM29" s="20"/>
      <c r="AN29" s="20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5"/>
      <c r="BA29" s="15"/>
    </row>
    <row r="30" customFormat="false" ht="12.8" hidden="false" customHeight="false" outlineLevel="0" collapsed="false">
      <c r="A30" s="15" t="n">
        <v>0</v>
      </c>
      <c r="B30" s="15" t="s">
        <v>8</v>
      </c>
      <c r="C30" s="15" t="s">
        <v>89</v>
      </c>
      <c r="D30" s="16" t="s">
        <v>81</v>
      </c>
      <c r="E30" s="16" t="s">
        <v>78</v>
      </c>
      <c r="F30" s="16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8"/>
      <c r="U30" s="18"/>
      <c r="V30" s="18"/>
      <c r="W30" s="19"/>
      <c r="X30" s="19"/>
      <c r="Y30" s="19"/>
      <c r="Z30" s="20"/>
      <c r="AA30" s="20"/>
      <c r="AB30" s="20"/>
      <c r="AC30" s="19"/>
      <c r="AD30" s="19"/>
      <c r="AE30" s="19"/>
      <c r="AF30" s="20"/>
      <c r="AG30" s="20"/>
      <c r="AH30" s="20"/>
      <c r="AI30" s="19"/>
      <c r="AJ30" s="19"/>
      <c r="AK30" s="19"/>
      <c r="AL30" s="20"/>
      <c r="AM30" s="20"/>
      <c r="AN30" s="20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5"/>
      <c r="BA30" s="15"/>
    </row>
    <row r="31" customFormat="false" ht="12.8" hidden="false" customHeight="false" outlineLevel="0" collapsed="false">
      <c r="A31" s="15" t="n">
        <v>0</v>
      </c>
      <c r="B31" s="15" t="s">
        <v>8</v>
      </c>
      <c r="C31" s="15" t="s">
        <v>89</v>
      </c>
      <c r="D31" s="16" t="s">
        <v>81</v>
      </c>
      <c r="E31" s="16" t="s">
        <v>79</v>
      </c>
      <c r="F31" s="16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8"/>
      <c r="U31" s="18"/>
      <c r="V31" s="18"/>
      <c r="W31" s="19"/>
      <c r="X31" s="19"/>
      <c r="Y31" s="19"/>
      <c r="Z31" s="20"/>
      <c r="AA31" s="20"/>
      <c r="AB31" s="20"/>
      <c r="AC31" s="19"/>
      <c r="AD31" s="19"/>
      <c r="AE31" s="19"/>
      <c r="AF31" s="20"/>
      <c r="AG31" s="20"/>
      <c r="AH31" s="20"/>
      <c r="AI31" s="19"/>
      <c r="AJ31" s="19"/>
      <c r="AK31" s="19"/>
      <c r="AL31" s="20"/>
      <c r="AM31" s="20"/>
      <c r="AN31" s="20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5"/>
      <c r="BA31" s="15"/>
    </row>
    <row r="32" customFormat="false" ht="12.8" hidden="false" customHeight="false" outlineLevel="0" collapsed="false">
      <c r="A32" s="15" t="n">
        <v>0</v>
      </c>
      <c r="B32" s="15" t="s">
        <v>8</v>
      </c>
      <c r="C32" s="15" t="s">
        <v>89</v>
      </c>
      <c r="D32" s="16" t="s">
        <v>82</v>
      </c>
      <c r="E32" s="16" t="s">
        <v>78</v>
      </c>
      <c r="F32" s="16"/>
      <c r="G32" s="1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8"/>
      <c r="U32" s="18"/>
      <c r="V32" s="18"/>
      <c r="W32" s="19"/>
      <c r="X32" s="19"/>
      <c r="Y32" s="19"/>
      <c r="Z32" s="20"/>
      <c r="AA32" s="20"/>
      <c r="AB32" s="20"/>
      <c r="AC32" s="19"/>
      <c r="AD32" s="19"/>
      <c r="AE32" s="19"/>
      <c r="AF32" s="20"/>
      <c r="AG32" s="20"/>
      <c r="AH32" s="20"/>
      <c r="AI32" s="19"/>
      <c r="AJ32" s="19"/>
      <c r="AK32" s="19"/>
      <c r="AL32" s="20"/>
      <c r="AM32" s="20"/>
      <c r="AN32" s="20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5"/>
      <c r="BA32" s="15"/>
    </row>
    <row r="33" customFormat="false" ht="12.8" hidden="false" customHeight="false" outlineLevel="0" collapsed="false">
      <c r="A33" s="15" t="n">
        <v>0</v>
      </c>
      <c r="B33" s="15" t="s">
        <v>8</v>
      </c>
      <c r="C33" s="15" t="s">
        <v>89</v>
      </c>
      <c r="D33" s="16" t="s">
        <v>82</v>
      </c>
      <c r="E33" s="16" t="s">
        <v>79</v>
      </c>
      <c r="F33" s="16"/>
      <c r="G33" s="1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8"/>
      <c r="U33" s="18"/>
      <c r="V33" s="18"/>
      <c r="W33" s="19"/>
      <c r="X33" s="19"/>
      <c r="Y33" s="19"/>
      <c r="Z33" s="20"/>
      <c r="AA33" s="20"/>
      <c r="AB33" s="20"/>
      <c r="AC33" s="19"/>
      <c r="AD33" s="19"/>
      <c r="AE33" s="19"/>
      <c r="AF33" s="20"/>
      <c r="AG33" s="20"/>
      <c r="AH33" s="20"/>
      <c r="AI33" s="19"/>
      <c r="AJ33" s="19"/>
      <c r="AK33" s="19"/>
      <c r="AL33" s="20"/>
      <c r="AM33" s="20"/>
      <c r="AN33" s="20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5"/>
      <c r="BA33" s="15"/>
    </row>
    <row r="34" customFormat="false" ht="12.8" hidden="false" customHeight="false" outlineLevel="0" collapsed="false">
      <c r="A34" s="15" t="n">
        <v>0</v>
      </c>
      <c r="B34" s="15" t="s">
        <v>8</v>
      </c>
      <c r="C34" s="15" t="s">
        <v>89</v>
      </c>
      <c r="D34" s="16" t="s">
        <v>83</v>
      </c>
      <c r="E34" s="16" t="s">
        <v>78</v>
      </c>
      <c r="F34" s="16"/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8"/>
      <c r="U34" s="18"/>
      <c r="V34" s="18"/>
      <c r="W34" s="19"/>
      <c r="X34" s="19"/>
      <c r="Y34" s="19"/>
      <c r="Z34" s="20"/>
      <c r="AA34" s="20"/>
      <c r="AB34" s="20"/>
      <c r="AC34" s="19"/>
      <c r="AD34" s="19"/>
      <c r="AE34" s="19"/>
      <c r="AF34" s="20"/>
      <c r="AG34" s="20"/>
      <c r="AH34" s="20"/>
      <c r="AI34" s="19"/>
      <c r="AJ34" s="19"/>
      <c r="AK34" s="19"/>
      <c r="AL34" s="20"/>
      <c r="AM34" s="20"/>
      <c r="AN34" s="20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5"/>
      <c r="BA34" s="15"/>
    </row>
    <row r="35" customFormat="false" ht="12.8" hidden="false" customHeight="false" outlineLevel="0" collapsed="false">
      <c r="A35" s="15" t="n">
        <v>0</v>
      </c>
      <c r="B35" s="15" t="s">
        <v>8</v>
      </c>
      <c r="C35" s="15" t="s">
        <v>89</v>
      </c>
      <c r="D35" s="16" t="s">
        <v>83</v>
      </c>
      <c r="E35" s="16" t="s">
        <v>79</v>
      </c>
      <c r="F35" s="16"/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8"/>
      <c r="U35" s="18"/>
      <c r="V35" s="18"/>
      <c r="W35" s="19"/>
      <c r="X35" s="19"/>
      <c r="Y35" s="19"/>
      <c r="Z35" s="20"/>
      <c r="AA35" s="20"/>
      <c r="AB35" s="20"/>
      <c r="AC35" s="19"/>
      <c r="AD35" s="19"/>
      <c r="AE35" s="19"/>
      <c r="AF35" s="20"/>
      <c r="AG35" s="20"/>
      <c r="AH35" s="20"/>
      <c r="AI35" s="19"/>
      <c r="AJ35" s="19"/>
      <c r="AK35" s="19"/>
      <c r="AL35" s="20"/>
      <c r="AM35" s="20"/>
      <c r="AN35" s="20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5"/>
      <c r="BA35" s="15"/>
    </row>
    <row r="36" customFormat="false" ht="23.85" hidden="false" customHeight="false" outlineLevel="0" collapsed="false">
      <c r="A36" s="15" t="n">
        <v>0</v>
      </c>
      <c r="B36" s="15" t="s">
        <v>8</v>
      </c>
      <c r="C36" s="15" t="s">
        <v>89</v>
      </c>
      <c r="D36" s="16" t="s">
        <v>84</v>
      </c>
      <c r="E36" s="16" t="s">
        <v>78</v>
      </c>
      <c r="F36" s="16"/>
      <c r="G36" s="1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8"/>
      <c r="U36" s="18"/>
      <c r="V36" s="18"/>
      <c r="W36" s="19"/>
      <c r="X36" s="19"/>
      <c r="Y36" s="19"/>
      <c r="Z36" s="20"/>
      <c r="AA36" s="20"/>
      <c r="AB36" s="20"/>
      <c r="AC36" s="19"/>
      <c r="AD36" s="19"/>
      <c r="AE36" s="19"/>
      <c r="AF36" s="20"/>
      <c r="AG36" s="20"/>
      <c r="AH36" s="20"/>
      <c r="AI36" s="19"/>
      <c r="AJ36" s="19"/>
      <c r="AK36" s="19"/>
      <c r="AL36" s="20"/>
      <c r="AM36" s="20"/>
      <c r="AN36" s="20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5"/>
      <c r="BA36" s="15"/>
    </row>
    <row r="37" customFormat="false" ht="23.85" hidden="false" customHeight="false" outlineLevel="0" collapsed="false">
      <c r="A37" s="15" t="n">
        <v>0</v>
      </c>
      <c r="B37" s="15" t="s">
        <v>8</v>
      </c>
      <c r="C37" s="15" t="s">
        <v>89</v>
      </c>
      <c r="D37" s="16" t="s">
        <v>84</v>
      </c>
      <c r="E37" s="16" t="s">
        <v>79</v>
      </c>
      <c r="F37" s="16"/>
      <c r="G37" s="1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8"/>
      <c r="U37" s="18"/>
      <c r="V37" s="18"/>
      <c r="W37" s="19"/>
      <c r="X37" s="19"/>
      <c r="Y37" s="19"/>
      <c r="Z37" s="20"/>
      <c r="AA37" s="20"/>
      <c r="AB37" s="20"/>
      <c r="AC37" s="19"/>
      <c r="AD37" s="19"/>
      <c r="AE37" s="19"/>
      <c r="AF37" s="20"/>
      <c r="AG37" s="20"/>
      <c r="AH37" s="20"/>
      <c r="AI37" s="19"/>
      <c r="AJ37" s="19"/>
      <c r="AK37" s="19"/>
      <c r="AL37" s="20"/>
      <c r="AM37" s="20"/>
      <c r="AN37" s="20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5"/>
      <c r="BA37" s="15"/>
    </row>
    <row r="38" customFormat="false" ht="12.8" hidden="false" customHeight="false" outlineLevel="0" collapsed="false">
      <c r="A38" s="15" t="n">
        <v>0</v>
      </c>
      <c r="B38" s="15" t="s">
        <v>8</v>
      </c>
      <c r="C38" s="15" t="s">
        <v>89</v>
      </c>
      <c r="D38" s="16" t="s">
        <v>85</v>
      </c>
      <c r="E38" s="16" t="s">
        <v>78</v>
      </c>
      <c r="F38" s="16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8"/>
      <c r="U38" s="18"/>
      <c r="V38" s="18"/>
      <c r="W38" s="19"/>
      <c r="X38" s="19"/>
      <c r="Y38" s="19"/>
      <c r="Z38" s="20"/>
      <c r="AA38" s="20"/>
      <c r="AB38" s="20"/>
      <c r="AC38" s="19"/>
      <c r="AD38" s="19"/>
      <c r="AE38" s="19"/>
      <c r="AF38" s="20"/>
      <c r="AG38" s="20"/>
      <c r="AH38" s="20"/>
      <c r="AI38" s="19"/>
      <c r="AJ38" s="19"/>
      <c r="AK38" s="19"/>
      <c r="AL38" s="20"/>
      <c r="AM38" s="20"/>
      <c r="AN38" s="20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5"/>
      <c r="BA38" s="15"/>
    </row>
    <row r="39" customFormat="false" ht="12.8" hidden="false" customHeight="false" outlineLevel="0" collapsed="false">
      <c r="A39" s="15" t="n">
        <v>0</v>
      </c>
      <c r="B39" s="15" t="s">
        <v>8</v>
      </c>
      <c r="C39" s="15" t="s">
        <v>89</v>
      </c>
      <c r="D39" s="16" t="s">
        <v>85</v>
      </c>
      <c r="E39" s="16" t="s">
        <v>79</v>
      </c>
      <c r="F39" s="16"/>
      <c r="G39" s="1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8"/>
      <c r="U39" s="18"/>
      <c r="V39" s="18"/>
      <c r="W39" s="19"/>
      <c r="X39" s="19"/>
      <c r="Y39" s="19"/>
      <c r="Z39" s="20"/>
      <c r="AA39" s="20"/>
      <c r="AB39" s="20"/>
      <c r="AC39" s="19"/>
      <c r="AD39" s="19"/>
      <c r="AE39" s="19"/>
      <c r="AF39" s="20"/>
      <c r="AG39" s="20"/>
      <c r="AH39" s="20"/>
      <c r="AI39" s="19"/>
      <c r="AJ39" s="19"/>
      <c r="AK39" s="19"/>
      <c r="AL39" s="20"/>
      <c r="AM39" s="20"/>
      <c r="AN39" s="20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5"/>
      <c r="BA39" s="15"/>
    </row>
    <row r="40" customFormat="false" ht="23.85" hidden="false" customHeight="false" outlineLevel="0" collapsed="false">
      <c r="A40" s="15" t="n">
        <v>0</v>
      </c>
      <c r="B40" s="15" t="s">
        <v>8</v>
      </c>
      <c r="C40" s="15" t="s">
        <v>89</v>
      </c>
      <c r="D40" s="16" t="s">
        <v>86</v>
      </c>
      <c r="E40" s="16" t="s">
        <v>78</v>
      </c>
      <c r="F40" s="16"/>
      <c r="G40" s="1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8"/>
      <c r="U40" s="18"/>
      <c r="V40" s="18"/>
      <c r="W40" s="19"/>
      <c r="X40" s="19"/>
      <c r="Y40" s="19"/>
      <c r="Z40" s="20"/>
      <c r="AA40" s="20"/>
      <c r="AB40" s="20"/>
      <c r="AC40" s="19"/>
      <c r="AD40" s="19"/>
      <c r="AE40" s="19"/>
      <c r="AF40" s="20"/>
      <c r="AG40" s="20"/>
      <c r="AH40" s="20"/>
      <c r="AI40" s="19"/>
      <c r="AJ40" s="19"/>
      <c r="AK40" s="19"/>
      <c r="AL40" s="20"/>
      <c r="AM40" s="20"/>
      <c r="AN40" s="20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5"/>
      <c r="BA40" s="15"/>
    </row>
    <row r="41" customFormat="false" ht="23.85" hidden="false" customHeight="false" outlineLevel="0" collapsed="false">
      <c r="A41" s="15" t="n">
        <v>0</v>
      </c>
      <c r="B41" s="15" t="s">
        <v>8</v>
      </c>
      <c r="C41" s="15" t="s">
        <v>89</v>
      </c>
      <c r="D41" s="16" t="s">
        <v>86</v>
      </c>
      <c r="E41" s="16" t="s">
        <v>79</v>
      </c>
      <c r="F41" s="16"/>
      <c r="G41" s="16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8"/>
      <c r="U41" s="18"/>
      <c r="V41" s="18"/>
      <c r="W41" s="19"/>
      <c r="X41" s="19"/>
      <c r="Y41" s="19"/>
      <c r="Z41" s="20"/>
      <c r="AA41" s="20"/>
      <c r="AB41" s="20"/>
      <c r="AC41" s="19"/>
      <c r="AD41" s="19"/>
      <c r="AE41" s="19"/>
      <c r="AF41" s="20"/>
      <c r="AG41" s="20"/>
      <c r="AH41" s="20"/>
      <c r="AI41" s="19"/>
      <c r="AJ41" s="19"/>
      <c r="AK41" s="19"/>
      <c r="AL41" s="20"/>
      <c r="AM41" s="20"/>
      <c r="AN41" s="20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5"/>
      <c r="BA41" s="15"/>
    </row>
    <row r="42" customFormat="false" ht="12.8" hidden="false" customHeight="false" outlineLevel="0" collapsed="false">
      <c r="A42" s="15" t="n">
        <v>0</v>
      </c>
      <c r="B42" s="15" t="s">
        <v>8</v>
      </c>
      <c r="C42" s="15" t="s">
        <v>89</v>
      </c>
      <c r="D42" s="16" t="s">
        <v>87</v>
      </c>
      <c r="E42" s="16" t="s">
        <v>78</v>
      </c>
      <c r="F42" s="16"/>
      <c r="G42" s="16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8"/>
      <c r="U42" s="18"/>
      <c r="V42" s="18"/>
      <c r="W42" s="19"/>
      <c r="X42" s="19"/>
      <c r="Y42" s="19"/>
      <c r="Z42" s="20"/>
      <c r="AA42" s="20"/>
      <c r="AB42" s="20"/>
      <c r="AC42" s="19"/>
      <c r="AD42" s="19"/>
      <c r="AE42" s="19"/>
      <c r="AF42" s="20"/>
      <c r="AG42" s="20"/>
      <c r="AH42" s="20"/>
      <c r="AI42" s="19"/>
      <c r="AJ42" s="19"/>
      <c r="AK42" s="19"/>
      <c r="AL42" s="20"/>
      <c r="AM42" s="20"/>
      <c r="AN42" s="20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5"/>
      <c r="BA42" s="15"/>
    </row>
    <row r="43" customFormat="false" ht="12.8" hidden="false" customHeight="false" outlineLevel="0" collapsed="false">
      <c r="A43" s="15" t="n">
        <v>0</v>
      </c>
      <c r="B43" s="15" t="s">
        <v>8</v>
      </c>
      <c r="C43" s="15" t="s">
        <v>89</v>
      </c>
      <c r="D43" s="16" t="s">
        <v>87</v>
      </c>
      <c r="E43" s="16" t="s">
        <v>79</v>
      </c>
      <c r="F43" s="16"/>
      <c r="G43" s="1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8"/>
      <c r="U43" s="18"/>
      <c r="V43" s="18"/>
      <c r="W43" s="19"/>
      <c r="X43" s="19"/>
      <c r="Y43" s="19"/>
      <c r="Z43" s="20"/>
      <c r="AA43" s="20"/>
      <c r="AB43" s="20"/>
      <c r="AC43" s="19"/>
      <c r="AD43" s="19"/>
      <c r="AE43" s="19"/>
      <c r="AF43" s="20"/>
      <c r="AG43" s="20"/>
      <c r="AH43" s="20"/>
      <c r="AI43" s="19"/>
      <c r="AJ43" s="19"/>
      <c r="AK43" s="19"/>
      <c r="AL43" s="20"/>
      <c r="AM43" s="20"/>
      <c r="AN43" s="20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5"/>
      <c r="BA43" s="15"/>
    </row>
    <row r="44" customFormat="false" ht="12.8" hidden="false" customHeight="false" outlineLevel="0" collapsed="false">
      <c r="A44" s="15" t="n">
        <v>0</v>
      </c>
      <c r="B44" s="15" t="s">
        <v>8</v>
      </c>
      <c r="C44" s="15" t="s">
        <v>89</v>
      </c>
      <c r="D44" s="16" t="s">
        <v>88</v>
      </c>
      <c r="E44" s="16" t="s">
        <v>78</v>
      </c>
      <c r="F44" s="16"/>
      <c r="G44" s="1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8"/>
      <c r="U44" s="18"/>
      <c r="V44" s="18"/>
      <c r="W44" s="19"/>
      <c r="X44" s="19"/>
      <c r="Y44" s="19"/>
      <c r="Z44" s="20"/>
      <c r="AA44" s="20"/>
      <c r="AB44" s="20"/>
      <c r="AC44" s="19"/>
      <c r="AD44" s="19"/>
      <c r="AE44" s="19"/>
      <c r="AF44" s="20"/>
      <c r="AG44" s="20"/>
      <c r="AH44" s="20"/>
      <c r="AI44" s="19"/>
      <c r="AJ44" s="19"/>
      <c r="AK44" s="19"/>
      <c r="AL44" s="20"/>
      <c r="AM44" s="20"/>
      <c r="AN44" s="20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5"/>
      <c r="BA44" s="15"/>
    </row>
    <row r="45" customFormat="false" ht="12.8" hidden="false" customHeight="false" outlineLevel="0" collapsed="false">
      <c r="A45" s="15" t="n">
        <v>0</v>
      </c>
      <c r="B45" s="15" t="s">
        <v>8</v>
      </c>
      <c r="C45" s="15" t="s">
        <v>89</v>
      </c>
      <c r="D45" s="16" t="s">
        <v>88</v>
      </c>
      <c r="E45" s="16" t="s">
        <v>79</v>
      </c>
      <c r="F45" s="16"/>
      <c r="G45" s="1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8"/>
      <c r="U45" s="18"/>
      <c r="V45" s="18"/>
      <c r="W45" s="19"/>
      <c r="X45" s="19"/>
      <c r="Y45" s="19"/>
      <c r="Z45" s="20"/>
      <c r="AA45" s="20"/>
      <c r="AB45" s="20"/>
      <c r="AC45" s="19"/>
      <c r="AD45" s="19"/>
      <c r="AE45" s="19"/>
      <c r="AF45" s="20"/>
      <c r="AG45" s="20"/>
      <c r="AH45" s="20"/>
      <c r="AI45" s="19"/>
      <c r="AJ45" s="19"/>
      <c r="AK45" s="19"/>
      <c r="AL45" s="20"/>
      <c r="AM45" s="20"/>
      <c r="AN45" s="20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5"/>
      <c r="BA45" s="15"/>
    </row>
    <row r="46" customFormat="false" ht="12.8" hidden="false" customHeight="false" outlineLevel="0" collapsed="false">
      <c r="A46" s="15"/>
      <c r="B46" s="15"/>
      <c r="C46" s="15"/>
      <c r="D46" s="16"/>
      <c r="E46" s="16"/>
      <c r="F46" s="16"/>
      <c r="G46" s="1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8"/>
      <c r="U46" s="18"/>
      <c r="V46" s="18"/>
      <c r="W46" s="19"/>
      <c r="X46" s="19"/>
      <c r="Y46" s="19"/>
      <c r="Z46" s="20"/>
      <c r="AA46" s="20"/>
      <c r="AB46" s="20"/>
      <c r="AC46" s="19"/>
      <c r="AD46" s="19"/>
      <c r="AE46" s="19"/>
      <c r="AF46" s="20"/>
      <c r="AG46" s="20"/>
      <c r="AH46" s="20"/>
      <c r="AI46" s="19"/>
      <c r="AJ46" s="19"/>
      <c r="AK46" s="19"/>
      <c r="AL46" s="20"/>
      <c r="AM46" s="20"/>
      <c r="AN46" s="20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5"/>
      <c r="BA46" s="15"/>
    </row>
    <row r="47" customFormat="false" ht="12.8" hidden="false" customHeight="false" outlineLevel="0" collapsed="false">
      <c r="A47" s="15" t="n">
        <v>0</v>
      </c>
      <c r="B47" s="15" t="s">
        <v>8</v>
      </c>
      <c r="C47" s="15" t="s">
        <v>90</v>
      </c>
      <c r="D47" s="16" t="s">
        <v>75</v>
      </c>
      <c r="E47" s="16" t="s">
        <v>76</v>
      </c>
      <c r="F47" s="16"/>
      <c r="G47" s="1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8"/>
      <c r="U47" s="18"/>
      <c r="V47" s="18"/>
      <c r="W47" s="19"/>
      <c r="X47" s="19"/>
      <c r="Y47" s="19"/>
      <c r="Z47" s="20"/>
      <c r="AA47" s="20"/>
      <c r="AB47" s="20"/>
      <c r="AC47" s="19"/>
      <c r="AD47" s="19"/>
      <c r="AE47" s="19"/>
      <c r="AF47" s="20"/>
      <c r="AG47" s="20"/>
      <c r="AH47" s="20"/>
      <c r="AI47" s="19"/>
      <c r="AJ47" s="19"/>
      <c r="AK47" s="19"/>
      <c r="AL47" s="20"/>
      <c r="AM47" s="20"/>
      <c r="AN47" s="20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5"/>
      <c r="BA47" s="15"/>
    </row>
    <row r="48" customFormat="false" ht="12.8" hidden="false" customHeight="false" outlineLevel="0" collapsed="false">
      <c r="A48" s="15" t="n">
        <v>0</v>
      </c>
      <c r="B48" s="15" t="s">
        <v>8</v>
      </c>
      <c r="C48" s="15" t="s">
        <v>90</v>
      </c>
      <c r="D48" s="16" t="s">
        <v>77</v>
      </c>
      <c r="E48" s="16" t="s">
        <v>78</v>
      </c>
      <c r="F48" s="16"/>
      <c r="G48" s="1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8"/>
      <c r="U48" s="18"/>
      <c r="V48" s="18"/>
      <c r="W48" s="19"/>
      <c r="X48" s="19"/>
      <c r="Y48" s="19"/>
      <c r="Z48" s="20"/>
      <c r="AA48" s="20"/>
      <c r="AB48" s="20"/>
      <c r="AC48" s="19"/>
      <c r="AD48" s="19"/>
      <c r="AE48" s="19"/>
      <c r="AF48" s="20"/>
      <c r="AG48" s="20"/>
      <c r="AH48" s="20"/>
      <c r="AI48" s="19"/>
      <c r="AJ48" s="19"/>
      <c r="AK48" s="19"/>
      <c r="AL48" s="20"/>
      <c r="AM48" s="20"/>
      <c r="AN48" s="20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5"/>
      <c r="BA48" s="15"/>
    </row>
    <row r="49" customFormat="false" ht="12.8" hidden="false" customHeight="false" outlineLevel="0" collapsed="false">
      <c r="A49" s="15" t="n">
        <v>0</v>
      </c>
      <c r="B49" s="15" t="s">
        <v>8</v>
      </c>
      <c r="C49" s="15" t="s">
        <v>90</v>
      </c>
      <c r="D49" s="16" t="s">
        <v>77</v>
      </c>
      <c r="E49" s="16" t="s">
        <v>79</v>
      </c>
      <c r="F49" s="16"/>
      <c r="G49" s="1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8"/>
      <c r="U49" s="18"/>
      <c r="V49" s="18"/>
      <c r="W49" s="19"/>
      <c r="X49" s="19"/>
      <c r="Y49" s="19"/>
      <c r="Z49" s="20"/>
      <c r="AA49" s="20"/>
      <c r="AB49" s="20"/>
      <c r="AC49" s="19"/>
      <c r="AD49" s="19"/>
      <c r="AE49" s="19"/>
      <c r="AF49" s="20"/>
      <c r="AG49" s="20"/>
      <c r="AH49" s="20"/>
      <c r="AI49" s="19"/>
      <c r="AJ49" s="19"/>
      <c r="AK49" s="19"/>
      <c r="AL49" s="20"/>
      <c r="AM49" s="20"/>
      <c r="AN49" s="20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5"/>
      <c r="BA49" s="15"/>
    </row>
    <row r="50" customFormat="false" ht="12.8" hidden="false" customHeight="false" outlineLevel="0" collapsed="false">
      <c r="A50" s="15" t="n">
        <v>0</v>
      </c>
      <c r="B50" s="15" t="s">
        <v>8</v>
      </c>
      <c r="C50" s="15" t="s">
        <v>90</v>
      </c>
      <c r="D50" s="16" t="s">
        <v>80</v>
      </c>
      <c r="E50" s="16" t="s">
        <v>78</v>
      </c>
      <c r="F50" s="16"/>
      <c r="G50" s="1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8"/>
      <c r="U50" s="18"/>
      <c r="V50" s="18"/>
      <c r="W50" s="19"/>
      <c r="X50" s="19"/>
      <c r="Y50" s="19"/>
      <c r="Z50" s="20"/>
      <c r="AA50" s="20"/>
      <c r="AB50" s="20"/>
      <c r="AC50" s="19"/>
      <c r="AD50" s="19"/>
      <c r="AE50" s="19"/>
      <c r="AF50" s="20"/>
      <c r="AG50" s="20"/>
      <c r="AH50" s="20"/>
      <c r="AI50" s="19"/>
      <c r="AJ50" s="19"/>
      <c r="AK50" s="19"/>
      <c r="AL50" s="20"/>
      <c r="AM50" s="20"/>
      <c r="AN50" s="20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5"/>
      <c r="BA50" s="15"/>
    </row>
    <row r="51" customFormat="false" ht="12.8" hidden="false" customHeight="false" outlineLevel="0" collapsed="false">
      <c r="A51" s="15" t="n">
        <v>0</v>
      </c>
      <c r="B51" s="15" t="s">
        <v>8</v>
      </c>
      <c r="C51" s="15" t="s">
        <v>90</v>
      </c>
      <c r="D51" s="16" t="s">
        <v>80</v>
      </c>
      <c r="E51" s="16" t="s">
        <v>79</v>
      </c>
      <c r="F51" s="16"/>
      <c r="G51" s="1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8"/>
      <c r="U51" s="18"/>
      <c r="V51" s="18"/>
      <c r="W51" s="19"/>
      <c r="X51" s="19"/>
      <c r="Y51" s="19"/>
      <c r="Z51" s="20"/>
      <c r="AA51" s="20"/>
      <c r="AB51" s="20"/>
      <c r="AC51" s="19"/>
      <c r="AD51" s="19"/>
      <c r="AE51" s="19"/>
      <c r="AF51" s="20"/>
      <c r="AG51" s="20"/>
      <c r="AH51" s="20"/>
      <c r="AI51" s="19"/>
      <c r="AJ51" s="19"/>
      <c r="AK51" s="19"/>
      <c r="AL51" s="20"/>
      <c r="AM51" s="20"/>
      <c r="AN51" s="20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5"/>
      <c r="BA51" s="15"/>
    </row>
    <row r="52" customFormat="false" ht="12.8" hidden="false" customHeight="false" outlineLevel="0" collapsed="false">
      <c r="A52" s="15" t="n">
        <v>0</v>
      </c>
      <c r="B52" s="15" t="s">
        <v>8</v>
      </c>
      <c r="C52" s="15" t="s">
        <v>90</v>
      </c>
      <c r="D52" s="16" t="s">
        <v>81</v>
      </c>
      <c r="E52" s="16" t="s">
        <v>78</v>
      </c>
      <c r="F52" s="16"/>
      <c r="G52" s="1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8"/>
      <c r="U52" s="18"/>
      <c r="V52" s="18"/>
      <c r="W52" s="19"/>
      <c r="X52" s="19"/>
      <c r="Y52" s="19"/>
      <c r="Z52" s="20"/>
      <c r="AA52" s="20"/>
      <c r="AB52" s="20"/>
      <c r="AC52" s="19"/>
      <c r="AD52" s="19"/>
      <c r="AE52" s="19"/>
      <c r="AF52" s="20"/>
      <c r="AG52" s="20"/>
      <c r="AH52" s="20"/>
      <c r="AI52" s="19"/>
      <c r="AJ52" s="19"/>
      <c r="AK52" s="19"/>
      <c r="AL52" s="20"/>
      <c r="AM52" s="20"/>
      <c r="AN52" s="20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5"/>
      <c r="BA52" s="15"/>
    </row>
    <row r="53" customFormat="false" ht="12.8" hidden="false" customHeight="false" outlineLevel="0" collapsed="false">
      <c r="A53" s="15" t="n">
        <v>0</v>
      </c>
      <c r="B53" s="15" t="s">
        <v>8</v>
      </c>
      <c r="C53" s="15" t="s">
        <v>90</v>
      </c>
      <c r="D53" s="16" t="s">
        <v>81</v>
      </c>
      <c r="E53" s="16" t="s">
        <v>79</v>
      </c>
      <c r="F53" s="16"/>
      <c r="G53" s="1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8"/>
      <c r="U53" s="18"/>
      <c r="V53" s="18"/>
      <c r="W53" s="19"/>
      <c r="X53" s="19"/>
      <c r="Y53" s="19"/>
      <c r="Z53" s="20"/>
      <c r="AA53" s="20"/>
      <c r="AB53" s="20"/>
      <c r="AC53" s="19"/>
      <c r="AD53" s="19"/>
      <c r="AE53" s="19"/>
      <c r="AF53" s="20"/>
      <c r="AG53" s="20"/>
      <c r="AH53" s="20"/>
      <c r="AI53" s="19"/>
      <c r="AJ53" s="19"/>
      <c r="AK53" s="19"/>
      <c r="AL53" s="20"/>
      <c r="AM53" s="20"/>
      <c r="AN53" s="20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5"/>
      <c r="BA53" s="15"/>
    </row>
    <row r="54" customFormat="false" ht="12.8" hidden="false" customHeight="false" outlineLevel="0" collapsed="false">
      <c r="A54" s="15" t="n">
        <v>0</v>
      </c>
      <c r="B54" s="15" t="s">
        <v>8</v>
      </c>
      <c r="C54" s="15" t="s">
        <v>90</v>
      </c>
      <c r="D54" s="16" t="s">
        <v>82</v>
      </c>
      <c r="E54" s="16" t="s">
        <v>78</v>
      </c>
      <c r="F54" s="16"/>
      <c r="G54" s="1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8"/>
      <c r="U54" s="18"/>
      <c r="V54" s="18"/>
      <c r="W54" s="19"/>
      <c r="X54" s="19"/>
      <c r="Y54" s="19"/>
      <c r="Z54" s="20"/>
      <c r="AA54" s="20"/>
      <c r="AB54" s="20"/>
      <c r="AC54" s="19"/>
      <c r="AD54" s="19"/>
      <c r="AE54" s="19"/>
      <c r="AF54" s="20"/>
      <c r="AG54" s="20"/>
      <c r="AH54" s="20"/>
      <c r="AI54" s="19"/>
      <c r="AJ54" s="19"/>
      <c r="AK54" s="19"/>
      <c r="AL54" s="20"/>
      <c r="AM54" s="20"/>
      <c r="AN54" s="20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5"/>
      <c r="BA54" s="15"/>
    </row>
    <row r="55" customFormat="false" ht="12.8" hidden="false" customHeight="false" outlineLevel="0" collapsed="false">
      <c r="A55" s="15" t="n">
        <v>0</v>
      </c>
      <c r="B55" s="15" t="s">
        <v>8</v>
      </c>
      <c r="C55" s="15" t="s">
        <v>90</v>
      </c>
      <c r="D55" s="16" t="s">
        <v>82</v>
      </c>
      <c r="E55" s="16" t="s">
        <v>79</v>
      </c>
      <c r="F55" s="16"/>
      <c r="G55" s="1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8"/>
      <c r="U55" s="18"/>
      <c r="V55" s="18"/>
      <c r="W55" s="19"/>
      <c r="X55" s="19"/>
      <c r="Y55" s="19"/>
      <c r="Z55" s="20"/>
      <c r="AA55" s="20"/>
      <c r="AB55" s="20"/>
      <c r="AC55" s="19"/>
      <c r="AD55" s="19"/>
      <c r="AE55" s="19"/>
      <c r="AF55" s="20"/>
      <c r="AG55" s="20"/>
      <c r="AH55" s="20"/>
      <c r="AI55" s="19"/>
      <c r="AJ55" s="19"/>
      <c r="AK55" s="19"/>
      <c r="AL55" s="20"/>
      <c r="AM55" s="20"/>
      <c r="AN55" s="20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5"/>
      <c r="BA55" s="15"/>
    </row>
    <row r="56" customFormat="false" ht="12.8" hidden="false" customHeight="false" outlineLevel="0" collapsed="false">
      <c r="A56" s="15" t="n">
        <v>0</v>
      </c>
      <c r="B56" s="15" t="s">
        <v>8</v>
      </c>
      <c r="C56" s="15" t="s">
        <v>90</v>
      </c>
      <c r="D56" s="16" t="s">
        <v>83</v>
      </c>
      <c r="E56" s="16" t="s">
        <v>78</v>
      </c>
      <c r="F56" s="16"/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8"/>
      <c r="U56" s="18"/>
      <c r="V56" s="18"/>
      <c r="W56" s="19"/>
      <c r="X56" s="19"/>
      <c r="Y56" s="19"/>
      <c r="Z56" s="20"/>
      <c r="AA56" s="20"/>
      <c r="AB56" s="20"/>
      <c r="AC56" s="19"/>
      <c r="AD56" s="19"/>
      <c r="AE56" s="19"/>
      <c r="AF56" s="20"/>
      <c r="AG56" s="20"/>
      <c r="AH56" s="20"/>
      <c r="AI56" s="19"/>
      <c r="AJ56" s="19"/>
      <c r="AK56" s="19"/>
      <c r="AL56" s="20"/>
      <c r="AM56" s="20"/>
      <c r="AN56" s="20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5"/>
      <c r="BA56" s="15"/>
    </row>
    <row r="57" customFormat="false" ht="12.8" hidden="false" customHeight="false" outlineLevel="0" collapsed="false">
      <c r="A57" s="15" t="n">
        <v>0</v>
      </c>
      <c r="B57" s="15" t="s">
        <v>8</v>
      </c>
      <c r="C57" s="15" t="s">
        <v>90</v>
      </c>
      <c r="D57" s="16" t="s">
        <v>83</v>
      </c>
      <c r="E57" s="16" t="s">
        <v>79</v>
      </c>
      <c r="F57" s="16"/>
      <c r="G57" s="1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8"/>
      <c r="U57" s="18"/>
      <c r="V57" s="18"/>
      <c r="W57" s="19"/>
      <c r="X57" s="19"/>
      <c r="Y57" s="19"/>
      <c r="Z57" s="20"/>
      <c r="AA57" s="20"/>
      <c r="AB57" s="20"/>
      <c r="AC57" s="19"/>
      <c r="AD57" s="19"/>
      <c r="AE57" s="19"/>
      <c r="AF57" s="20"/>
      <c r="AG57" s="20"/>
      <c r="AH57" s="20"/>
      <c r="AI57" s="19"/>
      <c r="AJ57" s="19"/>
      <c r="AK57" s="19"/>
      <c r="AL57" s="20"/>
      <c r="AM57" s="20"/>
      <c r="AN57" s="20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5"/>
      <c r="BA57" s="15"/>
    </row>
    <row r="58" customFormat="false" ht="23.85" hidden="false" customHeight="false" outlineLevel="0" collapsed="false">
      <c r="A58" s="15" t="n">
        <v>0</v>
      </c>
      <c r="B58" s="15" t="s">
        <v>8</v>
      </c>
      <c r="C58" s="15" t="s">
        <v>90</v>
      </c>
      <c r="D58" s="16" t="s">
        <v>84</v>
      </c>
      <c r="E58" s="16" t="s">
        <v>78</v>
      </c>
      <c r="F58" s="16"/>
      <c r="G58" s="1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8"/>
      <c r="U58" s="18"/>
      <c r="V58" s="18"/>
      <c r="W58" s="19"/>
      <c r="X58" s="19"/>
      <c r="Y58" s="19"/>
      <c r="Z58" s="20"/>
      <c r="AA58" s="20"/>
      <c r="AB58" s="20"/>
      <c r="AC58" s="19"/>
      <c r="AD58" s="19"/>
      <c r="AE58" s="19"/>
      <c r="AF58" s="20"/>
      <c r="AG58" s="20"/>
      <c r="AH58" s="20"/>
      <c r="AI58" s="19"/>
      <c r="AJ58" s="19"/>
      <c r="AK58" s="19"/>
      <c r="AL58" s="20"/>
      <c r="AM58" s="20"/>
      <c r="AN58" s="20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5"/>
      <c r="BA58" s="15"/>
    </row>
    <row r="59" customFormat="false" ht="23.85" hidden="false" customHeight="false" outlineLevel="0" collapsed="false">
      <c r="A59" s="15" t="n">
        <v>0</v>
      </c>
      <c r="B59" s="15" t="s">
        <v>8</v>
      </c>
      <c r="C59" s="15" t="s">
        <v>90</v>
      </c>
      <c r="D59" s="16" t="s">
        <v>84</v>
      </c>
      <c r="E59" s="16" t="s">
        <v>79</v>
      </c>
      <c r="F59" s="16"/>
      <c r="G59" s="1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8"/>
      <c r="U59" s="18"/>
      <c r="V59" s="18"/>
      <c r="W59" s="19"/>
      <c r="X59" s="19"/>
      <c r="Y59" s="19"/>
      <c r="Z59" s="20"/>
      <c r="AA59" s="20"/>
      <c r="AB59" s="20"/>
      <c r="AC59" s="19"/>
      <c r="AD59" s="19"/>
      <c r="AE59" s="19"/>
      <c r="AF59" s="20"/>
      <c r="AG59" s="20"/>
      <c r="AH59" s="20"/>
      <c r="AI59" s="19"/>
      <c r="AJ59" s="19"/>
      <c r="AK59" s="19"/>
      <c r="AL59" s="20"/>
      <c r="AM59" s="20"/>
      <c r="AN59" s="20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5"/>
      <c r="BA59" s="15"/>
    </row>
    <row r="60" customFormat="false" ht="12.8" hidden="false" customHeight="false" outlineLevel="0" collapsed="false">
      <c r="A60" s="15" t="n">
        <v>0</v>
      </c>
      <c r="B60" s="15" t="s">
        <v>8</v>
      </c>
      <c r="C60" s="15" t="s">
        <v>90</v>
      </c>
      <c r="D60" s="16" t="s">
        <v>85</v>
      </c>
      <c r="E60" s="16" t="s">
        <v>78</v>
      </c>
      <c r="F60" s="16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8"/>
      <c r="U60" s="18"/>
      <c r="V60" s="18"/>
      <c r="W60" s="19"/>
      <c r="X60" s="19"/>
      <c r="Y60" s="19"/>
      <c r="Z60" s="20"/>
      <c r="AA60" s="20"/>
      <c r="AB60" s="20"/>
      <c r="AC60" s="19"/>
      <c r="AD60" s="19"/>
      <c r="AE60" s="19"/>
      <c r="AF60" s="20"/>
      <c r="AG60" s="20"/>
      <c r="AH60" s="20"/>
      <c r="AI60" s="19"/>
      <c r="AJ60" s="19"/>
      <c r="AK60" s="19"/>
      <c r="AL60" s="20"/>
      <c r="AM60" s="20"/>
      <c r="AN60" s="20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5"/>
      <c r="BA60" s="15"/>
    </row>
    <row r="61" customFormat="false" ht="12.8" hidden="false" customHeight="false" outlineLevel="0" collapsed="false">
      <c r="A61" s="15" t="n">
        <v>0</v>
      </c>
      <c r="B61" s="15" t="s">
        <v>8</v>
      </c>
      <c r="C61" s="15" t="s">
        <v>90</v>
      </c>
      <c r="D61" s="16" t="s">
        <v>85</v>
      </c>
      <c r="E61" s="16" t="s">
        <v>79</v>
      </c>
      <c r="F61" s="16"/>
      <c r="G61" s="16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8"/>
      <c r="U61" s="18"/>
      <c r="V61" s="18"/>
      <c r="W61" s="19"/>
      <c r="X61" s="19"/>
      <c r="Y61" s="19"/>
      <c r="Z61" s="20"/>
      <c r="AA61" s="20"/>
      <c r="AB61" s="20"/>
      <c r="AC61" s="19"/>
      <c r="AD61" s="19"/>
      <c r="AE61" s="19"/>
      <c r="AF61" s="20"/>
      <c r="AG61" s="20"/>
      <c r="AH61" s="20"/>
      <c r="AI61" s="19"/>
      <c r="AJ61" s="19"/>
      <c r="AK61" s="19"/>
      <c r="AL61" s="20"/>
      <c r="AM61" s="20"/>
      <c r="AN61" s="20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5"/>
      <c r="BA61" s="15"/>
    </row>
    <row r="62" customFormat="false" ht="23.85" hidden="false" customHeight="false" outlineLevel="0" collapsed="false">
      <c r="A62" s="15" t="n">
        <v>0</v>
      </c>
      <c r="B62" s="15" t="s">
        <v>8</v>
      </c>
      <c r="C62" s="15" t="s">
        <v>90</v>
      </c>
      <c r="D62" s="16" t="s">
        <v>86</v>
      </c>
      <c r="E62" s="16" t="s">
        <v>78</v>
      </c>
      <c r="F62" s="16"/>
      <c r="G62" s="1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8"/>
      <c r="U62" s="18"/>
      <c r="V62" s="18"/>
      <c r="W62" s="19"/>
      <c r="X62" s="19"/>
      <c r="Y62" s="19"/>
      <c r="Z62" s="20"/>
      <c r="AA62" s="20"/>
      <c r="AB62" s="20"/>
      <c r="AC62" s="19"/>
      <c r="AD62" s="19"/>
      <c r="AE62" s="19"/>
      <c r="AF62" s="20"/>
      <c r="AG62" s="20"/>
      <c r="AH62" s="20"/>
      <c r="AI62" s="19"/>
      <c r="AJ62" s="19"/>
      <c r="AK62" s="19"/>
      <c r="AL62" s="20"/>
      <c r="AM62" s="20"/>
      <c r="AN62" s="20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5"/>
      <c r="BA62" s="15"/>
    </row>
    <row r="63" customFormat="false" ht="23.85" hidden="false" customHeight="false" outlineLevel="0" collapsed="false">
      <c r="A63" s="15" t="n">
        <v>0</v>
      </c>
      <c r="B63" s="15" t="s">
        <v>8</v>
      </c>
      <c r="C63" s="15" t="s">
        <v>90</v>
      </c>
      <c r="D63" s="16" t="s">
        <v>86</v>
      </c>
      <c r="E63" s="16" t="s">
        <v>79</v>
      </c>
      <c r="F63" s="16"/>
      <c r="G63" s="1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8"/>
      <c r="U63" s="18"/>
      <c r="V63" s="18"/>
      <c r="W63" s="19"/>
      <c r="X63" s="19"/>
      <c r="Y63" s="19"/>
      <c r="Z63" s="20"/>
      <c r="AA63" s="20"/>
      <c r="AB63" s="20"/>
      <c r="AC63" s="19"/>
      <c r="AD63" s="19"/>
      <c r="AE63" s="19"/>
      <c r="AF63" s="20"/>
      <c r="AG63" s="20"/>
      <c r="AH63" s="20"/>
      <c r="AI63" s="19"/>
      <c r="AJ63" s="19"/>
      <c r="AK63" s="19"/>
      <c r="AL63" s="20"/>
      <c r="AM63" s="20"/>
      <c r="AN63" s="20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5"/>
      <c r="BA63" s="15"/>
    </row>
    <row r="64" customFormat="false" ht="12.8" hidden="false" customHeight="false" outlineLevel="0" collapsed="false">
      <c r="A64" s="15" t="n">
        <v>0</v>
      </c>
      <c r="B64" s="15" t="s">
        <v>8</v>
      </c>
      <c r="C64" s="15" t="s">
        <v>90</v>
      </c>
      <c r="D64" s="16" t="s">
        <v>87</v>
      </c>
      <c r="E64" s="16" t="s">
        <v>78</v>
      </c>
      <c r="F64" s="16"/>
      <c r="G64" s="1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8"/>
      <c r="U64" s="18"/>
      <c r="V64" s="18"/>
      <c r="W64" s="19"/>
      <c r="X64" s="19"/>
      <c r="Y64" s="19"/>
      <c r="Z64" s="20"/>
      <c r="AA64" s="20"/>
      <c r="AB64" s="20"/>
      <c r="AC64" s="19"/>
      <c r="AD64" s="19"/>
      <c r="AE64" s="19"/>
      <c r="AF64" s="20"/>
      <c r="AG64" s="20"/>
      <c r="AH64" s="20"/>
      <c r="AI64" s="19"/>
      <c r="AJ64" s="19"/>
      <c r="AK64" s="19"/>
      <c r="AL64" s="20"/>
      <c r="AM64" s="20"/>
      <c r="AN64" s="20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5"/>
      <c r="BA64" s="15"/>
    </row>
    <row r="65" customFormat="false" ht="12.8" hidden="false" customHeight="false" outlineLevel="0" collapsed="false">
      <c r="A65" s="15" t="n">
        <v>0</v>
      </c>
      <c r="B65" s="15" t="s">
        <v>8</v>
      </c>
      <c r="C65" s="15" t="s">
        <v>90</v>
      </c>
      <c r="D65" s="16" t="s">
        <v>87</v>
      </c>
      <c r="E65" s="16" t="s">
        <v>79</v>
      </c>
      <c r="F65" s="16"/>
      <c r="G65" s="1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8"/>
      <c r="U65" s="18"/>
      <c r="V65" s="18"/>
      <c r="W65" s="19"/>
      <c r="X65" s="19"/>
      <c r="Y65" s="19"/>
      <c r="Z65" s="20"/>
      <c r="AA65" s="20"/>
      <c r="AB65" s="20"/>
      <c r="AC65" s="19"/>
      <c r="AD65" s="19"/>
      <c r="AE65" s="19"/>
      <c r="AF65" s="20"/>
      <c r="AG65" s="20"/>
      <c r="AH65" s="20"/>
      <c r="AI65" s="19"/>
      <c r="AJ65" s="19"/>
      <c r="AK65" s="19"/>
      <c r="AL65" s="20"/>
      <c r="AM65" s="20"/>
      <c r="AN65" s="20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5"/>
      <c r="BA65" s="15"/>
    </row>
    <row r="66" customFormat="false" ht="12.8" hidden="false" customHeight="false" outlineLevel="0" collapsed="false">
      <c r="A66" s="15" t="n">
        <v>0</v>
      </c>
      <c r="B66" s="15" t="s">
        <v>8</v>
      </c>
      <c r="C66" s="15" t="s">
        <v>90</v>
      </c>
      <c r="D66" s="16" t="s">
        <v>88</v>
      </c>
      <c r="E66" s="16" t="s">
        <v>78</v>
      </c>
      <c r="F66" s="16"/>
      <c r="G66" s="1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8"/>
      <c r="U66" s="18"/>
      <c r="V66" s="18"/>
      <c r="W66" s="19"/>
      <c r="X66" s="19"/>
      <c r="Y66" s="19"/>
      <c r="Z66" s="20"/>
      <c r="AA66" s="20"/>
      <c r="AB66" s="20"/>
      <c r="AC66" s="19"/>
      <c r="AD66" s="19"/>
      <c r="AE66" s="19"/>
      <c r="AF66" s="20"/>
      <c r="AG66" s="20"/>
      <c r="AH66" s="20"/>
      <c r="AI66" s="19"/>
      <c r="AJ66" s="19"/>
      <c r="AK66" s="19"/>
      <c r="AL66" s="20"/>
      <c r="AM66" s="20"/>
      <c r="AN66" s="20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5"/>
      <c r="BA66" s="15"/>
    </row>
    <row r="67" customFormat="false" ht="12.8" hidden="false" customHeight="false" outlineLevel="0" collapsed="false">
      <c r="A67" s="15" t="n">
        <v>0</v>
      </c>
      <c r="B67" s="15" t="s">
        <v>8</v>
      </c>
      <c r="C67" s="15" t="s">
        <v>90</v>
      </c>
      <c r="D67" s="16" t="s">
        <v>88</v>
      </c>
      <c r="E67" s="16" t="s">
        <v>79</v>
      </c>
      <c r="F67" s="16"/>
      <c r="G67" s="1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8"/>
      <c r="U67" s="18"/>
      <c r="V67" s="18"/>
      <c r="W67" s="19"/>
      <c r="X67" s="19"/>
      <c r="Y67" s="19"/>
      <c r="Z67" s="20"/>
      <c r="AA67" s="20"/>
      <c r="AB67" s="20"/>
      <c r="AC67" s="19"/>
      <c r="AD67" s="19"/>
      <c r="AE67" s="19"/>
      <c r="AF67" s="20"/>
      <c r="AG67" s="20"/>
      <c r="AH67" s="20"/>
      <c r="AI67" s="19"/>
      <c r="AJ67" s="19"/>
      <c r="AK67" s="19"/>
      <c r="AL67" s="20"/>
      <c r="AM67" s="20"/>
      <c r="AN67" s="20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5"/>
      <c r="BA67" s="15"/>
    </row>
    <row r="68" customFormat="false" ht="12.8" hidden="false" customHeight="false" outlineLevel="0" collapsed="false">
      <c r="A68" s="15"/>
      <c r="B68" s="15"/>
      <c r="C68" s="15"/>
      <c r="D68" s="16"/>
      <c r="E68" s="16"/>
      <c r="F68" s="16"/>
      <c r="G68" s="1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8"/>
      <c r="U68" s="18"/>
      <c r="V68" s="18"/>
      <c r="W68" s="19"/>
      <c r="X68" s="19"/>
      <c r="Y68" s="19"/>
      <c r="Z68" s="20"/>
      <c r="AA68" s="20"/>
      <c r="AB68" s="20"/>
      <c r="AC68" s="19"/>
      <c r="AD68" s="19"/>
      <c r="AE68" s="19"/>
      <c r="AF68" s="20"/>
      <c r="AG68" s="20"/>
      <c r="AH68" s="20"/>
      <c r="AI68" s="19"/>
      <c r="AJ68" s="19"/>
      <c r="AK68" s="19"/>
      <c r="AL68" s="20"/>
      <c r="AM68" s="20"/>
      <c r="AN68" s="20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5"/>
      <c r="BA68" s="15"/>
    </row>
    <row r="69" customFormat="false" ht="12.8" hidden="false" customHeight="false" outlineLevel="0" collapsed="false">
      <c r="A69" s="15" t="n">
        <v>0</v>
      </c>
      <c r="B69" s="15" t="s">
        <v>8</v>
      </c>
      <c r="C69" s="15" t="s">
        <v>91</v>
      </c>
      <c r="D69" s="16" t="s">
        <v>75</v>
      </c>
      <c r="E69" s="16" t="s">
        <v>76</v>
      </c>
      <c r="F69" s="16"/>
      <c r="G69" s="1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8"/>
      <c r="U69" s="18"/>
      <c r="V69" s="18"/>
      <c r="W69" s="19"/>
      <c r="X69" s="19"/>
      <c r="Y69" s="19"/>
      <c r="Z69" s="20"/>
      <c r="AA69" s="20"/>
      <c r="AB69" s="20"/>
      <c r="AC69" s="19"/>
      <c r="AD69" s="19"/>
      <c r="AE69" s="19"/>
      <c r="AF69" s="20"/>
      <c r="AG69" s="20"/>
      <c r="AH69" s="20"/>
      <c r="AI69" s="19"/>
      <c r="AJ69" s="19"/>
      <c r="AK69" s="19"/>
      <c r="AL69" s="20"/>
      <c r="AM69" s="20"/>
      <c r="AN69" s="20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5"/>
      <c r="BA69" s="15"/>
    </row>
    <row r="70" customFormat="false" ht="12.8" hidden="false" customHeight="false" outlineLevel="0" collapsed="false">
      <c r="A70" s="15" t="n">
        <v>0</v>
      </c>
      <c r="B70" s="15" t="s">
        <v>8</v>
      </c>
      <c r="C70" s="15" t="s">
        <v>91</v>
      </c>
      <c r="D70" s="16" t="s">
        <v>77</v>
      </c>
      <c r="E70" s="16" t="s">
        <v>78</v>
      </c>
      <c r="F70" s="16"/>
      <c r="G70" s="1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8"/>
      <c r="U70" s="18"/>
      <c r="V70" s="18"/>
      <c r="W70" s="19"/>
      <c r="X70" s="19"/>
      <c r="Y70" s="19"/>
      <c r="Z70" s="20"/>
      <c r="AA70" s="20"/>
      <c r="AB70" s="20"/>
      <c r="AC70" s="19"/>
      <c r="AD70" s="19"/>
      <c r="AE70" s="19"/>
      <c r="AF70" s="20"/>
      <c r="AG70" s="20"/>
      <c r="AH70" s="20"/>
      <c r="AI70" s="19"/>
      <c r="AJ70" s="19"/>
      <c r="AK70" s="19"/>
      <c r="AL70" s="20"/>
      <c r="AM70" s="20"/>
      <c r="AN70" s="20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5"/>
      <c r="BA70" s="15"/>
    </row>
    <row r="71" customFormat="false" ht="12.8" hidden="false" customHeight="false" outlineLevel="0" collapsed="false">
      <c r="A71" s="15" t="n">
        <v>0</v>
      </c>
      <c r="B71" s="15" t="s">
        <v>8</v>
      </c>
      <c r="C71" s="15" t="s">
        <v>91</v>
      </c>
      <c r="D71" s="16" t="s">
        <v>77</v>
      </c>
      <c r="E71" s="16" t="s">
        <v>79</v>
      </c>
      <c r="F71" s="16"/>
      <c r="G71" s="1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8"/>
      <c r="U71" s="18"/>
      <c r="V71" s="18"/>
      <c r="W71" s="19"/>
      <c r="X71" s="19"/>
      <c r="Y71" s="19"/>
      <c r="Z71" s="20"/>
      <c r="AA71" s="20"/>
      <c r="AB71" s="20"/>
      <c r="AC71" s="19"/>
      <c r="AD71" s="19"/>
      <c r="AE71" s="19"/>
      <c r="AF71" s="20"/>
      <c r="AG71" s="20"/>
      <c r="AH71" s="20"/>
      <c r="AI71" s="19"/>
      <c r="AJ71" s="19"/>
      <c r="AK71" s="19"/>
      <c r="AL71" s="20"/>
      <c r="AM71" s="20"/>
      <c r="AN71" s="20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5"/>
      <c r="BA71" s="15"/>
    </row>
    <row r="72" customFormat="false" ht="12.8" hidden="false" customHeight="false" outlineLevel="0" collapsed="false">
      <c r="A72" s="15" t="n">
        <v>0</v>
      </c>
      <c r="B72" s="15" t="s">
        <v>8</v>
      </c>
      <c r="C72" s="15" t="s">
        <v>91</v>
      </c>
      <c r="D72" s="16" t="s">
        <v>80</v>
      </c>
      <c r="E72" s="16" t="s">
        <v>78</v>
      </c>
      <c r="F72" s="16"/>
      <c r="G72" s="1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8"/>
      <c r="U72" s="18"/>
      <c r="V72" s="18"/>
      <c r="W72" s="19"/>
      <c r="X72" s="19"/>
      <c r="Y72" s="19"/>
      <c r="Z72" s="20"/>
      <c r="AA72" s="20"/>
      <c r="AB72" s="20"/>
      <c r="AC72" s="19"/>
      <c r="AD72" s="19"/>
      <c r="AE72" s="19"/>
      <c r="AF72" s="20"/>
      <c r="AG72" s="20"/>
      <c r="AH72" s="20"/>
      <c r="AI72" s="19"/>
      <c r="AJ72" s="19"/>
      <c r="AK72" s="19"/>
      <c r="AL72" s="20"/>
      <c r="AM72" s="20"/>
      <c r="AN72" s="20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5"/>
      <c r="BA72" s="15"/>
    </row>
    <row r="73" customFormat="false" ht="12.8" hidden="false" customHeight="false" outlineLevel="0" collapsed="false">
      <c r="A73" s="15" t="n">
        <v>0</v>
      </c>
      <c r="B73" s="15" t="s">
        <v>8</v>
      </c>
      <c r="C73" s="15" t="s">
        <v>91</v>
      </c>
      <c r="D73" s="16" t="s">
        <v>80</v>
      </c>
      <c r="E73" s="16" t="s">
        <v>79</v>
      </c>
      <c r="F73" s="16"/>
      <c r="G73" s="1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8"/>
      <c r="U73" s="18"/>
      <c r="V73" s="18"/>
      <c r="W73" s="19"/>
      <c r="X73" s="19"/>
      <c r="Y73" s="19"/>
      <c r="Z73" s="20"/>
      <c r="AA73" s="20"/>
      <c r="AB73" s="20"/>
      <c r="AC73" s="19"/>
      <c r="AD73" s="19"/>
      <c r="AE73" s="19"/>
      <c r="AF73" s="20"/>
      <c r="AG73" s="20"/>
      <c r="AH73" s="20"/>
      <c r="AI73" s="19"/>
      <c r="AJ73" s="19"/>
      <c r="AK73" s="19"/>
      <c r="AL73" s="20"/>
      <c r="AM73" s="20"/>
      <c r="AN73" s="20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5"/>
      <c r="BA73" s="15"/>
    </row>
    <row r="74" customFormat="false" ht="12.8" hidden="false" customHeight="false" outlineLevel="0" collapsed="false">
      <c r="A74" s="15" t="n">
        <v>0</v>
      </c>
      <c r="B74" s="15" t="s">
        <v>8</v>
      </c>
      <c r="C74" s="15" t="s">
        <v>91</v>
      </c>
      <c r="D74" s="16" t="s">
        <v>81</v>
      </c>
      <c r="E74" s="16" t="s">
        <v>78</v>
      </c>
      <c r="F74" s="16"/>
      <c r="G74" s="1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8"/>
      <c r="U74" s="18"/>
      <c r="V74" s="18"/>
      <c r="W74" s="19"/>
      <c r="X74" s="19"/>
      <c r="Y74" s="19"/>
      <c r="Z74" s="20"/>
      <c r="AA74" s="20"/>
      <c r="AB74" s="20"/>
      <c r="AC74" s="19"/>
      <c r="AD74" s="19"/>
      <c r="AE74" s="19"/>
      <c r="AF74" s="20"/>
      <c r="AG74" s="20"/>
      <c r="AH74" s="20"/>
      <c r="AI74" s="19"/>
      <c r="AJ74" s="19"/>
      <c r="AK74" s="19"/>
      <c r="AL74" s="20"/>
      <c r="AM74" s="20"/>
      <c r="AN74" s="20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5"/>
      <c r="BA74" s="15"/>
    </row>
    <row r="75" customFormat="false" ht="12.8" hidden="false" customHeight="false" outlineLevel="0" collapsed="false">
      <c r="A75" s="15" t="n">
        <v>0</v>
      </c>
      <c r="B75" s="15" t="s">
        <v>8</v>
      </c>
      <c r="C75" s="15" t="s">
        <v>91</v>
      </c>
      <c r="D75" s="16" t="s">
        <v>81</v>
      </c>
      <c r="E75" s="16" t="s">
        <v>79</v>
      </c>
      <c r="F75" s="16"/>
      <c r="G75" s="1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8"/>
      <c r="U75" s="18"/>
      <c r="V75" s="18"/>
      <c r="W75" s="19"/>
      <c r="X75" s="19"/>
      <c r="Y75" s="19"/>
      <c r="Z75" s="20"/>
      <c r="AA75" s="20"/>
      <c r="AB75" s="20"/>
      <c r="AC75" s="19"/>
      <c r="AD75" s="19"/>
      <c r="AE75" s="19"/>
      <c r="AF75" s="20"/>
      <c r="AG75" s="20"/>
      <c r="AH75" s="20"/>
      <c r="AI75" s="19"/>
      <c r="AJ75" s="19"/>
      <c r="AK75" s="19"/>
      <c r="AL75" s="20"/>
      <c r="AM75" s="20"/>
      <c r="AN75" s="20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5"/>
      <c r="BA75" s="15"/>
    </row>
    <row r="76" customFormat="false" ht="12.8" hidden="false" customHeight="false" outlineLevel="0" collapsed="false">
      <c r="A76" s="15" t="n">
        <v>0</v>
      </c>
      <c r="B76" s="15" t="s">
        <v>8</v>
      </c>
      <c r="C76" s="15" t="s">
        <v>91</v>
      </c>
      <c r="D76" s="16" t="s">
        <v>82</v>
      </c>
      <c r="E76" s="16" t="s">
        <v>78</v>
      </c>
      <c r="F76" s="16"/>
      <c r="G76" s="1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8"/>
      <c r="U76" s="18"/>
      <c r="V76" s="18"/>
      <c r="W76" s="19"/>
      <c r="X76" s="19"/>
      <c r="Y76" s="19"/>
      <c r="Z76" s="20"/>
      <c r="AA76" s="20"/>
      <c r="AB76" s="20"/>
      <c r="AC76" s="19"/>
      <c r="AD76" s="19"/>
      <c r="AE76" s="19"/>
      <c r="AF76" s="20"/>
      <c r="AG76" s="20"/>
      <c r="AH76" s="20"/>
      <c r="AI76" s="19"/>
      <c r="AJ76" s="19"/>
      <c r="AK76" s="19"/>
      <c r="AL76" s="20"/>
      <c r="AM76" s="20"/>
      <c r="AN76" s="20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5"/>
      <c r="BA76" s="15"/>
    </row>
    <row r="77" customFormat="false" ht="12.8" hidden="false" customHeight="false" outlineLevel="0" collapsed="false">
      <c r="A77" s="15" t="n">
        <v>0</v>
      </c>
      <c r="B77" s="15" t="s">
        <v>8</v>
      </c>
      <c r="C77" s="15" t="s">
        <v>91</v>
      </c>
      <c r="D77" s="16" t="s">
        <v>82</v>
      </c>
      <c r="E77" s="16" t="s">
        <v>79</v>
      </c>
      <c r="F77" s="16"/>
      <c r="G77" s="1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8"/>
      <c r="U77" s="18"/>
      <c r="V77" s="18"/>
      <c r="W77" s="19"/>
      <c r="X77" s="19"/>
      <c r="Y77" s="19"/>
      <c r="Z77" s="20"/>
      <c r="AA77" s="20"/>
      <c r="AB77" s="20"/>
      <c r="AC77" s="19"/>
      <c r="AD77" s="19"/>
      <c r="AE77" s="19"/>
      <c r="AF77" s="20"/>
      <c r="AG77" s="20"/>
      <c r="AH77" s="20"/>
      <c r="AI77" s="19"/>
      <c r="AJ77" s="19"/>
      <c r="AK77" s="19"/>
      <c r="AL77" s="20"/>
      <c r="AM77" s="20"/>
      <c r="AN77" s="20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5"/>
      <c r="BA77" s="15"/>
    </row>
    <row r="78" customFormat="false" ht="12.8" hidden="false" customHeight="false" outlineLevel="0" collapsed="false">
      <c r="A78" s="15" t="n">
        <v>0</v>
      </c>
      <c r="B78" s="15" t="s">
        <v>8</v>
      </c>
      <c r="C78" s="15" t="s">
        <v>91</v>
      </c>
      <c r="D78" s="16" t="s">
        <v>83</v>
      </c>
      <c r="E78" s="16" t="s">
        <v>78</v>
      </c>
      <c r="F78" s="16"/>
      <c r="G78" s="1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8"/>
      <c r="U78" s="18"/>
      <c r="V78" s="18"/>
      <c r="W78" s="19"/>
      <c r="X78" s="19"/>
      <c r="Y78" s="19"/>
      <c r="Z78" s="20"/>
      <c r="AA78" s="20"/>
      <c r="AB78" s="20"/>
      <c r="AC78" s="19"/>
      <c r="AD78" s="19"/>
      <c r="AE78" s="19"/>
      <c r="AF78" s="20"/>
      <c r="AG78" s="20"/>
      <c r="AH78" s="20"/>
      <c r="AI78" s="19"/>
      <c r="AJ78" s="19"/>
      <c r="AK78" s="19"/>
      <c r="AL78" s="20"/>
      <c r="AM78" s="20"/>
      <c r="AN78" s="20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5"/>
      <c r="BA78" s="15"/>
    </row>
    <row r="79" customFormat="false" ht="12.8" hidden="false" customHeight="false" outlineLevel="0" collapsed="false">
      <c r="A79" s="15" t="n">
        <v>0</v>
      </c>
      <c r="B79" s="15" t="s">
        <v>8</v>
      </c>
      <c r="C79" s="15" t="s">
        <v>91</v>
      </c>
      <c r="D79" s="16" t="s">
        <v>83</v>
      </c>
      <c r="E79" s="16" t="s">
        <v>79</v>
      </c>
      <c r="F79" s="16"/>
      <c r="G79" s="1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8"/>
      <c r="U79" s="18"/>
      <c r="V79" s="18"/>
      <c r="W79" s="19"/>
      <c r="X79" s="19"/>
      <c r="Y79" s="19"/>
      <c r="Z79" s="20"/>
      <c r="AA79" s="20"/>
      <c r="AB79" s="20"/>
      <c r="AC79" s="19"/>
      <c r="AD79" s="19"/>
      <c r="AE79" s="19"/>
      <c r="AF79" s="20"/>
      <c r="AG79" s="20"/>
      <c r="AH79" s="20"/>
      <c r="AI79" s="19"/>
      <c r="AJ79" s="19"/>
      <c r="AK79" s="19"/>
      <c r="AL79" s="20"/>
      <c r="AM79" s="20"/>
      <c r="AN79" s="20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5"/>
      <c r="BA79" s="15"/>
    </row>
    <row r="80" customFormat="false" ht="23.85" hidden="false" customHeight="false" outlineLevel="0" collapsed="false">
      <c r="A80" s="15" t="n">
        <v>0</v>
      </c>
      <c r="B80" s="15" t="s">
        <v>8</v>
      </c>
      <c r="C80" s="15" t="s">
        <v>91</v>
      </c>
      <c r="D80" s="16" t="s">
        <v>84</v>
      </c>
      <c r="E80" s="16" t="s">
        <v>78</v>
      </c>
      <c r="F80" s="16"/>
      <c r="G80" s="1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8"/>
      <c r="U80" s="18"/>
      <c r="V80" s="18"/>
      <c r="W80" s="19"/>
      <c r="X80" s="19"/>
      <c r="Y80" s="19"/>
      <c r="Z80" s="20"/>
      <c r="AA80" s="20"/>
      <c r="AB80" s="20"/>
      <c r="AC80" s="19"/>
      <c r="AD80" s="19"/>
      <c r="AE80" s="19"/>
      <c r="AF80" s="20"/>
      <c r="AG80" s="20"/>
      <c r="AH80" s="20"/>
      <c r="AI80" s="19"/>
      <c r="AJ80" s="19"/>
      <c r="AK80" s="19"/>
      <c r="AL80" s="20"/>
      <c r="AM80" s="20"/>
      <c r="AN80" s="20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5"/>
      <c r="BA80" s="15"/>
    </row>
    <row r="81" customFormat="false" ht="23.85" hidden="false" customHeight="false" outlineLevel="0" collapsed="false">
      <c r="A81" s="15" t="n">
        <v>0</v>
      </c>
      <c r="B81" s="15" t="s">
        <v>8</v>
      </c>
      <c r="C81" s="15" t="s">
        <v>91</v>
      </c>
      <c r="D81" s="16" t="s">
        <v>84</v>
      </c>
      <c r="E81" s="16" t="s">
        <v>79</v>
      </c>
      <c r="F81" s="16"/>
      <c r="G81" s="1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8"/>
      <c r="U81" s="18"/>
      <c r="V81" s="18"/>
      <c r="W81" s="19"/>
      <c r="X81" s="19"/>
      <c r="Y81" s="19"/>
      <c r="Z81" s="20"/>
      <c r="AA81" s="20"/>
      <c r="AB81" s="20"/>
      <c r="AC81" s="19"/>
      <c r="AD81" s="19"/>
      <c r="AE81" s="19"/>
      <c r="AF81" s="20"/>
      <c r="AG81" s="20"/>
      <c r="AH81" s="20"/>
      <c r="AI81" s="19"/>
      <c r="AJ81" s="19"/>
      <c r="AK81" s="19"/>
      <c r="AL81" s="20"/>
      <c r="AM81" s="20"/>
      <c r="AN81" s="20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5"/>
      <c r="BA81" s="15"/>
    </row>
    <row r="82" customFormat="false" ht="12.8" hidden="false" customHeight="false" outlineLevel="0" collapsed="false">
      <c r="A82" s="15" t="n">
        <v>0</v>
      </c>
      <c r="B82" s="15" t="s">
        <v>8</v>
      </c>
      <c r="C82" s="15" t="s">
        <v>91</v>
      </c>
      <c r="D82" s="16" t="s">
        <v>85</v>
      </c>
      <c r="E82" s="16" t="s">
        <v>78</v>
      </c>
      <c r="F82" s="16"/>
      <c r="G82" s="1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8"/>
      <c r="U82" s="18"/>
      <c r="V82" s="18"/>
      <c r="W82" s="19"/>
      <c r="X82" s="19"/>
      <c r="Y82" s="19"/>
      <c r="Z82" s="20"/>
      <c r="AA82" s="20"/>
      <c r="AB82" s="20"/>
      <c r="AC82" s="19"/>
      <c r="AD82" s="19"/>
      <c r="AE82" s="19"/>
      <c r="AF82" s="20"/>
      <c r="AG82" s="20"/>
      <c r="AH82" s="20"/>
      <c r="AI82" s="19"/>
      <c r="AJ82" s="19"/>
      <c r="AK82" s="19"/>
      <c r="AL82" s="20"/>
      <c r="AM82" s="20"/>
      <c r="AN82" s="20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5"/>
      <c r="BA82" s="15"/>
    </row>
    <row r="83" customFormat="false" ht="12.8" hidden="false" customHeight="false" outlineLevel="0" collapsed="false">
      <c r="A83" s="15" t="n">
        <v>0</v>
      </c>
      <c r="B83" s="15" t="s">
        <v>8</v>
      </c>
      <c r="C83" s="15" t="s">
        <v>91</v>
      </c>
      <c r="D83" s="16" t="s">
        <v>85</v>
      </c>
      <c r="E83" s="16" t="s">
        <v>79</v>
      </c>
      <c r="F83" s="16"/>
      <c r="G83" s="1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8"/>
      <c r="U83" s="18"/>
      <c r="V83" s="18"/>
      <c r="W83" s="19"/>
      <c r="X83" s="19"/>
      <c r="Y83" s="19"/>
      <c r="Z83" s="20"/>
      <c r="AA83" s="20"/>
      <c r="AB83" s="20"/>
      <c r="AC83" s="19"/>
      <c r="AD83" s="19"/>
      <c r="AE83" s="19"/>
      <c r="AF83" s="20"/>
      <c r="AG83" s="20"/>
      <c r="AH83" s="20"/>
      <c r="AI83" s="19"/>
      <c r="AJ83" s="19"/>
      <c r="AK83" s="19"/>
      <c r="AL83" s="20"/>
      <c r="AM83" s="20"/>
      <c r="AN83" s="20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5"/>
      <c r="BA83" s="15"/>
    </row>
    <row r="84" customFormat="false" ht="23.85" hidden="false" customHeight="false" outlineLevel="0" collapsed="false">
      <c r="A84" s="15" t="n">
        <v>0</v>
      </c>
      <c r="B84" s="15" t="s">
        <v>8</v>
      </c>
      <c r="C84" s="15" t="s">
        <v>91</v>
      </c>
      <c r="D84" s="16" t="s">
        <v>86</v>
      </c>
      <c r="E84" s="16" t="s">
        <v>78</v>
      </c>
      <c r="F84" s="16"/>
      <c r="G84" s="1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8"/>
      <c r="U84" s="18"/>
      <c r="V84" s="18"/>
      <c r="W84" s="19"/>
      <c r="X84" s="19"/>
      <c r="Y84" s="19"/>
      <c r="Z84" s="20"/>
      <c r="AA84" s="20"/>
      <c r="AB84" s="20"/>
      <c r="AC84" s="19"/>
      <c r="AD84" s="19"/>
      <c r="AE84" s="19"/>
      <c r="AF84" s="20"/>
      <c r="AG84" s="20"/>
      <c r="AH84" s="20"/>
      <c r="AI84" s="19"/>
      <c r="AJ84" s="19"/>
      <c r="AK84" s="19"/>
      <c r="AL84" s="20"/>
      <c r="AM84" s="20"/>
      <c r="AN84" s="20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5"/>
      <c r="BA84" s="15"/>
    </row>
    <row r="85" customFormat="false" ht="23.85" hidden="false" customHeight="false" outlineLevel="0" collapsed="false">
      <c r="A85" s="15" t="n">
        <v>0</v>
      </c>
      <c r="B85" s="15" t="s">
        <v>8</v>
      </c>
      <c r="C85" s="15" t="s">
        <v>91</v>
      </c>
      <c r="D85" s="16" t="s">
        <v>86</v>
      </c>
      <c r="E85" s="16" t="s">
        <v>79</v>
      </c>
      <c r="F85" s="16"/>
      <c r="G85" s="1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8"/>
      <c r="U85" s="18"/>
      <c r="V85" s="18"/>
      <c r="W85" s="19"/>
      <c r="X85" s="19"/>
      <c r="Y85" s="19"/>
      <c r="Z85" s="20"/>
      <c r="AA85" s="20"/>
      <c r="AB85" s="20"/>
      <c r="AC85" s="19"/>
      <c r="AD85" s="19"/>
      <c r="AE85" s="19"/>
      <c r="AF85" s="20"/>
      <c r="AG85" s="20"/>
      <c r="AH85" s="20"/>
      <c r="AI85" s="19"/>
      <c r="AJ85" s="19"/>
      <c r="AK85" s="19"/>
      <c r="AL85" s="20"/>
      <c r="AM85" s="20"/>
      <c r="AN85" s="20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5"/>
      <c r="BA85" s="15"/>
    </row>
    <row r="86" customFormat="false" ht="12.8" hidden="false" customHeight="false" outlineLevel="0" collapsed="false">
      <c r="A86" s="15" t="n">
        <v>0</v>
      </c>
      <c r="B86" s="15" t="s">
        <v>8</v>
      </c>
      <c r="C86" s="15" t="s">
        <v>91</v>
      </c>
      <c r="D86" s="16" t="s">
        <v>87</v>
      </c>
      <c r="E86" s="16" t="s">
        <v>78</v>
      </c>
      <c r="F86" s="16"/>
      <c r="G86" s="1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8"/>
      <c r="U86" s="18"/>
      <c r="V86" s="18"/>
      <c r="W86" s="19"/>
      <c r="X86" s="19"/>
      <c r="Y86" s="19"/>
      <c r="Z86" s="20"/>
      <c r="AA86" s="20"/>
      <c r="AB86" s="20"/>
      <c r="AC86" s="19"/>
      <c r="AD86" s="19"/>
      <c r="AE86" s="19"/>
      <c r="AF86" s="20"/>
      <c r="AG86" s="20"/>
      <c r="AH86" s="20"/>
      <c r="AI86" s="19"/>
      <c r="AJ86" s="19"/>
      <c r="AK86" s="19"/>
      <c r="AL86" s="20"/>
      <c r="AM86" s="20"/>
      <c r="AN86" s="20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5"/>
      <c r="BA86" s="15"/>
    </row>
    <row r="87" customFormat="false" ht="12.8" hidden="false" customHeight="false" outlineLevel="0" collapsed="false">
      <c r="A87" s="15" t="n">
        <v>0</v>
      </c>
      <c r="B87" s="15" t="s">
        <v>8</v>
      </c>
      <c r="C87" s="15" t="s">
        <v>91</v>
      </c>
      <c r="D87" s="16" t="s">
        <v>87</v>
      </c>
      <c r="E87" s="16" t="s">
        <v>79</v>
      </c>
      <c r="F87" s="16"/>
      <c r="G87" s="1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8"/>
      <c r="U87" s="18"/>
      <c r="V87" s="18"/>
      <c r="W87" s="19"/>
      <c r="X87" s="19"/>
      <c r="Y87" s="19"/>
      <c r="Z87" s="20"/>
      <c r="AA87" s="20"/>
      <c r="AB87" s="20"/>
      <c r="AC87" s="19"/>
      <c r="AD87" s="19"/>
      <c r="AE87" s="19"/>
      <c r="AF87" s="20"/>
      <c r="AG87" s="20"/>
      <c r="AH87" s="20"/>
      <c r="AI87" s="19"/>
      <c r="AJ87" s="19"/>
      <c r="AK87" s="19"/>
      <c r="AL87" s="20"/>
      <c r="AM87" s="20"/>
      <c r="AN87" s="20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5"/>
      <c r="BA87" s="15"/>
    </row>
    <row r="88" customFormat="false" ht="12.8" hidden="false" customHeight="false" outlineLevel="0" collapsed="false">
      <c r="A88" s="15" t="n">
        <v>0</v>
      </c>
      <c r="B88" s="15" t="s">
        <v>8</v>
      </c>
      <c r="C88" s="15" t="s">
        <v>91</v>
      </c>
      <c r="D88" s="16" t="s">
        <v>88</v>
      </c>
      <c r="E88" s="16" t="s">
        <v>78</v>
      </c>
      <c r="F88" s="16"/>
      <c r="G88" s="1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8"/>
      <c r="U88" s="18"/>
      <c r="V88" s="18"/>
      <c r="W88" s="19"/>
      <c r="X88" s="19"/>
      <c r="Y88" s="19"/>
      <c r="Z88" s="20"/>
      <c r="AA88" s="20"/>
      <c r="AB88" s="20"/>
      <c r="AC88" s="19"/>
      <c r="AD88" s="19"/>
      <c r="AE88" s="19"/>
      <c r="AF88" s="20"/>
      <c r="AG88" s="20"/>
      <c r="AH88" s="20"/>
      <c r="AI88" s="19"/>
      <c r="AJ88" s="19"/>
      <c r="AK88" s="19"/>
      <c r="AL88" s="20"/>
      <c r="AM88" s="20"/>
      <c r="AN88" s="20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5"/>
      <c r="BA88" s="15"/>
    </row>
    <row r="89" customFormat="false" ht="12.8" hidden="false" customHeight="false" outlineLevel="0" collapsed="false">
      <c r="A89" s="15" t="n">
        <v>0</v>
      </c>
      <c r="B89" s="15" t="s">
        <v>8</v>
      </c>
      <c r="C89" s="15" t="s">
        <v>91</v>
      </c>
      <c r="D89" s="16" t="s">
        <v>88</v>
      </c>
      <c r="E89" s="16" t="s">
        <v>79</v>
      </c>
      <c r="F89" s="16"/>
      <c r="G89" s="1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8"/>
      <c r="U89" s="18"/>
      <c r="V89" s="18"/>
      <c r="W89" s="19"/>
      <c r="X89" s="19"/>
      <c r="Y89" s="19"/>
      <c r="Z89" s="20"/>
      <c r="AA89" s="20"/>
      <c r="AB89" s="20"/>
      <c r="AC89" s="19"/>
      <c r="AD89" s="19"/>
      <c r="AE89" s="19"/>
      <c r="AF89" s="20"/>
      <c r="AG89" s="20"/>
      <c r="AH89" s="20"/>
      <c r="AI89" s="19"/>
      <c r="AJ89" s="19"/>
      <c r="AK89" s="19"/>
      <c r="AL89" s="20"/>
      <c r="AM89" s="20"/>
      <c r="AN89" s="20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5"/>
      <c r="BA89" s="15"/>
    </row>
    <row r="90" customFormat="false" ht="12.8" hidden="false" customHeight="false" outlineLevel="0" collapsed="false">
      <c r="A90" s="15"/>
      <c r="B90" s="15"/>
      <c r="C90" s="15"/>
      <c r="D90" s="16"/>
      <c r="E90" s="16"/>
      <c r="F90" s="16"/>
      <c r="G90" s="1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8"/>
      <c r="U90" s="18"/>
      <c r="V90" s="18"/>
      <c r="W90" s="19"/>
      <c r="X90" s="19"/>
      <c r="Y90" s="19"/>
      <c r="Z90" s="20"/>
      <c r="AA90" s="20"/>
      <c r="AB90" s="20"/>
      <c r="AC90" s="19"/>
      <c r="AD90" s="19"/>
      <c r="AE90" s="19"/>
      <c r="AF90" s="20"/>
      <c r="AG90" s="20"/>
      <c r="AH90" s="20"/>
      <c r="AI90" s="19"/>
      <c r="AJ90" s="19"/>
      <c r="AK90" s="19"/>
      <c r="AL90" s="20"/>
      <c r="AM90" s="20"/>
      <c r="AN90" s="20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5"/>
      <c r="BA90" s="15"/>
    </row>
    <row r="91" customFormat="false" ht="12.8" hidden="false" customHeight="false" outlineLevel="0" collapsed="false">
      <c r="A91" s="15" t="n">
        <v>0</v>
      </c>
      <c r="B91" s="15" t="s">
        <v>8</v>
      </c>
      <c r="C91" s="15" t="s">
        <v>92</v>
      </c>
      <c r="D91" s="16" t="s">
        <v>75</v>
      </c>
      <c r="E91" s="16" t="s">
        <v>76</v>
      </c>
      <c r="F91" s="16"/>
      <c r="G91" s="1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8"/>
      <c r="U91" s="18"/>
      <c r="V91" s="18"/>
      <c r="W91" s="19"/>
      <c r="X91" s="19"/>
      <c r="Y91" s="19"/>
      <c r="Z91" s="20"/>
      <c r="AA91" s="20"/>
      <c r="AB91" s="20"/>
      <c r="AC91" s="19"/>
      <c r="AD91" s="19"/>
      <c r="AE91" s="19"/>
      <c r="AF91" s="20"/>
      <c r="AG91" s="20"/>
      <c r="AH91" s="20"/>
      <c r="AI91" s="19"/>
      <c r="AJ91" s="19"/>
      <c r="AK91" s="19"/>
      <c r="AL91" s="20"/>
      <c r="AM91" s="20"/>
      <c r="AN91" s="20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5"/>
      <c r="BA91" s="15"/>
    </row>
    <row r="92" customFormat="false" ht="12.8" hidden="false" customHeight="false" outlineLevel="0" collapsed="false">
      <c r="A92" s="15" t="n">
        <v>0</v>
      </c>
      <c r="B92" s="15" t="s">
        <v>8</v>
      </c>
      <c r="C92" s="15" t="s">
        <v>92</v>
      </c>
      <c r="D92" s="16" t="s">
        <v>77</v>
      </c>
      <c r="E92" s="16" t="s">
        <v>78</v>
      </c>
      <c r="F92" s="16"/>
      <c r="G92" s="1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8"/>
      <c r="U92" s="18"/>
      <c r="V92" s="18"/>
      <c r="W92" s="19"/>
      <c r="X92" s="19"/>
      <c r="Y92" s="19"/>
      <c r="Z92" s="20"/>
      <c r="AA92" s="20"/>
      <c r="AB92" s="20"/>
      <c r="AC92" s="19"/>
      <c r="AD92" s="19"/>
      <c r="AE92" s="19"/>
      <c r="AF92" s="20"/>
      <c r="AG92" s="20"/>
      <c r="AH92" s="20"/>
      <c r="AI92" s="19"/>
      <c r="AJ92" s="19"/>
      <c r="AK92" s="19"/>
      <c r="AL92" s="20"/>
      <c r="AM92" s="20"/>
      <c r="AN92" s="20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5"/>
      <c r="BA92" s="15"/>
    </row>
    <row r="93" customFormat="false" ht="12.8" hidden="false" customHeight="false" outlineLevel="0" collapsed="false">
      <c r="A93" s="15" t="n">
        <v>0</v>
      </c>
      <c r="B93" s="15" t="s">
        <v>8</v>
      </c>
      <c r="C93" s="15" t="s">
        <v>92</v>
      </c>
      <c r="D93" s="16" t="s">
        <v>77</v>
      </c>
      <c r="E93" s="16" t="s">
        <v>79</v>
      </c>
      <c r="F93" s="16"/>
      <c r="G93" s="1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8"/>
      <c r="U93" s="18"/>
      <c r="V93" s="18"/>
      <c r="W93" s="19"/>
      <c r="X93" s="19"/>
      <c r="Y93" s="19"/>
      <c r="Z93" s="20"/>
      <c r="AA93" s="20"/>
      <c r="AB93" s="20"/>
      <c r="AC93" s="19"/>
      <c r="AD93" s="19"/>
      <c r="AE93" s="19"/>
      <c r="AF93" s="20"/>
      <c r="AG93" s="20"/>
      <c r="AH93" s="20"/>
      <c r="AI93" s="19"/>
      <c r="AJ93" s="19"/>
      <c r="AK93" s="19"/>
      <c r="AL93" s="20"/>
      <c r="AM93" s="20"/>
      <c r="AN93" s="20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5"/>
      <c r="BA93" s="15"/>
    </row>
    <row r="94" customFormat="false" ht="12.8" hidden="false" customHeight="false" outlineLevel="0" collapsed="false">
      <c r="A94" s="15" t="n">
        <v>0</v>
      </c>
      <c r="B94" s="15" t="s">
        <v>8</v>
      </c>
      <c r="C94" s="15" t="s">
        <v>92</v>
      </c>
      <c r="D94" s="16" t="s">
        <v>80</v>
      </c>
      <c r="E94" s="16" t="s">
        <v>78</v>
      </c>
      <c r="F94" s="16"/>
      <c r="G94" s="1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8"/>
      <c r="U94" s="18"/>
      <c r="V94" s="18"/>
      <c r="W94" s="19"/>
      <c r="X94" s="19"/>
      <c r="Y94" s="19"/>
      <c r="Z94" s="20"/>
      <c r="AA94" s="20"/>
      <c r="AB94" s="20"/>
      <c r="AC94" s="19"/>
      <c r="AD94" s="19"/>
      <c r="AE94" s="19"/>
      <c r="AF94" s="20"/>
      <c r="AG94" s="20"/>
      <c r="AH94" s="20"/>
      <c r="AI94" s="19"/>
      <c r="AJ94" s="19"/>
      <c r="AK94" s="19"/>
      <c r="AL94" s="20"/>
      <c r="AM94" s="20"/>
      <c r="AN94" s="20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5"/>
      <c r="BA94" s="15"/>
    </row>
    <row r="95" customFormat="false" ht="12.8" hidden="false" customHeight="false" outlineLevel="0" collapsed="false">
      <c r="A95" s="15" t="n">
        <v>0</v>
      </c>
      <c r="B95" s="15" t="s">
        <v>8</v>
      </c>
      <c r="C95" s="15" t="s">
        <v>92</v>
      </c>
      <c r="D95" s="16" t="s">
        <v>80</v>
      </c>
      <c r="E95" s="16" t="s">
        <v>79</v>
      </c>
      <c r="F95" s="16"/>
      <c r="G95" s="1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8"/>
      <c r="U95" s="18"/>
      <c r="V95" s="18"/>
      <c r="W95" s="19"/>
      <c r="X95" s="19"/>
      <c r="Y95" s="19"/>
      <c r="Z95" s="20"/>
      <c r="AA95" s="20"/>
      <c r="AB95" s="20"/>
      <c r="AC95" s="19"/>
      <c r="AD95" s="19"/>
      <c r="AE95" s="19"/>
      <c r="AF95" s="20"/>
      <c r="AG95" s="20"/>
      <c r="AH95" s="20"/>
      <c r="AI95" s="19"/>
      <c r="AJ95" s="19"/>
      <c r="AK95" s="19"/>
      <c r="AL95" s="20"/>
      <c r="AM95" s="20"/>
      <c r="AN95" s="20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5"/>
      <c r="BA95" s="15"/>
    </row>
    <row r="96" customFormat="false" ht="12.8" hidden="false" customHeight="false" outlineLevel="0" collapsed="false">
      <c r="A96" s="15" t="n">
        <v>0</v>
      </c>
      <c r="B96" s="15" t="s">
        <v>8</v>
      </c>
      <c r="C96" s="15" t="s">
        <v>92</v>
      </c>
      <c r="D96" s="16" t="s">
        <v>81</v>
      </c>
      <c r="E96" s="16" t="s">
        <v>78</v>
      </c>
      <c r="F96" s="16"/>
      <c r="G96" s="1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8"/>
      <c r="U96" s="18"/>
      <c r="V96" s="18"/>
      <c r="W96" s="19"/>
      <c r="X96" s="19"/>
      <c r="Y96" s="19"/>
      <c r="Z96" s="20"/>
      <c r="AA96" s="20"/>
      <c r="AB96" s="20"/>
      <c r="AC96" s="19"/>
      <c r="AD96" s="19"/>
      <c r="AE96" s="19"/>
      <c r="AF96" s="20"/>
      <c r="AG96" s="20"/>
      <c r="AH96" s="20"/>
      <c r="AI96" s="19"/>
      <c r="AJ96" s="19"/>
      <c r="AK96" s="19"/>
      <c r="AL96" s="20"/>
      <c r="AM96" s="20"/>
      <c r="AN96" s="20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5"/>
      <c r="BA96" s="15"/>
    </row>
    <row r="97" customFormat="false" ht="12.8" hidden="false" customHeight="false" outlineLevel="0" collapsed="false">
      <c r="A97" s="15" t="n">
        <v>0</v>
      </c>
      <c r="B97" s="15" t="s">
        <v>8</v>
      </c>
      <c r="C97" s="15" t="s">
        <v>92</v>
      </c>
      <c r="D97" s="16" t="s">
        <v>81</v>
      </c>
      <c r="E97" s="16" t="s">
        <v>79</v>
      </c>
      <c r="F97" s="16"/>
      <c r="G97" s="1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8"/>
      <c r="U97" s="18"/>
      <c r="V97" s="18"/>
      <c r="W97" s="19"/>
      <c r="X97" s="19"/>
      <c r="Y97" s="19"/>
      <c r="Z97" s="20"/>
      <c r="AA97" s="20"/>
      <c r="AB97" s="20"/>
      <c r="AC97" s="19"/>
      <c r="AD97" s="19"/>
      <c r="AE97" s="19"/>
      <c r="AF97" s="20"/>
      <c r="AG97" s="20"/>
      <c r="AH97" s="20"/>
      <c r="AI97" s="19"/>
      <c r="AJ97" s="19"/>
      <c r="AK97" s="19"/>
      <c r="AL97" s="20"/>
      <c r="AM97" s="20"/>
      <c r="AN97" s="20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5"/>
      <c r="BA97" s="15"/>
    </row>
    <row r="98" customFormat="false" ht="12.8" hidden="false" customHeight="false" outlineLevel="0" collapsed="false">
      <c r="A98" s="15" t="n">
        <v>0</v>
      </c>
      <c r="B98" s="15" t="s">
        <v>8</v>
      </c>
      <c r="C98" s="15" t="s">
        <v>92</v>
      </c>
      <c r="D98" s="16" t="s">
        <v>82</v>
      </c>
      <c r="E98" s="16" t="s">
        <v>78</v>
      </c>
      <c r="F98" s="16"/>
      <c r="G98" s="1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8"/>
      <c r="U98" s="18"/>
      <c r="V98" s="18"/>
      <c r="W98" s="19"/>
      <c r="X98" s="19"/>
      <c r="Y98" s="19"/>
      <c r="Z98" s="20"/>
      <c r="AA98" s="20"/>
      <c r="AB98" s="20"/>
      <c r="AC98" s="19"/>
      <c r="AD98" s="19"/>
      <c r="AE98" s="19"/>
      <c r="AF98" s="20"/>
      <c r="AG98" s="20"/>
      <c r="AH98" s="20"/>
      <c r="AI98" s="19"/>
      <c r="AJ98" s="19"/>
      <c r="AK98" s="19"/>
      <c r="AL98" s="20"/>
      <c r="AM98" s="20"/>
      <c r="AN98" s="20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5"/>
      <c r="BA98" s="15"/>
    </row>
    <row r="99" customFormat="false" ht="12.8" hidden="false" customHeight="false" outlineLevel="0" collapsed="false">
      <c r="A99" s="15" t="n">
        <v>0</v>
      </c>
      <c r="B99" s="15" t="s">
        <v>8</v>
      </c>
      <c r="C99" s="15" t="s">
        <v>92</v>
      </c>
      <c r="D99" s="16" t="s">
        <v>82</v>
      </c>
      <c r="E99" s="16" t="s">
        <v>79</v>
      </c>
      <c r="F99" s="16"/>
      <c r="G99" s="1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8"/>
      <c r="U99" s="18"/>
      <c r="V99" s="18"/>
      <c r="W99" s="19"/>
      <c r="X99" s="19"/>
      <c r="Y99" s="19"/>
      <c r="Z99" s="20"/>
      <c r="AA99" s="20"/>
      <c r="AB99" s="20"/>
      <c r="AC99" s="19"/>
      <c r="AD99" s="19"/>
      <c r="AE99" s="19"/>
      <c r="AF99" s="20"/>
      <c r="AG99" s="20"/>
      <c r="AH99" s="20"/>
      <c r="AI99" s="19"/>
      <c r="AJ99" s="19"/>
      <c r="AK99" s="19"/>
      <c r="AL99" s="20"/>
      <c r="AM99" s="20"/>
      <c r="AN99" s="20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5"/>
      <c r="BA99" s="15"/>
    </row>
    <row r="100" customFormat="false" ht="12.8" hidden="false" customHeight="false" outlineLevel="0" collapsed="false">
      <c r="A100" s="15" t="n">
        <v>0</v>
      </c>
      <c r="B100" s="15" t="s">
        <v>8</v>
      </c>
      <c r="C100" s="15" t="s">
        <v>92</v>
      </c>
      <c r="D100" s="16" t="s">
        <v>83</v>
      </c>
      <c r="E100" s="16" t="s">
        <v>78</v>
      </c>
      <c r="F100" s="16"/>
      <c r="G100" s="1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8"/>
      <c r="U100" s="18"/>
      <c r="V100" s="18"/>
      <c r="W100" s="19"/>
      <c r="X100" s="19"/>
      <c r="Y100" s="19"/>
      <c r="Z100" s="20"/>
      <c r="AA100" s="20"/>
      <c r="AB100" s="20"/>
      <c r="AC100" s="19"/>
      <c r="AD100" s="19"/>
      <c r="AE100" s="19"/>
      <c r="AF100" s="20"/>
      <c r="AG100" s="20"/>
      <c r="AH100" s="20"/>
      <c r="AI100" s="19"/>
      <c r="AJ100" s="19"/>
      <c r="AK100" s="19"/>
      <c r="AL100" s="20"/>
      <c r="AM100" s="20"/>
      <c r="AN100" s="20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5"/>
      <c r="BA100" s="15"/>
    </row>
    <row r="101" customFormat="false" ht="12.8" hidden="false" customHeight="false" outlineLevel="0" collapsed="false">
      <c r="A101" s="15" t="n">
        <v>0</v>
      </c>
      <c r="B101" s="15" t="s">
        <v>8</v>
      </c>
      <c r="C101" s="15" t="s">
        <v>92</v>
      </c>
      <c r="D101" s="16" t="s">
        <v>83</v>
      </c>
      <c r="E101" s="16" t="s">
        <v>79</v>
      </c>
      <c r="F101" s="16"/>
      <c r="G101" s="1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8"/>
      <c r="U101" s="18"/>
      <c r="V101" s="18"/>
      <c r="W101" s="19"/>
      <c r="X101" s="19"/>
      <c r="Y101" s="19"/>
      <c r="Z101" s="20"/>
      <c r="AA101" s="20"/>
      <c r="AB101" s="20"/>
      <c r="AC101" s="19"/>
      <c r="AD101" s="19"/>
      <c r="AE101" s="19"/>
      <c r="AF101" s="20"/>
      <c r="AG101" s="20"/>
      <c r="AH101" s="20"/>
      <c r="AI101" s="19"/>
      <c r="AJ101" s="19"/>
      <c r="AK101" s="19"/>
      <c r="AL101" s="20"/>
      <c r="AM101" s="20"/>
      <c r="AN101" s="20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5"/>
      <c r="BA101" s="15"/>
    </row>
    <row r="102" customFormat="false" ht="23.85" hidden="false" customHeight="false" outlineLevel="0" collapsed="false">
      <c r="A102" s="15" t="n">
        <v>0</v>
      </c>
      <c r="B102" s="15" t="s">
        <v>8</v>
      </c>
      <c r="C102" s="15" t="s">
        <v>92</v>
      </c>
      <c r="D102" s="16" t="s">
        <v>84</v>
      </c>
      <c r="E102" s="16" t="s">
        <v>78</v>
      </c>
      <c r="F102" s="16"/>
      <c r="G102" s="1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8"/>
      <c r="U102" s="18"/>
      <c r="V102" s="18"/>
      <c r="W102" s="19"/>
      <c r="X102" s="19"/>
      <c r="Y102" s="19"/>
      <c r="Z102" s="20"/>
      <c r="AA102" s="20"/>
      <c r="AB102" s="20"/>
      <c r="AC102" s="19"/>
      <c r="AD102" s="19"/>
      <c r="AE102" s="19"/>
      <c r="AF102" s="20"/>
      <c r="AG102" s="20"/>
      <c r="AH102" s="20"/>
      <c r="AI102" s="19"/>
      <c r="AJ102" s="19"/>
      <c r="AK102" s="19"/>
      <c r="AL102" s="20"/>
      <c r="AM102" s="20"/>
      <c r="AN102" s="20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5"/>
      <c r="BA102" s="15"/>
    </row>
    <row r="103" customFormat="false" ht="23.85" hidden="false" customHeight="false" outlineLevel="0" collapsed="false">
      <c r="A103" s="15" t="n">
        <v>0</v>
      </c>
      <c r="B103" s="15" t="s">
        <v>8</v>
      </c>
      <c r="C103" s="15" t="s">
        <v>92</v>
      </c>
      <c r="D103" s="16" t="s">
        <v>84</v>
      </c>
      <c r="E103" s="16" t="s">
        <v>79</v>
      </c>
      <c r="F103" s="16"/>
      <c r="G103" s="1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8"/>
      <c r="U103" s="18"/>
      <c r="V103" s="18"/>
      <c r="W103" s="19"/>
      <c r="X103" s="19"/>
      <c r="Y103" s="19"/>
      <c r="Z103" s="20"/>
      <c r="AA103" s="20"/>
      <c r="AB103" s="20"/>
      <c r="AC103" s="19"/>
      <c r="AD103" s="19"/>
      <c r="AE103" s="19"/>
      <c r="AF103" s="20"/>
      <c r="AG103" s="20"/>
      <c r="AH103" s="20"/>
      <c r="AI103" s="19"/>
      <c r="AJ103" s="19"/>
      <c r="AK103" s="19"/>
      <c r="AL103" s="20"/>
      <c r="AM103" s="20"/>
      <c r="AN103" s="20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5"/>
      <c r="BA103" s="15"/>
    </row>
    <row r="104" customFormat="false" ht="12.8" hidden="false" customHeight="false" outlineLevel="0" collapsed="false">
      <c r="A104" s="15" t="n">
        <v>0</v>
      </c>
      <c r="B104" s="15" t="s">
        <v>8</v>
      </c>
      <c r="C104" s="15" t="s">
        <v>92</v>
      </c>
      <c r="D104" s="16" t="s">
        <v>85</v>
      </c>
      <c r="E104" s="16" t="s">
        <v>78</v>
      </c>
      <c r="F104" s="16"/>
      <c r="G104" s="1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8"/>
      <c r="U104" s="18"/>
      <c r="V104" s="18"/>
      <c r="W104" s="19"/>
      <c r="X104" s="19"/>
      <c r="Y104" s="19"/>
      <c r="Z104" s="20"/>
      <c r="AA104" s="20"/>
      <c r="AB104" s="20"/>
      <c r="AC104" s="19"/>
      <c r="AD104" s="19"/>
      <c r="AE104" s="19"/>
      <c r="AF104" s="20"/>
      <c r="AG104" s="20"/>
      <c r="AH104" s="20"/>
      <c r="AI104" s="19"/>
      <c r="AJ104" s="19"/>
      <c r="AK104" s="19"/>
      <c r="AL104" s="20"/>
      <c r="AM104" s="20"/>
      <c r="AN104" s="20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5"/>
      <c r="BA104" s="15"/>
    </row>
    <row r="105" customFormat="false" ht="12.8" hidden="false" customHeight="false" outlineLevel="0" collapsed="false">
      <c r="A105" s="15" t="n">
        <v>0</v>
      </c>
      <c r="B105" s="15" t="s">
        <v>8</v>
      </c>
      <c r="C105" s="15" t="s">
        <v>92</v>
      </c>
      <c r="D105" s="16" t="s">
        <v>85</v>
      </c>
      <c r="E105" s="16" t="s">
        <v>79</v>
      </c>
      <c r="F105" s="16"/>
      <c r="G105" s="1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8"/>
      <c r="U105" s="18"/>
      <c r="V105" s="18"/>
      <c r="W105" s="19"/>
      <c r="X105" s="19"/>
      <c r="Y105" s="19"/>
      <c r="Z105" s="20"/>
      <c r="AA105" s="20"/>
      <c r="AB105" s="20"/>
      <c r="AC105" s="19"/>
      <c r="AD105" s="19"/>
      <c r="AE105" s="19"/>
      <c r="AF105" s="20"/>
      <c r="AG105" s="20"/>
      <c r="AH105" s="20"/>
      <c r="AI105" s="19"/>
      <c r="AJ105" s="19"/>
      <c r="AK105" s="19"/>
      <c r="AL105" s="20"/>
      <c r="AM105" s="20"/>
      <c r="AN105" s="20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5"/>
      <c r="BA105" s="15"/>
    </row>
    <row r="106" customFormat="false" ht="23.85" hidden="false" customHeight="false" outlineLevel="0" collapsed="false">
      <c r="A106" s="15" t="n">
        <v>0</v>
      </c>
      <c r="B106" s="15" t="s">
        <v>8</v>
      </c>
      <c r="C106" s="15" t="s">
        <v>92</v>
      </c>
      <c r="D106" s="16" t="s">
        <v>86</v>
      </c>
      <c r="E106" s="16" t="s">
        <v>78</v>
      </c>
      <c r="F106" s="16"/>
      <c r="G106" s="1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8"/>
      <c r="U106" s="18"/>
      <c r="V106" s="18"/>
      <c r="W106" s="19"/>
      <c r="X106" s="19"/>
      <c r="Y106" s="19"/>
      <c r="Z106" s="20"/>
      <c r="AA106" s="20"/>
      <c r="AB106" s="20"/>
      <c r="AC106" s="19"/>
      <c r="AD106" s="19"/>
      <c r="AE106" s="19"/>
      <c r="AF106" s="20"/>
      <c r="AG106" s="20"/>
      <c r="AH106" s="20"/>
      <c r="AI106" s="19"/>
      <c r="AJ106" s="19"/>
      <c r="AK106" s="19"/>
      <c r="AL106" s="20"/>
      <c r="AM106" s="20"/>
      <c r="AN106" s="20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5"/>
      <c r="BA106" s="15"/>
    </row>
    <row r="107" customFormat="false" ht="23.85" hidden="false" customHeight="false" outlineLevel="0" collapsed="false">
      <c r="A107" s="15" t="n">
        <v>0</v>
      </c>
      <c r="B107" s="15" t="s">
        <v>8</v>
      </c>
      <c r="C107" s="15" t="s">
        <v>92</v>
      </c>
      <c r="D107" s="16" t="s">
        <v>86</v>
      </c>
      <c r="E107" s="16" t="s">
        <v>79</v>
      </c>
      <c r="F107" s="16"/>
      <c r="G107" s="1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8"/>
      <c r="U107" s="18"/>
      <c r="V107" s="18"/>
      <c r="W107" s="19"/>
      <c r="X107" s="19"/>
      <c r="Y107" s="19"/>
      <c r="Z107" s="20"/>
      <c r="AA107" s="20"/>
      <c r="AB107" s="20"/>
      <c r="AC107" s="19"/>
      <c r="AD107" s="19"/>
      <c r="AE107" s="19"/>
      <c r="AF107" s="20"/>
      <c r="AG107" s="20"/>
      <c r="AH107" s="20"/>
      <c r="AI107" s="19"/>
      <c r="AJ107" s="19"/>
      <c r="AK107" s="19"/>
      <c r="AL107" s="20"/>
      <c r="AM107" s="20"/>
      <c r="AN107" s="20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5"/>
      <c r="BA107" s="15"/>
    </row>
    <row r="108" customFormat="false" ht="12.8" hidden="false" customHeight="false" outlineLevel="0" collapsed="false">
      <c r="A108" s="15" t="n">
        <v>0</v>
      </c>
      <c r="B108" s="15" t="s">
        <v>8</v>
      </c>
      <c r="C108" s="15" t="s">
        <v>92</v>
      </c>
      <c r="D108" s="16" t="s">
        <v>87</v>
      </c>
      <c r="E108" s="16" t="s">
        <v>78</v>
      </c>
      <c r="F108" s="16"/>
      <c r="G108" s="1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8"/>
      <c r="U108" s="18"/>
      <c r="V108" s="18"/>
      <c r="W108" s="19"/>
      <c r="X108" s="19"/>
      <c r="Y108" s="19"/>
      <c r="Z108" s="20"/>
      <c r="AA108" s="20"/>
      <c r="AB108" s="20"/>
      <c r="AC108" s="19"/>
      <c r="AD108" s="19"/>
      <c r="AE108" s="19"/>
      <c r="AF108" s="20"/>
      <c r="AG108" s="20"/>
      <c r="AH108" s="20"/>
      <c r="AI108" s="19"/>
      <c r="AJ108" s="19"/>
      <c r="AK108" s="19"/>
      <c r="AL108" s="20"/>
      <c r="AM108" s="20"/>
      <c r="AN108" s="20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5"/>
      <c r="BA108" s="15"/>
    </row>
    <row r="109" customFormat="false" ht="12.8" hidden="false" customHeight="false" outlineLevel="0" collapsed="false">
      <c r="A109" s="15" t="n">
        <v>0</v>
      </c>
      <c r="B109" s="15" t="s">
        <v>8</v>
      </c>
      <c r="C109" s="15" t="s">
        <v>92</v>
      </c>
      <c r="D109" s="16" t="s">
        <v>87</v>
      </c>
      <c r="E109" s="16" t="s">
        <v>79</v>
      </c>
      <c r="F109" s="16"/>
      <c r="G109" s="1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8"/>
      <c r="U109" s="18"/>
      <c r="V109" s="18"/>
      <c r="W109" s="19"/>
      <c r="X109" s="19"/>
      <c r="Y109" s="19"/>
      <c r="Z109" s="20"/>
      <c r="AA109" s="20"/>
      <c r="AB109" s="20"/>
      <c r="AC109" s="19"/>
      <c r="AD109" s="19"/>
      <c r="AE109" s="19"/>
      <c r="AF109" s="20"/>
      <c r="AG109" s="20"/>
      <c r="AH109" s="20"/>
      <c r="AI109" s="19"/>
      <c r="AJ109" s="19"/>
      <c r="AK109" s="19"/>
      <c r="AL109" s="20"/>
      <c r="AM109" s="20"/>
      <c r="AN109" s="20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5"/>
      <c r="BA109" s="15"/>
    </row>
    <row r="110" customFormat="false" ht="12.8" hidden="false" customHeight="false" outlineLevel="0" collapsed="false">
      <c r="A110" s="15" t="n">
        <v>0</v>
      </c>
      <c r="B110" s="15" t="s">
        <v>8</v>
      </c>
      <c r="C110" s="15" t="s">
        <v>92</v>
      </c>
      <c r="D110" s="16" t="s">
        <v>88</v>
      </c>
      <c r="E110" s="16" t="s">
        <v>78</v>
      </c>
      <c r="F110" s="16"/>
      <c r="G110" s="1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8"/>
      <c r="U110" s="18"/>
      <c r="V110" s="18"/>
      <c r="W110" s="19"/>
      <c r="X110" s="19"/>
      <c r="Y110" s="19"/>
      <c r="Z110" s="20"/>
      <c r="AA110" s="20"/>
      <c r="AB110" s="20"/>
      <c r="AC110" s="19"/>
      <c r="AD110" s="19"/>
      <c r="AE110" s="19"/>
      <c r="AF110" s="20"/>
      <c r="AG110" s="20"/>
      <c r="AH110" s="20"/>
      <c r="AI110" s="19"/>
      <c r="AJ110" s="19"/>
      <c r="AK110" s="19"/>
      <c r="AL110" s="20"/>
      <c r="AM110" s="20"/>
      <c r="AN110" s="20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5"/>
      <c r="BA110" s="15"/>
    </row>
    <row r="111" customFormat="false" ht="12.8" hidden="false" customHeight="false" outlineLevel="0" collapsed="false">
      <c r="A111" s="15" t="n">
        <v>0</v>
      </c>
      <c r="B111" s="15" t="s">
        <v>8</v>
      </c>
      <c r="C111" s="15" t="s">
        <v>92</v>
      </c>
      <c r="D111" s="16" t="s">
        <v>88</v>
      </c>
      <c r="E111" s="16" t="s">
        <v>79</v>
      </c>
      <c r="F111" s="16"/>
      <c r="G111" s="1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8"/>
      <c r="U111" s="18"/>
      <c r="V111" s="18"/>
      <c r="W111" s="19"/>
      <c r="X111" s="19"/>
      <c r="Y111" s="19"/>
      <c r="Z111" s="20"/>
      <c r="AA111" s="20"/>
      <c r="AB111" s="20"/>
      <c r="AC111" s="19"/>
      <c r="AD111" s="19"/>
      <c r="AE111" s="19"/>
      <c r="AF111" s="20"/>
      <c r="AG111" s="20"/>
      <c r="AH111" s="20"/>
      <c r="AI111" s="19"/>
      <c r="AJ111" s="19"/>
      <c r="AK111" s="19"/>
      <c r="AL111" s="20"/>
      <c r="AM111" s="20"/>
      <c r="AN111" s="20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5"/>
      <c r="BA111" s="15"/>
    </row>
    <row r="112" customFormat="false" ht="12.8" hidden="false" customHeight="false" outlineLevel="0" collapsed="false">
      <c r="A112" s="15"/>
      <c r="B112" s="15"/>
      <c r="C112" s="15"/>
      <c r="D112" s="16"/>
      <c r="E112" s="16"/>
      <c r="F112" s="16"/>
      <c r="G112" s="1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8"/>
      <c r="U112" s="18"/>
      <c r="V112" s="18"/>
      <c r="W112" s="19"/>
      <c r="X112" s="19"/>
      <c r="Y112" s="19"/>
      <c r="Z112" s="20"/>
      <c r="AA112" s="20"/>
      <c r="AB112" s="20"/>
      <c r="AC112" s="19"/>
      <c r="AD112" s="19"/>
      <c r="AE112" s="19"/>
      <c r="AF112" s="20"/>
      <c r="AG112" s="20"/>
      <c r="AH112" s="20"/>
      <c r="AI112" s="19"/>
      <c r="AJ112" s="19"/>
      <c r="AK112" s="19"/>
      <c r="AL112" s="20"/>
      <c r="AM112" s="20"/>
      <c r="AN112" s="20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5"/>
      <c r="BA112" s="15"/>
    </row>
    <row r="113" customFormat="false" ht="12.8" hidden="false" customHeight="false" outlineLevel="0" collapsed="false">
      <c r="A113" s="15" t="n">
        <v>0</v>
      </c>
      <c r="B113" s="15" t="s">
        <v>8</v>
      </c>
      <c r="C113" s="15" t="s">
        <v>93</v>
      </c>
      <c r="D113" s="16" t="s">
        <v>75</v>
      </c>
      <c r="E113" s="16" t="s">
        <v>76</v>
      </c>
      <c r="F113" s="16"/>
      <c r="G113" s="1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8"/>
      <c r="U113" s="18"/>
      <c r="V113" s="18"/>
      <c r="W113" s="19"/>
      <c r="X113" s="19"/>
      <c r="Y113" s="19"/>
      <c r="Z113" s="20"/>
      <c r="AA113" s="20"/>
      <c r="AB113" s="20"/>
      <c r="AC113" s="19"/>
      <c r="AD113" s="19"/>
      <c r="AE113" s="19"/>
      <c r="AF113" s="20"/>
      <c r="AG113" s="20"/>
      <c r="AH113" s="20"/>
      <c r="AI113" s="19"/>
      <c r="AJ113" s="19"/>
      <c r="AK113" s="19"/>
      <c r="AL113" s="20"/>
      <c r="AM113" s="20"/>
      <c r="AN113" s="20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5"/>
      <c r="BA113" s="15"/>
    </row>
    <row r="114" customFormat="false" ht="12.8" hidden="false" customHeight="false" outlineLevel="0" collapsed="false">
      <c r="A114" s="15" t="n">
        <v>0</v>
      </c>
      <c r="B114" s="15" t="s">
        <v>8</v>
      </c>
      <c r="C114" s="15" t="s">
        <v>93</v>
      </c>
      <c r="D114" s="16" t="s">
        <v>77</v>
      </c>
      <c r="E114" s="16" t="s">
        <v>78</v>
      </c>
      <c r="F114" s="16"/>
      <c r="G114" s="1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8"/>
      <c r="U114" s="18"/>
      <c r="V114" s="18"/>
      <c r="W114" s="19"/>
      <c r="X114" s="19"/>
      <c r="Y114" s="19"/>
      <c r="Z114" s="20"/>
      <c r="AA114" s="20"/>
      <c r="AB114" s="20"/>
      <c r="AC114" s="19"/>
      <c r="AD114" s="19"/>
      <c r="AE114" s="19"/>
      <c r="AF114" s="20"/>
      <c r="AG114" s="20"/>
      <c r="AH114" s="20"/>
      <c r="AI114" s="19"/>
      <c r="AJ114" s="19"/>
      <c r="AK114" s="19"/>
      <c r="AL114" s="20"/>
      <c r="AM114" s="20"/>
      <c r="AN114" s="20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5"/>
      <c r="BA114" s="15"/>
    </row>
    <row r="115" customFormat="false" ht="12.8" hidden="false" customHeight="false" outlineLevel="0" collapsed="false">
      <c r="A115" s="15" t="n">
        <v>0</v>
      </c>
      <c r="B115" s="15" t="s">
        <v>8</v>
      </c>
      <c r="C115" s="15" t="s">
        <v>93</v>
      </c>
      <c r="D115" s="16" t="s">
        <v>77</v>
      </c>
      <c r="E115" s="16" t="s">
        <v>79</v>
      </c>
      <c r="F115" s="16"/>
      <c r="G115" s="1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8"/>
      <c r="U115" s="18"/>
      <c r="V115" s="18"/>
      <c r="W115" s="19"/>
      <c r="X115" s="19"/>
      <c r="Y115" s="19"/>
      <c r="Z115" s="20"/>
      <c r="AA115" s="20"/>
      <c r="AB115" s="20"/>
      <c r="AC115" s="19"/>
      <c r="AD115" s="19"/>
      <c r="AE115" s="19"/>
      <c r="AF115" s="20"/>
      <c r="AG115" s="20"/>
      <c r="AH115" s="20"/>
      <c r="AI115" s="19"/>
      <c r="AJ115" s="19"/>
      <c r="AK115" s="19"/>
      <c r="AL115" s="20"/>
      <c r="AM115" s="20"/>
      <c r="AN115" s="20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5"/>
      <c r="BA115" s="15"/>
    </row>
    <row r="116" customFormat="false" ht="12.8" hidden="false" customHeight="false" outlineLevel="0" collapsed="false">
      <c r="A116" s="15" t="n">
        <v>0</v>
      </c>
      <c r="B116" s="15" t="s">
        <v>8</v>
      </c>
      <c r="C116" s="15" t="s">
        <v>93</v>
      </c>
      <c r="D116" s="16" t="s">
        <v>80</v>
      </c>
      <c r="E116" s="16" t="s">
        <v>78</v>
      </c>
      <c r="F116" s="16"/>
      <c r="G116" s="1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8"/>
      <c r="U116" s="18"/>
      <c r="V116" s="18"/>
      <c r="W116" s="19"/>
      <c r="X116" s="19"/>
      <c r="Y116" s="19"/>
      <c r="Z116" s="20"/>
      <c r="AA116" s="20"/>
      <c r="AB116" s="20"/>
      <c r="AC116" s="19"/>
      <c r="AD116" s="19"/>
      <c r="AE116" s="19"/>
      <c r="AF116" s="20"/>
      <c r="AG116" s="20"/>
      <c r="AH116" s="20"/>
      <c r="AI116" s="19"/>
      <c r="AJ116" s="19"/>
      <c r="AK116" s="19"/>
      <c r="AL116" s="20"/>
      <c r="AM116" s="20"/>
      <c r="AN116" s="20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5"/>
      <c r="BA116" s="15"/>
    </row>
    <row r="117" customFormat="false" ht="12.8" hidden="false" customHeight="false" outlineLevel="0" collapsed="false">
      <c r="A117" s="15" t="n">
        <v>0</v>
      </c>
      <c r="B117" s="15" t="s">
        <v>8</v>
      </c>
      <c r="C117" s="15" t="s">
        <v>93</v>
      </c>
      <c r="D117" s="16" t="s">
        <v>80</v>
      </c>
      <c r="E117" s="16" t="s">
        <v>79</v>
      </c>
      <c r="F117" s="16"/>
      <c r="G117" s="1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8"/>
      <c r="U117" s="18"/>
      <c r="V117" s="18"/>
      <c r="W117" s="19"/>
      <c r="X117" s="19"/>
      <c r="Y117" s="19"/>
      <c r="Z117" s="20"/>
      <c r="AA117" s="20"/>
      <c r="AB117" s="20"/>
      <c r="AC117" s="19"/>
      <c r="AD117" s="19"/>
      <c r="AE117" s="19"/>
      <c r="AF117" s="20"/>
      <c r="AG117" s="20"/>
      <c r="AH117" s="20"/>
      <c r="AI117" s="19"/>
      <c r="AJ117" s="19"/>
      <c r="AK117" s="19"/>
      <c r="AL117" s="20"/>
      <c r="AM117" s="20"/>
      <c r="AN117" s="20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5"/>
      <c r="BA117" s="15"/>
    </row>
    <row r="118" customFormat="false" ht="12.8" hidden="false" customHeight="false" outlineLevel="0" collapsed="false">
      <c r="A118" s="15" t="n">
        <v>0</v>
      </c>
      <c r="B118" s="15" t="s">
        <v>8</v>
      </c>
      <c r="C118" s="15" t="s">
        <v>93</v>
      </c>
      <c r="D118" s="16" t="s">
        <v>81</v>
      </c>
      <c r="E118" s="16" t="s">
        <v>78</v>
      </c>
      <c r="F118" s="16"/>
      <c r="G118" s="1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8"/>
      <c r="U118" s="18"/>
      <c r="V118" s="18"/>
      <c r="W118" s="19"/>
      <c r="X118" s="19"/>
      <c r="Y118" s="19"/>
      <c r="Z118" s="20"/>
      <c r="AA118" s="20"/>
      <c r="AB118" s="20"/>
      <c r="AC118" s="19"/>
      <c r="AD118" s="19"/>
      <c r="AE118" s="19"/>
      <c r="AF118" s="20"/>
      <c r="AG118" s="20"/>
      <c r="AH118" s="20"/>
      <c r="AI118" s="19"/>
      <c r="AJ118" s="19"/>
      <c r="AK118" s="19"/>
      <c r="AL118" s="20"/>
      <c r="AM118" s="20"/>
      <c r="AN118" s="20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5"/>
      <c r="BA118" s="15"/>
    </row>
    <row r="119" customFormat="false" ht="12.8" hidden="false" customHeight="false" outlineLevel="0" collapsed="false">
      <c r="A119" s="15" t="n">
        <v>0</v>
      </c>
      <c r="B119" s="15" t="s">
        <v>8</v>
      </c>
      <c r="C119" s="15" t="s">
        <v>93</v>
      </c>
      <c r="D119" s="16" t="s">
        <v>81</v>
      </c>
      <c r="E119" s="16" t="s">
        <v>79</v>
      </c>
      <c r="F119" s="16"/>
      <c r="G119" s="1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8"/>
      <c r="U119" s="18"/>
      <c r="V119" s="18"/>
      <c r="W119" s="19"/>
      <c r="X119" s="19"/>
      <c r="Y119" s="19"/>
      <c r="Z119" s="20"/>
      <c r="AA119" s="20"/>
      <c r="AB119" s="20"/>
      <c r="AC119" s="19"/>
      <c r="AD119" s="19"/>
      <c r="AE119" s="19"/>
      <c r="AF119" s="20"/>
      <c r="AG119" s="20"/>
      <c r="AH119" s="20"/>
      <c r="AI119" s="19"/>
      <c r="AJ119" s="19"/>
      <c r="AK119" s="19"/>
      <c r="AL119" s="20"/>
      <c r="AM119" s="20"/>
      <c r="AN119" s="20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5"/>
      <c r="BA119" s="15"/>
    </row>
    <row r="120" customFormat="false" ht="12.8" hidden="false" customHeight="false" outlineLevel="0" collapsed="false">
      <c r="A120" s="15" t="n">
        <v>0</v>
      </c>
      <c r="B120" s="15" t="s">
        <v>8</v>
      </c>
      <c r="C120" s="15" t="s">
        <v>93</v>
      </c>
      <c r="D120" s="16" t="s">
        <v>82</v>
      </c>
      <c r="E120" s="16" t="s">
        <v>78</v>
      </c>
      <c r="F120" s="16"/>
      <c r="G120" s="1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8"/>
      <c r="U120" s="18"/>
      <c r="V120" s="18"/>
      <c r="W120" s="19"/>
      <c r="X120" s="19"/>
      <c r="Y120" s="19"/>
      <c r="Z120" s="20"/>
      <c r="AA120" s="20"/>
      <c r="AB120" s="20"/>
      <c r="AC120" s="19"/>
      <c r="AD120" s="19"/>
      <c r="AE120" s="19"/>
      <c r="AF120" s="20"/>
      <c r="AG120" s="20"/>
      <c r="AH120" s="20"/>
      <c r="AI120" s="19"/>
      <c r="AJ120" s="19"/>
      <c r="AK120" s="19"/>
      <c r="AL120" s="20"/>
      <c r="AM120" s="20"/>
      <c r="AN120" s="20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5"/>
      <c r="BA120" s="15"/>
    </row>
    <row r="121" customFormat="false" ht="12.8" hidden="false" customHeight="false" outlineLevel="0" collapsed="false">
      <c r="A121" s="15" t="n">
        <v>0</v>
      </c>
      <c r="B121" s="15" t="s">
        <v>8</v>
      </c>
      <c r="C121" s="15" t="s">
        <v>93</v>
      </c>
      <c r="D121" s="16" t="s">
        <v>82</v>
      </c>
      <c r="E121" s="16" t="s">
        <v>79</v>
      </c>
      <c r="F121" s="16"/>
      <c r="G121" s="1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8"/>
      <c r="U121" s="18"/>
      <c r="V121" s="18"/>
      <c r="W121" s="19"/>
      <c r="X121" s="19"/>
      <c r="Y121" s="19"/>
      <c r="Z121" s="20"/>
      <c r="AA121" s="20"/>
      <c r="AB121" s="20"/>
      <c r="AC121" s="19"/>
      <c r="AD121" s="19"/>
      <c r="AE121" s="19"/>
      <c r="AF121" s="20"/>
      <c r="AG121" s="20"/>
      <c r="AH121" s="20"/>
      <c r="AI121" s="19"/>
      <c r="AJ121" s="19"/>
      <c r="AK121" s="19"/>
      <c r="AL121" s="20"/>
      <c r="AM121" s="20"/>
      <c r="AN121" s="20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5"/>
      <c r="BA121" s="15"/>
    </row>
    <row r="122" customFormat="false" ht="12.8" hidden="false" customHeight="false" outlineLevel="0" collapsed="false">
      <c r="A122" s="15" t="n">
        <v>0</v>
      </c>
      <c r="B122" s="15" t="s">
        <v>8</v>
      </c>
      <c r="C122" s="15" t="s">
        <v>93</v>
      </c>
      <c r="D122" s="16" t="s">
        <v>83</v>
      </c>
      <c r="E122" s="16" t="s">
        <v>78</v>
      </c>
      <c r="F122" s="16"/>
      <c r="G122" s="1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8"/>
      <c r="U122" s="18"/>
      <c r="V122" s="18"/>
      <c r="W122" s="19"/>
      <c r="X122" s="19"/>
      <c r="Y122" s="19"/>
      <c r="Z122" s="20"/>
      <c r="AA122" s="20"/>
      <c r="AB122" s="20"/>
      <c r="AC122" s="19"/>
      <c r="AD122" s="19"/>
      <c r="AE122" s="19"/>
      <c r="AF122" s="20"/>
      <c r="AG122" s="20"/>
      <c r="AH122" s="20"/>
      <c r="AI122" s="19"/>
      <c r="AJ122" s="19"/>
      <c r="AK122" s="19"/>
      <c r="AL122" s="20"/>
      <c r="AM122" s="20"/>
      <c r="AN122" s="20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5"/>
      <c r="BA122" s="15"/>
    </row>
    <row r="123" customFormat="false" ht="12.8" hidden="false" customHeight="false" outlineLevel="0" collapsed="false">
      <c r="A123" s="15" t="n">
        <v>0</v>
      </c>
      <c r="B123" s="15" t="s">
        <v>8</v>
      </c>
      <c r="C123" s="15" t="s">
        <v>93</v>
      </c>
      <c r="D123" s="16" t="s">
        <v>83</v>
      </c>
      <c r="E123" s="16" t="s">
        <v>79</v>
      </c>
      <c r="F123" s="16"/>
      <c r="G123" s="1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8"/>
      <c r="U123" s="18"/>
      <c r="V123" s="18"/>
      <c r="W123" s="19"/>
      <c r="X123" s="19"/>
      <c r="Y123" s="19"/>
      <c r="Z123" s="20"/>
      <c r="AA123" s="20"/>
      <c r="AB123" s="20"/>
      <c r="AC123" s="19"/>
      <c r="AD123" s="19"/>
      <c r="AE123" s="19"/>
      <c r="AF123" s="20"/>
      <c r="AG123" s="20"/>
      <c r="AH123" s="20"/>
      <c r="AI123" s="19"/>
      <c r="AJ123" s="19"/>
      <c r="AK123" s="19"/>
      <c r="AL123" s="20"/>
      <c r="AM123" s="20"/>
      <c r="AN123" s="20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5"/>
      <c r="BA123" s="15"/>
    </row>
    <row r="124" customFormat="false" ht="23.85" hidden="false" customHeight="false" outlineLevel="0" collapsed="false">
      <c r="A124" s="15" t="n">
        <v>0</v>
      </c>
      <c r="B124" s="15" t="s">
        <v>8</v>
      </c>
      <c r="C124" s="15" t="s">
        <v>93</v>
      </c>
      <c r="D124" s="16" t="s">
        <v>84</v>
      </c>
      <c r="E124" s="16" t="s">
        <v>78</v>
      </c>
      <c r="F124" s="16"/>
      <c r="G124" s="1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8"/>
      <c r="U124" s="18"/>
      <c r="V124" s="18"/>
      <c r="W124" s="19"/>
      <c r="X124" s="19"/>
      <c r="Y124" s="19"/>
      <c r="Z124" s="20"/>
      <c r="AA124" s="20"/>
      <c r="AB124" s="20"/>
      <c r="AC124" s="19"/>
      <c r="AD124" s="19"/>
      <c r="AE124" s="19"/>
      <c r="AF124" s="20"/>
      <c r="AG124" s="20"/>
      <c r="AH124" s="20"/>
      <c r="AI124" s="19"/>
      <c r="AJ124" s="19"/>
      <c r="AK124" s="19"/>
      <c r="AL124" s="20"/>
      <c r="AM124" s="20"/>
      <c r="AN124" s="20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5"/>
      <c r="BA124" s="15"/>
    </row>
    <row r="125" customFormat="false" ht="23.85" hidden="false" customHeight="false" outlineLevel="0" collapsed="false">
      <c r="A125" s="15" t="n">
        <v>0</v>
      </c>
      <c r="B125" s="15" t="s">
        <v>8</v>
      </c>
      <c r="C125" s="15" t="s">
        <v>93</v>
      </c>
      <c r="D125" s="16" t="s">
        <v>84</v>
      </c>
      <c r="E125" s="16" t="s">
        <v>79</v>
      </c>
      <c r="F125" s="16"/>
      <c r="G125" s="1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8"/>
      <c r="U125" s="18"/>
      <c r="V125" s="18"/>
      <c r="W125" s="19"/>
      <c r="X125" s="19"/>
      <c r="Y125" s="19"/>
      <c r="Z125" s="20"/>
      <c r="AA125" s="20"/>
      <c r="AB125" s="20"/>
      <c r="AC125" s="19"/>
      <c r="AD125" s="19"/>
      <c r="AE125" s="19"/>
      <c r="AF125" s="20"/>
      <c r="AG125" s="20"/>
      <c r="AH125" s="20"/>
      <c r="AI125" s="19"/>
      <c r="AJ125" s="19"/>
      <c r="AK125" s="19"/>
      <c r="AL125" s="20"/>
      <c r="AM125" s="20"/>
      <c r="AN125" s="20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5"/>
      <c r="BA125" s="15"/>
    </row>
    <row r="126" customFormat="false" ht="12.8" hidden="false" customHeight="false" outlineLevel="0" collapsed="false">
      <c r="A126" s="15" t="n">
        <v>0</v>
      </c>
      <c r="B126" s="15" t="s">
        <v>8</v>
      </c>
      <c r="C126" s="15" t="s">
        <v>93</v>
      </c>
      <c r="D126" s="16" t="s">
        <v>85</v>
      </c>
      <c r="E126" s="16" t="s">
        <v>78</v>
      </c>
      <c r="F126" s="16"/>
      <c r="G126" s="1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8"/>
      <c r="U126" s="18"/>
      <c r="V126" s="18"/>
      <c r="W126" s="19"/>
      <c r="X126" s="19"/>
      <c r="Y126" s="19"/>
      <c r="Z126" s="20"/>
      <c r="AA126" s="20"/>
      <c r="AB126" s="20"/>
      <c r="AC126" s="19"/>
      <c r="AD126" s="19"/>
      <c r="AE126" s="19"/>
      <c r="AF126" s="20"/>
      <c r="AG126" s="20"/>
      <c r="AH126" s="20"/>
      <c r="AI126" s="19"/>
      <c r="AJ126" s="19"/>
      <c r="AK126" s="19"/>
      <c r="AL126" s="20"/>
      <c r="AM126" s="20"/>
      <c r="AN126" s="20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5"/>
      <c r="BA126" s="15"/>
    </row>
    <row r="127" customFormat="false" ht="12.8" hidden="false" customHeight="false" outlineLevel="0" collapsed="false">
      <c r="A127" s="15" t="n">
        <v>0</v>
      </c>
      <c r="B127" s="15" t="s">
        <v>8</v>
      </c>
      <c r="C127" s="15" t="s">
        <v>93</v>
      </c>
      <c r="D127" s="16" t="s">
        <v>85</v>
      </c>
      <c r="E127" s="16" t="s">
        <v>79</v>
      </c>
      <c r="F127" s="16"/>
      <c r="G127" s="1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8"/>
      <c r="U127" s="18"/>
      <c r="V127" s="18"/>
      <c r="W127" s="19"/>
      <c r="X127" s="19"/>
      <c r="Y127" s="19"/>
      <c r="Z127" s="20"/>
      <c r="AA127" s="20"/>
      <c r="AB127" s="20"/>
      <c r="AC127" s="19"/>
      <c r="AD127" s="19"/>
      <c r="AE127" s="19"/>
      <c r="AF127" s="20"/>
      <c r="AG127" s="20"/>
      <c r="AH127" s="20"/>
      <c r="AI127" s="19"/>
      <c r="AJ127" s="19"/>
      <c r="AK127" s="19"/>
      <c r="AL127" s="20"/>
      <c r="AM127" s="20"/>
      <c r="AN127" s="20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5"/>
      <c r="BA127" s="15"/>
    </row>
    <row r="128" customFormat="false" ht="23.85" hidden="false" customHeight="false" outlineLevel="0" collapsed="false">
      <c r="A128" s="15" t="n">
        <v>0</v>
      </c>
      <c r="B128" s="15" t="s">
        <v>8</v>
      </c>
      <c r="C128" s="15" t="s">
        <v>93</v>
      </c>
      <c r="D128" s="16" t="s">
        <v>86</v>
      </c>
      <c r="E128" s="16" t="s">
        <v>78</v>
      </c>
      <c r="F128" s="16"/>
      <c r="G128" s="1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8"/>
      <c r="U128" s="18"/>
      <c r="V128" s="18"/>
      <c r="W128" s="19"/>
      <c r="X128" s="19"/>
      <c r="Y128" s="19"/>
      <c r="Z128" s="20"/>
      <c r="AA128" s="20"/>
      <c r="AB128" s="20"/>
      <c r="AC128" s="19"/>
      <c r="AD128" s="19"/>
      <c r="AE128" s="19"/>
      <c r="AF128" s="20"/>
      <c r="AG128" s="20"/>
      <c r="AH128" s="20"/>
      <c r="AI128" s="19"/>
      <c r="AJ128" s="19"/>
      <c r="AK128" s="19"/>
      <c r="AL128" s="20"/>
      <c r="AM128" s="20"/>
      <c r="AN128" s="20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5"/>
      <c r="BA128" s="15"/>
    </row>
    <row r="129" customFormat="false" ht="23.85" hidden="false" customHeight="false" outlineLevel="0" collapsed="false">
      <c r="A129" s="15" t="n">
        <v>0</v>
      </c>
      <c r="B129" s="15" t="s">
        <v>8</v>
      </c>
      <c r="C129" s="15" t="s">
        <v>93</v>
      </c>
      <c r="D129" s="16" t="s">
        <v>86</v>
      </c>
      <c r="E129" s="16" t="s">
        <v>79</v>
      </c>
      <c r="F129" s="16"/>
      <c r="G129" s="1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8"/>
      <c r="U129" s="18"/>
      <c r="V129" s="18"/>
      <c r="W129" s="19"/>
      <c r="X129" s="19"/>
      <c r="Y129" s="19"/>
      <c r="Z129" s="20"/>
      <c r="AA129" s="20"/>
      <c r="AB129" s="20"/>
      <c r="AC129" s="19"/>
      <c r="AD129" s="19"/>
      <c r="AE129" s="19"/>
      <c r="AF129" s="20"/>
      <c r="AG129" s="20"/>
      <c r="AH129" s="20"/>
      <c r="AI129" s="19"/>
      <c r="AJ129" s="19"/>
      <c r="AK129" s="19"/>
      <c r="AL129" s="20"/>
      <c r="AM129" s="20"/>
      <c r="AN129" s="20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5"/>
      <c r="BA129" s="15"/>
    </row>
    <row r="130" customFormat="false" ht="12.8" hidden="false" customHeight="false" outlineLevel="0" collapsed="false">
      <c r="A130" s="15" t="n">
        <v>0</v>
      </c>
      <c r="B130" s="15" t="s">
        <v>8</v>
      </c>
      <c r="C130" s="15" t="s">
        <v>93</v>
      </c>
      <c r="D130" s="16" t="s">
        <v>87</v>
      </c>
      <c r="E130" s="16" t="s">
        <v>78</v>
      </c>
      <c r="F130" s="16"/>
      <c r="G130" s="1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8"/>
      <c r="U130" s="18"/>
      <c r="V130" s="18"/>
      <c r="W130" s="19"/>
      <c r="X130" s="19"/>
      <c r="Y130" s="19"/>
      <c r="Z130" s="20"/>
      <c r="AA130" s="20"/>
      <c r="AB130" s="20"/>
      <c r="AC130" s="19"/>
      <c r="AD130" s="19"/>
      <c r="AE130" s="19"/>
      <c r="AF130" s="20"/>
      <c r="AG130" s="20"/>
      <c r="AH130" s="20"/>
      <c r="AI130" s="19"/>
      <c r="AJ130" s="19"/>
      <c r="AK130" s="19"/>
      <c r="AL130" s="20"/>
      <c r="AM130" s="20"/>
      <c r="AN130" s="20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5"/>
      <c r="BA130" s="15"/>
    </row>
    <row r="131" customFormat="false" ht="12.8" hidden="false" customHeight="false" outlineLevel="0" collapsed="false">
      <c r="A131" s="15" t="n">
        <v>0</v>
      </c>
      <c r="B131" s="15" t="s">
        <v>8</v>
      </c>
      <c r="C131" s="15" t="s">
        <v>93</v>
      </c>
      <c r="D131" s="16" t="s">
        <v>87</v>
      </c>
      <c r="E131" s="16" t="s">
        <v>79</v>
      </c>
      <c r="F131" s="16"/>
      <c r="G131" s="1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8"/>
      <c r="U131" s="18"/>
      <c r="V131" s="18"/>
      <c r="W131" s="19"/>
      <c r="X131" s="19"/>
      <c r="Y131" s="19"/>
      <c r="Z131" s="20"/>
      <c r="AA131" s="20"/>
      <c r="AB131" s="20"/>
      <c r="AC131" s="19"/>
      <c r="AD131" s="19"/>
      <c r="AE131" s="19"/>
      <c r="AF131" s="20"/>
      <c r="AG131" s="20"/>
      <c r="AH131" s="20"/>
      <c r="AI131" s="19"/>
      <c r="AJ131" s="19"/>
      <c r="AK131" s="19"/>
      <c r="AL131" s="20"/>
      <c r="AM131" s="20"/>
      <c r="AN131" s="20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5"/>
      <c r="BA131" s="15"/>
    </row>
    <row r="132" customFormat="false" ht="12.8" hidden="false" customHeight="false" outlineLevel="0" collapsed="false">
      <c r="A132" s="15" t="n">
        <v>0</v>
      </c>
      <c r="B132" s="15" t="s">
        <v>8</v>
      </c>
      <c r="C132" s="15" t="s">
        <v>93</v>
      </c>
      <c r="D132" s="16" t="s">
        <v>88</v>
      </c>
      <c r="E132" s="16" t="s">
        <v>78</v>
      </c>
      <c r="F132" s="16"/>
      <c r="G132" s="1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8"/>
      <c r="U132" s="18"/>
      <c r="V132" s="18"/>
      <c r="W132" s="19"/>
      <c r="X132" s="19"/>
      <c r="Y132" s="19"/>
      <c r="Z132" s="20"/>
      <c r="AA132" s="20"/>
      <c r="AB132" s="20"/>
      <c r="AC132" s="19"/>
      <c r="AD132" s="19"/>
      <c r="AE132" s="19"/>
      <c r="AF132" s="20"/>
      <c r="AG132" s="20"/>
      <c r="AH132" s="20"/>
      <c r="AI132" s="19"/>
      <c r="AJ132" s="19"/>
      <c r="AK132" s="19"/>
      <c r="AL132" s="20"/>
      <c r="AM132" s="20"/>
      <c r="AN132" s="20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5"/>
      <c r="BA132" s="15"/>
    </row>
    <row r="133" customFormat="false" ht="12.8" hidden="false" customHeight="false" outlineLevel="0" collapsed="false">
      <c r="A133" s="15" t="n">
        <v>0</v>
      </c>
      <c r="B133" s="15" t="s">
        <v>8</v>
      </c>
      <c r="C133" s="15" t="s">
        <v>93</v>
      </c>
      <c r="D133" s="16" t="s">
        <v>88</v>
      </c>
      <c r="E133" s="16" t="s">
        <v>79</v>
      </c>
      <c r="F133" s="16"/>
      <c r="G133" s="1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8"/>
      <c r="U133" s="18"/>
      <c r="V133" s="18"/>
      <c r="W133" s="19"/>
      <c r="X133" s="19"/>
      <c r="Y133" s="19"/>
      <c r="Z133" s="20"/>
      <c r="AA133" s="20"/>
      <c r="AB133" s="20"/>
      <c r="AC133" s="19"/>
      <c r="AD133" s="19"/>
      <c r="AE133" s="19"/>
      <c r="AF133" s="20"/>
      <c r="AG133" s="20"/>
      <c r="AH133" s="20"/>
      <c r="AI133" s="19"/>
      <c r="AJ133" s="19"/>
      <c r="AK133" s="19"/>
      <c r="AL133" s="20"/>
      <c r="AM133" s="20"/>
      <c r="AN133" s="20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5"/>
      <c r="BA133" s="15"/>
    </row>
    <row r="134" customFormat="false" ht="12.8" hidden="false" customHeight="false" outlineLevel="0" collapsed="false">
      <c r="A134" s="15"/>
      <c r="B134" s="15"/>
      <c r="C134" s="15"/>
      <c r="D134" s="16"/>
      <c r="E134" s="16"/>
      <c r="F134" s="16"/>
      <c r="G134" s="1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8"/>
      <c r="U134" s="18"/>
      <c r="V134" s="18"/>
      <c r="W134" s="19"/>
      <c r="X134" s="19"/>
      <c r="Y134" s="19"/>
      <c r="Z134" s="20"/>
      <c r="AA134" s="20"/>
      <c r="AB134" s="20"/>
      <c r="AC134" s="19"/>
      <c r="AD134" s="19"/>
      <c r="AE134" s="19"/>
      <c r="AF134" s="20"/>
      <c r="AG134" s="20"/>
      <c r="AH134" s="20"/>
      <c r="AI134" s="19"/>
      <c r="AJ134" s="19"/>
      <c r="AK134" s="19"/>
      <c r="AL134" s="20"/>
      <c r="AM134" s="20"/>
      <c r="AN134" s="20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5"/>
      <c r="BA134" s="15"/>
    </row>
    <row r="135" customFormat="false" ht="12.8" hidden="false" customHeight="false" outlineLevel="0" collapsed="false">
      <c r="A135" s="15" t="n">
        <v>0</v>
      </c>
      <c r="B135" s="15" t="s">
        <v>8</v>
      </c>
      <c r="C135" s="15" t="s">
        <v>94</v>
      </c>
      <c r="D135" s="16" t="s">
        <v>75</v>
      </c>
      <c r="E135" s="16" t="s">
        <v>76</v>
      </c>
      <c r="F135" s="16"/>
      <c r="G135" s="1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8"/>
      <c r="U135" s="18"/>
      <c r="V135" s="18"/>
      <c r="W135" s="19"/>
      <c r="X135" s="19"/>
      <c r="Y135" s="19"/>
      <c r="Z135" s="20"/>
      <c r="AA135" s="20"/>
      <c r="AB135" s="20"/>
      <c r="AC135" s="19"/>
      <c r="AD135" s="19"/>
      <c r="AE135" s="19"/>
      <c r="AF135" s="20"/>
      <c r="AG135" s="20"/>
      <c r="AH135" s="20"/>
      <c r="AI135" s="19"/>
      <c r="AJ135" s="19"/>
      <c r="AK135" s="19"/>
      <c r="AL135" s="20"/>
      <c r="AM135" s="20"/>
      <c r="AN135" s="20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5"/>
      <c r="BA135" s="15"/>
    </row>
    <row r="136" customFormat="false" ht="12.8" hidden="false" customHeight="false" outlineLevel="0" collapsed="false">
      <c r="A136" s="15" t="n">
        <v>0</v>
      </c>
      <c r="B136" s="15" t="s">
        <v>8</v>
      </c>
      <c r="C136" s="15" t="s">
        <v>94</v>
      </c>
      <c r="D136" s="16" t="s">
        <v>77</v>
      </c>
      <c r="E136" s="16" t="s">
        <v>78</v>
      </c>
      <c r="F136" s="16"/>
      <c r="G136" s="1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8"/>
      <c r="U136" s="18"/>
      <c r="V136" s="18"/>
      <c r="W136" s="19"/>
      <c r="X136" s="19"/>
      <c r="Y136" s="19"/>
      <c r="Z136" s="20"/>
      <c r="AA136" s="20"/>
      <c r="AB136" s="20"/>
      <c r="AC136" s="19"/>
      <c r="AD136" s="19"/>
      <c r="AE136" s="19"/>
      <c r="AF136" s="20"/>
      <c r="AG136" s="20"/>
      <c r="AH136" s="20"/>
      <c r="AI136" s="19"/>
      <c r="AJ136" s="19"/>
      <c r="AK136" s="19"/>
      <c r="AL136" s="20"/>
      <c r="AM136" s="20"/>
      <c r="AN136" s="20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5"/>
      <c r="BA136" s="15"/>
    </row>
    <row r="137" customFormat="false" ht="12.8" hidden="false" customHeight="false" outlineLevel="0" collapsed="false">
      <c r="A137" s="15" t="n">
        <v>0</v>
      </c>
      <c r="B137" s="15" t="s">
        <v>8</v>
      </c>
      <c r="C137" s="15" t="s">
        <v>94</v>
      </c>
      <c r="D137" s="16" t="s">
        <v>77</v>
      </c>
      <c r="E137" s="16" t="s">
        <v>79</v>
      </c>
      <c r="F137" s="16"/>
      <c r="G137" s="1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8"/>
      <c r="U137" s="18"/>
      <c r="V137" s="18"/>
      <c r="W137" s="19"/>
      <c r="X137" s="19"/>
      <c r="Y137" s="19"/>
      <c r="Z137" s="20"/>
      <c r="AA137" s="20"/>
      <c r="AB137" s="20"/>
      <c r="AC137" s="19"/>
      <c r="AD137" s="19"/>
      <c r="AE137" s="19"/>
      <c r="AF137" s="20"/>
      <c r="AG137" s="20"/>
      <c r="AH137" s="20"/>
      <c r="AI137" s="19"/>
      <c r="AJ137" s="19"/>
      <c r="AK137" s="19"/>
      <c r="AL137" s="20"/>
      <c r="AM137" s="20"/>
      <c r="AN137" s="20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5"/>
      <c r="BA137" s="15"/>
    </row>
    <row r="138" customFormat="false" ht="12.8" hidden="false" customHeight="false" outlineLevel="0" collapsed="false">
      <c r="A138" s="15" t="n">
        <v>0</v>
      </c>
      <c r="B138" s="15" t="s">
        <v>8</v>
      </c>
      <c r="C138" s="15" t="s">
        <v>94</v>
      </c>
      <c r="D138" s="16" t="s">
        <v>80</v>
      </c>
      <c r="E138" s="16" t="s">
        <v>78</v>
      </c>
      <c r="F138" s="16"/>
      <c r="G138" s="1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8"/>
      <c r="U138" s="18"/>
      <c r="V138" s="18"/>
      <c r="W138" s="19"/>
      <c r="X138" s="19"/>
      <c r="Y138" s="19"/>
      <c r="Z138" s="20"/>
      <c r="AA138" s="20"/>
      <c r="AB138" s="20"/>
      <c r="AC138" s="19"/>
      <c r="AD138" s="19"/>
      <c r="AE138" s="19"/>
      <c r="AF138" s="20"/>
      <c r="AG138" s="20"/>
      <c r="AH138" s="20"/>
      <c r="AI138" s="19"/>
      <c r="AJ138" s="19"/>
      <c r="AK138" s="19"/>
      <c r="AL138" s="20"/>
      <c r="AM138" s="20"/>
      <c r="AN138" s="20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5"/>
      <c r="BA138" s="15"/>
    </row>
    <row r="139" customFormat="false" ht="12.8" hidden="false" customHeight="false" outlineLevel="0" collapsed="false">
      <c r="A139" s="15" t="n">
        <v>0</v>
      </c>
      <c r="B139" s="15" t="s">
        <v>8</v>
      </c>
      <c r="C139" s="15" t="s">
        <v>94</v>
      </c>
      <c r="D139" s="16" t="s">
        <v>80</v>
      </c>
      <c r="E139" s="16" t="s">
        <v>79</v>
      </c>
      <c r="F139" s="16"/>
      <c r="G139" s="1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8"/>
      <c r="U139" s="18"/>
      <c r="V139" s="18"/>
      <c r="W139" s="19"/>
      <c r="X139" s="19"/>
      <c r="Y139" s="19"/>
      <c r="Z139" s="20"/>
      <c r="AA139" s="20"/>
      <c r="AB139" s="20"/>
      <c r="AC139" s="19"/>
      <c r="AD139" s="19"/>
      <c r="AE139" s="19"/>
      <c r="AF139" s="20"/>
      <c r="AG139" s="20"/>
      <c r="AH139" s="20"/>
      <c r="AI139" s="19"/>
      <c r="AJ139" s="19"/>
      <c r="AK139" s="19"/>
      <c r="AL139" s="20"/>
      <c r="AM139" s="20"/>
      <c r="AN139" s="20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5"/>
      <c r="BA139" s="15"/>
    </row>
    <row r="140" customFormat="false" ht="12.8" hidden="false" customHeight="false" outlineLevel="0" collapsed="false">
      <c r="A140" s="15" t="n">
        <v>0</v>
      </c>
      <c r="B140" s="15" t="s">
        <v>8</v>
      </c>
      <c r="C140" s="15" t="s">
        <v>94</v>
      </c>
      <c r="D140" s="16" t="s">
        <v>81</v>
      </c>
      <c r="E140" s="16" t="s">
        <v>78</v>
      </c>
      <c r="F140" s="16"/>
      <c r="G140" s="1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8"/>
      <c r="U140" s="18"/>
      <c r="V140" s="18"/>
      <c r="W140" s="19"/>
      <c r="X140" s="19"/>
      <c r="Y140" s="19"/>
      <c r="Z140" s="20"/>
      <c r="AA140" s="20"/>
      <c r="AB140" s="20"/>
      <c r="AC140" s="19"/>
      <c r="AD140" s="19"/>
      <c r="AE140" s="19"/>
      <c r="AF140" s="20"/>
      <c r="AG140" s="20"/>
      <c r="AH140" s="20"/>
      <c r="AI140" s="19"/>
      <c r="AJ140" s="19"/>
      <c r="AK140" s="19"/>
      <c r="AL140" s="20"/>
      <c r="AM140" s="20"/>
      <c r="AN140" s="20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5"/>
      <c r="BA140" s="15"/>
    </row>
    <row r="141" customFormat="false" ht="12.8" hidden="false" customHeight="false" outlineLevel="0" collapsed="false">
      <c r="A141" s="15" t="n">
        <v>0</v>
      </c>
      <c r="B141" s="15" t="s">
        <v>8</v>
      </c>
      <c r="C141" s="15" t="s">
        <v>94</v>
      </c>
      <c r="D141" s="16" t="s">
        <v>81</v>
      </c>
      <c r="E141" s="16" t="s">
        <v>79</v>
      </c>
      <c r="F141" s="16"/>
      <c r="G141" s="1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8"/>
      <c r="U141" s="18"/>
      <c r="V141" s="18"/>
      <c r="W141" s="19"/>
      <c r="X141" s="19"/>
      <c r="Y141" s="19"/>
      <c r="Z141" s="20"/>
      <c r="AA141" s="20"/>
      <c r="AB141" s="20"/>
      <c r="AC141" s="19"/>
      <c r="AD141" s="19"/>
      <c r="AE141" s="19"/>
      <c r="AF141" s="20"/>
      <c r="AG141" s="20"/>
      <c r="AH141" s="20"/>
      <c r="AI141" s="19"/>
      <c r="AJ141" s="19"/>
      <c r="AK141" s="19"/>
      <c r="AL141" s="20"/>
      <c r="AM141" s="20"/>
      <c r="AN141" s="20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5"/>
      <c r="BA141" s="15"/>
    </row>
    <row r="142" customFormat="false" ht="12.8" hidden="false" customHeight="false" outlineLevel="0" collapsed="false">
      <c r="A142" s="15" t="n">
        <v>0</v>
      </c>
      <c r="B142" s="15" t="s">
        <v>8</v>
      </c>
      <c r="C142" s="15" t="s">
        <v>94</v>
      </c>
      <c r="D142" s="16" t="s">
        <v>82</v>
      </c>
      <c r="E142" s="16" t="s">
        <v>78</v>
      </c>
      <c r="F142" s="16"/>
      <c r="G142" s="1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8"/>
      <c r="U142" s="18"/>
      <c r="V142" s="18"/>
      <c r="W142" s="19"/>
      <c r="X142" s="19"/>
      <c r="Y142" s="19"/>
      <c r="Z142" s="20"/>
      <c r="AA142" s="20"/>
      <c r="AB142" s="20"/>
      <c r="AC142" s="19"/>
      <c r="AD142" s="19"/>
      <c r="AE142" s="19"/>
      <c r="AF142" s="20"/>
      <c r="AG142" s="20"/>
      <c r="AH142" s="20"/>
      <c r="AI142" s="19"/>
      <c r="AJ142" s="19"/>
      <c r="AK142" s="19"/>
      <c r="AL142" s="20"/>
      <c r="AM142" s="20"/>
      <c r="AN142" s="20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5"/>
      <c r="BA142" s="15"/>
    </row>
    <row r="143" customFormat="false" ht="12.8" hidden="false" customHeight="false" outlineLevel="0" collapsed="false">
      <c r="A143" s="15" t="n">
        <v>0</v>
      </c>
      <c r="B143" s="15" t="s">
        <v>8</v>
      </c>
      <c r="C143" s="15" t="s">
        <v>94</v>
      </c>
      <c r="D143" s="16" t="s">
        <v>82</v>
      </c>
      <c r="E143" s="16" t="s">
        <v>79</v>
      </c>
      <c r="F143" s="16"/>
      <c r="G143" s="1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8"/>
      <c r="U143" s="18"/>
      <c r="V143" s="18"/>
      <c r="W143" s="19"/>
      <c r="X143" s="19"/>
      <c r="Y143" s="19"/>
      <c r="Z143" s="20"/>
      <c r="AA143" s="20"/>
      <c r="AB143" s="20"/>
      <c r="AC143" s="19"/>
      <c r="AD143" s="19"/>
      <c r="AE143" s="19"/>
      <c r="AF143" s="20"/>
      <c r="AG143" s="20"/>
      <c r="AH143" s="20"/>
      <c r="AI143" s="19"/>
      <c r="AJ143" s="19"/>
      <c r="AK143" s="19"/>
      <c r="AL143" s="20"/>
      <c r="AM143" s="20"/>
      <c r="AN143" s="20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5"/>
      <c r="BA143" s="15"/>
    </row>
    <row r="144" customFormat="false" ht="12.8" hidden="false" customHeight="false" outlineLevel="0" collapsed="false">
      <c r="A144" s="15" t="n">
        <v>0</v>
      </c>
      <c r="B144" s="15" t="s">
        <v>8</v>
      </c>
      <c r="C144" s="15" t="s">
        <v>94</v>
      </c>
      <c r="D144" s="16" t="s">
        <v>83</v>
      </c>
      <c r="E144" s="16" t="s">
        <v>78</v>
      </c>
      <c r="F144" s="16"/>
      <c r="G144" s="1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8"/>
      <c r="U144" s="18"/>
      <c r="V144" s="18"/>
      <c r="W144" s="19"/>
      <c r="X144" s="19"/>
      <c r="Y144" s="19"/>
      <c r="Z144" s="20"/>
      <c r="AA144" s="20"/>
      <c r="AB144" s="20"/>
      <c r="AC144" s="19"/>
      <c r="AD144" s="19"/>
      <c r="AE144" s="19"/>
      <c r="AF144" s="20"/>
      <c r="AG144" s="20"/>
      <c r="AH144" s="20"/>
      <c r="AI144" s="19"/>
      <c r="AJ144" s="19"/>
      <c r="AK144" s="19"/>
      <c r="AL144" s="20"/>
      <c r="AM144" s="20"/>
      <c r="AN144" s="20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5"/>
      <c r="BA144" s="15"/>
    </row>
    <row r="145" customFormat="false" ht="12.8" hidden="false" customHeight="false" outlineLevel="0" collapsed="false">
      <c r="A145" s="15" t="n">
        <v>0</v>
      </c>
      <c r="B145" s="15" t="s">
        <v>8</v>
      </c>
      <c r="C145" s="15" t="s">
        <v>94</v>
      </c>
      <c r="D145" s="16" t="s">
        <v>83</v>
      </c>
      <c r="E145" s="16" t="s">
        <v>79</v>
      </c>
      <c r="F145" s="16"/>
      <c r="G145" s="1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8"/>
      <c r="U145" s="18"/>
      <c r="V145" s="18"/>
      <c r="W145" s="19"/>
      <c r="X145" s="19"/>
      <c r="Y145" s="19"/>
      <c r="Z145" s="20"/>
      <c r="AA145" s="20"/>
      <c r="AB145" s="20"/>
      <c r="AC145" s="19"/>
      <c r="AD145" s="19"/>
      <c r="AE145" s="19"/>
      <c r="AF145" s="20"/>
      <c r="AG145" s="20"/>
      <c r="AH145" s="20"/>
      <c r="AI145" s="19"/>
      <c r="AJ145" s="19"/>
      <c r="AK145" s="19"/>
      <c r="AL145" s="20"/>
      <c r="AM145" s="20"/>
      <c r="AN145" s="20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5"/>
      <c r="BA145" s="15"/>
    </row>
    <row r="146" customFormat="false" ht="23.85" hidden="false" customHeight="false" outlineLevel="0" collapsed="false">
      <c r="A146" s="15" t="n">
        <v>0</v>
      </c>
      <c r="B146" s="15" t="s">
        <v>8</v>
      </c>
      <c r="C146" s="15" t="s">
        <v>94</v>
      </c>
      <c r="D146" s="16" t="s">
        <v>84</v>
      </c>
      <c r="E146" s="16" t="s">
        <v>78</v>
      </c>
      <c r="F146" s="16"/>
      <c r="G146" s="1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8"/>
      <c r="U146" s="18"/>
      <c r="V146" s="18"/>
      <c r="W146" s="19"/>
      <c r="X146" s="19"/>
      <c r="Y146" s="19"/>
      <c r="Z146" s="20"/>
      <c r="AA146" s="20"/>
      <c r="AB146" s="20"/>
      <c r="AC146" s="19"/>
      <c r="AD146" s="19"/>
      <c r="AE146" s="19"/>
      <c r="AF146" s="20"/>
      <c r="AG146" s="20"/>
      <c r="AH146" s="20"/>
      <c r="AI146" s="19"/>
      <c r="AJ146" s="19"/>
      <c r="AK146" s="19"/>
      <c r="AL146" s="20"/>
      <c r="AM146" s="20"/>
      <c r="AN146" s="20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5"/>
      <c r="BA146" s="15"/>
    </row>
    <row r="147" customFormat="false" ht="23.85" hidden="false" customHeight="false" outlineLevel="0" collapsed="false">
      <c r="A147" s="15" t="n">
        <v>0</v>
      </c>
      <c r="B147" s="15" t="s">
        <v>8</v>
      </c>
      <c r="C147" s="15" t="s">
        <v>94</v>
      </c>
      <c r="D147" s="16" t="s">
        <v>84</v>
      </c>
      <c r="E147" s="16" t="s">
        <v>79</v>
      </c>
      <c r="F147" s="16"/>
      <c r="G147" s="1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8"/>
      <c r="U147" s="18"/>
      <c r="V147" s="18"/>
      <c r="W147" s="19"/>
      <c r="X147" s="19"/>
      <c r="Y147" s="19"/>
      <c r="Z147" s="20"/>
      <c r="AA147" s="20"/>
      <c r="AB147" s="20"/>
      <c r="AC147" s="19"/>
      <c r="AD147" s="19"/>
      <c r="AE147" s="19"/>
      <c r="AF147" s="20"/>
      <c r="AG147" s="20"/>
      <c r="AH147" s="20"/>
      <c r="AI147" s="19"/>
      <c r="AJ147" s="19"/>
      <c r="AK147" s="19"/>
      <c r="AL147" s="20"/>
      <c r="AM147" s="20"/>
      <c r="AN147" s="20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5"/>
      <c r="BA147" s="15"/>
    </row>
    <row r="148" customFormat="false" ht="12.8" hidden="false" customHeight="false" outlineLevel="0" collapsed="false">
      <c r="A148" s="15" t="n">
        <v>0</v>
      </c>
      <c r="B148" s="15" t="s">
        <v>8</v>
      </c>
      <c r="C148" s="15" t="s">
        <v>94</v>
      </c>
      <c r="D148" s="16" t="s">
        <v>85</v>
      </c>
      <c r="E148" s="16" t="s">
        <v>78</v>
      </c>
      <c r="F148" s="16"/>
      <c r="G148" s="1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8"/>
      <c r="U148" s="18"/>
      <c r="V148" s="18"/>
      <c r="W148" s="19"/>
      <c r="X148" s="19"/>
      <c r="Y148" s="19"/>
      <c r="Z148" s="20"/>
      <c r="AA148" s="20"/>
      <c r="AB148" s="20"/>
      <c r="AC148" s="19"/>
      <c r="AD148" s="19"/>
      <c r="AE148" s="19"/>
      <c r="AF148" s="20"/>
      <c r="AG148" s="20"/>
      <c r="AH148" s="20"/>
      <c r="AI148" s="19"/>
      <c r="AJ148" s="19"/>
      <c r="AK148" s="19"/>
      <c r="AL148" s="20"/>
      <c r="AM148" s="20"/>
      <c r="AN148" s="20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5"/>
      <c r="BA148" s="15"/>
    </row>
    <row r="149" customFormat="false" ht="12.8" hidden="false" customHeight="false" outlineLevel="0" collapsed="false">
      <c r="A149" s="15" t="n">
        <v>0</v>
      </c>
      <c r="B149" s="15" t="s">
        <v>8</v>
      </c>
      <c r="C149" s="15" t="s">
        <v>94</v>
      </c>
      <c r="D149" s="16" t="s">
        <v>85</v>
      </c>
      <c r="E149" s="16" t="s">
        <v>79</v>
      </c>
      <c r="F149" s="16"/>
      <c r="G149" s="1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8"/>
      <c r="U149" s="18"/>
      <c r="V149" s="18"/>
      <c r="W149" s="19"/>
      <c r="X149" s="19"/>
      <c r="Y149" s="19"/>
      <c r="Z149" s="20"/>
      <c r="AA149" s="20"/>
      <c r="AB149" s="20"/>
      <c r="AC149" s="19"/>
      <c r="AD149" s="19"/>
      <c r="AE149" s="19"/>
      <c r="AF149" s="20"/>
      <c r="AG149" s="20"/>
      <c r="AH149" s="20"/>
      <c r="AI149" s="19"/>
      <c r="AJ149" s="19"/>
      <c r="AK149" s="19"/>
      <c r="AL149" s="20"/>
      <c r="AM149" s="20"/>
      <c r="AN149" s="20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5"/>
      <c r="BA149" s="15"/>
    </row>
    <row r="150" customFormat="false" ht="23.85" hidden="false" customHeight="false" outlineLevel="0" collapsed="false">
      <c r="A150" s="15" t="n">
        <v>0</v>
      </c>
      <c r="B150" s="15" t="s">
        <v>8</v>
      </c>
      <c r="C150" s="15" t="s">
        <v>94</v>
      </c>
      <c r="D150" s="16" t="s">
        <v>86</v>
      </c>
      <c r="E150" s="16" t="s">
        <v>78</v>
      </c>
      <c r="F150" s="16"/>
      <c r="G150" s="1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8"/>
      <c r="U150" s="18"/>
      <c r="V150" s="18"/>
      <c r="W150" s="19"/>
      <c r="X150" s="19"/>
      <c r="Y150" s="19"/>
      <c r="Z150" s="20"/>
      <c r="AA150" s="20"/>
      <c r="AB150" s="20"/>
      <c r="AC150" s="19"/>
      <c r="AD150" s="19"/>
      <c r="AE150" s="19"/>
      <c r="AF150" s="20"/>
      <c r="AG150" s="20"/>
      <c r="AH150" s="20"/>
      <c r="AI150" s="19"/>
      <c r="AJ150" s="19"/>
      <c r="AK150" s="19"/>
      <c r="AL150" s="20"/>
      <c r="AM150" s="20"/>
      <c r="AN150" s="20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5"/>
      <c r="BA150" s="15"/>
    </row>
    <row r="151" customFormat="false" ht="23.85" hidden="false" customHeight="false" outlineLevel="0" collapsed="false">
      <c r="A151" s="15" t="n">
        <v>0</v>
      </c>
      <c r="B151" s="15" t="s">
        <v>8</v>
      </c>
      <c r="C151" s="15" t="s">
        <v>94</v>
      </c>
      <c r="D151" s="16" t="s">
        <v>86</v>
      </c>
      <c r="E151" s="16" t="s">
        <v>79</v>
      </c>
      <c r="F151" s="16"/>
      <c r="G151" s="1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8"/>
      <c r="U151" s="18"/>
      <c r="V151" s="18"/>
      <c r="W151" s="19"/>
      <c r="X151" s="19"/>
      <c r="Y151" s="19"/>
      <c r="Z151" s="20"/>
      <c r="AA151" s="20"/>
      <c r="AB151" s="20"/>
      <c r="AC151" s="19"/>
      <c r="AD151" s="19"/>
      <c r="AE151" s="19"/>
      <c r="AF151" s="20"/>
      <c r="AG151" s="20"/>
      <c r="AH151" s="20"/>
      <c r="AI151" s="19"/>
      <c r="AJ151" s="19"/>
      <c r="AK151" s="19"/>
      <c r="AL151" s="20"/>
      <c r="AM151" s="20"/>
      <c r="AN151" s="20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5"/>
      <c r="BA151" s="15"/>
    </row>
    <row r="152" customFormat="false" ht="12.8" hidden="false" customHeight="false" outlineLevel="0" collapsed="false">
      <c r="A152" s="15" t="n">
        <v>0</v>
      </c>
      <c r="B152" s="15" t="s">
        <v>8</v>
      </c>
      <c r="C152" s="15" t="s">
        <v>94</v>
      </c>
      <c r="D152" s="16" t="s">
        <v>87</v>
      </c>
      <c r="E152" s="16" t="s">
        <v>78</v>
      </c>
      <c r="F152" s="16"/>
      <c r="G152" s="1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8"/>
      <c r="U152" s="18"/>
      <c r="V152" s="18"/>
      <c r="W152" s="19"/>
      <c r="X152" s="19"/>
      <c r="Y152" s="19"/>
      <c r="Z152" s="20"/>
      <c r="AA152" s="20"/>
      <c r="AB152" s="20"/>
      <c r="AC152" s="19"/>
      <c r="AD152" s="19"/>
      <c r="AE152" s="19"/>
      <c r="AF152" s="20"/>
      <c r="AG152" s="20"/>
      <c r="AH152" s="20"/>
      <c r="AI152" s="19"/>
      <c r="AJ152" s="19"/>
      <c r="AK152" s="19"/>
      <c r="AL152" s="20"/>
      <c r="AM152" s="20"/>
      <c r="AN152" s="20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5"/>
      <c r="BA152" s="15"/>
    </row>
    <row r="153" customFormat="false" ht="12.8" hidden="false" customHeight="false" outlineLevel="0" collapsed="false">
      <c r="A153" s="15" t="n">
        <v>0</v>
      </c>
      <c r="B153" s="15" t="s">
        <v>8</v>
      </c>
      <c r="C153" s="15" t="s">
        <v>94</v>
      </c>
      <c r="D153" s="16" t="s">
        <v>87</v>
      </c>
      <c r="E153" s="16" t="s">
        <v>79</v>
      </c>
      <c r="F153" s="16"/>
      <c r="G153" s="1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8"/>
      <c r="U153" s="18"/>
      <c r="V153" s="18"/>
      <c r="W153" s="19"/>
      <c r="X153" s="19"/>
      <c r="Y153" s="19"/>
      <c r="Z153" s="20"/>
      <c r="AA153" s="20"/>
      <c r="AB153" s="20"/>
      <c r="AC153" s="19"/>
      <c r="AD153" s="19"/>
      <c r="AE153" s="19"/>
      <c r="AF153" s="20"/>
      <c r="AG153" s="20"/>
      <c r="AH153" s="20"/>
      <c r="AI153" s="19"/>
      <c r="AJ153" s="19"/>
      <c r="AK153" s="19"/>
      <c r="AL153" s="20"/>
      <c r="AM153" s="20"/>
      <c r="AN153" s="20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5"/>
      <c r="BA153" s="15"/>
    </row>
    <row r="154" customFormat="false" ht="12.8" hidden="false" customHeight="false" outlineLevel="0" collapsed="false">
      <c r="A154" s="15" t="n">
        <v>0</v>
      </c>
      <c r="B154" s="15" t="s">
        <v>8</v>
      </c>
      <c r="C154" s="15" t="s">
        <v>94</v>
      </c>
      <c r="D154" s="16" t="s">
        <v>88</v>
      </c>
      <c r="E154" s="16" t="s">
        <v>78</v>
      </c>
      <c r="F154" s="16"/>
      <c r="G154" s="1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8"/>
      <c r="U154" s="18"/>
      <c r="V154" s="18"/>
      <c r="W154" s="19"/>
      <c r="X154" s="19"/>
      <c r="Y154" s="19"/>
      <c r="Z154" s="20"/>
      <c r="AA154" s="20"/>
      <c r="AB154" s="20"/>
      <c r="AC154" s="19"/>
      <c r="AD154" s="19"/>
      <c r="AE154" s="19"/>
      <c r="AF154" s="20"/>
      <c r="AG154" s="20"/>
      <c r="AH154" s="20"/>
      <c r="AI154" s="19"/>
      <c r="AJ154" s="19"/>
      <c r="AK154" s="19"/>
      <c r="AL154" s="20"/>
      <c r="AM154" s="20"/>
      <c r="AN154" s="20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5"/>
      <c r="BA154" s="15"/>
    </row>
    <row r="155" customFormat="false" ht="12.8" hidden="false" customHeight="false" outlineLevel="0" collapsed="false">
      <c r="A155" s="15" t="n">
        <v>0</v>
      </c>
      <c r="B155" s="15" t="s">
        <v>8</v>
      </c>
      <c r="C155" s="15" t="s">
        <v>94</v>
      </c>
      <c r="D155" s="16" t="s">
        <v>88</v>
      </c>
      <c r="E155" s="16" t="s">
        <v>79</v>
      </c>
      <c r="F155" s="16"/>
      <c r="G155" s="1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8"/>
      <c r="U155" s="18"/>
      <c r="V155" s="18"/>
      <c r="W155" s="19"/>
      <c r="X155" s="19"/>
      <c r="Y155" s="19"/>
      <c r="Z155" s="20"/>
      <c r="AA155" s="20"/>
      <c r="AB155" s="20"/>
      <c r="AC155" s="19"/>
      <c r="AD155" s="19"/>
      <c r="AE155" s="19"/>
      <c r="AF155" s="20"/>
      <c r="AG155" s="20"/>
      <c r="AH155" s="20"/>
      <c r="AI155" s="19"/>
      <c r="AJ155" s="19"/>
      <c r="AK155" s="19"/>
      <c r="AL155" s="20"/>
      <c r="AM155" s="20"/>
      <c r="AN155" s="20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5"/>
      <c r="BA155" s="15"/>
    </row>
    <row r="156" customFormat="false" ht="12.8" hidden="false" customHeight="false" outlineLevel="0" collapsed="false">
      <c r="A156" s="15"/>
      <c r="B156" s="15"/>
      <c r="C156" s="15"/>
      <c r="D156" s="16"/>
      <c r="E156" s="16"/>
      <c r="F156" s="16"/>
      <c r="G156" s="1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8"/>
      <c r="U156" s="18"/>
      <c r="V156" s="18"/>
      <c r="W156" s="19"/>
      <c r="X156" s="19"/>
      <c r="Y156" s="19"/>
      <c r="Z156" s="20"/>
      <c r="AA156" s="20"/>
      <c r="AB156" s="20"/>
      <c r="AC156" s="19"/>
      <c r="AD156" s="19"/>
      <c r="AE156" s="19"/>
      <c r="AF156" s="20"/>
      <c r="AG156" s="20"/>
      <c r="AH156" s="20"/>
      <c r="AI156" s="19"/>
      <c r="AJ156" s="19"/>
      <c r="AK156" s="19"/>
      <c r="AL156" s="20"/>
      <c r="AM156" s="20"/>
      <c r="AN156" s="20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5"/>
      <c r="BA156" s="15"/>
    </row>
    <row r="157" customFormat="false" ht="12.8" hidden="false" customHeight="false" outlineLevel="0" collapsed="false">
      <c r="A157" s="15" t="n">
        <v>0</v>
      </c>
      <c r="B157" s="15" t="s">
        <v>8</v>
      </c>
      <c r="C157" s="15" t="s">
        <v>95</v>
      </c>
      <c r="D157" s="16" t="s">
        <v>75</v>
      </c>
      <c r="E157" s="16" t="s">
        <v>76</v>
      </c>
      <c r="F157" s="16"/>
      <c r="G157" s="1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8"/>
      <c r="U157" s="18"/>
      <c r="V157" s="18"/>
      <c r="W157" s="19"/>
      <c r="X157" s="19"/>
      <c r="Y157" s="19"/>
      <c r="Z157" s="20"/>
      <c r="AA157" s="20"/>
      <c r="AB157" s="20"/>
      <c r="AC157" s="19"/>
      <c r="AD157" s="19"/>
      <c r="AE157" s="19"/>
      <c r="AF157" s="20"/>
      <c r="AG157" s="20"/>
      <c r="AH157" s="20"/>
      <c r="AI157" s="19"/>
      <c r="AJ157" s="19"/>
      <c r="AK157" s="19"/>
      <c r="AL157" s="20"/>
      <c r="AM157" s="20"/>
      <c r="AN157" s="20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5"/>
      <c r="BA157" s="15"/>
    </row>
    <row r="158" customFormat="false" ht="12.8" hidden="false" customHeight="false" outlineLevel="0" collapsed="false">
      <c r="A158" s="15" t="n">
        <v>0</v>
      </c>
      <c r="B158" s="15" t="s">
        <v>8</v>
      </c>
      <c r="C158" s="15" t="s">
        <v>95</v>
      </c>
      <c r="D158" s="16" t="s">
        <v>77</v>
      </c>
      <c r="E158" s="16" t="s">
        <v>78</v>
      </c>
      <c r="F158" s="16"/>
      <c r="G158" s="1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8"/>
      <c r="U158" s="18"/>
      <c r="V158" s="18"/>
      <c r="W158" s="19"/>
      <c r="X158" s="19"/>
      <c r="Y158" s="19"/>
      <c r="Z158" s="20"/>
      <c r="AA158" s="20"/>
      <c r="AB158" s="20"/>
      <c r="AC158" s="19"/>
      <c r="AD158" s="19"/>
      <c r="AE158" s="19"/>
      <c r="AF158" s="20"/>
      <c r="AG158" s="20"/>
      <c r="AH158" s="20"/>
      <c r="AI158" s="19"/>
      <c r="AJ158" s="19"/>
      <c r="AK158" s="19"/>
      <c r="AL158" s="20"/>
      <c r="AM158" s="20"/>
      <c r="AN158" s="20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5"/>
      <c r="BA158" s="15"/>
    </row>
    <row r="159" customFormat="false" ht="12.8" hidden="false" customHeight="false" outlineLevel="0" collapsed="false">
      <c r="A159" s="15" t="n">
        <v>0</v>
      </c>
      <c r="B159" s="15" t="s">
        <v>8</v>
      </c>
      <c r="C159" s="15" t="s">
        <v>95</v>
      </c>
      <c r="D159" s="16" t="s">
        <v>77</v>
      </c>
      <c r="E159" s="16" t="s">
        <v>79</v>
      </c>
      <c r="F159" s="16"/>
      <c r="G159" s="1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8"/>
      <c r="U159" s="18"/>
      <c r="V159" s="18"/>
      <c r="W159" s="19"/>
      <c r="X159" s="19"/>
      <c r="Y159" s="19"/>
      <c r="Z159" s="20"/>
      <c r="AA159" s="20"/>
      <c r="AB159" s="20"/>
      <c r="AC159" s="19"/>
      <c r="AD159" s="19"/>
      <c r="AE159" s="19"/>
      <c r="AF159" s="20"/>
      <c r="AG159" s="20"/>
      <c r="AH159" s="20"/>
      <c r="AI159" s="19"/>
      <c r="AJ159" s="19"/>
      <c r="AK159" s="19"/>
      <c r="AL159" s="20"/>
      <c r="AM159" s="20"/>
      <c r="AN159" s="20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5"/>
      <c r="BA159" s="15"/>
    </row>
    <row r="160" customFormat="false" ht="12.8" hidden="false" customHeight="false" outlineLevel="0" collapsed="false">
      <c r="A160" s="15" t="n">
        <v>0</v>
      </c>
      <c r="B160" s="15" t="s">
        <v>8</v>
      </c>
      <c r="C160" s="15" t="s">
        <v>95</v>
      </c>
      <c r="D160" s="16" t="s">
        <v>80</v>
      </c>
      <c r="E160" s="16" t="s">
        <v>78</v>
      </c>
      <c r="F160" s="16"/>
      <c r="G160" s="1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8"/>
      <c r="U160" s="18"/>
      <c r="V160" s="18"/>
      <c r="W160" s="19"/>
      <c r="X160" s="19"/>
      <c r="Y160" s="19"/>
      <c r="Z160" s="20"/>
      <c r="AA160" s="20"/>
      <c r="AB160" s="20"/>
      <c r="AC160" s="19"/>
      <c r="AD160" s="19"/>
      <c r="AE160" s="19"/>
      <c r="AF160" s="20"/>
      <c r="AG160" s="20"/>
      <c r="AH160" s="20"/>
      <c r="AI160" s="19"/>
      <c r="AJ160" s="19"/>
      <c r="AK160" s="19"/>
      <c r="AL160" s="20"/>
      <c r="AM160" s="20"/>
      <c r="AN160" s="20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5"/>
      <c r="BA160" s="15"/>
    </row>
    <row r="161" customFormat="false" ht="12.8" hidden="false" customHeight="false" outlineLevel="0" collapsed="false">
      <c r="A161" s="15" t="n">
        <v>0</v>
      </c>
      <c r="B161" s="15" t="s">
        <v>8</v>
      </c>
      <c r="C161" s="15" t="s">
        <v>95</v>
      </c>
      <c r="D161" s="16" t="s">
        <v>80</v>
      </c>
      <c r="E161" s="16" t="s">
        <v>79</v>
      </c>
      <c r="F161" s="16"/>
      <c r="G161" s="1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8"/>
      <c r="U161" s="18"/>
      <c r="V161" s="18"/>
      <c r="W161" s="19"/>
      <c r="X161" s="19"/>
      <c r="Y161" s="19"/>
      <c r="Z161" s="20"/>
      <c r="AA161" s="20"/>
      <c r="AB161" s="20"/>
      <c r="AC161" s="19"/>
      <c r="AD161" s="19"/>
      <c r="AE161" s="19"/>
      <c r="AF161" s="20"/>
      <c r="AG161" s="20"/>
      <c r="AH161" s="20"/>
      <c r="AI161" s="19"/>
      <c r="AJ161" s="19"/>
      <c r="AK161" s="19"/>
      <c r="AL161" s="20"/>
      <c r="AM161" s="20"/>
      <c r="AN161" s="20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5"/>
      <c r="BA161" s="15"/>
    </row>
    <row r="162" customFormat="false" ht="12.8" hidden="false" customHeight="false" outlineLevel="0" collapsed="false">
      <c r="A162" s="15" t="n">
        <v>0</v>
      </c>
      <c r="B162" s="15" t="s">
        <v>8</v>
      </c>
      <c r="C162" s="15" t="s">
        <v>95</v>
      </c>
      <c r="D162" s="16" t="s">
        <v>81</v>
      </c>
      <c r="E162" s="16" t="s">
        <v>78</v>
      </c>
      <c r="F162" s="16"/>
      <c r="G162" s="1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8"/>
      <c r="U162" s="18"/>
      <c r="V162" s="18"/>
      <c r="W162" s="19"/>
      <c r="X162" s="19"/>
      <c r="Y162" s="19"/>
      <c r="Z162" s="20"/>
      <c r="AA162" s="20"/>
      <c r="AB162" s="20"/>
      <c r="AC162" s="19"/>
      <c r="AD162" s="19"/>
      <c r="AE162" s="19"/>
      <c r="AF162" s="20"/>
      <c r="AG162" s="20"/>
      <c r="AH162" s="20"/>
      <c r="AI162" s="19"/>
      <c r="AJ162" s="19"/>
      <c r="AK162" s="19"/>
      <c r="AL162" s="20"/>
      <c r="AM162" s="20"/>
      <c r="AN162" s="20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5"/>
      <c r="BA162" s="15"/>
    </row>
    <row r="163" customFormat="false" ht="12.8" hidden="false" customHeight="false" outlineLevel="0" collapsed="false">
      <c r="A163" s="15" t="n">
        <v>0</v>
      </c>
      <c r="B163" s="15" t="s">
        <v>8</v>
      </c>
      <c r="C163" s="15" t="s">
        <v>95</v>
      </c>
      <c r="D163" s="16" t="s">
        <v>81</v>
      </c>
      <c r="E163" s="16" t="s">
        <v>79</v>
      </c>
      <c r="F163" s="16"/>
      <c r="G163" s="1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8"/>
      <c r="U163" s="18"/>
      <c r="V163" s="18"/>
      <c r="W163" s="19"/>
      <c r="X163" s="19"/>
      <c r="Y163" s="19"/>
      <c r="Z163" s="20"/>
      <c r="AA163" s="20"/>
      <c r="AB163" s="20"/>
      <c r="AC163" s="19"/>
      <c r="AD163" s="19"/>
      <c r="AE163" s="19"/>
      <c r="AF163" s="20"/>
      <c r="AG163" s="20"/>
      <c r="AH163" s="20"/>
      <c r="AI163" s="19"/>
      <c r="AJ163" s="19"/>
      <c r="AK163" s="19"/>
      <c r="AL163" s="20"/>
      <c r="AM163" s="20"/>
      <c r="AN163" s="20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5"/>
      <c r="BA163" s="15"/>
    </row>
    <row r="164" customFormat="false" ht="12.8" hidden="false" customHeight="false" outlineLevel="0" collapsed="false">
      <c r="A164" s="15" t="n">
        <v>0</v>
      </c>
      <c r="B164" s="15" t="s">
        <v>8</v>
      </c>
      <c r="C164" s="15" t="s">
        <v>95</v>
      </c>
      <c r="D164" s="16" t="s">
        <v>82</v>
      </c>
      <c r="E164" s="16" t="s">
        <v>78</v>
      </c>
      <c r="F164" s="16"/>
      <c r="G164" s="1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8"/>
      <c r="U164" s="18"/>
      <c r="V164" s="18"/>
      <c r="W164" s="19"/>
      <c r="X164" s="19"/>
      <c r="Y164" s="19"/>
      <c r="Z164" s="20"/>
      <c r="AA164" s="20"/>
      <c r="AB164" s="20"/>
      <c r="AC164" s="19"/>
      <c r="AD164" s="19"/>
      <c r="AE164" s="19"/>
      <c r="AF164" s="20"/>
      <c r="AG164" s="20"/>
      <c r="AH164" s="20"/>
      <c r="AI164" s="19"/>
      <c r="AJ164" s="19"/>
      <c r="AK164" s="19"/>
      <c r="AL164" s="20"/>
      <c r="AM164" s="20"/>
      <c r="AN164" s="20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5"/>
      <c r="BA164" s="15"/>
    </row>
    <row r="165" customFormat="false" ht="12.8" hidden="false" customHeight="false" outlineLevel="0" collapsed="false">
      <c r="A165" s="15" t="n">
        <v>0</v>
      </c>
      <c r="B165" s="15" t="s">
        <v>8</v>
      </c>
      <c r="C165" s="15" t="s">
        <v>95</v>
      </c>
      <c r="D165" s="16" t="s">
        <v>82</v>
      </c>
      <c r="E165" s="16" t="s">
        <v>79</v>
      </c>
      <c r="F165" s="16"/>
      <c r="G165" s="1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8"/>
      <c r="U165" s="18"/>
      <c r="V165" s="18"/>
      <c r="W165" s="19"/>
      <c r="X165" s="19"/>
      <c r="Y165" s="19"/>
      <c r="Z165" s="20"/>
      <c r="AA165" s="20"/>
      <c r="AB165" s="20"/>
      <c r="AC165" s="19"/>
      <c r="AD165" s="19"/>
      <c r="AE165" s="19"/>
      <c r="AF165" s="20"/>
      <c r="AG165" s="20"/>
      <c r="AH165" s="20"/>
      <c r="AI165" s="19"/>
      <c r="AJ165" s="19"/>
      <c r="AK165" s="19"/>
      <c r="AL165" s="20"/>
      <c r="AM165" s="20"/>
      <c r="AN165" s="20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5"/>
      <c r="BA165" s="15"/>
    </row>
    <row r="166" customFormat="false" ht="12.8" hidden="false" customHeight="false" outlineLevel="0" collapsed="false">
      <c r="A166" s="15" t="n">
        <v>0</v>
      </c>
      <c r="B166" s="15" t="s">
        <v>8</v>
      </c>
      <c r="C166" s="15" t="s">
        <v>95</v>
      </c>
      <c r="D166" s="16" t="s">
        <v>83</v>
      </c>
      <c r="E166" s="16" t="s">
        <v>78</v>
      </c>
      <c r="F166" s="16"/>
      <c r="G166" s="1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8"/>
      <c r="U166" s="18"/>
      <c r="V166" s="18"/>
      <c r="W166" s="19"/>
      <c r="X166" s="19"/>
      <c r="Y166" s="19"/>
      <c r="Z166" s="20"/>
      <c r="AA166" s="20"/>
      <c r="AB166" s="20"/>
      <c r="AC166" s="19"/>
      <c r="AD166" s="19"/>
      <c r="AE166" s="19"/>
      <c r="AF166" s="20"/>
      <c r="AG166" s="20"/>
      <c r="AH166" s="20"/>
      <c r="AI166" s="19"/>
      <c r="AJ166" s="19"/>
      <c r="AK166" s="19"/>
      <c r="AL166" s="20"/>
      <c r="AM166" s="20"/>
      <c r="AN166" s="20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5"/>
      <c r="BA166" s="15"/>
    </row>
    <row r="167" customFormat="false" ht="12.8" hidden="false" customHeight="false" outlineLevel="0" collapsed="false">
      <c r="A167" s="15" t="n">
        <v>0</v>
      </c>
      <c r="B167" s="15" t="s">
        <v>8</v>
      </c>
      <c r="C167" s="15" t="s">
        <v>95</v>
      </c>
      <c r="D167" s="16" t="s">
        <v>83</v>
      </c>
      <c r="E167" s="16" t="s">
        <v>79</v>
      </c>
      <c r="F167" s="16"/>
      <c r="G167" s="1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8"/>
      <c r="U167" s="18"/>
      <c r="V167" s="18"/>
      <c r="W167" s="19"/>
      <c r="X167" s="19"/>
      <c r="Y167" s="19"/>
      <c r="Z167" s="20"/>
      <c r="AA167" s="20"/>
      <c r="AB167" s="20"/>
      <c r="AC167" s="19"/>
      <c r="AD167" s="19"/>
      <c r="AE167" s="19"/>
      <c r="AF167" s="20"/>
      <c r="AG167" s="20"/>
      <c r="AH167" s="20"/>
      <c r="AI167" s="19"/>
      <c r="AJ167" s="19"/>
      <c r="AK167" s="19"/>
      <c r="AL167" s="20"/>
      <c r="AM167" s="20"/>
      <c r="AN167" s="20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5"/>
      <c r="BA167" s="15"/>
    </row>
    <row r="168" customFormat="false" ht="23.85" hidden="false" customHeight="false" outlineLevel="0" collapsed="false">
      <c r="A168" s="15" t="n">
        <v>0</v>
      </c>
      <c r="B168" s="15" t="s">
        <v>8</v>
      </c>
      <c r="C168" s="15" t="s">
        <v>95</v>
      </c>
      <c r="D168" s="16" t="s">
        <v>84</v>
      </c>
      <c r="E168" s="16" t="s">
        <v>78</v>
      </c>
      <c r="F168" s="16"/>
      <c r="G168" s="1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8"/>
      <c r="U168" s="18"/>
      <c r="V168" s="18"/>
      <c r="W168" s="19"/>
      <c r="X168" s="19"/>
      <c r="Y168" s="19"/>
      <c r="Z168" s="20"/>
      <c r="AA168" s="20"/>
      <c r="AB168" s="20"/>
      <c r="AC168" s="19"/>
      <c r="AD168" s="19"/>
      <c r="AE168" s="19"/>
      <c r="AF168" s="20"/>
      <c r="AG168" s="20"/>
      <c r="AH168" s="20"/>
      <c r="AI168" s="19"/>
      <c r="AJ168" s="19"/>
      <c r="AK168" s="19"/>
      <c r="AL168" s="20"/>
      <c r="AM168" s="20"/>
      <c r="AN168" s="20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5"/>
      <c r="BA168" s="15"/>
    </row>
    <row r="169" customFormat="false" ht="23.85" hidden="false" customHeight="false" outlineLevel="0" collapsed="false">
      <c r="A169" s="15" t="n">
        <v>0</v>
      </c>
      <c r="B169" s="15" t="s">
        <v>8</v>
      </c>
      <c r="C169" s="15" t="s">
        <v>95</v>
      </c>
      <c r="D169" s="16" t="s">
        <v>84</v>
      </c>
      <c r="E169" s="16" t="s">
        <v>79</v>
      </c>
      <c r="F169" s="16"/>
      <c r="G169" s="1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8"/>
      <c r="U169" s="18"/>
      <c r="V169" s="18"/>
      <c r="W169" s="19"/>
      <c r="X169" s="19"/>
      <c r="Y169" s="19"/>
      <c r="Z169" s="20"/>
      <c r="AA169" s="20"/>
      <c r="AB169" s="20"/>
      <c r="AC169" s="19"/>
      <c r="AD169" s="19"/>
      <c r="AE169" s="19"/>
      <c r="AF169" s="20"/>
      <c r="AG169" s="20"/>
      <c r="AH169" s="20"/>
      <c r="AI169" s="19"/>
      <c r="AJ169" s="19"/>
      <c r="AK169" s="19"/>
      <c r="AL169" s="20"/>
      <c r="AM169" s="20"/>
      <c r="AN169" s="20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5"/>
      <c r="BA169" s="15"/>
    </row>
    <row r="170" customFormat="false" ht="12.8" hidden="false" customHeight="false" outlineLevel="0" collapsed="false">
      <c r="A170" s="15" t="n">
        <v>0</v>
      </c>
      <c r="B170" s="15" t="s">
        <v>8</v>
      </c>
      <c r="C170" s="15" t="s">
        <v>95</v>
      </c>
      <c r="D170" s="16" t="s">
        <v>85</v>
      </c>
      <c r="E170" s="16" t="s">
        <v>78</v>
      </c>
      <c r="F170" s="16"/>
      <c r="G170" s="1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8"/>
      <c r="U170" s="18"/>
      <c r="V170" s="18"/>
      <c r="W170" s="19"/>
      <c r="X170" s="19"/>
      <c r="Y170" s="19"/>
      <c r="Z170" s="20"/>
      <c r="AA170" s="20"/>
      <c r="AB170" s="20"/>
      <c r="AC170" s="19"/>
      <c r="AD170" s="19"/>
      <c r="AE170" s="19"/>
      <c r="AF170" s="20"/>
      <c r="AG170" s="20"/>
      <c r="AH170" s="20"/>
      <c r="AI170" s="19"/>
      <c r="AJ170" s="19"/>
      <c r="AK170" s="19"/>
      <c r="AL170" s="20"/>
      <c r="AM170" s="20"/>
      <c r="AN170" s="20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5"/>
      <c r="BA170" s="15"/>
    </row>
    <row r="171" customFormat="false" ht="12.8" hidden="false" customHeight="false" outlineLevel="0" collapsed="false">
      <c r="A171" s="15" t="n">
        <v>0</v>
      </c>
      <c r="B171" s="15" t="s">
        <v>8</v>
      </c>
      <c r="C171" s="15" t="s">
        <v>95</v>
      </c>
      <c r="D171" s="16" t="s">
        <v>85</v>
      </c>
      <c r="E171" s="16" t="s">
        <v>79</v>
      </c>
      <c r="F171" s="16"/>
      <c r="G171" s="1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8"/>
      <c r="U171" s="18"/>
      <c r="V171" s="18"/>
      <c r="W171" s="19"/>
      <c r="X171" s="19"/>
      <c r="Y171" s="19"/>
      <c r="Z171" s="20"/>
      <c r="AA171" s="20"/>
      <c r="AB171" s="20"/>
      <c r="AC171" s="19"/>
      <c r="AD171" s="19"/>
      <c r="AE171" s="19"/>
      <c r="AF171" s="20"/>
      <c r="AG171" s="20"/>
      <c r="AH171" s="20"/>
      <c r="AI171" s="19"/>
      <c r="AJ171" s="19"/>
      <c r="AK171" s="19"/>
      <c r="AL171" s="20"/>
      <c r="AM171" s="20"/>
      <c r="AN171" s="20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5"/>
      <c r="BA171" s="15"/>
    </row>
    <row r="172" customFormat="false" ht="23.85" hidden="false" customHeight="false" outlineLevel="0" collapsed="false">
      <c r="A172" s="15" t="n">
        <v>0</v>
      </c>
      <c r="B172" s="15" t="s">
        <v>8</v>
      </c>
      <c r="C172" s="15" t="s">
        <v>95</v>
      </c>
      <c r="D172" s="16" t="s">
        <v>86</v>
      </c>
      <c r="E172" s="16" t="s">
        <v>78</v>
      </c>
      <c r="F172" s="16"/>
      <c r="G172" s="1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8"/>
      <c r="U172" s="18"/>
      <c r="V172" s="18"/>
      <c r="W172" s="19"/>
      <c r="X172" s="19"/>
      <c r="Y172" s="19"/>
      <c r="Z172" s="20"/>
      <c r="AA172" s="20"/>
      <c r="AB172" s="20"/>
      <c r="AC172" s="19"/>
      <c r="AD172" s="19"/>
      <c r="AE172" s="19"/>
      <c r="AF172" s="20"/>
      <c r="AG172" s="20"/>
      <c r="AH172" s="20"/>
      <c r="AI172" s="19"/>
      <c r="AJ172" s="19"/>
      <c r="AK172" s="19"/>
      <c r="AL172" s="20"/>
      <c r="AM172" s="20"/>
      <c r="AN172" s="20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5"/>
      <c r="BA172" s="15"/>
    </row>
    <row r="173" customFormat="false" ht="23.85" hidden="false" customHeight="false" outlineLevel="0" collapsed="false">
      <c r="A173" s="15" t="n">
        <v>0</v>
      </c>
      <c r="B173" s="15" t="s">
        <v>8</v>
      </c>
      <c r="C173" s="15" t="s">
        <v>95</v>
      </c>
      <c r="D173" s="16" t="s">
        <v>86</v>
      </c>
      <c r="E173" s="16" t="s">
        <v>79</v>
      </c>
      <c r="F173" s="16"/>
      <c r="G173" s="1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8"/>
      <c r="U173" s="18"/>
      <c r="V173" s="18"/>
      <c r="W173" s="19"/>
      <c r="X173" s="19"/>
      <c r="Y173" s="19"/>
      <c r="Z173" s="20"/>
      <c r="AA173" s="20"/>
      <c r="AB173" s="20"/>
      <c r="AC173" s="19"/>
      <c r="AD173" s="19"/>
      <c r="AE173" s="19"/>
      <c r="AF173" s="20"/>
      <c r="AG173" s="20"/>
      <c r="AH173" s="20"/>
      <c r="AI173" s="19"/>
      <c r="AJ173" s="19"/>
      <c r="AK173" s="19"/>
      <c r="AL173" s="20"/>
      <c r="AM173" s="20"/>
      <c r="AN173" s="20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5"/>
      <c r="BA173" s="15"/>
    </row>
    <row r="174" customFormat="false" ht="12.8" hidden="false" customHeight="false" outlineLevel="0" collapsed="false">
      <c r="A174" s="15" t="n">
        <v>0</v>
      </c>
      <c r="B174" s="15" t="s">
        <v>8</v>
      </c>
      <c r="C174" s="15" t="s">
        <v>95</v>
      </c>
      <c r="D174" s="16" t="s">
        <v>87</v>
      </c>
      <c r="E174" s="16" t="s">
        <v>78</v>
      </c>
      <c r="F174" s="16"/>
      <c r="G174" s="1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8"/>
      <c r="U174" s="18"/>
      <c r="V174" s="18"/>
      <c r="W174" s="19"/>
      <c r="X174" s="19"/>
      <c r="Y174" s="19"/>
      <c r="Z174" s="20"/>
      <c r="AA174" s="20"/>
      <c r="AB174" s="20"/>
      <c r="AC174" s="19"/>
      <c r="AD174" s="19"/>
      <c r="AE174" s="19"/>
      <c r="AF174" s="20"/>
      <c r="AG174" s="20"/>
      <c r="AH174" s="20"/>
      <c r="AI174" s="19"/>
      <c r="AJ174" s="19"/>
      <c r="AK174" s="19"/>
      <c r="AL174" s="20"/>
      <c r="AM174" s="20"/>
      <c r="AN174" s="20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5"/>
      <c r="BA174" s="15"/>
    </row>
    <row r="175" customFormat="false" ht="12.8" hidden="false" customHeight="false" outlineLevel="0" collapsed="false">
      <c r="A175" s="15" t="n">
        <v>0</v>
      </c>
      <c r="B175" s="15" t="s">
        <v>8</v>
      </c>
      <c r="C175" s="15" t="s">
        <v>95</v>
      </c>
      <c r="D175" s="16" t="s">
        <v>87</v>
      </c>
      <c r="E175" s="16" t="s">
        <v>79</v>
      </c>
      <c r="F175" s="16"/>
      <c r="G175" s="1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8"/>
      <c r="U175" s="18"/>
      <c r="V175" s="18"/>
      <c r="W175" s="19"/>
      <c r="X175" s="19"/>
      <c r="Y175" s="19"/>
      <c r="Z175" s="20"/>
      <c r="AA175" s="20"/>
      <c r="AB175" s="20"/>
      <c r="AC175" s="19"/>
      <c r="AD175" s="19"/>
      <c r="AE175" s="19"/>
      <c r="AF175" s="20"/>
      <c r="AG175" s="20"/>
      <c r="AH175" s="20"/>
      <c r="AI175" s="19"/>
      <c r="AJ175" s="19"/>
      <c r="AK175" s="19"/>
      <c r="AL175" s="20"/>
      <c r="AM175" s="20"/>
      <c r="AN175" s="20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5"/>
      <c r="BA175" s="15"/>
    </row>
    <row r="176" customFormat="false" ht="12.8" hidden="false" customHeight="false" outlineLevel="0" collapsed="false">
      <c r="A176" s="15" t="n">
        <v>0</v>
      </c>
      <c r="B176" s="15" t="s">
        <v>8</v>
      </c>
      <c r="C176" s="15" t="s">
        <v>95</v>
      </c>
      <c r="D176" s="16" t="s">
        <v>88</v>
      </c>
      <c r="E176" s="16" t="s">
        <v>78</v>
      </c>
      <c r="F176" s="16"/>
      <c r="G176" s="1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8"/>
      <c r="U176" s="18"/>
      <c r="V176" s="18"/>
      <c r="W176" s="19"/>
      <c r="X176" s="19"/>
      <c r="Y176" s="19"/>
      <c r="Z176" s="20"/>
      <c r="AA176" s="20"/>
      <c r="AB176" s="20"/>
      <c r="AC176" s="19"/>
      <c r="AD176" s="19"/>
      <c r="AE176" s="19"/>
      <c r="AF176" s="20"/>
      <c r="AG176" s="20"/>
      <c r="AH176" s="20"/>
      <c r="AI176" s="19"/>
      <c r="AJ176" s="19"/>
      <c r="AK176" s="19"/>
      <c r="AL176" s="20"/>
      <c r="AM176" s="20"/>
      <c r="AN176" s="20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5"/>
      <c r="BA176" s="15"/>
    </row>
    <row r="177" customFormat="false" ht="12.8" hidden="false" customHeight="false" outlineLevel="0" collapsed="false">
      <c r="A177" s="15" t="n">
        <v>0</v>
      </c>
      <c r="B177" s="15" t="s">
        <v>8</v>
      </c>
      <c r="C177" s="15" t="s">
        <v>95</v>
      </c>
      <c r="D177" s="16" t="s">
        <v>88</v>
      </c>
      <c r="E177" s="16" t="s">
        <v>79</v>
      </c>
      <c r="F177" s="16"/>
      <c r="G177" s="1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8"/>
      <c r="U177" s="18"/>
      <c r="V177" s="18"/>
      <c r="W177" s="19"/>
      <c r="X177" s="19"/>
      <c r="Y177" s="19"/>
      <c r="Z177" s="20"/>
      <c r="AA177" s="20"/>
      <c r="AB177" s="20"/>
      <c r="AC177" s="19"/>
      <c r="AD177" s="19"/>
      <c r="AE177" s="19"/>
      <c r="AF177" s="20"/>
      <c r="AG177" s="20"/>
      <c r="AH177" s="20"/>
      <c r="AI177" s="19"/>
      <c r="AJ177" s="19"/>
      <c r="AK177" s="19"/>
      <c r="AL177" s="20"/>
      <c r="AM177" s="20"/>
      <c r="AN177" s="20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5"/>
      <c r="BA177" s="15"/>
    </row>
    <row r="178" customFormat="false" ht="12.8" hidden="false" customHeight="false" outlineLevel="0" collapsed="false">
      <c r="A178" s="15"/>
      <c r="B178" s="15"/>
      <c r="C178" s="15"/>
      <c r="D178" s="16"/>
      <c r="E178" s="16"/>
      <c r="F178" s="16"/>
      <c r="G178" s="1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8"/>
      <c r="U178" s="18"/>
      <c r="V178" s="18"/>
      <c r="W178" s="19"/>
      <c r="X178" s="19"/>
      <c r="Y178" s="19"/>
      <c r="Z178" s="20"/>
      <c r="AA178" s="20"/>
      <c r="AB178" s="20"/>
      <c r="AC178" s="19"/>
      <c r="AD178" s="19"/>
      <c r="AE178" s="19"/>
      <c r="AF178" s="20"/>
      <c r="AG178" s="20"/>
      <c r="AH178" s="20"/>
      <c r="AI178" s="19"/>
      <c r="AJ178" s="19"/>
      <c r="AK178" s="19"/>
      <c r="AL178" s="20"/>
      <c r="AM178" s="20"/>
      <c r="AN178" s="20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5"/>
      <c r="BA178" s="15"/>
    </row>
    <row r="179" customFormat="false" ht="12.8" hidden="false" customHeight="false" outlineLevel="0" collapsed="false">
      <c r="A179" s="15" t="n">
        <v>0</v>
      </c>
      <c r="B179" s="15" t="s">
        <v>8</v>
      </c>
      <c r="C179" s="15" t="s">
        <v>96</v>
      </c>
      <c r="D179" s="16" t="s">
        <v>75</v>
      </c>
      <c r="E179" s="16" t="s">
        <v>76</v>
      </c>
      <c r="F179" s="16"/>
      <c r="G179" s="1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8"/>
      <c r="U179" s="18"/>
      <c r="V179" s="18"/>
      <c r="W179" s="19"/>
      <c r="X179" s="19"/>
      <c r="Y179" s="19"/>
      <c r="Z179" s="20"/>
      <c r="AA179" s="20"/>
      <c r="AB179" s="20"/>
      <c r="AC179" s="19"/>
      <c r="AD179" s="19"/>
      <c r="AE179" s="19"/>
      <c r="AF179" s="20"/>
      <c r="AG179" s="20"/>
      <c r="AH179" s="20"/>
      <c r="AI179" s="19"/>
      <c r="AJ179" s="19"/>
      <c r="AK179" s="19"/>
      <c r="AL179" s="20"/>
      <c r="AM179" s="20"/>
      <c r="AN179" s="20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5"/>
      <c r="BA179" s="15"/>
    </row>
    <row r="180" customFormat="false" ht="12.8" hidden="false" customHeight="false" outlineLevel="0" collapsed="false">
      <c r="A180" s="15" t="n">
        <v>0</v>
      </c>
      <c r="B180" s="15" t="s">
        <v>8</v>
      </c>
      <c r="C180" s="15" t="s">
        <v>96</v>
      </c>
      <c r="D180" s="16" t="s">
        <v>77</v>
      </c>
      <c r="E180" s="16" t="s">
        <v>78</v>
      </c>
      <c r="F180" s="16"/>
      <c r="G180" s="1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8"/>
      <c r="U180" s="18"/>
      <c r="V180" s="18"/>
      <c r="W180" s="19"/>
      <c r="X180" s="19"/>
      <c r="Y180" s="19"/>
      <c r="Z180" s="20"/>
      <c r="AA180" s="20"/>
      <c r="AB180" s="20"/>
      <c r="AC180" s="19"/>
      <c r="AD180" s="19"/>
      <c r="AE180" s="19"/>
      <c r="AF180" s="20"/>
      <c r="AG180" s="20"/>
      <c r="AH180" s="20"/>
      <c r="AI180" s="19"/>
      <c r="AJ180" s="19"/>
      <c r="AK180" s="19"/>
      <c r="AL180" s="20"/>
      <c r="AM180" s="20"/>
      <c r="AN180" s="20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5"/>
      <c r="BA180" s="15"/>
    </row>
    <row r="181" customFormat="false" ht="12.8" hidden="false" customHeight="false" outlineLevel="0" collapsed="false">
      <c r="A181" s="15" t="n">
        <v>0</v>
      </c>
      <c r="B181" s="15" t="s">
        <v>8</v>
      </c>
      <c r="C181" s="15" t="s">
        <v>96</v>
      </c>
      <c r="D181" s="16" t="s">
        <v>77</v>
      </c>
      <c r="E181" s="16" t="s">
        <v>79</v>
      </c>
      <c r="F181" s="16"/>
      <c r="G181" s="1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8"/>
      <c r="U181" s="18"/>
      <c r="V181" s="18"/>
      <c r="W181" s="19"/>
      <c r="X181" s="19"/>
      <c r="Y181" s="19"/>
      <c r="Z181" s="20"/>
      <c r="AA181" s="20"/>
      <c r="AB181" s="20"/>
      <c r="AC181" s="19"/>
      <c r="AD181" s="19"/>
      <c r="AE181" s="19"/>
      <c r="AF181" s="20"/>
      <c r="AG181" s="20"/>
      <c r="AH181" s="20"/>
      <c r="AI181" s="19"/>
      <c r="AJ181" s="19"/>
      <c r="AK181" s="19"/>
      <c r="AL181" s="20"/>
      <c r="AM181" s="20"/>
      <c r="AN181" s="20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5"/>
      <c r="BA181" s="15"/>
    </row>
    <row r="182" customFormat="false" ht="12.8" hidden="false" customHeight="false" outlineLevel="0" collapsed="false">
      <c r="A182" s="15" t="n">
        <v>0</v>
      </c>
      <c r="B182" s="15" t="s">
        <v>8</v>
      </c>
      <c r="C182" s="15" t="s">
        <v>96</v>
      </c>
      <c r="D182" s="16" t="s">
        <v>80</v>
      </c>
      <c r="E182" s="16" t="s">
        <v>78</v>
      </c>
      <c r="F182" s="16"/>
      <c r="G182" s="1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8"/>
      <c r="U182" s="18"/>
      <c r="V182" s="18"/>
      <c r="W182" s="19"/>
      <c r="X182" s="19"/>
      <c r="Y182" s="19"/>
      <c r="Z182" s="20"/>
      <c r="AA182" s="20"/>
      <c r="AB182" s="20"/>
      <c r="AC182" s="19"/>
      <c r="AD182" s="19"/>
      <c r="AE182" s="19"/>
      <c r="AF182" s="20"/>
      <c r="AG182" s="20"/>
      <c r="AH182" s="20"/>
      <c r="AI182" s="19"/>
      <c r="AJ182" s="19"/>
      <c r="AK182" s="19"/>
      <c r="AL182" s="20"/>
      <c r="AM182" s="20"/>
      <c r="AN182" s="20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5"/>
      <c r="BA182" s="15"/>
    </row>
    <row r="183" customFormat="false" ht="12.8" hidden="false" customHeight="false" outlineLevel="0" collapsed="false">
      <c r="A183" s="15" t="n">
        <v>0</v>
      </c>
      <c r="B183" s="15" t="s">
        <v>8</v>
      </c>
      <c r="C183" s="15" t="s">
        <v>96</v>
      </c>
      <c r="D183" s="16" t="s">
        <v>80</v>
      </c>
      <c r="E183" s="16" t="s">
        <v>79</v>
      </c>
      <c r="F183" s="16"/>
      <c r="G183" s="1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8"/>
      <c r="U183" s="18"/>
      <c r="V183" s="18"/>
      <c r="W183" s="19"/>
      <c r="X183" s="19"/>
      <c r="Y183" s="19"/>
      <c r="Z183" s="20"/>
      <c r="AA183" s="20"/>
      <c r="AB183" s="20"/>
      <c r="AC183" s="19"/>
      <c r="AD183" s="19"/>
      <c r="AE183" s="19"/>
      <c r="AF183" s="20"/>
      <c r="AG183" s="20"/>
      <c r="AH183" s="20"/>
      <c r="AI183" s="19"/>
      <c r="AJ183" s="19"/>
      <c r="AK183" s="19"/>
      <c r="AL183" s="20"/>
      <c r="AM183" s="20"/>
      <c r="AN183" s="20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5"/>
      <c r="BA183" s="15"/>
    </row>
    <row r="184" customFormat="false" ht="12.8" hidden="false" customHeight="false" outlineLevel="0" collapsed="false">
      <c r="A184" s="15" t="n">
        <v>0</v>
      </c>
      <c r="B184" s="15" t="s">
        <v>8</v>
      </c>
      <c r="C184" s="15" t="s">
        <v>96</v>
      </c>
      <c r="D184" s="16" t="s">
        <v>81</v>
      </c>
      <c r="E184" s="16" t="s">
        <v>78</v>
      </c>
      <c r="F184" s="16"/>
      <c r="G184" s="1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8"/>
      <c r="U184" s="18"/>
      <c r="V184" s="18"/>
      <c r="W184" s="19"/>
      <c r="X184" s="19"/>
      <c r="Y184" s="19"/>
      <c r="Z184" s="20"/>
      <c r="AA184" s="20"/>
      <c r="AB184" s="20"/>
      <c r="AC184" s="19"/>
      <c r="AD184" s="19"/>
      <c r="AE184" s="19"/>
      <c r="AF184" s="20"/>
      <c r="AG184" s="20"/>
      <c r="AH184" s="20"/>
      <c r="AI184" s="19"/>
      <c r="AJ184" s="19"/>
      <c r="AK184" s="19"/>
      <c r="AL184" s="20"/>
      <c r="AM184" s="20"/>
      <c r="AN184" s="20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5"/>
      <c r="BA184" s="15"/>
    </row>
    <row r="185" customFormat="false" ht="12.8" hidden="false" customHeight="false" outlineLevel="0" collapsed="false">
      <c r="A185" s="15" t="n">
        <v>0</v>
      </c>
      <c r="B185" s="15" t="s">
        <v>8</v>
      </c>
      <c r="C185" s="15" t="s">
        <v>96</v>
      </c>
      <c r="D185" s="16" t="s">
        <v>81</v>
      </c>
      <c r="E185" s="16" t="s">
        <v>79</v>
      </c>
      <c r="F185" s="16"/>
      <c r="G185" s="1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8"/>
      <c r="U185" s="18"/>
      <c r="V185" s="18"/>
      <c r="W185" s="19"/>
      <c r="X185" s="19"/>
      <c r="Y185" s="19"/>
      <c r="Z185" s="20"/>
      <c r="AA185" s="20"/>
      <c r="AB185" s="20"/>
      <c r="AC185" s="19"/>
      <c r="AD185" s="19"/>
      <c r="AE185" s="19"/>
      <c r="AF185" s="20"/>
      <c r="AG185" s="20"/>
      <c r="AH185" s="20"/>
      <c r="AI185" s="19"/>
      <c r="AJ185" s="19"/>
      <c r="AK185" s="19"/>
      <c r="AL185" s="20"/>
      <c r="AM185" s="20"/>
      <c r="AN185" s="20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5"/>
      <c r="BA185" s="15"/>
    </row>
    <row r="186" customFormat="false" ht="12.8" hidden="false" customHeight="false" outlineLevel="0" collapsed="false">
      <c r="A186" s="15" t="n">
        <v>0</v>
      </c>
      <c r="B186" s="15" t="s">
        <v>8</v>
      </c>
      <c r="C186" s="15" t="s">
        <v>96</v>
      </c>
      <c r="D186" s="16" t="s">
        <v>82</v>
      </c>
      <c r="E186" s="16" t="s">
        <v>78</v>
      </c>
      <c r="F186" s="16"/>
      <c r="G186" s="1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8"/>
      <c r="U186" s="18"/>
      <c r="V186" s="18"/>
      <c r="W186" s="19"/>
      <c r="X186" s="19"/>
      <c r="Y186" s="19"/>
      <c r="Z186" s="20"/>
      <c r="AA186" s="20"/>
      <c r="AB186" s="20"/>
      <c r="AC186" s="19"/>
      <c r="AD186" s="19"/>
      <c r="AE186" s="19"/>
      <c r="AF186" s="20"/>
      <c r="AG186" s="20"/>
      <c r="AH186" s="20"/>
      <c r="AI186" s="19"/>
      <c r="AJ186" s="19"/>
      <c r="AK186" s="19"/>
      <c r="AL186" s="20"/>
      <c r="AM186" s="20"/>
      <c r="AN186" s="20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5"/>
      <c r="BA186" s="15"/>
    </row>
    <row r="187" customFormat="false" ht="12.8" hidden="false" customHeight="false" outlineLevel="0" collapsed="false">
      <c r="A187" s="15" t="n">
        <v>0</v>
      </c>
      <c r="B187" s="15" t="s">
        <v>8</v>
      </c>
      <c r="C187" s="15" t="s">
        <v>96</v>
      </c>
      <c r="D187" s="16" t="s">
        <v>82</v>
      </c>
      <c r="E187" s="16" t="s">
        <v>79</v>
      </c>
      <c r="F187" s="16"/>
      <c r="G187" s="1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8"/>
      <c r="U187" s="18"/>
      <c r="V187" s="18"/>
      <c r="W187" s="19"/>
      <c r="X187" s="19"/>
      <c r="Y187" s="19"/>
      <c r="Z187" s="20"/>
      <c r="AA187" s="20"/>
      <c r="AB187" s="20"/>
      <c r="AC187" s="19"/>
      <c r="AD187" s="19"/>
      <c r="AE187" s="19"/>
      <c r="AF187" s="20"/>
      <c r="AG187" s="20"/>
      <c r="AH187" s="20"/>
      <c r="AI187" s="19"/>
      <c r="AJ187" s="19"/>
      <c r="AK187" s="19"/>
      <c r="AL187" s="20"/>
      <c r="AM187" s="20"/>
      <c r="AN187" s="20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5"/>
      <c r="BA187" s="15"/>
    </row>
    <row r="188" customFormat="false" ht="12.8" hidden="false" customHeight="false" outlineLevel="0" collapsed="false">
      <c r="A188" s="15" t="n">
        <v>0</v>
      </c>
      <c r="B188" s="15" t="s">
        <v>8</v>
      </c>
      <c r="C188" s="15" t="s">
        <v>96</v>
      </c>
      <c r="D188" s="16" t="s">
        <v>83</v>
      </c>
      <c r="E188" s="16" t="s">
        <v>78</v>
      </c>
      <c r="F188" s="16"/>
      <c r="G188" s="1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8"/>
      <c r="U188" s="18"/>
      <c r="V188" s="18"/>
      <c r="W188" s="19"/>
      <c r="X188" s="19"/>
      <c r="Y188" s="19"/>
      <c r="Z188" s="20"/>
      <c r="AA188" s="20"/>
      <c r="AB188" s="20"/>
      <c r="AC188" s="19"/>
      <c r="AD188" s="19"/>
      <c r="AE188" s="19"/>
      <c r="AF188" s="20"/>
      <c r="AG188" s="20"/>
      <c r="AH188" s="20"/>
      <c r="AI188" s="19"/>
      <c r="AJ188" s="19"/>
      <c r="AK188" s="19"/>
      <c r="AL188" s="20"/>
      <c r="AM188" s="20"/>
      <c r="AN188" s="20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5"/>
      <c r="BA188" s="15"/>
    </row>
    <row r="189" customFormat="false" ht="12.8" hidden="false" customHeight="false" outlineLevel="0" collapsed="false">
      <c r="A189" s="15" t="n">
        <v>0</v>
      </c>
      <c r="B189" s="15" t="s">
        <v>8</v>
      </c>
      <c r="C189" s="15" t="s">
        <v>96</v>
      </c>
      <c r="D189" s="16" t="s">
        <v>83</v>
      </c>
      <c r="E189" s="16" t="s">
        <v>79</v>
      </c>
      <c r="F189" s="16"/>
      <c r="G189" s="1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8"/>
      <c r="U189" s="18"/>
      <c r="V189" s="18"/>
      <c r="W189" s="19"/>
      <c r="X189" s="19"/>
      <c r="Y189" s="19"/>
      <c r="Z189" s="20"/>
      <c r="AA189" s="20"/>
      <c r="AB189" s="20"/>
      <c r="AC189" s="19"/>
      <c r="AD189" s="19"/>
      <c r="AE189" s="19"/>
      <c r="AF189" s="20"/>
      <c r="AG189" s="20"/>
      <c r="AH189" s="20"/>
      <c r="AI189" s="19"/>
      <c r="AJ189" s="19"/>
      <c r="AK189" s="19"/>
      <c r="AL189" s="20"/>
      <c r="AM189" s="20"/>
      <c r="AN189" s="20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5"/>
      <c r="BA189" s="15"/>
    </row>
    <row r="190" customFormat="false" ht="23.85" hidden="false" customHeight="false" outlineLevel="0" collapsed="false">
      <c r="A190" s="15" t="n">
        <v>0</v>
      </c>
      <c r="B190" s="15" t="s">
        <v>8</v>
      </c>
      <c r="C190" s="15" t="s">
        <v>96</v>
      </c>
      <c r="D190" s="16" t="s">
        <v>84</v>
      </c>
      <c r="E190" s="16" t="s">
        <v>78</v>
      </c>
      <c r="F190" s="16"/>
      <c r="G190" s="1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8"/>
      <c r="U190" s="18"/>
      <c r="V190" s="18"/>
      <c r="W190" s="19"/>
      <c r="X190" s="19"/>
      <c r="Y190" s="19"/>
      <c r="Z190" s="20"/>
      <c r="AA190" s="20"/>
      <c r="AB190" s="20"/>
      <c r="AC190" s="19"/>
      <c r="AD190" s="19"/>
      <c r="AE190" s="19"/>
      <c r="AF190" s="20"/>
      <c r="AG190" s="20"/>
      <c r="AH190" s="20"/>
      <c r="AI190" s="19"/>
      <c r="AJ190" s="19"/>
      <c r="AK190" s="19"/>
      <c r="AL190" s="20"/>
      <c r="AM190" s="20"/>
      <c r="AN190" s="20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5"/>
      <c r="BA190" s="15"/>
    </row>
    <row r="191" customFormat="false" ht="23.85" hidden="false" customHeight="false" outlineLevel="0" collapsed="false">
      <c r="A191" s="15" t="n">
        <v>0</v>
      </c>
      <c r="B191" s="15" t="s">
        <v>8</v>
      </c>
      <c r="C191" s="15" t="s">
        <v>96</v>
      </c>
      <c r="D191" s="16" t="s">
        <v>84</v>
      </c>
      <c r="E191" s="16" t="s">
        <v>79</v>
      </c>
      <c r="F191" s="16"/>
      <c r="G191" s="1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8"/>
      <c r="U191" s="18"/>
      <c r="V191" s="18"/>
      <c r="W191" s="19"/>
      <c r="X191" s="19"/>
      <c r="Y191" s="19"/>
      <c r="Z191" s="20"/>
      <c r="AA191" s="20"/>
      <c r="AB191" s="20"/>
      <c r="AC191" s="19"/>
      <c r="AD191" s="19"/>
      <c r="AE191" s="19"/>
      <c r="AF191" s="20"/>
      <c r="AG191" s="20"/>
      <c r="AH191" s="20"/>
      <c r="AI191" s="19"/>
      <c r="AJ191" s="19"/>
      <c r="AK191" s="19"/>
      <c r="AL191" s="20"/>
      <c r="AM191" s="20"/>
      <c r="AN191" s="20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5"/>
      <c r="BA191" s="15"/>
    </row>
    <row r="192" customFormat="false" ht="12.8" hidden="false" customHeight="false" outlineLevel="0" collapsed="false">
      <c r="A192" s="15" t="n">
        <v>0</v>
      </c>
      <c r="B192" s="15" t="s">
        <v>8</v>
      </c>
      <c r="C192" s="15" t="s">
        <v>96</v>
      </c>
      <c r="D192" s="16" t="s">
        <v>85</v>
      </c>
      <c r="E192" s="16" t="s">
        <v>78</v>
      </c>
      <c r="F192" s="16"/>
      <c r="G192" s="1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8"/>
      <c r="U192" s="18"/>
      <c r="V192" s="18"/>
      <c r="W192" s="19"/>
      <c r="X192" s="19"/>
      <c r="Y192" s="19"/>
      <c r="Z192" s="20"/>
      <c r="AA192" s="20"/>
      <c r="AB192" s="20"/>
      <c r="AC192" s="19"/>
      <c r="AD192" s="19"/>
      <c r="AE192" s="19"/>
      <c r="AF192" s="20"/>
      <c r="AG192" s="20"/>
      <c r="AH192" s="20"/>
      <c r="AI192" s="19"/>
      <c r="AJ192" s="19"/>
      <c r="AK192" s="19"/>
      <c r="AL192" s="20"/>
      <c r="AM192" s="20"/>
      <c r="AN192" s="20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5"/>
      <c r="BA192" s="15"/>
    </row>
    <row r="193" customFormat="false" ht="12.8" hidden="false" customHeight="false" outlineLevel="0" collapsed="false">
      <c r="A193" s="15" t="n">
        <v>0</v>
      </c>
      <c r="B193" s="15" t="s">
        <v>8</v>
      </c>
      <c r="C193" s="15" t="s">
        <v>96</v>
      </c>
      <c r="D193" s="16" t="s">
        <v>85</v>
      </c>
      <c r="E193" s="16" t="s">
        <v>79</v>
      </c>
      <c r="F193" s="16"/>
      <c r="G193" s="1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8"/>
      <c r="U193" s="18"/>
      <c r="V193" s="18"/>
      <c r="W193" s="19"/>
      <c r="X193" s="19"/>
      <c r="Y193" s="19"/>
      <c r="Z193" s="20"/>
      <c r="AA193" s="20"/>
      <c r="AB193" s="20"/>
      <c r="AC193" s="19"/>
      <c r="AD193" s="19"/>
      <c r="AE193" s="19"/>
      <c r="AF193" s="20"/>
      <c r="AG193" s="20"/>
      <c r="AH193" s="20"/>
      <c r="AI193" s="19"/>
      <c r="AJ193" s="19"/>
      <c r="AK193" s="19"/>
      <c r="AL193" s="20"/>
      <c r="AM193" s="20"/>
      <c r="AN193" s="20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5"/>
      <c r="BA193" s="15"/>
    </row>
    <row r="194" customFormat="false" ht="23.85" hidden="false" customHeight="false" outlineLevel="0" collapsed="false">
      <c r="A194" s="15" t="n">
        <v>0</v>
      </c>
      <c r="B194" s="15" t="s">
        <v>8</v>
      </c>
      <c r="C194" s="15" t="s">
        <v>96</v>
      </c>
      <c r="D194" s="16" t="s">
        <v>86</v>
      </c>
      <c r="E194" s="16" t="s">
        <v>78</v>
      </c>
      <c r="F194" s="16"/>
      <c r="G194" s="1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8"/>
      <c r="U194" s="18"/>
      <c r="V194" s="18"/>
      <c r="W194" s="19"/>
      <c r="X194" s="19"/>
      <c r="Y194" s="19"/>
      <c r="Z194" s="20"/>
      <c r="AA194" s="20"/>
      <c r="AB194" s="20"/>
      <c r="AC194" s="19"/>
      <c r="AD194" s="19"/>
      <c r="AE194" s="19"/>
      <c r="AF194" s="20"/>
      <c r="AG194" s="20"/>
      <c r="AH194" s="20"/>
      <c r="AI194" s="19"/>
      <c r="AJ194" s="19"/>
      <c r="AK194" s="19"/>
      <c r="AL194" s="20"/>
      <c r="AM194" s="20"/>
      <c r="AN194" s="20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5"/>
      <c r="BA194" s="15"/>
    </row>
    <row r="195" customFormat="false" ht="23.85" hidden="false" customHeight="false" outlineLevel="0" collapsed="false">
      <c r="A195" s="15" t="n">
        <v>0</v>
      </c>
      <c r="B195" s="15" t="s">
        <v>8</v>
      </c>
      <c r="C195" s="15" t="s">
        <v>96</v>
      </c>
      <c r="D195" s="16" t="s">
        <v>86</v>
      </c>
      <c r="E195" s="16" t="s">
        <v>79</v>
      </c>
      <c r="F195" s="16"/>
      <c r="G195" s="1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8"/>
      <c r="U195" s="18"/>
      <c r="V195" s="18"/>
      <c r="W195" s="19"/>
      <c r="X195" s="19"/>
      <c r="Y195" s="19"/>
      <c r="Z195" s="20"/>
      <c r="AA195" s="20"/>
      <c r="AB195" s="20"/>
      <c r="AC195" s="19"/>
      <c r="AD195" s="19"/>
      <c r="AE195" s="19"/>
      <c r="AF195" s="20"/>
      <c r="AG195" s="20"/>
      <c r="AH195" s="20"/>
      <c r="AI195" s="19"/>
      <c r="AJ195" s="19"/>
      <c r="AK195" s="19"/>
      <c r="AL195" s="20"/>
      <c r="AM195" s="20"/>
      <c r="AN195" s="20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5"/>
      <c r="BA195" s="15"/>
    </row>
    <row r="196" customFormat="false" ht="12.8" hidden="false" customHeight="false" outlineLevel="0" collapsed="false">
      <c r="A196" s="15" t="n">
        <v>0</v>
      </c>
      <c r="B196" s="15" t="s">
        <v>8</v>
      </c>
      <c r="C196" s="15" t="s">
        <v>96</v>
      </c>
      <c r="D196" s="16" t="s">
        <v>87</v>
      </c>
      <c r="E196" s="16" t="s">
        <v>78</v>
      </c>
      <c r="F196" s="16"/>
      <c r="G196" s="1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8"/>
      <c r="U196" s="18"/>
      <c r="V196" s="18"/>
      <c r="W196" s="19"/>
      <c r="X196" s="19"/>
      <c r="Y196" s="19"/>
      <c r="Z196" s="20"/>
      <c r="AA196" s="20"/>
      <c r="AB196" s="20"/>
      <c r="AC196" s="19"/>
      <c r="AD196" s="19"/>
      <c r="AE196" s="19"/>
      <c r="AF196" s="20"/>
      <c r="AG196" s="20"/>
      <c r="AH196" s="20"/>
      <c r="AI196" s="19"/>
      <c r="AJ196" s="19"/>
      <c r="AK196" s="19"/>
      <c r="AL196" s="20"/>
      <c r="AM196" s="20"/>
      <c r="AN196" s="20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5"/>
      <c r="BA196" s="15"/>
    </row>
    <row r="197" customFormat="false" ht="12.8" hidden="false" customHeight="false" outlineLevel="0" collapsed="false">
      <c r="A197" s="15" t="n">
        <v>0</v>
      </c>
      <c r="B197" s="15" t="s">
        <v>8</v>
      </c>
      <c r="C197" s="15" t="s">
        <v>96</v>
      </c>
      <c r="D197" s="16" t="s">
        <v>87</v>
      </c>
      <c r="E197" s="16" t="s">
        <v>79</v>
      </c>
      <c r="F197" s="16"/>
      <c r="G197" s="1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8"/>
      <c r="U197" s="18"/>
      <c r="V197" s="18"/>
      <c r="W197" s="19"/>
      <c r="X197" s="19"/>
      <c r="Y197" s="19"/>
      <c r="Z197" s="20"/>
      <c r="AA197" s="20"/>
      <c r="AB197" s="20"/>
      <c r="AC197" s="19"/>
      <c r="AD197" s="19"/>
      <c r="AE197" s="19"/>
      <c r="AF197" s="20"/>
      <c r="AG197" s="20"/>
      <c r="AH197" s="20"/>
      <c r="AI197" s="19"/>
      <c r="AJ197" s="19"/>
      <c r="AK197" s="19"/>
      <c r="AL197" s="20"/>
      <c r="AM197" s="20"/>
      <c r="AN197" s="20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5"/>
      <c r="BA197" s="15"/>
    </row>
    <row r="198" customFormat="false" ht="12.8" hidden="false" customHeight="false" outlineLevel="0" collapsed="false">
      <c r="A198" s="15" t="n">
        <v>0</v>
      </c>
      <c r="B198" s="15" t="s">
        <v>8</v>
      </c>
      <c r="C198" s="15" t="s">
        <v>96</v>
      </c>
      <c r="D198" s="16" t="s">
        <v>88</v>
      </c>
      <c r="E198" s="16" t="s">
        <v>78</v>
      </c>
      <c r="F198" s="16"/>
      <c r="G198" s="1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8"/>
      <c r="U198" s="18"/>
      <c r="V198" s="18"/>
      <c r="W198" s="19"/>
      <c r="X198" s="19"/>
      <c r="Y198" s="19"/>
      <c r="Z198" s="20"/>
      <c r="AA198" s="20"/>
      <c r="AB198" s="20"/>
      <c r="AC198" s="19"/>
      <c r="AD198" s="19"/>
      <c r="AE198" s="19"/>
      <c r="AF198" s="20"/>
      <c r="AG198" s="20"/>
      <c r="AH198" s="20"/>
      <c r="AI198" s="19"/>
      <c r="AJ198" s="19"/>
      <c r="AK198" s="19"/>
      <c r="AL198" s="20"/>
      <c r="AM198" s="20"/>
      <c r="AN198" s="20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5"/>
      <c r="BA198" s="15"/>
    </row>
    <row r="199" customFormat="false" ht="12.8" hidden="false" customHeight="false" outlineLevel="0" collapsed="false">
      <c r="A199" s="15" t="n">
        <v>0</v>
      </c>
      <c r="B199" s="15" t="s">
        <v>8</v>
      </c>
      <c r="C199" s="15" t="s">
        <v>96</v>
      </c>
      <c r="D199" s="16" t="s">
        <v>88</v>
      </c>
      <c r="E199" s="16" t="s">
        <v>79</v>
      </c>
      <c r="F199" s="16"/>
      <c r="G199" s="1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8"/>
      <c r="U199" s="18"/>
      <c r="V199" s="18"/>
      <c r="W199" s="19"/>
      <c r="X199" s="19"/>
      <c r="Y199" s="19"/>
      <c r="Z199" s="20"/>
      <c r="AA199" s="20"/>
      <c r="AB199" s="20"/>
      <c r="AC199" s="19"/>
      <c r="AD199" s="19"/>
      <c r="AE199" s="19"/>
      <c r="AF199" s="20"/>
      <c r="AG199" s="20"/>
      <c r="AH199" s="20"/>
      <c r="AI199" s="19"/>
      <c r="AJ199" s="19"/>
      <c r="AK199" s="19"/>
      <c r="AL199" s="20"/>
      <c r="AM199" s="20"/>
      <c r="AN199" s="20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5"/>
      <c r="BA199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0041"/>
    <pageSetUpPr fitToPage="false"/>
  </sheetPr>
  <dimension ref="A1:AY867"/>
  <sheetViews>
    <sheetView showFormulas="false" showGridLines="true" showRowColHeaders="true" showZeros="true" rightToLeft="false" tabSelected="true" showOutlineSymbols="true" defaultGridColor="true" view="normal" topLeftCell="A893" colorId="64" zoomScale="80" zoomScaleNormal="80" zoomScalePageLayoutView="100" workbookViewId="0">
      <selection pane="topLeft" activeCell="H939" activeCellId="0" sqref="H939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2" min="2" style="1" width="36.9"/>
    <col collapsed="false" customWidth="true" hidden="false" outlineLevel="0" max="3" min="3" style="1" width="21.47"/>
    <col collapsed="false" customWidth="true" hidden="false" outlineLevel="0" max="34" min="4" style="1" width="16.84"/>
    <col collapsed="false" customWidth="true" hidden="false" outlineLevel="0" max="48" min="35" style="1" width="17.78"/>
    <col collapsed="false" customWidth="true" hidden="false" outlineLevel="0" max="51" min="49" style="1" width="15.48"/>
  </cols>
  <sheetData>
    <row r="1" customFormat="false" ht="12.8" hidden="false" customHeight="false" outlineLevel="0" collapsed="false">
      <c r="A1" s="21" t="s">
        <v>97</v>
      </c>
      <c r="B1" s="15" t="s">
        <v>98</v>
      </c>
    </row>
    <row r="2" s="26" customFormat="true" ht="46.25" hidden="false" customHeight="false" outlineLevel="0" collapsed="false">
      <c r="A2" s="14" t="s">
        <v>13</v>
      </c>
      <c r="B2" s="14" t="s">
        <v>24</v>
      </c>
      <c r="C2" s="14" t="s">
        <v>25</v>
      </c>
      <c r="D2" s="22" t="s">
        <v>26</v>
      </c>
      <c r="E2" s="22" t="s">
        <v>27</v>
      </c>
      <c r="F2" s="22" t="s">
        <v>28</v>
      </c>
      <c r="G2" s="22" t="s">
        <v>29</v>
      </c>
      <c r="H2" s="23" t="s">
        <v>99</v>
      </c>
      <c r="I2" s="23" t="s">
        <v>100</v>
      </c>
      <c r="J2" s="23" t="s">
        <v>101</v>
      </c>
      <c r="K2" s="23" t="s">
        <v>102</v>
      </c>
      <c r="L2" s="23" t="s">
        <v>103</v>
      </c>
      <c r="M2" s="23" t="s">
        <v>104</v>
      </c>
      <c r="N2" s="23" t="s">
        <v>105</v>
      </c>
      <c r="O2" s="23" t="s">
        <v>106</v>
      </c>
      <c r="P2" s="23" t="s">
        <v>107</v>
      </c>
      <c r="Q2" s="23" t="s">
        <v>108</v>
      </c>
      <c r="R2" s="23" t="s">
        <v>109</v>
      </c>
      <c r="S2" s="23" t="s">
        <v>110</v>
      </c>
      <c r="T2" s="23" t="s">
        <v>111</v>
      </c>
      <c r="U2" s="23" t="s">
        <v>112</v>
      </c>
      <c r="V2" s="23" t="s">
        <v>113</v>
      </c>
      <c r="W2" s="24" t="s">
        <v>114</v>
      </c>
      <c r="X2" s="24" t="s">
        <v>115</v>
      </c>
      <c r="Y2" s="24" t="s">
        <v>116</v>
      </c>
      <c r="Z2" s="25" t="s">
        <v>117</v>
      </c>
      <c r="AA2" s="25" t="s">
        <v>118</v>
      </c>
      <c r="AB2" s="25" t="s">
        <v>119</v>
      </c>
      <c r="AC2" s="24" t="s">
        <v>120</v>
      </c>
      <c r="AD2" s="24" t="s">
        <v>121</v>
      </c>
      <c r="AE2" s="24" t="s">
        <v>122</v>
      </c>
      <c r="AF2" s="25" t="s">
        <v>123</v>
      </c>
      <c r="AG2" s="25" t="s">
        <v>124</v>
      </c>
      <c r="AH2" s="25" t="s">
        <v>125</v>
      </c>
      <c r="AI2" s="24" t="s">
        <v>126</v>
      </c>
      <c r="AJ2" s="24" t="s">
        <v>127</v>
      </c>
      <c r="AK2" s="24" t="s">
        <v>128</v>
      </c>
      <c r="AL2" s="25" t="s">
        <v>129</v>
      </c>
      <c r="AM2" s="25" t="s">
        <v>130</v>
      </c>
      <c r="AN2" s="25" t="s">
        <v>131</v>
      </c>
      <c r="AO2" s="24" t="s">
        <v>132</v>
      </c>
      <c r="AP2" s="24" t="s">
        <v>133</v>
      </c>
      <c r="AQ2" s="24" t="s">
        <v>134</v>
      </c>
      <c r="AR2" s="24" t="s">
        <v>135</v>
      </c>
      <c r="AS2" s="24" t="s">
        <v>136</v>
      </c>
      <c r="AT2" s="24" t="s">
        <v>137</v>
      </c>
      <c r="AU2" s="24" t="s">
        <v>138</v>
      </c>
      <c r="AV2" s="24" t="s">
        <v>139</v>
      </c>
      <c r="AW2" s="24" t="s">
        <v>140</v>
      </c>
      <c r="AX2" s="24" t="s">
        <v>141</v>
      </c>
      <c r="AY2" s="24" t="s">
        <v>142</v>
      </c>
    </row>
    <row r="3" customFormat="false" ht="12.8" hidden="false" customHeight="false" outlineLevel="0" collapsed="false">
      <c r="A3" s="15" t="n">
        <v>0</v>
      </c>
      <c r="B3" s="15" t="s">
        <v>75</v>
      </c>
      <c r="C3" s="15" t="s">
        <v>76</v>
      </c>
      <c r="D3" s="16" t="n">
        <v>5157699</v>
      </c>
      <c r="E3" s="16" t="n">
        <v>148299</v>
      </c>
      <c r="F3" s="16" t="n">
        <v>84000</v>
      </c>
      <c r="G3" s="16" t="n">
        <v>4925400</v>
      </c>
      <c r="H3" s="17" t="n">
        <v>0.9147</v>
      </c>
      <c r="I3" s="17" t="n">
        <v>0.722</v>
      </c>
      <c r="J3" s="17" t="n">
        <v>0.772</v>
      </c>
      <c r="K3" s="17" t="n">
        <v>0.925</v>
      </c>
      <c r="L3" s="17" t="n">
        <v>0.0853</v>
      </c>
      <c r="M3" s="17" t="n">
        <v>0.278</v>
      </c>
      <c r="N3" s="17" t="n">
        <v>0.228</v>
      </c>
      <c r="O3" s="17" t="n">
        <v>0.075</v>
      </c>
      <c r="P3" s="17" t="n">
        <v>0.0809</v>
      </c>
      <c r="Q3" s="17" t="n">
        <v>0.095</v>
      </c>
      <c r="R3" s="17" t="n">
        <v>0.095</v>
      </c>
      <c r="S3" s="17" t="n">
        <v>0.08</v>
      </c>
      <c r="T3" s="18" t="n">
        <v>13.02</v>
      </c>
      <c r="U3" s="18" t="n">
        <v>7.25</v>
      </c>
      <c r="V3" s="18" t="n">
        <v>30</v>
      </c>
      <c r="W3" s="19" t="n">
        <v>23436</v>
      </c>
      <c r="X3" s="19" t="n">
        <v>13050</v>
      </c>
      <c r="Y3" s="19" t="n">
        <v>54000</v>
      </c>
      <c r="Z3" s="20" t="n">
        <v>9.8</v>
      </c>
      <c r="AA3" s="20" t="n">
        <v>8</v>
      </c>
      <c r="AB3" s="20" t="n">
        <v>25</v>
      </c>
      <c r="AC3" s="19" t="n">
        <v>17640</v>
      </c>
      <c r="AD3" s="19" t="n">
        <v>14400</v>
      </c>
      <c r="AE3" s="19" t="n">
        <v>45000</v>
      </c>
      <c r="AF3" s="20" t="n">
        <v>9.8</v>
      </c>
      <c r="AG3" s="20" t="n">
        <v>7.25</v>
      </c>
      <c r="AH3" s="20" t="n">
        <v>20</v>
      </c>
      <c r="AI3" s="19" t="n">
        <v>17640</v>
      </c>
      <c r="AJ3" s="19" t="n">
        <v>13050</v>
      </c>
      <c r="AK3" s="19" t="n">
        <v>36000</v>
      </c>
      <c r="AL3" s="20" t="n">
        <v>13.2</v>
      </c>
      <c r="AM3" s="20" t="n">
        <v>9</v>
      </c>
      <c r="AN3" s="20" t="n">
        <v>35</v>
      </c>
      <c r="AO3" s="19" t="n">
        <v>23760</v>
      </c>
      <c r="AP3" s="19" t="n">
        <v>16200</v>
      </c>
      <c r="AQ3" s="19" t="n">
        <v>63000</v>
      </c>
      <c r="AR3" s="19" t="n">
        <v>-6080882604</v>
      </c>
      <c r="AS3" s="19" t="n">
        <v>-266345004</v>
      </c>
      <c r="AT3" s="19" t="n">
        <v>17136000</v>
      </c>
      <c r="AU3" s="19" t="n">
        <v>-5831673600</v>
      </c>
      <c r="AV3" s="19" t="n">
        <v>18532164529</v>
      </c>
      <c r="AW3" s="19" t="n">
        <v>400247137</v>
      </c>
      <c r="AX3" s="19" t="n">
        <v>226709280</v>
      </c>
      <c r="AY3" s="19" t="n">
        <v>17905208112</v>
      </c>
    </row>
    <row r="4" customFormat="false" ht="12.8" hidden="false" customHeight="false" outlineLevel="0" collapsed="false">
      <c r="A4" s="15" t="n">
        <v>1</v>
      </c>
      <c r="B4" s="15" t="s">
        <v>77</v>
      </c>
      <c r="C4" s="15" t="s">
        <v>78</v>
      </c>
      <c r="D4" s="16" t="n">
        <v>815</v>
      </c>
      <c r="E4" s="16" t="n">
        <v>219</v>
      </c>
      <c r="F4" s="16" t="n">
        <v>118</v>
      </c>
      <c r="G4" s="16" t="n">
        <v>478</v>
      </c>
      <c r="H4" s="17" t="n">
        <v>0.8746</v>
      </c>
      <c r="I4" s="17" t="n">
        <v>0.75</v>
      </c>
      <c r="J4" s="17" t="n">
        <v>0.8</v>
      </c>
      <c r="K4" s="17" t="n">
        <v>0.95</v>
      </c>
      <c r="L4" s="17" t="n">
        <v>0.1254</v>
      </c>
      <c r="M4" s="17" t="n">
        <v>0.25</v>
      </c>
      <c r="N4" s="17" t="n">
        <v>0.2</v>
      </c>
      <c r="O4" s="17" t="n">
        <v>0.05</v>
      </c>
      <c r="P4" s="17" t="n">
        <v>0.0841</v>
      </c>
      <c r="Q4" s="17" t="n">
        <v>0.09</v>
      </c>
      <c r="R4" s="17" t="n">
        <v>0.09</v>
      </c>
      <c r="S4" s="17" t="n">
        <v>0.08</v>
      </c>
      <c r="T4" s="18" t="n">
        <v>18.5</v>
      </c>
      <c r="U4" s="18" t="n">
        <v>8.55</v>
      </c>
      <c r="V4" s="18" t="n">
        <v>19.71</v>
      </c>
      <c r="W4" s="19" t="n">
        <v>30525</v>
      </c>
      <c r="X4" s="19" t="n">
        <v>14108</v>
      </c>
      <c r="Y4" s="19" t="n">
        <v>32522</v>
      </c>
      <c r="Z4" s="20" t="n">
        <v>18.5</v>
      </c>
      <c r="AA4" s="20" t="n">
        <v>9</v>
      </c>
      <c r="AB4" s="20" t="n">
        <v>20</v>
      </c>
      <c r="AC4" s="19" t="n">
        <v>30525</v>
      </c>
      <c r="AD4" s="19" t="n">
        <v>14850</v>
      </c>
      <c r="AE4" s="19" t="n">
        <v>33000</v>
      </c>
      <c r="AF4" s="20" t="n">
        <v>17</v>
      </c>
      <c r="AG4" s="20" t="n">
        <v>8</v>
      </c>
      <c r="AH4" s="20" t="n">
        <v>18</v>
      </c>
      <c r="AI4" s="19" t="n">
        <v>28050</v>
      </c>
      <c r="AJ4" s="19" t="n">
        <v>13200</v>
      </c>
      <c r="AK4" s="19" t="n">
        <v>29700</v>
      </c>
      <c r="AL4" s="20" t="n">
        <v>21</v>
      </c>
      <c r="AM4" s="20" t="n">
        <v>10</v>
      </c>
      <c r="AN4" s="20" t="n">
        <v>25</v>
      </c>
      <c r="AO4" s="19" t="n">
        <v>34650</v>
      </c>
      <c r="AP4" s="19" t="n">
        <v>16500</v>
      </c>
      <c r="AQ4" s="19" t="n">
        <v>41250</v>
      </c>
      <c r="AR4" s="19" t="n">
        <v>65109</v>
      </c>
      <c r="AS4" s="19" t="n">
        <v>-100083</v>
      </c>
      <c r="AT4" s="19" t="n">
        <v>147028</v>
      </c>
      <c r="AU4" s="19" t="n">
        <v>18164</v>
      </c>
      <c r="AV4" s="19" t="n">
        <v>4063309</v>
      </c>
      <c r="AW4" s="19" t="n">
        <v>1022801</v>
      </c>
      <c r="AX4" s="19" t="n">
        <v>506415</v>
      </c>
      <c r="AY4" s="19" t="n">
        <v>2534093</v>
      </c>
    </row>
    <row r="5" customFormat="false" ht="12.8" hidden="false" customHeight="false" outlineLevel="0" collapsed="false">
      <c r="A5" s="15" t="n">
        <v>2</v>
      </c>
      <c r="B5" s="15" t="s">
        <v>77</v>
      </c>
      <c r="C5" s="15" t="s">
        <v>79</v>
      </c>
      <c r="D5" s="16" t="n">
        <v>440</v>
      </c>
      <c r="E5" s="16" t="n">
        <v>118</v>
      </c>
      <c r="F5" s="16" t="n">
        <v>63</v>
      </c>
      <c r="G5" s="16" t="n">
        <v>259</v>
      </c>
      <c r="H5" s="17" t="n">
        <v>0.8749</v>
      </c>
      <c r="I5" s="17" t="n">
        <v>0.75</v>
      </c>
      <c r="J5" s="17" t="n">
        <v>0.8</v>
      </c>
      <c r="K5" s="17" t="n">
        <v>0.95</v>
      </c>
      <c r="L5" s="17" t="n">
        <v>0.1251</v>
      </c>
      <c r="M5" s="17" t="n">
        <v>0.25</v>
      </c>
      <c r="N5" s="17" t="n">
        <v>0.2</v>
      </c>
      <c r="O5" s="17" t="n">
        <v>0.05</v>
      </c>
      <c r="P5" s="17" t="n">
        <v>0.0841</v>
      </c>
      <c r="Q5" s="17" t="n">
        <v>0.09</v>
      </c>
      <c r="R5" s="17" t="n">
        <v>0.09</v>
      </c>
      <c r="S5" s="17" t="n">
        <v>0.08</v>
      </c>
      <c r="T5" s="18" t="n">
        <v>17</v>
      </c>
      <c r="U5" s="18" t="n">
        <v>8.55</v>
      </c>
      <c r="V5" s="18" t="n">
        <v>19.71</v>
      </c>
      <c r="W5" s="19" t="n">
        <v>30600</v>
      </c>
      <c r="X5" s="19" t="n">
        <v>15390</v>
      </c>
      <c r="Y5" s="19" t="n">
        <v>35478</v>
      </c>
      <c r="Z5" s="20" t="n">
        <v>17</v>
      </c>
      <c r="AA5" s="20" t="n">
        <v>9</v>
      </c>
      <c r="AB5" s="20" t="n">
        <v>20</v>
      </c>
      <c r="AC5" s="19" t="n">
        <v>30600</v>
      </c>
      <c r="AD5" s="19" t="n">
        <v>16200</v>
      </c>
      <c r="AE5" s="19" t="n">
        <v>36000</v>
      </c>
      <c r="AF5" s="20" t="n">
        <v>15.5</v>
      </c>
      <c r="AG5" s="20" t="n">
        <v>8</v>
      </c>
      <c r="AH5" s="20" t="n">
        <v>18</v>
      </c>
      <c r="AI5" s="19" t="n">
        <v>27900</v>
      </c>
      <c r="AJ5" s="19" t="n">
        <v>14400</v>
      </c>
      <c r="AK5" s="19" t="n">
        <v>32400</v>
      </c>
      <c r="AL5" s="20" t="n">
        <v>19</v>
      </c>
      <c r="AM5" s="20" t="n">
        <v>10</v>
      </c>
      <c r="AN5" s="20" t="n">
        <v>25</v>
      </c>
      <c r="AO5" s="19" t="n">
        <v>34200</v>
      </c>
      <c r="AP5" s="19" t="n">
        <v>18000</v>
      </c>
      <c r="AQ5" s="19" t="n">
        <v>45000</v>
      </c>
      <c r="AR5" s="19" t="n">
        <v>20482</v>
      </c>
      <c r="AS5" s="19" t="n">
        <v>-52864</v>
      </c>
      <c r="AT5" s="19" t="n">
        <v>77490</v>
      </c>
      <c r="AU5" s="19" t="n">
        <v>-4144</v>
      </c>
      <c r="AV5" s="19" t="n">
        <v>2176623</v>
      </c>
      <c r="AW5" s="19" t="n">
        <v>552452</v>
      </c>
      <c r="AX5" s="19" t="n">
        <v>268928</v>
      </c>
      <c r="AY5" s="19" t="n">
        <v>1355243</v>
      </c>
    </row>
    <row r="6" customFormat="false" ht="12.8" hidden="false" customHeight="false" outlineLevel="0" collapsed="false">
      <c r="A6" s="15" t="n">
        <v>3</v>
      </c>
      <c r="B6" s="15" t="s">
        <v>80</v>
      </c>
      <c r="C6" s="15" t="s">
        <v>78</v>
      </c>
      <c r="D6" s="16" t="n">
        <v>2958</v>
      </c>
      <c r="E6" s="16" t="n">
        <v>456</v>
      </c>
      <c r="F6" s="16" t="n">
        <v>462</v>
      </c>
      <c r="G6" s="16" t="n">
        <v>2039</v>
      </c>
      <c r="H6" s="17" t="n">
        <v>0.9001</v>
      </c>
      <c r="I6" s="17" t="n">
        <v>0.752</v>
      </c>
      <c r="J6" s="17" t="n">
        <v>0.802</v>
      </c>
      <c r="K6" s="17" t="n">
        <v>0.945</v>
      </c>
      <c r="L6" s="17" t="n">
        <v>0.0999</v>
      </c>
      <c r="M6" s="17" t="n">
        <v>0.248</v>
      </c>
      <c r="N6" s="17" t="n">
        <v>0.198</v>
      </c>
      <c r="O6" s="17" t="n">
        <v>0.055</v>
      </c>
      <c r="P6" s="17" t="n">
        <v>0.0827</v>
      </c>
      <c r="Q6" s="17" t="n">
        <v>0.09</v>
      </c>
      <c r="R6" s="17" t="n">
        <v>0.09</v>
      </c>
      <c r="S6" s="17" t="n">
        <v>0.08</v>
      </c>
      <c r="T6" s="18" t="n">
        <v>22</v>
      </c>
      <c r="U6" s="18" t="n">
        <v>10</v>
      </c>
      <c r="V6" s="18" t="n">
        <v>40</v>
      </c>
      <c r="W6" s="19" t="n">
        <v>42900</v>
      </c>
      <c r="X6" s="19" t="n">
        <v>19500</v>
      </c>
      <c r="Y6" s="19" t="n">
        <v>78000</v>
      </c>
      <c r="Z6" s="20" t="n">
        <v>22</v>
      </c>
      <c r="AA6" s="20" t="n">
        <v>10.5</v>
      </c>
      <c r="AB6" s="20" t="n">
        <v>35</v>
      </c>
      <c r="AC6" s="19" t="n">
        <v>42900</v>
      </c>
      <c r="AD6" s="19" t="n">
        <v>20475</v>
      </c>
      <c r="AE6" s="19" t="n">
        <v>68250</v>
      </c>
      <c r="AF6" s="20" t="n">
        <v>20</v>
      </c>
      <c r="AG6" s="20" t="n">
        <v>10</v>
      </c>
      <c r="AH6" s="20" t="n">
        <v>30</v>
      </c>
      <c r="AI6" s="19" t="n">
        <v>39000</v>
      </c>
      <c r="AJ6" s="19" t="n">
        <v>19500</v>
      </c>
      <c r="AK6" s="19" t="n">
        <v>58500</v>
      </c>
      <c r="AL6" s="20" t="n">
        <v>24</v>
      </c>
      <c r="AM6" s="20" t="n">
        <v>11</v>
      </c>
      <c r="AN6" s="20" t="n">
        <v>45</v>
      </c>
      <c r="AO6" s="19" t="n">
        <v>46800</v>
      </c>
      <c r="AP6" s="19" t="n">
        <v>21450</v>
      </c>
      <c r="AQ6" s="19" t="n">
        <v>87750</v>
      </c>
      <c r="AR6" s="19" t="n">
        <v>4701832</v>
      </c>
      <c r="AS6" s="19" t="n">
        <v>468768</v>
      </c>
      <c r="AT6" s="19" t="n">
        <v>1182720</v>
      </c>
      <c r="AU6" s="19" t="n">
        <v>3050344</v>
      </c>
      <c r="AV6" s="19" t="n">
        <v>20349857</v>
      </c>
      <c r="AW6" s="19" t="n">
        <v>2993047</v>
      </c>
      <c r="AX6" s="19" t="n">
        <v>2756754</v>
      </c>
      <c r="AY6" s="19" t="n">
        <v>14600056</v>
      </c>
    </row>
    <row r="7" customFormat="false" ht="12.8" hidden="false" customHeight="false" outlineLevel="0" collapsed="false">
      <c r="A7" s="15" t="n">
        <v>4</v>
      </c>
      <c r="B7" s="15" t="s">
        <v>80</v>
      </c>
      <c r="C7" s="15" t="s">
        <v>79</v>
      </c>
      <c r="D7" s="16" t="n">
        <v>1595</v>
      </c>
      <c r="E7" s="16" t="n">
        <v>246</v>
      </c>
      <c r="F7" s="16" t="n">
        <v>249</v>
      </c>
      <c r="G7" s="16" t="n">
        <v>1100</v>
      </c>
      <c r="H7" s="17" t="n">
        <v>0.9</v>
      </c>
      <c r="I7" s="17" t="n">
        <v>0.752</v>
      </c>
      <c r="J7" s="17" t="n">
        <v>0.802</v>
      </c>
      <c r="K7" s="17" t="n">
        <v>0.945</v>
      </c>
      <c r="L7" s="17" t="n">
        <v>0.1</v>
      </c>
      <c r="M7" s="17" t="n">
        <v>0.248</v>
      </c>
      <c r="N7" s="17" t="n">
        <v>0.198</v>
      </c>
      <c r="O7" s="17" t="n">
        <v>0.055</v>
      </c>
      <c r="P7" s="17" t="n">
        <v>0.0827</v>
      </c>
      <c r="Q7" s="17" t="n">
        <v>0.09</v>
      </c>
      <c r="R7" s="17" t="n">
        <v>0.09</v>
      </c>
      <c r="S7" s="17" t="n">
        <v>0.08</v>
      </c>
      <c r="T7" s="18" t="n">
        <v>20</v>
      </c>
      <c r="U7" s="18" t="n">
        <v>10</v>
      </c>
      <c r="V7" s="18" t="n">
        <v>40</v>
      </c>
      <c r="W7" s="19" t="n">
        <v>36000</v>
      </c>
      <c r="X7" s="19" t="n">
        <v>18000</v>
      </c>
      <c r="Y7" s="19" t="n">
        <v>72000</v>
      </c>
      <c r="Z7" s="20" t="n">
        <v>20</v>
      </c>
      <c r="AA7" s="20" t="n">
        <v>10.5</v>
      </c>
      <c r="AB7" s="20" t="n">
        <v>35</v>
      </c>
      <c r="AC7" s="19" t="n">
        <v>36000</v>
      </c>
      <c r="AD7" s="19" t="n">
        <v>18900</v>
      </c>
      <c r="AE7" s="19" t="n">
        <v>63000</v>
      </c>
      <c r="AF7" s="20" t="n">
        <v>18</v>
      </c>
      <c r="AG7" s="20" t="n">
        <v>10</v>
      </c>
      <c r="AH7" s="20" t="n">
        <v>30</v>
      </c>
      <c r="AI7" s="19" t="n">
        <v>32400</v>
      </c>
      <c r="AJ7" s="19" t="n">
        <v>18000</v>
      </c>
      <c r="AK7" s="19" t="n">
        <v>54000</v>
      </c>
      <c r="AL7" s="20" t="n">
        <v>22</v>
      </c>
      <c r="AM7" s="20" t="n">
        <v>11</v>
      </c>
      <c r="AN7" s="20" t="n">
        <v>45</v>
      </c>
      <c r="AO7" s="19" t="n">
        <v>39600</v>
      </c>
      <c r="AP7" s="19" t="n">
        <v>19800</v>
      </c>
      <c r="AQ7" s="19" t="n">
        <v>81000</v>
      </c>
      <c r="AR7" s="19" t="n">
        <v>1184632</v>
      </c>
      <c r="AS7" s="19" t="n">
        <v>49200</v>
      </c>
      <c r="AT7" s="19" t="n">
        <v>440232</v>
      </c>
      <c r="AU7" s="19" t="n">
        <v>695200</v>
      </c>
      <c r="AV7" s="19" t="n">
        <v>9253991</v>
      </c>
      <c r="AW7" s="19" t="n">
        <v>1354968</v>
      </c>
      <c r="AX7" s="19" t="n">
        <v>1234343</v>
      </c>
      <c r="AY7" s="19" t="n">
        <v>6664680</v>
      </c>
    </row>
    <row r="8" customFormat="false" ht="12.8" hidden="false" customHeight="false" outlineLevel="0" collapsed="false">
      <c r="A8" s="15" t="n">
        <v>5</v>
      </c>
      <c r="B8" s="15" t="s">
        <v>81</v>
      </c>
      <c r="C8" s="15" t="s">
        <v>78</v>
      </c>
      <c r="D8" s="16" t="n">
        <v>9475</v>
      </c>
      <c r="E8" s="16" t="n">
        <v>1446</v>
      </c>
      <c r="F8" s="16" t="n">
        <v>1425</v>
      </c>
      <c r="G8" s="16" t="n">
        <v>6605</v>
      </c>
      <c r="H8" s="17" t="n">
        <v>0.8729</v>
      </c>
      <c r="I8" s="17" t="n">
        <v>0.715</v>
      </c>
      <c r="J8" s="17" t="n">
        <v>0.765</v>
      </c>
      <c r="K8" s="17" t="n">
        <v>0.92</v>
      </c>
      <c r="L8" s="17" t="n">
        <v>0.1271</v>
      </c>
      <c r="M8" s="17" t="n">
        <v>0.285</v>
      </c>
      <c r="N8" s="17" t="n">
        <v>0.235</v>
      </c>
      <c r="O8" s="17" t="n">
        <v>0.08</v>
      </c>
      <c r="P8" s="17" t="n">
        <v>0.1137</v>
      </c>
      <c r="Q8" s="17" t="n">
        <v>0.11</v>
      </c>
      <c r="R8" s="17" t="n">
        <v>0.11</v>
      </c>
      <c r="S8" s="17" t="n">
        <v>0.115</v>
      </c>
      <c r="T8" s="18" t="n">
        <v>13.5</v>
      </c>
      <c r="U8" s="18" t="n">
        <v>7.25</v>
      </c>
      <c r="V8" s="18" t="n">
        <v>25</v>
      </c>
      <c r="W8" s="19" t="n">
        <v>20925</v>
      </c>
      <c r="X8" s="19" t="n">
        <v>11238</v>
      </c>
      <c r="Y8" s="19" t="n">
        <v>38750</v>
      </c>
      <c r="Z8" s="20" t="n">
        <v>13.5</v>
      </c>
      <c r="AA8" s="20" t="n">
        <v>8</v>
      </c>
      <c r="AB8" s="20" t="n">
        <v>20</v>
      </c>
      <c r="AC8" s="19" t="n">
        <v>20925</v>
      </c>
      <c r="AD8" s="19" t="n">
        <v>12400</v>
      </c>
      <c r="AE8" s="19" t="n">
        <v>31000</v>
      </c>
      <c r="AF8" s="20" t="n">
        <v>12</v>
      </c>
      <c r="AG8" s="20" t="n">
        <v>7.25</v>
      </c>
      <c r="AH8" s="20" t="n">
        <v>18</v>
      </c>
      <c r="AI8" s="19" t="n">
        <v>18600</v>
      </c>
      <c r="AJ8" s="19" t="n">
        <v>11238</v>
      </c>
      <c r="AK8" s="19" t="n">
        <v>27900</v>
      </c>
      <c r="AL8" s="20" t="n">
        <v>15</v>
      </c>
      <c r="AM8" s="20" t="n">
        <v>9</v>
      </c>
      <c r="AN8" s="20" t="n">
        <v>25</v>
      </c>
      <c r="AO8" s="19" t="n">
        <v>23250</v>
      </c>
      <c r="AP8" s="19" t="n">
        <v>13950</v>
      </c>
      <c r="AQ8" s="19" t="n">
        <v>38750</v>
      </c>
      <c r="AR8" s="19" t="n">
        <v>-9851680</v>
      </c>
      <c r="AS8" s="19" t="n">
        <v>-2122005</v>
      </c>
      <c r="AT8" s="19" t="n">
        <v>427500</v>
      </c>
      <c r="AU8" s="19" t="n">
        <v>-8157175</v>
      </c>
      <c r="AV8" s="19" t="n">
        <v>32180306</v>
      </c>
      <c r="AW8" s="19" t="n">
        <v>4629405</v>
      </c>
      <c r="AX8" s="19" t="n">
        <v>4055265</v>
      </c>
      <c r="AY8" s="19" t="n">
        <v>23495636</v>
      </c>
    </row>
    <row r="9" customFormat="false" ht="12.8" hidden="false" customHeight="false" outlineLevel="0" collapsed="false">
      <c r="A9" s="15" t="n">
        <v>6</v>
      </c>
      <c r="B9" s="15" t="s">
        <v>81</v>
      </c>
      <c r="C9" s="15" t="s">
        <v>79</v>
      </c>
      <c r="D9" s="16" t="n">
        <v>5109</v>
      </c>
      <c r="E9" s="16" t="n">
        <v>780</v>
      </c>
      <c r="F9" s="16" t="n">
        <v>769</v>
      </c>
      <c r="G9" s="16" t="n">
        <v>3560</v>
      </c>
      <c r="H9" s="17" t="n">
        <v>0.8729</v>
      </c>
      <c r="I9" s="17" t="n">
        <v>0.715</v>
      </c>
      <c r="J9" s="17" t="n">
        <v>0.765</v>
      </c>
      <c r="K9" s="17" t="n">
        <v>0.92</v>
      </c>
      <c r="L9" s="17" t="n">
        <v>0.1271</v>
      </c>
      <c r="M9" s="17" t="n">
        <v>0.285</v>
      </c>
      <c r="N9" s="17" t="n">
        <v>0.235</v>
      </c>
      <c r="O9" s="17" t="n">
        <v>0.08</v>
      </c>
      <c r="P9" s="17" t="n">
        <v>0.1137</v>
      </c>
      <c r="Q9" s="17" t="n">
        <v>0.11</v>
      </c>
      <c r="R9" s="17" t="n">
        <v>0.11</v>
      </c>
      <c r="S9" s="17" t="n">
        <v>0.115</v>
      </c>
      <c r="T9" s="18" t="n">
        <v>12</v>
      </c>
      <c r="U9" s="18" t="n">
        <v>7.25</v>
      </c>
      <c r="V9" s="18" t="n">
        <v>25</v>
      </c>
      <c r="W9" s="19" t="n">
        <v>19200</v>
      </c>
      <c r="X9" s="19" t="n">
        <v>11600</v>
      </c>
      <c r="Y9" s="19" t="n">
        <v>40000</v>
      </c>
      <c r="Z9" s="20" t="n">
        <v>12</v>
      </c>
      <c r="AA9" s="20" t="n">
        <v>8</v>
      </c>
      <c r="AB9" s="20" t="n">
        <v>20</v>
      </c>
      <c r="AC9" s="19" t="n">
        <v>19200</v>
      </c>
      <c r="AD9" s="19" t="n">
        <v>12800</v>
      </c>
      <c r="AE9" s="19" t="n">
        <v>32000</v>
      </c>
      <c r="AF9" s="20" t="n">
        <v>10.5</v>
      </c>
      <c r="AG9" s="20" t="n">
        <v>7.25</v>
      </c>
      <c r="AH9" s="20" t="n">
        <v>18</v>
      </c>
      <c r="AI9" s="19" t="n">
        <v>16800</v>
      </c>
      <c r="AJ9" s="19" t="n">
        <v>11600</v>
      </c>
      <c r="AK9" s="19" t="n">
        <v>28800</v>
      </c>
      <c r="AL9" s="20" t="n">
        <v>13.5</v>
      </c>
      <c r="AM9" s="20" t="n">
        <v>9</v>
      </c>
      <c r="AN9" s="20" t="n">
        <v>25</v>
      </c>
      <c r="AO9" s="19" t="n">
        <v>21600</v>
      </c>
      <c r="AP9" s="19" t="n">
        <v>14400</v>
      </c>
      <c r="AQ9" s="19" t="n">
        <v>40000</v>
      </c>
      <c r="AR9" s="19" t="n">
        <v>-6170920</v>
      </c>
      <c r="AS9" s="19" t="n">
        <v>-1279200</v>
      </c>
      <c r="AT9" s="19" t="n">
        <v>92280</v>
      </c>
      <c r="AU9" s="19" t="n">
        <v>-4984000</v>
      </c>
      <c r="AV9" s="19" t="n">
        <v>16033054</v>
      </c>
      <c r="AW9" s="19" t="n">
        <v>2291328</v>
      </c>
      <c r="AX9" s="19" t="n">
        <v>1976638</v>
      </c>
      <c r="AY9" s="19" t="n">
        <v>11765088</v>
      </c>
    </row>
    <row r="10" customFormat="false" ht="12.8" hidden="false" customHeight="false" outlineLevel="0" collapsed="false">
      <c r="A10" s="15" t="n">
        <v>7</v>
      </c>
      <c r="B10" s="15" t="s">
        <v>82</v>
      </c>
      <c r="C10" s="15" t="s">
        <v>78</v>
      </c>
      <c r="D10" s="16" t="n">
        <v>4212</v>
      </c>
      <c r="E10" s="16" t="n">
        <v>728</v>
      </c>
      <c r="F10" s="16" t="n">
        <v>720</v>
      </c>
      <c r="G10" s="16" t="n">
        <v>2764</v>
      </c>
      <c r="H10" s="17" t="n">
        <v>0.8697</v>
      </c>
      <c r="I10" s="17" t="n">
        <v>0.716</v>
      </c>
      <c r="J10" s="17" t="n">
        <v>0.766</v>
      </c>
      <c r="K10" s="17" t="n">
        <v>0.924</v>
      </c>
      <c r="L10" s="17" t="n">
        <v>0.1303</v>
      </c>
      <c r="M10" s="17" t="n">
        <v>0.284</v>
      </c>
      <c r="N10" s="17" t="n">
        <v>0.234</v>
      </c>
      <c r="O10" s="17" t="n">
        <v>0.076</v>
      </c>
      <c r="P10" s="17" t="n">
        <v>0.1135</v>
      </c>
      <c r="Q10" s="17" t="n">
        <v>0.11</v>
      </c>
      <c r="R10" s="17" t="n">
        <v>0.11</v>
      </c>
      <c r="S10" s="17" t="n">
        <v>0.115</v>
      </c>
      <c r="T10" s="18" t="n">
        <v>14.5</v>
      </c>
      <c r="U10" s="18" t="n">
        <v>7.25</v>
      </c>
      <c r="V10" s="18" t="n">
        <v>25</v>
      </c>
      <c r="W10" s="19" t="n">
        <v>23200</v>
      </c>
      <c r="X10" s="19" t="n">
        <v>11600</v>
      </c>
      <c r="Y10" s="19" t="n">
        <v>40000</v>
      </c>
      <c r="Z10" s="20" t="n">
        <v>14.5</v>
      </c>
      <c r="AA10" s="20" t="n">
        <v>8</v>
      </c>
      <c r="AB10" s="20" t="n">
        <v>20</v>
      </c>
      <c r="AC10" s="19" t="n">
        <v>23200</v>
      </c>
      <c r="AD10" s="19" t="n">
        <v>12800</v>
      </c>
      <c r="AE10" s="19" t="n">
        <v>32000</v>
      </c>
      <c r="AF10" s="20" t="n">
        <v>13</v>
      </c>
      <c r="AG10" s="20" t="n">
        <v>7.25</v>
      </c>
      <c r="AH10" s="20" t="n">
        <v>18</v>
      </c>
      <c r="AI10" s="19" t="n">
        <v>20800</v>
      </c>
      <c r="AJ10" s="19" t="n">
        <v>11600</v>
      </c>
      <c r="AK10" s="19" t="n">
        <v>28800</v>
      </c>
      <c r="AL10" s="20" t="n">
        <v>16</v>
      </c>
      <c r="AM10" s="20" t="n">
        <v>9</v>
      </c>
      <c r="AN10" s="20" t="n">
        <v>25</v>
      </c>
      <c r="AO10" s="19" t="n">
        <v>25600</v>
      </c>
      <c r="AP10" s="19" t="n">
        <v>14400</v>
      </c>
      <c r="AQ10" s="19" t="n">
        <v>40000</v>
      </c>
      <c r="AR10" s="19" t="n">
        <v>-3292320</v>
      </c>
      <c r="AS10" s="19" t="n">
        <v>-902720</v>
      </c>
      <c r="AT10" s="19" t="n">
        <v>374400</v>
      </c>
      <c r="AU10" s="19" t="n">
        <v>-2764000</v>
      </c>
      <c r="AV10" s="19" t="n">
        <v>15701472</v>
      </c>
      <c r="AW10" s="19" t="n">
        <v>2584109</v>
      </c>
      <c r="AX10" s="19" t="n">
        <v>2291328</v>
      </c>
      <c r="AY10" s="19" t="n">
        <v>10826035</v>
      </c>
    </row>
    <row r="11" customFormat="false" ht="12.8" hidden="false" customHeight="false" outlineLevel="0" collapsed="false">
      <c r="A11" s="15" t="n">
        <v>8</v>
      </c>
      <c r="B11" s="15" t="s">
        <v>82</v>
      </c>
      <c r="C11" s="15" t="s">
        <v>79</v>
      </c>
      <c r="D11" s="16" t="n">
        <v>2270</v>
      </c>
      <c r="E11" s="16" t="n">
        <v>393</v>
      </c>
      <c r="F11" s="16" t="n">
        <v>388</v>
      </c>
      <c r="G11" s="16" t="n">
        <v>1489</v>
      </c>
      <c r="H11" s="17" t="n">
        <v>0.8697</v>
      </c>
      <c r="I11" s="17" t="n">
        <v>0.716</v>
      </c>
      <c r="J11" s="17" t="n">
        <v>0.766</v>
      </c>
      <c r="K11" s="17" t="n">
        <v>0.924</v>
      </c>
      <c r="L11" s="17" t="n">
        <v>0.1303</v>
      </c>
      <c r="M11" s="17" t="n">
        <v>0.284</v>
      </c>
      <c r="N11" s="17" t="n">
        <v>0.234</v>
      </c>
      <c r="O11" s="17" t="n">
        <v>0.076</v>
      </c>
      <c r="P11" s="17" t="n">
        <v>0.1135</v>
      </c>
      <c r="Q11" s="17" t="n">
        <v>0.11</v>
      </c>
      <c r="R11" s="17" t="n">
        <v>0.11</v>
      </c>
      <c r="S11" s="17" t="n">
        <v>0.115</v>
      </c>
      <c r="T11" s="18" t="n">
        <v>12.5</v>
      </c>
      <c r="U11" s="18" t="n">
        <v>7.25</v>
      </c>
      <c r="V11" s="18" t="n">
        <v>25</v>
      </c>
      <c r="W11" s="19" t="n">
        <v>20000</v>
      </c>
      <c r="X11" s="19" t="n">
        <v>11600</v>
      </c>
      <c r="Y11" s="19" t="n">
        <v>40000</v>
      </c>
      <c r="Z11" s="20" t="n">
        <v>12.5</v>
      </c>
      <c r="AA11" s="20" t="n">
        <v>8</v>
      </c>
      <c r="AB11" s="20" t="n">
        <v>20</v>
      </c>
      <c r="AC11" s="19" t="n">
        <v>20000</v>
      </c>
      <c r="AD11" s="19" t="n">
        <v>12800</v>
      </c>
      <c r="AE11" s="19" t="n">
        <v>32000</v>
      </c>
      <c r="AF11" s="20" t="n">
        <v>11</v>
      </c>
      <c r="AG11" s="20" t="n">
        <v>7.25</v>
      </c>
      <c r="AH11" s="20" t="n">
        <v>18</v>
      </c>
      <c r="AI11" s="19" t="n">
        <v>17600</v>
      </c>
      <c r="AJ11" s="19" t="n">
        <v>11600</v>
      </c>
      <c r="AK11" s="19" t="n">
        <v>28800</v>
      </c>
      <c r="AL11" s="20" t="n">
        <v>14</v>
      </c>
      <c r="AM11" s="20" t="n">
        <v>9</v>
      </c>
      <c r="AN11" s="20" t="n">
        <v>25</v>
      </c>
      <c r="AO11" s="19" t="n">
        <v>22400</v>
      </c>
      <c r="AP11" s="19" t="n">
        <v>14400</v>
      </c>
      <c r="AQ11" s="19" t="n">
        <v>40000</v>
      </c>
      <c r="AR11" s="19" t="n">
        <v>-2500960</v>
      </c>
      <c r="AS11" s="19" t="n">
        <v>-613080</v>
      </c>
      <c r="AT11" s="19" t="n">
        <v>77600</v>
      </c>
      <c r="AU11" s="19" t="n">
        <v>-1965480</v>
      </c>
      <c r="AV11" s="19" t="n">
        <v>7350487</v>
      </c>
      <c r="AW11" s="19" t="n">
        <v>1202580</v>
      </c>
      <c r="AX11" s="19" t="n">
        <v>1044806</v>
      </c>
      <c r="AY11" s="19" t="n">
        <v>5103101</v>
      </c>
    </row>
    <row r="12" customFormat="false" ht="12.8" hidden="false" customHeight="false" outlineLevel="0" collapsed="false">
      <c r="A12" s="15" t="n">
        <v>9</v>
      </c>
      <c r="B12" s="15" t="s">
        <v>83</v>
      </c>
      <c r="C12" s="15" t="s">
        <v>78</v>
      </c>
      <c r="D12" s="16" t="n">
        <v>8819</v>
      </c>
      <c r="E12" s="16" t="n">
        <v>1320</v>
      </c>
      <c r="F12" s="16" t="n">
        <v>662</v>
      </c>
      <c r="G12" s="16" t="n">
        <v>6837</v>
      </c>
      <c r="H12" s="17" t="n">
        <v>0.9179</v>
      </c>
      <c r="I12" s="17" t="n">
        <v>0.76</v>
      </c>
      <c r="J12" s="17" t="n">
        <v>0.81</v>
      </c>
      <c r="K12" s="17" t="n">
        <v>0.95</v>
      </c>
      <c r="L12" s="17" t="n">
        <v>0.0821</v>
      </c>
      <c r="M12" s="17" t="n">
        <v>0.24</v>
      </c>
      <c r="N12" s="17" t="n">
        <v>0.19</v>
      </c>
      <c r="O12" s="17" t="n">
        <v>0.05</v>
      </c>
      <c r="P12" s="17" t="n">
        <v>0.1022</v>
      </c>
      <c r="Q12" s="17" t="n">
        <v>0.09</v>
      </c>
      <c r="R12" s="17" t="n">
        <v>0.09</v>
      </c>
      <c r="S12" s="17" t="n">
        <v>0.105</v>
      </c>
      <c r="T12" s="18" t="n">
        <v>22</v>
      </c>
      <c r="U12" s="18" t="n">
        <v>10</v>
      </c>
      <c r="V12" s="18" t="n">
        <v>40</v>
      </c>
      <c r="W12" s="19" t="n">
        <v>42900</v>
      </c>
      <c r="X12" s="19" t="n">
        <v>19500</v>
      </c>
      <c r="Y12" s="19" t="n">
        <v>78000</v>
      </c>
      <c r="Z12" s="20" t="n">
        <v>22</v>
      </c>
      <c r="AA12" s="20" t="n">
        <v>10.5</v>
      </c>
      <c r="AB12" s="20" t="n">
        <v>35</v>
      </c>
      <c r="AC12" s="19" t="n">
        <v>42900</v>
      </c>
      <c r="AD12" s="19" t="n">
        <v>20475</v>
      </c>
      <c r="AE12" s="19" t="n">
        <v>68250</v>
      </c>
      <c r="AF12" s="20" t="n">
        <v>20</v>
      </c>
      <c r="AG12" s="20" t="n">
        <v>10</v>
      </c>
      <c r="AH12" s="20" t="n">
        <v>30</v>
      </c>
      <c r="AI12" s="19" t="n">
        <v>39000</v>
      </c>
      <c r="AJ12" s="19" t="n">
        <v>19500</v>
      </c>
      <c r="AK12" s="19" t="n">
        <v>58500</v>
      </c>
      <c r="AL12" s="20" t="n">
        <v>24</v>
      </c>
      <c r="AM12" s="20" t="n">
        <v>11</v>
      </c>
      <c r="AN12" s="20" t="n">
        <v>45</v>
      </c>
      <c r="AO12" s="19" t="n">
        <v>46800</v>
      </c>
      <c r="AP12" s="19" t="n">
        <v>21450</v>
      </c>
      <c r="AQ12" s="19" t="n">
        <v>87750</v>
      </c>
      <c r="AR12" s="19" t="n">
        <v>13279832</v>
      </c>
      <c r="AS12" s="19" t="n">
        <v>1356960</v>
      </c>
      <c r="AT12" s="19" t="n">
        <v>1694720</v>
      </c>
      <c r="AU12" s="19" t="n">
        <v>10228152</v>
      </c>
      <c r="AV12" s="19" t="n">
        <v>61569893</v>
      </c>
      <c r="AW12" s="19" t="n">
        <v>8664084</v>
      </c>
      <c r="AX12" s="19" t="n">
        <v>3950154</v>
      </c>
      <c r="AY12" s="19" t="n">
        <v>48955655</v>
      </c>
    </row>
    <row r="13" customFormat="false" ht="12.8" hidden="false" customHeight="false" outlineLevel="0" collapsed="false">
      <c r="A13" s="15" t="n">
        <v>10</v>
      </c>
      <c r="B13" s="15" t="s">
        <v>83</v>
      </c>
      <c r="C13" s="15" t="s">
        <v>79</v>
      </c>
      <c r="D13" s="16" t="n">
        <v>4756</v>
      </c>
      <c r="E13" s="16" t="n">
        <v>712</v>
      </c>
      <c r="F13" s="16" t="n">
        <v>357</v>
      </c>
      <c r="G13" s="16" t="n">
        <v>3687</v>
      </c>
      <c r="H13" s="17" t="n">
        <v>0.9179</v>
      </c>
      <c r="I13" s="17" t="n">
        <v>0.76</v>
      </c>
      <c r="J13" s="17" t="n">
        <v>0.81</v>
      </c>
      <c r="K13" s="17" t="n">
        <v>0.95</v>
      </c>
      <c r="L13" s="17" t="n">
        <v>0.0821</v>
      </c>
      <c r="M13" s="17" t="n">
        <v>0.24</v>
      </c>
      <c r="N13" s="17" t="n">
        <v>0.19</v>
      </c>
      <c r="O13" s="17" t="n">
        <v>0.05</v>
      </c>
      <c r="P13" s="17" t="n">
        <v>0.1022</v>
      </c>
      <c r="Q13" s="17" t="n">
        <v>0.09</v>
      </c>
      <c r="R13" s="17" t="n">
        <v>0.09</v>
      </c>
      <c r="S13" s="17" t="n">
        <v>0.105</v>
      </c>
      <c r="T13" s="18" t="n">
        <v>20</v>
      </c>
      <c r="U13" s="18" t="n">
        <v>10</v>
      </c>
      <c r="V13" s="18" t="n">
        <v>40</v>
      </c>
      <c r="W13" s="19" t="n">
        <v>36000</v>
      </c>
      <c r="X13" s="19" t="n">
        <v>18000</v>
      </c>
      <c r="Y13" s="19" t="n">
        <v>72000</v>
      </c>
      <c r="Z13" s="20" t="n">
        <v>20</v>
      </c>
      <c r="AA13" s="20" t="n">
        <v>10.5</v>
      </c>
      <c r="AB13" s="20" t="n">
        <v>35</v>
      </c>
      <c r="AC13" s="19" t="n">
        <v>36000</v>
      </c>
      <c r="AD13" s="19" t="n">
        <v>18900</v>
      </c>
      <c r="AE13" s="19" t="n">
        <v>63000</v>
      </c>
      <c r="AF13" s="20" t="n">
        <v>18</v>
      </c>
      <c r="AG13" s="20" t="n">
        <v>10</v>
      </c>
      <c r="AH13" s="20" t="n">
        <v>30</v>
      </c>
      <c r="AI13" s="19" t="n">
        <v>32400</v>
      </c>
      <c r="AJ13" s="19" t="n">
        <v>18000</v>
      </c>
      <c r="AK13" s="19" t="n">
        <v>54000</v>
      </c>
      <c r="AL13" s="20" t="n">
        <v>22</v>
      </c>
      <c r="AM13" s="20" t="n">
        <v>11</v>
      </c>
      <c r="AN13" s="20" t="n">
        <v>45</v>
      </c>
      <c r="AO13" s="19" t="n">
        <v>39600</v>
      </c>
      <c r="AP13" s="19" t="n">
        <v>19800</v>
      </c>
      <c r="AQ13" s="19" t="n">
        <v>81000</v>
      </c>
      <c r="AR13" s="19" t="n">
        <v>3103760</v>
      </c>
      <c r="AS13" s="19" t="n">
        <v>142400</v>
      </c>
      <c r="AT13" s="19" t="n">
        <v>631176</v>
      </c>
      <c r="AU13" s="19" t="n">
        <v>2330184</v>
      </c>
      <c r="AV13" s="19" t="n">
        <v>28030212</v>
      </c>
      <c r="AW13" s="19" t="n">
        <v>3921696</v>
      </c>
      <c r="AX13" s="19" t="n">
        <v>1769720</v>
      </c>
      <c r="AY13" s="19" t="n">
        <v>22338796</v>
      </c>
    </row>
    <row r="14" customFormat="false" ht="12.8" hidden="false" customHeight="false" outlineLevel="0" collapsed="false">
      <c r="A14" s="15" t="n">
        <v>11</v>
      </c>
      <c r="B14" s="15" t="s">
        <v>84</v>
      </c>
      <c r="C14" s="15" t="s">
        <v>78</v>
      </c>
      <c r="D14" s="16" t="n">
        <v>6451</v>
      </c>
      <c r="E14" s="16" t="n">
        <v>1103</v>
      </c>
      <c r="F14" s="16" t="n">
        <v>536</v>
      </c>
      <c r="G14" s="16" t="n">
        <v>4812</v>
      </c>
      <c r="H14" s="17" t="n">
        <v>0.9077</v>
      </c>
      <c r="I14" s="17" t="n">
        <v>0.75</v>
      </c>
      <c r="J14" s="17" t="n">
        <v>0.8</v>
      </c>
      <c r="K14" s="17" t="n">
        <v>0.945</v>
      </c>
      <c r="L14" s="17" t="n">
        <v>0.0923</v>
      </c>
      <c r="M14" s="17" t="n">
        <v>0.25</v>
      </c>
      <c r="N14" s="17" t="n">
        <v>0.2</v>
      </c>
      <c r="O14" s="17" t="n">
        <v>0.055</v>
      </c>
      <c r="P14" s="17" t="n">
        <v>0.1018</v>
      </c>
      <c r="Q14" s="17" t="n">
        <v>0.09</v>
      </c>
      <c r="R14" s="17" t="n">
        <v>0.09</v>
      </c>
      <c r="S14" s="17" t="n">
        <v>0.105</v>
      </c>
      <c r="T14" s="18" t="n">
        <v>24</v>
      </c>
      <c r="U14" s="18" t="n">
        <v>10</v>
      </c>
      <c r="V14" s="18" t="n">
        <v>40</v>
      </c>
      <c r="W14" s="19" t="n">
        <v>46800</v>
      </c>
      <c r="X14" s="19" t="n">
        <v>19500</v>
      </c>
      <c r="Y14" s="19" t="n">
        <v>78000</v>
      </c>
      <c r="Z14" s="20" t="n">
        <v>24</v>
      </c>
      <c r="AA14" s="20" t="n">
        <v>10.5</v>
      </c>
      <c r="AB14" s="20" t="n">
        <v>35</v>
      </c>
      <c r="AC14" s="19" t="n">
        <v>46800</v>
      </c>
      <c r="AD14" s="19" t="n">
        <v>20475</v>
      </c>
      <c r="AE14" s="19" t="n">
        <v>68250</v>
      </c>
      <c r="AF14" s="20" t="n">
        <v>22</v>
      </c>
      <c r="AG14" s="20" t="n">
        <v>10</v>
      </c>
      <c r="AH14" s="20" t="n">
        <v>30</v>
      </c>
      <c r="AI14" s="19" t="n">
        <v>42900</v>
      </c>
      <c r="AJ14" s="19" t="n">
        <v>19500</v>
      </c>
      <c r="AK14" s="19" t="n">
        <v>58500</v>
      </c>
      <c r="AL14" s="20" t="n">
        <v>26</v>
      </c>
      <c r="AM14" s="20" t="n">
        <v>11</v>
      </c>
      <c r="AN14" s="20" t="n">
        <v>45</v>
      </c>
      <c r="AO14" s="19" t="n">
        <v>50700</v>
      </c>
      <c r="AP14" s="19" t="n">
        <v>21450</v>
      </c>
      <c r="AQ14" s="19" t="n">
        <v>87750</v>
      </c>
      <c r="AR14" s="19" t="n">
        <v>12723864</v>
      </c>
      <c r="AS14" s="19" t="n">
        <v>1650088</v>
      </c>
      <c r="AT14" s="19" t="n">
        <v>1623008</v>
      </c>
      <c r="AU14" s="19" t="n">
        <v>9450768</v>
      </c>
      <c r="AV14" s="19" t="n">
        <v>48743229</v>
      </c>
      <c r="AW14" s="19" t="n">
        <v>7897921</v>
      </c>
      <c r="AX14" s="19" t="n">
        <v>3518143</v>
      </c>
      <c r="AY14" s="19" t="n">
        <v>37327165</v>
      </c>
    </row>
    <row r="15" customFormat="false" ht="12.8" hidden="false" customHeight="false" outlineLevel="0" collapsed="false">
      <c r="A15" s="15" t="n">
        <v>12</v>
      </c>
      <c r="B15" s="15" t="s">
        <v>84</v>
      </c>
      <c r="C15" s="15" t="s">
        <v>79</v>
      </c>
      <c r="D15" s="16" t="n">
        <v>3481</v>
      </c>
      <c r="E15" s="16" t="n">
        <v>595</v>
      </c>
      <c r="F15" s="16" t="n">
        <v>289</v>
      </c>
      <c r="G15" s="16" t="n">
        <v>2597</v>
      </c>
      <c r="H15" s="17" t="n">
        <v>0.9077</v>
      </c>
      <c r="I15" s="17" t="n">
        <v>0.75</v>
      </c>
      <c r="J15" s="17" t="n">
        <v>0.8</v>
      </c>
      <c r="K15" s="17" t="n">
        <v>0.945</v>
      </c>
      <c r="L15" s="17" t="n">
        <v>0.0923</v>
      </c>
      <c r="M15" s="17" t="n">
        <v>0.25</v>
      </c>
      <c r="N15" s="17" t="n">
        <v>0.2</v>
      </c>
      <c r="O15" s="17" t="n">
        <v>0.055</v>
      </c>
      <c r="P15" s="17" t="n">
        <v>0.1018</v>
      </c>
      <c r="Q15" s="17" t="n">
        <v>0.09</v>
      </c>
      <c r="R15" s="17" t="n">
        <v>0.09</v>
      </c>
      <c r="S15" s="17" t="n">
        <v>0.105</v>
      </c>
      <c r="T15" s="18" t="n">
        <v>22</v>
      </c>
      <c r="U15" s="18" t="n">
        <v>10</v>
      </c>
      <c r="V15" s="18" t="n">
        <v>40</v>
      </c>
      <c r="W15" s="19" t="n">
        <v>39600</v>
      </c>
      <c r="X15" s="19" t="n">
        <v>18000</v>
      </c>
      <c r="Y15" s="19" t="n">
        <v>72000</v>
      </c>
      <c r="Z15" s="20" t="n">
        <v>22</v>
      </c>
      <c r="AA15" s="20" t="n">
        <v>10.5</v>
      </c>
      <c r="AB15" s="20" t="n">
        <v>35</v>
      </c>
      <c r="AC15" s="19" t="n">
        <v>39600</v>
      </c>
      <c r="AD15" s="19" t="n">
        <v>18900</v>
      </c>
      <c r="AE15" s="19" t="n">
        <v>63000</v>
      </c>
      <c r="AF15" s="20" t="n">
        <v>20</v>
      </c>
      <c r="AG15" s="20" t="n">
        <v>10</v>
      </c>
      <c r="AH15" s="20" t="n">
        <v>30</v>
      </c>
      <c r="AI15" s="19" t="n">
        <v>36000</v>
      </c>
      <c r="AJ15" s="19" t="n">
        <v>18000</v>
      </c>
      <c r="AK15" s="19" t="n">
        <v>54000</v>
      </c>
      <c r="AL15" s="20" t="n">
        <v>24</v>
      </c>
      <c r="AM15" s="20" t="n">
        <v>11</v>
      </c>
      <c r="AN15" s="20" t="n">
        <v>45</v>
      </c>
      <c r="AO15" s="19" t="n">
        <v>43200</v>
      </c>
      <c r="AP15" s="19" t="n">
        <v>19800</v>
      </c>
      <c r="AQ15" s="19" t="n">
        <v>81000</v>
      </c>
      <c r="AR15" s="19" t="n">
        <v>3775048</v>
      </c>
      <c r="AS15" s="19" t="n">
        <v>376040</v>
      </c>
      <c r="AT15" s="19" t="n">
        <v>635800</v>
      </c>
      <c r="AU15" s="19" t="n">
        <v>2763208</v>
      </c>
      <c r="AV15" s="19" t="n">
        <v>22361929</v>
      </c>
      <c r="AW15" s="19" t="n">
        <v>3604986</v>
      </c>
      <c r="AX15" s="19" t="n">
        <v>1591812</v>
      </c>
      <c r="AY15" s="19" t="n">
        <v>17165131</v>
      </c>
    </row>
    <row r="16" customFormat="false" ht="12.8" hidden="false" customHeight="false" outlineLevel="0" collapsed="false">
      <c r="A16" s="15" t="n">
        <v>13</v>
      </c>
      <c r="B16" s="15" t="s">
        <v>85</v>
      </c>
      <c r="C16" s="15" t="s">
        <v>78</v>
      </c>
      <c r="D16" s="16" t="n">
        <v>9475</v>
      </c>
      <c r="E16" s="16" t="n">
        <v>913</v>
      </c>
      <c r="F16" s="16" t="n">
        <v>456</v>
      </c>
      <c r="G16" s="16" t="n">
        <v>8106</v>
      </c>
      <c r="H16" s="17" t="n">
        <v>0.8849</v>
      </c>
      <c r="I16" s="17" t="n">
        <v>0.698</v>
      </c>
      <c r="J16" s="17" t="n">
        <v>0.748</v>
      </c>
      <c r="K16" s="17" t="n">
        <v>0.908</v>
      </c>
      <c r="L16" s="17" t="n">
        <v>0.1151</v>
      </c>
      <c r="M16" s="17" t="n">
        <v>0.302</v>
      </c>
      <c r="N16" s="17" t="n">
        <v>0.252</v>
      </c>
      <c r="O16" s="17" t="n">
        <v>0.092</v>
      </c>
      <c r="P16" s="17" t="n">
        <v>0.1144</v>
      </c>
      <c r="Q16" s="17" t="n">
        <v>0.11</v>
      </c>
      <c r="R16" s="17" t="n">
        <v>0.11</v>
      </c>
      <c r="S16" s="17" t="n">
        <v>0.115</v>
      </c>
      <c r="T16" s="18" t="n">
        <v>15</v>
      </c>
      <c r="U16" s="18" t="n">
        <v>7.25</v>
      </c>
      <c r="V16" s="18" t="n">
        <v>25</v>
      </c>
      <c r="W16" s="19" t="n">
        <v>25500</v>
      </c>
      <c r="X16" s="19" t="n">
        <v>12325</v>
      </c>
      <c r="Y16" s="19" t="n">
        <v>42500</v>
      </c>
      <c r="Z16" s="20" t="n">
        <v>15</v>
      </c>
      <c r="AA16" s="20" t="n">
        <v>8</v>
      </c>
      <c r="AB16" s="20" t="n">
        <v>20</v>
      </c>
      <c r="AC16" s="19" t="n">
        <v>25500</v>
      </c>
      <c r="AD16" s="19" t="n">
        <v>13600</v>
      </c>
      <c r="AE16" s="19" t="n">
        <v>34000</v>
      </c>
      <c r="AF16" s="20" t="n">
        <v>13.5</v>
      </c>
      <c r="AG16" s="20" t="n">
        <v>7.25</v>
      </c>
      <c r="AH16" s="20" t="n">
        <v>18</v>
      </c>
      <c r="AI16" s="19" t="n">
        <v>22950</v>
      </c>
      <c r="AJ16" s="19" t="n">
        <v>12325</v>
      </c>
      <c r="AK16" s="19" t="n">
        <v>30600</v>
      </c>
      <c r="AL16" s="20" t="n">
        <v>17</v>
      </c>
      <c r="AM16" s="20" t="n">
        <v>9</v>
      </c>
      <c r="AN16" s="20" t="n">
        <v>25</v>
      </c>
      <c r="AO16" s="19" t="n">
        <v>28900</v>
      </c>
      <c r="AP16" s="19" t="n">
        <v>15300</v>
      </c>
      <c r="AQ16" s="19" t="n">
        <v>42500</v>
      </c>
      <c r="AR16" s="19" t="n">
        <v>-5872082</v>
      </c>
      <c r="AS16" s="19" t="n">
        <v>-922130</v>
      </c>
      <c r="AT16" s="19" t="n">
        <v>335160</v>
      </c>
      <c r="AU16" s="19" t="n">
        <v>-5285112</v>
      </c>
      <c r="AV16" s="19" t="n">
        <v>41005546</v>
      </c>
      <c r="AW16" s="19" t="n">
        <v>3562070</v>
      </c>
      <c r="AX16" s="19" t="n">
        <v>1601176</v>
      </c>
      <c r="AY16" s="19" t="n">
        <v>35842300</v>
      </c>
    </row>
    <row r="17" customFormat="false" ht="12.8" hidden="false" customHeight="false" outlineLevel="0" collapsed="false">
      <c r="A17" s="15" t="n">
        <v>14</v>
      </c>
      <c r="B17" s="15" t="s">
        <v>85</v>
      </c>
      <c r="C17" s="15" t="s">
        <v>79</v>
      </c>
      <c r="D17" s="16" t="n">
        <v>5109</v>
      </c>
      <c r="E17" s="16" t="n">
        <v>492</v>
      </c>
      <c r="F17" s="16" t="n">
        <v>246</v>
      </c>
      <c r="G17" s="16" t="n">
        <v>4371</v>
      </c>
      <c r="H17" s="17" t="n">
        <v>0.8849</v>
      </c>
      <c r="I17" s="17" t="n">
        <v>0.698</v>
      </c>
      <c r="J17" s="17" t="n">
        <v>0.748</v>
      </c>
      <c r="K17" s="17" t="n">
        <v>0.908</v>
      </c>
      <c r="L17" s="17" t="n">
        <v>0.1151</v>
      </c>
      <c r="M17" s="17" t="n">
        <v>0.302</v>
      </c>
      <c r="N17" s="17" t="n">
        <v>0.252</v>
      </c>
      <c r="O17" s="17" t="n">
        <v>0.092</v>
      </c>
      <c r="P17" s="17" t="n">
        <v>0.1144</v>
      </c>
      <c r="Q17" s="17" t="n">
        <v>0.11</v>
      </c>
      <c r="R17" s="17" t="n">
        <v>0.11</v>
      </c>
      <c r="S17" s="17" t="n">
        <v>0.115</v>
      </c>
      <c r="T17" s="18" t="n">
        <v>13.5</v>
      </c>
      <c r="U17" s="18" t="n">
        <v>7.25</v>
      </c>
      <c r="V17" s="18" t="n">
        <v>25</v>
      </c>
      <c r="W17" s="19" t="n">
        <v>22950</v>
      </c>
      <c r="X17" s="19" t="n">
        <v>12325</v>
      </c>
      <c r="Y17" s="19" t="n">
        <v>42500</v>
      </c>
      <c r="Z17" s="20" t="n">
        <v>13.5</v>
      </c>
      <c r="AA17" s="20" t="n">
        <v>8</v>
      </c>
      <c r="AB17" s="20" t="n">
        <v>20</v>
      </c>
      <c r="AC17" s="19" t="n">
        <v>22950</v>
      </c>
      <c r="AD17" s="19" t="n">
        <v>13600</v>
      </c>
      <c r="AE17" s="19" t="n">
        <v>34000</v>
      </c>
      <c r="AF17" s="20" t="n">
        <v>12</v>
      </c>
      <c r="AG17" s="20" t="n">
        <v>7.25</v>
      </c>
      <c r="AH17" s="20" t="n">
        <v>18</v>
      </c>
      <c r="AI17" s="19" t="n">
        <v>20400</v>
      </c>
      <c r="AJ17" s="19" t="n">
        <v>12325</v>
      </c>
      <c r="AK17" s="19" t="n">
        <v>30600</v>
      </c>
      <c r="AL17" s="20" t="n">
        <v>15</v>
      </c>
      <c r="AM17" s="20" t="n">
        <v>9</v>
      </c>
      <c r="AN17" s="20" t="n">
        <v>25</v>
      </c>
      <c r="AO17" s="19" t="n">
        <v>25500</v>
      </c>
      <c r="AP17" s="19" t="n">
        <v>15300</v>
      </c>
      <c r="AQ17" s="19" t="n">
        <v>42500</v>
      </c>
      <c r="AR17" s="19" t="n">
        <v>-4919010</v>
      </c>
      <c r="AS17" s="19" t="n">
        <v>-622380</v>
      </c>
      <c r="AT17" s="19" t="n">
        <v>118080</v>
      </c>
      <c r="AU17" s="19" t="n">
        <v>-4414710</v>
      </c>
      <c r="AV17" s="19" t="n">
        <v>19548855</v>
      </c>
      <c r="AW17" s="19" t="n">
        <v>1727584</v>
      </c>
      <c r="AX17" s="19" t="n">
        <v>767815</v>
      </c>
      <c r="AY17" s="19" t="n">
        <v>17053456</v>
      </c>
    </row>
    <row r="18" customFormat="false" ht="12.8" hidden="false" customHeight="false" outlineLevel="0" collapsed="false">
      <c r="A18" s="15" t="n">
        <v>15</v>
      </c>
      <c r="B18" s="15" t="s">
        <v>86</v>
      </c>
      <c r="C18" s="15" t="s">
        <v>78</v>
      </c>
      <c r="D18" s="16" t="n">
        <v>3423</v>
      </c>
      <c r="E18" s="16" t="n">
        <v>513</v>
      </c>
      <c r="F18" s="16" t="n">
        <v>513</v>
      </c>
      <c r="G18" s="16" t="n">
        <v>2397</v>
      </c>
      <c r="H18" s="17" t="n">
        <v>0.8776</v>
      </c>
      <c r="I18" s="17" t="n">
        <v>0.73</v>
      </c>
      <c r="J18" s="17" t="n">
        <v>0.78</v>
      </c>
      <c r="K18" s="17" t="n">
        <v>0.92</v>
      </c>
      <c r="L18" s="17" t="n">
        <v>0.1224</v>
      </c>
      <c r="M18" s="17" t="n">
        <v>0.27</v>
      </c>
      <c r="N18" s="17" t="n">
        <v>0.22</v>
      </c>
      <c r="O18" s="17" t="n">
        <v>0.08</v>
      </c>
      <c r="P18" s="17" t="n">
        <v>0.1037</v>
      </c>
      <c r="Q18" s="17" t="n">
        <v>0.1</v>
      </c>
      <c r="R18" s="17" t="n">
        <v>0.1</v>
      </c>
      <c r="S18" s="17" t="n">
        <v>0.105</v>
      </c>
      <c r="T18" s="18" t="n">
        <v>18</v>
      </c>
      <c r="U18" s="18" t="n">
        <v>7.25</v>
      </c>
      <c r="V18" s="18" t="n">
        <v>25</v>
      </c>
      <c r="W18" s="19" t="n">
        <v>29700</v>
      </c>
      <c r="X18" s="19" t="n">
        <v>11962</v>
      </c>
      <c r="Y18" s="19" t="n">
        <v>41250</v>
      </c>
      <c r="Z18" s="20" t="n">
        <v>18</v>
      </c>
      <c r="AA18" s="20" t="n">
        <v>8</v>
      </c>
      <c r="AB18" s="20" t="n">
        <v>20</v>
      </c>
      <c r="AC18" s="19" t="n">
        <v>29700</v>
      </c>
      <c r="AD18" s="19" t="n">
        <v>13200</v>
      </c>
      <c r="AE18" s="19" t="n">
        <v>33000</v>
      </c>
      <c r="AF18" s="20" t="n">
        <v>16.5</v>
      </c>
      <c r="AG18" s="20" t="n">
        <v>7.25</v>
      </c>
      <c r="AH18" s="20" t="n">
        <v>18</v>
      </c>
      <c r="AI18" s="19" t="n">
        <v>27225</v>
      </c>
      <c r="AJ18" s="19" t="n">
        <v>11962</v>
      </c>
      <c r="AK18" s="19" t="n">
        <v>29700</v>
      </c>
      <c r="AL18" s="20" t="n">
        <v>20</v>
      </c>
      <c r="AM18" s="20" t="n">
        <v>9</v>
      </c>
      <c r="AN18" s="20" t="n">
        <v>25</v>
      </c>
      <c r="AO18" s="19" t="n">
        <v>33000</v>
      </c>
      <c r="AP18" s="19" t="n">
        <v>14850</v>
      </c>
      <c r="AQ18" s="19" t="n">
        <v>41250</v>
      </c>
      <c r="AR18" s="19" t="n">
        <v>-72386</v>
      </c>
      <c r="AS18" s="19" t="n">
        <v>-285228</v>
      </c>
      <c r="AT18" s="19" t="n">
        <v>596362</v>
      </c>
      <c r="AU18" s="19" t="n">
        <v>-383520</v>
      </c>
      <c r="AV18" s="19" t="n">
        <v>16570439</v>
      </c>
      <c r="AW18" s="19" t="n">
        <v>2331123</v>
      </c>
      <c r="AX18" s="19" t="n">
        <v>2136863</v>
      </c>
      <c r="AY18" s="19" t="n">
        <v>12102453</v>
      </c>
    </row>
    <row r="19" customFormat="false" ht="12.8" hidden="false" customHeight="false" outlineLevel="0" collapsed="false">
      <c r="A19" s="15" t="n">
        <v>16</v>
      </c>
      <c r="B19" s="15" t="s">
        <v>86</v>
      </c>
      <c r="C19" s="15" t="s">
        <v>79</v>
      </c>
      <c r="D19" s="16" t="n">
        <v>1845</v>
      </c>
      <c r="E19" s="16" t="n">
        <v>277</v>
      </c>
      <c r="F19" s="16" t="n">
        <v>277</v>
      </c>
      <c r="G19" s="16" t="n">
        <v>1292</v>
      </c>
      <c r="H19" s="17" t="n">
        <v>0.8775</v>
      </c>
      <c r="I19" s="17" t="n">
        <v>0.73</v>
      </c>
      <c r="J19" s="17" t="n">
        <v>0.78</v>
      </c>
      <c r="K19" s="17" t="n">
        <v>0.92</v>
      </c>
      <c r="L19" s="17" t="n">
        <v>0.1225</v>
      </c>
      <c r="M19" s="17" t="n">
        <v>0.27</v>
      </c>
      <c r="N19" s="17" t="n">
        <v>0.22</v>
      </c>
      <c r="O19" s="17" t="n">
        <v>0.08</v>
      </c>
      <c r="P19" s="17" t="n">
        <v>0.1037</v>
      </c>
      <c r="Q19" s="17" t="n">
        <v>0.1</v>
      </c>
      <c r="R19" s="17" t="n">
        <v>0.1</v>
      </c>
      <c r="S19" s="17" t="n">
        <v>0.105</v>
      </c>
      <c r="T19" s="18" t="n">
        <v>16</v>
      </c>
      <c r="U19" s="18" t="n">
        <v>7.25</v>
      </c>
      <c r="V19" s="18" t="n">
        <v>25</v>
      </c>
      <c r="W19" s="19" t="n">
        <v>26400</v>
      </c>
      <c r="X19" s="19" t="n">
        <v>11962</v>
      </c>
      <c r="Y19" s="19" t="n">
        <v>41250</v>
      </c>
      <c r="Z19" s="20" t="n">
        <v>16</v>
      </c>
      <c r="AA19" s="20" t="n">
        <v>8</v>
      </c>
      <c r="AB19" s="20" t="n">
        <v>20</v>
      </c>
      <c r="AC19" s="19" t="n">
        <v>26400</v>
      </c>
      <c r="AD19" s="19" t="n">
        <v>13200</v>
      </c>
      <c r="AE19" s="19" t="n">
        <v>33000</v>
      </c>
      <c r="AF19" s="20" t="n">
        <v>14.5</v>
      </c>
      <c r="AG19" s="20" t="n">
        <v>7.25</v>
      </c>
      <c r="AH19" s="20" t="n">
        <v>18</v>
      </c>
      <c r="AI19" s="19" t="n">
        <v>23925</v>
      </c>
      <c r="AJ19" s="19" t="n">
        <v>11962</v>
      </c>
      <c r="AK19" s="19" t="n">
        <v>29700</v>
      </c>
      <c r="AL19" s="20" t="n">
        <v>18</v>
      </c>
      <c r="AM19" s="20" t="n">
        <v>9</v>
      </c>
      <c r="AN19" s="20" t="n">
        <v>25</v>
      </c>
      <c r="AO19" s="19" t="n">
        <v>29700</v>
      </c>
      <c r="AP19" s="19" t="n">
        <v>14850</v>
      </c>
      <c r="AQ19" s="19" t="n">
        <v>41250</v>
      </c>
      <c r="AR19" s="19" t="n">
        <v>-742590</v>
      </c>
      <c r="AS19" s="19" t="n">
        <v>-254840</v>
      </c>
      <c r="AT19" s="19" t="n">
        <v>230602</v>
      </c>
      <c r="AU19" s="19" t="n">
        <v>-718352</v>
      </c>
      <c r="AV19" s="19" t="n">
        <v>8003800</v>
      </c>
      <c r="AW19" s="19" t="n">
        <v>1118858</v>
      </c>
      <c r="AX19" s="19" t="n">
        <v>1013965</v>
      </c>
      <c r="AY19" s="19" t="n">
        <v>5870977</v>
      </c>
    </row>
    <row r="20" customFormat="false" ht="12.8" hidden="false" customHeight="false" outlineLevel="0" collapsed="false">
      <c r="A20" s="15" t="n">
        <v>17</v>
      </c>
      <c r="B20" s="15" t="s">
        <v>87</v>
      </c>
      <c r="C20" s="15" t="s">
        <v>78</v>
      </c>
      <c r="D20" s="16" t="n">
        <v>2503</v>
      </c>
      <c r="E20" s="16" t="n">
        <v>384</v>
      </c>
      <c r="F20" s="16" t="n">
        <v>170</v>
      </c>
      <c r="G20" s="16" t="n">
        <v>1949</v>
      </c>
      <c r="H20" s="17" t="n">
        <v>0.8843</v>
      </c>
      <c r="I20" s="17" t="n">
        <v>0.715</v>
      </c>
      <c r="J20" s="17" t="n">
        <v>0.765</v>
      </c>
      <c r="K20" s="17" t="n">
        <v>0.918</v>
      </c>
      <c r="L20" s="17" t="n">
        <v>0.1157</v>
      </c>
      <c r="M20" s="17" t="n">
        <v>0.285</v>
      </c>
      <c r="N20" s="17" t="n">
        <v>0.235</v>
      </c>
      <c r="O20" s="17" t="n">
        <v>0.082</v>
      </c>
      <c r="P20" s="17" t="n">
        <v>0.1082</v>
      </c>
      <c r="Q20" s="17" t="n">
        <v>0.1</v>
      </c>
      <c r="R20" s="17" t="n">
        <v>0.1</v>
      </c>
      <c r="S20" s="17" t="n">
        <v>0.11</v>
      </c>
      <c r="T20" s="18" t="n">
        <v>20</v>
      </c>
      <c r="U20" s="18" t="n">
        <v>10</v>
      </c>
      <c r="V20" s="18" t="n">
        <v>35</v>
      </c>
      <c r="W20" s="19" t="n">
        <v>38000</v>
      </c>
      <c r="X20" s="19" t="n">
        <v>19000</v>
      </c>
      <c r="Y20" s="19" t="n">
        <v>66500</v>
      </c>
      <c r="Z20" s="20" t="n">
        <v>20</v>
      </c>
      <c r="AA20" s="20" t="n">
        <v>10.5</v>
      </c>
      <c r="AB20" s="20" t="n">
        <v>30</v>
      </c>
      <c r="AC20" s="19" t="n">
        <v>38000</v>
      </c>
      <c r="AD20" s="19" t="n">
        <v>19950</v>
      </c>
      <c r="AE20" s="19" t="n">
        <v>57000</v>
      </c>
      <c r="AF20" s="20" t="n">
        <v>18</v>
      </c>
      <c r="AG20" s="20" t="n">
        <v>10</v>
      </c>
      <c r="AH20" s="20" t="n">
        <v>25</v>
      </c>
      <c r="AI20" s="19" t="n">
        <v>34200</v>
      </c>
      <c r="AJ20" s="19" t="n">
        <v>19000</v>
      </c>
      <c r="AK20" s="19" t="n">
        <v>47500</v>
      </c>
      <c r="AL20" s="20" t="n">
        <v>22</v>
      </c>
      <c r="AM20" s="20" t="n">
        <v>11</v>
      </c>
      <c r="AN20" s="20" t="n">
        <v>40</v>
      </c>
      <c r="AO20" s="19" t="n">
        <v>41800</v>
      </c>
      <c r="AP20" s="19" t="n">
        <v>20900</v>
      </c>
      <c r="AQ20" s="19" t="n">
        <v>76000</v>
      </c>
      <c r="AR20" s="19" t="n">
        <v>2252544</v>
      </c>
      <c r="AS20" s="19" t="n">
        <v>168960</v>
      </c>
      <c r="AT20" s="19" t="n">
        <v>337280</v>
      </c>
      <c r="AU20" s="19" t="n">
        <v>1746304</v>
      </c>
      <c r="AV20" s="19" t="n">
        <v>15586753</v>
      </c>
      <c r="AW20" s="19" t="n">
        <v>2232576</v>
      </c>
      <c r="AX20" s="19" t="n">
        <v>889542</v>
      </c>
      <c r="AY20" s="19" t="n">
        <v>12464635</v>
      </c>
    </row>
    <row r="21" customFormat="false" ht="12.8" hidden="false" customHeight="false" outlineLevel="0" collapsed="false">
      <c r="A21" s="15" t="n">
        <v>18</v>
      </c>
      <c r="B21" s="15" t="s">
        <v>87</v>
      </c>
      <c r="C21" s="15" t="s">
        <v>79</v>
      </c>
      <c r="D21" s="16" t="n">
        <v>1350</v>
      </c>
      <c r="E21" s="16" t="n">
        <v>207</v>
      </c>
      <c r="F21" s="16" t="n">
        <v>91</v>
      </c>
      <c r="G21" s="16" t="n">
        <v>1051</v>
      </c>
      <c r="H21" s="17" t="n">
        <v>0.8844</v>
      </c>
      <c r="I21" s="17" t="n">
        <v>0.715</v>
      </c>
      <c r="J21" s="17" t="n">
        <v>0.765</v>
      </c>
      <c r="K21" s="17" t="n">
        <v>0.918</v>
      </c>
      <c r="L21" s="17" t="n">
        <v>0.1156</v>
      </c>
      <c r="M21" s="17" t="n">
        <v>0.285</v>
      </c>
      <c r="N21" s="17" t="n">
        <v>0.235</v>
      </c>
      <c r="O21" s="17" t="n">
        <v>0.082</v>
      </c>
      <c r="P21" s="17" t="n">
        <v>0.1082</v>
      </c>
      <c r="Q21" s="17" t="n">
        <v>0.1</v>
      </c>
      <c r="R21" s="17" t="n">
        <v>0.1</v>
      </c>
      <c r="S21" s="17" t="n">
        <v>0.11</v>
      </c>
      <c r="T21" s="18" t="n">
        <v>18</v>
      </c>
      <c r="U21" s="18" t="n">
        <v>10</v>
      </c>
      <c r="V21" s="18" t="n">
        <v>35</v>
      </c>
      <c r="W21" s="19" t="n">
        <v>32400</v>
      </c>
      <c r="X21" s="19" t="n">
        <v>18000</v>
      </c>
      <c r="Y21" s="19" t="n">
        <v>63000</v>
      </c>
      <c r="Z21" s="20" t="n">
        <v>18</v>
      </c>
      <c r="AA21" s="20" t="n">
        <v>10.5</v>
      </c>
      <c r="AB21" s="20" t="n">
        <v>30</v>
      </c>
      <c r="AC21" s="19" t="n">
        <v>32400</v>
      </c>
      <c r="AD21" s="19" t="n">
        <v>18900</v>
      </c>
      <c r="AE21" s="19" t="n">
        <v>54000</v>
      </c>
      <c r="AF21" s="20" t="n">
        <v>16</v>
      </c>
      <c r="AG21" s="20" t="n">
        <v>10</v>
      </c>
      <c r="AH21" s="20" t="n">
        <v>25</v>
      </c>
      <c r="AI21" s="19" t="n">
        <v>28800</v>
      </c>
      <c r="AJ21" s="19" t="n">
        <v>18000</v>
      </c>
      <c r="AK21" s="19" t="n">
        <v>45000</v>
      </c>
      <c r="AL21" s="20" t="n">
        <v>20</v>
      </c>
      <c r="AM21" s="20" t="n">
        <v>11</v>
      </c>
      <c r="AN21" s="20" t="n">
        <v>40</v>
      </c>
      <c r="AO21" s="19" t="n">
        <v>36000</v>
      </c>
      <c r="AP21" s="19" t="n">
        <v>19800</v>
      </c>
      <c r="AQ21" s="19" t="n">
        <v>72000</v>
      </c>
      <c r="AR21" s="19" t="n">
        <v>283752</v>
      </c>
      <c r="AS21" s="19" t="n">
        <v>-48024</v>
      </c>
      <c r="AT21" s="19" t="n">
        <v>121576</v>
      </c>
      <c r="AU21" s="19" t="n">
        <v>210200</v>
      </c>
      <c r="AV21" s="19" t="n">
        <v>7216030</v>
      </c>
      <c r="AW21" s="19" t="n">
        <v>1026140</v>
      </c>
      <c r="AX21" s="19" t="n">
        <v>400982</v>
      </c>
      <c r="AY21" s="19" t="n">
        <v>5788908</v>
      </c>
    </row>
    <row r="22" customFormat="false" ht="12.8" hidden="false" customHeight="false" outlineLevel="0" collapsed="false">
      <c r="A22" s="15" t="n">
        <v>19</v>
      </c>
      <c r="B22" s="15" t="s">
        <v>88</v>
      </c>
      <c r="C22" s="15" t="s">
        <v>78</v>
      </c>
      <c r="D22" s="16" t="n">
        <v>2503</v>
      </c>
      <c r="E22" s="16" t="n">
        <v>384</v>
      </c>
      <c r="F22" s="16" t="n">
        <v>170</v>
      </c>
      <c r="G22" s="16" t="n">
        <v>1949</v>
      </c>
      <c r="H22" s="17" t="n">
        <v>0.8843</v>
      </c>
      <c r="I22" s="17" t="n">
        <v>0.715</v>
      </c>
      <c r="J22" s="17" t="n">
        <v>0.765</v>
      </c>
      <c r="K22" s="17" t="n">
        <v>0.918</v>
      </c>
      <c r="L22" s="17" t="n">
        <v>0.1157</v>
      </c>
      <c r="M22" s="17" t="n">
        <v>0.285</v>
      </c>
      <c r="N22" s="17" t="n">
        <v>0.235</v>
      </c>
      <c r="O22" s="17" t="n">
        <v>0.082</v>
      </c>
      <c r="P22" s="17" t="n">
        <v>0.1082</v>
      </c>
      <c r="Q22" s="17" t="n">
        <v>0.1</v>
      </c>
      <c r="R22" s="17" t="n">
        <v>0.1</v>
      </c>
      <c r="S22" s="17" t="n">
        <v>0.11</v>
      </c>
      <c r="T22" s="18" t="n">
        <v>20</v>
      </c>
      <c r="U22" s="18" t="n">
        <v>7.25</v>
      </c>
      <c r="V22" s="18" t="n">
        <v>30</v>
      </c>
      <c r="W22" s="19" t="n">
        <v>34000</v>
      </c>
      <c r="X22" s="19" t="n">
        <v>12325</v>
      </c>
      <c r="Y22" s="19" t="n">
        <v>51000</v>
      </c>
      <c r="Z22" s="20" t="n">
        <v>20</v>
      </c>
      <c r="AA22" s="20" t="n">
        <v>8</v>
      </c>
      <c r="AB22" s="20" t="n">
        <v>25</v>
      </c>
      <c r="AC22" s="19" t="n">
        <v>34000</v>
      </c>
      <c r="AD22" s="19" t="n">
        <v>13600</v>
      </c>
      <c r="AE22" s="19" t="n">
        <v>42500</v>
      </c>
      <c r="AF22" s="20" t="n">
        <v>18</v>
      </c>
      <c r="AG22" s="20" t="n">
        <v>7.25</v>
      </c>
      <c r="AH22" s="20" t="n">
        <v>20</v>
      </c>
      <c r="AI22" s="19" t="n">
        <v>30600</v>
      </c>
      <c r="AJ22" s="19" t="n">
        <v>12325</v>
      </c>
      <c r="AK22" s="19" t="n">
        <v>34000</v>
      </c>
      <c r="AL22" s="20" t="n">
        <v>22</v>
      </c>
      <c r="AM22" s="20" t="n">
        <v>9</v>
      </c>
      <c r="AN22" s="20" t="n">
        <v>35</v>
      </c>
      <c r="AO22" s="19" t="n">
        <v>37400</v>
      </c>
      <c r="AP22" s="19" t="n">
        <v>15300</v>
      </c>
      <c r="AQ22" s="19" t="n">
        <v>59500</v>
      </c>
      <c r="AR22" s="19" t="n">
        <v>965712</v>
      </c>
      <c r="AS22" s="19" t="n">
        <v>-15360</v>
      </c>
      <c r="AT22" s="19" t="n">
        <v>263840</v>
      </c>
      <c r="AU22" s="19" t="n">
        <v>717232</v>
      </c>
      <c r="AV22" s="19" t="n">
        <v>13946042</v>
      </c>
      <c r="AW22" s="19" t="n">
        <v>1997568</v>
      </c>
      <c r="AX22" s="19" t="n">
        <v>795906</v>
      </c>
      <c r="AY22" s="19" t="n">
        <v>11152568</v>
      </c>
    </row>
    <row r="23" customFormat="false" ht="12.8" hidden="false" customHeight="false" outlineLevel="0" collapsed="false">
      <c r="A23" s="15" t="n">
        <v>20</v>
      </c>
      <c r="B23" s="15" t="s">
        <v>88</v>
      </c>
      <c r="C23" s="15" t="s">
        <v>79</v>
      </c>
      <c r="D23" s="16" t="n">
        <v>1350</v>
      </c>
      <c r="E23" s="16" t="n">
        <v>207</v>
      </c>
      <c r="F23" s="16" t="n">
        <v>91</v>
      </c>
      <c r="G23" s="16" t="n">
        <v>1051</v>
      </c>
      <c r="H23" s="17" t="n">
        <v>0.8844</v>
      </c>
      <c r="I23" s="17" t="n">
        <v>0.715</v>
      </c>
      <c r="J23" s="17" t="n">
        <v>0.765</v>
      </c>
      <c r="K23" s="17" t="n">
        <v>0.918</v>
      </c>
      <c r="L23" s="17" t="n">
        <v>0.1156</v>
      </c>
      <c r="M23" s="17" t="n">
        <v>0.285</v>
      </c>
      <c r="N23" s="17" t="n">
        <v>0.235</v>
      </c>
      <c r="O23" s="17" t="n">
        <v>0.082</v>
      </c>
      <c r="P23" s="17" t="n">
        <v>0.1082</v>
      </c>
      <c r="Q23" s="17" t="n">
        <v>0.1</v>
      </c>
      <c r="R23" s="17" t="n">
        <v>0.1</v>
      </c>
      <c r="S23" s="17" t="n">
        <v>0.11</v>
      </c>
      <c r="T23" s="18" t="n">
        <v>18</v>
      </c>
      <c r="U23" s="18" t="n">
        <v>7.25</v>
      </c>
      <c r="V23" s="18" t="n">
        <v>30</v>
      </c>
      <c r="W23" s="19" t="n">
        <v>30600</v>
      </c>
      <c r="X23" s="19" t="n">
        <v>12325</v>
      </c>
      <c r="Y23" s="19" t="n">
        <v>51000</v>
      </c>
      <c r="Z23" s="20" t="n">
        <v>18</v>
      </c>
      <c r="AA23" s="20" t="n">
        <v>8</v>
      </c>
      <c r="AB23" s="20" t="n">
        <v>25</v>
      </c>
      <c r="AC23" s="19" t="n">
        <v>30600</v>
      </c>
      <c r="AD23" s="19" t="n">
        <v>13600</v>
      </c>
      <c r="AE23" s="19" t="n">
        <v>42500</v>
      </c>
      <c r="AF23" s="20" t="n">
        <v>16</v>
      </c>
      <c r="AG23" s="20" t="n">
        <v>7.25</v>
      </c>
      <c r="AH23" s="20" t="n">
        <v>20</v>
      </c>
      <c r="AI23" s="19" t="n">
        <v>27200</v>
      </c>
      <c r="AJ23" s="19" t="n">
        <v>12325</v>
      </c>
      <c r="AK23" s="19" t="n">
        <v>34000</v>
      </c>
      <c r="AL23" s="20" t="n">
        <v>20</v>
      </c>
      <c r="AM23" s="20" t="n">
        <v>9</v>
      </c>
      <c r="AN23" s="20" t="n">
        <v>35</v>
      </c>
      <c r="AO23" s="19" t="n">
        <v>34000</v>
      </c>
      <c r="AP23" s="19" t="n">
        <v>15300</v>
      </c>
      <c r="AQ23" s="19" t="n">
        <v>59500</v>
      </c>
      <c r="AR23" s="19" t="n">
        <v>-29216</v>
      </c>
      <c r="AS23" s="19" t="n">
        <v>-92736</v>
      </c>
      <c r="AT23" s="19" t="n">
        <v>105560</v>
      </c>
      <c r="AU23" s="19" t="n">
        <v>-42040</v>
      </c>
      <c r="AV23" s="19" t="n">
        <v>6815141</v>
      </c>
      <c r="AW23" s="19" t="n">
        <v>969133</v>
      </c>
      <c r="AX23" s="19" t="n">
        <v>378706</v>
      </c>
      <c r="AY23" s="19" t="n">
        <v>5467302</v>
      </c>
    </row>
    <row r="24" customFormat="false" ht="12.8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customFormat="false" ht="12.8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customFormat="false" ht="12.8" hidden="false" customHeight="false" outlineLevel="0" collapsed="false">
      <c r="A26" s="4" t="s">
        <v>143</v>
      </c>
      <c r="B26" s="27" t="s">
        <v>98</v>
      </c>
      <c r="C26" s="4" t="s">
        <v>144</v>
      </c>
    </row>
    <row r="27" customFormat="false" ht="23.85" hidden="false" customHeight="false" outlineLevel="0" collapsed="false">
      <c r="A27" s="4" t="s">
        <v>15</v>
      </c>
      <c r="B27" s="14" t="s">
        <v>145</v>
      </c>
      <c r="C27" s="14" t="str">
        <f aca="false">D2</f>
        <v>Total Population</v>
      </c>
      <c r="D27" s="14" t="str">
        <f aca="false">E2</f>
        <v>Authorized Population</v>
      </c>
      <c r="E27" s="14" t="str">
        <f aca="false">F2</f>
        <v>Unauthorized Population</v>
      </c>
      <c r="F27" s="14" t="str">
        <f aca="false">G2</f>
        <v>American Population</v>
      </c>
    </row>
    <row r="28" customFormat="false" ht="12.8" hidden="false" customHeight="false" outlineLevel="1" collapsed="false">
      <c r="A28" s="4" t="str">
        <f aca="false">_xlfn.CONCAT($A$26, ".", $A3)</f>
        <v>AL.0.0</v>
      </c>
      <c r="B28" s="4" t="str">
        <f aca="false">_xlfn.CONCAT(B3, ": ", C3)</f>
        <v>All Industries: All Roles</v>
      </c>
      <c r="C28" s="28" t="n">
        <f aca="false">D3</f>
        <v>5157699</v>
      </c>
      <c r="D28" s="28" t="n">
        <f aca="false">E3</f>
        <v>148299</v>
      </c>
      <c r="E28" s="28" t="n">
        <f aca="false">F3</f>
        <v>84000</v>
      </c>
      <c r="F28" s="28" t="n">
        <f aca="false">G3</f>
        <v>4925400</v>
      </c>
    </row>
    <row r="29" customFormat="false" ht="12.8" hidden="false" customHeight="false" outlineLevel="1" collapsed="false">
      <c r="A29" s="5" t="str">
        <f aca="false">_xlfn.CONCAT($A$26, ".", $A4)</f>
        <v>AL.0.1</v>
      </c>
      <c r="B29" s="5" t="str">
        <f aca="false">_xlfn.CONCAT(B4, ": ", C4)</f>
        <v>Agriculture: Worker</v>
      </c>
      <c r="C29" s="16" t="n">
        <f aca="false">D4</f>
        <v>815</v>
      </c>
      <c r="D29" s="16" t="n">
        <f aca="false">E4</f>
        <v>219</v>
      </c>
      <c r="E29" s="16" t="n">
        <f aca="false">F4</f>
        <v>118</v>
      </c>
      <c r="F29" s="16" t="n">
        <f aca="false">G4</f>
        <v>478</v>
      </c>
    </row>
    <row r="30" customFormat="false" ht="12.8" hidden="false" customHeight="false" outlineLevel="1" collapsed="false">
      <c r="A30" s="5" t="str">
        <f aca="false">_xlfn.CONCAT($A$26, ".", $A5)</f>
        <v>AL.0.2</v>
      </c>
      <c r="B30" s="5" t="str">
        <f aca="false">_xlfn.CONCAT(B5, ": ", C5)</f>
        <v>Agriculture: Support</v>
      </c>
      <c r="C30" s="16" t="n">
        <f aca="false">D5</f>
        <v>440</v>
      </c>
      <c r="D30" s="16" t="n">
        <f aca="false">E5</f>
        <v>118</v>
      </c>
      <c r="E30" s="16" t="n">
        <f aca="false">F5</f>
        <v>63</v>
      </c>
      <c r="F30" s="16" t="n">
        <f aca="false">G5</f>
        <v>259</v>
      </c>
    </row>
    <row r="31" customFormat="false" ht="12.8" hidden="false" customHeight="false" outlineLevel="1" collapsed="false">
      <c r="A31" s="5" t="str">
        <f aca="false">_xlfn.CONCAT($A$26, ".", $A6)</f>
        <v>AL.0.3</v>
      </c>
      <c r="B31" s="5" t="str">
        <f aca="false">_xlfn.CONCAT(B6, ": ", C6)</f>
        <v>Construction: Worker</v>
      </c>
      <c r="C31" s="16" t="n">
        <f aca="false">D6</f>
        <v>2958</v>
      </c>
      <c r="D31" s="16" t="n">
        <f aca="false">E6</f>
        <v>456</v>
      </c>
      <c r="E31" s="16" t="n">
        <f aca="false">F6</f>
        <v>462</v>
      </c>
      <c r="F31" s="16" t="n">
        <f aca="false">G6</f>
        <v>2039</v>
      </c>
    </row>
    <row r="32" customFormat="false" ht="12.8" hidden="false" customHeight="false" outlineLevel="1" collapsed="false">
      <c r="A32" s="5" t="str">
        <f aca="false">_xlfn.CONCAT($A$26, ".", $A7)</f>
        <v>AL.0.4</v>
      </c>
      <c r="B32" s="5" t="str">
        <f aca="false">_xlfn.CONCAT(B7, ": ", C7)</f>
        <v>Construction: Support</v>
      </c>
      <c r="C32" s="16" t="n">
        <f aca="false">D7</f>
        <v>1595</v>
      </c>
      <c r="D32" s="16" t="n">
        <f aca="false">E7</f>
        <v>246</v>
      </c>
      <c r="E32" s="16" t="n">
        <f aca="false">F7</f>
        <v>249</v>
      </c>
      <c r="F32" s="16" t="n">
        <f aca="false">G7</f>
        <v>1100</v>
      </c>
    </row>
    <row r="33" customFormat="false" ht="12.8" hidden="false" customHeight="false" outlineLevel="1" collapsed="false">
      <c r="A33" s="5" t="str">
        <f aca="false">_xlfn.CONCAT($A$26, ".", $A8)</f>
        <v>AL.0.5</v>
      </c>
      <c r="B33" s="5" t="str">
        <f aca="false">_xlfn.CONCAT(B8, ": ", C8)</f>
        <v>Hospitality: Worker</v>
      </c>
      <c r="C33" s="16" t="n">
        <f aca="false">D8</f>
        <v>9475</v>
      </c>
      <c r="D33" s="16" t="n">
        <f aca="false">E8</f>
        <v>1446</v>
      </c>
      <c r="E33" s="16" t="n">
        <f aca="false">F8</f>
        <v>1425</v>
      </c>
      <c r="F33" s="16" t="n">
        <f aca="false">G8</f>
        <v>6605</v>
      </c>
    </row>
    <row r="34" customFormat="false" ht="12.8" hidden="false" customHeight="false" outlineLevel="1" collapsed="false">
      <c r="A34" s="5" t="str">
        <f aca="false">_xlfn.CONCAT($A$26, ".", $A9)</f>
        <v>AL.0.6</v>
      </c>
      <c r="B34" s="5" t="str">
        <f aca="false">_xlfn.CONCAT(B9, ": ", C9)</f>
        <v>Hospitality: Support</v>
      </c>
      <c r="C34" s="16" t="n">
        <f aca="false">D9</f>
        <v>5109</v>
      </c>
      <c r="D34" s="16" t="n">
        <f aca="false">E9</f>
        <v>780</v>
      </c>
      <c r="E34" s="16" t="n">
        <f aca="false">F9</f>
        <v>769</v>
      </c>
      <c r="F34" s="16" t="n">
        <f aca="false">G9</f>
        <v>3560</v>
      </c>
    </row>
    <row r="35" customFormat="false" ht="12.8" hidden="false" customHeight="false" outlineLevel="1" collapsed="false">
      <c r="A35" s="5" t="str">
        <f aca="false">_xlfn.CONCAT($A$26, ".", $A10)</f>
        <v>AL.0.7</v>
      </c>
      <c r="B35" s="5" t="str">
        <f aca="false">_xlfn.CONCAT(B10, ": ", C10)</f>
        <v>Cleaning/Maintenance: Worker</v>
      </c>
      <c r="C35" s="16" t="n">
        <f aca="false">D10</f>
        <v>4212</v>
      </c>
      <c r="D35" s="16" t="n">
        <f aca="false">E10</f>
        <v>728</v>
      </c>
      <c r="E35" s="16" t="n">
        <f aca="false">F10</f>
        <v>720</v>
      </c>
      <c r="F35" s="16" t="n">
        <f aca="false">G10</f>
        <v>2764</v>
      </c>
    </row>
    <row r="36" customFormat="false" ht="12.8" hidden="false" customHeight="false" outlineLevel="1" collapsed="false">
      <c r="A36" s="5" t="str">
        <f aca="false">_xlfn.CONCAT($A$26, ".", $A11)</f>
        <v>AL.0.8</v>
      </c>
      <c r="B36" s="5" t="str">
        <f aca="false">_xlfn.CONCAT(B11, ": ", C11)</f>
        <v>Cleaning/Maintenance: Support</v>
      </c>
      <c r="C36" s="16" t="n">
        <f aca="false">D11</f>
        <v>2270</v>
      </c>
      <c r="D36" s="16" t="n">
        <f aca="false">E11</f>
        <v>393</v>
      </c>
      <c r="E36" s="16" t="n">
        <f aca="false">F11</f>
        <v>388</v>
      </c>
      <c r="F36" s="16" t="n">
        <f aca="false">G11</f>
        <v>1489</v>
      </c>
    </row>
    <row r="37" customFormat="false" ht="12.8" hidden="false" customHeight="false" outlineLevel="1" collapsed="false">
      <c r="A37" s="5" t="str">
        <f aca="false">_xlfn.CONCAT($A$26, ".", $A12)</f>
        <v>AL.0.9</v>
      </c>
      <c r="B37" s="5" t="str">
        <f aca="false">_xlfn.CONCAT(B12, ": ", C12)</f>
        <v>Manufacturing: Worker</v>
      </c>
      <c r="C37" s="16" t="n">
        <f aca="false">D12</f>
        <v>8819</v>
      </c>
      <c r="D37" s="16" t="n">
        <f aca="false">E12</f>
        <v>1320</v>
      </c>
      <c r="E37" s="16" t="n">
        <f aca="false">F12</f>
        <v>662</v>
      </c>
      <c r="F37" s="16" t="n">
        <f aca="false">G12</f>
        <v>6837</v>
      </c>
    </row>
    <row r="38" customFormat="false" ht="12.8" hidden="false" customHeight="false" outlineLevel="1" collapsed="false">
      <c r="A38" s="5" t="str">
        <f aca="false">_xlfn.CONCAT($A$26, ".", $A13)</f>
        <v>AL.0.10</v>
      </c>
      <c r="B38" s="5" t="str">
        <f aca="false">_xlfn.CONCAT(B13, ": ", C13)</f>
        <v>Manufacturing: Support</v>
      </c>
      <c r="C38" s="16" t="n">
        <f aca="false">D13</f>
        <v>4756</v>
      </c>
      <c r="D38" s="16" t="n">
        <f aca="false">E13</f>
        <v>712</v>
      </c>
      <c r="E38" s="16" t="n">
        <f aca="false">F13</f>
        <v>357</v>
      </c>
      <c r="F38" s="16" t="n">
        <f aca="false">G13</f>
        <v>3687</v>
      </c>
    </row>
    <row r="39" customFormat="false" ht="12.8" hidden="false" customHeight="false" outlineLevel="1" collapsed="false">
      <c r="A39" s="5" t="str">
        <f aca="false">_xlfn.CONCAT($A$26, ".", $A14)</f>
        <v>AL.0.11</v>
      </c>
      <c r="B39" s="5" t="str">
        <f aca="false">_xlfn.CONCAT(B14, ": ", C14)</f>
        <v>Transportation &amp; Warehousing: Worker</v>
      </c>
      <c r="C39" s="16" t="n">
        <f aca="false">D14</f>
        <v>6451</v>
      </c>
      <c r="D39" s="16" t="n">
        <f aca="false">E14</f>
        <v>1103</v>
      </c>
      <c r="E39" s="16" t="n">
        <f aca="false">F14</f>
        <v>536</v>
      </c>
      <c r="F39" s="16" t="n">
        <f aca="false">G14</f>
        <v>4812</v>
      </c>
    </row>
    <row r="40" customFormat="false" ht="12.8" hidden="false" customHeight="false" outlineLevel="1" collapsed="false">
      <c r="A40" s="5" t="str">
        <f aca="false">_xlfn.CONCAT($A$26, ".", $A15)</f>
        <v>AL.0.12</v>
      </c>
      <c r="B40" s="5" t="str">
        <f aca="false">_xlfn.CONCAT(B15, ": ", C15)</f>
        <v>Transportation &amp; Warehousing: Support</v>
      </c>
      <c r="C40" s="16" t="n">
        <f aca="false">D15</f>
        <v>3481</v>
      </c>
      <c r="D40" s="16" t="n">
        <f aca="false">E15</f>
        <v>595</v>
      </c>
      <c r="E40" s="16" t="n">
        <f aca="false">F15</f>
        <v>289</v>
      </c>
      <c r="F40" s="16" t="n">
        <f aca="false">G15</f>
        <v>2597</v>
      </c>
    </row>
    <row r="41" customFormat="false" ht="12.8" hidden="false" customHeight="false" outlineLevel="1" collapsed="false">
      <c r="A41" s="5" t="str">
        <f aca="false">_xlfn.CONCAT($A$26, ".", $A16)</f>
        <v>AL.0.13</v>
      </c>
      <c r="B41" s="5" t="str">
        <f aca="false">_xlfn.CONCAT(B16, ": ", C16)</f>
        <v>Retail Trade: Worker</v>
      </c>
      <c r="C41" s="16" t="n">
        <f aca="false">D16</f>
        <v>9475</v>
      </c>
      <c r="D41" s="16" t="n">
        <f aca="false">E16</f>
        <v>913</v>
      </c>
      <c r="E41" s="16" t="n">
        <f aca="false">F16</f>
        <v>456</v>
      </c>
      <c r="F41" s="16" t="n">
        <f aca="false">G16</f>
        <v>8106</v>
      </c>
    </row>
    <row r="42" customFormat="false" ht="12.8" hidden="false" customHeight="false" outlineLevel="1" collapsed="false">
      <c r="A42" s="5" t="str">
        <f aca="false">_xlfn.CONCAT($A$26, ".", $A17)</f>
        <v>AL.0.14</v>
      </c>
      <c r="B42" s="5" t="str">
        <f aca="false">_xlfn.CONCAT(B17, ": ", C17)</f>
        <v>Retail Trade: Support</v>
      </c>
      <c r="C42" s="16" t="n">
        <f aca="false">D17</f>
        <v>5109</v>
      </c>
      <c r="D42" s="16" t="n">
        <f aca="false">E17</f>
        <v>492</v>
      </c>
      <c r="E42" s="16" t="n">
        <f aca="false">F17</f>
        <v>246</v>
      </c>
      <c r="F42" s="16" t="n">
        <f aca="false">G17</f>
        <v>4371</v>
      </c>
    </row>
    <row r="43" customFormat="false" ht="12.8" hidden="false" customHeight="false" outlineLevel="1" collapsed="false">
      <c r="A43" s="5" t="str">
        <f aca="false">_xlfn.CONCAT($A$26, ".", $A18)</f>
        <v>AL.0.15</v>
      </c>
      <c r="B43" s="5" t="str">
        <f aca="false">_xlfn.CONCAT(B18, ": ", C18)</f>
        <v>Landscaping / Groundskeeping: Worker</v>
      </c>
      <c r="C43" s="16" t="n">
        <f aca="false">D18</f>
        <v>3423</v>
      </c>
      <c r="D43" s="16" t="n">
        <f aca="false">E18</f>
        <v>513</v>
      </c>
      <c r="E43" s="16" t="n">
        <f aca="false">F18</f>
        <v>513</v>
      </c>
      <c r="F43" s="16" t="n">
        <f aca="false">G18</f>
        <v>2397</v>
      </c>
    </row>
    <row r="44" customFormat="false" ht="12.8" hidden="false" customHeight="false" outlineLevel="1" collapsed="false">
      <c r="A44" s="5" t="str">
        <f aca="false">_xlfn.CONCAT($A$26, ".", $A19)</f>
        <v>AL.0.16</v>
      </c>
      <c r="B44" s="5" t="str">
        <f aca="false">_xlfn.CONCAT(B19, ": ", C19)</f>
        <v>Landscaping / Groundskeeping: Support</v>
      </c>
      <c r="C44" s="16" t="n">
        <f aca="false">D19</f>
        <v>1845</v>
      </c>
      <c r="D44" s="16" t="n">
        <f aca="false">E19</f>
        <v>277</v>
      </c>
      <c r="E44" s="16" t="n">
        <f aca="false">F19</f>
        <v>277</v>
      </c>
      <c r="F44" s="16" t="n">
        <f aca="false">G19</f>
        <v>1292</v>
      </c>
    </row>
    <row r="45" customFormat="false" ht="12.8" hidden="false" customHeight="false" outlineLevel="1" collapsed="false">
      <c r="A45" s="5" t="str">
        <f aca="false">_xlfn.CONCAT($A$26, ".", $A20)</f>
        <v>AL.0.17</v>
      </c>
      <c r="B45" s="5" t="str">
        <f aca="false">_xlfn.CONCAT(B20, ": ", C20)</f>
        <v>Automotive &amp; Repair: Worker</v>
      </c>
      <c r="C45" s="16" t="n">
        <f aca="false">D20</f>
        <v>2503</v>
      </c>
      <c r="D45" s="16" t="n">
        <f aca="false">E20</f>
        <v>384</v>
      </c>
      <c r="E45" s="16" t="n">
        <f aca="false">F20</f>
        <v>170</v>
      </c>
      <c r="F45" s="16" t="n">
        <f aca="false">G20</f>
        <v>1949</v>
      </c>
    </row>
    <row r="46" customFormat="false" ht="12.8" hidden="false" customHeight="false" outlineLevel="1" collapsed="false">
      <c r="A46" s="5" t="str">
        <f aca="false">_xlfn.CONCAT($A$26, ".", $A21)</f>
        <v>AL.0.18</v>
      </c>
      <c r="B46" s="5" t="str">
        <f aca="false">_xlfn.CONCAT(B21, ": ", C21)</f>
        <v>Automotive &amp; Repair: Support</v>
      </c>
      <c r="C46" s="16" t="n">
        <f aca="false">D21</f>
        <v>1350</v>
      </c>
      <c r="D46" s="16" t="n">
        <f aca="false">E21</f>
        <v>207</v>
      </c>
      <c r="E46" s="16" t="n">
        <f aca="false">F21</f>
        <v>91</v>
      </c>
      <c r="F46" s="16" t="n">
        <f aca="false">G21</f>
        <v>1051</v>
      </c>
    </row>
    <row r="47" customFormat="false" ht="12.8" hidden="false" customHeight="false" outlineLevel="1" collapsed="false">
      <c r="A47" s="5" t="str">
        <f aca="false">_xlfn.CONCAT($A$26, ".", $A22)</f>
        <v>AL.0.19</v>
      </c>
      <c r="B47" s="5" t="str">
        <f aca="false">_xlfn.CONCAT(B22, ": ", C22)</f>
        <v>Other Services: Worker</v>
      </c>
      <c r="C47" s="16" t="n">
        <f aca="false">D22</f>
        <v>2503</v>
      </c>
      <c r="D47" s="16" t="n">
        <f aca="false">E22</f>
        <v>384</v>
      </c>
      <c r="E47" s="16" t="n">
        <f aca="false">F22</f>
        <v>170</v>
      </c>
      <c r="F47" s="16" t="n">
        <f aca="false">G22</f>
        <v>1949</v>
      </c>
    </row>
    <row r="48" customFormat="false" ht="12.8" hidden="false" customHeight="false" outlineLevel="1" collapsed="false">
      <c r="A48" s="5" t="str">
        <f aca="false">_xlfn.CONCAT($A$26, ".", $A23)</f>
        <v>AL.0.20</v>
      </c>
      <c r="B48" s="5" t="str">
        <f aca="false">_xlfn.CONCAT(B23, ": ", C23)</f>
        <v>Other Services: Support</v>
      </c>
      <c r="C48" s="16" t="n">
        <f aca="false">D23</f>
        <v>1350</v>
      </c>
      <c r="D48" s="16" t="n">
        <f aca="false">E23</f>
        <v>207</v>
      </c>
      <c r="E48" s="16" t="n">
        <f aca="false">F23</f>
        <v>91</v>
      </c>
      <c r="F48" s="16" t="n">
        <f aca="false">G23</f>
        <v>1051</v>
      </c>
    </row>
    <row r="142" customFormat="false" ht="12.8" hidden="false" customHeight="false" outlineLevel="0" collapsed="false">
      <c r="A142" s="4" t="s">
        <v>146</v>
      </c>
      <c r="B142" s="27" t="s">
        <v>98</v>
      </c>
      <c r="C142" s="29" t="s">
        <v>147</v>
      </c>
    </row>
    <row r="143" customFormat="false" ht="35.05" hidden="false" customHeight="false" outlineLevel="0" collapsed="false">
      <c r="A143" s="4" t="s">
        <v>15</v>
      </c>
      <c r="B143" s="14" t="s">
        <v>145</v>
      </c>
      <c r="C143" s="14" t="str">
        <f aca="false">H2</f>
        <v>Employment Rate</v>
      </c>
      <c r="D143" s="14" t="str">
        <f aca="false">I2</f>
        <v>Authorized Immigrant Employment Rate</v>
      </c>
      <c r="E143" s="14" t="str">
        <f aca="false">J2</f>
        <v>Unauthorized Immigrant Employment Rate</v>
      </c>
      <c r="F143" s="14" t="str">
        <f aca="false">K2</f>
        <v>American Employment Rate</v>
      </c>
    </row>
    <row r="144" customFormat="false" ht="12.8" hidden="false" customHeight="false" outlineLevel="0" collapsed="false">
      <c r="A144" s="1" t="str">
        <f aca="false">_xlfn.CONCAT($A$142, ".", A3)</f>
        <v>AL.1.0</v>
      </c>
      <c r="B144" s="4" t="str">
        <f aca="false">_xlfn.CONCAT(B3, ": ", C3)</f>
        <v>All Industries: All Roles</v>
      </c>
      <c r="C144" s="30" t="n">
        <f aca="false">H3</f>
        <v>0.9147</v>
      </c>
      <c r="D144" s="30" t="n">
        <f aca="false">I3</f>
        <v>0.722</v>
      </c>
      <c r="E144" s="30" t="n">
        <f aca="false">J3</f>
        <v>0.772</v>
      </c>
      <c r="F144" s="30" t="n">
        <f aca="false">K3</f>
        <v>0.925</v>
      </c>
    </row>
    <row r="145" customFormat="false" ht="12.8" hidden="false" customHeight="false" outlineLevel="0" collapsed="false">
      <c r="A145" s="1" t="str">
        <f aca="false">_xlfn.CONCAT($A$142, ".", A4)</f>
        <v>AL.1.1</v>
      </c>
      <c r="B145" s="5" t="str">
        <f aca="false">_xlfn.CONCAT(B4, ": ", C4)</f>
        <v>Agriculture: Worker</v>
      </c>
      <c r="C145" s="17" t="n">
        <f aca="false">H4</f>
        <v>0.8746</v>
      </c>
      <c r="D145" s="17" t="n">
        <f aca="false">I4</f>
        <v>0.75</v>
      </c>
      <c r="E145" s="17" t="n">
        <f aca="false">J4</f>
        <v>0.8</v>
      </c>
      <c r="F145" s="17" t="n">
        <f aca="false">K4</f>
        <v>0.95</v>
      </c>
    </row>
    <row r="146" customFormat="false" ht="12.8" hidden="false" customHeight="false" outlineLevel="0" collapsed="false">
      <c r="A146" s="1" t="str">
        <f aca="false">_xlfn.CONCAT($A$142, ".", A5)</f>
        <v>AL.1.2</v>
      </c>
      <c r="B146" s="5" t="str">
        <f aca="false">_xlfn.CONCAT(B5, ": ", C5)</f>
        <v>Agriculture: Support</v>
      </c>
      <c r="C146" s="17" t="n">
        <f aca="false">H5</f>
        <v>0.8749</v>
      </c>
      <c r="D146" s="17" t="n">
        <f aca="false">I5</f>
        <v>0.75</v>
      </c>
      <c r="E146" s="17" t="n">
        <f aca="false">J5</f>
        <v>0.8</v>
      </c>
      <c r="F146" s="17" t="n">
        <f aca="false">K5</f>
        <v>0.95</v>
      </c>
    </row>
    <row r="147" customFormat="false" ht="12.8" hidden="false" customHeight="false" outlineLevel="0" collapsed="false">
      <c r="A147" s="1" t="str">
        <f aca="false">_xlfn.CONCAT($A$142, ".", A6)</f>
        <v>AL.1.3</v>
      </c>
      <c r="B147" s="5" t="str">
        <f aca="false">_xlfn.CONCAT(B6, ": ", C6)</f>
        <v>Construction: Worker</v>
      </c>
      <c r="C147" s="17" t="n">
        <f aca="false">H6</f>
        <v>0.9001</v>
      </c>
      <c r="D147" s="17" t="n">
        <f aca="false">I6</f>
        <v>0.752</v>
      </c>
      <c r="E147" s="17" t="n">
        <f aca="false">J6</f>
        <v>0.802</v>
      </c>
      <c r="F147" s="17" t="n">
        <f aca="false">K6</f>
        <v>0.945</v>
      </c>
    </row>
    <row r="148" customFormat="false" ht="12.8" hidden="false" customHeight="false" outlineLevel="0" collapsed="false">
      <c r="A148" s="1" t="str">
        <f aca="false">_xlfn.CONCAT($A$142, ".", A7)</f>
        <v>AL.1.4</v>
      </c>
      <c r="B148" s="5" t="str">
        <f aca="false">_xlfn.CONCAT(B7, ": ", C7)</f>
        <v>Construction: Support</v>
      </c>
      <c r="C148" s="17" t="n">
        <f aca="false">H7</f>
        <v>0.9</v>
      </c>
      <c r="D148" s="17" t="n">
        <f aca="false">I7</f>
        <v>0.752</v>
      </c>
      <c r="E148" s="17" t="n">
        <f aca="false">J7</f>
        <v>0.802</v>
      </c>
      <c r="F148" s="17" t="n">
        <f aca="false">K7</f>
        <v>0.945</v>
      </c>
    </row>
    <row r="149" customFormat="false" ht="12.8" hidden="false" customHeight="false" outlineLevel="0" collapsed="false">
      <c r="A149" s="1" t="str">
        <f aca="false">_xlfn.CONCAT($A$142, ".", A8)</f>
        <v>AL.1.5</v>
      </c>
      <c r="B149" s="5" t="str">
        <f aca="false">_xlfn.CONCAT(B8, ": ", C8)</f>
        <v>Hospitality: Worker</v>
      </c>
      <c r="C149" s="17" t="n">
        <f aca="false">H8</f>
        <v>0.8729</v>
      </c>
      <c r="D149" s="17" t="n">
        <f aca="false">I8</f>
        <v>0.715</v>
      </c>
      <c r="E149" s="17" t="n">
        <f aca="false">J8</f>
        <v>0.765</v>
      </c>
      <c r="F149" s="17" t="n">
        <f aca="false">K8</f>
        <v>0.92</v>
      </c>
    </row>
    <row r="150" customFormat="false" ht="12.8" hidden="false" customHeight="false" outlineLevel="0" collapsed="false">
      <c r="A150" s="1" t="str">
        <f aca="false">_xlfn.CONCAT($A$142, ".", A9)</f>
        <v>AL.1.6</v>
      </c>
      <c r="B150" s="5" t="str">
        <f aca="false">_xlfn.CONCAT(B9, ": ", C9)</f>
        <v>Hospitality: Support</v>
      </c>
      <c r="C150" s="17" t="n">
        <f aca="false">H9</f>
        <v>0.8729</v>
      </c>
      <c r="D150" s="17" t="n">
        <f aca="false">I9</f>
        <v>0.715</v>
      </c>
      <c r="E150" s="17" t="n">
        <f aca="false">J9</f>
        <v>0.765</v>
      </c>
      <c r="F150" s="17" t="n">
        <f aca="false">K9</f>
        <v>0.92</v>
      </c>
    </row>
    <row r="151" customFormat="false" ht="12.8" hidden="false" customHeight="false" outlineLevel="0" collapsed="false">
      <c r="A151" s="1" t="str">
        <f aca="false">_xlfn.CONCAT($A$142, ".", A10)</f>
        <v>AL.1.7</v>
      </c>
      <c r="B151" s="5" t="str">
        <f aca="false">_xlfn.CONCAT(B10, ": ", C10)</f>
        <v>Cleaning/Maintenance: Worker</v>
      </c>
      <c r="C151" s="17" t="n">
        <f aca="false">H10</f>
        <v>0.8697</v>
      </c>
      <c r="D151" s="17" t="n">
        <f aca="false">I10</f>
        <v>0.716</v>
      </c>
      <c r="E151" s="17" t="n">
        <f aca="false">J10</f>
        <v>0.766</v>
      </c>
      <c r="F151" s="17" t="n">
        <f aca="false">K10</f>
        <v>0.924</v>
      </c>
    </row>
    <row r="152" customFormat="false" ht="12.8" hidden="false" customHeight="false" outlineLevel="0" collapsed="false">
      <c r="A152" s="1" t="str">
        <f aca="false">_xlfn.CONCAT($A$142, ".", A11)</f>
        <v>AL.1.8</v>
      </c>
      <c r="B152" s="5" t="str">
        <f aca="false">_xlfn.CONCAT(B11, ": ", C11)</f>
        <v>Cleaning/Maintenance: Support</v>
      </c>
      <c r="C152" s="17" t="n">
        <f aca="false">H11</f>
        <v>0.8697</v>
      </c>
      <c r="D152" s="17" t="n">
        <f aca="false">I11</f>
        <v>0.716</v>
      </c>
      <c r="E152" s="17" t="n">
        <f aca="false">J11</f>
        <v>0.766</v>
      </c>
      <c r="F152" s="17" t="n">
        <f aca="false">K11</f>
        <v>0.924</v>
      </c>
    </row>
    <row r="153" customFormat="false" ht="12.8" hidden="false" customHeight="false" outlineLevel="0" collapsed="false">
      <c r="A153" s="1" t="str">
        <f aca="false">_xlfn.CONCAT($A$142, ".", A12)</f>
        <v>AL.1.9</v>
      </c>
      <c r="B153" s="5" t="str">
        <f aca="false">_xlfn.CONCAT(B12, ": ", C12)</f>
        <v>Manufacturing: Worker</v>
      </c>
      <c r="C153" s="17" t="n">
        <f aca="false">H12</f>
        <v>0.9179</v>
      </c>
      <c r="D153" s="17" t="n">
        <f aca="false">I12</f>
        <v>0.76</v>
      </c>
      <c r="E153" s="17" t="n">
        <f aca="false">J12</f>
        <v>0.81</v>
      </c>
      <c r="F153" s="17" t="n">
        <f aca="false">K12</f>
        <v>0.95</v>
      </c>
    </row>
    <row r="154" customFormat="false" ht="12.8" hidden="false" customHeight="false" outlineLevel="0" collapsed="false">
      <c r="A154" s="1" t="str">
        <f aca="false">_xlfn.CONCAT($A$142, ".", A13)</f>
        <v>AL.1.10</v>
      </c>
      <c r="B154" s="5" t="str">
        <f aca="false">_xlfn.CONCAT(B13, ": ", C13)</f>
        <v>Manufacturing: Support</v>
      </c>
      <c r="C154" s="17" t="n">
        <f aca="false">H13</f>
        <v>0.9179</v>
      </c>
      <c r="D154" s="17" t="n">
        <f aca="false">I13</f>
        <v>0.76</v>
      </c>
      <c r="E154" s="17" t="n">
        <f aca="false">J13</f>
        <v>0.81</v>
      </c>
      <c r="F154" s="17" t="n">
        <f aca="false">K13</f>
        <v>0.95</v>
      </c>
    </row>
    <row r="155" customFormat="false" ht="12.8" hidden="false" customHeight="false" outlineLevel="0" collapsed="false">
      <c r="A155" s="1" t="str">
        <f aca="false">_xlfn.CONCAT($A$142, ".", A14)</f>
        <v>AL.1.11</v>
      </c>
      <c r="B155" s="5" t="str">
        <f aca="false">_xlfn.CONCAT(B14, ": ", C14)</f>
        <v>Transportation &amp; Warehousing: Worker</v>
      </c>
      <c r="C155" s="17" t="n">
        <f aca="false">H14</f>
        <v>0.9077</v>
      </c>
      <c r="D155" s="17" t="n">
        <f aca="false">I14</f>
        <v>0.75</v>
      </c>
      <c r="E155" s="17" t="n">
        <f aca="false">J14</f>
        <v>0.8</v>
      </c>
      <c r="F155" s="17" t="n">
        <f aca="false">K14</f>
        <v>0.945</v>
      </c>
    </row>
    <row r="156" customFormat="false" ht="12.8" hidden="false" customHeight="false" outlineLevel="0" collapsed="false">
      <c r="A156" s="1" t="str">
        <f aca="false">_xlfn.CONCAT($A$142, ".", A15)</f>
        <v>AL.1.12</v>
      </c>
      <c r="B156" s="5" t="str">
        <f aca="false">_xlfn.CONCAT(B15, ": ", C15)</f>
        <v>Transportation &amp; Warehousing: Support</v>
      </c>
      <c r="C156" s="17" t="n">
        <f aca="false">H15</f>
        <v>0.9077</v>
      </c>
      <c r="D156" s="17" t="n">
        <f aca="false">I15</f>
        <v>0.75</v>
      </c>
      <c r="E156" s="17" t="n">
        <f aca="false">J15</f>
        <v>0.8</v>
      </c>
      <c r="F156" s="17" t="n">
        <f aca="false">K15</f>
        <v>0.945</v>
      </c>
    </row>
    <row r="157" customFormat="false" ht="12.8" hidden="false" customHeight="false" outlineLevel="0" collapsed="false">
      <c r="A157" s="1" t="str">
        <f aca="false">_xlfn.CONCAT($A$142, ".", A16)</f>
        <v>AL.1.13</v>
      </c>
      <c r="B157" s="5" t="str">
        <f aca="false">_xlfn.CONCAT(B16, ": ", C16)</f>
        <v>Retail Trade: Worker</v>
      </c>
      <c r="C157" s="17" t="n">
        <f aca="false">H16</f>
        <v>0.8849</v>
      </c>
      <c r="D157" s="17" t="n">
        <f aca="false">I16</f>
        <v>0.698</v>
      </c>
      <c r="E157" s="17" t="n">
        <f aca="false">J16</f>
        <v>0.748</v>
      </c>
      <c r="F157" s="17" t="n">
        <f aca="false">K16</f>
        <v>0.908</v>
      </c>
    </row>
    <row r="158" customFormat="false" ht="12.8" hidden="false" customHeight="false" outlineLevel="0" collapsed="false">
      <c r="A158" s="1" t="str">
        <f aca="false">_xlfn.CONCAT($A$142, ".", A17)</f>
        <v>AL.1.14</v>
      </c>
      <c r="B158" s="5" t="str">
        <f aca="false">_xlfn.CONCAT(B17, ": ", C17)</f>
        <v>Retail Trade: Support</v>
      </c>
      <c r="C158" s="17" t="n">
        <f aca="false">H17</f>
        <v>0.8849</v>
      </c>
      <c r="D158" s="17" t="n">
        <f aca="false">I17</f>
        <v>0.698</v>
      </c>
      <c r="E158" s="17" t="n">
        <f aca="false">J17</f>
        <v>0.748</v>
      </c>
      <c r="F158" s="17" t="n">
        <f aca="false">K17</f>
        <v>0.908</v>
      </c>
    </row>
    <row r="159" customFormat="false" ht="12.8" hidden="false" customHeight="false" outlineLevel="0" collapsed="false">
      <c r="A159" s="1" t="str">
        <f aca="false">_xlfn.CONCAT($A$142, ".", A18)</f>
        <v>AL.1.15</v>
      </c>
      <c r="B159" s="5" t="str">
        <f aca="false">_xlfn.CONCAT(B18, ": ", C18)</f>
        <v>Landscaping / Groundskeeping: Worker</v>
      </c>
      <c r="C159" s="17" t="n">
        <f aca="false">H18</f>
        <v>0.8776</v>
      </c>
      <c r="D159" s="17" t="n">
        <f aca="false">I18</f>
        <v>0.73</v>
      </c>
      <c r="E159" s="17" t="n">
        <f aca="false">J18</f>
        <v>0.78</v>
      </c>
      <c r="F159" s="17" t="n">
        <f aca="false">K18</f>
        <v>0.92</v>
      </c>
    </row>
    <row r="160" customFormat="false" ht="12.8" hidden="false" customHeight="false" outlineLevel="0" collapsed="false">
      <c r="A160" s="1" t="str">
        <f aca="false">_xlfn.CONCAT($A$142, ".", A19)</f>
        <v>AL.1.16</v>
      </c>
      <c r="B160" s="5" t="str">
        <f aca="false">_xlfn.CONCAT(B19, ": ", C19)</f>
        <v>Landscaping / Groundskeeping: Support</v>
      </c>
      <c r="C160" s="17" t="n">
        <f aca="false">H19</f>
        <v>0.8775</v>
      </c>
      <c r="D160" s="17" t="n">
        <f aca="false">I19</f>
        <v>0.73</v>
      </c>
      <c r="E160" s="17" t="n">
        <f aca="false">J19</f>
        <v>0.78</v>
      </c>
      <c r="F160" s="17" t="n">
        <f aca="false">K19</f>
        <v>0.92</v>
      </c>
    </row>
    <row r="161" customFormat="false" ht="12.8" hidden="false" customHeight="false" outlineLevel="0" collapsed="false">
      <c r="A161" s="1" t="str">
        <f aca="false">_xlfn.CONCAT($A$142, ".", A20)</f>
        <v>AL.1.17</v>
      </c>
      <c r="B161" s="5" t="str">
        <f aca="false">_xlfn.CONCAT(B20, ": ", C20)</f>
        <v>Automotive &amp; Repair: Worker</v>
      </c>
      <c r="C161" s="17" t="n">
        <f aca="false">H20</f>
        <v>0.8843</v>
      </c>
      <c r="D161" s="17" t="n">
        <f aca="false">I20</f>
        <v>0.715</v>
      </c>
      <c r="E161" s="17" t="n">
        <f aca="false">J20</f>
        <v>0.765</v>
      </c>
      <c r="F161" s="17" t="n">
        <f aca="false">K20</f>
        <v>0.918</v>
      </c>
    </row>
    <row r="162" customFormat="false" ht="12.8" hidden="false" customHeight="false" outlineLevel="0" collapsed="false">
      <c r="A162" s="1" t="str">
        <f aca="false">_xlfn.CONCAT($A$142, ".", A21)</f>
        <v>AL.1.18</v>
      </c>
      <c r="B162" s="5" t="str">
        <f aca="false">_xlfn.CONCAT(B21, ": ", C21)</f>
        <v>Automotive &amp; Repair: Support</v>
      </c>
      <c r="C162" s="17" t="n">
        <f aca="false">H21</f>
        <v>0.8844</v>
      </c>
      <c r="D162" s="17" t="n">
        <f aca="false">I21</f>
        <v>0.715</v>
      </c>
      <c r="E162" s="17" t="n">
        <f aca="false">J21</f>
        <v>0.765</v>
      </c>
      <c r="F162" s="17" t="n">
        <f aca="false">K21</f>
        <v>0.918</v>
      </c>
    </row>
    <row r="163" customFormat="false" ht="12.8" hidden="false" customHeight="false" outlineLevel="0" collapsed="false">
      <c r="A163" s="1" t="str">
        <f aca="false">_xlfn.CONCAT($A$142, ".", A22)</f>
        <v>AL.1.19</v>
      </c>
      <c r="B163" s="5" t="str">
        <f aca="false">_xlfn.CONCAT(B22, ": ", C22)</f>
        <v>Other Services: Worker</v>
      </c>
      <c r="C163" s="17" t="n">
        <f aca="false">H22</f>
        <v>0.8843</v>
      </c>
      <c r="D163" s="17" t="n">
        <f aca="false">I22</f>
        <v>0.715</v>
      </c>
      <c r="E163" s="17" t="n">
        <f aca="false">J22</f>
        <v>0.765</v>
      </c>
      <c r="F163" s="17" t="n">
        <f aca="false">K22</f>
        <v>0.918</v>
      </c>
    </row>
    <row r="164" customFormat="false" ht="12.8" hidden="false" customHeight="false" outlineLevel="0" collapsed="false">
      <c r="A164" s="1" t="str">
        <f aca="false">_xlfn.CONCAT($A$142, ".", A23)</f>
        <v>AL.1.20</v>
      </c>
      <c r="B164" s="5" t="str">
        <f aca="false">_xlfn.CONCAT(B23, ": ", C23)</f>
        <v>Other Services: Support</v>
      </c>
      <c r="C164" s="17" t="n">
        <f aca="false">H23</f>
        <v>0.8844</v>
      </c>
      <c r="D164" s="17" t="n">
        <f aca="false">I23</f>
        <v>0.715</v>
      </c>
      <c r="E164" s="17" t="n">
        <f aca="false">J23</f>
        <v>0.765</v>
      </c>
      <c r="F164" s="17" t="n">
        <f aca="false">K23</f>
        <v>0.918</v>
      </c>
    </row>
    <row r="259" customFormat="false" ht="12.8" hidden="false" customHeight="false" outlineLevel="0" collapsed="false">
      <c r="A259" s="4" t="s">
        <v>148</v>
      </c>
      <c r="B259" s="27" t="s">
        <v>98</v>
      </c>
      <c r="C259" s="29" t="s">
        <v>149</v>
      </c>
    </row>
    <row r="260" customFormat="false" ht="46.25" hidden="false" customHeight="false" outlineLevel="0" collapsed="false">
      <c r="A260" s="4" t="s">
        <v>15</v>
      </c>
      <c r="B260" s="14" t="s">
        <v>145</v>
      </c>
      <c r="C260" s="23" t="str">
        <f aca="false">L2</f>
        <v>Unemployment Rate</v>
      </c>
      <c r="D260" s="23" t="str">
        <f aca="false">M2</f>
        <v>Authorized Immigrant Unemployment Rate</v>
      </c>
      <c r="E260" s="23" t="str">
        <f aca="false">N2</f>
        <v>Unauthorized Immigrant Unemployment Rate</v>
      </c>
      <c r="F260" s="23" t="str">
        <f aca="false">O2</f>
        <v>American Unemployment Rate</v>
      </c>
    </row>
    <row r="261" customFormat="false" ht="12.8" hidden="false" customHeight="false" outlineLevel="0" collapsed="false">
      <c r="A261" s="4" t="str">
        <f aca="false">_xlfn.CONCAT($A$259, ".", A3)</f>
        <v>AL.2.0</v>
      </c>
      <c r="B261" s="4" t="str">
        <f aca="false">_xlfn.CONCAT(B3, ": ", C3)</f>
        <v>All Industries: All Roles</v>
      </c>
      <c r="C261" s="23" t="n">
        <f aca="false">L3</f>
        <v>0.0853</v>
      </c>
      <c r="D261" s="23" t="n">
        <f aca="false">M3</f>
        <v>0.278</v>
      </c>
      <c r="E261" s="23" t="n">
        <f aca="false">N3</f>
        <v>0.228</v>
      </c>
      <c r="F261" s="23" t="n">
        <f aca="false">O3</f>
        <v>0.075</v>
      </c>
    </row>
    <row r="262" customFormat="false" ht="12.8" hidden="false" customHeight="false" outlineLevel="0" collapsed="false">
      <c r="A262" s="5" t="str">
        <f aca="false">_xlfn.CONCAT($A$259, ".", A4)</f>
        <v>AL.2.1</v>
      </c>
      <c r="B262" s="5" t="str">
        <f aca="false">_xlfn.CONCAT(B4, ": ", C4)</f>
        <v>Agriculture: Worker</v>
      </c>
      <c r="C262" s="31" t="n">
        <f aca="false">L4</f>
        <v>0.1254</v>
      </c>
      <c r="D262" s="31" t="n">
        <f aca="false">M4</f>
        <v>0.25</v>
      </c>
      <c r="E262" s="31" t="n">
        <f aca="false">N4</f>
        <v>0.2</v>
      </c>
      <c r="F262" s="31" t="n">
        <f aca="false">O4</f>
        <v>0.05</v>
      </c>
    </row>
    <row r="263" customFormat="false" ht="12.8" hidden="false" customHeight="false" outlineLevel="0" collapsed="false">
      <c r="A263" s="5" t="str">
        <f aca="false">_xlfn.CONCAT($A$259, ".", A5)</f>
        <v>AL.2.2</v>
      </c>
      <c r="B263" s="5" t="str">
        <f aca="false">_xlfn.CONCAT(B5, ": ", C5)</f>
        <v>Agriculture: Support</v>
      </c>
      <c r="C263" s="31" t="n">
        <f aca="false">L5</f>
        <v>0.1251</v>
      </c>
      <c r="D263" s="31" t="n">
        <f aca="false">M5</f>
        <v>0.25</v>
      </c>
      <c r="E263" s="31" t="n">
        <f aca="false">N5</f>
        <v>0.2</v>
      </c>
      <c r="F263" s="31" t="n">
        <f aca="false">O5</f>
        <v>0.05</v>
      </c>
    </row>
    <row r="264" customFormat="false" ht="12.8" hidden="false" customHeight="false" outlineLevel="0" collapsed="false">
      <c r="A264" s="5" t="str">
        <f aca="false">_xlfn.CONCAT($A$259, ".", A6)</f>
        <v>AL.2.3</v>
      </c>
      <c r="B264" s="5" t="str">
        <f aca="false">_xlfn.CONCAT(B6, ": ", C6)</f>
        <v>Construction: Worker</v>
      </c>
      <c r="C264" s="31" t="n">
        <f aca="false">L6</f>
        <v>0.0999</v>
      </c>
      <c r="D264" s="31" t="n">
        <f aca="false">M6</f>
        <v>0.248</v>
      </c>
      <c r="E264" s="31" t="n">
        <f aca="false">N6</f>
        <v>0.198</v>
      </c>
      <c r="F264" s="31" t="n">
        <f aca="false">O6</f>
        <v>0.055</v>
      </c>
    </row>
    <row r="265" customFormat="false" ht="12.8" hidden="false" customHeight="false" outlineLevel="0" collapsed="false">
      <c r="A265" s="5" t="str">
        <f aca="false">_xlfn.CONCAT($A$259, ".", A7)</f>
        <v>AL.2.4</v>
      </c>
      <c r="B265" s="5" t="str">
        <f aca="false">_xlfn.CONCAT(B7, ": ", C7)</f>
        <v>Construction: Support</v>
      </c>
      <c r="C265" s="31" t="n">
        <f aca="false">L7</f>
        <v>0.1</v>
      </c>
      <c r="D265" s="31" t="n">
        <f aca="false">M7</f>
        <v>0.248</v>
      </c>
      <c r="E265" s="31" t="n">
        <f aca="false">N7</f>
        <v>0.198</v>
      </c>
      <c r="F265" s="31" t="n">
        <f aca="false">O7</f>
        <v>0.055</v>
      </c>
    </row>
    <row r="266" customFormat="false" ht="12.8" hidden="false" customHeight="false" outlineLevel="0" collapsed="false">
      <c r="A266" s="5" t="str">
        <f aca="false">_xlfn.CONCAT($A$259, ".", A8)</f>
        <v>AL.2.5</v>
      </c>
      <c r="B266" s="5" t="str">
        <f aca="false">_xlfn.CONCAT(B8, ": ", C8)</f>
        <v>Hospitality: Worker</v>
      </c>
      <c r="C266" s="31" t="n">
        <f aca="false">L8</f>
        <v>0.1271</v>
      </c>
      <c r="D266" s="31" t="n">
        <f aca="false">M8</f>
        <v>0.285</v>
      </c>
      <c r="E266" s="31" t="n">
        <f aca="false">N8</f>
        <v>0.235</v>
      </c>
      <c r="F266" s="31" t="n">
        <f aca="false">O8</f>
        <v>0.08</v>
      </c>
    </row>
    <row r="267" customFormat="false" ht="12.8" hidden="false" customHeight="false" outlineLevel="0" collapsed="false">
      <c r="A267" s="5" t="str">
        <f aca="false">_xlfn.CONCAT($A$259, ".", A9)</f>
        <v>AL.2.6</v>
      </c>
      <c r="B267" s="5" t="str">
        <f aca="false">_xlfn.CONCAT(B9, ": ", C9)</f>
        <v>Hospitality: Support</v>
      </c>
      <c r="C267" s="31" t="n">
        <f aca="false">L9</f>
        <v>0.1271</v>
      </c>
      <c r="D267" s="31" t="n">
        <f aca="false">M9</f>
        <v>0.285</v>
      </c>
      <c r="E267" s="31" t="n">
        <f aca="false">N9</f>
        <v>0.235</v>
      </c>
      <c r="F267" s="31" t="n">
        <f aca="false">O9</f>
        <v>0.08</v>
      </c>
    </row>
    <row r="268" customFormat="false" ht="12.8" hidden="false" customHeight="false" outlineLevel="0" collapsed="false">
      <c r="A268" s="5" t="str">
        <f aca="false">_xlfn.CONCAT($A$259, ".", A10)</f>
        <v>AL.2.7</v>
      </c>
      <c r="B268" s="5" t="str">
        <f aca="false">_xlfn.CONCAT(B10, ": ", C10)</f>
        <v>Cleaning/Maintenance: Worker</v>
      </c>
      <c r="C268" s="31" t="n">
        <f aca="false">L10</f>
        <v>0.1303</v>
      </c>
      <c r="D268" s="31" t="n">
        <f aca="false">M10</f>
        <v>0.284</v>
      </c>
      <c r="E268" s="31" t="n">
        <f aca="false">N10</f>
        <v>0.234</v>
      </c>
      <c r="F268" s="31" t="n">
        <f aca="false">O10</f>
        <v>0.076</v>
      </c>
    </row>
    <row r="269" customFormat="false" ht="12.8" hidden="false" customHeight="false" outlineLevel="0" collapsed="false">
      <c r="A269" s="5" t="str">
        <f aca="false">_xlfn.CONCAT($A$259, ".", A11)</f>
        <v>AL.2.8</v>
      </c>
      <c r="B269" s="5" t="str">
        <f aca="false">_xlfn.CONCAT(B11, ": ", C11)</f>
        <v>Cleaning/Maintenance: Support</v>
      </c>
      <c r="C269" s="31" t="n">
        <f aca="false">L11</f>
        <v>0.1303</v>
      </c>
      <c r="D269" s="31" t="n">
        <f aca="false">M11</f>
        <v>0.284</v>
      </c>
      <c r="E269" s="31" t="n">
        <f aca="false">N11</f>
        <v>0.234</v>
      </c>
      <c r="F269" s="31" t="n">
        <f aca="false">O11</f>
        <v>0.076</v>
      </c>
    </row>
    <row r="270" customFormat="false" ht="12.8" hidden="false" customHeight="false" outlineLevel="0" collapsed="false">
      <c r="A270" s="5" t="str">
        <f aca="false">_xlfn.CONCAT($A$259, ".", A12)</f>
        <v>AL.2.9</v>
      </c>
      <c r="B270" s="5" t="str">
        <f aca="false">_xlfn.CONCAT(B12, ": ", C12)</f>
        <v>Manufacturing: Worker</v>
      </c>
      <c r="C270" s="31" t="n">
        <f aca="false">L12</f>
        <v>0.0821</v>
      </c>
      <c r="D270" s="31" t="n">
        <f aca="false">M12</f>
        <v>0.24</v>
      </c>
      <c r="E270" s="31" t="n">
        <f aca="false">N12</f>
        <v>0.19</v>
      </c>
      <c r="F270" s="31" t="n">
        <f aca="false">O12</f>
        <v>0.05</v>
      </c>
    </row>
    <row r="271" customFormat="false" ht="12.8" hidden="false" customHeight="false" outlineLevel="0" collapsed="false">
      <c r="A271" s="5" t="str">
        <f aca="false">_xlfn.CONCAT($A$259, ".", A13)</f>
        <v>AL.2.10</v>
      </c>
      <c r="B271" s="5" t="str">
        <f aca="false">_xlfn.CONCAT(B13, ": ", C13)</f>
        <v>Manufacturing: Support</v>
      </c>
      <c r="C271" s="31" t="n">
        <f aca="false">L13</f>
        <v>0.0821</v>
      </c>
      <c r="D271" s="31" t="n">
        <f aca="false">M13</f>
        <v>0.24</v>
      </c>
      <c r="E271" s="31" t="n">
        <f aca="false">N13</f>
        <v>0.19</v>
      </c>
      <c r="F271" s="31" t="n">
        <f aca="false">O13</f>
        <v>0.05</v>
      </c>
    </row>
    <row r="272" customFormat="false" ht="12.8" hidden="false" customHeight="false" outlineLevel="0" collapsed="false">
      <c r="A272" s="5" t="str">
        <f aca="false">_xlfn.CONCAT($A$259, ".", A14)</f>
        <v>AL.2.11</v>
      </c>
      <c r="B272" s="5" t="str">
        <f aca="false">_xlfn.CONCAT(B14, ": ", C14)</f>
        <v>Transportation &amp; Warehousing: Worker</v>
      </c>
      <c r="C272" s="31" t="n">
        <f aca="false">L14</f>
        <v>0.0923</v>
      </c>
      <c r="D272" s="31" t="n">
        <f aca="false">M14</f>
        <v>0.25</v>
      </c>
      <c r="E272" s="31" t="n">
        <f aca="false">N14</f>
        <v>0.2</v>
      </c>
      <c r="F272" s="31" t="n">
        <f aca="false">O14</f>
        <v>0.055</v>
      </c>
    </row>
    <row r="273" customFormat="false" ht="12.8" hidden="false" customHeight="false" outlineLevel="0" collapsed="false">
      <c r="A273" s="5" t="str">
        <f aca="false">_xlfn.CONCAT($A$259, ".", A15)</f>
        <v>AL.2.12</v>
      </c>
      <c r="B273" s="5" t="str">
        <f aca="false">_xlfn.CONCAT(B15, ": ", C15)</f>
        <v>Transportation &amp; Warehousing: Support</v>
      </c>
      <c r="C273" s="31" t="n">
        <f aca="false">L15</f>
        <v>0.0923</v>
      </c>
      <c r="D273" s="31" t="n">
        <f aca="false">M15</f>
        <v>0.25</v>
      </c>
      <c r="E273" s="31" t="n">
        <f aca="false">N15</f>
        <v>0.2</v>
      </c>
      <c r="F273" s="31" t="n">
        <f aca="false">O15</f>
        <v>0.055</v>
      </c>
    </row>
    <row r="274" customFormat="false" ht="12.8" hidden="false" customHeight="false" outlineLevel="0" collapsed="false">
      <c r="A274" s="5" t="str">
        <f aca="false">_xlfn.CONCAT($A$259, ".", A16)</f>
        <v>AL.2.13</v>
      </c>
      <c r="B274" s="5" t="str">
        <f aca="false">_xlfn.CONCAT(B16, ": ", C16)</f>
        <v>Retail Trade: Worker</v>
      </c>
      <c r="C274" s="31" t="n">
        <f aca="false">L16</f>
        <v>0.1151</v>
      </c>
      <c r="D274" s="31" t="n">
        <f aca="false">M16</f>
        <v>0.302</v>
      </c>
      <c r="E274" s="31" t="n">
        <f aca="false">N16</f>
        <v>0.252</v>
      </c>
      <c r="F274" s="31" t="n">
        <f aca="false">O16</f>
        <v>0.092</v>
      </c>
    </row>
    <row r="275" customFormat="false" ht="12.8" hidden="false" customHeight="false" outlineLevel="0" collapsed="false">
      <c r="A275" s="5" t="str">
        <f aca="false">_xlfn.CONCAT($A$259, ".", A17)</f>
        <v>AL.2.14</v>
      </c>
      <c r="B275" s="5" t="str">
        <f aca="false">_xlfn.CONCAT(B17, ": ", C17)</f>
        <v>Retail Trade: Support</v>
      </c>
      <c r="C275" s="31" t="n">
        <f aca="false">L17</f>
        <v>0.1151</v>
      </c>
      <c r="D275" s="31" t="n">
        <f aca="false">M17</f>
        <v>0.302</v>
      </c>
      <c r="E275" s="31" t="n">
        <f aca="false">N17</f>
        <v>0.252</v>
      </c>
      <c r="F275" s="31" t="n">
        <f aca="false">O17</f>
        <v>0.092</v>
      </c>
    </row>
    <row r="276" customFormat="false" ht="12.8" hidden="false" customHeight="false" outlineLevel="0" collapsed="false">
      <c r="A276" s="5" t="str">
        <f aca="false">_xlfn.CONCAT($A$259, ".", A18)</f>
        <v>AL.2.15</v>
      </c>
      <c r="B276" s="5" t="str">
        <f aca="false">_xlfn.CONCAT(B18, ": ", C18)</f>
        <v>Landscaping / Groundskeeping: Worker</v>
      </c>
      <c r="C276" s="31" t="n">
        <f aca="false">L18</f>
        <v>0.1224</v>
      </c>
      <c r="D276" s="31" t="n">
        <f aca="false">M18</f>
        <v>0.27</v>
      </c>
      <c r="E276" s="31" t="n">
        <f aca="false">N18</f>
        <v>0.22</v>
      </c>
      <c r="F276" s="31" t="n">
        <f aca="false">O18</f>
        <v>0.08</v>
      </c>
    </row>
    <row r="277" customFormat="false" ht="12.8" hidden="false" customHeight="false" outlineLevel="0" collapsed="false">
      <c r="A277" s="5" t="str">
        <f aca="false">_xlfn.CONCAT($A$259, ".", A19)</f>
        <v>AL.2.16</v>
      </c>
      <c r="B277" s="5" t="str">
        <f aca="false">_xlfn.CONCAT(B19, ": ", C19)</f>
        <v>Landscaping / Groundskeeping: Support</v>
      </c>
      <c r="C277" s="31" t="n">
        <f aca="false">L19</f>
        <v>0.1225</v>
      </c>
      <c r="D277" s="31" t="n">
        <f aca="false">M19</f>
        <v>0.27</v>
      </c>
      <c r="E277" s="31" t="n">
        <f aca="false">N19</f>
        <v>0.22</v>
      </c>
      <c r="F277" s="31" t="n">
        <f aca="false">O19</f>
        <v>0.08</v>
      </c>
    </row>
    <row r="278" customFormat="false" ht="12.8" hidden="false" customHeight="false" outlineLevel="0" collapsed="false">
      <c r="A278" s="5" t="str">
        <f aca="false">_xlfn.CONCAT($A$259, ".", A20)</f>
        <v>AL.2.17</v>
      </c>
      <c r="B278" s="5" t="str">
        <f aca="false">_xlfn.CONCAT(B20, ": ", C20)</f>
        <v>Automotive &amp; Repair: Worker</v>
      </c>
      <c r="C278" s="31" t="n">
        <f aca="false">L20</f>
        <v>0.1157</v>
      </c>
      <c r="D278" s="31" t="n">
        <f aca="false">M20</f>
        <v>0.285</v>
      </c>
      <c r="E278" s="31" t="n">
        <f aca="false">N20</f>
        <v>0.235</v>
      </c>
      <c r="F278" s="31" t="n">
        <f aca="false">O20</f>
        <v>0.082</v>
      </c>
    </row>
    <row r="279" customFormat="false" ht="12.8" hidden="false" customHeight="false" outlineLevel="0" collapsed="false">
      <c r="A279" s="5" t="str">
        <f aca="false">_xlfn.CONCAT($A$259, ".", A21)</f>
        <v>AL.2.18</v>
      </c>
      <c r="B279" s="5" t="str">
        <f aca="false">_xlfn.CONCAT(B21, ": ", C21)</f>
        <v>Automotive &amp; Repair: Support</v>
      </c>
      <c r="C279" s="31" t="n">
        <f aca="false">L21</f>
        <v>0.1156</v>
      </c>
      <c r="D279" s="31" t="n">
        <f aca="false">M21</f>
        <v>0.285</v>
      </c>
      <c r="E279" s="31" t="n">
        <f aca="false">N21</f>
        <v>0.235</v>
      </c>
      <c r="F279" s="31" t="n">
        <f aca="false">O21</f>
        <v>0.082</v>
      </c>
    </row>
    <row r="280" customFormat="false" ht="12.8" hidden="false" customHeight="false" outlineLevel="0" collapsed="false">
      <c r="A280" s="5" t="str">
        <f aca="false">_xlfn.CONCAT($A$259, ".", A22)</f>
        <v>AL.2.19</v>
      </c>
      <c r="B280" s="5" t="str">
        <f aca="false">_xlfn.CONCAT(B22, ": ", C22)</f>
        <v>Other Services: Worker</v>
      </c>
      <c r="C280" s="31" t="n">
        <f aca="false">L22</f>
        <v>0.1157</v>
      </c>
      <c r="D280" s="31" t="n">
        <f aca="false">M22</f>
        <v>0.285</v>
      </c>
      <c r="E280" s="31" t="n">
        <f aca="false">N22</f>
        <v>0.235</v>
      </c>
      <c r="F280" s="31" t="n">
        <f aca="false">O22</f>
        <v>0.082</v>
      </c>
    </row>
    <row r="281" customFormat="false" ht="12.8" hidden="false" customHeight="false" outlineLevel="0" collapsed="false">
      <c r="A281" s="5" t="str">
        <f aca="false">_xlfn.CONCAT($A$259, ".", A23)</f>
        <v>AL.2.20</v>
      </c>
      <c r="B281" s="5" t="str">
        <f aca="false">_xlfn.CONCAT(B23, ": ", C23)</f>
        <v>Other Services: Support</v>
      </c>
      <c r="C281" s="31" t="n">
        <f aca="false">L23</f>
        <v>0.1156</v>
      </c>
      <c r="D281" s="31" t="n">
        <f aca="false">M23</f>
        <v>0.285</v>
      </c>
      <c r="E281" s="31" t="n">
        <f aca="false">N23</f>
        <v>0.235</v>
      </c>
      <c r="F281" s="31" t="n">
        <f aca="false">O23</f>
        <v>0.082</v>
      </c>
    </row>
    <row r="376" customFormat="false" ht="12.8" hidden="false" customHeight="false" outlineLevel="0" collapsed="false">
      <c r="A376" s="4" t="s">
        <v>150</v>
      </c>
      <c r="B376" s="27" t="s">
        <v>98</v>
      </c>
      <c r="C376" s="29" t="s">
        <v>151</v>
      </c>
    </row>
    <row r="377" customFormat="false" ht="46.25" hidden="false" customHeight="false" outlineLevel="0" collapsed="false">
      <c r="A377" s="4" t="s">
        <v>15</v>
      </c>
      <c r="B377" s="14" t="s">
        <v>145</v>
      </c>
      <c r="C377" s="23" t="str">
        <f aca="false">P2</f>
        <v>Underemployment Rate</v>
      </c>
      <c r="D377" s="23" t="str">
        <f aca="false">Q2</f>
        <v>Authorized Immigrant Underemployment Rate</v>
      </c>
      <c r="E377" s="23" t="str">
        <f aca="false">R2</f>
        <v>Unauthorized Immigrant Underemployment Rate</v>
      </c>
      <c r="F377" s="23" t="str">
        <f aca="false">S2</f>
        <v>American Underemployment Rate</v>
      </c>
    </row>
    <row r="378" customFormat="false" ht="12.8" hidden="false" customHeight="false" outlineLevel="0" collapsed="false">
      <c r="A378" s="1" t="str">
        <f aca="false">_xlfn.CONCAT($A$376, ".", A3)</f>
        <v>AL.3.0</v>
      </c>
      <c r="B378" s="4" t="str">
        <f aca="false">_xlfn.CONCAT(B3, ": ", C3)</f>
        <v>All Industries: All Roles</v>
      </c>
      <c r="C378" s="31" t="n">
        <f aca="false">P3</f>
        <v>0.0809</v>
      </c>
      <c r="D378" s="31" t="n">
        <f aca="false">Q3</f>
        <v>0.095</v>
      </c>
      <c r="E378" s="31" t="n">
        <f aca="false">R3</f>
        <v>0.095</v>
      </c>
      <c r="F378" s="31" t="n">
        <f aca="false">S3</f>
        <v>0.08</v>
      </c>
    </row>
    <row r="379" customFormat="false" ht="12.8" hidden="false" customHeight="false" outlineLevel="0" collapsed="false">
      <c r="A379" s="1" t="str">
        <f aca="false">_xlfn.CONCAT($A$376, ".", A4)</f>
        <v>AL.3.1</v>
      </c>
      <c r="B379" s="5" t="str">
        <f aca="false">_xlfn.CONCAT(B4, ": ", C4)</f>
        <v>Agriculture: Worker</v>
      </c>
      <c r="C379" s="31" t="n">
        <f aca="false">P4</f>
        <v>0.0841</v>
      </c>
      <c r="D379" s="31" t="n">
        <f aca="false">Q4</f>
        <v>0.09</v>
      </c>
      <c r="E379" s="31" t="n">
        <f aca="false">R4</f>
        <v>0.09</v>
      </c>
      <c r="F379" s="31" t="n">
        <f aca="false">S4</f>
        <v>0.08</v>
      </c>
    </row>
    <row r="380" customFormat="false" ht="12.8" hidden="false" customHeight="false" outlineLevel="0" collapsed="false">
      <c r="A380" s="1" t="str">
        <f aca="false">_xlfn.CONCAT($A$376, ".", A5)</f>
        <v>AL.3.2</v>
      </c>
      <c r="B380" s="5" t="str">
        <f aca="false">_xlfn.CONCAT(B5, ": ", C5)</f>
        <v>Agriculture: Support</v>
      </c>
      <c r="C380" s="31" t="n">
        <f aca="false">P5</f>
        <v>0.0841</v>
      </c>
      <c r="D380" s="31" t="n">
        <f aca="false">Q5</f>
        <v>0.09</v>
      </c>
      <c r="E380" s="31" t="n">
        <f aca="false">R5</f>
        <v>0.09</v>
      </c>
      <c r="F380" s="31" t="n">
        <f aca="false">S5</f>
        <v>0.08</v>
      </c>
    </row>
    <row r="381" customFormat="false" ht="12.8" hidden="false" customHeight="false" outlineLevel="0" collapsed="false">
      <c r="A381" s="1" t="str">
        <f aca="false">_xlfn.CONCAT($A$376, ".", A6)</f>
        <v>AL.3.3</v>
      </c>
      <c r="B381" s="5" t="str">
        <f aca="false">_xlfn.CONCAT(B6, ": ", C6)</f>
        <v>Construction: Worker</v>
      </c>
      <c r="C381" s="31" t="n">
        <f aca="false">P6</f>
        <v>0.0827</v>
      </c>
      <c r="D381" s="31" t="n">
        <f aca="false">Q6</f>
        <v>0.09</v>
      </c>
      <c r="E381" s="31" t="n">
        <f aca="false">R6</f>
        <v>0.09</v>
      </c>
      <c r="F381" s="31" t="n">
        <f aca="false">S6</f>
        <v>0.08</v>
      </c>
    </row>
    <row r="382" customFormat="false" ht="12.8" hidden="false" customHeight="false" outlineLevel="0" collapsed="false">
      <c r="A382" s="1" t="str">
        <f aca="false">_xlfn.CONCAT($A$376, ".", A7)</f>
        <v>AL.3.4</v>
      </c>
      <c r="B382" s="5" t="str">
        <f aca="false">_xlfn.CONCAT(B7, ": ", C7)</f>
        <v>Construction: Support</v>
      </c>
      <c r="C382" s="31" t="n">
        <f aca="false">P7</f>
        <v>0.0827</v>
      </c>
      <c r="D382" s="31" t="n">
        <f aca="false">Q7</f>
        <v>0.09</v>
      </c>
      <c r="E382" s="31" t="n">
        <f aca="false">R7</f>
        <v>0.09</v>
      </c>
      <c r="F382" s="31" t="n">
        <f aca="false">S7</f>
        <v>0.08</v>
      </c>
    </row>
    <row r="383" customFormat="false" ht="12.8" hidden="false" customHeight="false" outlineLevel="0" collapsed="false">
      <c r="A383" s="1" t="str">
        <f aca="false">_xlfn.CONCAT($A$376, ".", A8)</f>
        <v>AL.3.5</v>
      </c>
      <c r="B383" s="5" t="str">
        <f aca="false">_xlfn.CONCAT(B8, ": ", C8)</f>
        <v>Hospitality: Worker</v>
      </c>
      <c r="C383" s="31" t="n">
        <f aca="false">P8</f>
        <v>0.1137</v>
      </c>
      <c r="D383" s="31" t="n">
        <f aca="false">Q8</f>
        <v>0.11</v>
      </c>
      <c r="E383" s="31" t="n">
        <f aca="false">R8</f>
        <v>0.11</v>
      </c>
      <c r="F383" s="31" t="n">
        <f aca="false">S8</f>
        <v>0.115</v>
      </c>
    </row>
    <row r="384" customFormat="false" ht="12.8" hidden="false" customHeight="false" outlineLevel="0" collapsed="false">
      <c r="A384" s="1" t="str">
        <f aca="false">_xlfn.CONCAT($A$376, ".", A9)</f>
        <v>AL.3.6</v>
      </c>
      <c r="B384" s="5" t="str">
        <f aca="false">_xlfn.CONCAT(B9, ": ", C9)</f>
        <v>Hospitality: Support</v>
      </c>
      <c r="C384" s="31" t="n">
        <f aca="false">P9</f>
        <v>0.1137</v>
      </c>
      <c r="D384" s="31" t="n">
        <f aca="false">Q9</f>
        <v>0.11</v>
      </c>
      <c r="E384" s="31" t="n">
        <f aca="false">R9</f>
        <v>0.11</v>
      </c>
      <c r="F384" s="31" t="n">
        <f aca="false">S9</f>
        <v>0.115</v>
      </c>
    </row>
    <row r="385" customFormat="false" ht="12.8" hidden="false" customHeight="false" outlineLevel="0" collapsed="false">
      <c r="A385" s="1" t="str">
        <f aca="false">_xlfn.CONCAT($A$376, ".", A10)</f>
        <v>AL.3.7</v>
      </c>
      <c r="B385" s="5" t="str">
        <f aca="false">_xlfn.CONCAT(B10, ": ", C10)</f>
        <v>Cleaning/Maintenance: Worker</v>
      </c>
      <c r="C385" s="31" t="n">
        <f aca="false">P10</f>
        <v>0.1135</v>
      </c>
      <c r="D385" s="31" t="n">
        <f aca="false">Q10</f>
        <v>0.11</v>
      </c>
      <c r="E385" s="31" t="n">
        <f aca="false">R10</f>
        <v>0.11</v>
      </c>
      <c r="F385" s="31" t="n">
        <f aca="false">S10</f>
        <v>0.115</v>
      </c>
    </row>
    <row r="386" customFormat="false" ht="12.8" hidden="false" customHeight="false" outlineLevel="0" collapsed="false">
      <c r="A386" s="1" t="str">
        <f aca="false">_xlfn.CONCAT($A$376, ".", A11)</f>
        <v>AL.3.8</v>
      </c>
      <c r="B386" s="5" t="str">
        <f aca="false">_xlfn.CONCAT(B11, ": ", C11)</f>
        <v>Cleaning/Maintenance: Support</v>
      </c>
      <c r="C386" s="31" t="n">
        <f aca="false">P11</f>
        <v>0.1135</v>
      </c>
      <c r="D386" s="31" t="n">
        <f aca="false">Q11</f>
        <v>0.11</v>
      </c>
      <c r="E386" s="31" t="n">
        <f aca="false">R11</f>
        <v>0.11</v>
      </c>
      <c r="F386" s="31" t="n">
        <f aca="false">S11</f>
        <v>0.115</v>
      </c>
    </row>
    <row r="387" customFormat="false" ht="12.8" hidden="false" customHeight="false" outlineLevel="0" collapsed="false">
      <c r="A387" s="1" t="str">
        <f aca="false">_xlfn.CONCAT($A$376, ".", A12)</f>
        <v>AL.3.9</v>
      </c>
      <c r="B387" s="5" t="str">
        <f aca="false">_xlfn.CONCAT(B12, ": ", C12)</f>
        <v>Manufacturing: Worker</v>
      </c>
      <c r="C387" s="31" t="n">
        <f aca="false">P12</f>
        <v>0.1022</v>
      </c>
      <c r="D387" s="31" t="n">
        <f aca="false">Q12</f>
        <v>0.09</v>
      </c>
      <c r="E387" s="31" t="n">
        <f aca="false">R12</f>
        <v>0.09</v>
      </c>
      <c r="F387" s="31" t="n">
        <f aca="false">S12</f>
        <v>0.105</v>
      </c>
    </row>
    <row r="388" customFormat="false" ht="12.8" hidden="false" customHeight="false" outlineLevel="0" collapsed="false">
      <c r="A388" s="1" t="str">
        <f aca="false">_xlfn.CONCAT($A$376, ".", A13)</f>
        <v>AL.3.10</v>
      </c>
      <c r="B388" s="5" t="str">
        <f aca="false">_xlfn.CONCAT(B13, ": ", C13)</f>
        <v>Manufacturing: Support</v>
      </c>
      <c r="C388" s="31" t="n">
        <f aca="false">P13</f>
        <v>0.1022</v>
      </c>
      <c r="D388" s="31" t="n">
        <f aca="false">Q13</f>
        <v>0.09</v>
      </c>
      <c r="E388" s="31" t="n">
        <f aca="false">R13</f>
        <v>0.09</v>
      </c>
      <c r="F388" s="31" t="n">
        <f aca="false">S13</f>
        <v>0.105</v>
      </c>
    </row>
    <row r="389" customFormat="false" ht="12.8" hidden="false" customHeight="false" outlineLevel="0" collapsed="false">
      <c r="A389" s="1" t="str">
        <f aca="false">_xlfn.CONCAT($A$376, ".", A14)</f>
        <v>AL.3.11</v>
      </c>
      <c r="B389" s="5" t="str">
        <f aca="false">_xlfn.CONCAT(B14, ": ", C14)</f>
        <v>Transportation &amp; Warehousing: Worker</v>
      </c>
      <c r="C389" s="31" t="n">
        <f aca="false">P14</f>
        <v>0.1018</v>
      </c>
      <c r="D389" s="31" t="n">
        <f aca="false">Q14</f>
        <v>0.09</v>
      </c>
      <c r="E389" s="31" t="n">
        <f aca="false">R14</f>
        <v>0.09</v>
      </c>
      <c r="F389" s="31" t="n">
        <f aca="false">S14</f>
        <v>0.105</v>
      </c>
    </row>
    <row r="390" customFormat="false" ht="12.8" hidden="false" customHeight="false" outlineLevel="0" collapsed="false">
      <c r="A390" s="1" t="str">
        <f aca="false">_xlfn.CONCAT($A$376, ".", A15)</f>
        <v>AL.3.12</v>
      </c>
      <c r="B390" s="5" t="str">
        <f aca="false">_xlfn.CONCAT(B15, ": ", C15)</f>
        <v>Transportation &amp; Warehousing: Support</v>
      </c>
      <c r="C390" s="31" t="n">
        <f aca="false">P15</f>
        <v>0.1018</v>
      </c>
      <c r="D390" s="31" t="n">
        <f aca="false">Q15</f>
        <v>0.09</v>
      </c>
      <c r="E390" s="31" t="n">
        <f aca="false">R15</f>
        <v>0.09</v>
      </c>
      <c r="F390" s="31" t="n">
        <f aca="false">S15</f>
        <v>0.105</v>
      </c>
    </row>
    <row r="391" customFormat="false" ht="12.8" hidden="false" customHeight="false" outlineLevel="0" collapsed="false">
      <c r="A391" s="1" t="str">
        <f aca="false">_xlfn.CONCAT($A$376, ".", A16)</f>
        <v>AL.3.13</v>
      </c>
      <c r="B391" s="5" t="str">
        <f aca="false">_xlfn.CONCAT(B16, ": ", C16)</f>
        <v>Retail Trade: Worker</v>
      </c>
      <c r="C391" s="31" t="n">
        <f aca="false">P16</f>
        <v>0.1144</v>
      </c>
      <c r="D391" s="31" t="n">
        <f aca="false">Q16</f>
        <v>0.11</v>
      </c>
      <c r="E391" s="31" t="n">
        <f aca="false">R16</f>
        <v>0.11</v>
      </c>
      <c r="F391" s="31" t="n">
        <f aca="false">S16</f>
        <v>0.115</v>
      </c>
    </row>
    <row r="392" customFormat="false" ht="12.8" hidden="false" customHeight="false" outlineLevel="0" collapsed="false">
      <c r="A392" s="1" t="str">
        <f aca="false">_xlfn.CONCAT($A$376, ".", A17)</f>
        <v>AL.3.14</v>
      </c>
      <c r="B392" s="5" t="str">
        <f aca="false">_xlfn.CONCAT(B17, ": ", C17)</f>
        <v>Retail Trade: Support</v>
      </c>
      <c r="C392" s="31" t="n">
        <f aca="false">P17</f>
        <v>0.1144</v>
      </c>
      <c r="D392" s="31" t="n">
        <f aca="false">Q17</f>
        <v>0.11</v>
      </c>
      <c r="E392" s="31" t="n">
        <f aca="false">R17</f>
        <v>0.11</v>
      </c>
      <c r="F392" s="31" t="n">
        <f aca="false">S17</f>
        <v>0.115</v>
      </c>
    </row>
    <row r="393" customFormat="false" ht="12.8" hidden="false" customHeight="false" outlineLevel="0" collapsed="false">
      <c r="A393" s="1" t="str">
        <f aca="false">_xlfn.CONCAT($A$376, ".", A18)</f>
        <v>AL.3.15</v>
      </c>
      <c r="B393" s="5" t="str">
        <f aca="false">_xlfn.CONCAT(B18, ": ", C18)</f>
        <v>Landscaping / Groundskeeping: Worker</v>
      </c>
      <c r="C393" s="31" t="n">
        <f aca="false">P18</f>
        <v>0.1037</v>
      </c>
      <c r="D393" s="31" t="n">
        <f aca="false">Q18</f>
        <v>0.1</v>
      </c>
      <c r="E393" s="31" t="n">
        <f aca="false">R18</f>
        <v>0.1</v>
      </c>
      <c r="F393" s="31" t="n">
        <f aca="false">S18</f>
        <v>0.105</v>
      </c>
    </row>
    <row r="394" customFormat="false" ht="12.8" hidden="false" customHeight="false" outlineLevel="0" collapsed="false">
      <c r="A394" s="1" t="str">
        <f aca="false">_xlfn.CONCAT($A$376, ".", A19)</f>
        <v>AL.3.16</v>
      </c>
      <c r="B394" s="5" t="str">
        <f aca="false">_xlfn.CONCAT(B19, ": ", C19)</f>
        <v>Landscaping / Groundskeeping: Support</v>
      </c>
      <c r="C394" s="31" t="n">
        <f aca="false">P19</f>
        <v>0.1037</v>
      </c>
      <c r="D394" s="31" t="n">
        <f aca="false">Q19</f>
        <v>0.1</v>
      </c>
      <c r="E394" s="31" t="n">
        <f aca="false">R19</f>
        <v>0.1</v>
      </c>
      <c r="F394" s="31" t="n">
        <f aca="false">S19</f>
        <v>0.105</v>
      </c>
    </row>
    <row r="395" customFormat="false" ht="12.8" hidden="false" customHeight="false" outlineLevel="0" collapsed="false">
      <c r="A395" s="1" t="str">
        <f aca="false">_xlfn.CONCAT($A$376, ".", A20)</f>
        <v>AL.3.17</v>
      </c>
      <c r="B395" s="5" t="str">
        <f aca="false">_xlfn.CONCAT(B20, ": ", C20)</f>
        <v>Automotive &amp; Repair: Worker</v>
      </c>
      <c r="C395" s="31" t="n">
        <f aca="false">P20</f>
        <v>0.1082</v>
      </c>
      <c r="D395" s="31" t="n">
        <f aca="false">Q20</f>
        <v>0.1</v>
      </c>
      <c r="E395" s="31" t="n">
        <f aca="false">R20</f>
        <v>0.1</v>
      </c>
      <c r="F395" s="31" t="n">
        <f aca="false">S20</f>
        <v>0.11</v>
      </c>
    </row>
    <row r="396" customFormat="false" ht="12.8" hidden="false" customHeight="false" outlineLevel="0" collapsed="false">
      <c r="A396" s="1" t="str">
        <f aca="false">_xlfn.CONCAT($A$376, ".", A21)</f>
        <v>AL.3.18</v>
      </c>
      <c r="B396" s="5" t="str">
        <f aca="false">_xlfn.CONCAT(B21, ": ", C21)</f>
        <v>Automotive &amp; Repair: Support</v>
      </c>
      <c r="C396" s="31" t="n">
        <f aca="false">P21</f>
        <v>0.1082</v>
      </c>
      <c r="D396" s="31" t="n">
        <f aca="false">Q21</f>
        <v>0.1</v>
      </c>
      <c r="E396" s="31" t="n">
        <f aca="false">R21</f>
        <v>0.1</v>
      </c>
      <c r="F396" s="31" t="n">
        <f aca="false">S21</f>
        <v>0.11</v>
      </c>
    </row>
    <row r="397" customFormat="false" ht="12.8" hidden="false" customHeight="false" outlineLevel="0" collapsed="false">
      <c r="A397" s="1" t="str">
        <f aca="false">_xlfn.CONCAT($A$376, ".", A22)</f>
        <v>AL.3.19</v>
      </c>
      <c r="B397" s="5" t="str">
        <f aca="false">_xlfn.CONCAT(B22, ": ", C22)</f>
        <v>Other Services: Worker</v>
      </c>
      <c r="C397" s="31" t="n">
        <f aca="false">P22</f>
        <v>0.1082</v>
      </c>
      <c r="D397" s="31" t="n">
        <f aca="false">Q22</f>
        <v>0.1</v>
      </c>
      <c r="E397" s="31" t="n">
        <f aca="false">R22</f>
        <v>0.1</v>
      </c>
      <c r="F397" s="31" t="n">
        <f aca="false">S22</f>
        <v>0.11</v>
      </c>
    </row>
    <row r="398" customFormat="false" ht="12.8" hidden="false" customHeight="false" outlineLevel="0" collapsed="false">
      <c r="A398" s="1" t="str">
        <f aca="false">_xlfn.CONCAT($A$376, ".", A23)</f>
        <v>AL.3.20</v>
      </c>
      <c r="B398" s="5" t="str">
        <f aca="false">_xlfn.CONCAT(B23, ": ", C23)</f>
        <v>Other Services: Support</v>
      </c>
      <c r="C398" s="31" t="n">
        <f aca="false">P23</f>
        <v>0.1082</v>
      </c>
      <c r="D398" s="31" t="n">
        <f aca="false">Q23</f>
        <v>0.1</v>
      </c>
      <c r="E398" s="31" t="n">
        <f aca="false">R23</f>
        <v>0.1</v>
      </c>
      <c r="F398" s="31" t="n">
        <f aca="false">S23</f>
        <v>0.11</v>
      </c>
    </row>
    <row r="494" customFormat="false" ht="12.8" hidden="false" customHeight="false" outlineLevel="0" collapsed="false">
      <c r="A494" s="4" t="s">
        <v>152</v>
      </c>
      <c r="B494" s="27" t="s">
        <v>98</v>
      </c>
      <c r="C494" s="29" t="s">
        <v>153</v>
      </c>
    </row>
    <row r="495" customFormat="false" ht="35.05" hidden="false" customHeight="false" outlineLevel="0" collapsed="false">
      <c r="A495" s="4" t="s">
        <v>15</v>
      </c>
      <c r="B495" s="4" t="str">
        <f aca="false">_xlfn.CONCAT(B2, ": ", C2)</f>
        <v>Industry: Role</v>
      </c>
      <c r="C495" s="14" t="str">
        <f aca="false">T2</f>
        <v>Wage Average ($$ /hr)</v>
      </c>
      <c r="D495" s="14" t="str">
        <f aca="false">Z2</f>
        <v>Authorized Immigrant Wage Average ($$ /hr)</v>
      </c>
      <c r="E495" s="14" t="str">
        <f aca="false">AF2</f>
        <v>Unauthorized Immigrant Wage Average ($$ /hr)</v>
      </c>
      <c r="F495" s="14" t="str">
        <f aca="false">AL2</f>
        <v>American Wage Average ($$ /hr)</v>
      </c>
    </row>
    <row r="496" customFormat="false" ht="12.8" hidden="false" customHeight="false" outlineLevel="0" collapsed="false">
      <c r="A496" s="1" t="str">
        <f aca="false">_xlfn.CONCAT($A$494, ".", A3)</f>
        <v>AL.4.0</v>
      </c>
      <c r="B496" s="4" t="str">
        <f aca="false">_xlfn.CONCAT(B3, ": ", C3)</f>
        <v>All Industries: All Roles</v>
      </c>
      <c r="C496" s="32" t="n">
        <f aca="false">T3</f>
        <v>13.02</v>
      </c>
      <c r="D496" s="32" t="n">
        <f aca="false">Z3</f>
        <v>9.8</v>
      </c>
      <c r="E496" s="32" t="n">
        <f aca="false">AF3</f>
        <v>9.8</v>
      </c>
      <c r="F496" s="32" t="n">
        <f aca="false">AL3</f>
        <v>13.2</v>
      </c>
    </row>
    <row r="497" customFormat="false" ht="12.8" hidden="false" customHeight="false" outlineLevel="0" collapsed="false">
      <c r="A497" s="1" t="str">
        <f aca="false">_xlfn.CONCAT($A$494, ".", A4)</f>
        <v>AL.4.1</v>
      </c>
      <c r="B497" s="5" t="str">
        <f aca="false">_xlfn.CONCAT(B4, ": ", C4)</f>
        <v>Agriculture: Worker</v>
      </c>
      <c r="C497" s="18" t="n">
        <f aca="false">T4</f>
        <v>18.5</v>
      </c>
      <c r="D497" s="18" t="n">
        <f aca="false">Z4</f>
        <v>18.5</v>
      </c>
      <c r="E497" s="18" t="n">
        <f aca="false">AF4</f>
        <v>17</v>
      </c>
      <c r="F497" s="18" t="n">
        <f aca="false">AL4</f>
        <v>21</v>
      </c>
    </row>
    <row r="498" customFormat="false" ht="12.8" hidden="false" customHeight="false" outlineLevel="0" collapsed="false">
      <c r="A498" s="1" t="str">
        <f aca="false">_xlfn.CONCAT($A$494, ".", A5)</f>
        <v>AL.4.2</v>
      </c>
      <c r="B498" s="5" t="str">
        <f aca="false">_xlfn.CONCAT(B5, ": ", C5)</f>
        <v>Agriculture: Support</v>
      </c>
      <c r="C498" s="18" t="n">
        <f aca="false">T5</f>
        <v>17</v>
      </c>
      <c r="D498" s="18" t="n">
        <f aca="false">Z5</f>
        <v>17</v>
      </c>
      <c r="E498" s="18" t="n">
        <f aca="false">AF5</f>
        <v>15.5</v>
      </c>
      <c r="F498" s="18" t="n">
        <f aca="false">AL5</f>
        <v>19</v>
      </c>
    </row>
    <row r="499" customFormat="false" ht="12.8" hidden="false" customHeight="false" outlineLevel="0" collapsed="false">
      <c r="A499" s="1" t="str">
        <f aca="false">_xlfn.CONCAT($A$494, ".", A6)</f>
        <v>AL.4.3</v>
      </c>
      <c r="B499" s="5" t="str">
        <f aca="false">_xlfn.CONCAT(B6, ": ", C6)</f>
        <v>Construction: Worker</v>
      </c>
      <c r="C499" s="18" t="n">
        <f aca="false">T6</f>
        <v>22</v>
      </c>
      <c r="D499" s="18" t="n">
        <f aca="false">Z6</f>
        <v>22</v>
      </c>
      <c r="E499" s="18" t="n">
        <f aca="false">AF6</f>
        <v>20</v>
      </c>
      <c r="F499" s="18" t="n">
        <f aca="false">AL6</f>
        <v>24</v>
      </c>
    </row>
    <row r="500" customFormat="false" ht="12.8" hidden="false" customHeight="false" outlineLevel="0" collapsed="false">
      <c r="A500" s="1" t="str">
        <f aca="false">_xlfn.CONCAT($A$494, ".", A7)</f>
        <v>AL.4.4</v>
      </c>
      <c r="B500" s="5" t="str">
        <f aca="false">_xlfn.CONCAT(B7, ": ", C7)</f>
        <v>Construction: Support</v>
      </c>
      <c r="C500" s="18" t="n">
        <f aca="false">T7</f>
        <v>20</v>
      </c>
      <c r="D500" s="18" t="n">
        <f aca="false">Z7</f>
        <v>20</v>
      </c>
      <c r="E500" s="18" t="n">
        <f aca="false">AF7</f>
        <v>18</v>
      </c>
      <c r="F500" s="18" t="n">
        <f aca="false">AL7</f>
        <v>22</v>
      </c>
    </row>
    <row r="501" customFormat="false" ht="12.8" hidden="false" customHeight="false" outlineLevel="0" collapsed="false">
      <c r="A501" s="1" t="str">
        <f aca="false">_xlfn.CONCAT($A$494, ".", A8)</f>
        <v>AL.4.5</v>
      </c>
      <c r="B501" s="5" t="str">
        <f aca="false">_xlfn.CONCAT(B8, ": ", C8)</f>
        <v>Hospitality: Worker</v>
      </c>
      <c r="C501" s="18" t="n">
        <f aca="false">T8</f>
        <v>13.5</v>
      </c>
      <c r="D501" s="18" t="n">
        <f aca="false">Z8</f>
        <v>13.5</v>
      </c>
      <c r="E501" s="18" t="n">
        <f aca="false">AF8</f>
        <v>12</v>
      </c>
      <c r="F501" s="18" t="n">
        <f aca="false">AL8</f>
        <v>15</v>
      </c>
    </row>
    <row r="502" customFormat="false" ht="12.8" hidden="false" customHeight="false" outlineLevel="0" collapsed="false">
      <c r="A502" s="1" t="str">
        <f aca="false">_xlfn.CONCAT($A$494, ".", A9)</f>
        <v>AL.4.6</v>
      </c>
      <c r="B502" s="5" t="str">
        <f aca="false">_xlfn.CONCAT(B9, ": ", C9)</f>
        <v>Hospitality: Support</v>
      </c>
      <c r="C502" s="18" t="n">
        <f aca="false">T9</f>
        <v>12</v>
      </c>
      <c r="D502" s="18" t="n">
        <f aca="false">Z9</f>
        <v>12</v>
      </c>
      <c r="E502" s="18" t="n">
        <f aca="false">AF9</f>
        <v>10.5</v>
      </c>
      <c r="F502" s="18" t="n">
        <f aca="false">AL9</f>
        <v>13.5</v>
      </c>
    </row>
    <row r="503" customFormat="false" ht="12.8" hidden="false" customHeight="false" outlineLevel="0" collapsed="false">
      <c r="A503" s="1" t="str">
        <f aca="false">_xlfn.CONCAT($A$494, ".", A10)</f>
        <v>AL.4.7</v>
      </c>
      <c r="B503" s="5" t="str">
        <f aca="false">_xlfn.CONCAT(B10, ": ", C10)</f>
        <v>Cleaning/Maintenance: Worker</v>
      </c>
      <c r="C503" s="18" t="n">
        <f aca="false">T10</f>
        <v>14.5</v>
      </c>
      <c r="D503" s="18" t="n">
        <f aca="false">Z10</f>
        <v>14.5</v>
      </c>
      <c r="E503" s="18" t="n">
        <f aca="false">AF10</f>
        <v>13</v>
      </c>
      <c r="F503" s="18" t="n">
        <f aca="false">AL10</f>
        <v>16</v>
      </c>
    </row>
    <row r="504" customFormat="false" ht="12.8" hidden="false" customHeight="false" outlineLevel="0" collapsed="false">
      <c r="A504" s="1" t="str">
        <f aca="false">_xlfn.CONCAT($A$494, ".", A11)</f>
        <v>AL.4.8</v>
      </c>
      <c r="B504" s="5" t="str">
        <f aca="false">_xlfn.CONCAT(B11, ": ", C11)</f>
        <v>Cleaning/Maintenance: Support</v>
      </c>
      <c r="C504" s="18" t="n">
        <f aca="false">T11</f>
        <v>12.5</v>
      </c>
      <c r="D504" s="18" t="n">
        <f aca="false">Z11</f>
        <v>12.5</v>
      </c>
      <c r="E504" s="18" t="n">
        <f aca="false">AF11</f>
        <v>11</v>
      </c>
      <c r="F504" s="18" t="n">
        <f aca="false">AL11</f>
        <v>14</v>
      </c>
    </row>
    <row r="505" customFormat="false" ht="12.8" hidden="false" customHeight="false" outlineLevel="0" collapsed="false">
      <c r="A505" s="1" t="str">
        <f aca="false">_xlfn.CONCAT($A$494, ".", A12)</f>
        <v>AL.4.9</v>
      </c>
      <c r="B505" s="5" t="str">
        <f aca="false">_xlfn.CONCAT(B12, ": ", C12)</f>
        <v>Manufacturing: Worker</v>
      </c>
      <c r="C505" s="18" t="n">
        <f aca="false">T12</f>
        <v>22</v>
      </c>
      <c r="D505" s="18" t="n">
        <f aca="false">Z12</f>
        <v>22</v>
      </c>
      <c r="E505" s="18" t="n">
        <f aca="false">AF12</f>
        <v>20</v>
      </c>
      <c r="F505" s="18" t="n">
        <f aca="false">AL12</f>
        <v>24</v>
      </c>
    </row>
    <row r="506" customFormat="false" ht="12.8" hidden="false" customHeight="false" outlineLevel="0" collapsed="false">
      <c r="A506" s="1" t="str">
        <f aca="false">_xlfn.CONCAT($A$494, ".", A13)</f>
        <v>AL.4.10</v>
      </c>
      <c r="B506" s="5" t="str">
        <f aca="false">_xlfn.CONCAT(B13, ": ", C13)</f>
        <v>Manufacturing: Support</v>
      </c>
      <c r="C506" s="18" t="n">
        <f aca="false">T13</f>
        <v>20</v>
      </c>
      <c r="D506" s="18" t="n">
        <f aca="false">Z13</f>
        <v>20</v>
      </c>
      <c r="E506" s="18" t="n">
        <f aca="false">AF13</f>
        <v>18</v>
      </c>
      <c r="F506" s="18" t="n">
        <f aca="false">AL13</f>
        <v>22</v>
      </c>
    </row>
    <row r="507" customFormat="false" ht="12.8" hidden="false" customHeight="false" outlineLevel="0" collapsed="false">
      <c r="A507" s="1" t="str">
        <f aca="false">_xlfn.CONCAT($A$494, ".", A14)</f>
        <v>AL.4.11</v>
      </c>
      <c r="B507" s="5" t="str">
        <f aca="false">_xlfn.CONCAT(B14, ": ", C14)</f>
        <v>Transportation &amp; Warehousing: Worker</v>
      </c>
      <c r="C507" s="18" t="n">
        <f aca="false">T14</f>
        <v>24</v>
      </c>
      <c r="D507" s="18" t="n">
        <f aca="false">Z14</f>
        <v>24</v>
      </c>
      <c r="E507" s="18" t="n">
        <f aca="false">AF14</f>
        <v>22</v>
      </c>
      <c r="F507" s="18" t="n">
        <f aca="false">AL14</f>
        <v>26</v>
      </c>
    </row>
    <row r="508" customFormat="false" ht="12.8" hidden="false" customHeight="false" outlineLevel="0" collapsed="false">
      <c r="A508" s="1" t="str">
        <f aca="false">_xlfn.CONCAT($A$494, ".", A15)</f>
        <v>AL.4.12</v>
      </c>
      <c r="B508" s="5" t="str">
        <f aca="false">_xlfn.CONCAT(B15, ": ", C15)</f>
        <v>Transportation &amp; Warehousing: Support</v>
      </c>
      <c r="C508" s="18" t="n">
        <f aca="false">T15</f>
        <v>22</v>
      </c>
      <c r="D508" s="18" t="n">
        <f aca="false">Z15</f>
        <v>22</v>
      </c>
      <c r="E508" s="18" t="n">
        <f aca="false">AF15</f>
        <v>20</v>
      </c>
      <c r="F508" s="18" t="n">
        <f aca="false">AL15</f>
        <v>24</v>
      </c>
    </row>
    <row r="509" customFormat="false" ht="12.8" hidden="false" customHeight="false" outlineLevel="0" collapsed="false">
      <c r="A509" s="1" t="str">
        <f aca="false">_xlfn.CONCAT($A$494, ".", A16)</f>
        <v>AL.4.13</v>
      </c>
      <c r="B509" s="5" t="str">
        <f aca="false">_xlfn.CONCAT(B16, ": ", C16)</f>
        <v>Retail Trade: Worker</v>
      </c>
      <c r="C509" s="18" t="n">
        <f aca="false">T16</f>
        <v>15</v>
      </c>
      <c r="D509" s="18" t="n">
        <f aca="false">Z16</f>
        <v>15</v>
      </c>
      <c r="E509" s="18" t="n">
        <f aca="false">AF16</f>
        <v>13.5</v>
      </c>
      <c r="F509" s="18" t="n">
        <f aca="false">AL16</f>
        <v>17</v>
      </c>
    </row>
    <row r="510" customFormat="false" ht="12.8" hidden="false" customHeight="false" outlineLevel="0" collapsed="false">
      <c r="A510" s="1" t="str">
        <f aca="false">_xlfn.CONCAT($A$494, ".", A17)</f>
        <v>AL.4.14</v>
      </c>
      <c r="B510" s="5" t="str">
        <f aca="false">_xlfn.CONCAT(B17, ": ", C17)</f>
        <v>Retail Trade: Support</v>
      </c>
      <c r="C510" s="18" t="n">
        <f aca="false">T17</f>
        <v>13.5</v>
      </c>
      <c r="D510" s="18" t="n">
        <f aca="false">Z17</f>
        <v>13.5</v>
      </c>
      <c r="E510" s="18" t="n">
        <f aca="false">AF17</f>
        <v>12</v>
      </c>
      <c r="F510" s="18" t="n">
        <f aca="false">AL17</f>
        <v>15</v>
      </c>
    </row>
    <row r="511" customFormat="false" ht="12.8" hidden="false" customHeight="false" outlineLevel="0" collapsed="false">
      <c r="A511" s="1" t="str">
        <f aca="false">_xlfn.CONCAT($A$494, ".", A18)</f>
        <v>AL.4.15</v>
      </c>
      <c r="B511" s="5" t="str">
        <f aca="false">_xlfn.CONCAT(B18, ": ", C18)</f>
        <v>Landscaping / Groundskeeping: Worker</v>
      </c>
      <c r="C511" s="18" t="n">
        <f aca="false">T18</f>
        <v>18</v>
      </c>
      <c r="D511" s="18" t="n">
        <f aca="false">Z18</f>
        <v>18</v>
      </c>
      <c r="E511" s="18" t="n">
        <f aca="false">AF18</f>
        <v>16.5</v>
      </c>
      <c r="F511" s="18" t="n">
        <f aca="false">AL18</f>
        <v>20</v>
      </c>
    </row>
    <row r="512" customFormat="false" ht="12.8" hidden="false" customHeight="false" outlineLevel="0" collapsed="false">
      <c r="A512" s="1" t="str">
        <f aca="false">_xlfn.CONCAT($A$494, ".", A19)</f>
        <v>AL.4.16</v>
      </c>
      <c r="B512" s="5" t="str">
        <f aca="false">_xlfn.CONCAT(B19, ": ", C19)</f>
        <v>Landscaping / Groundskeeping: Support</v>
      </c>
      <c r="C512" s="18" t="n">
        <f aca="false">T19</f>
        <v>16</v>
      </c>
      <c r="D512" s="18" t="n">
        <f aca="false">Z19</f>
        <v>16</v>
      </c>
      <c r="E512" s="18" t="n">
        <f aca="false">AF19</f>
        <v>14.5</v>
      </c>
      <c r="F512" s="18" t="n">
        <f aca="false">AL19</f>
        <v>18</v>
      </c>
    </row>
    <row r="513" customFormat="false" ht="12.8" hidden="false" customHeight="false" outlineLevel="0" collapsed="false">
      <c r="A513" s="1" t="str">
        <f aca="false">_xlfn.CONCAT($A$494, ".", A20)</f>
        <v>AL.4.17</v>
      </c>
      <c r="B513" s="5" t="str">
        <f aca="false">_xlfn.CONCAT(B20, ": ", C20)</f>
        <v>Automotive &amp; Repair: Worker</v>
      </c>
      <c r="C513" s="18" t="n">
        <f aca="false">T20</f>
        <v>20</v>
      </c>
      <c r="D513" s="18" t="n">
        <f aca="false">Z20</f>
        <v>20</v>
      </c>
      <c r="E513" s="18" t="n">
        <f aca="false">AF20</f>
        <v>18</v>
      </c>
      <c r="F513" s="18" t="n">
        <f aca="false">AL20</f>
        <v>22</v>
      </c>
    </row>
    <row r="514" customFormat="false" ht="12.8" hidden="false" customHeight="false" outlineLevel="0" collapsed="false">
      <c r="A514" s="1" t="str">
        <f aca="false">_xlfn.CONCAT($A$494, ".", A21)</f>
        <v>AL.4.18</v>
      </c>
      <c r="B514" s="5" t="str">
        <f aca="false">_xlfn.CONCAT(B21, ": ", C21)</f>
        <v>Automotive &amp; Repair: Support</v>
      </c>
      <c r="C514" s="18" t="n">
        <f aca="false">T21</f>
        <v>18</v>
      </c>
      <c r="D514" s="18" t="n">
        <f aca="false">Z21</f>
        <v>18</v>
      </c>
      <c r="E514" s="18" t="n">
        <f aca="false">AF21</f>
        <v>16</v>
      </c>
      <c r="F514" s="18" t="n">
        <f aca="false">AL21</f>
        <v>20</v>
      </c>
    </row>
    <row r="515" customFormat="false" ht="12.8" hidden="false" customHeight="false" outlineLevel="0" collapsed="false">
      <c r="A515" s="1" t="str">
        <f aca="false">_xlfn.CONCAT($A$494, ".", A22)</f>
        <v>AL.4.19</v>
      </c>
      <c r="B515" s="5" t="str">
        <f aca="false">_xlfn.CONCAT(B22, ": ", C22)</f>
        <v>Other Services: Worker</v>
      </c>
      <c r="C515" s="18" t="n">
        <f aca="false">T22</f>
        <v>20</v>
      </c>
      <c r="D515" s="18" t="n">
        <f aca="false">Z22</f>
        <v>20</v>
      </c>
      <c r="E515" s="18" t="n">
        <f aca="false">AF22</f>
        <v>18</v>
      </c>
      <c r="F515" s="18" t="n">
        <f aca="false">AL22</f>
        <v>22</v>
      </c>
    </row>
    <row r="516" customFormat="false" ht="12.8" hidden="false" customHeight="false" outlineLevel="0" collapsed="false">
      <c r="A516" s="1" t="str">
        <f aca="false">_xlfn.CONCAT($A$494, ".", A23)</f>
        <v>AL.4.20</v>
      </c>
      <c r="B516" s="5" t="str">
        <f aca="false">_xlfn.CONCAT(B23, ": ", C23)</f>
        <v>Other Services: Support</v>
      </c>
      <c r="C516" s="18" t="n">
        <f aca="false">T23</f>
        <v>18</v>
      </c>
      <c r="D516" s="18" t="n">
        <f aca="false">Z23</f>
        <v>18</v>
      </c>
      <c r="E516" s="18" t="n">
        <f aca="false">AF23</f>
        <v>16</v>
      </c>
      <c r="F516" s="18" t="n">
        <f aca="false">AL23</f>
        <v>20</v>
      </c>
    </row>
    <row r="611" customFormat="false" ht="12.8" hidden="false" customHeight="false" outlineLevel="0" collapsed="false">
      <c r="A611" s="4" t="s">
        <v>154</v>
      </c>
      <c r="B611" s="27" t="s">
        <v>98</v>
      </c>
      <c r="C611" s="29" t="s">
        <v>155</v>
      </c>
    </row>
    <row r="612" customFormat="false" ht="46.25" hidden="false" customHeight="false" outlineLevel="0" collapsed="false">
      <c r="A612" s="4" t="s">
        <v>15</v>
      </c>
      <c r="B612" s="4" t="str">
        <f aca="false">_xlfn.CONCAT(B2, ": ", C2)</f>
        <v>Industry: Role</v>
      </c>
      <c r="C612" s="33" t="str">
        <f aca="false">W2</f>
        <v>Annual Income ( $$)</v>
      </c>
      <c r="D612" s="33" t="str">
        <f aca="false">AC2</f>
        <v>Authorized Immigrant Annual Income Average ( $$)</v>
      </c>
      <c r="E612" s="33" t="str">
        <f aca="false">AI2</f>
        <v>Unauthorized Immigrant Annual Income Average ( $$)</v>
      </c>
      <c r="F612" s="33" t="str">
        <f aca="false">AO2</f>
        <v>American Annual Income Average ( $$)</v>
      </c>
    </row>
    <row r="613" customFormat="false" ht="12.8" hidden="false" customHeight="false" outlineLevel="0" collapsed="false">
      <c r="A613" s="1" t="str">
        <f aca="false">_xlfn.CONCAT($A$611, ".", A3)</f>
        <v>AL.5.0</v>
      </c>
      <c r="B613" s="4" t="str">
        <f aca="false">_xlfn.CONCAT(B3, ": ", C3)</f>
        <v>All Industries: All Roles</v>
      </c>
      <c r="C613" s="33" t="n">
        <f aca="false">W3</f>
        <v>23436</v>
      </c>
      <c r="D613" s="33" t="n">
        <f aca="false">AC3</f>
        <v>17640</v>
      </c>
      <c r="E613" s="33" t="n">
        <f aca="false">AI3</f>
        <v>17640</v>
      </c>
      <c r="F613" s="33" t="n">
        <f aca="false">AO3</f>
        <v>23760</v>
      </c>
    </row>
    <row r="614" customFormat="false" ht="12.8" hidden="false" customHeight="false" outlineLevel="0" collapsed="false">
      <c r="A614" s="1" t="str">
        <f aca="false">_xlfn.CONCAT($A$611, ".", A4)</f>
        <v>AL.5.1</v>
      </c>
      <c r="B614" s="5" t="str">
        <f aca="false">_xlfn.CONCAT(B4, ": ", C4)</f>
        <v>Agriculture: Worker</v>
      </c>
      <c r="C614" s="33" t="n">
        <f aca="false">W4</f>
        <v>30525</v>
      </c>
      <c r="D614" s="33" t="n">
        <f aca="false">AC4</f>
        <v>30525</v>
      </c>
      <c r="E614" s="33" t="n">
        <f aca="false">AI4</f>
        <v>28050</v>
      </c>
      <c r="F614" s="33" t="n">
        <f aca="false">AO4</f>
        <v>34650</v>
      </c>
    </row>
    <row r="615" customFormat="false" ht="12.8" hidden="false" customHeight="false" outlineLevel="0" collapsed="false">
      <c r="A615" s="1" t="str">
        <f aca="false">_xlfn.CONCAT($A$611, ".", A5)</f>
        <v>AL.5.2</v>
      </c>
      <c r="B615" s="5" t="str">
        <f aca="false">_xlfn.CONCAT(B5, ": ", C5)</f>
        <v>Agriculture: Support</v>
      </c>
      <c r="C615" s="33" t="n">
        <f aca="false">W5</f>
        <v>30600</v>
      </c>
      <c r="D615" s="33" t="n">
        <f aca="false">AC5</f>
        <v>30600</v>
      </c>
      <c r="E615" s="33" t="n">
        <f aca="false">AI5</f>
        <v>27900</v>
      </c>
      <c r="F615" s="33" t="n">
        <f aca="false">AO5</f>
        <v>34200</v>
      </c>
    </row>
    <row r="616" customFormat="false" ht="12.8" hidden="false" customHeight="false" outlineLevel="0" collapsed="false">
      <c r="A616" s="1" t="str">
        <f aca="false">_xlfn.CONCAT($A$611, ".", A6)</f>
        <v>AL.5.3</v>
      </c>
      <c r="B616" s="5" t="str">
        <f aca="false">_xlfn.CONCAT(B6, ": ", C6)</f>
        <v>Construction: Worker</v>
      </c>
      <c r="C616" s="33" t="n">
        <f aca="false">W6</f>
        <v>42900</v>
      </c>
      <c r="D616" s="33" t="n">
        <f aca="false">AC6</f>
        <v>42900</v>
      </c>
      <c r="E616" s="33" t="n">
        <f aca="false">AI6</f>
        <v>39000</v>
      </c>
      <c r="F616" s="33" t="n">
        <f aca="false">AO6</f>
        <v>46800</v>
      </c>
    </row>
    <row r="617" customFormat="false" ht="12.8" hidden="false" customHeight="false" outlineLevel="0" collapsed="false">
      <c r="A617" s="1" t="str">
        <f aca="false">_xlfn.CONCAT($A$611, ".", A7)</f>
        <v>AL.5.4</v>
      </c>
      <c r="B617" s="5" t="str">
        <f aca="false">_xlfn.CONCAT(B7, ": ", C7)</f>
        <v>Construction: Support</v>
      </c>
      <c r="C617" s="33" t="n">
        <f aca="false">W7</f>
        <v>36000</v>
      </c>
      <c r="D617" s="33" t="n">
        <f aca="false">AC7</f>
        <v>36000</v>
      </c>
      <c r="E617" s="33" t="n">
        <f aca="false">AI7</f>
        <v>32400</v>
      </c>
      <c r="F617" s="33" t="n">
        <f aca="false">AO7</f>
        <v>39600</v>
      </c>
    </row>
    <row r="618" customFormat="false" ht="12.8" hidden="false" customHeight="false" outlineLevel="0" collapsed="false">
      <c r="A618" s="1" t="str">
        <f aca="false">_xlfn.CONCAT($A$611, ".", A8)</f>
        <v>AL.5.5</v>
      </c>
      <c r="B618" s="5" t="str">
        <f aca="false">_xlfn.CONCAT(B8, ": ", C8)</f>
        <v>Hospitality: Worker</v>
      </c>
      <c r="C618" s="33" t="n">
        <f aca="false">W8</f>
        <v>20925</v>
      </c>
      <c r="D618" s="33" t="n">
        <f aca="false">AC8</f>
        <v>20925</v>
      </c>
      <c r="E618" s="33" t="n">
        <f aca="false">AI8</f>
        <v>18600</v>
      </c>
      <c r="F618" s="33" t="n">
        <f aca="false">AO8</f>
        <v>23250</v>
      </c>
    </row>
    <row r="619" customFormat="false" ht="12.8" hidden="false" customHeight="false" outlineLevel="0" collapsed="false">
      <c r="A619" s="1" t="str">
        <f aca="false">_xlfn.CONCAT($A$611, ".", A9)</f>
        <v>AL.5.6</v>
      </c>
      <c r="B619" s="5" t="str">
        <f aca="false">_xlfn.CONCAT(B9, ": ", C9)</f>
        <v>Hospitality: Support</v>
      </c>
      <c r="C619" s="33" t="n">
        <f aca="false">W9</f>
        <v>19200</v>
      </c>
      <c r="D619" s="33" t="n">
        <f aca="false">AC9</f>
        <v>19200</v>
      </c>
      <c r="E619" s="33" t="n">
        <f aca="false">AI9</f>
        <v>16800</v>
      </c>
      <c r="F619" s="33" t="n">
        <f aca="false">AO9</f>
        <v>21600</v>
      </c>
    </row>
    <row r="620" customFormat="false" ht="12.8" hidden="false" customHeight="false" outlineLevel="0" collapsed="false">
      <c r="A620" s="1" t="str">
        <f aca="false">_xlfn.CONCAT($A$611, ".", A10)</f>
        <v>AL.5.7</v>
      </c>
      <c r="B620" s="5" t="str">
        <f aca="false">_xlfn.CONCAT(B10, ": ", C10)</f>
        <v>Cleaning/Maintenance: Worker</v>
      </c>
      <c r="C620" s="33" t="n">
        <f aca="false">W10</f>
        <v>23200</v>
      </c>
      <c r="D620" s="33" t="n">
        <f aca="false">AC10</f>
        <v>23200</v>
      </c>
      <c r="E620" s="33" t="n">
        <f aca="false">AI10</f>
        <v>20800</v>
      </c>
      <c r="F620" s="33" t="n">
        <f aca="false">AO10</f>
        <v>25600</v>
      </c>
    </row>
    <row r="621" customFormat="false" ht="12.8" hidden="false" customHeight="false" outlineLevel="0" collapsed="false">
      <c r="A621" s="1" t="str">
        <f aca="false">_xlfn.CONCAT($A$611, ".", A11)</f>
        <v>AL.5.8</v>
      </c>
      <c r="B621" s="5" t="str">
        <f aca="false">_xlfn.CONCAT(B11, ": ", C11)</f>
        <v>Cleaning/Maintenance: Support</v>
      </c>
      <c r="C621" s="33" t="n">
        <f aca="false">W11</f>
        <v>20000</v>
      </c>
      <c r="D621" s="33" t="n">
        <f aca="false">AC11</f>
        <v>20000</v>
      </c>
      <c r="E621" s="33" t="n">
        <f aca="false">AI11</f>
        <v>17600</v>
      </c>
      <c r="F621" s="33" t="n">
        <f aca="false">AO11</f>
        <v>22400</v>
      </c>
    </row>
    <row r="622" customFormat="false" ht="12.8" hidden="false" customHeight="false" outlineLevel="0" collapsed="false">
      <c r="A622" s="1" t="str">
        <f aca="false">_xlfn.CONCAT($A$611, ".", A12)</f>
        <v>AL.5.9</v>
      </c>
      <c r="B622" s="5" t="str">
        <f aca="false">_xlfn.CONCAT(B12, ": ", C12)</f>
        <v>Manufacturing: Worker</v>
      </c>
      <c r="C622" s="33" t="n">
        <f aca="false">W12</f>
        <v>42900</v>
      </c>
      <c r="D622" s="33" t="n">
        <f aca="false">AC12</f>
        <v>42900</v>
      </c>
      <c r="E622" s="33" t="n">
        <f aca="false">AI12</f>
        <v>39000</v>
      </c>
      <c r="F622" s="33" t="n">
        <f aca="false">AO12</f>
        <v>46800</v>
      </c>
    </row>
    <row r="623" customFormat="false" ht="12.8" hidden="false" customHeight="false" outlineLevel="0" collapsed="false">
      <c r="A623" s="1" t="str">
        <f aca="false">_xlfn.CONCAT($A$611, ".", A13)</f>
        <v>AL.5.10</v>
      </c>
      <c r="B623" s="5" t="str">
        <f aca="false">_xlfn.CONCAT(B13, ": ", C13)</f>
        <v>Manufacturing: Support</v>
      </c>
      <c r="C623" s="33" t="n">
        <f aca="false">W13</f>
        <v>36000</v>
      </c>
      <c r="D623" s="33" t="n">
        <f aca="false">AC13</f>
        <v>36000</v>
      </c>
      <c r="E623" s="33" t="n">
        <f aca="false">AI13</f>
        <v>32400</v>
      </c>
      <c r="F623" s="33" t="n">
        <f aca="false">AO13</f>
        <v>39600</v>
      </c>
    </row>
    <row r="624" customFormat="false" ht="12.8" hidden="false" customHeight="false" outlineLevel="0" collapsed="false">
      <c r="A624" s="1" t="str">
        <f aca="false">_xlfn.CONCAT($A$611, ".", A14)</f>
        <v>AL.5.11</v>
      </c>
      <c r="B624" s="5" t="str">
        <f aca="false">_xlfn.CONCAT(B14, ": ", C14)</f>
        <v>Transportation &amp; Warehousing: Worker</v>
      </c>
      <c r="C624" s="33" t="n">
        <f aca="false">W14</f>
        <v>46800</v>
      </c>
      <c r="D624" s="33" t="n">
        <f aca="false">AC14</f>
        <v>46800</v>
      </c>
      <c r="E624" s="33" t="n">
        <f aca="false">AI14</f>
        <v>42900</v>
      </c>
      <c r="F624" s="33" t="n">
        <f aca="false">AO14</f>
        <v>50700</v>
      </c>
    </row>
    <row r="625" customFormat="false" ht="12.8" hidden="false" customHeight="false" outlineLevel="0" collapsed="false">
      <c r="A625" s="1" t="str">
        <f aca="false">_xlfn.CONCAT($A$611, ".", A15)</f>
        <v>AL.5.12</v>
      </c>
      <c r="B625" s="5" t="str">
        <f aca="false">_xlfn.CONCAT(B15, ": ", C15)</f>
        <v>Transportation &amp; Warehousing: Support</v>
      </c>
      <c r="C625" s="33" t="n">
        <f aca="false">W15</f>
        <v>39600</v>
      </c>
      <c r="D625" s="33" t="n">
        <f aca="false">AC15</f>
        <v>39600</v>
      </c>
      <c r="E625" s="33" t="n">
        <f aca="false">AI15</f>
        <v>36000</v>
      </c>
      <c r="F625" s="33" t="n">
        <f aca="false">AO15</f>
        <v>43200</v>
      </c>
    </row>
    <row r="626" customFormat="false" ht="12.8" hidden="false" customHeight="false" outlineLevel="0" collapsed="false">
      <c r="A626" s="1" t="str">
        <f aca="false">_xlfn.CONCAT($A$611, ".", A16)</f>
        <v>AL.5.13</v>
      </c>
      <c r="B626" s="5" t="str">
        <f aca="false">_xlfn.CONCAT(B16, ": ", C16)</f>
        <v>Retail Trade: Worker</v>
      </c>
      <c r="C626" s="33" t="n">
        <f aca="false">W16</f>
        <v>25500</v>
      </c>
      <c r="D626" s="33" t="n">
        <f aca="false">AC16</f>
        <v>25500</v>
      </c>
      <c r="E626" s="33" t="n">
        <f aca="false">AI16</f>
        <v>22950</v>
      </c>
      <c r="F626" s="33" t="n">
        <f aca="false">AO16</f>
        <v>28900</v>
      </c>
    </row>
    <row r="627" customFormat="false" ht="12.8" hidden="false" customHeight="false" outlineLevel="0" collapsed="false">
      <c r="A627" s="1" t="str">
        <f aca="false">_xlfn.CONCAT($A$611, ".", A17)</f>
        <v>AL.5.14</v>
      </c>
      <c r="B627" s="5" t="str">
        <f aca="false">_xlfn.CONCAT(B17, ": ", C17)</f>
        <v>Retail Trade: Support</v>
      </c>
      <c r="C627" s="33" t="n">
        <f aca="false">W17</f>
        <v>22950</v>
      </c>
      <c r="D627" s="33" t="n">
        <f aca="false">AC17</f>
        <v>22950</v>
      </c>
      <c r="E627" s="33" t="n">
        <f aca="false">AI17</f>
        <v>20400</v>
      </c>
      <c r="F627" s="33" t="n">
        <f aca="false">AO17</f>
        <v>25500</v>
      </c>
    </row>
    <row r="628" customFormat="false" ht="12.8" hidden="false" customHeight="false" outlineLevel="0" collapsed="false">
      <c r="A628" s="1" t="str">
        <f aca="false">_xlfn.CONCAT($A$611, ".", A18)</f>
        <v>AL.5.15</v>
      </c>
      <c r="B628" s="5" t="str">
        <f aca="false">_xlfn.CONCAT(B18, ": ", C18)</f>
        <v>Landscaping / Groundskeeping: Worker</v>
      </c>
      <c r="C628" s="33" t="n">
        <f aca="false">W18</f>
        <v>29700</v>
      </c>
      <c r="D628" s="33" t="n">
        <f aca="false">AC18</f>
        <v>29700</v>
      </c>
      <c r="E628" s="33" t="n">
        <f aca="false">AI18</f>
        <v>27225</v>
      </c>
      <c r="F628" s="33" t="n">
        <f aca="false">AO18</f>
        <v>33000</v>
      </c>
    </row>
    <row r="629" customFormat="false" ht="12.8" hidden="false" customHeight="false" outlineLevel="0" collapsed="false">
      <c r="A629" s="1" t="str">
        <f aca="false">_xlfn.CONCAT($A$611, ".", A19)</f>
        <v>AL.5.16</v>
      </c>
      <c r="B629" s="5" t="str">
        <f aca="false">_xlfn.CONCAT(B19, ": ", C19)</f>
        <v>Landscaping / Groundskeeping: Support</v>
      </c>
      <c r="C629" s="33" t="n">
        <f aca="false">W19</f>
        <v>26400</v>
      </c>
      <c r="D629" s="33" t="n">
        <f aca="false">AC19</f>
        <v>26400</v>
      </c>
      <c r="E629" s="33" t="n">
        <f aca="false">AI19</f>
        <v>23925</v>
      </c>
      <c r="F629" s="33" t="n">
        <f aca="false">AO19</f>
        <v>29700</v>
      </c>
    </row>
    <row r="630" customFormat="false" ht="12.8" hidden="false" customHeight="false" outlineLevel="0" collapsed="false">
      <c r="A630" s="1" t="str">
        <f aca="false">_xlfn.CONCAT($A$611, ".", A20)</f>
        <v>AL.5.17</v>
      </c>
      <c r="B630" s="5" t="str">
        <f aca="false">_xlfn.CONCAT(B20, ": ", C20)</f>
        <v>Automotive &amp; Repair: Worker</v>
      </c>
      <c r="C630" s="33" t="n">
        <f aca="false">W20</f>
        <v>38000</v>
      </c>
      <c r="D630" s="33" t="n">
        <f aca="false">AC20</f>
        <v>38000</v>
      </c>
      <c r="E630" s="33" t="n">
        <f aca="false">AI20</f>
        <v>34200</v>
      </c>
      <c r="F630" s="33" t="n">
        <f aca="false">AO20</f>
        <v>41800</v>
      </c>
    </row>
    <row r="631" customFormat="false" ht="12.8" hidden="false" customHeight="false" outlineLevel="0" collapsed="false">
      <c r="A631" s="1" t="str">
        <f aca="false">_xlfn.CONCAT($A$611, ".", A21)</f>
        <v>AL.5.18</v>
      </c>
      <c r="B631" s="5" t="str">
        <f aca="false">_xlfn.CONCAT(B21, ": ", C21)</f>
        <v>Automotive &amp; Repair: Support</v>
      </c>
      <c r="C631" s="33" t="n">
        <f aca="false">W21</f>
        <v>32400</v>
      </c>
      <c r="D631" s="33" t="n">
        <f aca="false">AC21</f>
        <v>32400</v>
      </c>
      <c r="E631" s="33" t="n">
        <f aca="false">AI21</f>
        <v>28800</v>
      </c>
      <c r="F631" s="33" t="n">
        <f aca="false">AO21</f>
        <v>36000</v>
      </c>
    </row>
    <row r="632" customFormat="false" ht="12.8" hidden="false" customHeight="false" outlineLevel="0" collapsed="false">
      <c r="A632" s="1" t="str">
        <f aca="false">_xlfn.CONCAT($A$611, ".", A22)</f>
        <v>AL.5.19</v>
      </c>
      <c r="B632" s="5" t="str">
        <f aca="false">_xlfn.CONCAT(B22, ": ", C22)</f>
        <v>Other Services: Worker</v>
      </c>
      <c r="C632" s="33" t="n">
        <f aca="false">W22</f>
        <v>34000</v>
      </c>
      <c r="D632" s="33" t="n">
        <f aca="false">AC22</f>
        <v>34000</v>
      </c>
      <c r="E632" s="33" t="n">
        <f aca="false">AI22</f>
        <v>30600</v>
      </c>
      <c r="F632" s="33" t="n">
        <f aca="false">AO22</f>
        <v>37400</v>
      </c>
    </row>
    <row r="633" customFormat="false" ht="12.8" hidden="false" customHeight="false" outlineLevel="0" collapsed="false">
      <c r="A633" s="1" t="str">
        <f aca="false">_xlfn.CONCAT($A$611, ".", A23)</f>
        <v>AL.5.20</v>
      </c>
      <c r="B633" s="5" t="str">
        <f aca="false">_xlfn.CONCAT(B23, ": ", C23)</f>
        <v>Other Services: Support</v>
      </c>
      <c r="C633" s="33" t="n">
        <f aca="false">W23</f>
        <v>30600</v>
      </c>
      <c r="D633" s="33" t="n">
        <f aca="false">AC23</f>
        <v>30600</v>
      </c>
      <c r="E633" s="33" t="n">
        <f aca="false">AI23</f>
        <v>27200</v>
      </c>
      <c r="F633" s="33" t="n">
        <f aca="false">AO23</f>
        <v>34000</v>
      </c>
    </row>
    <row r="729" customFormat="false" ht="12.8" hidden="false" customHeight="false" outlineLevel="0" collapsed="false">
      <c r="A729" s="4" t="s">
        <v>156</v>
      </c>
      <c r="B729" s="27" t="s">
        <v>98</v>
      </c>
      <c r="C729" s="29" t="s">
        <v>157</v>
      </c>
    </row>
    <row r="730" customFormat="false" ht="46.25" hidden="false" customHeight="false" outlineLevel="0" collapsed="false">
      <c r="A730" s="4" t="s">
        <v>15</v>
      </c>
      <c r="B730" s="4" t="str">
        <f aca="false">_xlfn.CONCAT(B2, ": ", C2)</f>
        <v>Industry: Role</v>
      </c>
      <c r="C730" s="24" t="str">
        <f aca="false">AR2</f>
        <v>Federal Personal Income Tax Revenue ($$ )</v>
      </c>
      <c r="D730" s="24" t="str">
        <f aca="false">AS2</f>
        <v>Authorized Immigrant Federal Personal Income Tax Revenue ( $$)</v>
      </c>
      <c r="E730" s="24" t="str">
        <f aca="false">AT2</f>
        <v>Unauthorized Immigrant Federal Personal Income Tax Revenue ($$ )</v>
      </c>
      <c r="F730" s="24" t="str">
        <f aca="false">AU2</f>
        <v>American Federal Personal Income Tax Revenue ( $$)</v>
      </c>
    </row>
    <row r="731" customFormat="false" ht="12.8" hidden="false" customHeight="false" outlineLevel="0" collapsed="false">
      <c r="A731" s="5" t="str">
        <f aca="false">_xlfn.CONCAT($A$729, ".", A3)</f>
        <v>AL.6.0</v>
      </c>
      <c r="B731" s="5" t="str">
        <f aca="false">_xlfn.CONCAT(B3, ": ", C3)</f>
        <v>All Industries: All Roles</v>
      </c>
      <c r="C731" s="24" t="n">
        <f aca="false">AR3</f>
        <v>-6080882604</v>
      </c>
      <c r="D731" s="24" t="n">
        <f aca="false">AS3</f>
        <v>-266345004</v>
      </c>
      <c r="E731" s="24" t="n">
        <f aca="false">AT3</f>
        <v>17136000</v>
      </c>
      <c r="F731" s="24" t="n">
        <f aca="false">AU3</f>
        <v>-5831673600</v>
      </c>
    </row>
    <row r="732" customFormat="false" ht="12.8" hidden="false" customHeight="false" outlineLevel="0" collapsed="false">
      <c r="A732" s="5" t="str">
        <f aca="false">_xlfn.CONCAT($A$729, ".", A4)</f>
        <v>AL.6.1</v>
      </c>
      <c r="B732" s="5" t="str">
        <f aca="false">_xlfn.CONCAT(B4, ": ", C4)</f>
        <v>Agriculture: Worker</v>
      </c>
      <c r="C732" s="24" t="n">
        <f aca="false">AR4</f>
        <v>65109</v>
      </c>
      <c r="D732" s="24" t="n">
        <f aca="false">AS4</f>
        <v>-100083</v>
      </c>
      <c r="E732" s="24" t="n">
        <f aca="false">AT4</f>
        <v>147028</v>
      </c>
      <c r="F732" s="24" t="n">
        <f aca="false">AU4</f>
        <v>18164</v>
      </c>
    </row>
    <row r="733" customFormat="false" ht="12.8" hidden="false" customHeight="false" outlineLevel="0" collapsed="false">
      <c r="A733" s="5" t="str">
        <f aca="false">_xlfn.CONCAT($A$729, ".", A5)</f>
        <v>AL.6.2</v>
      </c>
      <c r="B733" s="5" t="str">
        <f aca="false">_xlfn.CONCAT(B5, ": ", C5)</f>
        <v>Agriculture: Support</v>
      </c>
      <c r="C733" s="24" t="n">
        <f aca="false">AR5</f>
        <v>20482</v>
      </c>
      <c r="D733" s="24" t="n">
        <f aca="false">AS5</f>
        <v>-52864</v>
      </c>
      <c r="E733" s="24" t="n">
        <f aca="false">AT5</f>
        <v>77490</v>
      </c>
      <c r="F733" s="24" t="n">
        <f aca="false">AU5</f>
        <v>-4144</v>
      </c>
    </row>
    <row r="734" customFormat="false" ht="12.8" hidden="false" customHeight="false" outlineLevel="0" collapsed="false">
      <c r="A734" s="5" t="str">
        <f aca="false">_xlfn.CONCAT($A$729, ".", A6)</f>
        <v>AL.6.3</v>
      </c>
      <c r="B734" s="5" t="str">
        <f aca="false">_xlfn.CONCAT(B6, ": ", C6)</f>
        <v>Construction: Worker</v>
      </c>
      <c r="C734" s="24" t="n">
        <f aca="false">AR6</f>
        <v>4701832</v>
      </c>
      <c r="D734" s="24" t="n">
        <f aca="false">AS6</f>
        <v>468768</v>
      </c>
      <c r="E734" s="24" t="n">
        <f aca="false">AT6</f>
        <v>1182720</v>
      </c>
      <c r="F734" s="24" t="n">
        <f aca="false">AU6</f>
        <v>3050344</v>
      </c>
    </row>
    <row r="735" customFormat="false" ht="12.8" hidden="false" customHeight="false" outlineLevel="0" collapsed="false">
      <c r="A735" s="5" t="str">
        <f aca="false">_xlfn.CONCAT($A$729, ".", A7)</f>
        <v>AL.6.4</v>
      </c>
      <c r="B735" s="5" t="str">
        <f aca="false">_xlfn.CONCAT(B7, ": ", C7)</f>
        <v>Construction: Support</v>
      </c>
      <c r="C735" s="24" t="n">
        <f aca="false">AR7</f>
        <v>1184632</v>
      </c>
      <c r="D735" s="24" t="n">
        <f aca="false">AS7</f>
        <v>49200</v>
      </c>
      <c r="E735" s="24" t="n">
        <f aca="false">AT7</f>
        <v>440232</v>
      </c>
      <c r="F735" s="24" t="n">
        <f aca="false">AU7</f>
        <v>695200</v>
      </c>
    </row>
    <row r="736" customFormat="false" ht="12.8" hidden="false" customHeight="false" outlineLevel="0" collapsed="false">
      <c r="A736" s="5" t="str">
        <f aca="false">_xlfn.CONCAT($A$729, ".", A8)</f>
        <v>AL.6.5</v>
      </c>
      <c r="B736" s="5" t="str">
        <f aca="false">_xlfn.CONCAT(B8, ": ", C8)</f>
        <v>Hospitality: Worker</v>
      </c>
      <c r="C736" s="24" t="n">
        <f aca="false">AR8</f>
        <v>-9851680</v>
      </c>
      <c r="D736" s="24" t="n">
        <f aca="false">AS8</f>
        <v>-2122005</v>
      </c>
      <c r="E736" s="24" t="n">
        <f aca="false">AT8</f>
        <v>427500</v>
      </c>
      <c r="F736" s="24" t="n">
        <f aca="false">AU8</f>
        <v>-8157175</v>
      </c>
    </row>
    <row r="737" customFormat="false" ht="12.8" hidden="false" customHeight="false" outlineLevel="0" collapsed="false">
      <c r="A737" s="5" t="str">
        <f aca="false">_xlfn.CONCAT($A$729, ".", A9)</f>
        <v>AL.6.6</v>
      </c>
      <c r="B737" s="5" t="str">
        <f aca="false">_xlfn.CONCAT(B9, ": ", C9)</f>
        <v>Hospitality: Support</v>
      </c>
      <c r="C737" s="24" t="n">
        <f aca="false">AR9</f>
        <v>-6170920</v>
      </c>
      <c r="D737" s="24" t="n">
        <f aca="false">AS9</f>
        <v>-1279200</v>
      </c>
      <c r="E737" s="24" t="n">
        <f aca="false">AT9</f>
        <v>92280</v>
      </c>
      <c r="F737" s="24" t="n">
        <f aca="false">AU9</f>
        <v>-4984000</v>
      </c>
    </row>
    <row r="738" customFormat="false" ht="12.8" hidden="false" customHeight="false" outlineLevel="0" collapsed="false">
      <c r="A738" s="5" t="str">
        <f aca="false">_xlfn.CONCAT($A$729, ".", A10)</f>
        <v>AL.6.7</v>
      </c>
      <c r="B738" s="5" t="str">
        <f aca="false">_xlfn.CONCAT(B10, ": ", C10)</f>
        <v>Cleaning/Maintenance: Worker</v>
      </c>
      <c r="C738" s="24" t="n">
        <f aca="false">AR10</f>
        <v>-3292320</v>
      </c>
      <c r="D738" s="24" t="n">
        <f aca="false">AS10</f>
        <v>-902720</v>
      </c>
      <c r="E738" s="24" t="n">
        <f aca="false">AT10</f>
        <v>374400</v>
      </c>
      <c r="F738" s="24" t="n">
        <f aca="false">AU10</f>
        <v>-2764000</v>
      </c>
    </row>
    <row r="739" customFormat="false" ht="12.8" hidden="false" customHeight="false" outlineLevel="0" collapsed="false">
      <c r="A739" s="5" t="str">
        <f aca="false">_xlfn.CONCAT($A$729, ".", A11)</f>
        <v>AL.6.8</v>
      </c>
      <c r="B739" s="5" t="str">
        <f aca="false">_xlfn.CONCAT(B11, ": ", C11)</f>
        <v>Cleaning/Maintenance: Support</v>
      </c>
      <c r="C739" s="24" t="n">
        <f aca="false">AR11</f>
        <v>-2500960</v>
      </c>
      <c r="D739" s="24" t="n">
        <f aca="false">AS11</f>
        <v>-613080</v>
      </c>
      <c r="E739" s="24" t="n">
        <f aca="false">AT11</f>
        <v>77600</v>
      </c>
      <c r="F739" s="24" t="n">
        <f aca="false">AU11</f>
        <v>-1965480</v>
      </c>
    </row>
    <row r="740" customFormat="false" ht="12.8" hidden="false" customHeight="false" outlineLevel="0" collapsed="false">
      <c r="A740" s="5" t="str">
        <f aca="false">_xlfn.CONCAT($A$729, ".", A12)</f>
        <v>AL.6.9</v>
      </c>
      <c r="B740" s="5" t="str">
        <f aca="false">_xlfn.CONCAT(B12, ": ", C12)</f>
        <v>Manufacturing: Worker</v>
      </c>
      <c r="C740" s="24" t="n">
        <f aca="false">AR12</f>
        <v>13279832</v>
      </c>
      <c r="D740" s="24" t="n">
        <f aca="false">AS12</f>
        <v>1356960</v>
      </c>
      <c r="E740" s="24" t="n">
        <f aca="false">AT12</f>
        <v>1694720</v>
      </c>
      <c r="F740" s="24" t="n">
        <f aca="false">AU12</f>
        <v>10228152</v>
      </c>
    </row>
    <row r="741" customFormat="false" ht="12.8" hidden="false" customHeight="false" outlineLevel="0" collapsed="false">
      <c r="A741" s="5" t="str">
        <f aca="false">_xlfn.CONCAT($A$729, ".", A13)</f>
        <v>AL.6.10</v>
      </c>
      <c r="B741" s="5" t="str">
        <f aca="false">_xlfn.CONCAT(B13, ": ", C13)</f>
        <v>Manufacturing: Support</v>
      </c>
      <c r="C741" s="24" t="n">
        <f aca="false">AR13</f>
        <v>3103760</v>
      </c>
      <c r="D741" s="24" t="n">
        <f aca="false">AS13</f>
        <v>142400</v>
      </c>
      <c r="E741" s="24" t="n">
        <f aca="false">AT13</f>
        <v>631176</v>
      </c>
      <c r="F741" s="24" t="n">
        <f aca="false">AU13</f>
        <v>2330184</v>
      </c>
    </row>
    <row r="742" customFormat="false" ht="12.8" hidden="false" customHeight="false" outlineLevel="0" collapsed="false">
      <c r="A742" s="5" t="str">
        <f aca="false">_xlfn.CONCAT($A$729, ".", A14)</f>
        <v>AL.6.11</v>
      </c>
      <c r="B742" s="5" t="str">
        <f aca="false">_xlfn.CONCAT(B14, ": ", C14)</f>
        <v>Transportation &amp; Warehousing: Worker</v>
      </c>
      <c r="C742" s="24" t="n">
        <f aca="false">AR14</f>
        <v>12723864</v>
      </c>
      <c r="D742" s="24" t="n">
        <f aca="false">AS14</f>
        <v>1650088</v>
      </c>
      <c r="E742" s="24" t="n">
        <f aca="false">AT14</f>
        <v>1623008</v>
      </c>
      <c r="F742" s="24" t="n">
        <f aca="false">AU14</f>
        <v>9450768</v>
      </c>
    </row>
    <row r="743" customFormat="false" ht="12.8" hidden="false" customHeight="false" outlineLevel="0" collapsed="false">
      <c r="A743" s="5" t="str">
        <f aca="false">_xlfn.CONCAT($A$729, ".", A15)</f>
        <v>AL.6.12</v>
      </c>
      <c r="B743" s="5" t="str">
        <f aca="false">_xlfn.CONCAT(B15, ": ", C15)</f>
        <v>Transportation &amp; Warehousing: Support</v>
      </c>
      <c r="C743" s="24" t="n">
        <f aca="false">AR15</f>
        <v>3775048</v>
      </c>
      <c r="D743" s="24" t="n">
        <f aca="false">AS15</f>
        <v>376040</v>
      </c>
      <c r="E743" s="24" t="n">
        <f aca="false">AT15</f>
        <v>635800</v>
      </c>
      <c r="F743" s="24" t="n">
        <f aca="false">AU15</f>
        <v>2763208</v>
      </c>
    </row>
    <row r="744" customFormat="false" ht="12.8" hidden="false" customHeight="false" outlineLevel="0" collapsed="false">
      <c r="A744" s="5" t="str">
        <f aca="false">_xlfn.CONCAT($A$729, ".", A16)</f>
        <v>AL.6.13</v>
      </c>
      <c r="B744" s="5" t="str">
        <f aca="false">_xlfn.CONCAT(B16, ": ", C16)</f>
        <v>Retail Trade: Worker</v>
      </c>
      <c r="C744" s="24" t="n">
        <f aca="false">AR16</f>
        <v>-5872082</v>
      </c>
      <c r="D744" s="24" t="n">
        <f aca="false">AS16</f>
        <v>-922130</v>
      </c>
      <c r="E744" s="24" t="n">
        <f aca="false">AT16</f>
        <v>335160</v>
      </c>
      <c r="F744" s="24" t="n">
        <f aca="false">AU16</f>
        <v>-5285112</v>
      </c>
    </row>
    <row r="745" customFormat="false" ht="12.8" hidden="false" customHeight="false" outlineLevel="0" collapsed="false">
      <c r="A745" s="5" t="str">
        <f aca="false">_xlfn.CONCAT($A$729, ".", A17)</f>
        <v>AL.6.14</v>
      </c>
      <c r="B745" s="5" t="str">
        <f aca="false">_xlfn.CONCAT(B17, ": ", C17)</f>
        <v>Retail Trade: Support</v>
      </c>
      <c r="C745" s="24" t="n">
        <f aca="false">AR17</f>
        <v>-4919010</v>
      </c>
      <c r="D745" s="24" t="n">
        <f aca="false">AS17</f>
        <v>-622380</v>
      </c>
      <c r="E745" s="24" t="n">
        <f aca="false">AT17</f>
        <v>118080</v>
      </c>
      <c r="F745" s="24" t="n">
        <f aca="false">AU17</f>
        <v>-4414710</v>
      </c>
    </row>
    <row r="746" customFormat="false" ht="12.8" hidden="false" customHeight="false" outlineLevel="0" collapsed="false">
      <c r="A746" s="5" t="str">
        <f aca="false">_xlfn.CONCAT($A$729, ".", A18)</f>
        <v>AL.6.15</v>
      </c>
      <c r="B746" s="5" t="str">
        <f aca="false">_xlfn.CONCAT(B18, ": ", C18)</f>
        <v>Landscaping / Groundskeeping: Worker</v>
      </c>
      <c r="C746" s="24" t="n">
        <f aca="false">AR18</f>
        <v>-72386</v>
      </c>
      <c r="D746" s="24" t="n">
        <f aca="false">AS18</f>
        <v>-285228</v>
      </c>
      <c r="E746" s="24" t="n">
        <f aca="false">AT18</f>
        <v>596362</v>
      </c>
      <c r="F746" s="24" t="n">
        <f aca="false">AU18</f>
        <v>-383520</v>
      </c>
    </row>
    <row r="747" customFormat="false" ht="12.8" hidden="false" customHeight="false" outlineLevel="0" collapsed="false">
      <c r="A747" s="5" t="str">
        <f aca="false">_xlfn.CONCAT($A$729, ".", A19)</f>
        <v>AL.6.16</v>
      </c>
      <c r="B747" s="5" t="str">
        <f aca="false">_xlfn.CONCAT(B19, ": ", C19)</f>
        <v>Landscaping / Groundskeeping: Support</v>
      </c>
      <c r="C747" s="24" t="n">
        <f aca="false">AR19</f>
        <v>-742590</v>
      </c>
      <c r="D747" s="24" t="n">
        <f aca="false">AS19</f>
        <v>-254840</v>
      </c>
      <c r="E747" s="24" t="n">
        <f aca="false">AT19</f>
        <v>230602</v>
      </c>
      <c r="F747" s="24" t="n">
        <f aca="false">AU19</f>
        <v>-718352</v>
      </c>
    </row>
    <row r="748" customFormat="false" ht="12.8" hidden="false" customHeight="false" outlineLevel="0" collapsed="false">
      <c r="A748" s="5" t="str">
        <f aca="false">_xlfn.CONCAT($A$729, ".", A20)</f>
        <v>AL.6.17</v>
      </c>
      <c r="B748" s="5" t="str">
        <f aca="false">_xlfn.CONCAT(B20, ": ", C20)</f>
        <v>Automotive &amp; Repair: Worker</v>
      </c>
      <c r="C748" s="24" t="n">
        <f aca="false">AR20</f>
        <v>2252544</v>
      </c>
      <c r="D748" s="24" t="n">
        <f aca="false">AS20</f>
        <v>168960</v>
      </c>
      <c r="E748" s="24" t="n">
        <f aca="false">AT20</f>
        <v>337280</v>
      </c>
      <c r="F748" s="24" t="n">
        <f aca="false">AU20</f>
        <v>1746304</v>
      </c>
    </row>
    <row r="749" customFormat="false" ht="12.8" hidden="false" customHeight="false" outlineLevel="0" collapsed="false">
      <c r="A749" s="5" t="str">
        <f aca="false">_xlfn.CONCAT($A$729, ".", A21)</f>
        <v>AL.6.18</v>
      </c>
      <c r="B749" s="5" t="str">
        <f aca="false">_xlfn.CONCAT(B21, ": ", C21)</f>
        <v>Automotive &amp; Repair: Support</v>
      </c>
      <c r="C749" s="24" t="n">
        <f aca="false">AR21</f>
        <v>283752</v>
      </c>
      <c r="D749" s="24" t="n">
        <f aca="false">AS21</f>
        <v>-48024</v>
      </c>
      <c r="E749" s="24" t="n">
        <f aca="false">AT21</f>
        <v>121576</v>
      </c>
      <c r="F749" s="24" t="n">
        <f aca="false">AU21</f>
        <v>210200</v>
      </c>
    </row>
    <row r="750" customFormat="false" ht="12.8" hidden="false" customHeight="false" outlineLevel="0" collapsed="false">
      <c r="A750" s="5" t="str">
        <f aca="false">_xlfn.CONCAT($A$729, ".", A22)</f>
        <v>AL.6.19</v>
      </c>
      <c r="B750" s="5" t="str">
        <f aca="false">_xlfn.CONCAT(B22, ": ", C22)</f>
        <v>Other Services: Worker</v>
      </c>
      <c r="C750" s="24" t="n">
        <f aca="false">AR22</f>
        <v>965712</v>
      </c>
      <c r="D750" s="24" t="n">
        <f aca="false">AS22</f>
        <v>-15360</v>
      </c>
      <c r="E750" s="24" t="n">
        <f aca="false">AT22</f>
        <v>263840</v>
      </c>
      <c r="F750" s="24" t="n">
        <f aca="false">AU22</f>
        <v>717232</v>
      </c>
    </row>
    <row r="751" customFormat="false" ht="12.8" hidden="false" customHeight="false" outlineLevel="0" collapsed="false">
      <c r="A751" s="5" t="str">
        <f aca="false">_xlfn.CONCAT($A$729, ".", A23)</f>
        <v>AL.6.20</v>
      </c>
      <c r="B751" s="5" t="str">
        <f aca="false">_xlfn.CONCAT(B23, ": ", C23)</f>
        <v>Other Services: Support</v>
      </c>
      <c r="C751" s="24" t="n">
        <f aca="false">AR23</f>
        <v>-29216</v>
      </c>
      <c r="D751" s="24" t="n">
        <f aca="false">AS23</f>
        <v>-92736</v>
      </c>
      <c r="E751" s="24" t="n">
        <f aca="false">AT23</f>
        <v>105560</v>
      </c>
      <c r="F751" s="24" t="n">
        <f aca="false">AU23</f>
        <v>-42040</v>
      </c>
    </row>
    <row r="752" customFormat="false" ht="12.8" hidden="false" customHeight="false" outlineLevel="0" collapsed="false">
      <c r="A752" s="5"/>
      <c r="B752" s="5"/>
      <c r="C752" s="24"/>
      <c r="D752" s="24"/>
      <c r="E752" s="24"/>
      <c r="F752" s="24"/>
    </row>
    <row r="753" customFormat="false" ht="12.8" hidden="false" customHeight="false" outlineLevel="0" collapsed="false">
      <c r="A753" s="5"/>
      <c r="B753" s="5"/>
      <c r="C753" s="24"/>
      <c r="D753" s="24"/>
      <c r="E753" s="24"/>
      <c r="F753" s="24"/>
    </row>
    <row r="845" customFormat="false" ht="12.8" hidden="false" customHeight="false" outlineLevel="0" collapsed="false">
      <c r="A845" s="4" t="s">
        <v>156</v>
      </c>
      <c r="B845" s="27" t="s">
        <v>98</v>
      </c>
      <c r="C845" s="29" t="s">
        <v>157</v>
      </c>
    </row>
    <row r="846" customFormat="false" ht="35.05" hidden="false" customHeight="false" outlineLevel="0" collapsed="false">
      <c r="A846" s="4" t="s">
        <v>15</v>
      </c>
      <c r="B846" s="4" t="str">
        <f aca="false">_xlfn.CONCAT(B2, ": ", C2)</f>
        <v>Industry: Role</v>
      </c>
      <c r="C846" s="24" t="str">
        <f aca="false">AV2</f>
        <v>Payroll Tax Revenue ($$ )</v>
      </c>
      <c r="D846" s="24" t="str">
        <f aca="false">AW2</f>
        <v>Authorized Immigrant Payroll Tax Revenue ( $$)</v>
      </c>
      <c r="E846" s="24" t="str">
        <f aca="false">AX2</f>
        <v>Unauthorized Immigrant Payroll Tax Revenue ($$ )</v>
      </c>
      <c r="F846" s="24" t="str">
        <f aca="false">AY2</f>
        <v>American Payroll Tax Revenue ( $$)</v>
      </c>
    </row>
    <row r="847" customFormat="false" ht="12.8" hidden="false" customHeight="false" outlineLevel="0" collapsed="false">
      <c r="A847" s="5" t="str">
        <f aca="false">_xlfn.CONCAT($A$729, ".", A3)</f>
        <v>AL.6.0</v>
      </c>
      <c r="B847" s="5" t="str">
        <f aca="false">_xlfn.CONCAT(B3, ": ", C3)</f>
        <v>All Industries: All Roles</v>
      </c>
      <c r="C847" s="24" t="n">
        <f aca="false">AV3</f>
        <v>18532164529</v>
      </c>
      <c r="D847" s="24" t="n">
        <f aca="false">AW3</f>
        <v>400247137</v>
      </c>
      <c r="E847" s="24" t="n">
        <f aca="false">AX3</f>
        <v>226709280</v>
      </c>
      <c r="F847" s="24" t="n">
        <f aca="false">AY3</f>
        <v>17905208112</v>
      </c>
    </row>
    <row r="848" customFormat="false" ht="12.8" hidden="false" customHeight="false" outlineLevel="0" collapsed="false">
      <c r="A848" s="5" t="str">
        <f aca="false">_xlfn.CONCAT($A$729, ".", A4)</f>
        <v>AL.6.1</v>
      </c>
      <c r="B848" s="5" t="str">
        <f aca="false">_xlfn.CONCAT(B4, ": ", C4)</f>
        <v>Agriculture: Worker</v>
      </c>
      <c r="C848" s="24" t="n">
        <f aca="false">AV4</f>
        <v>4063309</v>
      </c>
      <c r="D848" s="24" t="n">
        <f aca="false">AW4</f>
        <v>1022801</v>
      </c>
      <c r="E848" s="24" t="n">
        <f aca="false">AX4</f>
        <v>506415</v>
      </c>
      <c r="F848" s="24" t="n">
        <f aca="false">AY4</f>
        <v>2534093</v>
      </c>
    </row>
    <row r="849" customFormat="false" ht="12.8" hidden="false" customHeight="false" outlineLevel="0" collapsed="false">
      <c r="A849" s="5" t="str">
        <f aca="false">_xlfn.CONCAT($A$729, ".", A5)</f>
        <v>AL.6.2</v>
      </c>
      <c r="B849" s="5" t="str">
        <f aca="false">_xlfn.CONCAT(B5, ": ", C5)</f>
        <v>Agriculture: Support</v>
      </c>
      <c r="C849" s="24" t="n">
        <f aca="false">AV5</f>
        <v>2176623</v>
      </c>
      <c r="D849" s="24" t="n">
        <f aca="false">AW5</f>
        <v>552452</v>
      </c>
      <c r="E849" s="24" t="n">
        <f aca="false">AX5</f>
        <v>268928</v>
      </c>
      <c r="F849" s="24" t="n">
        <f aca="false">AY5</f>
        <v>1355243</v>
      </c>
    </row>
    <row r="850" customFormat="false" ht="12.8" hidden="false" customHeight="false" outlineLevel="0" collapsed="false">
      <c r="A850" s="5" t="str">
        <f aca="false">_xlfn.CONCAT($A$729, ".", A6)</f>
        <v>AL.6.3</v>
      </c>
      <c r="B850" s="5" t="str">
        <f aca="false">_xlfn.CONCAT(B6, ": ", C6)</f>
        <v>Construction: Worker</v>
      </c>
      <c r="C850" s="24" t="n">
        <f aca="false">AV6</f>
        <v>20349857</v>
      </c>
      <c r="D850" s="24" t="n">
        <f aca="false">AW6</f>
        <v>2993047</v>
      </c>
      <c r="E850" s="24" t="n">
        <f aca="false">AX6</f>
        <v>2756754</v>
      </c>
      <c r="F850" s="24" t="n">
        <f aca="false">AY6</f>
        <v>14600056</v>
      </c>
    </row>
    <row r="851" customFormat="false" ht="12.8" hidden="false" customHeight="false" outlineLevel="0" collapsed="false">
      <c r="A851" s="5" t="str">
        <f aca="false">_xlfn.CONCAT($A$729, ".", A7)</f>
        <v>AL.6.4</v>
      </c>
      <c r="B851" s="5" t="str">
        <f aca="false">_xlfn.CONCAT(B7, ": ", C7)</f>
        <v>Construction: Support</v>
      </c>
      <c r="C851" s="24" t="n">
        <f aca="false">AV7</f>
        <v>9253991</v>
      </c>
      <c r="D851" s="24" t="n">
        <f aca="false">AW7</f>
        <v>1354968</v>
      </c>
      <c r="E851" s="24" t="n">
        <f aca="false">AX7</f>
        <v>1234343</v>
      </c>
      <c r="F851" s="24" t="n">
        <f aca="false">AY7</f>
        <v>6664680</v>
      </c>
    </row>
    <row r="852" customFormat="false" ht="12.8" hidden="false" customHeight="false" outlineLevel="0" collapsed="false">
      <c r="A852" s="5" t="str">
        <f aca="false">_xlfn.CONCAT($A$729, ".", A8)</f>
        <v>AL.6.5</v>
      </c>
      <c r="B852" s="5" t="str">
        <f aca="false">_xlfn.CONCAT(B8, ": ", C8)</f>
        <v>Hospitality: Worker</v>
      </c>
      <c r="C852" s="24" t="n">
        <f aca="false">AV8</f>
        <v>32180306</v>
      </c>
      <c r="D852" s="24" t="n">
        <f aca="false">AW8</f>
        <v>4629405</v>
      </c>
      <c r="E852" s="24" t="n">
        <f aca="false">AX8</f>
        <v>4055265</v>
      </c>
      <c r="F852" s="24" t="n">
        <f aca="false">AY8</f>
        <v>23495636</v>
      </c>
    </row>
    <row r="853" customFormat="false" ht="12.8" hidden="false" customHeight="false" outlineLevel="0" collapsed="false">
      <c r="A853" s="5" t="str">
        <f aca="false">_xlfn.CONCAT($A$729, ".", A9)</f>
        <v>AL.6.6</v>
      </c>
      <c r="B853" s="5" t="str">
        <f aca="false">_xlfn.CONCAT(B9, ": ", C9)</f>
        <v>Hospitality: Support</v>
      </c>
      <c r="C853" s="24" t="n">
        <f aca="false">AV9</f>
        <v>16033054</v>
      </c>
      <c r="D853" s="24" t="n">
        <f aca="false">AW9</f>
        <v>2291328</v>
      </c>
      <c r="E853" s="24" t="n">
        <f aca="false">AX9</f>
        <v>1976638</v>
      </c>
      <c r="F853" s="24" t="n">
        <f aca="false">AY9</f>
        <v>11765088</v>
      </c>
    </row>
    <row r="854" customFormat="false" ht="12.8" hidden="false" customHeight="false" outlineLevel="0" collapsed="false">
      <c r="A854" s="5" t="str">
        <f aca="false">_xlfn.CONCAT($A$729, ".", A10)</f>
        <v>AL.6.7</v>
      </c>
      <c r="B854" s="5" t="str">
        <f aca="false">_xlfn.CONCAT(B10, ": ", C10)</f>
        <v>Cleaning/Maintenance: Worker</v>
      </c>
      <c r="C854" s="24" t="n">
        <f aca="false">AV10</f>
        <v>15701472</v>
      </c>
      <c r="D854" s="24" t="n">
        <f aca="false">AW10</f>
        <v>2584109</v>
      </c>
      <c r="E854" s="24" t="n">
        <f aca="false">AX10</f>
        <v>2291328</v>
      </c>
      <c r="F854" s="24" t="n">
        <f aca="false">AY10</f>
        <v>10826035</v>
      </c>
    </row>
    <row r="855" customFormat="false" ht="12.8" hidden="false" customHeight="false" outlineLevel="0" collapsed="false">
      <c r="A855" s="5" t="str">
        <f aca="false">_xlfn.CONCAT($A$729, ".", A11)</f>
        <v>AL.6.8</v>
      </c>
      <c r="B855" s="5" t="str">
        <f aca="false">_xlfn.CONCAT(B11, ": ", C11)</f>
        <v>Cleaning/Maintenance: Support</v>
      </c>
      <c r="C855" s="24" t="n">
        <f aca="false">AV11</f>
        <v>7350487</v>
      </c>
      <c r="D855" s="24" t="n">
        <f aca="false">AW11</f>
        <v>1202580</v>
      </c>
      <c r="E855" s="24" t="n">
        <f aca="false">AX11</f>
        <v>1044806</v>
      </c>
      <c r="F855" s="24" t="n">
        <f aca="false">AY11</f>
        <v>5103101</v>
      </c>
    </row>
    <row r="856" customFormat="false" ht="12.8" hidden="false" customHeight="false" outlineLevel="0" collapsed="false">
      <c r="A856" s="5" t="str">
        <f aca="false">_xlfn.CONCAT($A$729, ".", A12)</f>
        <v>AL.6.9</v>
      </c>
      <c r="B856" s="5" t="str">
        <f aca="false">_xlfn.CONCAT(B12, ": ", C12)</f>
        <v>Manufacturing: Worker</v>
      </c>
      <c r="C856" s="24" t="n">
        <f aca="false">AV12</f>
        <v>61569893</v>
      </c>
      <c r="D856" s="24" t="n">
        <f aca="false">AW12</f>
        <v>8664084</v>
      </c>
      <c r="E856" s="24" t="n">
        <f aca="false">AX12</f>
        <v>3950154</v>
      </c>
      <c r="F856" s="24" t="n">
        <f aca="false">AY12</f>
        <v>48955655</v>
      </c>
    </row>
    <row r="857" customFormat="false" ht="12.8" hidden="false" customHeight="false" outlineLevel="0" collapsed="false">
      <c r="A857" s="5" t="str">
        <f aca="false">_xlfn.CONCAT($A$729, ".", A13)</f>
        <v>AL.6.10</v>
      </c>
      <c r="B857" s="5" t="str">
        <f aca="false">_xlfn.CONCAT(B13, ": ", C13)</f>
        <v>Manufacturing: Support</v>
      </c>
      <c r="C857" s="24" t="n">
        <f aca="false">AV13</f>
        <v>28030212</v>
      </c>
      <c r="D857" s="24" t="n">
        <f aca="false">AW13</f>
        <v>3921696</v>
      </c>
      <c r="E857" s="24" t="n">
        <f aca="false">AX13</f>
        <v>1769720</v>
      </c>
      <c r="F857" s="24" t="n">
        <f aca="false">AY13</f>
        <v>22338796</v>
      </c>
    </row>
    <row r="858" customFormat="false" ht="12.8" hidden="false" customHeight="false" outlineLevel="0" collapsed="false">
      <c r="A858" s="5" t="str">
        <f aca="false">_xlfn.CONCAT($A$729, ".", A14)</f>
        <v>AL.6.11</v>
      </c>
      <c r="B858" s="5" t="str">
        <f aca="false">_xlfn.CONCAT(B14, ": ", C14)</f>
        <v>Transportation &amp; Warehousing: Worker</v>
      </c>
      <c r="C858" s="24" t="n">
        <f aca="false">AV14</f>
        <v>48743229</v>
      </c>
      <c r="D858" s="24" t="n">
        <f aca="false">AW14</f>
        <v>7897921</v>
      </c>
      <c r="E858" s="24" t="n">
        <f aca="false">AX14</f>
        <v>3518143</v>
      </c>
      <c r="F858" s="24" t="n">
        <f aca="false">AY14</f>
        <v>37327165</v>
      </c>
    </row>
    <row r="859" customFormat="false" ht="12.8" hidden="false" customHeight="false" outlineLevel="0" collapsed="false">
      <c r="A859" s="5" t="str">
        <f aca="false">_xlfn.CONCAT($A$729, ".", A15)</f>
        <v>AL.6.12</v>
      </c>
      <c r="B859" s="5" t="str">
        <f aca="false">_xlfn.CONCAT(B15, ": ", C15)</f>
        <v>Transportation &amp; Warehousing: Support</v>
      </c>
      <c r="C859" s="24" t="n">
        <f aca="false">AV15</f>
        <v>22361929</v>
      </c>
      <c r="D859" s="24" t="n">
        <f aca="false">AW15</f>
        <v>3604986</v>
      </c>
      <c r="E859" s="24" t="n">
        <f aca="false">AX15</f>
        <v>1591812</v>
      </c>
      <c r="F859" s="24" t="n">
        <f aca="false">AY15</f>
        <v>17165131</v>
      </c>
    </row>
    <row r="860" customFormat="false" ht="12.8" hidden="false" customHeight="false" outlineLevel="0" collapsed="false">
      <c r="A860" s="5" t="str">
        <f aca="false">_xlfn.CONCAT($A$729, ".", A16)</f>
        <v>AL.6.13</v>
      </c>
      <c r="B860" s="5" t="str">
        <f aca="false">_xlfn.CONCAT(B16, ": ", C16)</f>
        <v>Retail Trade: Worker</v>
      </c>
      <c r="C860" s="24" t="n">
        <f aca="false">AV16</f>
        <v>41005546</v>
      </c>
      <c r="D860" s="24" t="n">
        <f aca="false">AW16</f>
        <v>3562070</v>
      </c>
      <c r="E860" s="24" t="n">
        <f aca="false">AX16</f>
        <v>1601176</v>
      </c>
      <c r="F860" s="24" t="n">
        <f aca="false">AY16</f>
        <v>35842300</v>
      </c>
    </row>
    <row r="861" customFormat="false" ht="12.8" hidden="false" customHeight="false" outlineLevel="0" collapsed="false">
      <c r="A861" s="5" t="str">
        <f aca="false">_xlfn.CONCAT($A$729, ".", A17)</f>
        <v>AL.6.14</v>
      </c>
      <c r="B861" s="5" t="str">
        <f aca="false">_xlfn.CONCAT(B17, ": ", C17)</f>
        <v>Retail Trade: Support</v>
      </c>
      <c r="C861" s="24" t="n">
        <f aca="false">AV17</f>
        <v>19548855</v>
      </c>
      <c r="D861" s="24" t="n">
        <f aca="false">AW17</f>
        <v>1727584</v>
      </c>
      <c r="E861" s="24" t="n">
        <f aca="false">AX17</f>
        <v>767815</v>
      </c>
      <c r="F861" s="24" t="n">
        <f aca="false">AY17</f>
        <v>17053456</v>
      </c>
    </row>
    <row r="862" customFormat="false" ht="12.8" hidden="false" customHeight="false" outlineLevel="0" collapsed="false">
      <c r="A862" s="5" t="str">
        <f aca="false">_xlfn.CONCAT($A$729, ".", A18)</f>
        <v>AL.6.15</v>
      </c>
      <c r="B862" s="5" t="str">
        <f aca="false">_xlfn.CONCAT(B18, ": ", C18)</f>
        <v>Landscaping / Groundskeeping: Worker</v>
      </c>
      <c r="C862" s="24" t="n">
        <f aca="false">AV18</f>
        <v>16570439</v>
      </c>
      <c r="D862" s="24" t="n">
        <f aca="false">AW18</f>
        <v>2331123</v>
      </c>
      <c r="E862" s="24" t="n">
        <f aca="false">AX18</f>
        <v>2136863</v>
      </c>
      <c r="F862" s="24" t="n">
        <f aca="false">AY18</f>
        <v>12102453</v>
      </c>
    </row>
    <row r="863" customFormat="false" ht="12.8" hidden="false" customHeight="false" outlineLevel="0" collapsed="false">
      <c r="A863" s="5" t="str">
        <f aca="false">_xlfn.CONCAT($A$729, ".", A19)</f>
        <v>AL.6.16</v>
      </c>
      <c r="B863" s="5" t="str">
        <f aca="false">_xlfn.CONCAT(B19, ": ", C19)</f>
        <v>Landscaping / Groundskeeping: Support</v>
      </c>
      <c r="C863" s="24" t="n">
        <f aca="false">AV19</f>
        <v>8003800</v>
      </c>
      <c r="D863" s="24" t="n">
        <f aca="false">AW19</f>
        <v>1118858</v>
      </c>
      <c r="E863" s="24" t="n">
        <f aca="false">AX19</f>
        <v>1013965</v>
      </c>
      <c r="F863" s="24" t="n">
        <f aca="false">AY19</f>
        <v>5870977</v>
      </c>
    </row>
    <row r="864" customFormat="false" ht="12.8" hidden="false" customHeight="false" outlineLevel="0" collapsed="false">
      <c r="A864" s="5" t="str">
        <f aca="false">_xlfn.CONCAT($A$729, ".", A20)</f>
        <v>AL.6.17</v>
      </c>
      <c r="B864" s="5" t="str">
        <f aca="false">_xlfn.CONCAT(B20, ": ", C20)</f>
        <v>Automotive &amp; Repair: Worker</v>
      </c>
      <c r="C864" s="24" t="n">
        <f aca="false">AV20</f>
        <v>15586753</v>
      </c>
      <c r="D864" s="24" t="n">
        <f aca="false">AW20</f>
        <v>2232576</v>
      </c>
      <c r="E864" s="24" t="n">
        <f aca="false">AX20</f>
        <v>889542</v>
      </c>
      <c r="F864" s="24" t="n">
        <f aca="false">AY20</f>
        <v>12464635</v>
      </c>
    </row>
    <row r="865" customFormat="false" ht="12.8" hidden="false" customHeight="false" outlineLevel="0" collapsed="false">
      <c r="A865" s="5" t="str">
        <f aca="false">_xlfn.CONCAT($A$729, ".", A21)</f>
        <v>AL.6.18</v>
      </c>
      <c r="B865" s="5" t="str">
        <f aca="false">_xlfn.CONCAT(B21, ": ", C21)</f>
        <v>Automotive &amp; Repair: Support</v>
      </c>
      <c r="C865" s="24" t="n">
        <f aca="false">AV21</f>
        <v>7216030</v>
      </c>
      <c r="D865" s="24" t="n">
        <f aca="false">AW21</f>
        <v>1026140</v>
      </c>
      <c r="E865" s="24" t="n">
        <f aca="false">AX21</f>
        <v>400982</v>
      </c>
      <c r="F865" s="24" t="n">
        <f aca="false">AY21</f>
        <v>5788908</v>
      </c>
    </row>
    <row r="866" customFormat="false" ht="12.8" hidden="false" customHeight="false" outlineLevel="0" collapsed="false">
      <c r="A866" s="5" t="str">
        <f aca="false">_xlfn.CONCAT($A$729, ".", A22)</f>
        <v>AL.6.19</v>
      </c>
      <c r="B866" s="5" t="str">
        <f aca="false">_xlfn.CONCAT(B22, ": ", C22)</f>
        <v>Other Services: Worker</v>
      </c>
      <c r="C866" s="24" t="n">
        <f aca="false">AV22</f>
        <v>13946042</v>
      </c>
      <c r="D866" s="24" t="n">
        <f aca="false">AW22</f>
        <v>1997568</v>
      </c>
      <c r="E866" s="24" t="n">
        <f aca="false">AX22</f>
        <v>795906</v>
      </c>
      <c r="F866" s="24" t="n">
        <f aca="false">AY22</f>
        <v>11152568</v>
      </c>
    </row>
    <row r="867" customFormat="false" ht="12.8" hidden="false" customHeight="false" outlineLevel="0" collapsed="false">
      <c r="A867" s="5" t="str">
        <f aca="false">_xlfn.CONCAT($A$729, ".", A23)</f>
        <v>AL.6.20</v>
      </c>
      <c r="B867" s="5" t="str">
        <f aca="false">_xlfn.CONCAT(B23, ": ", C23)</f>
        <v>Other Services: Support</v>
      </c>
      <c r="C867" s="24" t="n">
        <f aca="false">AV23</f>
        <v>6815141</v>
      </c>
      <c r="D867" s="24" t="n">
        <f aca="false">AW23</f>
        <v>969133</v>
      </c>
      <c r="E867" s="24" t="n">
        <f aca="false">AX23</f>
        <v>378706</v>
      </c>
      <c r="F867" s="24" t="n">
        <f aca="false">AY23</f>
        <v>5467302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AY869"/>
  <sheetViews>
    <sheetView showFormulas="false" showGridLines="true" showRowColHeaders="true" showZeros="true" rightToLeft="false" tabSelected="false" showOutlineSymbols="true" defaultGridColor="true" view="normal" topLeftCell="A929" colorId="64" zoomScale="80" zoomScaleNormal="80" zoomScalePageLayoutView="100" workbookViewId="0">
      <selection pane="topLeft" activeCell="H829" activeCellId="0" sqref="H829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2" min="2" style="1" width="36.9"/>
    <col collapsed="false" customWidth="true" hidden="false" outlineLevel="0" max="3" min="3" style="1" width="21.47"/>
    <col collapsed="false" customWidth="true" hidden="false" outlineLevel="0" max="34" min="4" style="1" width="16.84"/>
    <col collapsed="false" customWidth="true" hidden="false" outlineLevel="0" max="48" min="35" style="1" width="17.78"/>
    <col collapsed="false" customWidth="true" hidden="false" outlineLevel="0" max="51" min="49" style="1" width="15.48"/>
  </cols>
  <sheetData>
    <row r="1" customFormat="false" ht="12.8" hidden="false" customHeight="false" outlineLevel="0" collapsed="false">
      <c r="A1" s="21" t="s">
        <v>158</v>
      </c>
      <c r="B1" s="15" t="s">
        <v>159</v>
      </c>
    </row>
    <row r="2" customFormat="false" ht="46.25" hidden="false" customHeight="false" outlineLevel="0" collapsed="false">
      <c r="A2" s="14" t="s">
        <v>13</v>
      </c>
      <c r="B2" s="14" t="s">
        <v>24</v>
      </c>
      <c r="C2" s="14" t="s">
        <v>25</v>
      </c>
      <c r="D2" s="22" t="s">
        <v>26</v>
      </c>
      <c r="E2" s="22" t="s">
        <v>27</v>
      </c>
      <c r="F2" s="22" t="s">
        <v>28</v>
      </c>
      <c r="G2" s="22" t="s">
        <v>29</v>
      </c>
      <c r="H2" s="23" t="s">
        <v>99</v>
      </c>
      <c r="I2" s="23" t="s">
        <v>100</v>
      </c>
      <c r="J2" s="23" t="s">
        <v>101</v>
      </c>
      <c r="K2" s="23" t="s">
        <v>102</v>
      </c>
      <c r="L2" s="23" t="s">
        <v>103</v>
      </c>
      <c r="M2" s="23" t="s">
        <v>104</v>
      </c>
      <c r="N2" s="23" t="s">
        <v>105</v>
      </c>
      <c r="O2" s="23" t="s">
        <v>106</v>
      </c>
      <c r="P2" s="23" t="s">
        <v>107</v>
      </c>
      <c r="Q2" s="23" t="s">
        <v>108</v>
      </c>
      <c r="R2" s="23" t="s">
        <v>109</v>
      </c>
      <c r="S2" s="23" t="s">
        <v>110</v>
      </c>
      <c r="T2" s="23" t="s">
        <v>42</v>
      </c>
      <c r="U2" s="23" t="s">
        <v>43</v>
      </c>
      <c r="V2" s="23" t="s">
        <v>44</v>
      </c>
      <c r="W2" s="24" t="s">
        <v>45</v>
      </c>
      <c r="X2" s="24" t="s">
        <v>46</v>
      </c>
      <c r="Y2" s="24" t="s">
        <v>47</v>
      </c>
      <c r="Z2" s="25" t="s">
        <v>48</v>
      </c>
      <c r="AA2" s="25" t="s">
        <v>49</v>
      </c>
      <c r="AB2" s="25" t="s">
        <v>50</v>
      </c>
      <c r="AC2" s="24" t="s">
        <v>51</v>
      </c>
      <c r="AD2" s="24" t="s">
        <v>52</v>
      </c>
      <c r="AE2" s="24" t="s">
        <v>53</v>
      </c>
      <c r="AF2" s="25" t="s">
        <v>54</v>
      </c>
      <c r="AG2" s="25" t="s">
        <v>55</v>
      </c>
      <c r="AH2" s="25" t="s">
        <v>56</v>
      </c>
      <c r="AI2" s="24" t="s">
        <v>57</v>
      </c>
      <c r="AJ2" s="24" t="s">
        <v>58</v>
      </c>
      <c r="AK2" s="24" t="s">
        <v>59</v>
      </c>
      <c r="AL2" s="25" t="s">
        <v>60</v>
      </c>
      <c r="AM2" s="25" t="s">
        <v>61</v>
      </c>
      <c r="AN2" s="25" t="s">
        <v>62</v>
      </c>
      <c r="AO2" s="24" t="s">
        <v>63</v>
      </c>
      <c r="AP2" s="24" t="s">
        <v>64</v>
      </c>
      <c r="AQ2" s="24" t="s">
        <v>65</v>
      </c>
      <c r="AR2" s="24" t="s">
        <v>66</v>
      </c>
      <c r="AS2" s="24" t="s">
        <v>67</v>
      </c>
      <c r="AT2" s="24" t="s">
        <v>68</v>
      </c>
      <c r="AU2" s="24" t="s">
        <v>69</v>
      </c>
      <c r="AV2" s="24" t="s">
        <v>70</v>
      </c>
      <c r="AW2" s="24" t="s">
        <v>71</v>
      </c>
      <c r="AX2" s="24" t="s">
        <v>72</v>
      </c>
      <c r="AY2" s="24" t="s">
        <v>73</v>
      </c>
    </row>
    <row r="3" customFormat="false" ht="12.8" hidden="false" customHeight="false" outlineLevel="0" collapsed="false">
      <c r="A3" s="15" t="n">
        <v>0</v>
      </c>
      <c r="B3" s="15" t="s">
        <v>75</v>
      </c>
      <c r="C3" s="15" t="s">
        <v>76</v>
      </c>
      <c r="D3" s="16" t="n">
        <v>3114791</v>
      </c>
      <c r="E3" s="16" t="n">
        <v>90340</v>
      </c>
      <c r="F3" s="16" t="n">
        <v>72000</v>
      </c>
      <c r="G3" s="16" t="n">
        <v>2952451</v>
      </c>
      <c r="H3" s="17" t="n">
        <v>0.9147</v>
      </c>
      <c r="I3" s="17" t="n">
        <v>0.722</v>
      </c>
      <c r="J3" s="17" t="n">
        <v>0.772</v>
      </c>
      <c r="K3" s="17" t="n">
        <v>0.925</v>
      </c>
      <c r="L3" s="17" t="n">
        <v>0.0853</v>
      </c>
      <c r="M3" s="17" t="n">
        <v>0.278</v>
      </c>
      <c r="N3" s="17" t="n">
        <v>0.228</v>
      </c>
      <c r="O3" s="17" t="n">
        <v>0.075</v>
      </c>
      <c r="P3" s="17" t="n">
        <v>0.0809</v>
      </c>
      <c r="Q3" s="17" t="n">
        <v>0.095</v>
      </c>
      <c r="R3" s="17" t="n">
        <v>0.095</v>
      </c>
      <c r="S3" s="17" t="n">
        <v>0.08</v>
      </c>
      <c r="T3" s="18" t="n">
        <v>13.4</v>
      </c>
      <c r="U3" s="18" t="n">
        <v>11</v>
      </c>
      <c r="V3" s="18" t="n">
        <v>30</v>
      </c>
      <c r="W3" s="19" t="n">
        <v>24100</v>
      </c>
      <c r="X3" s="19" t="n">
        <v>19800</v>
      </c>
      <c r="Y3" s="19" t="n">
        <v>54000</v>
      </c>
      <c r="Z3" s="20" t="n">
        <v>10.1</v>
      </c>
      <c r="AA3" s="20" t="n">
        <v>11</v>
      </c>
      <c r="AB3" s="20" t="n">
        <v>25</v>
      </c>
      <c r="AC3" s="19" t="n">
        <v>18200</v>
      </c>
      <c r="AD3" s="19" t="n">
        <v>19800</v>
      </c>
      <c r="AE3" s="19" t="n">
        <v>45000</v>
      </c>
      <c r="AF3" s="20" t="n">
        <v>10.1</v>
      </c>
      <c r="AG3" s="20" t="n">
        <v>11</v>
      </c>
      <c r="AH3" s="20" t="n">
        <v>20</v>
      </c>
      <c r="AI3" s="19" t="n">
        <v>18200</v>
      </c>
      <c r="AJ3" s="19" t="n">
        <v>19800</v>
      </c>
      <c r="AK3" s="19" t="n">
        <v>36000</v>
      </c>
      <c r="AL3" s="20" t="n">
        <v>13.6</v>
      </c>
      <c r="AM3" s="20" t="n">
        <v>11</v>
      </c>
      <c r="AN3" s="20" t="n">
        <v>35</v>
      </c>
      <c r="AO3" s="19" t="n">
        <v>24500</v>
      </c>
      <c r="AP3" s="19" t="n">
        <v>19800</v>
      </c>
      <c r="AQ3" s="19" t="n">
        <v>63000</v>
      </c>
      <c r="AR3" s="19" t="n">
        <v>-3672853133</v>
      </c>
      <c r="AS3" s="19" t="n">
        <v>-161445122</v>
      </c>
      <c r="AT3" s="19" t="n">
        <v>10386144</v>
      </c>
      <c r="AU3" s="19" t="n">
        <v>-3521884155</v>
      </c>
      <c r="AV3" s="19" t="n">
        <v>11193347455</v>
      </c>
      <c r="AW3" s="19" t="n">
        <v>242549621</v>
      </c>
      <c r="AX3" s="19" t="n">
        <v>137416457</v>
      </c>
      <c r="AY3" s="19" t="n">
        <v>10812406377</v>
      </c>
    </row>
    <row r="4" customFormat="false" ht="12.8" hidden="false" customHeight="false" outlineLevel="0" collapsed="false">
      <c r="A4" s="15" t="n">
        <v>1</v>
      </c>
      <c r="B4" s="15" t="s">
        <v>77</v>
      </c>
      <c r="C4" s="15" t="s">
        <v>78</v>
      </c>
      <c r="D4" s="16" t="n">
        <v>493</v>
      </c>
      <c r="E4" s="16" t="n">
        <v>133</v>
      </c>
      <c r="F4" s="16" t="n">
        <v>71</v>
      </c>
      <c r="G4" s="16" t="n">
        <v>289</v>
      </c>
      <c r="H4" s="17" t="n">
        <v>0.8746</v>
      </c>
      <c r="I4" s="17" t="n">
        <v>0.75</v>
      </c>
      <c r="J4" s="17" t="n">
        <v>0.8</v>
      </c>
      <c r="K4" s="17" t="n">
        <v>0.95</v>
      </c>
      <c r="L4" s="17" t="n">
        <v>0.1254</v>
      </c>
      <c r="M4" s="17" t="n">
        <v>0.25</v>
      </c>
      <c r="N4" s="17" t="n">
        <v>0.2</v>
      </c>
      <c r="O4" s="17" t="n">
        <v>0.05</v>
      </c>
      <c r="P4" s="17" t="n">
        <v>0.0841</v>
      </c>
      <c r="Q4" s="17" t="n">
        <v>0.09</v>
      </c>
      <c r="R4" s="17" t="n">
        <v>0.09</v>
      </c>
      <c r="S4" s="17" t="n">
        <v>0.08</v>
      </c>
      <c r="T4" s="18" t="n">
        <v>18.5</v>
      </c>
      <c r="U4" s="18" t="n">
        <v>11</v>
      </c>
      <c r="V4" s="18" t="n">
        <v>19.71</v>
      </c>
      <c r="W4" s="19" t="n">
        <v>30525</v>
      </c>
      <c r="X4" s="19" t="n">
        <v>18150</v>
      </c>
      <c r="Y4" s="19" t="n">
        <v>32522</v>
      </c>
      <c r="Z4" s="20" t="n">
        <v>18.5</v>
      </c>
      <c r="AA4" s="20" t="n">
        <v>11</v>
      </c>
      <c r="AB4" s="20" t="n">
        <v>20</v>
      </c>
      <c r="AC4" s="19" t="n">
        <v>30525</v>
      </c>
      <c r="AD4" s="19" t="n">
        <v>18150</v>
      </c>
      <c r="AE4" s="19" t="n">
        <v>33000</v>
      </c>
      <c r="AF4" s="20" t="n">
        <v>17</v>
      </c>
      <c r="AG4" s="20" t="n">
        <v>11</v>
      </c>
      <c r="AH4" s="20" t="n">
        <v>18</v>
      </c>
      <c r="AI4" s="19" t="n">
        <v>28050</v>
      </c>
      <c r="AJ4" s="19" t="n">
        <v>18150</v>
      </c>
      <c r="AK4" s="19" t="n">
        <v>29700</v>
      </c>
      <c r="AL4" s="20" t="n">
        <v>21</v>
      </c>
      <c r="AM4" s="20" t="n">
        <v>11</v>
      </c>
      <c r="AN4" s="20" t="n">
        <v>25</v>
      </c>
      <c r="AO4" s="19" t="n">
        <v>34650</v>
      </c>
      <c r="AP4" s="19" t="n">
        <v>18150</v>
      </c>
      <c r="AQ4" s="19" t="n">
        <v>41250</v>
      </c>
      <c r="AR4" s="19" t="n">
        <v>39438</v>
      </c>
      <c r="AS4" s="19" t="n">
        <v>-60605</v>
      </c>
      <c r="AT4" s="19" t="n">
        <v>89038</v>
      </c>
      <c r="AU4" s="19" t="n">
        <v>11005</v>
      </c>
      <c r="AV4" s="19" t="n">
        <v>2461839</v>
      </c>
      <c r="AW4" s="19" t="n">
        <v>619802</v>
      </c>
      <c r="AX4" s="19" t="n">
        <v>306813</v>
      </c>
      <c r="AY4" s="19" t="n">
        <v>1534224</v>
      </c>
    </row>
    <row r="5" customFormat="false" ht="12.8" hidden="false" customHeight="false" outlineLevel="0" collapsed="false">
      <c r="A5" s="15" t="n">
        <v>2</v>
      </c>
      <c r="B5" s="15" t="s">
        <v>77</v>
      </c>
      <c r="C5" s="15" t="s">
        <v>79</v>
      </c>
      <c r="D5" s="16" t="n">
        <v>266</v>
      </c>
      <c r="E5" s="16" t="n">
        <v>72</v>
      </c>
      <c r="F5" s="16" t="n">
        <v>38</v>
      </c>
      <c r="G5" s="16" t="n">
        <v>156</v>
      </c>
      <c r="H5" s="17" t="n">
        <v>0.8749</v>
      </c>
      <c r="I5" s="17" t="n">
        <v>0.75</v>
      </c>
      <c r="J5" s="17" t="n">
        <v>0.8</v>
      </c>
      <c r="K5" s="17" t="n">
        <v>0.95</v>
      </c>
      <c r="L5" s="17" t="n">
        <v>0.1251</v>
      </c>
      <c r="M5" s="17" t="n">
        <v>0.25</v>
      </c>
      <c r="N5" s="17" t="n">
        <v>0.2</v>
      </c>
      <c r="O5" s="17" t="n">
        <v>0.05</v>
      </c>
      <c r="P5" s="17" t="n">
        <v>0.0841</v>
      </c>
      <c r="Q5" s="17" t="n">
        <v>0.09</v>
      </c>
      <c r="R5" s="17" t="n">
        <v>0.09</v>
      </c>
      <c r="S5" s="17" t="n">
        <v>0.08</v>
      </c>
      <c r="T5" s="18" t="n">
        <v>17</v>
      </c>
      <c r="U5" s="18" t="n">
        <v>11</v>
      </c>
      <c r="V5" s="18" t="n">
        <v>19.71</v>
      </c>
      <c r="W5" s="19" t="n">
        <v>30600</v>
      </c>
      <c r="X5" s="19" t="n">
        <v>18150</v>
      </c>
      <c r="Y5" s="19" t="n">
        <v>35478</v>
      </c>
      <c r="Z5" s="20" t="n">
        <v>17</v>
      </c>
      <c r="AA5" s="20" t="n">
        <v>11</v>
      </c>
      <c r="AB5" s="20" t="n">
        <v>20</v>
      </c>
      <c r="AC5" s="19" t="n">
        <v>30600</v>
      </c>
      <c r="AD5" s="19" t="n">
        <v>18150</v>
      </c>
      <c r="AE5" s="19" t="n">
        <v>36000</v>
      </c>
      <c r="AF5" s="20" t="n">
        <v>15.5</v>
      </c>
      <c r="AG5" s="20" t="n">
        <v>11</v>
      </c>
      <c r="AH5" s="20" t="n">
        <v>18</v>
      </c>
      <c r="AI5" s="19" t="n">
        <v>27900</v>
      </c>
      <c r="AJ5" s="19" t="n">
        <v>18150</v>
      </c>
      <c r="AK5" s="19" t="n">
        <v>32400</v>
      </c>
      <c r="AL5" s="20" t="n">
        <v>19</v>
      </c>
      <c r="AM5" s="20" t="n">
        <v>11</v>
      </c>
      <c r="AN5" s="20" t="n">
        <v>25</v>
      </c>
      <c r="AO5" s="19" t="n">
        <v>34200</v>
      </c>
      <c r="AP5" s="19" t="n">
        <v>18150</v>
      </c>
      <c r="AQ5" s="19" t="n">
        <v>45000</v>
      </c>
      <c r="AR5" s="19" t="n">
        <v>12410</v>
      </c>
      <c r="AS5" s="19" t="n">
        <v>-32032</v>
      </c>
      <c r="AT5" s="19" t="n">
        <v>46958</v>
      </c>
      <c r="AU5" s="19" t="n">
        <v>-2508</v>
      </c>
      <c r="AV5" s="19" t="n">
        <v>1319527</v>
      </c>
      <c r="AW5" s="19" t="n">
        <v>334796</v>
      </c>
      <c r="AX5" s="19" t="n">
        <v>162870</v>
      </c>
      <c r="AY5" s="19" t="n">
        <v>820861</v>
      </c>
    </row>
    <row r="6" customFormat="false" ht="12.8" hidden="false" customHeight="false" outlineLevel="0" collapsed="false">
      <c r="A6" s="15" t="n">
        <v>3</v>
      </c>
      <c r="B6" s="15" t="s">
        <v>80</v>
      </c>
      <c r="C6" s="15" t="s">
        <v>78</v>
      </c>
      <c r="D6" s="16" t="n">
        <v>1786</v>
      </c>
      <c r="E6" s="16" t="n">
        <v>275</v>
      </c>
      <c r="F6" s="16" t="n">
        <v>279</v>
      </c>
      <c r="G6" s="16" t="n">
        <v>1232</v>
      </c>
      <c r="H6" s="17" t="n">
        <v>0.9001</v>
      </c>
      <c r="I6" s="17" t="n">
        <v>0.752</v>
      </c>
      <c r="J6" s="17" t="n">
        <v>0.802</v>
      </c>
      <c r="K6" s="17" t="n">
        <v>0.945</v>
      </c>
      <c r="L6" s="17" t="n">
        <v>0.0999</v>
      </c>
      <c r="M6" s="17" t="n">
        <v>0.248</v>
      </c>
      <c r="N6" s="17" t="n">
        <v>0.198</v>
      </c>
      <c r="O6" s="17" t="n">
        <v>0.055</v>
      </c>
      <c r="P6" s="17" t="n">
        <v>0.0827</v>
      </c>
      <c r="Q6" s="17" t="n">
        <v>0.09</v>
      </c>
      <c r="R6" s="17" t="n">
        <v>0.09</v>
      </c>
      <c r="S6" s="17" t="n">
        <v>0.08</v>
      </c>
      <c r="T6" s="18" t="n">
        <v>22</v>
      </c>
      <c r="U6" s="18" t="n">
        <v>11</v>
      </c>
      <c r="V6" s="18" t="n">
        <v>40</v>
      </c>
      <c r="W6" s="19" t="n">
        <v>42900</v>
      </c>
      <c r="X6" s="19" t="n">
        <v>21450</v>
      </c>
      <c r="Y6" s="19" t="n">
        <v>78000</v>
      </c>
      <c r="Z6" s="20" t="n">
        <v>22</v>
      </c>
      <c r="AA6" s="20" t="n">
        <v>11.5</v>
      </c>
      <c r="AB6" s="20" t="n">
        <v>35</v>
      </c>
      <c r="AC6" s="19" t="n">
        <v>42900</v>
      </c>
      <c r="AD6" s="19" t="n">
        <v>22425</v>
      </c>
      <c r="AE6" s="19" t="n">
        <v>68250</v>
      </c>
      <c r="AF6" s="20" t="n">
        <v>20</v>
      </c>
      <c r="AG6" s="20" t="n">
        <v>11</v>
      </c>
      <c r="AH6" s="20" t="n">
        <v>30</v>
      </c>
      <c r="AI6" s="19" t="n">
        <v>39000</v>
      </c>
      <c r="AJ6" s="19" t="n">
        <v>21450</v>
      </c>
      <c r="AK6" s="19" t="n">
        <v>58500</v>
      </c>
      <c r="AL6" s="20" t="n">
        <v>24</v>
      </c>
      <c r="AM6" s="20" t="n">
        <v>11</v>
      </c>
      <c r="AN6" s="20" t="n">
        <v>45</v>
      </c>
      <c r="AO6" s="19" t="n">
        <v>46800</v>
      </c>
      <c r="AP6" s="19" t="n">
        <v>21450</v>
      </c>
      <c r="AQ6" s="19" t="n">
        <v>87750</v>
      </c>
      <c r="AR6" s="19" t="n">
        <v>2847828</v>
      </c>
      <c r="AS6" s="19" t="n">
        <v>283902</v>
      </c>
      <c r="AT6" s="19" t="n">
        <v>716257</v>
      </c>
      <c r="AU6" s="19" t="n">
        <v>1845669</v>
      </c>
      <c r="AV6" s="19" t="n">
        <v>12316235</v>
      </c>
      <c r="AW6" s="19" t="n">
        <v>1812352</v>
      </c>
      <c r="AX6" s="19" t="n">
        <v>1668490</v>
      </c>
      <c r="AY6" s="19" t="n">
        <v>8845393</v>
      </c>
    </row>
    <row r="7" customFormat="false" ht="12.8" hidden="false" customHeight="false" outlineLevel="0" collapsed="false">
      <c r="A7" s="15" t="n">
        <v>4</v>
      </c>
      <c r="B7" s="15" t="s">
        <v>80</v>
      </c>
      <c r="C7" s="15" t="s">
        <v>79</v>
      </c>
      <c r="D7" s="16" t="n">
        <v>963</v>
      </c>
      <c r="E7" s="16" t="n">
        <v>148</v>
      </c>
      <c r="F7" s="16" t="n">
        <v>150</v>
      </c>
      <c r="G7" s="16" t="n">
        <v>665</v>
      </c>
      <c r="H7" s="17" t="n">
        <v>0.9</v>
      </c>
      <c r="I7" s="17" t="n">
        <v>0.752</v>
      </c>
      <c r="J7" s="17" t="n">
        <v>0.802</v>
      </c>
      <c r="K7" s="17" t="n">
        <v>0.945</v>
      </c>
      <c r="L7" s="17" t="n">
        <v>0.1</v>
      </c>
      <c r="M7" s="17" t="n">
        <v>0.248</v>
      </c>
      <c r="N7" s="17" t="n">
        <v>0.198</v>
      </c>
      <c r="O7" s="17" t="n">
        <v>0.055</v>
      </c>
      <c r="P7" s="17" t="n">
        <v>0.0827</v>
      </c>
      <c r="Q7" s="17" t="n">
        <v>0.09</v>
      </c>
      <c r="R7" s="17" t="n">
        <v>0.09</v>
      </c>
      <c r="S7" s="17" t="n">
        <v>0.08</v>
      </c>
      <c r="T7" s="18" t="n">
        <v>20</v>
      </c>
      <c r="U7" s="18" t="n">
        <v>11</v>
      </c>
      <c r="V7" s="18" t="n">
        <v>40</v>
      </c>
      <c r="W7" s="19" t="n">
        <v>36000</v>
      </c>
      <c r="X7" s="19" t="n">
        <v>21450</v>
      </c>
      <c r="Y7" s="19" t="n">
        <v>72000</v>
      </c>
      <c r="Z7" s="20" t="n">
        <v>20</v>
      </c>
      <c r="AA7" s="20" t="n">
        <v>11.5</v>
      </c>
      <c r="AB7" s="20" t="n">
        <v>35</v>
      </c>
      <c r="AC7" s="19" t="n">
        <v>36000</v>
      </c>
      <c r="AD7" s="19" t="n">
        <v>22425</v>
      </c>
      <c r="AE7" s="19" t="n">
        <v>63000</v>
      </c>
      <c r="AF7" s="20" t="n">
        <v>18</v>
      </c>
      <c r="AG7" s="20" t="n">
        <v>11</v>
      </c>
      <c r="AH7" s="20" t="n">
        <v>30</v>
      </c>
      <c r="AI7" s="19" t="n">
        <v>32400</v>
      </c>
      <c r="AJ7" s="19" t="n">
        <v>21450</v>
      </c>
      <c r="AK7" s="19" t="n">
        <v>54000</v>
      </c>
      <c r="AL7" s="20" t="n">
        <v>22</v>
      </c>
      <c r="AM7" s="20" t="n">
        <v>11</v>
      </c>
      <c r="AN7" s="20" t="n">
        <v>45</v>
      </c>
      <c r="AO7" s="19" t="n">
        <v>39600</v>
      </c>
      <c r="AP7" s="19" t="n">
        <v>21450</v>
      </c>
      <c r="AQ7" s="19" t="n">
        <v>81000</v>
      </c>
      <c r="AR7" s="19" t="n">
        <v>717183</v>
      </c>
      <c r="AS7" s="19" t="n">
        <v>29800</v>
      </c>
      <c r="AT7" s="19" t="n">
        <v>266459</v>
      </c>
      <c r="AU7" s="19" t="n">
        <v>420924</v>
      </c>
      <c r="AV7" s="19" t="n">
        <v>5604728</v>
      </c>
      <c r="AW7" s="19" t="n">
        <v>819851</v>
      </c>
      <c r="AX7" s="19" t="n">
        <v>746748</v>
      </c>
      <c r="AY7" s="19" t="n">
        <v>4038129</v>
      </c>
    </row>
    <row r="8" customFormat="false" ht="12.8" hidden="false" customHeight="false" outlineLevel="0" collapsed="false">
      <c r="A8" s="15" t="n">
        <v>5</v>
      </c>
      <c r="B8" s="15" t="s">
        <v>81</v>
      </c>
      <c r="C8" s="15" t="s">
        <v>78</v>
      </c>
      <c r="D8" s="16" t="n">
        <v>5724</v>
      </c>
      <c r="E8" s="16" t="n">
        <v>874</v>
      </c>
      <c r="F8" s="16" t="n">
        <v>861</v>
      </c>
      <c r="G8" s="16" t="n">
        <v>3989</v>
      </c>
      <c r="H8" s="17" t="n">
        <v>0.8729</v>
      </c>
      <c r="I8" s="17" t="n">
        <v>0.715</v>
      </c>
      <c r="J8" s="17" t="n">
        <v>0.765</v>
      </c>
      <c r="K8" s="17" t="n">
        <v>0.92</v>
      </c>
      <c r="L8" s="17" t="n">
        <v>0.1271</v>
      </c>
      <c r="M8" s="17" t="n">
        <v>0.285</v>
      </c>
      <c r="N8" s="17" t="n">
        <v>0.235</v>
      </c>
      <c r="O8" s="17" t="n">
        <v>0.08</v>
      </c>
      <c r="P8" s="17" t="n">
        <v>0.1137</v>
      </c>
      <c r="Q8" s="17" t="n">
        <v>0.11</v>
      </c>
      <c r="R8" s="17" t="n">
        <v>0.11</v>
      </c>
      <c r="S8" s="17" t="n">
        <v>0.115</v>
      </c>
      <c r="T8" s="18" t="n">
        <v>14</v>
      </c>
      <c r="U8" s="18" t="n">
        <v>11</v>
      </c>
      <c r="V8" s="18" t="n">
        <v>25</v>
      </c>
      <c r="W8" s="19" t="n">
        <v>21700</v>
      </c>
      <c r="X8" s="19" t="n">
        <v>18150</v>
      </c>
      <c r="Y8" s="19" t="n">
        <v>38750</v>
      </c>
      <c r="Z8" s="20" t="n">
        <v>14</v>
      </c>
      <c r="AA8" s="20" t="n">
        <v>11</v>
      </c>
      <c r="AB8" s="20" t="n">
        <v>20</v>
      </c>
      <c r="AC8" s="19" t="n">
        <v>21700</v>
      </c>
      <c r="AD8" s="19" t="n">
        <v>18150</v>
      </c>
      <c r="AE8" s="19" t="n">
        <v>31000</v>
      </c>
      <c r="AF8" s="20" t="n">
        <v>12.5</v>
      </c>
      <c r="AG8" s="20" t="n">
        <v>11</v>
      </c>
      <c r="AH8" s="20" t="n">
        <v>18</v>
      </c>
      <c r="AI8" s="19" t="n">
        <v>19400</v>
      </c>
      <c r="AJ8" s="19" t="n">
        <v>18150</v>
      </c>
      <c r="AK8" s="19" t="n">
        <v>27900</v>
      </c>
      <c r="AL8" s="20" t="n">
        <v>15.5</v>
      </c>
      <c r="AM8" s="20" t="n">
        <v>11</v>
      </c>
      <c r="AN8" s="20" t="n">
        <v>25</v>
      </c>
      <c r="AO8" s="19" t="n">
        <v>24100</v>
      </c>
      <c r="AP8" s="19" t="n">
        <v>18150</v>
      </c>
      <c r="AQ8" s="19" t="n">
        <v>38750</v>
      </c>
      <c r="AR8" s="19" t="n">
        <v>-5957249</v>
      </c>
      <c r="AS8" s="19" t="n">
        <v>-1283977</v>
      </c>
      <c r="AT8" s="19" t="n">
        <v>258650</v>
      </c>
      <c r="AU8" s="19" t="n">
        <v>-4935922</v>
      </c>
      <c r="AV8" s="19" t="n">
        <v>19467256</v>
      </c>
      <c r="AW8" s="19" t="n">
        <v>2801943</v>
      </c>
      <c r="AX8" s="19" t="n">
        <v>2452451</v>
      </c>
      <c r="AY8" s="19" t="n">
        <v>14212862</v>
      </c>
    </row>
    <row r="9" customFormat="false" ht="12.8" hidden="false" customHeight="false" outlineLevel="0" collapsed="false">
      <c r="A9" s="15" t="n">
        <v>6</v>
      </c>
      <c r="B9" s="15" t="s">
        <v>81</v>
      </c>
      <c r="C9" s="15" t="s">
        <v>79</v>
      </c>
      <c r="D9" s="16" t="n">
        <v>3087</v>
      </c>
      <c r="E9" s="16" t="n">
        <v>471</v>
      </c>
      <c r="F9" s="16" t="n">
        <v>464</v>
      </c>
      <c r="G9" s="16" t="n">
        <v>2152</v>
      </c>
      <c r="H9" s="17" t="n">
        <v>0.8729</v>
      </c>
      <c r="I9" s="17" t="n">
        <v>0.715</v>
      </c>
      <c r="J9" s="17" t="n">
        <v>0.765</v>
      </c>
      <c r="K9" s="17" t="n">
        <v>0.92</v>
      </c>
      <c r="L9" s="17" t="n">
        <v>0.1271</v>
      </c>
      <c r="M9" s="17" t="n">
        <v>0.285</v>
      </c>
      <c r="N9" s="17" t="n">
        <v>0.235</v>
      </c>
      <c r="O9" s="17" t="n">
        <v>0.08</v>
      </c>
      <c r="P9" s="17" t="n">
        <v>0.1137</v>
      </c>
      <c r="Q9" s="17" t="n">
        <v>0.11</v>
      </c>
      <c r="R9" s="17" t="n">
        <v>0.11</v>
      </c>
      <c r="S9" s="17" t="n">
        <v>0.115</v>
      </c>
      <c r="T9" s="18" t="n">
        <v>12.5</v>
      </c>
      <c r="U9" s="18" t="n">
        <v>11</v>
      </c>
      <c r="V9" s="18" t="n">
        <v>25</v>
      </c>
      <c r="W9" s="19" t="n">
        <v>20000</v>
      </c>
      <c r="X9" s="19" t="n">
        <v>18150</v>
      </c>
      <c r="Y9" s="19" t="n">
        <v>40000</v>
      </c>
      <c r="Z9" s="20" t="n">
        <v>12.5</v>
      </c>
      <c r="AA9" s="20" t="n">
        <v>11</v>
      </c>
      <c r="AB9" s="20" t="n">
        <v>20</v>
      </c>
      <c r="AC9" s="19" t="n">
        <v>20000</v>
      </c>
      <c r="AD9" s="19" t="n">
        <v>18150</v>
      </c>
      <c r="AE9" s="19" t="n">
        <v>32000</v>
      </c>
      <c r="AF9" s="20" t="n">
        <v>11</v>
      </c>
      <c r="AG9" s="20" t="n">
        <v>11</v>
      </c>
      <c r="AH9" s="20" t="n">
        <v>18</v>
      </c>
      <c r="AI9" s="19" t="n">
        <v>17600</v>
      </c>
      <c r="AJ9" s="19" t="n">
        <v>18150</v>
      </c>
      <c r="AK9" s="19" t="n">
        <v>28800</v>
      </c>
      <c r="AL9" s="20" t="n">
        <v>14</v>
      </c>
      <c r="AM9" s="20" t="n">
        <v>11</v>
      </c>
      <c r="AN9" s="20" t="n">
        <v>25</v>
      </c>
      <c r="AO9" s="19" t="n">
        <v>22400</v>
      </c>
      <c r="AP9" s="19" t="n">
        <v>18150</v>
      </c>
      <c r="AQ9" s="19" t="n">
        <v>40000</v>
      </c>
      <c r="AR9" s="19" t="n">
        <v>-3733735</v>
      </c>
      <c r="AS9" s="19" t="n">
        <v>-774867</v>
      </c>
      <c r="AT9" s="19" t="n">
        <v>55887</v>
      </c>
      <c r="AU9" s="19" t="n">
        <v>-3014755</v>
      </c>
      <c r="AV9" s="19" t="n">
        <v>9699945</v>
      </c>
      <c r="AW9" s="19" t="n">
        <v>1386043</v>
      </c>
      <c r="AX9" s="19" t="n">
        <v>1195496</v>
      </c>
      <c r="AY9" s="19" t="n">
        <v>7118406</v>
      </c>
    </row>
    <row r="10" customFormat="false" ht="12.8" hidden="false" customHeight="false" outlineLevel="0" collapsed="false">
      <c r="A10" s="15" t="n">
        <v>7</v>
      </c>
      <c r="B10" s="15" t="s">
        <v>82</v>
      </c>
      <c r="C10" s="15" t="s">
        <v>78</v>
      </c>
      <c r="D10" s="16" t="n">
        <v>2552</v>
      </c>
      <c r="E10" s="16" t="n">
        <v>441</v>
      </c>
      <c r="F10" s="16" t="n">
        <v>436</v>
      </c>
      <c r="G10" s="16" t="n">
        <v>1675</v>
      </c>
      <c r="H10" s="17" t="n">
        <v>0.8697</v>
      </c>
      <c r="I10" s="17" t="n">
        <v>0.716</v>
      </c>
      <c r="J10" s="17" t="n">
        <v>0.766</v>
      </c>
      <c r="K10" s="17" t="n">
        <v>0.924</v>
      </c>
      <c r="L10" s="17" t="n">
        <v>0.1303</v>
      </c>
      <c r="M10" s="17" t="n">
        <v>0.284</v>
      </c>
      <c r="N10" s="17" t="n">
        <v>0.234</v>
      </c>
      <c r="O10" s="17" t="n">
        <v>0.076</v>
      </c>
      <c r="P10" s="17" t="n">
        <v>0.1135</v>
      </c>
      <c r="Q10" s="17" t="n">
        <v>0.11</v>
      </c>
      <c r="R10" s="17" t="n">
        <v>0.11</v>
      </c>
      <c r="S10" s="17" t="n">
        <v>0.115</v>
      </c>
      <c r="T10" s="18" t="n">
        <v>14.5</v>
      </c>
      <c r="U10" s="18" t="n">
        <v>11</v>
      </c>
      <c r="V10" s="18" t="n">
        <v>25</v>
      </c>
      <c r="W10" s="19" t="n">
        <v>23200</v>
      </c>
      <c r="X10" s="19" t="n">
        <v>17600</v>
      </c>
      <c r="Y10" s="19" t="n">
        <v>40000</v>
      </c>
      <c r="Z10" s="20" t="n">
        <v>14.5</v>
      </c>
      <c r="AA10" s="20" t="n">
        <v>11</v>
      </c>
      <c r="AB10" s="20" t="n">
        <v>20</v>
      </c>
      <c r="AC10" s="19" t="n">
        <v>23200</v>
      </c>
      <c r="AD10" s="19" t="n">
        <v>17600</v>
      </c>
      <c r="AE10" s="19" t="n">
        <v>32000</v>
      </c>
      <c r="AF10" s="20" t="n">
        <v>13</v>
      </c>
      <c r="AG10" s="20" t="n">
        <v>11</v>
      </c>
      <c r="AH10" s="20" t="n">
        <v>18</v>
      </c>
      <c r="AI10" s="19" t="n">
        <v>20800</v>
      </c>
      <c r="AJ10" s="19" t="n">
        <v>17600</v>
      </c>
      <c r="AK10" s="19" t="n">
        <v>28800</v>
      </c>
      <c r="AL10" s="20" t="n">
        <v>16</v>
      </c>
      <c r="AM10" s="20" t="n">
        <v>11</v>
      </c>
      <c r="AN10" s="20" t="n">
        <v>25</v>
      </c>
      <c r="AO10" s="19" t="n">
        <v>25600</v>
      </c>
      <c r="AP10" s="19" t="n">
        <v>17600</v>
      </c>
      <c r="AQ10" s="19" t="n">
        <v>40000</v>
      </c>
      <c r="AR10" s="19" t="n">
        <v>-1995240</v>
      </c>
      <c r="AS10" s="19" t="n">
        <v>-547080</v>
      </c>
      <c r="AT10" s="19" t="n">
        <v>226944</v>
      </c>
      <c r="AU10" s="19" t="n">
        <v>-1675104</v>
      </c>
      <c r="AV10" s="19" t="n">
        <v>9517715</v>
      </c>
      <c r="AW10" s="19" t="n">
        <v>1566016</v>
      </c>
      <c r="AX10" s="19" t="n">
        <v>1388651</v>
      </c>
      <c r="AY10" s="19" t="n">
        <v>6573048</v>
      </c>
    </row>
    <row r="11" customFormat="false" ht="12.8" hidden="false" customHeight="false" outlineLevel="0" collapsed="false">
      <c r="A11" s="15" t="n">
        <v>8</v>
      </c>
      <c r="B11" s="15" t="s">
        <v>82</v>
      </c>
      <c r="C11" s="15" t="s">
        <v>79</v>
      </c>
      <c r="D11" s="16" t="n">
        <v>1376</v>
      </c>
      <c r="E11" s="16" t="n">
        <v>238</v>
      </c>
      <c r="F11" s="16" t="n">
        <v>235</v>
      </c>
      <c r="G11" s="16" t="n">
        <v>903</v>
      </c>
      <c r="H11" s="17" t="n">
        <v>0.8697</v>
      </c>
      <c r="I11" s="17" t="n">
        <v>0.716</v>
      </c>
      <c r="J11" s="17" t="n">
        <v>0.766</v>
      </c>
      <c r="K11" s="17" t="n">
        <v>0.924</v>
      </c>
      <c r="L11" s="17" t="n">
        <v>0.1303</v>
      </c>
      <c r="M11" s="17" t="n">
        <v>0.284</v>
      </c>
      <c r="N11" s="17" t="n">
        <v>0.234</v>
      </c>
      <c r="O11" s="17" t="n">
        <v>0.076</v>
      </c>
      <c r="P11" s="17" t="n">
        <v>0.1135</v>
      </c>
      <c r="Q11" s="17" t="n">
        <v>0.11</v>
      </c>
      <c r="R11" s="17" t="n">
        <v>0.11</v>
      </c>
      <c r="S11" s="17" t="n">
        <v>0.115</v>
      </c>
      <c r="T11" s="18" t="n">
        <v>12.5</v>
      </c>
      <c r="U11" s="18" t="n">
        <v>11</v>
      </c>
      <c r="V11" s="18" t="n">
        <v>25</v>
      </c>
      <c r="W11" s="19" t="n">
        <v>20000</v>
      </c>
      <c r="X11" s="19" t="n">
        <v>17600</v>
      </c>
      <c r="Y11" s="19" t="n">
        <v>40000</v>
      </c>
      <c r="Z11" s="20" t="n">
        <v>12.5</v>
      </c>
      <c r="AA11" s="20" t="n">
        <v>11</v>
      </c>
      <c r="AB11" s="20" t="n">
        <v>20</v>
      </c>
      <c r="AC11" s="19" t="n">
        <v>20000</v>
      </c>
      <c r="AD11" s="19" t="n">
        <v>17600</v>
      </c>
      <c r="AE11" s="19" t="n">
        <v>32000</v>
      </c>
      <c r="AF11" s="20" t="n">
        <v>11</v>
      </c>
      <c r="AG11" s="20" t="n">
        <v>11</v>
      </c>
      <c r="AH11" s="20" t="n">
        <v>18</v>
      </c>
      <c r="AI11" s="19" t="n">
        <v>17600</v>
      </c>
      <c r="AJ11" s="19" t="n">
        <v>17600</v>
      </c>
      <c r="AK11" s="19" t="n">
        <v>28800</v>
      </c>
      <c r="AL11" s="20" t="n">
        <v>14</v>
      </c>
      <c r="AM11" s="20" t="n">
        <v>11</v>
      </c>
      <c r="AN11" s="20" t="n">
        <v>25</v>
      </c>
      <c r="AO11" s="19" t="n">
        <v>22400</v>
      </c>
      <c r="AP11" s="19" t="n">
        <v>17600</v>
      </c>
      <c r="AQ11" s="19" t="n">
        <v>40000</v>
      </c>
      <c r="AR11" s="19" t="n">
        <v>-1515680</v>
      </c>
      <c r="AS11" s="19" t="n">
        <v>-371448</v>
      </c>
      <c r="AT11" s="19" t="n">
        <v>47024</v>
      </c>
      <c r="AU11" s="19" t="n">
        <v>-1191256</v>
      </c>
      <c r="AV11" s="19" t="n">
        <v>4456290</v>
      </c>
      <c r="AW11" s="19" t="n">
        <v>728864</v>
      </c>
      <c r="AX11" s="19" t="n">
        <v>633248</v>
      </c>
      <c r="AY11" s="19" t="n">
        <v>3094178</v>
      </c>
    </row>
    <row r="12" customFormat="false" ht="12.8" hidden="false" customHeight="false" outlineLevel="0" collapsed="false">
      <c r="A12" s="15" t="n">
        <v>9</v>
      </c>
      <c r="B12" s="15" t="s">
        <v>83</v>
      </c>
      <c r="C12" s="15" t="s">
        <v>78</v>
      </c>
      <c r="D12" s="16" t="n">
        <v>5344</v>
      </c>
      <c r="E12" s="16" t="n">
        <v>800</v>
      </c>
      <c r="F12" s="16" t="n">
        <v>401</v>
      </c>
      <c r="G12" s="16" t="n">
        <v>4143</v>
      </c>
      <c r="H12" s="17" t="n">
        <v>0.9179</v>
      </c>
      <c r="I12" s="17" t="n">
        <v>0.76</v>
      </c>
      <c r="J12" s="17" t="n">
        <v>0.81</v>
      </c>
      <c r="K12" s="17" t="n">
        <v>0.95</v>
      </c>
      <c r="L12" s="17" t="n">
        <v>0.0821</v>
      </c>
      <c r="M12" s="17" t="n">
        <v>0.24</v>
      </c>
      <c r="N12" s="17" t="n">
        <v>0.19</v>
      </c>
      <c r="O12" s="17" t="n">
        <v>0.05</v>
      </c>
      <c r="P12" s="17" t="n">
        <v>0.1022</v>
      </c>
      <c r="Q12" s="17" t="n">
        <v>0.09</v>
      </c>
      <c r="R12" s="17" t="n">
        <v>0.09</v>
      </c>
      <c r="S12" s="17" t="n">
        <v>0.105</v>
      </c>
      <c r="T12" s="18" t="n">
        <v>22</v>
      </c>
      <c r="U12" s="18" t="n">
        <v>11</v>
      </c>
      <c r="V12" s="18" t="n">
        <v>40</v>
      </c>
      <c r="W12" s="19" t="n">
        <v>42900</v>
      </c>
      <c r="X12" s="19" t="n">
        <v>21450</v>
      </c>
      <c r="Y12" s="19" t="n">
        <v>78000</v>
      </c>
      <c r="Z12" s="20" t="n">
        <v>22</v>
      </c>
      <c r="AA12" s="20" t="n">
        <v>11.5</v>
      </c>
      <c r="AB12" s="20" t="n">
        <v>35</v>
      </c>
      <c r="AC12" s="19" t="n">
        <v>42900</v>
      </c>
      <c r="AD12" s="19" t="n">
        <v>22425</v>
      </c>
      <c r="AE12" s="19" t="n">
        <v>68250</v>
      </c>
      <c r="AF12" s="20" t="n">
        <v>20</v>
      </c>
      <c r="AG12" s="20" t="n">
        <v>11</v>
      </c>
      <c r="AH12" s="20" t="n">
        <v>30</v>
      </c>
      <c r="AI12" s="19" t="n">
        <v>39000</v>
      </c>
      <c r="AJ12" s="19" t="n">
        <v>21450</v>
      </c>
      <c r="AK12" s="19" t="n">
        <v>58500</v>
      </c>
      <c r="AL12" s="20" t="n">
        <v>24</v>
      </c>
      <c r="AM12" s="20" t="n">
        <v>11</v>
      </c>
      <c r="AN12" s="20" t="n">
        <v>45</v>
      </c>
      <c r="AO12" s="19" t="n">
        <v>46800</v>
      </c>
      <c r="AP12" s="19" t="n">
        <v>21450</v>
      </c>
      <c r="AQ12" s="19" t="n">
        <v>87750</v>
      </c>
      <c r="AR12" s="19" t="n">
        <v>8048149</v>
      </c>
      <c r="AS12" s="19" t="n">
        <v>822432</v>
      </c>
      <c r="AT12" s="19" t="n">
        <v>1027408</v>
      </c>
      <c r="AU12" s="19" t="n">
        <v>6198309</v>
      </c>
      <c r="AV12" s="19" t="n">
        <v>37315841</v>
      </c>
      <c r="AW12" s="19" t="n">
        <v>5251900</v>
      </c>
      <c r="AX12" s="19" t="n">
        <v>2395232</v>
      </c>
      <c r="AY12" s="19" t="n">
        <v>31768709</v>
      </c>
    </row>
    <row r="13" customFormat="false" ht="12.8" hidden="false" customHeight="false" outlineLevel="0" collapsed="false">
      <c r="A13" s="15" t="n">
        <v>10</v>
      </c>
      <c r="B13" s="15" t="s">
        <v>83</v>
      </c>
      <c r="C13" s="15" t="s">
        <v>79</v>
      </c>
      <c r="D13" s="16" t="n">
        <v>2881</v>
      </c>
      <c r="E13" s="16" t="n">
        <v>384</v>
      </c>
      <c r="F13" s="16" t="n">
        <v>216</v>
      </c>
      <c r="G13" s="16" t="n">
        <v>2281</v>
      </c>
      <c r="H13" s="17" t="n">
        <v>0.9179</v>
      </c>
      <c r="I13" s="17" t="n">
        <v>0.76</v>
      </c>
      <c r="J13" s="17" t="n">
        <v>0.81</v>
      </c>
      <c r="K13" s="17" t="n">
        <v>0.95</v>
      </c>
      <c r="L13" s="17" t="n">
        <v>0.0821</v>
      </c>
      <c r="M13" s="17" t="n">
        <v>0.24</v>
      </c>
      <c r="N13" s="17" t="n">
        <v>0.19</v>
      </c>
      <c r="O13" s="17" t="n">
        <v>0.05</v>
      </c>
      <c r="P13" s="17" t="n">
        <v>0.1022</v>
      </c>
      <c r="Q13" s="17" t="n">
        <v>0.09</v>
      </c>
      <c r="R13" s="17" t="n">
        <v>0.09</v>
      </c>
      <c r="S13" s="17" t="n">
        <v>0.105</v>
      </c>
      <c r="T13" s="18" t="n">
        <v>20</v>
      </c>
      <c r="U13" s="18" t="n">
        <v>11</v>
      </c>
      <c r="V13" s="18" t="n">
        <v>40</v>
      </c>
      <c r="W13" s="19" t="n">
        <v>36000</v>
      </c>
      <c r="X13" s="19" t="n">
        <v>19800</v>
      </c>
      <c r="Y13" s="19" t="n">
        <v>72000</v>
      </c>
      <c r="Z13" s="20" t="n">
        <v>20</v>
      </c>
      <c r="AA13" s="20" t="n">
        <v>11.5</v>
      </c>
      <c r="AB13" s="20" t="n">
        <v>35</v>
      </c>
      <c r="AC13" s="19" t="n">
        <v>36000</v>
      </c>
      <c r="AD13" s="19" t="n">
        <v>22425</v>
      </c>
      <c r="AE13" s="19" t="n">
        <v>63000</v>
      </c>
      <c r="AF13" s="20" t="n">
        <v>18</v>
      </c>
      <c r="AG13" s="20" t="n">
        <v>11</v>
      </c>
      <c r="AH13" s="20" t="n">
        <v>30</v>
      </c>
      <c r="AI13" s="19" t="n">
        <v>32400</v>
      </c>
      <c r="AJ13" s="19" t="n">
        <v>19800</v>
      </c>
      <c r="AK13" s="19" t="n">
        <v>54000</v>
      </c>
      <c r="AL13" s="20" t="n">
        <v>22</v>
      </c>
      <c r="AM13" s="20" t="n">
        <v>11</v>
      </c>
      <c r="AN13" s="20" t="n">
        <v>45</v>
      </c>
      <c r="AO13" s="19" t="n">
        <v>39600</v>
      </c>
      <c r="AP13" s="19" t="n">
        <v>19800</v>
      </c>
      <c r="AQ13" s="19" t="n">
        <v>81000</v>
      </c>
      <c r="AR13" s="19" t="n">
        <v>1881326</v>
      </c>
      <c r="AS13" s="19" t="n">
        <v>86336</v>
      </c>
      <c r="AT13" s="19" t="n">
        <v>382748</v>
      </c>
      <c r="AU13" s="19" t="n">
        <v>1413242</v>
      </c>
      <c r="AV13" s="19" t="n">
        <v>16990767</v>
      </c>
      <c r="AW13" s="19" t="n">
        <v>2376933</v>
      </c>
      <c r="AX13" s="19" t="n">
        <v>1072854</v>
      </c>
      <c r="AY13" s="19" t="n">
        <v>13540980</v>
      </c>
    </row>
    <row r="14" customFormat="false" ht="12.8" hidden="false" customHeight="false" outlineLevel="0" collapsed="false">
      <c r="A14" s="15" t="n">
        <v>11</v>
      </c>
      <c r="B14" s="15" t="s">
        <v>84</v>
      </c>
      <c r="C14" s="15" t="s">
        <v>78</v>
      </c>
      <c r="D14" s="16" t="n">
        <v>3910</v>
      </c>
      <c r="E14" s="16" t="n">
        <v>669</v>
      </c>
      <c r="F14" s="16" t="n">
        <v>325</v>
      </c>
      <c r="G14" s="16" t="n">
        <v>2916</v>
      </c>
      <c r="H14" s="17" t="n">
        <v>0.9077</v>
      </c>
      <c r="I14" s="17" t="n">
        <v>0.75</v>
      </c>
      <c r="J14" s="17" t="n">
        <v>0.8</v>
      </c>
      <c r="K14" s="17" t="n">
        <v>0.945</v>
      </c>
      <c r="L14" s="17" t="n">
        <v>0.0923</v>
      </c>
      <c r="M14" s="17" t="n">
        <v>0.25</v>
      </c>
      <c r="N14" s="17" t="n">
        <v>0.2</v>
      </c>
      <c r="O14" s="17" t="n">
        <v>0.055</v>
      </c>
      <c r="P14" s="17" t="n">
        <v>0.1018</v>
      </c>
      <c r="Q14" s="17" t="n">
        <v>0.09</v>
      </c>
      <c r="R14" s="17" t="n">
        <v>0.09</v>
      </c>
      <c r="S14" s="17" t="n">
        <v>0.105</v>
      </c>
      <c r="T14" s="18" t="n">
        <v>24</v>
      </c>
      <c r="U14" s="18" t="n">
        <v>11</v>
      </c>
      <c r="V14" s="18" t="n">
        <v>40</v>
      </c>
      <c r="W14" s="19" t="n">
        <v>46800</v>
      </c>
      <c r="X14" s="19" t="n">
        <v>21450</v>
      </c>
      <c r="Y14" s="19" t="n">
        <v>78000</v>
      </c>
      <c r="Z14" s="20" t="n">
        <v>24</v>
      </c>
      <c r="AA14" s="20" t="n">
        <v>11.5</v>
      </c>
      <c r="AB14" s="20" t="n">
        <v>35</v>
      </c>
      <c r="AC14" s="19" t="n">
        <v>46800</v>
      </c>
      <c r="AD14" s="19" t="n">
        <v>22425</v>
      </c>
      <c r="AE14" s="19" t="n">
        <v>68250</v>
      </c>
      <c r="AF14" s="20" t="n">
        <v>22</v>
      </c>
      <c r="AG14" s="20" t="n">
        <v>11</v>
      </c>
      <c r="AH14" s="20" t="n">
        <v>30</v>
      </c>
      <c r="AI14" s="19" t="n">
        <v>42900</v>
      </c>
      <c r="AJ14" s="19" t="n">
        <v>21450</v>
      </c>
      <c r="AK14" s="19" t="n">
        <v>58500</v>
      </c>
      <c r="AL14" s="20" t="n">
        <v>26</v>
      </c>
      <c r="AM14" s="20" t="n">
        <v>11</v>
      </c>
      <c r="AN14" s="20" t="n">
        <v>45</v>
      </c>
      <c r="AO14" s="19" t="n">
        <v>50700</v>
      </c>
      <c r="AP14" s="19" t="n">
        <v>21450</v>
      </c>
      <c r="AQ14" s="19" t="n">
        <v>87750</v>
      </c>
      <c r="AR14" s="19" t="n">
        <v>7712496</v>
      </c>
      <c r="AS14" s="19" t="n">
        <v>1000400</v>
      </c>
      <c r="AT14" s="19" t="n">
        <v>984000</v>
      </c>
      <c r="AU14" s="19" t="n">
        <v>5728096</v>
      </c>
      <c r="AV14" s="19" t="n">
        <v>29544584</v>
      </c>
      <c r="AW14" s="19" t="n">
        <v>4787744</v>
      </c>
      <c r="AX14" s="19" t="n">
        <v>2132339</v>
      </c>
      <c r="AY14" s="19" t="n">
        <v>24574501</v>
      </c>
    </row>
    <row r="15" customFormat="false" ht="12.8" hidden="false" customHeight="false" outlineLevel="0" collapsed="false">
      <c r="A15" s="15" t="n">
        <v>12</v>
      </c>
      <c r="B15" s="15" t="s">
        <v>84</v>
      </c>
      <c r="C15" s="15" t="s">
        <v>79</v>
      </c>
      <c r="D15" s="16" t="n">
        <v>2109</v>
      </c>
      <c r="E15" s="16" t="n">
        <v>360</v>
      </c>
      <c r="F15" s="16" t="n">
        <v>175</v>
      </c>
      <c r="G15" s="16" t="n">
        <v>1574</v>
      </c>
      <c r="H15" s="17" t="n">
        <v>0.9077</v>
      </c>
      <c r="I15" s="17" t="n">
        <v>0.75</v>
      </c>
      <c r="J15" s="17" t="n">
        <v>0.8</v>
      </c>
      <c r="K15" s="17" t="n">
        <v>0.945</v>
      </c>
      <c r="L15" s="17" t="n">
        <v>0.0923</v>
      </c>
      <c r="M15" s="17" t="n">
        <v>0.25</v>
      </c>
      <c r="N15" s="17" t="n">
        <v>0.2</v>
      </c>
      <c r="O15" s="17" t="n">
        <v>0.055</v>
      </c>
      <c r="P15" s="17" t="n">
        <v>0.1018</v>
      </c>
      <c r="Q15" s="17" t="n">
        <v>0.09</v>
      </c>
      <c r="R15" s="17" t="n">
        <v>0.09</v>
      </c>
      <c r="S15" s="17" t="n">
        <v>0.105</v>
      </c>
      <c r="T15" s="18" t="n">
        <v>22</v>
      </c>
      <c r="U15" s="18" t="n">
        <v>11</v>
      </c>
      <c r="V15" s="18" t="n">
        <v>40</v>
      </c>
      <c r="W15" s="19" t="n">
        <v>39600</v>
      </c>
      <c r="X15" s="19" t="n">
        <v>19800</v>
      </c>
      <c r="Y15" s="19" t="n">
        <v>72000</v>
      </c>
      <c r="Z15" s="20" t="n">
        <v>22</v>
      </c>
      <c r="AA15" s="20" t="n">
        <v>11.5</v>
      </c>
      <c r="AB15" s="20" t="n">
        <v>35</v>
      </c>
      <c r="AC15" s="19" t="n">
        <v>39600</v>
      </c>
      <c r="AD15" s="19" t="n">
        <v>22425</v>
      </c>
      <c r="AE15" s="19" t="n">
        <v>63000</v>
      </c>
      <c r="AF15" s="20" t="n">
        <v>20</v>
      </c>
      <c r="AG15" s="20" t="n">
        <v>11</v>
      </c>
      <c r="AH15" s="20" t="n">
        <v>30</v>
      </c>
      <c r="AI15" s="19" t="n">
        <v>36000</v>
      </c>
      <c r="AJ15" s="19" t="n">
        <v>19800</v>
      </c>
      <c r="AK15" s="19" t="n">
        <v>54000</v>
      </c>
      <c r="AL15" s="20" t="n">
        <v>24</v>
      </c>
      <c r="AM15" s="20" t="n">
        <v>11</v>
      </c>
      <c r="AN15" s="20" t="n">
        <v>45</v>
      </c>
      <c r="AO15" s="19" t="n">
        <v>43200</v>
      </c>
      <c r="AP15" s="19" t="n">
        <v>19800</v>
      </c>
      <c r="AQ15" s="19" t="n">
        <v>81000</v>
      </c>
      <c r="AR15" s="19" t="n">
        <v>2288704</v>
      </c>
      <c r="AS15" s="19" t="n">
        <v>227952</v>
      </c>
      <c r="AT15" s="19" t="n">
        <v>385440</v>
      </c>
      <c r="AU15" s="19" t="n">
        <v>1675312</v>
      </c>
      <c r="AV15" s="19" t="n">
        <v>13553228</v>
      </c>
      <c r="AW15" s="19" t="n">
        <v>2184934</v>
      </c>
      <c r="AX15" s="19" t="n">
        <v>965234</v>
      </c>
      <c r="AY15" s="19" t="n">
        <v>10403060</v>
      </c>
    </row>
    <row r="16" customFormat="false" ht="12.8" hidden="false" customHeight="false" outlineLevel="0" collapsed="false">
      <c r="A16" s="15" t="n">
        <v>13</v>
      </c>
      <c r="B16" s="15" t="s">
        <v>85</v>
      </c>
      <c r="C16" s="15" t="s">
        <v>78</v>
      </c>
      <c r="D16" s="16" t="n">
        <v>5745</v>
      </c>
      <c r="E16" s="16" t="n">
        <v>553</v>
      </c>
      <c r="F16" s="16" t="n">
        <v>276</v>
      </c>
      <c r="G16" s="16" t="n">
        <v>4916</v>
      </c>
      <c r="H16" s="17" t="n">
        <v>0.8849</v>
      </c>
      <c r="I16" s="17" t="n">
        <v>0.698</v>
      </c>
      <c r="J16" s="17" t="n">
        <v>0.748</v>
      </c>
      <c r="K16" s="17" t="n">
        <v>0.908</v>
      </c>
      <c r="L16" s="17" t="n">
        <v>0.1151</v>
      </c>
      <c r="M16" s="17" t="n">
        <v>0.302</v>
      </c>
      <c r="N16" s="17" t="n">
        <v>0.252</v>
      </c>
      <c r="O16" s="17" t="n">
        <v>0.092</v>
      </c>
      <c r="P16" s="17" t="n">
        <v>0.1144</v>
      </c>
      <c r="Q16" s="17" t="n">
        <v>0.11</v>
      </c>
      <c r="R16" s="17" t="n">
        <v>0.11</v>
      </c>
      <c r="S16" s="17" t="n">
        <v>0.115</v>
      </c>
      <c r="T16" s="18" t="n">
        <v>15</v>
      </c>
      <c r="U16" s="18" t="n">
        <v>11</v>
      </c>
      <c r="V16" s="18" t="n">
        <v>25</v>
      </c>
      <c r="W16" s="19" t="n">
        <v>25500</v>
      </c>
      <c r="X16" s="19" t="n">
        <v>18700</v>
      </c>
      <c r="Y16" s="19" t="n">
        <v>42500</v>
      </c>
      <c r="Z16" s="20" t="n">
        <v>15</v>
      </c>
      <c r="AA16" s="20" t="n">
        <v>11</v>
      </c>
      <c r="AB16" s="20" t="n">
        <v>20</v>
      </c>
      <c r="AC16" s="19" t="n">
        <v>25500</v>
      </c>
      <c r="AD16" s="19" t="n">
        <v>18700</v>
      </c>
      <c r="AE16" s="19" t="n">
        <v>34000</v>
      </c>
      <c r="AF16" s="20" t="n">
        <v>13.5</v>
      </c>
      <c r="AG16" s="20" t="n">
        <v>11</v>
      </c>
      <c r="AH16" s="20" t="n">
        <v>18</v>
      </c>
      <c r="AI16" s="19" t="n">
        <v>22950</v>
      </c>
      <c r="AJ16" s="19" t="n">
        <v>18700</v>
      </c>
      <c r="AK16" s="19" t="n">
        <v>30600</v>
      </c>
      <c r="AL16" s="20" t="n">
        <v>17</v>
      </c>
      <c r="AM16" s="20" t="n">
        <v>11</v>
      </c>
      <c r="AN16" s="20" t="n">
        <v>25</v>
      </c>
      <c r="AO16" s="19" t="n">
        <v>28900</v>
      </c>
      <c r="AP16" s="19" t="n">
        <v>18700</v>
      </c>
      <c r="AQ16" s="19" t="n">
        <v>42500</v>
      </c>
      <c r="AR16" s="19" t="n">
        <v>-3558876</v>
      </c>
      <c r="AS16" s="19" t="n">
        <v>-559068</v>
      </c>
      <c r="AT16" s="19" t="n">
        <v>203172</v>
      </c>
      <c r="AU16" s="19" t="n">
        <v>-3200980</v>
      </c>
      <c r="AV16" s="19" t="n">
        <v>24864658</v>
      </c>
      <c r="AW16" s="19" t="n">
        <v>2159616</v>
      </c>
      <c r="AX16" s="19" t="n">
        <v>970501</v>
      </c>
      <c r="AY16" s="19" t="n">
        <v>21724541</v>
      </c>
    </row>
    <row r="17" customFormat="false" ht="12.8" hidden="false" customHeight="false" outlineLevel="0" collapsed="false">
      <c r="A17" s="15" t="n">
        <v>14</v>
      </c>
      <c r="B17" s="15" t="s">
        <v>85</v>
      </c>
      <c r="C17" s="15" t="s">
        <v>79</v>
      </c>
      <c r="D17" s="16" t="n">
        <v>3097</v>
      </c>
      <c r="E17" s="16" t="n">
        <v>298</v>
      </c>
      <c r="F17" s="16" t="n">
        <v>149</v>
      </c>
      <c r="G17" s="16" t="n">
        <v>2650</v>
      </c>
      <c r="H17" s="17" t="n">
        <v>0.8849</v>
      </c>
      <c r="I17" s="17" t="n">
        <v>0.698</v>
      </c>
      <c r="J17" s="17" t="n">
        <v>0.748</v>
      </c>
      <c r="K17" s="17" t="n">
        <v>0.908</v>
      </c>
      <c r="L17" s="17" t="n">
        <v>0.1151</v>
      </c>
      <c r="M17" s="17" t="n">
        <v>0.302</v>
      </c>
      <c r="N17" s="17" t="n">
        <v>0.252</v>
      </c>
      <c r="O17" s="17" t="n">
        <v>0.092</v>
      </c>
      <c r="P17" s="17" t="n">
        <v>0.1144</v>
      </c>
      <c r="Q17" s="17" t="n">
        <v>0.11</v>
      </c>
      <c r="R17" s="17" t="n">
        <v>0.11</v>
      </c>
      <c r="S17" s="17" t="n">
        <v>0.115</v>
      </c>
      <c r="T17" s="18" t="n">
        <v>13.5</v>
      </c>
      <c r="U17" s="18" t="n">
        <v>11</v>
      </c>
      <c r="V17" s="18" t="n">
        <v>25</v>
      </c>
      <c r="W17" s="19" t="n">
        <v>22950</v>
      </c>
      <c r="X17" s="19" t="n">
        <v>18700</v>
      </c>
      <c r="Y17" s="19" t="n">
        <v>42500</v>
      </c>
      <c r="Z17" s="20" t="n">
        <v>13.5</v>
      </c>
      <c r="AA17" s="20" t="n">
        <v>11</v>
      </c>
      <c r="AB17" s="20" t="n">
        <v>20</v>
      </c>
      <c r="AC17" s="19" t="n">
        <v>22950</v>
      </c>
      <c r="AD17" s="19" t="n">
        <v>18700</v>
      </c>
      <c r="AE17" s="19" t="n">
        <v>34000</v>
      </c>
      <c r="AF17" s="20" t="n">
        <v>12</v>
      </c>
      <c r="AG17" s="20" t="n">
        <v>11</v>
      </c>
      <c r="AH17" s="20" t="n">
        <v>18</v>
      </c>
      <c r="AI17" s="19" t="n">
        <v>20400</v>
      </c>
      <c r="AJ17" s="19" t="n">
        <v>18700</v>
      </c>
      <c r="AK17" s="19" t="n">
        <v>30600</v>
      </c>
      <c r="AL17" s="20" t="n">
        <v>15</v>
      </c>
      <c r="AM17" s="20" t="n">
        <v>11</v>
      </c>
      <c r="AN17" s="20" t="n">
        <v>25</v>
      </c>
      <c r="AO17" s="19" t="n">
        <v>25500</v>
      </c>
      <c r="AP17" s="19" t="n">
        <v>18700</v>
      </c>
      <c r="AQ17" s="19" t="n">
        <v>42500</v>
      </c>
      <c r="AR17" s="19" t="n">
        <v>-2982060</v>
      </c>
      <c r="AS17" s="19" t="n">
        <v>-377388</v>
      </c>
      <c r="AT17" s="19" t="n">
        <v>71616</v>
      </c>
      <c r="AU17" s="19" t="n">
        <v>-2679288</v>
      </c>
      <c r="AV17" s="19" t="n">
        <v>11852893</v>
      </c>
      <c r="AW17" s="19" t="n">
        <v>1047552</v>
      </c>
      <c r="AX17" s="19" t="n">
        <v>465533</v>
      </c>
      <c r="AY17" s="19" t="n">
        <v>10339808</v>
      </c>
    </row>
    <row r="18" customFormat="false" ht="12.8" hidden="false" customHeight="false" outlineLevel="0" collapsed="false">
      <c r="A18" s="15" t="n">
        <v>15</v>
      </c>
      <c r="B18" s="15" t="s">
        <v>86</v>
      </c>
      <c r="C18" s="15" t="s">
        <v>78</v>
      </c>
      <c r="D18" s="16" t="n">
        <v>2074</v>
      </c>
      <c r="E18" s="16" t="n">
        <v>311</v>
      </c>
      <c r="F18" s="16" t="n">
        <v>311</v>
      </c>
      <c r="G18" s="16" t="n">
        <v>1452</v>
      </c>
      <c r="H18" s="17" t="n">
        <v>0.8776</v>
      </c>
      <c r="I18" s="17" t="n">
        <v>0.73</v>
      </c>
      <c r="J18" s="17" t="n">
        <v>0.78</v>
      </c>
      <c r="K18" s="17" t="n">
        <v>0.92</v>
      </c>
      <c r="L18" s="17" t="n">
        <v>0.1224</v>
      </c>
      <c r="M18" s="17" t="n">
        <v>0.27</v>
      </c>
      <c r="N18" s="17" t="n">
        <v>0.22</v>
      </c>
      <c r="O18" s="17" t="n">
        <v>0.08</v>
      </c>
      <c r="P18" s="17" t="n">
        <v>0.1037</v>
      </c>
      <c r="Q18" s="17" t="n">
        <v>0.1</v>
      </c>
      <c r="R18" s="17" t="n">
        <v>0.1</v>
      </c>
      <c r="S18" s="17" t="n">
        <v>0.105</v>
      </c>
      <c r="T18" s="18" t="n">
        <v>18</v>
      </c>
      <c r="U18" s="18" t="n">
        <v>11</v>
      </c>
      <c r="V18" s="18" t="n">
        <v>25</v>
      </c>
      <c r="W18" s="19" t="n">
        <v>29700</v>
      </c>
      <c r="X18" s="19" t="n">
        <v>18150</v>
      </c>
      <c r="Y18" s="19" t="n">
        <v>41250</v>
      </c>
      <c r="Z18" s="20" t="n">
        <v>18</v>
      </c>
      <c r="AA18" s="20" t="n">
        <v>11</v>
      </c>
      <c r="AB18" s="20" t="n">
        <v>20</v>
      </c>
      <c r="AC18" s="19" t="n">
        <v>29700</v>
      </c>
      <c r="AD18" s="19" t="n">
        <v>18150</v>
      </c>
      <c r="AE18" s="19" t="n">
        <v>33000</v>
      </c>
      <c r="AF18" s="20" t="n">
        <v>16.5</v>
      </c>
      <c r="AG18" s="20" t="n">
        <v>11</v>
      </c>
      <c r="AH18" s="20" t="n">
        <v>18</v>
      </c>
      <c r="AI18" s="19" t="n">
        <v>27225</v>
      </c>
      <c r="AJ18" s="19" t="n">
        <v>18150</v>
      </c>
      <c r="AK18" s="19" t="n">
        <v>29700</v>
      </c>
      <c r="AL18" s="20" t="n">
        <v>20</v>
      </c>
      <c r="AM18" s="20" t="n">
        <v>11</v>
      </c>
      <c r="AN18" s="20" t="n">
        <v>25</v>
      </c>
      <c r="AO18" s="19" t="n">
        <v>33000</v>
      </c>
      <c r="AP18" s="19" t="n">
        <v>18150</v>
      </c>
      <c r="AQ18" s="19" t="n">
        <v>41250</v>
      </c>
      <c r="AR18" s="19" t="n">
        <v>-43878</v>
      </c>
      <c r="AS18" s="19" t="n">
        <v>-172930</v>
      </c>
      <c r="AT18" s="19" t="n">
        <v>361410</v>
      </c>
      <c r="AU18" s="19" t="n">
        <v>-232358</v>
      </c>
      <c r="AV18" s="19" t="n">
        <v>10042253</v>
      </c>
      <c r="AW18" s="19" t="n">
        <v>1413220</v>
      </c>
      <c r="AX18" s="19" t="n">
        <v>1295489</v>
      </c>
      <c r="AY18" s="19" t="n">
        <v>7733544</v>
      </c>
    </row>
    <row r="19" customFormat="false" ht="12.8" hidden="false" customHeight="false" outlineLevel="0" collapsed="false">
      <c r="A19" s="15" t="n">
        <v>16</v>
      </c>
      <c r="B19" s="15" t="s">
        <v>86</v>
      </c>
      <c r="C19" s="15" t="s">
        <v>79</v>
      </c>
      <c r="D19" s="16" t="n">
        <v>1119</v>
      </c>
      <c r="E19" s="16" t="n">
        <v>168</v>
      </c>
      <c r="F19" s="16" t="n">
        <v>168</v>
      </c>
      <c r="G19" s="16" t="n">
        <v>783</v>
      </c>
      <c r="H19" s="17" t="n">
        <v>0.8775</v>
      </c>
      <c r="I19" s="17" t="n">
        <v>0.73</v>
      </c>
      <c r="J19" s="17" t="n">
        <v>0.78</v>
      </c>
      <c r="K19" s="17" t="n">
        <v>0.92</v>
      </c>
      <c r="L19" s="17" t="n">
        <v>0.1225</v>
      </c>
      <c r="M19" s="17" t="n">
        <v>0.27</v>
      </c>
      <c r="N19" s="17" t="n">
        <v>0.22</v>
      </c>
      <c r="O19" s="17" t="n">
        <v>0.08</v>
      </c>
      <c r="P19" s="17" t="n">
        <v>0.1037</v>
      </c>
      <c r="Q19" s="17" t="n">
        <v>0.1</v>
      </c>
      <c r="R19" s="17" t="n">
        <v>0.1</v>
      </c>
      <c r="S19" s="17" t="n">
        <v>0.105</v>
      </c>
      <c r="T19" s="18" t="n">
        <v>16</v>
      </c>
      <c r="U19" s="18" t="n">
        <v>11</v>
      </c>
      <c r="V19" s="18" t="n">
        <v>25</v>
      </c>
      <c r="W19" s="19" t="n">
        <v>26400</v>
      </c>
      <c r="X19" s="19" t="n">
        <v>18150</v>
      </c>
      <c r="Y19" s="19" t="n">
        <v>41250</v>
      </c>
      <c r="Z19" s="20" t="n">
        <v>16</v>
      </c>
      <c r="AA19" s="20" t="n">
        <v>11</v>
      </c>
      <c r="AB19" s="20" t="n">
        <v>20</v>
      </c>
      <c r="AC19" s="19" t="n">
        <v>26400</v>
      </c>
      <c r="AD19" s="19" t="n">
        <v>18150</v>
      </c>
      <c r="AE19" s="19" t="n">
        <v>33000</v>
      </c>
      <c r="AF19" s="20" t="n">
        <v>14.5</v>
      </c>
      <c r="AG19" s="20" t="n">
        <v>11</v>
      </c>
      <c r="AH19" s="20" t="n">
        <v>18</v>
      </c>
      <c r="AI19" s="19" t="n">
        <v>23925</v>
      </c>
      <c r="AJ19" s="19" t="n">
        <v>18150</v>
      </c>
      <c r="AK19" s="19" t="n">
        <v>29700</v>
      </c>
      <c r="AL19" s="20" t="n">
        <v>18</v>
      </c>
      <c r="AM19" s="20" t="n">
        <v>11</v>
      </c>
      <c r="AN19" s="20" t="n">
        <v>25</v>
      </c>
      <c r="AO19" s="19" t="n">
        <v>29700</v>
      </c>
      <c r="AP19" s="19" t="n">
        <v>18150</v>
      </c>
      <c r="AQ19" s="19" t="n">
        <v>41250</v>
      </c>
      <c r="AR19" s="19" t="n">
        <v>-450246</v>
      </c>
      <c r="AS19" s="19" t="n">
        <v>-154520</v>
      </c>
      <c r="AT19" s="19" t="n">
        <v>139802</v>
      </c>
      <c r="AU19" s="19" t="n">
        <v>-435528</v>
      </c>
      <c r="AV19" s="19" t="n">
        <v>4854301</v>
      </c>
      <c r="AW19" s="19" t="n">
        <v>678078</v>
      </c>
      <c r="AX19" s="19" t="n">
        <v>614881</v>
      </c>
      <c r="AY19" s="19" t="n">
        <v>3561342</v>
      </c>
    </row>
    <row r="20" customFormat="false" ht="12.8" hidden="false" customHeight="false" outlineLevel="0" collapsed="false">
      <c r="A20" s="15" t="n">
        <v>17</v>
      </c>
      <c r="B20" s="15" t="s">
        <v>87</v>
      </c>
      <c r="C20" s="15" t="s">
        <v>78</v>
      </c>
      <c r="D20" s="16" t="n">
        <v>1517</v>
      </c>
      <c r="E20" s="16" t="n">
        <v>233</v>
      </c>
      <c r="F20" s="16" t="n">
        <v>103</v>
      </c>
      <c r="G20" s="16" t="n">
        <v>1181</v>
      </c>
      <c r="H20" s="17" t="n">
        <v>0.8843</v>
      </c>
      <c r="I20" s="17" t="n">
        <v>0.715</v>
      </c>
      <c r="J20" s="17" t="n">
        <v>0.765</v>
      </c>
      <c r="K20" s="17" t="n">
        <v>0.918</v>
      </c>
      <c r="L20" s="17" t="n">
        <v>0.1157</v>
      </c>
      <c r="M20" s="17" t="n">
        <v>0.285</v>
      </c>
      <c r="N20" s="17" t="n">
        <v>0.235</v>
      </c>
      <c r="O20" s="17" t="n">
        <v>0.082</v>
      </c>
      <c r="P20" s="17" t="n">
        <v>0.104</v>
      </c>
      <c r="Q20" s="17" t="n">
        <v>0.1</v>
      </c>
      <c r="R20" s="17" t="n">
        <v>0.1</v>
      </c>
      <c r="S20" s="17" t="n">
        <v>0.105</v>
      </c>
      <c r="T20" s="18" t="n">
        <v>20</v>
      </c>
      <c r="U20" s="18" t="n">
        <v>11</v>
      </c>
      <c r="V20" s="18" t="n">
        <v>30</v>
      </c>
      <c r="W20" s="19" t="n">
        <v>36000</v>
      </c>
      <c r="X20" s="19" t="n">
        <v>19800</v>
      </c>
      <c r="Y20" s="19" t="n">
        <v>54000</v>
      </c>
      <c r="Z20" s="20" t="n">
        <v>20</v>
      </c>
      <c r="AA20" s="20" t="n">
        <v>11</v>
      </c>
      <c r="AB20" s="20" t="n">
        <v>25</v>
      </c>
      <c r="AC20" s="19" t="n">
        <v>36000</v>
      </c>
      <c r="AD20" s="19" t="n">
        <v>19800</v>
      </c>
      <c r="AE20" s="19" t="n">
        <v>45000</v>
      </c>
      <c r="AF20" s="20" t="n">
        <v>18</v>
      </c>
      <c r="AG20" s="20" t="n">
        <v>11</v>
      </c>
      <c r="AH20" s="20" t="n">
        <v>22</v>
      </c>
      <c r="AI20" s="19" t="n">
        <v>32400</v>
      </c>
      <c r="AJ20" s="19" t="n">
        <v>19800</v>
      </c>
      <c r="AK20" s="19" t="n">
        <v>39600</v>
      </c>
      <c r="AL20" s="20" t="n">
        <v>22</v>
      </c>
      <c r="AM20" s="20" t="n">
        <v>11</v>
      </c>
      <c r="AN20" s="20" t="n">
        <v>35</v>
      </c>
      <c r="AO20" s="19" t="n">
        <v>39600</v>
      </c>
      <c r="AP20" s="19" t="n">
        <v>19800</v>
      </c>
      <c r="AQ20" s="19" t="n">
        <v>63000</v>
      </c>
      <c r="AR20" s="19" t="n">
        <v>1011744</v>
      </c>
      <c r="AS20" s="19" t="n">
        <v>129920</v>
      </c>
      <c r="AT20" s="19" t="n">
        <v>43520</v>
      </c>
      <c r="AU20" s="19" t="n">
        <v>837304</v>
      </c>
      <c r="AV20" s="19" t="n">
        <v>6820744</v>
      </c>
      <c r="AW20" s="19" t="n">
        <v>1002612</v>
      </c>
      <c r="AX20" s="19" t="n">
        <v>433620</v>
      </c>
      <c r="AY20" s="19" t="n">
        <v>5384512</v>
      </c>
    </row>
    <row r="21" customFormat="false" ht="12.8" hidden="false" customHeight="false" outlineLevel="0" collapsed="false">
      <c r="A21" s="15" t="n">
        <v>18</v>
      </c>
      <c r="B21" s="15" t="s">
        <v>87</v>
      </c>
      <c r="C21" s="15" t="s">
        <v>79</v>
      </c>
      <c r="D21" s="16" t="n">
        <v>818</v>
      </c>
      <c r="E21" s="16" t="n">
        <v>125</v>
      </c>
      <c r="F21" s="16" t="n">
        <v>56</v>
      </c>
      <c r="G21" s="16" t="n">
        <v>637</v>
      </c>
      <c r="H21" s="17" t="n">
        <v>0.8843</v>
      </c>
      <c r="I21" s="17" t="n">
        <v>0.715</v>
      </c>
      <c r="J21" s="17" t="n">
        <v>0.765</v>
      </c>
      <c r="K21" s="17" t="n">
        <v>0.918</v>
      </c>
      <c r="L21" s="17" t="n">
        <v>0.1157</v>
      </c>
      <c r="M21" s="17" t="n">
        <v>0.285</v>
      </c>
      <c r="N21" s="17" t="n">
        <v>0.235</v>
      </c>
      <c r="O21" s="17" t="n">
        <v>0.082</v>
      </c>
      <c r="P21" s="17" t="n">
        <v>0.104</v>
      </c>
      <c r="Q21" s="17" t="n">
        <v>0.1</v>
      </c>
      <c r="R21" s="17" t="n">
        <v>0.1</v>
      </c>
      <c r="S21" s="17" t="n">
        <v>0.105</v>
      </c>
      <c r="T21" s="18" t="n">
        <v>18</v>
      </c>
      <c r="U21" s="18" t="n">
        <v>11</v>
      </c>
      <c r="V21" s="18" t="n">
        <v>30</v>
      </c>
      <c r="W21" s="19" t="n">
        <v>32400</v>
      </c>
      <c r="X21" s="19" t="n">
        <v>19800</v>
      </c>
      <c r="Y21" s="19" t="n">
        <v>54000</v>
      </c>
      <c r="Z21" s="20" t="n">
        <v>18</v>
      </c>
      <c r="AA21" s="20" t="n">
        <v>11</v>
      </c>
      <c r="AB21" s="20" t="n">
        <v>25</v>
      </c>
      <c r="AC21" s="19" t="n">
        <v>32400</v>
      </c>
      <c r="AD21" s="19" t="n">
        <v>19800</v>
      </c>
      <c r="AE21" s="19" t="n">
        <v>45000</v>
      </c>
      <c r="AF21" s="20" t="n">
        <v>16</v>
      </c>
      <c r="AG21" s="20" t="n">
        <v>11</v>
      </c>
      <c r="AH21" s="20" t="n">
        <v>22</v>
      </c>
      <c r="AI21" s="19" t="n">
        <v>28800</v>
      </c>
      <c r="AJ21" s="19" t="n">
        <v>19800</v>
      </c>
      <c r="AK21" s="19" t="n">
        <v>39600</v>
      </c>
      <c r="AL21" s="20" t="n">
        <v>20</v>
      </c>
      <c r="AM21" s="20" t="n">
        <v>11</v>
      </c>
      <c r="AN21" s="20" t="n">
        <v>35</v>
      </c>
      <c r="AO21" s="19" t="n">
        <v>36000</v>
      </c>
      <c r="AP21" s="19" t="n">
        <v>19800</v>
      </c>
      <c r="AQ21" s="19" t="n">
        <v>63000</v>
      </c>
      <c r="AR21" s="19" t="n">
        <v>436104</v>
      </c>
      <c r="AS21" s="19" t="n">
        <v>58320</v>
      </c>
      <c r="AT21" s="19" t="n">
        <v>18592</v>
      </c>
      <c r="AU21" s="19" t="n">
        <v>359192</v>
      </c>
      <c r="AV21" s="19" t="n">
        <v>3049974</v>
      </c>
      <c r="AW21" s="19" t="n">
        <v>450288</v>
      </c>
      <c r="AX21" s="19" t="n">
        <v>194544</v>
      </c>
      <c r="AY21" s="19" t="n">
        <v>2405142</v>
      </c>
    </row>
    <row r="22" customFormat="false" ht="12.8" hidden="false" customHeight="false" outlineLevel="0" collapsed="false">
      <c r="A22" s="15" t="n">
        <v>19</v>
      </c>
      <c r="B22" s="15" t="s">
        <v>88</v>
      </c>
      <c r="C22" s="15" t="s">
        <v>78</v>
      </c>
      <c r="D22" s="16" t="n">
        <v>2800</v>
      </c>
      <c r="E22" s="16" t="n">
        <v>428</v>
      </c>
      <c r="F22" s="16" t="n">
        <v>210</v>
      </c>
      <c r="G22" s="16" t="n">
        <v>2162</v>
      </c>
      <c r="H22" s="17" t="n">
        <v>0.8891</v>
      </c>
      <c r="I22" s="17" t="n">
        <v>0.716</v>
      </c>
      <c r="J22" s="17" t="n">
        <v>0.766</v>
      </c>
      <c r="K22" s="17" t="n">
        <v>0.916</v>
      </c>
      <c r="L22" s="17" t="n">
        <v>0.1109</v>
      </c>
      <c r="M22" s="17" t="n">
        <v>0.284</v>
      </c>
      <c r="N22" s="17" t="n">
        <v>0.234</v>
      </c>
      <c r="O22" s="17" t="n">
        <v>0.084</v>
      </c>
      <c r="P22" s="17" t="n">
        <v>0.1034</v>
      </c>
      <c r="Q22" s="17" t="n">
        <v>0.1</v>
      </c>
      <c r="R22" s="17" t="n">
        <v>0.1</v>
      </c>
      <c r="S22" s="17" t="n">
        <v>0.105</v>
      </c>
      <c r="T22" s="18" t="n">
        <v>20</v>
      </c>
      <c r="U22" s="18" t="n">
        <v>11</v>
      </c>
      <c r="V22" s="18" t="n">
        <v>30</v>
      </c>
      <c r="W22" s="19" t="n">
        <v>36000</v>
      </c>
      <c r="X22" s="19" t="n">
        <v>19800</v>
      </c>
      <c r="Y22" s="19" t="n">
        <v>54000</v>
      </c>
      <c r="Z22" s="20" t="n">
        <v>20</v>
      </c>
      <c r="AA22" s="20" t="n">
        <v>11</v>
      </c>
      <c r="AB22" s="20" t="n">
        <v>25</v>
      </c>
      <c r="AC22" s="19" t="n">
        <v>36000</v>
      </c>
      <c r="AD22" s="19" t="n">
        <v>19800</v>
      </c>
      <c r="AE22" s="19" t="n">
        <v>45000</v>
      </c>
      <c r="AF22" s="20" t="n">
        <v>18</v>
      </c>
      <c r="AG22" s="20" t="n">
        <v>11</v>
      </c>
      <c r="AH22" s="20" t="n">
        <v>22</v>
      </c>
      <c r="AI22" s="19" t="n">
        <v>32400</v>
      </c>
      <c r="AJ22" s="19" t="n">
        <v>19800</v>
      </c>
      <c r="AK22" s="19" t="n">
        <v>39600</v>
      </c>
      <c r="AL22" s="20" t="n">
        <v>22</v>
      </c>
      <c r="AM22" s="20" t="n">
        <v>11</v>
      </c>
      <c r="AN22" s="20" t="n">
        <v>35</v>
      </c>
      <c r="AO22" s="19" t="n">
        <v>39600</v>
      </c>
      <c r="AP22" s="19" t="n">
        <v>19800</v>
      </c>
      <c r="AQ22" s="19" t="n">
        <v>63000</v>
      </c>
      <c r="AR22" s="19" t="n">
        <v>2931600</v>
      </c>
      <c r="AS22" s="19" t="n">
        <v>287280</v>
      </c>
      <c r="AT22" s="19" t="n">
        <v>125160</v>
      </c>
      <c r="AU22" s="19" t="n">
        <v>2519160</v>
      </c>
      <c r="AV22" s="19" t="n">
        <v>11353392</v>
      </c>
      <c r="AW22" s="19" t="n">
        <v>1646592</v>
      </c>
      <c r="AX22" s="19" t="n">
        <v>817740</v>
      </c>
      <c r="AY22" s="19" t="n">
        <v>8889060</v>
      </c>
    </row>
    <row r="23" customFormat="false" ht="12.8" hidden="false" customHeight="false" outlineLevel="0" collapsed="false">
      <c r="A23" s="15" t="n">
        <v>20</v>
      </c>
      <c r="B23" s="15" t="s">
        <v>88</v>
      </c>
      <c r="C23" s="15" t="s">
        <v>79</v>
      </c>
      <c r="D23" s="16" t="n">
        <v>1510</v>
      </c>
      <c r="E23" s="16" t="n">
        <v>231</v>
      </c>
      <c r="F23" s="16" t="n">
        <v>113</v>
      </c>
      <c r="G23" s="16" t="n">
        <v>1166</v>
      </c>
      <c r="H23" s="17" t="n">
        <v>0.8891</v>
      </c>
      <c r="I23" s="17" t="n">
        <v>0.716</v>
      </c>
      <c r="J23" s="17" t="n">
        <v>0.766</v>
      </c>
      <c r="K23" s="17" t="n">
        <v>0.916</v>
      </c>
      <c r="L23" s="17" t="n">
        <v>0.1109</v>
      </c>
      <c r="M23" s="17" t="n">
        <v>0.284</v>
      </c>
      <c r="N23" s="17" t="n">
        <v>0.234</v>
      </c>
      <c r="O23" s="17" t="n">
        <v>0.084</v>
      </c>
      <c r="P23" s="17" t="n">
        <v>0.1034</v>
      </c>
      <c r="Q23" s="17" t="n">
        <v>0.1</v>
      </c>
      <c r="R23" s="17" t="n">
        <v>0.1</v>
      </c>
      <c r="S23" s="17" t="n">
        <v>0.105</v>
      </c>
      <c r="T23" s="18" t="n">
        <v>18</v>
      </c>
      <c r="U23" s="18" t="n">
        <v>11</v>
      </c>
      <c r="V23" s="18" t="n">
        <v>30</v>
      </c>
      <c r="W23" s="19" t="n">
        <v>32400</v>
      </c>
      <c r="X23" s="19" t="n">
        <v>19800</v>
      </c>
      <c r="Y23" s="19" t="n">
        <v>54000</v>
      </c>
      <c r="Z23" s="20" t="n">
        <v>18</v>
      </c>
      <c r="AA23" s="20" t="n">
        <v>11</v>
      </c>
      <c r="AB23" s="20" t="n">
        <v>25</v>
      </c>
      <c r="AC23" s="19" t="n">
        <v>32400</v>
      </c>
      <c r="AD23" s="19" t="n">
        <v>19800</v>
      </c>
      <c r="AE23" s="19" t="n">
        <v>45000</v>
      </c>
      <c r="AF23" s="20" t="n">
        <v>16</v>
      </c>
      <c r="AG23" s="20" t="n">
        <v>11</v>
      </c>
      <c r="AH23" s="20" t="n">
        <v>22</v>
      </c>
      <c r="AI23" s="19" t="n">
        <v>28800</v>
      </c>
      <c r="AJ23" s="19" t="n">
        <v>19800</v>
      </c>
      <c r="AK23" s="19" t="n">
        <v>39600</v>
      </c>
      <c r="AL23" s="20" t="n">
        <v>20</v>
      </c>
      <c r="AM23" s="20" t="n">
        <v>11</v>
      </c>
      <c r="AN23" s="20" t="n">
        <v>35</v>
      </c>
      <c r="AO23" s="19" t="n">
        <v>36000</v>
      </c>
      <c r="AP23" s="19" t="n">
        <v>19800</v>
      </c>
      <c r="AQ23" s="19" t="n">
        <v>63000</v>
      </c>
      <c r="AR23" s="19" t="n">
        <v>1315440</v>
      </c>
      <c r="AS23" s="19" t="n">
        <v>129360</v>
      </c>
      <c r="AT23" s="19" t="n">
        <v>53280</v>
      </c>
      <c r="AU23" s="19" t="n">
        <v>1177800</v>
      </c>
      <c r="AV23" s="19" t="n">
        <v>5090616</v>
      </c>
      <c r="AW23" s="19" t="n">
        <v>741960</v>
      </c>
      <c r="AX23" s="19" t="n">
        <v>366912</v>
      </c>
      <c r="AY23" s="19" t="n">
        <v>4287744</v>
      </c>
    </row>
    <row r="24" customFormat="false" ht="12.8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customFormat="false" ht="12.8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customFormat="false" ht="12.8" hidden="false" customHeight="false" outlineLevel="0" collapsed="false">
      <c r="A26" s="4" t="s">
        <v>160</v>
      </c>
      <c r="B26" s="27" t="s">
        <v>159</v>
      </c>
      <c r="C26" s="4" t="s">
        <v>144</v>
      </c>
    </row>
    <row r="27" customFormat="false" ht="23.85" hidden="false" customHeight="false" outlineLevel="0" collapsed="false">
      <c r="A27" s="4" t="s">
        <v>15</v>
      </c>
      <c r="B27" s="14" t="s">
        <v>145</v>
      </c>
      <c r="C27" s="14" t="str">
        <f aca="false">D2</f>
        <v>Total Population</v>
      </c>
      <c r="D27" s="14" t="str">
        <f aca="false">E2</f>
        <v>Authorized Population</v>
      </c>
      <c r="E27" s="14" t="str">
        <f aca="false">F2</f>
        <v>Unauthorized Population</v>
      </c>
      <c r="F27" s="14" t="str">
        <f aca="false">G2</f>
        <v>American Population</v>
      </c>
    </row>
    <row r="28" customFormat="false" ht="12.8" hidden="false" customHeight="false" outlineLevel="1" collapsed="false">
      <c r="A28" s="4" t="str">
        <f aca="false">_xlfn.CONCAT($A$26, ".", $A3)</f>
        <v>AR.0.0</v>
      </c>
      <c r="B28" s="4" t="str">
        <f aca="false">_xlfn.CONCAT(B3, ": ", C3)</f>
        <v>All Industries: All Roles</v>
      </c>
      <c r="C28" s="27" t="n">
        <f aca="false">D3</f>
        <v>3114791</v>
      </c>
      <c r="D28" s="27" t="n">
        <f aca="false">E3</f>
        <v>90340</v>
      </c>
      <c r="E28" s="27" t="n">
        <f aca="false">F3</f>
        <v>72000</v>
      </c>
      <c r="F28" s="27" t="n">
        <f aca="false">G3</f>
        <v>2952451</v>
      </c>
    </row>
    <row r="29" customFormat="false" ht="12.8" hidden="false" customHeight="false" outlineLevel="1" collapsed="false">
      <c r="A29" s="5" t="str">
        <f aca="false">_xlfn.CONCAT($A$26, ".", $A4)</f>
        <v>AR.0.1</v>
      </c>
      <c r="B29" s="5" t="str">
        <f aca="false">_xlfn.CONCAT(B4, ": ", C4)</f>
        <v>Agriculture: Worker</v>
      </c>
      <c r="C29" s="15" t="n">
        <f aca="false">D4</f>
        <v>493</v>
      </c>
      <c r="D29" s="15" t="n">
        <f aca="false">E4</f>
        <v>133</v>
      </c>
      <c r="E29" s="15" t="n">
        <f aca="false">F4</f>
        <v>71</v>
      </c>
      <c r="F29" s="15" t="n">
        <f aca="false">G4</f>
        <v>289</v>
      </c>
    </row>
    <row r="30" customFormat="false" ht="12.8" hidden="false" customHeight="false" outlineLevel="1" collapsed="false">
      <c r="A30" s="5" t="str">
        <f aca="false">_xlfn.CONCAT($A$26, ".", $A5)</f>
        <v>AR.0.2</v>
      </c>
      <c r="B30" s="5" t="str">
        <f aca="false">_xlfn.CONCAT(B5, ": ", C5)</f>
        <v>Agriculture: Support</v>
      </c>
      <c r="C30" s="15" t="n">
        <f aca="false">D5</f>
        <v>266</v>
      </c>
      <c r="D30" s="15" t="n">
        <f aca="false">E5</f>
        <v>72</v>
      </c>
      <c r="E30" s="15" t="n">
        <f aca="false">F5</f>
        <v>38</v>
      </c>
      <c r="F30" s="15" t="n">
        <f aca="false">G5</f>
        <v>156</v>
      </c>
    </row>
    <row r="31" customFormat="false" ht="12.8" hidden="false" customHeight="false" outlineLevel="1" collapsed="false">
      <c r="A31" s="5" t="str">
        <f aca="false">_xlfn.CONCAT($A$26, ".", $A6)</f>
        <v>AR.0.3</v>
      </c>
      <c r="B31" s="5" t="str">
        <f aca="false">_xlfn.CONCAT(B6, ": ", C6)</f>
        <v>Construction: Worker</v>
      </c>
      <c r="C31" s="15" t="n">
        <f aca="false">D6</f>
        <v>1786</v>
      </c>
      <c r="D31" s="15" t="n">
        <f aca="false">E6</f>
        <v>275</v>
      </c>
      <c r="E31" s="15" t="n">
        <f aca="false">F6</f>
        <v>279</v>
      </c>
      <c r="F31" s="15" t="n">
        <f aca="false">G6</f>
        <v>1232</v>
      </c>
    </row>
    <row r="32" customFormat="false" ht="12.8" hidden="false" customHeight="false" outlineLevel="1" collapsed="false">
      <c r="A32" s="5" t="str">
        <f aca="false">_xlfn.CONCAT($A$26, ".", $A7)</f>
        <v>AR.0.4</v>
      </c>
      <c r="B32" s="5" t="str">
        <f aca="false">_xlfn.CONCAT(B7, ": ", C7)</f>
        <v>Construction: Support</v>
      </c>
      <c r="C32" s="15" t="n">
        <f aca="false">D7</f>
        <v>963</v>
      </c>
      <c r="D32" s="15" t="n">
        <f aca="false">E7</f>
        <v>148</v>
      </c>
      <c r="E32" s="15" t="n">
        <f aca="false">F7</f>
        <v>150</v>
      </c>
      <c r="F32" s="15" t="n">
        <f aca="false">G7</f>
        <v>665</v>
      </c>
    </row>
    <row r="33" customFormat="false" ht="12.8" hidden="false" customHeight="false" outlineLevel="1" collapsed="false">
      <c r="A33" s="5" t="str">
        <f aca="false">_xlfn.CONCAT($A$26, ".", $A8)</f>
        <v>AR.0.5</v>
      </c>
      <c r="B33" s="5" t="str">
        <f aca="false">_xlfn.CONCAT(B8, ": ", C8)</f>
        <v>Hospitality: Worker</v>
      </c>
      <c r="C33" s="15" t="n">
        <f aca="false">D8</f>
        <v>5724</v>
      </c>
      <c r="D33" s="15" t="n">
        <f aca="false">E8</f>
        <v>874</v>
      </c>
      <c r="E33" s="15" t="n">
        <f aca="false">F8</f>
        <v>861</v>
      </c>
      <c r="F33" s="15" t="n">
        <f aca="false">G8</f>
        <v>3989</v>
      </c>
    </row>
    <row r="34" customFormat="false" ht="12.8" hidden="false" customHeight="false" outlineLevel="1" collapsed="false">
      <c r="A34" s="5" t="str">
        <f aca="false">_xlfn.CONCAT($A$26, ".", $A9)</f>
        <v>AR.0.6</v>
      </c>
      <c r="B34" s="5" t="str">
        <f aca="false">_xlfn.CONCAT(B9, ": ", C9)</f>
        <v>Hospitality: Support</v>
      </c>
      <c r="C34" s="15" t="n">
        <f aca="false">D9</f>
        <v>3087</v>
      </c>
      <c r="D34" s="15" t="n">
        <f aca="false">E9</f>
        <v>471</v>
      </c>
      <c r="E34" s="15" t="n">
        <f aca="false">F9</f>
        <v>464</v>
      </c>
      <c r="F34" s="15" t="n">
        <f aca="false">G9</f>
        <v>2152</v>
      </c>
    </row>
    <row r="35" customFormat="false" ht="12.8" hidden="false" customHeight="false" outlineLevel="1" collapsed="false">
      <c r="A35" s="5" t="str">
        <f aca="false">_xlfn.CONCAT($A$26, ".", $A10)</f>
        <v>AR.0.7</v>
      </c>
      <c r="B35" s="5" t="str">
        <f aca="false">_xlfn.CONCAT(B10, ": ", C10)</f>
        <v>Cleaning/Maintenance: Worker</v>
      </c>
      <c r="C35" s="15" t="n">
        <f aca="false">D10</f>
        <v>2552</v>
      </c>
      <c r="D35" s="15" t="n">
        <f aca="false">E10</f>
        <v>441</v>
      </c>
      <c r="E35" s="15" t="n">
        <f aca="false">F10</f>
        <v>436</v>
      </c>
      <c r="F35" s="15" t="n">
        <f aca="false">G10</f>
        <v>1675</v>
      </c>
    </row>
    <row r="36" customFormat="false" ht="12.8" hidden="false" customHeight="false" outlineLevel="1" collapsed="false">
      <c r="A36" s="5" t="str">
        <f aca="false">_xlfn.CONCAT($A$26, ".", $A11)</f>
        <v>AR.0.8</v>
      </c>
      <c r="B36" s="5" t="str">
        <f aca="false">_xlfn.CONCAT(B11, ": ", C11)</f>
        <v>Cleaning/Maintenance: Support</v>
      </c>
      <c r="C36" s="15" t="n">
        <f aca="false">D11</f>
        <v>1376</v>
      </c>
      <c r="D36" s="15" t="n">
        <f aca="false">E11</f>
        <v>238</v>
      </c>
      <c r="E36" s="15" t="n">
        <f aca="false">F11</f>
        <v>235</v>
      </c>
      <c r="F36" s="15" t="n">
        <f aca="false">G11</f>
        <v>903</v>
      </c>
    </row>
    <row r="37" customFormat="false" ht="12.8" hidden="false" customHeight="false" outlineLevel="1" collapsed="false">
      <c r="A37" s="5" t="str">
        <f aca="false">_xlfn.CONCAT($A$26, ".", $A12)</f>
        <v>AR.0.9</v>
      </c>
      <c r="B37" s="5" t="str">
        <f aca="false">_xlfn.CONCAT(B12, ": ", C12)</f>
        <v>Manufacturing: Worker</v>
      </c>
      <c r="C37" s="15" t="n">
        <f aca="false">D12</f>
        <v>5344</v>
      </c>
      <c r="D37" s="15" t="n">
        <f aca="false">E12</f>
        <v>800</v>
      </c>
      <c r="E37" s="15" t="n">
        <f aca="false">F12</f>
        <v>401</v>
      </c>
      <c r="F37" s="15" t="n">
        <f aca="false">G12</f>
        <v>4143</v>
      </c>
    </row>
    <row r="38" customFormat="false" ht="12.8" hidden="false" customHeight="false" outlineLevel="1" collapsed="false">
      <c r="A38" s="5" t="str">
        <f aca="false">_xlfn.CONCAT($A$26, ".", $A13)</f>
        <v>AR.0.10</v>
      </c>
      <c r="B38" s="5" t="str">
        <f aca="false">_xlfn.CONCAT(B13, ": ", C13)</f>
        <v>Manufacturing: Support</v>
      </c>
      <c r="C38" s="15" t="n">
        <f aca="false">D13</f>
        <v>2881</v>
      </c>
      <c r="D38" s="15" t="n">
        <f aca="false">E13</f>
        <v>384</v>
      </c>
      <c r="E38" s="15" t="n">
        <f aca="false">F13</f>
        <v>216</v>
      </c>
      <c r="F38" s="15" t="n">
        <f aca="false">G13</f>
        <v>2281</v>
      </c>
    </row>
    <row r="39" customFormat="false" ht="12.8" hidden="false" customHeight="false" outlineLevel="1" collapsed="false">
      <c r="A39" s="5" t="str">
        <f aca="false">_xlfn.CONCAT($A$26, ".", $A14)</f>
        <v>AR.0.11</v>
      </c>
      <c r="B39" s="5" t="str">
        <f aca="false">_xlfn.CONCAT(B14, ": ", C14)</f>
        <v>Transportation &amp; Warehousing: Worker</v>
      </c>
      <c r="C39" s="15" t="n">
        <f aca="false">D14</f>
        <v>3910</v>
      </c>
      <c r="D39" s="15" t="n">
        <f aca="false">E14</f>
        <v>669</v>
      </c>
      <c r="E39" s="15" t="n">
        <f aca="false">F14</f>
        <v>325</v>
      </c>
      <c r="F39" s="15" t="n">
        <f aca="false">G14</f>
        <v>2916</v>
      </c>
    </row>
    <row r="40" customFormat="false" ht="12.8" hidden="false" customHeight="false" outlineLevel="1" collapsed="false">
      <c r="A40" s="5" t="str">
        <f aca="false">_xlfn.CONCAT($A$26, ".", $A15)</f>
        <v>AR.0.12</v>
      </c>
      <c r="B40" s="5" t="str">
        <f aca="false">_xlfn.CONCAT(B15, ": ", C15)</f>
        <v>Transportation &amp; Warehousing: Support</v>
      </c>
      <c r="C40" s="15" t="n">
        <f aca="false">D15</f>
        <v>2109</v>
      </c>
      <c r="D40" s="15" t="n">
        <f aca="false">E15</f>
        <v>360</v>
      </c>
      <c r="E40" s="15" t="n">
        <f aca="false">F15</f>
        <v>175</v>
      </c>
      <c r="F40" s="15" t="n">
        <f aca="false">G15</f>
        <v>1574</v>
      </c>
    </row>
    <row r="41" customFormat="false" ht="12.8" hidden="false" customHeight="false" outlineLevel="1" collapsed="false">
      <c r="A41" s="5" t="str">
        <f aca="false">_xlfn.CONCAT($A$26, ".", $A16)</f>
        <v>AR.0.13</v>
      </c>
      <c r="B41" s="5" t="str">
        <f aca="false">_xlfn.CONCAT(B16, ": ", C16)</f>
        <v>Retail Trade: Worker</v>
      </c>
      <c r="C41" s="15" t="n">
        <f aca="false">D16</f>
        <v>5745</v>
      </c>
      <c r="D41" s="15" t="n">
        <f aca="false">E16</f>
        <v>553</v>
      </c>
      <c r="E41" s="15" t="n">
        <f aca="false">F16</f>
        <v>276</v>
      </c>
      <c r="F41" s="15" t="n">
        <f aca="false">G16</f>
        <v>4916</v>
      </c>
    </row>
    <row r="42" customFormat="false" ht="12.8" hidden="false" customHeight="false" outlineLevel="1" collapsed="false">
      <c r="A42" s="5" t="str">
        <f aca="false">_xlfn.CONCAT($A$26, ".", $A17)</f>
        <v>AR.0.14</v>
      </c>
      <c r="B42" s="5" t="str">
        <f aca="false">_xlfn.CONCAT(B17, ": ", C17)</f>
        <v>Retail Trade: Support</v>
      </c>
      <c r="C42" s="15" t="n">
        <f aca="false">D17</f>
        <v>3097</v>
      </c>
      <c r="D42" s="15" t="n">
        <f aca="false">E17</f>
        <v>298</v>
      </c>
      <c r="E42" s="15" t="n">
        <f aca="false">F17</f>
        <v>149</v>
      </c>
      <c r="F42" s="15" t="n">
        <f aca="false">G17</f>
        <v>2650</v>
      </c>
    </row>
    <row r="43" customFormat="false" ht="12.8" hidden="false" customHeight="false" outlineLevel="1" collapsed="false">
      <c r="A43" s="5" t="str">
        <f aca="false">_xlfn.CONCAT($A$26, ".", $A18)</f>
        <v>AR.0.15</v>
      </c>
      <c r="B43" s="5" t="str">
        <f aca="false">_xlfn.CONCAT(B18, ": ", C18)</f>
        <v>Landscaping / Groundskeeping: Worker</v>
      </c>
      <c r="C43" s="15" t="n">
        <f aca="false">D18</f>
        <v>2074</v>
      </c>
      <c r="D43" s="15" t="n">
        <f aca="false">E18</f>
        <v>311</v>
      </c>
      <c r="E43" s="15" t="n">
        <f aca="false">F18</f>
        <v>311</v>
      </c>
      <c r="F43" s="15" t="n">
        <f aca="false">G18</f>
        <v>1452</v>
      </c>
    </row>
    <row r="44" customFormat="false" ht="12.8" hidden="false" customHeight="false" outlineLevel="1" collapsed="false">
      <c r="A44" s="5" t="str">
        <f aca="false">_xlfn.CONCAT($A$26, ".", $A19)</f>
        <v>AR.0.16</v>
      </c>
      <c r="B44" s="5" t="str">
        <f aca="false">_xlfn.CONCAT(B19, ": ", C19)</f>
        <v>Landscaping / Groundskeeping: Support</v>
      </c>
      <c r="C44" s="15" t="n">
        <f aca="false">D19</f>
        <v>1119</v>
      </c>
      <c r="D44" s="15" t="n">
        <f aca="false">E19</f>
        <v>168</v>
      </c>
      <c r="E44" s="15" t="n">
        <f aca="false">F19</f>
        <v>168</v>
      </c>
      <c r="F44" s="15" t="n">
        <f aca="false">G19</f>
        <v>783</v>
      </c>
    </row>
    <row r="45" customFormat="false" ht="12.8" hidden="false" customHeight="false" outlineLevel="1" collapsed="false">
      <c r="A45" s="5" t="str">
        <f aca="false">_xlfn.CONCAT($A$26, ".", $A20)</f>
        <v>AR.0.17</v>
      </c>
      <c r="B45" s="5" t="str">
        <f aca="false">_xlfn.CONCAT(B20, ": ", C20)</f>
        <v>Automotive &amp; Repair: Worker</v>
      </c>
      <c r="C45" s="15" t="n">
        <f aca="false">D20</f>
        <v>1517</v>
      </c>
      <c r="D45" s="15" t="n">
        <f aca="false">E20</f>
        <v>233</v>
      </c>
      <c r="E45" s="15" t="n">
        <f aca="false">F20</f>
        <v>103</v>
      </c>
      <c r="F45" s="15" t="n">
        <f aca="false">G20</f>
        <v>1181</v>
      </c>
    </row>
    <row r="46" customFormat="false" ht="12.8" hidden="false" customHeight="false" outlineLevel="1" collapsed="false">
      <c r="A46" s="5" t="str">
        <f aca="false">_xlfn.CONCAT($A$26, ".", $A21)</f>
        <v>AR.0.18</v>
      </c>
      <c r="B46" s="5" t="str">
        <f aca="false">_xlfn.CONCAT(B21, ": ", C21)</f>
        <v>Automotive &amp; Repair: Support</v>
      </c>
      <c r="C46" s="15" t="n">
        <f aca="false">D21</f>
        <v>818</v>
      </c>
      <c r="D46" s="15" t="n">
        <f aca="false">E21</f>
        <v>125</v>
      </c>
      <c r="E46" s="15" t="n">
        <f aca="false">F21</f>
        <v>56</v>
      </c>
      <c r="F46" s="15" t="n">
        <f aca="false">G21</f>
        <v>637</v>
      </c>
    </row>
    <row r="47" customFormat="false" ht="12.8" hidden="false" customHeight="false" outlineLevel="1" collapsed="false">
      <c r="A47" s="5" t="str">
        <f aca="false">_xlfn.CONCAT($A$26, ".", $A22)</f>
        <v>AR.0.19</v>
      </c>
      <c r="B47" s="5" t="str">
        <f aca="false">_xlfn.CONCAT(B22, ": ", C22)</f>
        <v>Other Services: Worker</v>
      </c>
      <c r="C47" s="15" t="n">
        <f aca="false">D22</f>
        <v>2800</v>
      </c>
      <c r="D47" s="15" t="n">
        <f aca="false">E22</f>
        <v>428</v>
      </c>
      <c r="E47" s="15" t="n">
        <f aca="false">F22</f>
        <v>210</v>
      </c>
      <c r="F47" s="15" t="n">
        <f aca="false">G22</f>
        <v>2162</v>
      </c>
    </row>
    <row r="48" customFormat="false" ht="12.8" hidden="false" customHeight="false" outlineLevel="1" collapsed="false">
      <c r="A48" s="5" t="str">
        <f aca="false">_xlfn.CONCAT($A$26, ".", $A23)</f>
        <v>AR.0.20</v>
      </c>
      <c r="B48" s="5" t="str">
        <f aca="false">_xlfn.CONCAT(B23, ": ", C23)</f>
        <v>Other Services: Support</v>
      </c>
      <c r="C48" s="15" t="n">
        <f aca="false">D23</f>
        <v>1510</v>
      </c>
      <c r="D48" s="15" t="n">
        <f aca="false">E23</f>
        <v>231</v>
      </c>
      <c r="E48" s="15" t="n">
        <f aca="false">F23</f>
        <v>113</v>
      </c>
      <c r="F48" s="15" t="n">
        <f aca="false">G23</f>
        <v>1166</v>
      </c>
    </row>
    <row r="144" customFormat="false" ht="12.8" hidden="false" customHeight="false" outlineLevel="0" collapsed="false">
      <c r="A144" s="4" t="s">
        <v>161</v>
      </c>
      <c r="B144" s="27" t="s">
        <v>159</v>
      </c>
      <c r="C144" s="29" t="s">
        <v>147</v>
      </c>
    </row>
    <row r="145" customFormat="false" ht="35.05" hidden="false" customHeight="false" outlineLevel="0" collapsed="false">
      <c r="A145" s="4" t="s">
        <v>15</v>
      </c>
      <c r="B145" s="14" t="s">
        <v>145</v>
      </c>
      <c r="C145" s="14" t="str">
        <f aca="false">H2</f>
        <v>Employment Rate</v>
      </c>
      <c r="D145" s="14" t="str">
        <f aca="false">I2</f>
        <v>Authorized Immigrant Employment Rate</v>
      </c>
      <c r="E145" s="14" t="str">
        <f aca="false">J2</f>
        <v>Unauthorized Immigrant Employment Rate</v>
      </c>
      <c r="F145" s="14" t="str">
        <f aca="false">K2</f>
        <v>American Employment Rate</v>
      </c>
    </row>
    <row r="146" customFormat="false" ht="12.8" hidden="false" customHeight="false" outlineLevel="0" collapsed="false">
      <c r="A146" s="1" t="str">
        <f aca="false">_xlfn.CONCAT($A$144, ".", A3)</f>
        <v>AR.1.0</v>
      </c>
      <c r="B146" s="4" t="str">
        <f aca="false">_xlfn.CONCAT(B3, ": ", C3)</f>
        <v>All Industries: All Roles</v>
      </c>
      <c r="C146" s="30" t="n">
        <f aca="false">H3</f>
        <v>0.9147</v>
      </c>
      <c r="D146" s="30" t="n">
        <f aca="false">I3</f>
        <v>0.722</v>
      </c>
      <c r="E146" s="30" t="n">
        <f aca="false">J3</f>
        <v>0.772</v>
      </c>
      <c r="F146" s="30" t="n">
        <f aca="false">K3</f>
        <v>0.925</v>
      </c>
    </row>
    <row r="147" customFormat="false" ht="12.8" hidden="false" customHeight="false" outlineLevel="0" collapsed="false">
      <c r="A147" s="1" t="str">
        <f aca="false">_xlfn.CONCAT($A$144, ".", A4)</f>
        <v>AR.1.1</v>
      </c>
      <c r="B147" s="5" t="str">
        <f aca="false">_xlfn.CONCAT(B4, ": ", C4)</f>
        <v>Agriculture: Worker</v>
      </c>
      <c r="C147" s="17" t="n">
        <f aca="false">H4</f>
        <v>0.8746</v>
      </c>
      <c r="D147" s="17" t="n">
        <f aca="false">I4</f>
        <v>0.75</v>
      </c>
      <c r="E147" s="17" t="n">
        <f aca="false">J4</f>
        <v>0.8</v>
      </c>
      <c r="F147" s="17" t="n">
        <f aca="false">K4</f>
        <v>0.95</v>
      </c>
    </row>
    <row r="148" customFormat="false" ht="12.8" hidden="false" customHeight="false" outlineLevel="0" collapsed="false">
      <c r="A148" s="1" t="str">
        <f aca="false">_xlfn.CONCAT($A$144, ".", A5)</f>
        <v>AR.1.2</v>
      </c>
      <c r="B148" s="5" t="str">
        <f aca="false">_xlfn.CONCAT(B5, ": ", C5)</f>
        <v>Agriculture: Support</v>
      </c>
      <c r="C148" s="17" t="n">
        <f aca="false">H5</f>
        <v>0.8749</v>
      </c>
      <c r="D148" s="17" t="n">
        <f aca="false">I5</f>
        <v>0.75</v>
      </c>
      <c r="E148" s="17" t="n">
        <f aca="false">J5</f>
        <v>0.8</v>
      </c>
      <c r="F148" s="17" t="n">
        <f aca="false">K5</f>
        <v>0.95</v>
      </c>
    </row>
    <row r="149" customFormat="false" ht="12.8" hidden="false" customHeight="false" outlineLevel="0" collapsed="false">
      <c r="A149" s="1" t="str">
        <f aca="false">_xlfn.CONCAT($A$144, ".", A6)</f>
        <v>AR.1.3</v>
      </c>
      <c r="B149" s="5" t="str">
        <f aca="false">_xlfn.CONCAT(B6, ": ", C6)</f>
        <v>Construction: Worker</v>
      </c>
      <c r="C149" s="17" t="n">
        <f aca="false">H6</f>
        <v>0.9001</v>
      </c>
      <c r="D149" s="17" t="n">
        <f aca="false">I6</f>
        <v>0.752</v>
      </c>
      <c r="E149" s="17" t="n">
        <f aca="false">J6</f>
        <v>0.802</v>
      </c>
      <c r="F149" s="17" t="n">
        <f aca="false">K6</f>
        <v>0.945</v>
      </c>
    </row>
    <row r="150" customFormat="false" ht="12.8" hidden="false" customHeight="false" outlineLevel="0" collapsed="false">
      <c r="A150" s="1" t="str">
        <f aca="false">_xlfn.CONCAT($A$144, ".", A7)</f>
        <v>AR.1.4</v>
      </c>
      <c r="B150" s="5" t="str">
        <f aca="false">_xlfn.CONCAT(B7, ": ", C7)</f>
        <v>Construction: Support</v>
      </c>
      <c r="C150" s="17" t="n">
        <f aca="false">H7</f>
        <v>0.9</v>
      </c>
      <c r="D150" s="17" t="n">
        <f aca="false">I7</f>
        <v>0.752</v>
      </c>
      <c r="E150" s="17" t="n">
        <f aca="false">J7</f>
        <v>0.802</v>
      </c>
      <c r="F150" s="17" t="n">
        <f aca="false">K7</f>
        <v>0.945</v>
      </c>
    </row>
    <row r="151" customFormat="false" ht="12.8" hidden="false" customHeight="false" outlineLevel="0" collapsed="false">
      <c r="A151" s="1" t="str">
        <f aca="false">_xlfn.CONCAT($A$144, ".", A8)</f>
        <v>AR.1.5</v>
      </c>
      <c r="B151" s="5" t="str">
        <f aca="false">_xlfn.CONCAT(B8, ": ", C8)</f>
        <v>Hospitality: Worker</v>
      </c>
      <c r="C151" s="17" t="n">
        <f aca="false">H8</f>
        <v>0.8729</v>
      </c>
      <c r="D151" s="17" t="n">
        <f aca="false">I8</f>
        <v>0.715</v>
      </c>
      <c r="E151" s="17" t="n">
        <f aca="false">J8</f>
        <v>0.765</v>
      </c>
      <c r="F151" s="17" t="n">
        <f aca="false">K8</f>
        <v>0.92</v>
      </c>
    </row>
    <row r="152" customFormat="false" ht="12.8" hidden="false" customHeight="false" outlineLevel="0" collapsed="false">
      <c r="A152" s="1" t="str">
        <f aca="false">_xlfn.CONCAT($A$144, ".", A9)</f>
        <v>AR.1.6</v>
      </c>
      <c r="B152" s="5" t="str">
        <f aca="false">_xlfn.CONCAT(B9, ": ", C9)</f>
        <v>Hospitality: Support</v>
      </c>
      <c r="C152" s="17" t="n">
        <f aca="false">H9</f>
        <v>0.8729</v>
      </c>
      <c r="D152" s="17" t="n">
        <f aca="false">I9</f>
        <v>0.715</v>
      </c>
      <c r="E152" s="17" t="n">
        <f aca="false">J9</f>
        <v>0.765</v>
      </c>
      <c r="F152" s="17" t="n">
        <f aca="false">K9</f>
        <v>0.92</v>
      </c>
    </row>
    <row r="153" customFormat="false" ht="12.8" hidden="false" customHeight="false" outlineLevel="0" collapsed="false">
      <c r="A153" s="1" t="str">
        <f aca="false">_xlfn.CONCAT($A$144, ".", A10)</f>
        <v>AR.1.7</v>
      </c>
      <c r="B153" s="5" t="str">
        <f aca="false">_xlfn.CONCAT(B10, ": ", C10)</f>
        <v>Cleaning/Maintenance: Worker</v>
      </c>
      <c r="C153" s="17" t="n">
        <f aca="false">H10</f>
        <v>0.8697</v>
      </c>
      <c r="D153" s="17" t="n">
        <f aca="false">I10</f>
        <v>0.716</v>
      </c>
      <c r="E153" s="17" t="n">
        <f aca="false">J10</f>
        <v>0.766</v>
      </c>
      <c r="F153" s="17" t="n">
        <f aca="false">K10</f>
        <v>0.924</v>
      </c>
    </row>
    <row r="154" customFormat="false" ht="12.8" hidden="false" customHeight="false" outlineLevel="0" collapsed="false">
      <c r="A154" s="1" t="str">
        <f aca="false">_xlfn.CONCAT($A$144, ".", A11)</f>
        <v>AR.1.8</v>
      </c>
      <c r="B154" s="5" t="str">
        <f aca="false">_xlfn.CONCAT(B11, ": ", C11)</f>
        <v>Cleaning/Maintenance: Support</v>
      </c>
      <c r="C154" s="17" t="n">
        <f aca="false">H11</f>
        <v>0.8697</v>
      </c>
      <c r="D154" s="17" t="n">
        <f aca="false">I11</f>
        <v>0.716</v>
      </c>
      <c r="E154" s="17" t="n">
        <f aca="false">J11</f>
        <v>0.766</v>
      </c>
      <c r="F154" s="17" t="n">
        <f aca="false">K11</f>
        <v>0.924</v>
      </c>
    </row>
    <row r="155" customFormat="false" ht="12.8" hidden="false" customHeight="false" outlineLevel="0" collapsed="false">
      <c r="A155" s="1" t="str">
        <f aca="false">_xlfn.CONCAT($A$144, ".", A12)</f>
        <v>AR.1.9</v>
      </c>
      <c r="B155" s="5" t="str">
        <f aca="false">_xlfn.CONCAT(B12, ": ", C12)</f>
        <v>Manufacturing: Worker</v>
      </c>
      <c r="C155" s="17" t="n">
        <f aca="false">H12</f>
        <v>0.9179</v>
      </c>
      <c r="D155" s="17" t="n">
        <f aca="false">I12</f>
        <v>0.76</v>
      </c>
      <c r="E155" s="17" t="n">
        <f aca="false">J12</f>
        <v>0.81</v>
      </c>
      <c r="F155" s="17" t="n">
        <f aca="false">K12</f>
        <v>0.95</v>
      </c>
    </row>
    <row r="156" customFormat="false" ht="12.8" hidden="false" customHeight="false" outlineLevel="0" collapsed="false">
      <c r="A156" s="1" t="str">
        <f aca="false">_xlfn.CONCAT($A$144, ".", A13)</f>
        <v>AR.1.10</v>
      </c>
      <c r="B156" s="5" t="str">
        <f aca="false">_xlfn.CONCAT(B13, ": ", C13)</f>
        <v>Manufacturing: Support</v>
      </c>
      <c r="C156" s="17" t="n">
        <f aca="false">H13</f>
        <v>0.9179</v>
      </c>
      <c r="D156" s="17" t="n">
        <f aca="false">I13</f>
        <v>0.76</v>
      </c>
      <c r="E156" s="17" t="n">
        <f aca="false">J13</f>
        <v>0.81</v>
      </c>
      <c r="F156" s="17" t="n">
        <f aca="false">K13</f>
        <v>0.95</v>
      </c>
    </row>
    <row r="157" customFormat="false" ht="12.8" hidden="false" customHeight="false" outlineLevel="0" collapsed="false">
      <c r="A157" s="1" t="str">
        <f aca="false">_xlfn.CONCAT($A$144, ".", A14)</f>
        <v>AR.1.11</v>
      </c>
      <c r="B157" s="5" t="str">
        <f aca="false">_xlfn.CONCAT(B14, ": ", C14)</f>
        <v>Transportation &amp; Warehousing: Worker</v>
      </c>
      <c r="C157" s="17" t="n">
        <f aca="false">H14</f>
        <v>0.9077</v>
      </c>
      <c r="D157" s="17" t="n">
        <f aca="false">I14</f>
        <v>0.75</v>
      </c>
      <c r="E157" s="17" t="n">
        <f aca="false">J14</f>
        <v>0.8</v>
      </c>
      <c r="F157" s="17" t="n">
        <f aca="false">K14</f>
        <v>0.945</v>
      </c>
    </row>
    <row r="158" customFormat="false" ht="12.8" hidden="false" customHeight="false" outlineLevel="0" collapsed="false">
      <c r="A158" s="1" t="str">
        <f aca="false">_xlfn.CONCAT($A$144, ".", A15)</f>
        <v>AR.1.12</v>
      </c>
      <c r="B158" s="5" t="str">
        <f aca="false">_xlfn.CONCAT(B15, ": ", C15)</f>
        <v>Transportation &amp; Warehousing: Support</v>
      </c>
      <c r="C158" s="17" t="n">
        <f aca="false">H15</f>
        <v>0.9077</v>
      </c>
      <c r="D158" s="17" t="n">
        <f aca="false">I15</f>
        <v>0.75</v>
      </c>
      <c r="E158" s="17" t="n">
        <f aca="false">J15</f>
        <v>0.8</v>
      </c>
      <c r="F158" s="17" t="n">
        <f aca="false">K15</f>
        <v>0.945</v>
      </c>
    </row>
    <row r="159" customFormat="false" ht="12.8" hidden="false" customHeight="false" outlineLevel="0" collapsed="false">
      <c r="A159" s="1" t="str">
        <f aca="false">_xlfn.CONCAT($A$144, ".", A16)</f>
        <v>AR.1.13</v>
      </c>
      <c r="B159" s="5" t="str">
        <f aca="false">_xlfn.CONCAT(B16, ": ", C16)</f>
        <v>Retail Trade: Worker</v>
      </c>
      <c r="C159" s="17" t="n">
        <f aca="false">H16</f>
        <v>0.8849</v>
      </c>
      <c r="D159" s="17" t="n">
        <f aca="false">I16</f>
        <v>0.698</v>
      </c>
      <c r="E159" s="17" t="n">
        <f aca="false">J16</f>
        <v>0.748</v>
      </c>
      <c r="F159" s="17" t="n">
        <f aca="false">K16</f>
        <v>0.908</v>
      </c>
    </row>
    <row r="160" customFormat="false" ht="12.8" hidden="false" customHeight="false" outlineLevel="0" collapsed="false">
      <c r="A160" s="1" t="str">
        <f aca="false">_xlfn.CONCAT($A$144, ".", A17)</f>
        <v>AR.1.14</v>
      </c>
      <c r="B160" s="5" t="str">
        <f aca="false">_xlfn.CONCAT(B17, ": ", C17)</f>
        <v>Retail Trade: Support</v>
      </c>
      <c r="C160" s="17" t="n">
        <f aca="false">H17</f>
        <v>0.8849</v>
      </c>
      <c r="D160" s="17" t="n">
        <f aca="false">I17</f>
        <v>0.698</v>
      </c>
      <c r="E160" s="17" t="n">
        <f aca="false">J17</f>
        <v>0.748</v>
      </c>
      <c r="F160" s="17" t="n">
        <f aca="false">K17</f>
        <v>0.908</v>
      </c>
    </row>
    <row r="161" customFormat="false" ht="12.8" hidden="false" customHeight="false" outlineLevel="0" collapsed="false">
      <c r="A161" s="1" t="str">
        <f aca="false">_xlfn.CONCAT($A$144, ".", A18)</f>
        <v>AR.1.15</v>
      </c>
      <c r="B161" s="5" t="str">
        <f aca="false">_xlfn.CONCAT(B18, ": ", C18)</f>
        <v>Landscaping / Groundskeeping: Worker</v>
      </c>
      <c r="C161" s="17" t="n">
        <f aca="false">H18</f>
        <v>0.8776</v>
      </c>
      <c r="D161" s="17" t="n">
        <f aca="false">I18</f>
        <v>0.73</v>
      </c>
      <c r="E161" s="17" t="n">
        <f aca="false">J18</f>
        <v>0.78</v>
      </c>
      <c r="F161" s="17" t="n">
        <f aca="false">K18</f>
        <v>0.92</v>
      </c>
    </row>
    <row r="162" customFormat="false" ht="12.8" hidden="false" customHeight="false" outlineLevel="0" collapsed="false">
      <c r="A162" s="1" t="str">
        <f aca="false">_xlfn.CONCAT($A$144, ".", A19)</f>
        <v>AR.1.16</v>
      </c>
      <c r="B162" s="5" t="str">
        <f aca="false">_xlfn.CONCAT(B19, ": ", C19)</f>
        <v>Landscaping / Groundskeeping: Support</v>
      </c>
      <c r="C162" s="17" t="n">
        <f aca="false">H19</f>
        <v>0.8775</v>
      </c>
      <c r="D162" s="17" t="n">
        <f aca="false">I19</f>
        <v>0.73</v>
      </c>
      <c r="E162" s="17" t="n">
        <f aca="false">J19</f>
        <v>0.78</v>
      </c>
      <c r="F162" s="17" t="n">
        <f aca="false">K19</f>
        <v>0.92</v>
      </c>
    </row>
    <row r="163" customFormat="false" ht="12.8" hidden="false" customHeight="false" outlineLevel="0" collapsed="false">
      <c r="A163" s="1" t="str">
        <f aca="false">_xlfn.CONCAT($A$144, ".", A20)</f>
        <v>AR.1.17</v>
      </c>
      <c r="B163" s="5" t="str">
        <f aca="false">_xlfn.CONCAT(B20, ": ", C20)</f>
        <v>Automotive &amp; Repair: Worker</v>
      </c>
      <c r="C163" s="17" t="n">
        <f aca="false">H20</f>
        <v>0.8843</v>
      </c>
      <c r="D163" s="17" t="n">
        <f aca="false">I20</f>
        <v>0.715</v>
      </c>
      <c r="E163" s="17" t="n">
        <f aca="false">J20</f>
        <v>0.765</v>
      </c>
      <c r="F163" s="17" t="n">
        <f aca="false">K20</f>
        <v>0.918</v>
      </c>
    </row>
    <row r="164" customFormat="false" ht="12.8" hidden="false" customHeight="false" outlineLevel="0" collapsed="false">
      <c r="A164" s="1" t="str">
        <f aca="false">_xlfn.CONCAT($A$144, ".", A21)</f>
        <v>AR.1.18</v>
      </c>
      <c r="B164" s="5" t="str">
        <f aca="false">_xlfn.CONCAT(B21, ": ", C21)</f>
        <v>Automotive &amp; Repair: Support</v>
      </c>
      <c r="C164" s="17" t="n">
        <f aca="false">H21</f>
        <v>0.8843</v>
      </c>
      <c r="D164" s="17" t="n">
        <f aca="false">I21</f>
        <v>0.715</v>
      </c>
      <c r="E164" s="17" t="n">
        <f aca="false">J21</f>
        <v>0.765</v>
      </c>
      <c r="F164" s="17" t="n">
        <f aca="false">K21</f>
        <v>0.918</v>
      </c>
    </row>
    <row r="165" customFormat="false" ht="12.8" hidden="false" customHeight="false" outlineLevel="0" collapsed="false">
      <c r="A165" s="1" t="str">
        <f aca="false">_xlfn.CONCAT($A$144, ".", A22)</f>
        <v>AR.1.19</v>
      </c>
      <c r="B165" s="5" t="str">
        <f aca="false">_xlfn.CONCAT(B22, ": ", C22)</f>
        <v>Other Services: Worker</v>
      </c>
      <c r="C165" s="17" t="n">
        <f aca="false">H22</f>
        <v>0.8891</v>
      </c>
      <c r="D165" s="17" t="n">
        <f aca="false">I22</f>
        <v>0.716</v>
      </c>
      <c r="E165" s="17" t="n">
        <f aca="false">J22</f>
        <v>0.766</v>
      </c>
      <c r="F165" s="17" t="n">
        <f aca="false">K22</f>
        <v>0.916</v>
      </c>
    </row>
    <row r="166" customFormat="false" ht="12.8" hidden="false" customHeight="false" outlineLevel="0" collapsed="false">
      <c r="A166" s="1" t="str">
        <f aca="false">_xlfn.CONCAT($A$144, ".", A23)</f>
        <v>AR.1.20</v>
      </c>
      <c r="B166" s="5" t="str">
        <f aca="false">_xlfn.CONCAT(B23, ": ", C23)</f>
        <v>Other Services: Support</v>
      </c>
      <c r="C166" s="17" t="n">
        <f aca="false">H23</f>
        <v>0.8891</v>
      </c>
      <c r="D166" s="17" t="n">
        <f aca="false">I23</f>
        <v>0.716</v>
      </c>
      <c r="E166" s="17" t="n">
        <f aca="false">J23</f>
        <v>0.766</v>
      </c>
      <c r="F166" s="17" t="n">
        <f aca="false">K23</f>
        <v>0.916</v>
      </c>
    </row>
    <row r="261" customFormat="false" ht="12.8" hidden="false" customHeight="false" outlineLevel="0" collapsed="false">
      <c r="A261" s="4" t="s">
        <v>162</v>
      </c>
      <c r="B261" s="27" t="s">
        <v>159</v>
      </c>
      <c r="C261" s="29" t="s">
        <v>149</v>
      </c>
    </row>
    <row r="262" customFormat="false" ht="46.25" hidden="false" customHeight="false" outlineLevel="0" collapsed="false">
      <c r="A262" s="4" t="s">
        <v>15</v>
      </c>
      <c r="B262" s="14" t="s">
        <v>145</v>
      </c>
      <c r="C262" s="23" t="str">
        <f aca="false">L2</f>
        <v>Unemployment Rate</v>
      </c>
      <c r="D262" s="23" t="str">
        <f aca="false">M2</f>
        <v>Authorized Immigrant Unemployment Rate</v>
      </c>
      <c r="E262" s="23" t="str">
        <f aca="false">N2</f>
        <v>Unauthorized Immigrant Unemployment Rate</v>
      </c>
      <c r="F262" s="23" t="str">
        <f aca="false">O2</f>
        <v>American Unemployment Rate</v>
      </c>
    </row>
    <row r="263" customFormat="false" ht="12.8" hidden="false" customHeight="false" outlineLevel="0" collapsed="false">
      <c r="A263" s="4" t="str">
        <f aca="false">_xlfn.CONCAT($A$261, ".", A3)</f>
        <v>AR.2.0</v>
      </c>
      <c r="B263" s="4" t="str">
        <f aca="false">_xlfn.CONCAT(B3, ": ", C3)</f>
        <v>All Industries: All Roles</v>
      </c>
      <c r="C263" s="23" t="n">
        <f aca="false">L3</f>
        <v>0.0853</v>
      </c>
      <c r="D263" s="23" t="n">
        <f aca="false">M3</f>
        <v>0.278</v>
      </c>
      <c r="E263" s="23" t="n">
        <f aca="false">N3</f>
        <v>0.228</v>
      </c>
      <c r="F263" s="23" t="n">
        <f aca="false">O3</f>
        <v>0.075</v>
      </c>
    </row>
    <row r="264" customFormat="false" ht="12.8" hidden="false" customHeight="false" outlineLevel="0" collapsed="false">
      <c r="A264" s="5" t="str">
        <f aca="false">_xlfn.CONCAT($A$261, ".", A4)</f>
        <v>AR.2.1</v>
      </c>
      <c r="B264" s="5" t="str">
        <f aca="false">_xlfn.CONCAT(B4, ": ", C4)</f>
        <v>Agriculture: Worker</v>
      </c>
      <c r="C264" s="31" t="n">
        <f aca="false">L4</f>
        <v>0.1254</v>
      </c>
      <c r="D264" s="31" t="n">
        <f aca="false">M4</f>
        <v>0.25</v>
      </c>
      <c r="E264" s="31" t="n">
        <f aca="false">N4</f>
        <v>0.2</v>
      </c>
      <c r="F264" s="31" t="n">
        <f aca="false">O4</f>
        <v>0.05</v>
      </c>
    </row>
    <row r="265" customFormat="false" ht="12.8" hidden="false" customHeight="false" outlineLevel="0" collapsed="false">
      <c r="A265" s="5" t="str">
        <f aca="false">_xlfn.CONCAT($A$261, ".", A5)</f>
        <v>AR.2.2</v>
      </c>
      <c r="B265" s="5" t="str">
        <f aca="false">_xlfn.CONCAT(B5, ": ", C5)</f>
        <v>Agriculture: Support</v>
      </c>
      <c r="C265" s="31" t="n">
        <f aca="false">L5</f>
        <v>0.1251</v>
      </c>
      <c r="D265" s="31" t="n">
        <f aca="false">M5</f>
        <v>0.25</v>
      </c>
      <c r="E265" s="31" t="n">
        <f aca="false">N5</f>
        <v>0.2</v>
      </c>
      <c r="F265" s="31" t="n">
        <f aca="false">O5</f>
        <v>0.05</v>
      </c>
    </row>
    <row r="266" customFormat="false" ht="12.8" hidden="false" customHeight="false" outlineLevel="0" collapsed="false">
      <c r="A266" s="5" t="str">
        <f aca="false">_xlfn.CONCAT($A$261, ".", A6)</f>
        <v>AR.2.3</v>
      </c>
      <c r="B266" s="5" t="str">
        <f aca="false">_xlfn.CONCAT(B6, ": ", C6)</f>
        <v>Construction: Worker</v>
      </c>
      <c r="C266" s="31" t="n">
        <f aca="false">L6</f>
        <v>0.0999</v>
      </c>
      <c r="D266" s="31" t="n">
        <f aca="false">M6</f>
        <v>0.248</v>
      </c>
      <c r="E266" s="31" t="n">
        <f aca="false">N6</f>
        <v>0.198</v>
      </c>
      <c r="F266" s="31" t="n">
        <f aca="false">O6</f>
        <v>0.055</v>
      </c>
    </row>
    <row r="267" customFormat="false" ht="12.8" hidden="false" customHeight="false" outlineLevel="0" collapsed="false">
      <c r="A267" s="5" t="str">
        <f aca="false">_xlfn.CONCAT($A$261, ".", A7)</f>
        <v>AR.2.4</v>
      </c>
      <c r="B267" s="5" t="str">
        <f aca="false">_xlfn.CONCAT(B7, ": ", C7)</f>
        <v>Construction: Support</v>
      </c>
      <c r="C267" s="31" t="n">
        <f aca="false">L7</f>
        <v>0.1</v>
      </c>
      <c r="D267" s="31" t="n">
        <f aca="false">M7</f>
        <v>0.248</v>
      </c>
      <c r="E267" s="31" t="n">
        <f aca="false">N7</f>
        <v>0.198</v>
      </c>
      <c r="F267" s="31" t="n">
        <f aca="false">O7</f>
        <v>0.055</v>
      </c>
    </row>
    <row r="268" customFormat="false" ht="12.8" hidden="false" customHeight="false" outlineLevel="0" collapsed="false">
      <c r="A268" s="5" t="str">
        <f aca="false">_xlfn.CONCAT($A$261, ".", A8)</f>
        <v>AR.2.5</v>
      </c>
      <c r="B268" s="5" t="str">
        <f aca="false">_xlfn.CONCAT(B8, ": ", C8)</f>
        <v>Hospitality: Worker</v>
      </c>
      <c r="C268" s="31" t="n">
        <f aca="false">L8</f>
        <v>0.1271</v>
      </c>
      <c r="D268" s="31" t="n">
        <f aca="false">M8</f>
        <v>0.285</v>
      </c>
      <c r="E268" s="31" t="n">
        <f aca="false">N8</f>
        <v>0.235</v>
      </c>
      <c r="F268" s="31" t="n">
        <f aca="false">O8</f>
        <v>0.08</v>
      </c>
    </row>
    <row r="269" customFormat="false" ht="12.8" hidden="false" customHeight="false" outlineLevel="0" collapsed="false">
      <c r="A269" s="5" t="str">
        <f aca="false">_xlfn.CONCAT($A$261, ".", A9)</f>
        <v>AR.2.6</v>
      </c>
      <c r="B269" s="5" t="str">
        <f aca="false">_xlfn.CONCAT(B9, ": ", C9)</f>
        <v>Hospitality: Support</v>
      </c>
      <c r="C269" s="31" t="n">
        <f aca="false">L9</f>
        <v>0.1271</v>
      </c>
      <c r="D269" s="31" t="n">
        <f aca="false">M9</f>
        <v>0.285</v>
      </c>
      <c r="E269" s="31" t="n">
        <f aca="false">N9</f>
        <v>0.235</v>
      </c>
      <c r="F269" s="31" t="n">
        <f aca="false">O9</f>
        <v>0.08</v>
      </c>
    </row>
    <row r="270" customFormat="false" ht="12.8" hidden="false" customHeight="false" outlineLevel="0" collapsed="false">
      <c r="A270" s="5" t="str">
        <f aca="false">_xlfn.CONCAT($A$261, ".", A10)</f>
        <v>AR.2.7</v>
      </c>
      <c r="B270" s="5" t="str">
        <f aca="false">_xlfn.CONCAT(B10, ": ", C10)</f>
        <v>Cleaning/Maintenance: Worker</v>
      </c>
      <c r="C270" s="31" t="n">
        <f aca="false">L10</f>
        <v>0.1303</v>
      </c>
      <c r="D270" s="31" t="n">
        <f aca="false">M10</f>
        <v>0.284</v>
      </c>
      <c r="E270" s="31" t="n">
        <f aca="false">N10</f>
        <v>0.234</v>
      </c>
      <c r="F270" s="31" t="n">
        <f aca="false">O10</f>
        <v>0.076</v>
      </c>
    </row>
    <row r="271" customFormat="false" ht="12.8" hidden="false" customHeight="false" outlineLevel="0" collapsed="false">
      <c r="A271" s="5" t="str">
        <f aca="false">_xlfn.CONCAT($A$261, ".", A11)</f>
        <v>AR.2.8</v>
      </c>
      <c r="B271" s="5" t="str">
        <f aca="false">_xlfn.CONCAT(B11, ": ", C11)</f>
        <v>Cleaning/Maintenance: Support</v>
      </c>
      <c r="C271" s="31" t="n">
        <f aca="false">L11</f>
        <v>0.1303</v>
      </c>
      <c r="D271" s="31" t="n">
        <f aca="false">M11</f>
        <v>0.284</v>
      </c>
      <c r="E271" s="31" t="n">
        <f aca="false">N11</f>
        <v>0.234</v>
      </c>
      <c r="F271" s="31" t="n">
        <f aca="false">O11</f>
        <v>0.076</v>
      </c>
    </row>
    <row r="272" customFormat="false" ht="12.8" hidden="false" customHeight="false" outlineLevel="0" collapsed="false">
      <c r="A272" s="5" t="str">
        <f aca="false">_xlfn.CONCAT($A$261, ".", A12)</f>
        <v>AR.2.9</v>
      </c>
      <c r="B272" s="5" t="str">
        <f aca="false">_xlfn.CONCAT(B12, ": ", C12)</f>
        <v>Manufacturing: Worker</v>
      </c>
      <c r="C272" s="31" t="n">
        <f aca="false">L12</f>
        <v>0.0821</v>
      </c>
      <c r="D272" s="31" t="n">
        <f aca="false">M12</f>
        <v>0.24</v>
      </c>
      <c r="E272" s="31" t="n">
        <f aca="false">N12</f>
        <v>0.19</v>
      </c>
      <c r="F272" s="31" t="n">
        <f aca="false">O12</f>
        <v>0.05</v>
      </c>
    </row>
    <row r="273" customFormat="false" ht="12.8" hidden="false" customHeight="false" outlineLevel="0" collapsed="false">
      <c r="A273" s="5" t="str">
        <f aca="false">_xlfn.CONCAT($A$261, ".", A13)</f>
        <v>AR.2.10</v>
      </c>
      <c r="B273" s="5" t="str">
        <f aca="false">_xlfn.CONCAT(B13, ": ", C13)</f>
        <v>Manufacturing: Support</v>
      </c>
      <c r="C273" s="31" t="n">
        <f aca="false">L13</f>
        <v>0.0821</v>
      </c>
      <c r="D273" s="31" t="n">
        <f aca="false">M13</f>
        <v>0.24</v>
      </c>
      <c r="E273" s="31" t="n">
        <f aca="false">N13</f>
        <v>0.19</v>
      </c>
      <c r="F273" s="31" t="n">
        <f aca="false">O13</f>
        <v>0.05</v>
      </c>
    </row>
    <row r="274" customFormat="false" ht="12.8" hidden="false" customHeight="false" outlineLevel="0" collapsed="false">
      <c r="A274" s="5" t="str">
        <f aca="false">_xlfn.CONCAT($A$261, ".", A14)</f>
        <v>AR.2.11</v>
      </c>
      <c r="B274" s="5" t="str">
        <f aca="false">_xlfn.CONCAT(B14, ": ", C14)</f>
        <v>Transportation &amp; Warehousing: Worker</v>
      </c>
      <c r="C274" s="31" t="n">
        <f aca="false">L14</f>
        <v>0.0923</v>
      </c>
      <c r="D274" s="31" t="n">
        <f aca="false">M14</f>
        <v>0.25</v>
      </c>
      <c r="E274" s="31" t="n">
        <f aca="false">N14</f>
        <v>0.2</v>
      </c>
      <c r="F274" s="31" t="n">
        <f aca="false">O14</f>
        <v>0.055</v>
      </c>
    </row>
    <row r="275" customFormat="false" ht="12.8" hidden="false" customHeight="false" outlineLevel="0" collapsed="false">
      <c r="A275" s="5" t="str">
        <f aca="false">_xlfn.CONCAT($A$261, ".", A15)</f>
        <v>AR.2.12</v>
      </c>
      <c r="B275" s="5" t="str">
        <f aca="false">_xlfn.CONCAT(B15, ": ", C15)</f>
        <v>Transportation &amp; Warehousing: Support</v>
      </c>
      <c r="C275" s="31" t="n">
        <f aca="false">L15</f>
        <v>0.0923</v>
      </c>
      <c r="D275" s="31" t="n">
        <f aca="false">M15</f>
        <v>0.25</v>
      </c>
      <c r="E275" s="31" t="n">
        <f aca="false">N15</f>
        <v>0.2</v>
      </c>
      <c r="F275" s="31" t="n">
        <f aca="false">O15</f>
        <v>0.055</v>
      </c>
    </row>
    <row r="276" customFormat="false" ht="12.8" hidden="false" customHeight="false" outlineLevel="0" collapsed="false">
      <c r="A276" s="5" t="str">
        <f aca="false">_xlfn.CONCAT($A$261, ".", A16)</f>
        <v>AR.2.13</v>
      </c>
      <c r="B276" s="5" t="str">
        <f aca="false">_xlfn.CONCAT(B16, ": ", C16)</f>
        <v>Retail Trade: Worker</v>
      </c>
      <c r="C276" s="31" t="n">
        <f aca="false">L16</f>
        <v>0.1151</v>
      </c>
      <c r="D276" s="31" t="n">
        <f aca="false">M16</f>
        <v>0.302</v>
      </c>
      <c r="E276" s="31" t="n">
        <f aca="false">N16</f>
        <v>0.252</v>
      </c>
      <c r="F276" s="31" t="n">
        <f aca="false">O16</f>
        <v>0.092</v>
      </c>
    </row>
    <row r="277" customFormat="false" ht="12.8" hidden="false" customHeight="false" outlineLevel="0" collapsed="false">
      <c r="A277" s="5" t="str">
        <f aca="false">_xlfn.CONCAT($A$261, ".", A17)</f>
        <v>AR.2.14</v>
      </c>
      <c r="B277" s="5" t="str">
        <f aca="false">_xlfn.CONCAT(B17, ": ", C17)</f>
        <v>Retail Trade: Support</v>
      </c>
      <c r="C277" s="31" t="n">
        <f aca="false">L17</f>
        <v>0.1151</v>
      </c>
      <c r="D277" s="31" t="n">
        <f aca="false">M17</f>
        <v>0.302</v>
      </c>
      <c r="E277" s="31" t="n">
        <f aca="false">N17</f>
        <v>0.252</v>
      </c>
      <c r="F277" s="31" t="n">
        <f aca="false">O17</f>
        <v>0.092</v>
      </c>
    </row>
    <row r="278" customFormat="false" ht="12.8" hidden="false" customHeight="false" outlineLevel="0" collapsed="false">
      <c r="A278" s="5" t="str">
        <f aca="false">_xlfn.CONCAT($A$261, ".", A18)</f>
        <v>AR.2.15</v>
      </c>
      <c r="B278" s="5" t="str">
        <f aca="false">_xlfn.CONCAT(B18, ": ", C18)</f>
        <v>Landscaping / Groundskeeping: Worker</v>
      </c>
      <c r="C278" s="31" t="n">
        <f aca="false">L18</f>
        <v>0.1224</v>
      </c>
      <c r="D278" s="31" t="n">
        <f aca="false">M18</f>
        <v>0.27</v>
      </c>
      <c r="E278" s="31" t="n">
        <f aca="false">N18</f>
        <v>0.22</v>
      </c>
      <c r="F278" s="31" t="n">
        <f aca="false">O18</f>
        <v>0.08</v>
      </c>
    </row>
    <row r="279" customFormat="false" ht="12.8" hidden="false" customHeight="false" outlineLevel="0" collapsed="false">
      <c r="A279" s="5" t="str">
        <f aca="false">_xlfn.CONCAT($A$261, ".", A19)</f>
        <v>AR.2.16</v>
      </c>
      <c r="B279" s="5" t="str">
        <f aca="false">_xlfn.CONCAT(B19, ": ", C19)</f>
        <v>Landscaping / Groundskeeping: Support</v>
      </c>
      <c r="C279" s="31" t="n">
        <f aca="false">L19</f>
        <v>0.1225</v>
      </c>
      <c r="D279" s="31" t="n">
        <f aca="false">M19</f>
        <v>0.27</v>
      </c>
      <c r="E279" s="31" t="n">
        <f aca="false">N19</f>
        <v>0.22</v>
      </c>
      <c r="F279" s="31" t="n">
        <f aca="false">O19</f>
        <v>0.08</v>
      </c>
    </row>
    <row r="280" customFormat="false" ht="12.8" hidden="false" customHeight="false" outlineLevel="0" collapsed="false">
      <c r="A280" s="5" t="str">
        <f aca="false">_xlfn.CONCAT($A$261, ".", A20)</f>
        <v>AR.2.17</v>
      </c>
      <c r="B280" s="5" t="str">
        <f aca="false">_xlfn.CONCAT(B20, ": ", C20)</f>
        <v>Automotive &amp; Repair: Worker</v>
      </c>
      <c r="C280" s="31" t="n">
        <f aca="false">L20</f>
        <v>0.1157</v>
      </c>
      <c r="D280" s="31" t="n">
        <f aca="false">M20</f>
        <v>0.285</v>
      </c>
      <c r="E280" s="31" t="n">
        <f aca="false">N20</f>
        <v>0.235</v>
      </c>
      <c r="F280" s="31" t="n">
        <f aca="false">O20</f>
        <v>0.082</v>
      </c>
    </row>
    <row r="281" customFormat="false" ht="12.8" hidden="false" customHeight="false" outlineLevel="0" collapsed="false">
      <c r="A281" s="5" t="str">
        <f aca="false">_xlfn.CONCAT($A$261, ".", A21)</f>
        <v>AR.2.18</v>
      </c>
      <c r="B281" s="5" t="str">
        <f aca="false">_xlfn.CONCAT(B21, ": ", C21)</f>
        <v>Automotive &amp; Repair: Support</v>
      </c>
      <c r="C281" s="31" t="n">
        <f aca="false">L21</f>
        <v>0.1157</v>
      </c>
      <c r="D281" s="31" t="n">
        <f aca="false">M21</f>
        <v>0.285</v>
      </c>
      <c r="E281" s="31" t="n">
        <f aca="false">N21</f>
        <v>0.235</v>
      </c>
      <c r="F281" s="31" t="n">
        <f aca="false">O21</f>
        <v>0.082</v>
      </c>
    </row>
    <row r="282" customFormat="false" ht="12.8" hidden="false" customHeight="false" outlineLevel="0" collapsed="false">
      <c r="A282" s="5" t="str">
        <f aca="false">_xlfn.CONCAT($A$261, ".", A22)</f>
        <v>AR.2.19</v>
      </c>
      <c r="B282" s="5" t="str">
        <f aca="false">_xlfn.CONCAT(B22, ": ", C22)</f>
        <v>Other Services: Worker</v>
      </c>
      <c r="C282" s="31" t="n">
        <f aca="false">L22</f>
        <v>0.1109</v>
      </c>
      <c r="D282" s="31" t="n">
        <f aca="false">M22</f>
        <v>0.284</v>
      </c>
      <c r="E282" s="31" t="n">
        <f aca="false">N22</f>
        <v>0.234</v>
      </c>
      <c r="F282" s="31" t="n">
        <f aca="false">O22</f>
        <v>0.084</v>
      </c>
    </row>
    <row r="283" customFormat="false" ht="12.8" hidden="false" customHeight="false" outlineLevel="0" collapsed="false">
      <c r="A283" s="5" t="str">
        <f aca="false">_xlfn.CONCAT($A$261, ".", A23)</f>
        <v>AR.2.20</v>
      </c>
      <c r="B283" s="5" t="str">
        <f aca="false">_xlfn.CONCAT(B23, ": ", C23)</f>
        <v>Other Services: Support</v>
      </c>
      <c r="C283" s="31" t="n">
        <f aca="false">L23</f>
        <v>0.1109</v>
      </c>
      <c r="D283" s="31" t="n">
        <f aca="false">M23</f>
        <v>0.284</v>
      </c>
      <c r="E283" s="31" t="n">
        <f aca="false">N23</f>
        <v>0.234</v>
      </c>
      <c r="F283" s="31" t="n">
        <f aca="false">O23</f>
        <v>0.084</v>
      </c>
    </row>
    <row r="378" customFormat="false" ht="12.8" hidden="false" customHeight="false" outlineLevel="0" collapsed="false">
      <c r="A378" s="4" t="s">
        <v>163</v>
      </c>
      <c r="B378" s="27" t="s">
        <v>159</v>
      </c>
      <c r="C378" s="29" t="s">
        <v>151</v>
      </c>
    </row>
    <row r="379" customFormat="false" ht="46.25" hidden="false" customHeight="false" outlineLevel="0" collapsed="false">
      <c r="A379" s="4" t="s">
        <v>15</v>
      </c>
      <c r="B379" s="14" t="s">
        <v>145</v>
      </c>
      <c r="C379" s="23" t="str">
        <f aca="false">P2</f>
        <v>Underemployment Rate</v>
      </c>
      <c r="D379" s="23" t="str">
        <f aca="false">Q2</f>
        <v>Authorized Immigrant Underemployment Rate</v>
      </c>
      <c r="E379" s="23" t="str">
        <f aca="false">R2</f>
        <v>Unauthorized Immigrant Underemployment Rate</v>
      </c>
      <c r="F379" s="23" t="str">
        <f aca="false">S2</f>
        <v>American Underemployment Rate</v>
      </c>
    </row>
    <row r="380" customFormat="false" ht="12.8" hidden="false" customHeight="false" outlineLevel="0" collapsed="false">
      <c r="A380" s="1" t="str">
        <f aca="false">_xlfn.CONCAT($A$378, ".", A3)</f>
        <v>AR.3.0</v>
      </c>
      <c r="B380" s="4" t="str">
        <f aca="false">_xlfn.CONCAT(B3, ": ", C3)</f>
        <v>All Industries: All Roles</v>
      </c>
      <c r="C380" s="31" t="n">
        <f aca="false">P3</f>
        <v>0.0809</v>
      </c>
      <c r="D380" s="31" t="n">
        <f aca="false">Q3</f>
        <v>0.095</v>
      </c>
      <c r="E380" s="31" t="n">
        <f aca="false">R3</f>
        <v>0.095</v>
      </c>
      <c r="F380" s="31" t="n">
        <f aca="false">S3</f>
        <v>0.08</v>
      </c>
    </row>
    <row r="381" customFormat="false" ht="12.8" hidden="false" customHeight="false" outlineLevel="0" collapsed="false">
      <c r="A381" s="1" t="str">
        <f aca="false">_xlfn.CONCAT($A$378, ".", A4)</f>
        <v>AR.3.1</v>
      </c>
      <c r="B381" s="5" t="str">
        <f aca="false">_xlfn.CONCAT(B4, ": ", C4)</f>
        <v>Agriculture: Worker</v>
      </c>
      <c r="C381" s="31" t="n">
        <f aca="false">P4</f>
        <v>0.0841</v>
      </c>
      <c r="D381" s="31" t="n">
        <f aca="false">Q4</f>
        <v>0.09</v>
      </c>
      <c r="E381" s="31" t="n">
        <f aca="false">R4</f>
        <v>0.09</v>
      </c>
      <c r="F381" s="31" t="n">
        <f aca="false">S4</f>
        <v>0.08</v>
      </c>
    </row>
    <row r="382" customFormat="false" ht="12.8" hidden="false" customHeight="false" outlineLevel="0" collapsed="false">
      <c r="A382" s="1" t="str">
        <f aca="false">_xlfn.CONCAT($A$378, ".", A5)</f>
        <v>AR.3.2</v>
      </c>
      <c r="B382" s="5" t="str">
        <f aca="false">_xlfn.CONCAT(B5, ": ", C5)</f>
        <v>Agriculture: Support</v>
      </c>
      <c r="C382" s="31" t="n">
        <f aca="false">P5</f>
        <v>0.0841</v>
      </c>
      <c r="D382" s="31" t="n">
        <f aca="false">Q5</f>
        <v>0.09</v>
      </c>
      <c r="E382" s="31" t="n">
        <f aca="false">R5</f>
        <v>0.09</v>
      </c>
      <c r="F382" s="31" t="n">
        <f aca="false">S5</f>
        <v>0.08</v>
      </c>
    </row>
    <row r="383" customFormat="false" ht="12.8" hidden="false" customHeight="false" outlineLevel="0" collapsed="false">
      <c r="A383" s="1" t="str">
        <f aca="false">_xlfn.CONCAT($A$378, ".", A6)</f>
        <v>AR.3.3</v>
      </c>
      <c r="B383" s="5" t="str">
        <f aca="false">_xlfn.CONCAT(B6, ": ", C6)</f>
        <v>Construction: Worker</v>
      </c>
      <c r="C383" s="31" t="n">
        <f aca="false">P6</f>
        <v>0.0827</v>
      </c>
      <c r="D383" s="31" t="n">
        <f aca="false">Q6</f>
        <v>0.09</v>
      </c>
      <c r="E383" s="31" t="n">
        <f aca="false">R6</f>
        <v>0.09</v>
      </c>
      <c r="F383" s="31" t="n">
        <f aca="false">S6</f>
        <v>0.08</v>
      </c>
    </row>
    <row r="384" customFormat="false" ht="12.8" hidden="false" customHeight="false" outlineLevel="0" collapsed="false">
      <c r="A384" s="1" t="str">
        <f aca="false">_xlfn.CONCAT($A$378, ".", A7)</f>
        <v>AR.3.4</v>
      </c>
      <c r="B384" s="5" t="str">
        <f aca="false">_xlfn.CONCAT(B7, ": ", C7)</f>
        <v>Construction: Support</v>
      </c>
      <c r="C384" s="31" t="n">
        <f aca="false">P7</f>
        <v>0.0827</v>
      </c>
      <c r="D384" s="31" t="n">
        <f aca="false">Q7</f>
        <v>0.09</v>
      </c>
      <c r="E384" s="31" t="n">
        <f aca="false">R7</f>
        <v>0.09</v>
      </c>
      <c r="F384" s="31" t="n">
        <f aca="false">S7</f>
        <v>0.08</v>
      </c>
    </row>
    <row r="385" customFormat="false" ht="12.8" hidden="false" customHeight="false" outlineLevel="0" collapsed="false">
      <c r="A385" s="1" t="str">
        <f aca="false">_xlfn.CONCAT($A$378, ".", A8)</f>
        <v>AR.3.5</v>
      </c>
      <c r="B385" s="5" t="str">
        <f aca="false">_xlfn.CONCAT(B8, ": ", C8)</f>
        <v>Hospitality: Worker</v>
      </c>
      <c r="C385" s="31" t="n">
        <f aca="false">P8</f>
        <v>0.1137</v>
      </c>
      <c r="D385" s="31" t="n">
        <f aca="false">Q8</f>
        <v>0.11</v>
      </c>
      <c r="E385" s="31" t="n">
        <f aca="false">R8</f>
        <v>0.11</v>
      </c>
      <c r="F385" s="31" t="n">
        <f aca="false">S8</f>
        <v>0.115</v>
      </c>
    </row>
    <row r="386" customFormat="false" ht="12.8" hidden="false" customHeight="false" outlineLevel="0" collapsed="false">
      <c r="A386" s="1" t="str">
        <f aca="false">_xlfn.CONCAT($A$378, ".", A9)</f>
        <v>AR.3.6</v>
      </c>
      <c r="B386" s="5" t="str">
        <f aca="false">_xlfn.CONCAT(B9, ": ", C9)</f>
        <v>Hospitality: Support</v>
      </c>
      <c r="C386" s="31" t="n">
        <f aca="false">P9</f>
        <v>0.1137</v>
      </c>
      <c r="D386" s="31" t="n">
        <f aca="false">Q9</f>
        <v>0.11</v>
      </c>
      <c r="E386" s="31" t="n">
        <f aca="false">R9</f>
        <v>0.11</v>
      </c>
      <c r="F386" s="31" t="n">
        <f aca="false">S9</f>
        <v>0.115</v>
      </c>
    </row>
    <row r="387" customFormat="false" ht="12.8" hidden="false" customHeight="false" outlineLevel="0" collapsed="false">
      <c r="A387" s="1" t="str">
        <f aca="false">_xlfn.CONCAT($A$378, ".", A10)</f>
        <v>AR.3.7</v>
      </c>
      <c r="B387" s="5" t="str">
        <f aca="false">_xlfn.CONCAT(B10, ": ", C10)</f>
        <v>Cleaning/Maintenance: Worker</v>
      </c>
      <c r="C387" s="31" t="n">
        <f aca="false">P10</f>
        <v>0.1135</v>
      </c>
      <c r="D387" s="31" t="n">
        <f aca="false">Q10</f>
        <v>0.11</v>
      </c>
      <c r="E387" s="31" t="n">
        <f aca="false">R10</f>
        <v>0.11</v>
      </c>
      <c r="F387" s="31" t="n">
        <f aca="false">S10</f>
        <v>0.115</v>
      </c>
    </row>
    <row r="388" customFormat="false" ht="12.8" hidden="false" customHeight="false" outlineLevel="0" collapsed="false">
      <c r="A388" s="1" t="str">
        <f aca="false">_xlfn.CONCAT($A$378, ".", A11)</f>
        <v>AR.3.8</v>
      </c>
      <c r="B388" s="5" t="str">
        <f aca="false">_xlfn.CONCAT(B11, ": ", C11)</f>
        <v>Cleaning/Maintenance: Support</v>
      </c>
      <c r="C388" s="31" t="n">
        <f aca="false">P11</f>
        <v>0.1135</v>
      </c>
      <c r="D388" s="31" t="n">
        <f aca="false">Q11</f>
        <v>0.11</v>
      </c>
      <c r="E388" s="31" t="n">
        <f aca="false">R11</f>
        <v>0.11</v>
      </c>
      <c r="F388" s="31" t="n">
        <f aca="false">S11</f>
        <v>0.115</v>
      </c>
    </row>
    <row r="389" customFormat="false" ht="12.8" hidden="false" customHeight="false" outlineLevel="0" collapsed="false">
      <c r="A389" s="1" t="str">
        <f aca="false">_xlfn.CONCAT($A$378, ".", A12)</f>
        <v>AR.3.9</v>
      </c>
      <c r="B389" s="5" t="str">
        <f aca="false">_xlfn.CONCAT(B12, ": ", C12)</f>
        <v>Manufacturing: Worker</v>
      </c>
      <c r="C389" s="31" t="n">
        <f aca="false">P12</f>
        <v>0.1022</v>
      </c>
      <c r="D389" s="31" t="n">
        <f aca="false">Q12</f>
        <v>0.09</v>
      </c>
      <c r="E389" s="31" t="n">
        <f aca="false">R12</f>
        <v>0.09</v>
      </c>
      <c r="F389" s="31" t="n">
        <f aca="false">S12</f>
        <v>0.105</v>
      </c>
    </row>
    <row r="390" customFormat="false" ht="12.8" hidden="false" customHeight="false" outlineLevel="0" collapsed="false">
      <c r="A390" s="1" t="str">
        <f aca="false">_xlfn.CONCAT($A$378, ".", A13)</f>
        <v>AR.3.10</v>
      </c>
      <c r="B390" s="5" t="str">
        <f aca="false">_xlfn.CONCAT(B13, ": ", C13)</f>
        <v>Manufacturing: Support</v>
      </c>
      <c r="C390" s="31" t="n">
        <f aca="false">P13</f>
        <v>0.1022</v>
      </c>
      <c r="D390" s="31" t="n">
        <f aca="false">Q13</f>
        <v>0.09</v>
      </c>
      <c r="E390" s="31" t="n">
        <f aca="false">R13</f>
        <v>0.09</v>
      </c>
      <c r="F390" s="31" t="n">
        <f aca="false">S13</f>
        <v>0.105</v>
      </c>
    </row>
    <row r="391" customFormat="false" ht="12.8" hidden="false" customHeight="false" outlineLevel="0" collapsed="false">
      <c r="A391" s="1" t="str">
        <f aca="false">_xlfn.CONCAT($A$378, ".", A14)</f>
        <v>AR.3.11</v>
      </c>
      <c r="B391" s="5" t="str">
        <f aca="false">_xlfn.CONCAT(B14, ": ", C14)</f>
        <v>Transportation &amp; Warehousing: Worker</v>
      </c>
      <c r="C391" s="31" t="n">
        <f aca="false">P14</f>
        <v>0.1018</v>
      </c>
      <c r="D391" s="31" t="n">
        <f aca="false">Q14</f>
        <v>0.09</v>
      </c>
      <c r="E391" s="31" t="n">
        <f aca="false">R14</f>
        <v>0.09</v>
      </c>
      <c r="F391" s="31" t="n">
        <f aca="false">S14</f>
        <v>0.105</v>
      </c>
    </row>
    <row r="392" customFormat="false" ht="12.8" hidden="false" customHeight="false" outlineLevel="0" collapsed="false">
      <c r="A392" s="1" t="str">
        <f aca="false">_xlfn.CONCAT($A$378, ".", A15)</f>
        <v>AR.3.12</v>
      </c>
      <c r="B392" s="5" t="str">
        <f aca="false">_xlfn.CONCAT(B15, ": ", C15)</f>
        <v>Transportation &amp; Warehousing: Support</v>
      </c>
      <c r="C392" s="31" t="n">
        <f aca="false">P15</f>
        <v>0.1018</v>
      </c>
      <c r="D392" s="31" t="n">
        <f aca="false">Q15</f>
        <v>0.09</v>
      </c>
      <c r="E392" s="31" t="n">
        <f aca="false">R15</f>
        <v>0.09</v>
      </c>
      <c r="F392" s="31" t="n">
        <f aca="false">S15</f>
        <v>0.105</v>
      </c>
    </row>
    <row r="393" customFormat="false" ht="12.8" hidden="false" customHeight="false" outlineLevel="0" collapsed="false">
      <c r="A393" s="1" t="str">
        <f aca="false">_xlfn.CONCAT($A$378, ".", A16)</f>
        <v>AR.3.13</v>
      </c>
      <c r="B393" s="5" t="str">
        <f aca="false">_xlfn.CONCAT(B16, ": ", C16)</f>
        <v>Retail Trade: Worker</v>
      </c>
      <c r="C393" s="31" t="n">
        <f aca="false">P16</f>
        <v>0.1144</v>
      </c>
      <c r="D393" s="31" t="n">
        <f aca="false">Q16</f>
        <v>0.11</v>
      </c>
      <c r="E393" s="31" t="n">
        <f aca="false">R16</f>
        <v>0.11</v>
      </c>
      <c r="F393" s="31" t="n">
        <f aca="false">S16</f>
        <v>0.115</v>
      </c>
    </row>
    <row r="394" customFormat="false" ht="12.8" hidden="false" customHeight="false" outlineLevel="0" collapsed="false">
      <c r="A394" s="1" t="str">
        <f aca="false">_xlfn.CONCAT($A$378, ".", A17)</f>
        <v>AR.3.14</v>
      </c>
      <c r="B394" s="5" t="str">
        <f aca="false">_xlfn.CONCAT(B17, ": ", C17)</f>
        <v>Retail Trade: Support</v>
      </c>
      <c r="C394" s="31" t="n">
        <f aca="false">P17</f>
        <v>0.1144</v>
      </c>
      <c r="D394" s="31" t="n">
        <f aca="false">Q17</f>
        <v>0.11</v>
      </c>
      <c r="E394" s="31" t="n">
        <f aca="false">R17</f>
        <v>0.11</v>
      </c>
      <c r="F394" s="31" t="n">
        <f aca="false">S17</f>
        <v>0.115</v>
      </c>
    </row>
    <row r="395" customFormat="false" ht="12.8" hidden="false" customHeight="false" outlineLevel="0" collapsed="false">
      <c r="A395" s="1" t="str">
        <f aca="false">_xlfn.CONCAT($A$378, ".", A18)</f>
        <v>AR.3.15</v>
      </c>
      <c r="B395" s="5" t="str">
        <f aca="false">_xlfn.CONCAT(B18, ": ", C18)</f>
        <v>Landscaping / Groundskeeping: Worker</v>
      </c>
      <c r="C395" s="31" t="n">
        <f aca="false">P18</f>
        <v>0.1037</v>
      </c>
      <c r="D395" s="31" t="n">
        <f aca="false">Q18</f>
        <v>0.1</v>
      </c>
      <c r="E395" s="31" t="n">
        <f aca="false">R18</f>
        <v>0.1</v>
      </c>
      <c r="F395" s="31" t="n">
        <f aca="false">S18</f>
        <v>0.105</v>
      </c>
    </row>
    <row r="396" customFormat="false" ht="12.8" hidden="false" customHeight="false" outlineLevel="0" collapsed="false">
      <c r="A396" s="1" t="str">
        <f aca="false">_xlfn.CONCAT($A$378, ".", A19)</f>
        <v>AR.3.16</v>
      </c>
      <c r="B396" s="5" t="str">
        <f aca="false">_xlfn.CONCAT(B19, ": ", C19)</f>
        <v>Landscaping / Groundskeeping: Support</v>
      </c>
      <c r="C396" s="31" t="n">
        <f aca="false">P19</f>
        <v>0.1037</v>
      </c>
      <c r="D396" s="31" t="n">
        <f aca="false">Q19</f>
        <v>0.1</v>
      </c>
      <c r="E396" s="31" t="n">
        <f aca="false">R19</f>
        <v>0.1</v>
      </c>
      <c r="F396" s="31" t="n">
        <f aca="false">S19</f>
        <v>0.105</v>
      </c>
    </row>
    <row r="397" customFormat="false" ht="12.8" hidden="false" customHeight="false" outlineLevel="0" collapsed="false">
      <c r="A397" s="1" t="str">
        <f aca="false">_xlfn.CONCAT($A$378, ".", A20)</f>
        <v>AR.3.17</v>
      </c>
      <c r="B397" s="5" t="str">
        <f aca="false">_xlfn.CONCAT(B20, ": ", C20)</f>
        <v>Automotive &amp; Repair: Worker</v>
      </c>
      <c r="C397" s="31" t="n">
        <f aca="false">P20</f>
        <v>0.104</v>
      </c>
      <c r="D397" s="31" t="n">
        <f aca="false">Q20</f>
        <v>0.1</v>
      </c>
      <c r="E397" s="31" t="n">
        <f aca="false">R20</f>
        <v>0.1</v>
      </c>
      <c r="F397" s="31" t="n">
        <f aca="false">S20</f>
        <v>0.105</v>
      </c>
    </row>
    <row r="398" customFormat="false" ht="12.8" hidden="false" customHeight="false" outlineLevel="0" collapsed="false">
      <c r="A398" s="1" t="str">
        <f aca="false">_xlfn.CONCAT($A$378, ".", A21)</f>
        <v>AR.3.18</v>
      </c>
      <c r="B398" s="5" t="str">
        <f aca="false">_xlfn.CONCAT(B21, ": ", C21)</f>
        <v>Automotive &amp; Repair: Support</v>
      </c>
      <c r="C398" s="31" t="n">
        <f aca="false">P21</f>
        <v>0.104</v>
      </c>
      <c r="D398" s="31" t="n">
        <f aca="false">Q21</f>
        <v>0.1</v>
      </c>
      <c r="E398" s="31" t="n">
        <f aca="false">R21</f>
        <v>0.1</v>
      </c>
      <c r="F398" s="31" t="n">
        <f aca="false">S21</f>
        <v>0.105</v>
      </c>
    </row>
    <row r="399" customFormat="false" ht="12.8" hidden="false" customHeight="false" outlineLevel="0" collapsed="false">
      <c r="A399" s="1" t="str">
        <f aca="false">_xlfn.CONCAT($A$378, ".", A22)</f>
        <v>AR.3.19</v>
      </c>
      <c r="B399" s="5" t="str">
        <f aca="false">_xlfn.CONCAT(B22, ": ", C22)</f>
        <v>Other Services: Worker</v>
      </c>
      <c r="C399" s="31" t="n">
        <f aca="false">P22</f>
        <v>0.1034</v>
      </c>
      <c r="D399" s="31" t="n">
        <f aca="false">Q22</f>
        <v>0.1</v>
      </c>
      <c r="E399" s="31" t="n">
        <f aca="false">R22</f>
        <v>0.1</v>
      </c>
      <c r="F399" s="31" t="n">
        <f aca="false">S22</f>
        <v>0.105</v>
      </c>
    </row>
    <row r="400" customFormat="false" ht="12.8" hidden="false" customHeight="false" outlineLevel="0" collapsed="false">
      <c r="A400" s="1" t="str">
        <f aca="false">_xlfn.CONCAT($A$378, ".", A23)</f>
        <v>AR.3.20</v>
      </c>
      <c r="B400" s="5" t="str">
        <f aca="false">_xlfn.CONCAT(B23, ": ", C23)</f>
        <v>Other Services: Support</v>
      </c>
      <c r="C400" s="31" t="n">
        <f aca="false">P23</f>
        <v>0.1034</v>
      </c>
      <c r="D400" s="31" t="n">
        <f aca="false">Q23</f>
        <v>0.1</v>
      </c>
      <c r="E400" s="31" t="n">
        <f aca="false">R23</f>
        <v>0.1</v>
      </c>
      <c r="F400" s="31" t="n">
        <f aca="false">S23</f>
        <v>0.105</v>
      </c>
    </row>
    <row r="496" customFormat="false" ht="12.8" hidden="false" customHeight="false" outlineLevel="0" collapsed="false">
      <c r="A496" s="4" t="s">
        <v>164</v>
      </c>
      <c r="B496" s="27" t="s">
        <v>159</v>
      </c>
      <c r="C496" s="29" t="s">
        <v>153</v>
      </c>
    </row>
    <row r="497" customFormat="false" ht="35.05" hidden="false" customHeight="false" outlineLevel="0" collapsed="false">
      <c r="A497" s="4" t="s">
        <v>15</v>
      </c>
      <c r="B497" s="4" t="str">
        <f aca="false">_xlfn.CONCAT(B2, ": ", C2)</f>
        <v>Industry: Role</v>
      </c>
      <c r="C497" s="14" t="str">
        <f aca="false">T2</f>
        <v>Wage Average ($/hr)</v>
      </c>
      <c r="D497" s="14" t="str">
        <f aca="false">Z2</f>
        <v>Authorized Immigrant Wage Average ($/hr)</v>
      </c>
      <c r="E497" s="14" t="str">
        <f aca="false">AF2</f>
        <v>Unauthorized Immigrant Wage Average ($/hr)</v>
      </c>
      <c r="F497" s="14" t="str">
        <f aca="false">AL2</f>
        <v>American Wage Average ($/hr)</v>
      </c>
    </row>
    <row r="498" customFormat="false" ht="12.8" hidden="false" customHeight="false" outlineLevel="0" collapsed="false">
      <c r="A498" s="1" t="str">
        <f aca="false">_xlfn.CONCAT($A$496, ".", A3)</f>
        <v>AR.4.0</v>
      </c>
      <c r="B498" s="4" t="str">
        <f aca="false">_xlfn.CONCAT(B3, ": ", C3)</f>
        <v>All Industries: All Roles</v>
      </c>
      <c r="C498" s="32" t="n">
        <f aca="false">T3</f>
        <v>13.4</v>
      </c>
      <c r="D498" s="32" t="n">
        <f aca="false">Z3</f>
        <v>10.1</v>
      </c>
      <c r="E498" s="32" t="n">
        <f aca="false">AF3</f>
        <v>10.1</v>
      </c>
      <c r="F498" s="34" t="n">
        <f aca="false">AL3</f>
        <v>13.6</v>
      </c>
    </row>
    <row r="499" customFormat="false" ht="12.8" hidden="false" customHeight="false" outlineLevel="0" collapsed="false">
      <c r="A499" s="1" t="str">
        <f aca="false">_xlfn.CONCAT($A$496, ".", A4)</f>
        <v>AR.4.1</v>
      </c>
      <c r="B499" s="5" t="str">
        <f aca="false">_xlfn.CONCAT(B4, ": ", C4)</f>
        <v>Agriculture: Worker</v>
      </c>
      <c r="C499" s="18" t="n">
        <f aca="false">T4</f>
        <v>18.5</v>
      </c>
      <c r="D499" s="18" t="n">
        <f aca="false">Z4</f>
        <v>18.5</v>
      </c>
      <c r="E499" s="18" t="n">
        <f aca="false">AF4</f>
        <v>17</v>
      </c>
      <c r="F499" s="20" t="n">
        <f aca="false">AL4</f>
        <v>21</v>
      </c>
    </row>
    <row r="500" customFormat="false" ht="12.8" hidden="false" customHeight="false" outlineLevel="0" collapsed="false">
      <c r="A500" s="1" t="str">
        <f aca="false">_xlfn.CONCAT($A$496, ".", A5)</f>
        <v>AR.4.2</v>
      </c>
      <c r="B500" s="5" t="str">
        <f aca="false">_xlfn.CONCAT(B5, ": ", C5)</f>
        <v>Agriculture: Support</v>
      </c>
      <c r="C500" s="18" t="n">
        <f aca="false">T5</f>
        <v>17</v>
      </c>
      <c r="D500" s="18" t="n">
        <f aca="false">Z5</f>
        <v>17</v>
      </c>
      <c r="E500" s="18" t="n">
        <f aca="false">AF5</f>
        <v>15.5</v>
      </c>
      <c r="F500" s="20" t="n">
        <f aca="false">AL5</f>
        <v>19</v>
      </c>
    </row>
    <row r="501" customFormat="false" ht="12.8" hidden="false" customHeight="false" outlineLevel="0" collapsed="false">
      <c r="A501" s="1" t="str">
        <f aca="false">_xlfn.CONCAT($A$496, ".", A6)</f>
        <v>AR.4.3</v>
      </c>
      <c r="B501" s="5" t="str">
        <f aca="false">_xlfn.CONCAT(B6, ": ", C6)</f>
        <v>Construction: Worker</v>
      </c>
      <c r="C501" s="18" t="n">
        <f aca="false">T6</f>
        <v>22</v>
      </c>
      <c r="D501" s="18" t="n">
        <f aca="false">Z6</f>
        <v>22</v>
      </c>
      <c r="E501" s="18" t="n">
        <f aca="false">AF6</f>
        <v>20</v>
      </c>
      <c r="F501" s="20" t="n">
        <f aca="false">AL6</f>
        <v>24</v>
      </c>
    </row>
    <row r="502" customFormat="false" ht="12.8" hidden="false" customHeight="false" outlineLevel="0" collapsed="false">
      <c r="A502" s="1" t="str">
        <f aca="false">_xlfn.CONCAT($A$496, ".", A7)</f>
        <v>AR.4.4</v>
      </c>
      <c r="B502" s="5" t="str">
        <f aca="false">_xlfn.CONCAT(B7, ": ", C7)</f>
        <v>Construction: Support</v>
      </c>
      <c r="C502" s="18" t="n">
        <f aca="false">T7</f>
        <v>20</v>
      </c>
      <c r="D502" s="18" t="n">
        <f aca="false">Z7</f>
        <v>20</v>
      </c>
      <c r="E502" s="18" t="n">
        <f aca="false">AF7</f>
        <v>18</v>
      </c>
      <c r="F502" s="20" t="n">
        <f aca="false">AL7</f>
        <v>22</v>
      </c>
    </row>
    <row r="503" customFormat="false" ht="12.8" hidden="false" customHeight="false" outlineLevel="0" collapsed="false">
      <c r="A503" s="1" t="str">
        <f aca="false">_xlfn.CONCAT($A$496, ".", A8)</f>
        <v>AR.4.5</v>
      </c>
      <c r="B503" s="5" t="str">
        <f aca="false">_xlfn.CONCAT(B8, ": ", C8)</f>
        <v>Hospitality: Worker</v>
      </c>
      <c r="C503" s="18" t="n">
        <f aca="false">T8</f>
        <v>14</v>
      </c>
      <c r="D503" s="18" t="n">
        <f aca="false">Z8</f>
        <v>14</v>
      </c>
      <c r="E503" s="18" t="n">
        <f aca="false">AF8</f>
        <v>12.5</v>
      </c>
      <c r="F503" s="20" t="n">
        <f aca="false">AL8</f>
        <v>15.5</v>
      </c>
    </row>
    <row r="504" customFormat="false" ht="12.8" hidden="false" customHeight="false" outlineLevel="0" collapsed="false">
      <c r="A504" s="1" t="str">
        <f aca="false">_xlfn.CONCAT($A$496, ".", A9)</f>
        <v>AR.4.6</v>
      </c>
      <c r="B504" s="5" t="str">
        <f aca="false">_xlfn.CONCAT(B9, ": ", C9)</f>
        <v>Hospitality: Support</v>
      </c>
      <c r="C504" s="18" t="n">
        <f aca="false">T9</f>
        <v>12.5</v>
      </c>
      <c r="D504" s="18" t="n">
        <f aca="false">Z9</f>
        <v>12.5</v>
      </c>
      <c r="E504" s="18" t="n">
        <f aca="false">AF9</f>
        <v>11</v>
      </c>
      <c r="F504" s="20" t="n">
        <f aca="false">AL9</f>
        <v>14</v>
      </c>
    </row>
    <row r="505" customFormat="false" ht="12.8" hidden="false" customHeight="false" outlineLevel="0" collapsed="false">
      <c r="A505" s="1" t="str">
        <f aca="false">_xlfn.CONCAT($A$496, ".", A10)</f>
        <v>AR.4.7</v>
      </c>
      <c r="B505" s="5" t="str">
        <f aca="false">_xlfn.CONCAT(B10, ": ", C10)</f>
        <v>Cleaning/Maintenance: Worker</v>
      </c>
      <c r="C505" s="18" t="n">
        <f aca="false">T10</f>
        <v>14.5</v>
      </c>
      <c r="D505" s="18" t="n">
        <f aca="false">Z10</f>
        <v>14.5</v>
      </c>
      <c r="E505" s="18" t="n">
        <f aca="false">AF10</f>
        <v>13</v>
      </c>
      <c r="F505" s="20" t="n">
        <f aca="false">AL10</f>
        <v>16</v>
      </c>
    </row>
    <row r="506" customFormat="false" ht="12.8" hidden="false" customHeight="false" outlineLevel="0" collapsed="false">
      <c r="A506" s="1" t="str">
        <f aca="false">_xlfn.CONCAT($A$496, ".", A11)</f>
        <v>AR.4.8</v>
      </c>
      <c r="B506" s="5" t="str">
        <f aca="false">_xlfn.CONCAT(B11, ": ", C11)</f>
        <v>Cleaning/Maintenance: Support</v>
      </c>
      <c r="C506" s="18" t="n">
        <f aca="false">T11</f>
        <v>12.5</v>
      </c>
      <c r="D506" s="18" t="n">
        <f aca="false">Z11</f>
        <v>12.5</v>
      </c>
      <c r="E506" s="18" t="n">
        <f aca="false">AF11</f>
        <v>11</v>
      </c>
      <c r="F506" s="20" t="n">
        <f aca="false">AL11</f>
        <v>14</v>
      </c>
    </row>
    <row r="507" customFormat="false" ht="12.8" hidden="false" customHeight="false" outlineLevel="0" collapsed="false">
      <c r="A507" s="1" t="str">
        <f aca="false">_xlfn.CONCAT($A$496, ".", A12)</f>
        <v>AR.4.9</v>
      </c>
      <c r="B507" s="5" t="str">
        <f aca="false">_xlfn.CONCAT(B12, ": ", C12)</f>
        <v>Manufacturing: Worker</v>
      </c>
      <c r="C507" s="18" t="n">
        <f aca="false">T12</f>
        <v>22</v>
      </c>
      <c r="D507" s="18" t="n">
        <f aca="false">Z12</f>
        <v>22</v>
      </c>
      <c r="E507" s="18" t="n">
        <f aca="false">AF12</f>
        <v>20</v>
      </c>
      <c r="F507" s="20" t="n">
        <f aca="false">AL12</f>
        <v>24</v>
      </c>
    </row>
    <row r="508" customFormat="false" ht="12.8" hidden="false" customHeight="false" outlineLevel="0" collapsed="false">
      <c r="A508" s="1" t="str">
        <f aca="false">_xlfn.CONCAT($A$496, ".", A13)</f>
        <v>AR.4.10</v>
      </c>
      <c r="B508" s="5" t="str">
        <f aca="false">_xlfn.CONCAT(B13, ": ", C13)</f>
        <v>Manufacturing: Support</v>
      </c>
      <c r="C508" s="18" t="n">
        <f aca="false">T13</f>
        <v>20</v>
      </c>
      <c r="D508" s="18" t="n">
        <f aca="false">Z13</f>
        <v>20</v>
      </c>
      <c r="E508" s="18" t="n">
        <f aca="false">AF13</f>
        <v>18</v>
      </c>
      <c r="F508" s="20" t="n">
        <f aca="false">AL13</f>
        <v>22</v>
      </c>
    </row>
    <row r="509" customFormat="false" ht="12.8" hidden="false" customHeight="false" outlineLevel="0" collapsed="false">
      <c r="A509" s="1" t="str">
        <f aca="false">_xlfn.CONCAT($A$496, ".", A14)</f>
        <v>AR.4.11</v>
      </c>
      <c r="B509" s="5" t="str">
        <f aca="false">_xlfn.CONCAT(B14, ": ", C14)</f>
        <v>Transportation &amp; Warehousing: Worker</v>
      </c>
      <c r="C509" s="18" t="n">
        <f aca="false">T14</f>
        <v>24</v>
      </c>
      <c r="D509" s="18" t="n">
        <f aca="false">Z14</f>
        <v>24</v>
      </c>
      <c r="E509" s="18" t="n">
        <f aca="false">AF14</f>
        <v>22</v>
      </c>
      <c r="F509" s="20" t="n">
        <f aca="false">AL14</f>
        <v>26</v>
      </c>
    </row>
    <row r="510" customFormat="false" ht="12.8" hidden="false" customHeight="false" outlineLevel="0" collapsed="false">
      <c r="A510" s="1" t="str">
        <f aca="false">_xlfn.CONCAT($A$496, ".", A15)</f>
        <v>AR.4.12</v>
      </c>
      <c r="B510" s="5" t="str">
        <f aca="false">_xlfn.CONCAT(B15, ": ", C15)</f>
        <v>Transportation &amp; Warehousing: Support</v>
      </c>
      <c r="C510" s="18" t="n">
        <f aca="false">T15</f>
        <v>22</v>
      </c>
      <c r="D510" s="18" t="n">
        <f aca="false">Z15</f>
        <v>22</v>
      </c>
      <c r="E510" s="18" t="n">
        <f aca="false">AF15</f>
        <v>20</v>
      </c>
      <c r="F510" s="20" t="n">
        <f aca="false">AL15</f>
        <v>24</v>
      </c>
    </row>
    <row r="511" customFormat="false" ht="12.8" hidden="false" customHeight="false" outlineLevel="0" collapsed="false">
      <c r="A511" s="1" t="str">
        <f aca="false">_xlfn.CONCAT($A$496, ".", A16)</f>
        <v>AR.4.13</v>
      </c>
      <c r="B511" s="5" t="str">
        <f aca="false">_xlfn.CONCAT(B16, ": ", C16)</f>
        <v>Retail Trade: Worker</v>
      </c>
      <c r="C511" s="18" t="n">
        <f aca="false">T16</f>
        <v>15</v>
      </c>
      <c r="D511" s="18" t="n">
        <f aca="false">Z16</f>
        <v>15</v>
      </c>
      <c r="E511" s="18" t="n">
        <f aca="false">AF16</f>
        <v>13.5</v>
      </c>
      <c r="F511" s="20" t="n">
        <f aca="false">AL16</f>
        <v>17</v>
      </c>
    </row>
    <row r="512" customFormat="false" ht="12.8" hidden="false" customHeight="false" outlineLevel="0" collapsed="false">
      <c r="A512" s="1" t="str">
        <f aca="false">_xlfn.CONCAT($A$496, ".", A17)</f>
        <v>AR.4.14</v>
      </c>
      <c r="B512" s="5" t="str">
        <f aca="false">_xlfn.CONCAT(B17, ": ", C17)</f>
        <v>Retail Trade: Support</v>
      </c>
      <c r="C512" s="18" t="n">
        <f aca="false">T17</f>
        <v>13.5</v>
      </c>
      <c r="D512" s="18" t="n">
        <f aca="false">Z17</f>
        <v>13.5</v>
      </c>
      <c r="E512" s="18" t="n">
        <f aca="false">AF17</f>
        <v>12</v>
      </c>
      <c r="F512" s="20" t="n">
        <f aca="false">AL17</f>
        <v>15</v>
      </c>
    </row>
    <row r="513" customFormat="false" ht="12.8" hidden="false" customHeight="false" outlineLevel="0" collapsed="false">
      <c r="A513" s="1" t="str">
        <f aca="false">_xlfn.CONCAT($A$496, ".", A18)</f>
        <v>AR.4.15</v>
      </c>
      <c r="B513" s="5" t="str">
        <f aca="false">_xlfn.CONCAT(B18, ": ", C18)</f>
        <v>Landscaping / Groundskeeping: Worker</v>
      </c>
      <c r="C513" s="18" t="n">
        <f aca="false">T18</f>
        <v>18</v>
      </c>
      <c r="D513" s="18" t="n">
        <f aca="false">Z18</f>
        <v>18</v>
      </c>
      <c r="E513" s="18" t="n">
        <f aca="false">AF18</f>
        <v>16.5</v>
      </c>
      <c r="F513" s="20" t="n">
        <f aca="false">AL18</f>
        <v>20</v>
      </c>
    </row>
    <row r="514" customFormat="false" ht="12.8" hidden="false" customHeight="false" outlineLevel="0" collapsed="false">
      <c r="A514" s="1" t="str">
        <f aca="false">_xlfn.CONCAT($A$496, ".", A19)</f>
        <v>AR.4.16</v>
      </c>
      <c r="B514" s="5" t="str">
        <f aca="false">_xlfn.CONCAT(B19, ": ", C19)</f>
        <v>Landscaping / Groundskeeping: Support</v>
      </c>
      <c r="C514" s="18" t="n">
        <f aca="false">T19</f>
        <v>16</v>
      </c>
      <c r="D514" s="18" t="n">
        <f aca="false">Z19</f>
        <v>16</v>
      </c>
      <c r="E514" s="18" t="n">
        <f aca="false">AF19</f>
        <v>14.5</v>
      </c>
      <c r="F514" s="20" t="n">
        <f aca="false">AL19</f>
        <v>18</v>
      </c>
    </row>
    <row r="515" customFormat="false" ht="12.8" hidden="false" customHeight="false" outlineLevel="0" collapsed="false">
      <c r="A515" s="1" t="str">
        <f aca="false">_xlfn.CONCAT($A$496, ".", A20)</f>
        <v>AR.4.17</v>
      </c>
      <c r="B515" s="5" t="str">
        <f aca="false">_xlfn.CONCAT(B20, ": ", C20)</f>
        <v>Automotive &amp; Repair: Worker</v>
      </c>
      <c r="C515" s="18" t="n">
        <f aca="false">T20</f>
        <v>20</v>
      </c>
      <c r="D515" s="18" t="n">
        <f aca="false">Z20</f>
        <v>20</v>
      </c>
      <c r="E515" s="18" t="n">
        <f aca="false">AF20</f>
        <v>18</v>
      </c>
      <c r="F515" s="20" t="n">
        <f aca="false">AL20</f>
        <v>22</v>
      </c>
    </row>
    <row r="516" customFormat="false" ht="12.8" hidden="false" customHeight="false" outlineLevel="0" collapsed="false">
      <c r="A516" s="1" t="str">
        <f aca="false">_xlfn.CONCAT($A$496, ".", A21)</f>
        <v>AR.4.18</v>
      </c>
      <c r="B516" s="5" t="str">
        <f aca="false">_xlfn.CONCAT(B21, ": ", C21)</f>
        <v>Automotive &amp; Repair: Support</v>
      </c>
      <c r="C516" s="18" t="n">
        <f aca="false">T21</f>
        <v>18</v>
      </c>
      <c r="D516" s="18" t="n">
        <f aca="false">Z21</f>
        <v>18</v>
      </c>
      <c r="E516" s="18" t="n">
        <f aca="false">AF21</f>
        <v>16</v>
      </c>
      <c r="F516" s="20" t="n">
        <f aca="false">AL21</f>
        <v>20</v>
      </c>
    </row>
    <row r="517" customFormat="false" ht="12.8" hidden="false" customHeight="false" outlineLevel="0" collapsed="false">
      <c r="A517" s="1" t="str">
        <f aca="false">_xlfn.CONCAT($A$496, ".", A22)</f>
        <v>AR.4.19</v>
      </c>
      <c r="B517" s="5" t="str">
        <f aca="false">_xlfn.CONCAT(B22, ": ", C22)</f>
        <v>Other Services: Worker</v>
      </c>
      <c r="C517" s="18" t="n">
        <f aca="false">T22</f>
        <v>20</v>
      </c>
      <c r="D517" s="18" t="n">
        <f aca="false">Z22</f>
        <v>20</v>
      </c>
      <c r="E517" s="18" t="n">
        <f aca="false">AF22</f>
        <v>18</v>
      </c>
      <c r="F517" s="20" t="n">
        <f aca="false">AL22</f>
        <v>22</v>
      </c>
    </row>
    <row r="518" customFormat="false" ht="12.8" hidden="false" customHeight="false" outlineLevel="0" collapsed="false">
      <c r="A518" s="1" t="str">
        <f aca="false">_xlfn.CONCAT($A$496, ".", A23)</f>
        <v>AR.4.20</v>
      </c>
      <c r="B518" s="5" t="str">
        <f aca="false">_xlfn.CONCAT(B23, ": ", C23)</f>
        <v>Other Services: Support</v>
      </c>
      <c r="C518" s="18" t="n">
        <f aca="false">T23</f>
        <v>18</v>
      </c>
      <c r="D518" s="18" t="n">
        <f aca="false">Z23</f>
        <v>18</v>
      </c>
      <c r="E518" s="18" t="n">
        <f aca="false">AF23</f>
        <v>16</v>
      </c>
      <c r="F518" s="20" t="n">
        <f aca="false">AL23</f>
        <v>20</v>
      </c>
    </row>
    <row r="613" customFormat="false" ht="12.8" hidden="false" customHeight="false" outlineLevel="0" collapsed="false">
      <c r="A613" s="4" t="s">
        <v>165</v>
      </c>
      <c r="B613" s="27" t="s">
        <v>159</v>
      </c>
      <c r="C613" s="29" t="s">
        <v>155</v>
      </c>
    </row>
    <row r="614" customFormat="false" ht="46.25" hidden="false" customHeight="false" outlineLevel="0" collapsed="false">
      <c r="A614" s="4" t="s">
        <v>15</v>
      </c>
      <c r="B614" s="4" t="str">
        <f aca="false">_xlfn.CONCAT(B2, ": ", C2)</f>
        <v>Industry: Role</v>
      </c>
      <c r="C614" s="33" t="str">
        <f aca="false">W2</f>
        <v>Annual Income ($)</v>
      </c>
      <c r="D614" s="33" t="str">
        <f aca="false">AC2</f>
        <v>Authorized Immigrant Annual Income Average ($)</v>
      </c>
      <c r="E614" s="33" t="str">
        <f aca="false">AI2</f>
        <v>Unauthorized Immigrant Annual Income Average ($)</v>
      </c>
      <c r="F614" s="33" t="str">
        <f aca="false">AO2</f>
        <v>American Annual Income Average ($)</v>
      </c>
    </row>
    <row r="615" customFormat="false" ht="12.8" hidden="false" customHeight="false" outlineLevel="0" collapsed="false">
      <c r="A615" s="1" t="str">
        <f aca="false">_xlfn.CONCAT($A$613, ".", A3)</f>
        <v>AR.5.0</v>
      </c>
      <c r="B615" s="4" t="str">
        <f aca="false">_xlfn.CONCAT(B3, ": ", C3)</f>
        <v>All Industries: All Roles</v>
      </c>
      <c r="C615" s="33" t="n">
        <f aca="false">W3</f>
        <v>24100</v>
      </c>
      <c r="D615" s="33" t="n">
        <f aca="false">AC3</f>
        <v>18200</v>
      </c>
      <c r="E615" s="33" t="n">
        <f aca="false">AI3</f>
        <v>18200</v>
      </c>
      <c r="F615" s="33" t="n">
        <f aca="false">AO3</f>
        <v>24500</v>
      </c>
    </row>
    <row r="616" customFormat="false" ht="12.8" hidden="false" customHeight="false" outlineLevel="0" collapsed="false">
      <c r="A616" s="1" t="str">
        <f aca="false">_xlfn.CONCAT($A$613, ".", A4)</f>
        <v>AR.5.1</v>
      </c>
      <c r="B616" s="5" t="str">
        <f aca="false">_xlfn.CONCAT(B4, ": ", C4)</f>
        <v>Agriculture: Worker</v>
      </c>
      <c r="C616" s="33" t="n">
        <f aca="false">W4</f>
        <v>30525</v>
      </c>
      <c r="D616" s="33" t="n">
        <f aca="false">AC4</f>
        <v>30525</v>
      </c>
      <c r="E616" s="33" t="n">
        <f aca="false">AI4</f>
        <v>28050</v>
      </c>
      <c r="F616" s="33" t="n">
        <f aca="false">AO4</f>
        <v>34650</v>
      </c>
    </row>
    <row r="617" customFormat="false" ht="12.8" hidden="false" customHeight="false" outlineLevel="0" collapsed="false">
      <c r="A617" s="1" t="str">
        <f aca="false">_xlfn.CONCAT($A$613, ".", A5)</f>
        <v>AR.5.2</v>
      </c>
      <c r="B617" s="5" t="str">
        <f aca="false">_xlfn.CONCAT(B5, ": ", C5)</f>
        <v>Agriculture: Support</v>
      </c>
      <c r="C617" s="33" t="n">
        <f aca="false">W5</f>
        <v>30600</v>
      </c>
      <c r="D617" s="33" t="n">
        <f aca="false">AC5</f>
        <v>30600</v>
      </c>
      <c r="E617" s="33" t="n">
        <f aca="false">AI5</f>
        <v>27900</v>
      </c>
      <c r="F617" s="33" t="n">
        <f aca="false">AO5</f>
        <v>34200</v>
      </c>
    </row>
    <row r="618" customFormat="false" ht="12.8" hidden="false" customHeight="false" outlineLevel="0" collapsed="false">
      <c r="A618" s="1" t="str">
        <f aca="false">_xlfn.CONCAT($A$613, ".", A6)</f>
        <v>AR.5.3</v>
      </c>
      <c r="B618" s="5" t="str">
        <f aca="false">_xlfn.CONCAT(B6, ": ", C6)</f>
        <v>Construction: Worker</v>
      </c>
      <c r="C618" s="33" t="n">
        <f aca="false">W6</f>
        <v>42900</v>
      </c>
      <c r="D618" s="33" t="n">
        <f aca="false">AC6</f>
        <v>42900</v>
      </c>
      <c r="E618" s="33" t="n">
        <f aca="false">AI6</f>
        <v>39000</v>
      </c>
      <c r="F618" s="33" t="n">
        <f aca="false">AO6</f>
        <v>46800</v>
      </c>
    </row>
    <row r="619" customFormat="false" ht="12.8" hidden="false" customHeight="false" outlineLevel="0" collapsed="false">
      <c r="A619" s="1" t="str">
        <f aca="false">_xlfn.CONCAT($A$613, ".", A7)</f>
        <v>AR.5.4</v>
      </c>
      <c r="B619" s="5" t="str">
        <f aca="false">_xlfn.CONCAT(B7, ": ", C7)</f>
        <v>Construction: Support</v>
      </c>
      <c r="C619" s="33" t="n">
        <f aca="false">W7</f>
        <v>36000</v>
      </c>
      <c r="D619" s="33" t="n">
        <f aca="false">AC7</f>
        <v>36000</v>
      </c>
      <c r="E619" s="33" t="n">
        <f aca="false">AI7</f>
        <v>32400</v>
      </c>
      <c r="F619" s="33" t="n">
        <f aca="false">AO7</f>
        <v>39600</v>
      </c>
    </row>
    <row r="620" customFormat="false" ht="12.8" hidden="false" customHeight="false" outlineLevel="0" collapsed="false">
      <c r="A620" s="1" t="str">
        <f aca="false">_xlfn.CONCAT($A$613, ".", A8)</f>
        <v>AR.5.5</v>
      </c>
      <c r="B620" s="5" t="str">
        <f aca="false">_xlfn.CONCAT(B8, ": ", C8)</f>
        <v>Hospitality: Worker</v>
      </c>
      <c r="C620" s="33" t="n">
        <f aca="false">W8</f>
        <v>21700</v>
      </c>
      <c r="D620" s="33" t="n">
        <f aca="false">AC8</f>
        <v>21700</v>
      </c>
      <c r="E620" s="33" t="n">
        <f aca="false">AI8</f>
        <v>19400</v>
      </c>
      <c r="F620" s="33" t="n">
        <f aca="false">AO8</f>
        <v>24100</v>
      </c>
    </row>
    <row r="621" customFormat="false" ht="12.8" hidden="false" customHeight="false" outlineLevel="0" collapsed="false">
      <c r="A621" s="1" t="str">
        <f aca="false">_xlfn.CONCAT($A$613, ".", A9)</f>
        <v>AR.5.6</v>
      </c>
      <c r="B621" s="5" t="str">
        <f aca="false">_xlfn.CONCAT(B9, ": ", C9)</f>
        <v>Hospitality: Support</v>
      </c>
      <c r="C621" s="33" t="n">
        <f aca="false">W9</f>
        <v>20000</v>
      </c>
      <c r="D621" s="33" t="n">
        <f aca="false">AC9</f>
        <v>20000</v>
      </c>
      <c r="E621" s="33" t="n">
        <f aca="false">AI9</f>
        <v>17600</v>
      </c>
      <c r="F621" s="33" t="n">
        <f aca="false">AO9</f>
        <v>22400</v>
      </c>
    </row>
    <row r="622" customFormat="false" ht="12.8" hidden="false" customHeight="false" outlineLevel="0" collapsed="false">
      <c r="A622" s="1" t="str">
        <f aca="false">_xlfn.CONCAT($A$613, ".", A10)</f>
        <v>AR.5.7</v>
      </c>
      <c r="B622" s="5" t="str">
        <f aca="false">_xlfn.CONCAT(B10, ": ", C10)</f>
        <v>Cleaning/Maintenance: Worker</v>
      </c>
      <c r="C622" s="33" t="n">
        <f aca="false">W10</f>
        <v>23200</v>
      </c>
      <c r="D622" s="33" t="n">
        <f aca="false">AC10</f>
        <v>23200</v>
      </c>
      <c r="E622" s="33" t="n">
        <f aca="false">AI10</f>
        <v>20800</v>
      </c>
      <c r="F622" s="33" t="n">
        <f aca="false">AO10</f>
        <v>25600</v>
      </c>
    </row>
    <row r="623" customFormat="false" ht="12.8" hidden="false" customHeight="false" outlineLevel="0" collapsed="false">
      <c r="A623" s="1" t="str">
        <f aca="false">_xlfn.CONCAT($A$613, ".", A11)</f>
        <v>AR.5.8</v>
      </c>
      <c r="B623" s="5" t="str">
        <f aca="false">_xlfn.CONCAT(B11, ": ", C11)</f>
        <v>Cleaning/Maintenance: Support</v>
      </c>
      <c r="C623" s="33" t="n">
        <f aca="false">W11</f>
        <v>20000</v>
      </c>
      <c r="D623" s="33" t="n">
        <f aca="false">AC11</f>
        <v>20000</v>
      </c>
      <c r="E623" s="33" t="n">
        <f aca="false">AI11</f>
        <v>17600</v>
      </c>
      <c r="F623" s="33" t="n">
        <f aca="false">AO11</f>
        <v>22400</v>
      </c>
    </row>
    <row r="624" customFormat="false" ht="12.8" hidden="false" customHeight="false" outlineLevel="0" collapsed="false">
      <c r="A624" s="1" t="str">
        <f aca="false">_xlfn.CONCAT($A$613, ".", A12)</f>
        <v>AR.5.9</v>
      </c>
      <c r="B624" s="5" t="str">
        <f aca="false">_xlfn.CONCAT(B12, ": ", C12)</f>
        <v>Manufacturing: Worker</v>
      </c>
      <c r="C624" s="33" t="n">
        <f aca="false">W12</f>
        <v>42900</v>
      </c>
      <c r="D624" s="33" t="n">
        <f aca="false">AC12</f>
        <v>42900</v>
      </c>
      <c r="E624" s="33" t="n">
        <f aca="false">AI12</f>
        <v>39000</v>
      </c>
      <c r="F624" s="33" t="n">
        <f aca="false">AO12</f>
        <v>46800</v>
      </c>
    </row>
    <row r="625" customFormat="false" ht="12.8" hidden="false" customHeight="false" outlineLevel="0" collapsed="false">
      <c r="A625" s="1" t="str">
        <f aca="false">_xlfn.CONCAT($A$613, ".", A13)</f>
        <v>AR.5.10</v>
      </c>
      <c r="B625" s="5" t="str">
        <f aca="false">_xlfn.CONCAT(B13, ": ", C13)</f>
        <v>Manufacturing: Support</v>
      </c>
      <c r="C625" s="33" t="n">
        <f aca="false">W13</f>
        <v>36000</v>
      </c>
      <c r="D625" s="33" t="n">
        <f aca="false">AC13</f>
        <v>36000</v>
      </c>
      <c r="E625" s="33" t="n">
        <f aca="false">AI13</f>
        <v>32400</v>
      </c>
      <c r="F625" s="33" t="n">
        <f aca="false">AO13</f>
        <v>39600</v>
      </c>
    </row>
    <row r="626" customFormat="false" ht="12.8" hidden="false" customHeight="false" outlineLevel="0" collapsed="false">
      <c r="A626" s="1" t="str">
        <f aca="false">_xlfn.CONCAT($A$613, ".", A14)</f>
        <v>AR.5.11</v>
      </c>
      <c r="B626" s="5" t="str">
        <f aca="false">_xlfn.CONCAT(B14, ": ", C14)</f>
        <v>Transportation &amp; Warehousing: Worker</v>
      </c>
      <c r="C626" s="33" t="n">
        <f aca="false">W14</f>
        <v>46800</v>
      </c>
      <c r="D626" s="33" t="n">
        <f aca="false">AC14</f>
        <v>46800</v>
      </c>
      <c r="E626" s="33" t="n">
        <f aca="false">AI14</f>
        <v>42900</v>
      </c>
      <c r="F626" s="33" t="n">
        <f aca="false">AO14</f>
        <v>50700</v>
      </c>
    </row>
    <row r="627" customFormat="false" ht="12.8" hidden="false" customHeight="false" outlineLevel="0" collapsed="false">
      <c r="A627" s="1" t="str">
        <f aca="false">_xlfn.CONCAT($A$613, ".", A15)</f>
        <v>AR.5.12</v>
      </c>
      <c r="B627" s="5" t="str">
        <f aca="false">_xlfn.CONCAT(B15, ": ", C15)</f>
        <v>Transportation &amp; Warehousing: Support</v>
      </c>
      <c r="C627" s="33" t="n">
        <f aca="false">W15</f>
        <v>39600</v>
      </c>
      <c r="D627" s="33" t="n">
        <f aca="false">AC15</f>
        <v>39600</v>
      </c>
      <c r="E627" s="33" t="n">
        <f aca="false">AI15</f>
        <v>36000</v>
      </c>
      <c r="F627" s="33" t="n">
        <f aca="false">AO15</f>
        <v>43200</v>
      </c>
    </row>
    <row r="628" customFormat="false" ht="12.8" hidden="false" customHeight="false" outlineLevel="0" collapsed="false">
      <c r="A628" s="1" t="str">
        <f aca="false">_xlfn.CONCAT($A$613, ".", A16)</f>
        <v>AR.5.13</v>
      </c>
      <c r="B628" s="5" t="str">
        <f aca="false">_xlfn.CONCAT(B16, ": ", C16)</f>
        <v>Retail Trade: Worker</v>
      </c>
      <c r="C628" s="33" t="n">
        <f aca="false">W16</f>
        <v>25500</v>
      </c>
      <c r="D628" s="33" t="n">
        <f aca="false">AC16</f>
        <v>25500</v>
      </c>
      <c r="E628" s="33" t="n">
        <f aca="false">AI16</f>
        <v>22950</v>
      </c>
      <c r="F628" s="33" t="n">
        <f aca="false">AO16</f>
        <v>28900</v>
      </c>
    </row>
    <row r="629" customFormat="false" ht="12.8" hidden="false" customHeight="false" outlineLevel="0" collapsed="false">
      <c r="A629" s="1" t="str">
        <f aca="false">_xlfn.CONCAT($A$613, ".", A17)</f>
        <v>AR.5.14</v>
      </c>
      <c r="B629" s="5" t="str">
        <f aca="false">_xlfn.CONCAT(B17, ": ", C17)</f>
        <v>Retail Trade: Support</v>
      </c>
      <c r="C629" s="33" t="n">
        <f aca="false">W17</f>
        <v>22950</v>
      </c>
      <c r="D629" s="33" t="n">
        <f aca="false">AC17</f>
        <v>22950</v>
      </c>
      <c r="E629" s="33" t="n">
        <f aca="false">AI17</f>
        <v>20400</v>
      </c>
      <c r="F629" s="33" t="n">
        <f aca="false">AO17</f>
        <v>25500</v>
      </c>
    </row>
    <row r="630" customFormat="false" ht="12.8" hidden="false" customHeight="false" outlineLevel="0" collapsed="false">
      <c r="A630" s="1" t="str">
        <f aca="false">_xlfn.CONCAT($A$613, ".", A18)</f>
        <v>AR.5.15</v>
      </c>
      <c r="B630" s="5" t="str">
        <f aca="false">_xlfn.CONCAT(B18, ": ", C18)</f>
        <v>Landscaping / Groundskeeping: Worker</v>
      </c>
      <c r="C630" s="33" t="n">
        <f aca="false">W18</f>
        <v>29700</v>
      </c>
      <c r="D630" s="33" t="n">
        <f aca="false">AC18</f>
        <v>29700</v>
      </c>
      <c r="E630" s="33" t="n">
        <f aca="false">AI18</f>
        <v>27225</v>
      </c>
      <c r="F630" s="33" t="n">
        <f aca="false">AO18</f>
        <v>33000</v>
      </c>
    </row>
    <row r="631" customFormat="false" ht="12.8" hidden="false" customHeight="false" outlineLevel="0" collapsed="false">
      <c r="A631" s="1" t="str">
        <f aca="false">_xlfn.CONCAT($A$613, ".", A19)</f>
        <v>AR.5.16</v>
      </c>
      <c r="B631" s="5" t="str">
        <f aca="false">_xlfn.CONCAT(B19, ": ", C19)</f>
        <v>Landscaping / Groundskeeping: Support</v>
      </c>
      <c r="C631" s="33" t="n">
        <f aca="false">W19</f>
        <v>26400</v>
      </c>
      <c r="D631" s="33" t="n">
        <f aca="false">AC19</f>
        <v>26400</v>
      </c>
      <c r="E631" s="33" t="n">
        <f aca="false">AI19</f>
        <v>23925</v>
      </c>
      <c r="F631" s="33" t="n">
        <f aca="false">AO19</f>
        <v>29700</v>
      </c>
    </row>
    <row r="632" customFormat="false" ht="12.8" hidden="false" customHeight="false" outlineLevel="0" collapsed="false">
      <c r="A632" s="1" t="str">
        <f aca="false">_xlfn.CONCAT($A$613, ".", A20)</f>
        <v>AR.5.17</v>
      </c>
      <c r="B632" s="5" t="str">
        <f aca="false">_xlfn.CONCAT(B20, ": ", C20)</f>
        <v>Automotive &amp; Repair: Worker</v>
      </c>
      <c r="C632" s="33" t="n">
        <f aca="false">W20</f>
        <v>36000</v>
      </c>
      <c r="D632" s="33" t="n">
        <f aca="false">AC20</f>
        <v>36000</v>
      </c>
      <c r="E632" s="33" t="n">
        <f aca="false">AI20</f>
        <v>32400</v>
      </c>
      <c r="F632" s="33" t="n">
        <f aca="false">AO20</f>
        <v>39600</v>
      </c>
    </row>
    <row r="633" customFormat="false" ht="12.8" hidden="false" customHeight="false" outlineLevel="0" collapsed="false">
      <c r="A633" s="1" t="str">
        <f aca="false">_xlfn.CONCAT($A$613, ".", A21)</f>
        <v>AR.5.18</v>
      </c>
      <c r="B633" s="5" t="str">
        <f aca="false">_xlfn.CONCAT(B21, ": ", C21)</f>
        <v>Automotive &amp; Repair: Support</v>
      </c>
      <c r="C633" s="33" t="n">
        <f aca="false">W21</f>
        <v>32400</v>
      </c>
      <c r="D633" s="33" t="n">
        <f aca="false">AC21</f>
        <v>32400</v>
      </c>
      <c r="E633" s="33" t="n">
        <f aca="false">AI21</f>
        <v>28800</v>
      </c>
      <c r="F633" s="33" t="n">
        <f aca="false">AO21</f>
        <v>36000</v>
      </c>
    </row>
    <row r="634" customFormat="false" ht="12.8" hidden="false" customHeight="false" outlineLevel="0" collapsed="false">
      <c r="A634" s="1" t="str">
        <f aca="false">_xlfn.CONCAT($A$613, ".", A22)</f>
        <v>AR.5.19</v>
      </c>
      <c r="B634" s="5" t="str">
        <f aca="false">_xlfn.CONCAT(B22, ": ", C22)</f>
        <v>Other Services: Worker</v>
      </c>
      <c r="C634" s="33" t="n">
        <f aca="false">W22</f>
        <v>36000</v>
      </c>
      <c r="D634" s="33" t="n">
        <f aca="false">AC22</f>
        <v>36000</v>
      </c>
      <c r="E634" s="33" t="n">
        <f aca="false">AI22</f>
        <v>32400</v>
      </c>
      <c r="F634" s="33" t="n">
        <f aca="false">AO22</f>
        <v>39600</v>
      </c>
    </row>
    <row r="635" customFormat="false" ht="12.8" hidden="false" customHeight="false" outlineLevel="0" collapsed="false">
      <c r="A635" s="1" t="str">
        <f aca="false">_xlfn.CONCAT($A$613, ".", A23)</f>
        <v>AR.5.20</v>
      </c>
      <c r="B635" s="5" t="str">
        <f aca="false">_xlfn.CONCAT(B23, ": ", C23)</f>
        <v>Other Services: Support</v>
      </c>
      <c r="C635" s="33" t="n">
        <f aca="false">W23</f>
        <v>32400</v>
      </c>
      <c r="D635" s="33" t="n">
        <f aca="false">AC23</f>
        <v>32400</v>
      </c>
      <c r="E635" s="33" t="n">
        <f aca="false">AI23</f>
        <v>28800</v>
      </c>
      <c r="F635" s="33" t="n">
        <f aca="false">AO23</f>
        <v>36000</v>
      </c>
    </row>
    <row r="731" customFormat="false" ht="12.8" hidden="false" customHeight="false" outlineLevel="0" collapsed="false">
      <c r="A731" s="4" t="s">
        <v>166</v>
      </c>
      <c r="B731" s="27" t="s">
        <v>159</v>
      </c>
      <c r="C731" s="29" t="s">
        <v>157</v>
      </c>
    </row>
    <row r="732" customFormat="false" ht="46.25" hidden="false" customHeight="false" outlineLevel="0" collapsed="false">
      <c r="A732" s="4" t="s">
        <v>15</v>
      </c>
      <c r="B732" s="4" t="str">
        <f aca="false">_xlfn.CONCAT(B2, ": ", C2)</f>
        <v>Industry: Role</v>
      </c>
      <c r="C732" s="24" t="str">
        <f aca="false">AR2</f>
        <v>Federal Personal Income Tax Revenue ($)</v>
      </c>
      <c r="D732" s="24" t="str">
        <f aca="false">AS2</f>
        <v>Authorized Immigrant Federal Personal Income Tax Revenue ($)</v>
      </c>
      <c r="E732" s="24" t="str">
        <f aca="false">AT2</f>
        <v>Unauthorized Immigrant Federal Personal Income Tax Revenue ($)</v>
      </c>
      <c r="F732" s="24" t="str">
        <f aca="false">AU2</f>
        <v>American Federal Personal Income Tax Revenue ($)</v>
      </c>
    </row>
    <row r="733" customFormat="false" ht="12.8" hidden="false" customHeight="false" outlineLevel="0" collapsed="false">
      <c r="A733" s="5" t="str">
        <f aca="false">_xlfn.CONCAT($A$731, ".", A3)</f>
        <v>AR.6.0</v>
      </c>
      <c r="B733" s="5" t="str">
        <f aca="false">_xlfn.CONCAT(B3, ": ", C3)</f>
        <v>All Industries: All Roles</v>
      </c>
      <c r="C733" s="24" t="n">
        <f aca="false">AR3</f>
        <v>-3672853133</v>
      </c>
      <c r="D733" s="24" t="n">
        <f aca="false">AS3</f>
        <v>-161445122</v>
      </c>
      <c r="E733" s="24" t="n">
        <f aca="false">AT3</f>
        <v>10386144</v>
      </c>
      <c r="F733" s="24" t="n">
        <f aca="false">AU3</f>
        <v>-3521884155</v>
      </c>
    </row>
    <row r="734" customFormat="false" ht="12.8" hidden="false" customHeight="false" outlineLevel="0" collapsed="false">
      <c r="A734" s="5" t="str">
        <f aca="false">_xlfn.CONCAT($A$731, ".", A4)</f>
        <v>AR.6.1</v>
      </c>
      <c r="B734" s="5" t="str">
        <f aca="false">_xlfn.CONCAT(B4, ": ", C4)</f>
        <v>Agriculture: Worker</v>
      </c>
      <c r="C734" s="24" t="n">
        <f aca="false">AR4</f>
        <v>39438</v>
      </c>
      <c r="D734" s="24" t="n">
        <f aca="false">AS4</f>
        <v>-60605</v>
      </c>
      <c r="E734" s="24" t="n">
        <f aca="false">AT4</f>
        <v>89038</v>
      </c>
      <c r="F734" s="24" t="n">
        <f aca="false">AU4</f>
        <v>11005</v>
      </c>
    </row>
    <row r="735" customFormat="false" ht="12.8" hidden="false" customHeight="false" outlineLevel="0" collapsed="false">
      <c r="A735" s="5" t="str">
        <f aca="false">_xlfn.CONCAT($A$731, ".", A5)</f>
        <v>AR.6.2</v>
      </c>
      <c r="B735" s="5" t="str">
        <f aca="false">_xlfn.CONCAT(B5, ": ", C5)</f>
        <v>Agriculture: Support</v>
      </c>
      <c r="C735" s="24" t="n">
        <f aca="false">AR5</f>
        <v>12410</v>
      </c>
      <c r="D735" s="24" t="n">
        <f aca="false">AS5</f>
        <v>-32032</v>
      </c>
      <c r="E735" s="24" t="n">
        <f aca="false">AT5</f>
        <v>46958</v>
      </c>
      <c r="F735" s="24" t="n">
        <f aca="false">AU5</f>
        <v>-2508</v>
      </c>
    </row>
    <row r="736" customFormat="false" ht="12.8" hidden="false" customHeight="false" outlineLevel="0" collapsed="false">
      <c r="A736" s="5" t="str">
        <f aca="false">_xlfn.CONCAT($A$731, ".", A6)</f>
        <v>AR.6.3</v>
      </c>
      <c r="B736" s="5" t="str">
        <f aca="false">_xlfn.CONCAT(B6, ": ", C6)</f>
        <v>Construction: Worker</v>
      </c>
      <c r="C736" s="24" t="n">
        <f aca="false">AR6</f>
        <v>2847828</v>
      </c>
      <c r="D736" s="24" t="n">
        <f aca="false">AS6</f>
        <v>283902</v>
      </c>
      <c r="E736" s="24" t="n">
        <f aca="false">AT6</f>
        <v>716257</v>
      </c>
      <c r="F736" s="24" t="n">
        <f aca="false">AU6</f>
        <v>1845669</v>
      </c>
    </row>
    <row r="737" customFormat="false" ht="12.8" hidden="false" customHeight="false" outlineLevel="0" collapsed="false">
      <c r="A737" s="5" t="str">
        <f aca="false">_xlfn.CONCAT($A$731, ".", A7)</f>
        <v>AR.6.4</v>
      </c>
      <c r="B737" s="5" t="str">
        <f aca="false">_xlfn.CONCAT(B7, ": ", C7)</f>
        <v>Construction: Support</v>
      </c>
      <c r="C737" s="24" t="n">
        <f aca="false">AR7</f>
        <v>717183</v>
      </c>
      <c r="D737" s="24" t="n">
        <f aca="false">AS7</f>
        <v>29800</v>
      </c>
      <c r="E737" s="24" t="n">
        <f aca="false">AT7</f>
        <v>266459</v>
      </c>
      <c r="F737" s="24" t="n">
        <f aca="false">AU7</f>
        <v>420924</v>
      </c>
    </row>
    <row r="738" customFormat="false" ht="12.8" hidden="false" customHeight="false" outlineLevel="0" collapsed="false">
      <c r="A738" s="5" t="str">
        <f aca="false">_xlfn.CONCAT($A$731, ".", A8)</f>
        <v>AR.6.5</v>
      </c>
      <c r="B738" s="5" t="str">
        <f aca="false">_xlfn.CONCAT(B8, ": ", C8)</f>
        <v>Hospitality: Worker</v>
      </c>
      <c r="C738" s="24" t="n">
        <f aca="false">AR8</f>
        <v>-5957249</v>
      </c>
      <c r="D738" s="24" t="n">
        <f aca="false">AS8</f>
        <v>-1283977</v>
      </c>
      <c r="E738" s="24" t="n">
        <f aca="false">AT8</f>
        <v>258650</v>
      </c>
      <c r="F738" s="24" t="n">
        <f aca="false">AU8</f>
        <v>-4935922</v>
      </c>
    </row>
    <row r="739" customFormat="false" ht="12.8" hidden="false" customHeight="false" outlineLevel="0" collapsed="false">
      <c r="A739" s="5" t="str">
        <f aca="false">_xlfn.CONCAT($A$731, ".", A9)</f>
        <v>AR.6.6</v>
      </c>
      <c r="B739" s="5" t="str">
        <f aca="false">_xlfn.CONCAT(B9, ": ", C9)</f>
        <v>Hospitality: Support</v>
      </c>
      <c r="C739" s="24" t="n">
        <f aca="false">AR9</f>
        <v>-3733735</v>
      </c>
      <c r="D739" s="24" t="n">
        <f aca="false">AS9</f>
        <v>-774867</v>
      </c>
      <c r="E739" s="24" t="n">
        <f aca="false">AT9</f>
        <v>55887</v>
      </c>
      <c r="F739" s="24" t="n">
        <f aca="false">AU9</f>
        <v>-3014755</v>
      </c>
    </row>
    <row r="740" customFormat="false" ht="12.8" hidden="false" customHeight="false" outlineLevel="0" collapsed="false">
      <c r="A740" s="5" t="str">
        <f aca="false">_xlfn.CONCAT($A$731, ".", A10)</f>
        <v>AR.6.7</v>
      </c>
      <c r="B740" s="5" t="str">
        <f aca="false">_xlfn.CONCAT(B10, ": ", C10)</f>
        <v>Cleaning/Maintenance: Worker</v>
      </c>
      <c r="C740" s="24" t="n">
        <f aca="false">AR10</f>
        <v>-1995240</v>
      </c>
      <c r="D740" s="24" t="n">
        <f aca="false">AS10</f>
        <v>-547080</v>
      </c>
      <c r="E740" s="24" t="n">
        <f aca="false">AT10</f>
        <v>226944</v>
      </c>
      <c r="F740" s="24" t="n">
        <f aca="false">AU10</f>
        <v>-1675104</v>
      </c>
    </row>
    <row r="741" customFormat="false" ht="12.8" hidden="false" customHeight="false" outlineLevel="0" collapsed="false">
      <c r="A741" s="5" t="str">
        <f aca="false">_xlfn.CONCAT($A$731, ".", A11)</f>
        <v>AR.6.8</v>
      </c>
      <c r="B741" s="5" t="str">
        <f aca="false">_xlfn.CONCAT(B11, ": ", C11)</f>
        <v>Cleaning/Maintenance: Support</v>
      </c>
      <c r="C741" s="24" t="n">
        <f aca="false">AR11</f>
        <v>-1515680</v>
      </c>
      <c r="D741" s="24" t="n">
        <f aca="false">AS11</f>
        <v>-371448</v>
      </c>
      <c r="E741" s="24" t="n">
        <f aca="false">AT11</f>
        <v>47024</v>
      </c>
      <c r="F741" s="24" t="n">
        <f aca="false">AU11</f>
        <v>-1191256</v>
      </c>
    </row>
    <row r="742" customFormat="false" ht="12.8" hidden="false" customHeight="false" outlineLevel="0" collapsed="false">
      <c r="A742" s="5" t="str">
        <f aca="false">_xlfn.CONCAT($A$731, ".", A12)</f>
        <v>AR.6.9</v>
      </c>
      <c r="B742" s="5" t="str">
        <f aca="false">_xlfn.CONCAT(B12, ": ", C12)</f>
        <v>Manufacturing: Worker</v>
      </c>
      <c r="C742" s="24" t="n">
        <f aca="false">AR12</f>
        <v>8048149</v>
      </c>
      <c r="D742" s="24" t="n">
        <f aca="false">AS12</f>
        <v>822432</v>
      </c>
      <c r="E742" s="24" t="n">
        <f aca="false">AT12</f>
        <v>1027408</v>
      </c>
      <c r="F742" s="24" t="n">
        <f aca="false">AU12</f>
        <v>6198309</v>
      </c>
    </row>
    <row r="743" customFormat="false" ht="12.8" hidden="false" customHeight="false" outlineLevel="0" collapsed="false">
      <c r="A743" s="5" t="str">
        <f aca="false">_xlfn.CONCAT($A$731, ".", A13)</f>
        <v>AR.6.10</v>
      </c>
      <c r="B743" s="5" t="str">
        <f aca="false">_xlfn.CONCAT(B13, ": ", C13)</f>
        <v>Manufacturing: Support</v>
      </c>
      <c r="C743" s="24" t="n">
        <f aca="false">AR13</f>
        <v>1881326</v>
      </c>
      <c r="D743" s="24" t="n">
        <f aca="false">AS13</f>
        <v>86336</v>
      </c>
      <c r="E743" s="24" t="n">
        <f aca="false">AT13</f>
        <v>382748</v>
      </c>
      <c r="F743" s="24" t="n">
        <f aca="false">AU13</f>
        <v>1413242</v>
      </c>
    </row>
    <row r="744" customFormat="false" ht="12.8" hidden="false" customHeight="false" outlineLevel="0" collapsed="false">
      <c r="A744" s="5" t="str">
        <f aca="false">_xlfn.CONCAT($A$731, ".", A14)</f>
        <v>AR.6.11</v>
      </c>
      <c r="B744" s="5" t="str">
        <f aca="false">_xlfn.CONCAT(B14, ": ", C14)</f>
        <v>Transportation &amp; Warehousing: Worker</v>
      </c>
      <c r="C744" s="24" t="n">
        <f aca="false">AR14</f>
        <v>7712496</v>
      </c>
      <c r="D744" s="24" t="n">
        <f aca="false">AS14</f>
        <v>1000400</v>
      </c>
      <c r="E744" s="24" t="n">
        <f aca="false">AT14</f>
        <v>984000</v>
      </c>
      <c r="F744" s="24" t="n">
        <f aca="false">AU14</f>
        <v>5728096</v>
      </c>
    </row>
    <row r="745" customFormat="false" ht="12.8" hidden="false" customHeight="false" outlineLevel="0" collapsed="false">
      <c r="A745" s="5" t="str">
        <f aca="false">_xlfn.CONCAT($A$731, ".", A15)</f>
        <v>AR.6.12</v>
      </c>
      <c r="B745" s="5" t="str">
        <f aca="false">_xlfn.CONCAT(B15, ": ", C15)</f>
        <v>Transportation &amp; Warehousing: Support</v>
      </c>
      <c r="C745" s="24" t="n">
        <f aca="false">AR15</f>
        <v>2288704</v>
      </c>
      <c r="D745" s="24" t="n">
        <f aca="false">AS15</f>
        <v>227952</v>
      </c>
      <c r="E745" s="24" t="n">
        <f aca="false">AT15</f>
        <v>385440</v>
      </c>
      <c r="F745" s="24" t="n">
        <f aca="false">AU15</f>
        <v>1675312</v>
      </c>
    </row>
    <row r="746" customFormat="false" ht="12.8" hidden="false" customHeight="false" outlineLevel="0" collapsed="false">
      <c r="A746" s="5" t="str">
        <f aca="false">_xlfn.CONCAT($A$731, ".", A16)</f>
        <v>AR.6.13</v>
      </c>
      <c r="B746" s="5" t="str">
        <f aca="false">_xlfn.CONCAT(B16, ": ", C16)</f>
        <v>Retail Trade: Worker</v>
      </c>
      <c r="C746" s="24" t="n">
        <f aca="false">AR16</f>
        <v>-3558876</v>
      </c>
      <c r="D746" s="24" t="n">
        <f aca="false">AS16</f>
        <v>-559068</v>
      </c>
      <c r="E746" s="24" t="n">
        <f aca="false">AT16</f>
        <v>203172</v>
      </c>
      <c r="F746" s="24" t="n">
        <f aca="false">AU16</f>
        <v>-3200980</v>
      </c>
    </row>
    <row r="747" customFormat="false" ht="12.8" hidden="false" customHeight="false" outlineLevel="0" collapsed="false">
      <c r="A747" s="5" t="str">
        <f aca="false">_xlfn.CONCAT($A$731, ".", A17)</f>
        <v>AR.6.14</v>
      </c>
      <c r="B747" s="5" t="str">
        <f aca="false">_xlfn.CONCAT(B17, ": ", C17)</f>
        <v>Retail Trade: Support</v>
      </c>
      <c r="C747" s="24" t="n">
        <f aca="false">AR17</f>
        <v>-2982060</v>
      </c>
      <c r="D747" s="24" t="n">
        <f aca="false">AS17</f>
        <v>-377388</v>
      </c>
      <c r="E747" s="24" t="n">
        <f aca="false">AT17</f>
        <v>71616</v>
      </c>
      <c r="F747" s="24" t="n">
        <f aca="false">AU17</f>
        <v>-2679288</v>
      </c>
    </row>
    <row r="748" customFormat="false" ht="12.8" hidden="false" customHeight="false" outlineLevel="0" collapsed="false">
      <c r="A748" s="5" t="str">
        <f aca="false">_xlfn.CONCAT($A$731, ".", A18)</f>
        <v>AR.6.15</v>
      </c>
      <c r="B748" s="5" t="str">
        <f aca="false">_xlfn.CONCAT(B18, ": ", C18)</f>
        <v>Landscaping / Groundskeeping: Worker</v>
      </c>
      <c r="C748" s="24" t="n">
        <f aca="false">AR18</f>
        <v>-43878</v>
      </c>
      <c r="D748" s="24" t="n">
        <f aca="false">AS18</f>
        <v>-172930</v>
      </c>
      <c r="E748" s="24" t="n">
        <f aca="false">AT18</f>
        <v>361410</v>
      </c>
      <c r="F748" s="24" t="n">
        <f aca="false">AU18</f>
        <v>-232358</v>
      </c>
    </row>
    <row r="749" customFormat="false" ht="12.8" hidden="false" customHeight="false" outlineLevel="0" collapsed="false">
      <c r="A749" s="5" t="str">
        <f aca="false">_xlfn.CONCAT($A$731, ".", A19)</f>
        <v>AR.6.16</v>
      </c>
      <c r="B749" s="5" t="str">
        <f aca="false">_xlfn.CONCAT(B19, ": ", C19)</f>
        <v>Landscaping / Groundskeeping: Support</v>
      </c>
      <c r="C749" s="24" t="n">
        <f aca="false">AR19</f>
        <v>-450246</v>
      </c>
      <c r="D749" s="24" t="n">
        <f aca="false">AS19</f>
        <v>-154520</v>
      </c>
      <c r="E749" s="24" t="n">
        <f aca="false">AT19</f>
        <v>139802</v>
      </c>
      <c r="F749" s="24" t="n">
        <f aca="false">AU19</f>
        <v>-435528</v>
      </c>
    </row>
    <row r="750" customFormat="false" ht="12.8" hidden="false" customHeight="false" outlineLevel="0" collapsed="false">
      <c r="A750" s="5" t="str">
        <f aca="false">_xlfn.CONCAT($A$731, ".", A20)</f>
        <v>AR.6.17</v>
      </c>
      <c r="B750" s="5" t="str">
        <f aca="false">_xlfn.CONCAT(B20, ": ", C20)</f>
        <v>Automotive &amp; Repair: Worker</v>
      </c>
      <c r="C750" s="24" t="n">
        <f aca="false">AR20</f>
        <v>1011744</v>
      </c>
      <c r="D750" s="24" t="n">
        <f aca="false">AS20</f>
        <v>129920</v>
      </c>
      <c r="E750" s="24" t="n">
        <f aca="false">AT20</f>
        <v>43520</v>
      </c>
      <c r="F750" s="24" t="n">
        <f aca="false">AU20</f>
        <v>837304</v>
      </c>
    </row>
    <row r="751" customFormat="false" ht="12.8" hidden="false" customHeight="false" outlineLevel="0" collapsed="false">
      <c r="A751" s="5" t="str">
        <f aca="false">_xlfn.CONCAT($A$731, ".", A21)</f>
        <v>AR.6.18</v>
      </c>
      <c r="B751" s="5" t="str">
        <f aca="false">_xlfn.CONCAT(B21, ": ", C21)</f>
        <v>Automotive &amp; Repair: Support</v>
      </c>
      <c r="C751" s="24" t="n">
        <f aca="false">AR21</f>
        <v>436104</v>
      </c>
      <c r="D751" s="24" t="n">
        <f aca="false">AS21</f>
        <v>58320</v>
      </c>
      <c r="E751" s="24" t="n">
        <f aca="false">AT21</f>
        <v>18592</v>
      </c>
      <c r="F751" s="24" t="n">
        <f aca="false">AU21</f>
        <v>359192</v>
      </c>
    </row>
    <row r="752" customFormat="false" ht="12.8" hidden="false" customHeight="false" outlineLevel="0" collapsed="false">
      <c r="A752" s="5" t="str">
        <f aca="false">_xlfn.CONCAT($A$731, ".", A22)</f>
        <v>AR.6.19</v>
      </c>
      <c r="B752" s="5" t="str">
        <f aca="false">_xlfn.CONCAT(B22, ": ", C22)</f>
        <v>Other Services: Worker</v>
      </c>
      <c r="C752" s="24" t="n">
        <f aca="false">AR22</f>
        <v>2931600</v>
      </c>
      <c r="D752" s="24" t="n">
        <f aca="false">AS22</f>
        <v>287280</v>
      </c>
      <c r="E752" s="24" t="n">
        <f aca="false">AT22</f>
        <v>125160</v>
      </c>
      <c r="F752" s="24" t="n">
        <f aca="false">AU22</f>
        <v>2519160</v>
      </c>
    </row>
    <row r="753" customFormat="false" ht="12.8" hidden="false" customHeight="false" outlineLevel="0" collapsed="false">
      <c r="A753" s="5" t="str">
        <f aca="false">_xlfn.CONCAT($A$731, ".", A23)</f>
        <v>AR.6.20</v>
      </c>
      <c r="B753" s="5" t="str">
        <f aca="false">_xlfn.CONCAT(B23, ": ", C23)</f>
        <v>Other Services: Support</v>
      </c>
      <c r="C753" s="24" t="n">
        <f aca="false">AR23</f>
        <v>1315440</v>
      </c>
      <c r="D753" s="24" t="n">
        <f aca="false">AS23</f>
        <v>129360</v>
      </c>
      <c r="E753" s="24" t="n">
        <f aca="false">AT23</f>
        <v>53280</v>
      </c>
      <c r="F753" s="24" t="n">
        <f aca="false">AU23</f>
        <v>1177800</v>
      </c>
    </row>
    <row r="754" customFormat="false" ht="12.8" hidden="false" customHeight="false" outlineLevel="0" collapsed="false">
      <c r="A754" s="5"/>
      <c r="B754" s="5"/>
      <c r="C754" s="24"/>
      <c r="D754" s="24"/>
      <c r="E754" s="24"/>
      <c r="F754" s="24"/>
    </row>
    <row r="755" customFormat="false" ht="12.8" hidden="false" customHeight="false" outlineLevel="0" collapsed="false">
      <c r="A755" s="5"/>
      <c r="B755" s="5"/>
      <c r="C755" s="24"/>
      <c r="D755" s="24"/>
      <c r="E755" s="24"/>
      <c r="F755" s="24"/>
    </row>
    <row r="847" customFormat="false" ht="12.8" hidden="false" customHeight="false" outlineLevel="0" collapsed="false">
      <c r="A847" s="4" t="s">
        <v>166</v>
      </c>
      <c r="B847" s="27" t="s">
        <v>159</v>
      </c>
      <c r="C847" s="29" t="s">
        <v>157</v>
      </c>
    </row>
    <row r="848" customFormat="false" ht="35.05" hidden="false" customHeight="false" outlineLevel="0" collapsed="false">
      <c r="A848" s="4" t="s">
        <v>15</v>
      </c>
      <c r="B848" s="4" t="str">
        <f aca="false">_xlfn.CONCAT(B2, ": ", C2)</f>
        <v>Industry: Role</v>
      </c>
      <c r="C848" s="24" t="str">
        <f aca="false">AV2</f>
        <v>Payroll Tax Revenue ($)</v>
      </c>
      <c r="D848" s="24" t="str">
        <f aca="false">AW2</f>
        <v>Authorized Immigrant Payroll Tax Revenue ($)</v>
      </c>
      <c r="E848" s="24" t="str">
        <f aca="false">AX2</f>
        <v>Unauthorized Immigrant Payroll Tax Revenue ($)</v>
      </c>
      <c r="F848" s="24" t="str">
        <f aca="false">AY2</f>
        <v>American Payroll Tax Revenue ($)</v>
      </c>
    </row>
    <row r="849" customFormat="false" ht="12.8" hidden="false" customHeight="false" outlineLevel="0" collapsed="false">
      <c r="A849" s="5" t="str">
        <f aca="false">_xlfn.CONCAT($A$731, ".", A3)</f>
        <v>AR.6.0</v>
      </c>
      <c r="B849" s="5" t="str">
        <f aca="false">_xlfn.CONCAT(B3, ": ", C3)</f>
        <v>All Industries: All Roles</v>
      </c>
      <c r="C849" s="24" t="n">
        <f aca="false">AV3</f>
        <v>11193347455</v>
      </c>
      <c r="D849" s="24" t="n">
        <f aca="false">AW3</f>
        <v>242549621</v>
      </c>
      <c r="E849" s="24" t="n">
        <f aca="false">AX3</f>
        <v>137416457</v>
      </c>
      <c r="F849" s="24" t="n">
        <f aca="false">AY3</f>
        <v>10812406377</v>
      </c>
    </row>
    <row r="850" customFormat="false" ht="12.8" hidden="false" customHeight="false" outlineLevel="0" collapsed="false">
      <c r="A850" s="5" t="str">
        <f aca="false">_xlfn.CONCAT($A$731, ".", A4)</f>
        <v>AR.6.1</v>
      </c>
      <c r="B850" s="5" t="str">
        <f aca="false">_xlfn.CONCAT(B4, ": ", C4)</f>
        <v>Agriculture: Worker</v>
      </c>
      <c r="C850" s="24" t="n">
        <f aca="false">AV4</f>
        <v>2461839</v>
      </c>
      <c r="D850" s="24" t="n">
        <f aca="false">AW4</f>
        <v>619802</v>
      </c>
      <c r="E850" s="24" t="n">
        <f aca="false">AX4</f>
        <v>306813</v>
      </c>
      <c r="F850" s="24" t="n">
        <f aca="false">AY4</f>
        <v>1534224</v>
      </c>
    </row>
    <row r="851" customFormat="false" ht="12.8" hidden="false" customHeight="false" outlineLevel="0" collapsed="false">
      <c r="A851" s="5" t="str">
        <f aca="false">_xlfn.CONCAT($A$731, ".", A5)</f>
        <v>AR.6.2</v>
      </c>
      <c r="B851" s="5" t="str">
        <f aca="false">_xlfn.CONCAT(B5, ": ", C5)</f>
        <v>Agriculture: Support</v>
      </c>
      <c r="C851" s="24" t="n">
        <f aca="false">AV5</f>
        <v>1319527</v>
      </c>
      <c r="D851" s="24" t="n">
        <f aca="false">AW5</f>
        <v>334796</v>
      </c>
      <c r="E851" s="24" t="n">
        <f aca="false">AX5</f>
        <v>162870</v>
      </c>
      <c r="F851" s="24" t="n">
        <f aca="false">AY5</f>
        <v>820861</v>
      </c>
    </row>
    <row r="852" customFormat="false" ht="12.8" hidden="false" customHeight="false" outlineLevel="0" collapsed="false">
      <c r="A852" s="5" t="str">
        <f aca="false">_xlfn.CONCAT($A$731, ".", A6)</f>
        <v>AR.6.3</v>
      </c>
      <c r="B852" s="5" t="str">
        <f aca="false">_xlfn.CONCAT(B6, ": ", C6)</f>
        <v>Construction: Worker</v>
      </c>
      <c r="C852" s="24" t="n">
        <f aca="false">AV6</f>
        <v>12316235</v>
      </c>
      <c r="D852" s="24" t="n">
        <f aca="false">AW6</f>
        <v>1812352</v>
      </c>
      <c r="E852" s="24" t="n">
        <f aca="false">AX6</f>
        <v>1668490</v>
      </c>
      <c r="F852" s="24" t="n">
        <f aca="false">AY6</f>
        <v>8845393</v>
      </c>
    </row>
    <row r="853" customFormat="false" ht="12.8" hidden="false" customHeight="false" outlineLevel="0" collapsed="false">
      <c r="A853" s="5" t="str">
        <f aca="false">_xlfn.CONCAT($A$731, ".", A7)</f>
        <v>AR.6.4</v>
      </c>
      <c r="B853" s="5" t="str">
        <f aca="false">_xlfn.CONCAT(B7, ": ", C7)</f>
        <v>Construction: Support</v>
      </c>
      <c r="C853" s="24" t="n">
        <f aca="false">AV7</f>
        <v>5604728</v>
      </c>
      <c r="D853" s="24" t="n">
        <f aca="false">AW7</f>
        <v>819851</v>
      </c>
      <c r="E853" s="24" t="n">
        <f aca="false">AX7</f>
        <v>746748</v>
      </c>
      <c r="F853" s="24" t="n">
        <f aca="false">AY7</f>
        <v>4038129</v>
      </c>
    </row>
    <row r="854" customFormat="false" ht="12.8" hidden="false" customHeight="false" outlineLevel="0" collapsed="false">
      <c r="A854" s="5" t="str">
        <f aca="false">_xlfn.CONCAT($A$731, ".", A8)</f>
        <v>AR.6.5</v>
      </c>
      <c r="B854" s="5" t="str">
        <f aca="false">_xlfn.CONCAT(B8, ": ", C8)</f>
        <v>Hospitality: Worker</v>
      </c>
      <c r="C854" s="24" t="n">
        <f aca="false">AV8</f>
        <v>19467256</v>
      </c>
      <c r="D854" s="24" t="n">
        <f aca="false">AW8</f>
        <v>2801943</v>
      </c>
      <c r="E854" s="24" t="n">
        <f aca="false">AX8</f>
        <v>2452451</v>
      </c>
      <c r="F854" s="24" t="n">
        <f aca="false">AY8</f>
        <v>14212862</v>
      </c>
    </row>
    <row r="855" customFormat="false" ht="12.8" hidden="false" customHeight="false" outlineLevel="0" collapsed="false">
      <c r="A855" s="5" t="str">
        <f aca="false">_xlfn.CONCAT($A$731, ".", A9)</f>
        <v>AR.6.6</v>
      </c>
      <c r="B855" s="5" t="str">
        <f aca="false">_xlfn.CONCAT(B9, ": ", C9)</f>
        <v>Hospitality: Support</v>
      </c>
      <c r="C855" s="24" t="n">
        <f aca="false">AV9</f>
        <v>9699945</v>
      </c>
      <c r="D855" s="24" t="n">
        <f aca="false">AW9</f>
        <v>1386043</v>
      </c>
      <c r="E855" s="24" t="n">
        <f aca="false">AX9</f>
        <v>1195496</v>
      </c>
      <c r="F855" s="24" t="n">
        <f aca="false">AY9</f>
        <v>7118406</v>
      </c>
    </row>
    <row r="856" customFormat="false" ht="12.8" hidden="false" customHeight="false" outlineLevel="0" collapsed="false">
      <c r="A856" s="5" t="str">
        <f aca="false">_xlfn.CONCAT($A$731, ".", A10)</f>
        <v>AR.6.7</v>
      </c>
      <c r="B856" s="5" t="str">
        <f aca="false">_xlfn.CONCAT(B10, ": ", C10)</f>
        <v>Cleaning/Maintenance: Worker</v>
      </c>
      <c r="C856" s="24" t="n">
        <f aca="false">AV10</f>
        <v>9517715</v>
      </c>
      <c r="D856" s="24" t="n">
        <f aca="false">AW10</f>
        <v>1566016</v>
      </c>
      <c r="E856" s="24" t="n">
        <f aca="false">AX10</f>
        <v>1388651</v>
      </c>
      <c r="F856" s="24" t="n">
        <f aca="false">AY10</f>
        <v>6573048</v>
      </c>
    </row>
    <row r="857" customFormat="false" ht="12.8" hidden="false" customHeight="false" outlineLevel="0" collapsed="false">
      <c r="A857" s="5" t="str">
        <f aca="false">_xlfn.CONCAT($A$731, ".", A11)</f>
        <v>AR.6.8</v>
      </c>
      <c r="B857" s="5" t="str">
        <f aca="false">_xlfn.CONCAT(B11, ": ", C11)</f>
        <v>Cleaning/Maintenance: Support</v>
      </c>
      <c r="C857" s="24" t="n">
        <f aca="false">AV11</f>
        <v>4456290</v>
      </c>
      <c r="D857" s="24" t="n">
        <f aca="false">AW11</f>
        <v>728864</v>
      </c>
      <c r="E857" s="24" t="n">
        <f aca="false">AX11</f>
        <v>633248</v>
      </c>
      <c r="F857" s="24" t="n">
        <f aca="false">AY11</f>
        <v>3094178</v>
      </c>
    </row>
    <row r="858" customFormat="false" ht="12.8" hidden="false" customHeight="false" outlineLevel="0" collapsed="false">
      <c r="A858" s="5" t="str">
        <f aca="false">_xlfn.CONCAT($A$731, ".", A12)</f>
        <v>AR.6.9</v>
      </c>
      <c r="B858" s="5" t="str">
        <f aca="false">_xlfn.CONCAT(B12, ": ", C12)</f>
        <v>Manufacturing: Worker</v>
      </c>
      <c r="C858" s="24" t="n">
        <f aca="false">AV12</f>
        <v>37315841</v>
      </c>
      <c r="D858" s="24" t="n">
        <f aca="false">AW12</f>
        <v>5251900</v>
      </c>
      <c r="E858" s="24" t="n">
        <f aca="false">AX12</f>
        <v>2395232</v>
      </c>
      <c r="F858" s="24" t="n">
        <f aca="false">AY12</f>
        <v>31768709</v>
      </c>
    </row>
    <row r="859" customFormat="false" ht="12.8" hidden="false" customHeight="false" outlineLevel="0" collapsed="false">
      <c r="A859" s="5" t="str">
        <f aca="false">_xlfn.CONCAT($A$731, ".", A13)</f>
        <v>AR.6.10</v>
      </c>
      <c r="B859" s="5" t="str">
        <f aca="false">_xlfn.CONCAT(B13, ": ", C13)</f>
        <v>Manufacturing: Support</v>
      </c>
      <c r="C859" s="24" t="n">
        <f aca="false">AV13</f>
        <v>16990767</v>
      </c>
      <c r="D859" s="24" t="n">
        <f aca="false">AW13</f>
        <v>2376933</v>
      </c>
      <c r="E859" s="24" t="n">
        <f aca="false">AX13</f>
        <v>1072854</v>
      </c>
      <c r="F859" s="24" t="n">
        <f aca="false">AY13</f>
        <v>13540980</v>
      </c>
    </row>
    <row r="860" customFormat="false" ht="12.8" hidden="false" customHeight="false" outlineLevel="0" collapsed="false">
      <c r="A860" s="5" t="str">
        <f aca="false">_xlfn.CONCAT($A$731, ".", A14)</f>
        <v>AR.6.11</v>
      </c>
      <c r="B860" s="5" t="str">
        <f aca="false">_xlfn.CONCAT(B14, ": ", C14)</f>
        <v>Transportation &amp; Warehousing: Worker</v>
      </c>
      <c r="C860" s="24" t="n">
        <f aca="false">AV14</f>
        <v>29544584</v>
      </c>
      <c r="D860" s="24" t="n">
        <f aca="false">AW14</f>
        <v>4787744</v>
      </c>
      <c r="E860" s="24" t="n">
        <f aca="false">AX14</f>
        <v>2132339</v>
      </c>
      <c r="F860" s="24" t="n">
        <f aca="false">AY14</f>
        <v>24574501</v>
      </c>
    </row>
    <row r="861" customFormat="false" ht="12.8" hidden="false" customHeight="false" outlineLevel="0" collapsed="false">
      <c r="A861" s="5" t="str">
        <f aca="false">_xlfn.CONCAT($A$731, ".", A15)</f>
        <v>AR.6.12</v>
      </c>
      <c r="B861" s="5" t="str">
        <f aca="false">_xlfn.CONCAT(B15, ": ", C15)</f>
        <v>Transportation &amp; Warehousing: Support</v>
      </c>
      <c r="C861" s="24" t="n">
        <f aca="false">AV15</f>
        <v>13553228</v>
      </c>
      <c r="D861" s="24" t="n">
        <f aca="false">AW15</f>
        <v>2184934</v>
      </c>
      <c r="E861" s="24" t="n">
        <f aca="false">AX15</f>
        <v>965234</v>
      </c>
      <c r="F861" s="24" t="n">
        <f aca="false">AY15</f>
        <v>10403060</v>
      </c>
    </row>
    <row r="862" customFormat="false" ht="12.8" hidden="false" customHeight="false" outlineLevel="0" collapsed="false">
      <c r="A862" s="5" t="str">
        <f aca="false">_xlfn.CONCAT($A$731, ".", A16)</f>
        <v>AR.6.13</v>
      </c>
      <c r="B862" s="5" t="str">
        <f aca="false">_xlfn.CONCAT(B16, ": ", C16)</f>
        <v>Retail Trade: Worker</v>
      </c>
      <c r="C862" s="24" t="n">
        <f aca="false">AV16</f>
        <v>24864658</v>
      </c>
      <c r="D862" s="24" t="n">
        <f aca="false">AW16</f>
        <v>2159616</v>
      </c>
      <c r="E862" s="24" t="n">
        <f aca="false">AX16</f>
        <v>970501</v>
      </c>
      <c r="F862" s="24" t="n">
        <f aca="false">AY16</f>
        <v>21724541</v>
      </c>
    </row>
    <row r="863" customFormat="false" ht="12.8" hidden="false" customHeight="false" outlineLevel="0" collapsed="false">
      <c r="A863" s="5" t="str">
        <f aca="false">_xlfn.CONCAT($A$731, ".", A17)</f>
        <v>AR.6.14</v>
      </c>
      <c r="B863" s="5" t="str">
        <f aca="false">_xlfn.CONCAT(B17, ": ", C17)</f>
        <v>Retail Trade: Support</v>
      </c>
      <c r="C863" s="24" t="n">
        <f aca="false">AV17</f>
        <v>11852893</v>
      </c>
      <c r="D863" s="24" t="n">
        <f aca="false">AW17</f>
        <v>1047552</v>
      </c>
      <c r="E863" s="24" t="n">
        <f aca="false">AX17</f>
        <v>465533</v>
      </c>
      <c r="F863" s="24" t="n">
        <f aca="false">AY17</f>
        <v>10339808</v>
      </c>
    </row>
    <row r="864" customFormat="false" ht="12.8" hidden="false" customHeight="false" outlineLevel="0" collapsed="false">
      <c r="A864" s="5" t="str">
        <f aca="false">_xlfn.CONCAT($A$731, ".", A18)</f>
        <v>AR.6.15</v>
      </c>
      <c r="B864" s="5" t="str">
        <f aca="false">_xlfn.CONCAT(B18, ": ", C18)</f>
        <v>Landscaping / Groundskeeping: Worker</v>
      </c>
      <c r="C864" s="24" t="n">
        <f aca="false">AV18</f>
        <v>10042253</v>
      </c>
      <c r="D864" s="24" t="n">
        <f aca="false">AW18</f>
        <v>1413220</v>
      </c>
      <c r="E864" s="24" t="n">
        <f aca="false">AX18</f>
        <v>1295489</v>
      </c>
      <c r="F864" s="24" t="n">
        <f aca="false">AY18</f>
        <v>7733544</v>
      </c>
    </row>
    <row r="865" customFormat="false" ht="12.8" hidden="false" customHeight="false" outlineLevel="0" collapsed="false">
      <c r="A865" s="5" t="str">
        <f aca="false">_xlfn.CONCAT($A$731, ".", A19)</f>
        <v>AR.6.16</v>
      </c>
      <c r="B865" s="5" t="str">
        <f aca="false">_xlfn.CONCAT(B19, ": ", C19)</f>
        <v>Landscaping / Groundskeeping: Support</v>
      </c>
      <c r="C865" s="24" t="n">
        <f aca="false">AV19</f>
        <v>4854301</v>
      </c>
      <c r="D865" s="24" t="n">
        <f aca="false">AW19</f>
        <v>678078</v>
      </c>
      <c r="E865" s="24" t="n">
        <f aca="false">AX19</f>
        <v>614881</v>
      </c>
      <c r="F865" s="24" t="n">
        <f aca="false">AY19</f>
        <v>3561342</v>
      </c>
    </row>
    <row r="866" customFormat="false" ht="12.8" hidden="false" customHeight="false" outlineLevel="0" collapsed="false">
      <c r="A866" s="5" t="str">
        <f aca="false">_xlfn.CONCAT($A$731, ".", A20)</f>
        <v>AR.6.17</v>
      </c>
      <c r="B866" s="5" t="str">
        <f aca="false">_xlfn.CONCAT(B20, ": ", C20)</f>
        <v>Automotive &amp; Repair: Worker</v>
      </c>
      <c r="C866" s="24" t="n">
        <f aca="false">AV20</f>
        <v>6820744</v>
      </c>
      <c r="D866" s="24" t="n">
        <f aca="false">AW20</f>
        <v>1002612</v>
      </c>
      <c r="E866" s="24" t="n">
        <f aca="false">AX20</f>
        <v>433620</v>
      </c>
      <c r="F866" s="24" t="n">
        <f aca="false">AY20</f>
        <v>5384512</v>
      </c>
    </row>
    <row r="867" customFormat="false" ht="12.8" hidden="false" customHeight="false" outlineLevel="0" collapsed="false">
      <c r="A867" s="5" t="str">
        <f aca="false">_xlfn.CONCAT($A$731, ".", A21)</f>
        <v>AR.6.18</v>
      </c>
      <c r="B867" s="5" t="str">
        <f aca="false">_xlfn.CONCAT(B21, ": ", C21)</f>
        <v>Automotive &amp; Repair: Support</v>
      </c>
      <c r="C867" s="24" t="n">
        <f aca="false">AV21</f>
        <v>3049974</v>
      </c>
      <c r="D867" s="24" t="n">
        <f aca="false">AW21</f>
        <v>450288</v>
      </c>
      <c r="E867" s="24" t="n">
        <f aca="false">AX21</f>
        <v>194544</v>
      </c>
      <c r="F867" s="24" t="n">
        <f aca="false">AY21</f>
        <v>2405142</v>
      </c>
    </row>
    <row r="868" customFormat="false" ht="12.8" hidden="false" customHeight="false" outlineLevel="0" collapsed="false">
      <c r="A868" s="5" t="str">
        <f aca="false">_xlfn.CONCAT($A$731, ".", A22)</f>
        <v>AR.6.19</v>
      </c>
      <c r="B868" s="5" t="str">
        <f aca="false">_xlfn.CONCAT(B22, ": ", C22)</f>
        <v>Other Services: Worker</v>
      </c>
      <c r="C868" s="24" t="n">
        <f aca="false">AV22</f>
        <v>11353392</v>
      </c>
      <c r="D868" s="24" t="n">
        <f aca="false">AW22</f>
        <v>1646592</v>
      </c>
      <c r="E868" s="24" t="n">
        <f aca="false">AX22</f>
        <v>817740</v>
      </c>
      <c r="F868" s="24" t="n">
        <f aca="false">AY22</f>
        <v>8889060</v>
      </c>
    </row>
    <row r="869" customFormat="false" ht="12.8" hidden="false" customHeight="false" outlineLevel="0" collapsed="false">
      <c r="A869" s="5" t="str">
        <f aca="false">_xlfn.CONCAT($A$731, ".", A23)</f>
        <v>AR.6.20</v>
      </c>
      <c r="B869" s="5" t="str">
        <f aca="false">_xlfn.CONCAT(B23, ": ", C23)</f>
        <v>Other Services: Support</v>
      </c>
      <c r="C869" s="24" t="n">
        <f aca="false">AV23</f>
        <v>5090616</v>
      </c>
      <c r="D869" s="24" t="n">
        <f aca="false">AW23</f>
        <v>741960</v>
      </c>
      <c r="E869" s="24" t="n">
        <f aca="false">AX23</f>
        <v>366912</v>
      </c>
      <c r="F869" s="24" t="n">
        <f aca="false">AY23</f>
        <v>4287744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AY869"/>
  <sheetViews>
    <sheetView showFormulas="false" showGridLines="true" showRowColHeaders="true" showZeros="true" rightToLeft="false" tabSelected="false" showOutlineSymbols="true" defaultGridColor="true" view="normal" topLeftCell="A901" colorId="64" zoomScale="80" zoomScaleNormal="80" zoomScalePageLayoutView="100" workbookViewId="0">
      <selection pane="topLeft" activeCell="H141" activeCellId="0" sqref="H141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2" min="2" style="1" width="36.9"/>
    <col collapsed="false" customWidth="true" hidden="false" outlineLevel="0" max="3" min="3" style="1" width="21.47"/>
    <col collapsed="false" customWidth="true" hidden="false" outlineLevel="0" max="34" min="4" style="1" width="16.84"/>
    <col collapsed="false" customWidth="true" hidden="false" outlineLevel="0" max="48" min="35" style="1" width="17.78"/>
    <col collapsed="false" customWidth="true" hidden="false" outlineLevel="0" max="51" min="49" style="1" width="15.48"/>
  </cols>
  <sheetData>
    <row r="1" customFormat="false" ht="12.8" hidden="false" customHeight="false" outlineLevel="0" collapsed="false">
      <c r="A1" s="21" t="s">
        <v>167</v>
      </c>
      <c r="B1" s="15" t="s">
        <v>168</v>
      </c>
    </row>
    <row r="2" customFormat="false" ht="46.25" hidden="false" customHeight="false" outlineLevel="0" collapsed="false">
      <c r="A2" s="14" t="s">
        <v>13</v>
      </c>
      <c r="B2" s="14" t="s">
        <v>24</v>
      </c>
      <c r="C2" s="14" t="s">
        <v>25</v>
      </c>
      <c r="D2" s="22" t="s">
        <v>26</v>
      </c>
      <c r="E2" s="22" t="s">
        <v>27</v>
      </c>
      <c r="F2" s="22" t="s">
        <v>28</v>
      </c>
      <c r="G2" s="22" t="s">
        <v>29</v>
      </c>
      <c r="H2" s="23" t="s">
        <v>99</v>
      </c>
      <c r="I2" s="23" t="s">
        <v>100</v>
      </c>
      <c r="J2" s="23" t="s">
        <v>101</v>
      </c>
      <c r="K2" s="23" t="s">
        <v>102</v>
      </c>
      <c r="L2" s="23" t="s">
        <v>103</v>
      </c>
      <c r="M2" s="23" t="s">
        <v>104</v>
      </c>
      <c r="N2" s="23" t="s">
        <v>105</v>
      </c>
      <c r="O2" s="23" t="s">
        <v>106</v>
      </c>
      <c r="P2" s="23" t="s">
        <v>107</v>
      </c>
      <c r="Q2" s="23" t="s">
        <v>108</v>
      </c>
      <c r="R2" s="23" t="s">
        <v>109</v>
      </c>
      <c r="S2" s="23" t="s">
        <v>110</v>
      </c>
      <c r="T2" s="23" t="s">
        <v>42</v>
      </c>
      <c r="U2" s="23" t="s">
        <v>43</v>
      </c>
      <c r="V2" s="23" t="s">
        <v>44</v>
      </c>
      <c r="W2" s="24" t="s">
        <v>45</v>
      </c>
      <c r="X2" s="24" t="s">
        <v>46</v>
      </c>
      <c r="Y2" s="24" t="s">
        <v>47</v>
      </c>
      <c r="Z2" s="25" t="s">
        <v>48</v>
      </c>
      <c r="AA2" s="25" t="s">
        <v>49</v>
      </c>
      <c r="AB2" s="25" t="s">
        <v>50</v>
      </c>
      <c r="AC2" s="24" t="s">
        <v>51</v>
      </c>
      <c r="AD2" s="24" t="s">
        <v>52</v>
      </c>
      <c r="AE2" s="24" t="s">
        <v>53</v>
      </c>
      <c r="AF2" s="25" t="s">
        <v>54</v>
      </c>
      <c r="AG2" s="25" t="s">
        <v>55</v>
      </c>
      <c r="AH2" s="25" t="s">
        <v>56</v>
      </c>
      <c r="AI2" s="24" t="s">
        <v>57</v>
      </c>
      <c r="AJ2" s="24" t="s">
        <v>58</v>
      </c>
      <c r="AK2" s="24" t="s">
        <v>59</v>
      </c>
      <c r="AL2" s="25" t="s">
        <v>60</v>
      </c>
      <c r="AM2" s="25" t="s">
        <v>61</v>
      </c>
      <c r="AN2" s="25" t="s">
        <v>62</v>
      </c>
      <c r="AO2" s="24" t="s">
        <v>63</v>
      </c>
      <c r="AP2" s="24" t="s">
        <v>64</v>
      </c>
      <c r="AQ2" s="24" t="s">
        <v>65</v>
      </c>
      <c r="AR2" s="24" t="s">
        <v>66</v>
      </c>
      <c r="AS2" s="24" t="s">
        <v>67</v>
      </c>
      <c r="AT2" s="24" t="s">
        <v>68</v>
      </c>
      <c r="AU2" s="24" t="s">
        <v>69</v>
      </c>
      <c r="AV2" s="24" t="s">
        <v>70</v>
      </c>
      <c r="AW2" s="24" t="s">
        <v>71</v>
      </c>
      <c r="AX2" s="24" t="s">
        <v>72</v>
      </c>
      <c r="AY2" s="24" t="s">
        <v>73</v>
      </c>
    </row>
    <row r="3" customFormat="false" ht="12.8" hidden="false" customHeight="false" outlineLevel="0" collapsed="false">
      <c r="A3" s="15" t="n">
        <v>0</v>
      </c>
      <c r="B3" s="15" t="s">
        <v>75</v>
      </c>
      <c r="C3" s="15" t="s">
        <v>76</v>
      </c>
      <c r="D3" s="16" t="n">
        <v>23462518</v>
      </c>
      <c r="E3" s="16" t="n">
        <v>3777000</v>
      </c>
      <c r="F3" s="16" t="n">
        <v>1223000</v>
      </c>
      <c r="G3" s="16" t="n">
        <v>18462518</v>
      </c>
      <c r="H3" s="17" t="n">
        <v>0.9147</v>
      </c>
      <c r="I3" s="17" t="n">
        <v>0.722</v>
      </c>
      <c r="J3" s="17" t="n">
        <v>0.772</v>
      </c>
      <c r="K3" s="17" t="n">
        <v>0.925</v>
      </c>
      <c r="L3" s="17" t="n">
        <v>0.0853</v>
      </c>
      <c r="M3" s="17" t="n">
        <v>0.278</v>
      </c>
      <c r="N3" s="17" t="n">
        <v>0.228</v>
      </c>
      <c r="O3" s="17" t="n">
        <v>0.075</v>
      </c>
      <c r="P3" s="17" t="n">
        <v>0.0809</v>
      </c>
      <c r="Q3" s="17" t="n">
        <v>0.095</v>
      </c>
      <c r="R3" s="17" t="n">
        <v>0.095</v>
      </c>
      <c r="S3" s="17" t="n">
        <v>0.08</v>
      </c>
      <c r="T3" s="18" t="n">
        <v>14.2</v>
      </c>
      <c r="U3" s="18" t="n">
        <v>15.15</v>
      </c>
      <c r="V3" s="18" t="n">
        <v>30</v>
      </c>
      <c r="W3" s="19" t="n">
        <v>25560</v>
      </c>
      <c r="X3" s="19" t="n">
        <v>27270</v>
      </c>
      <c r="Y3" s="19" t="n">
        <v>54000</v>
      </c>
      <c r="Z3" s="20" t="n">
        <v>10.7</v>
      </c>
      <c r="AA3" s="20" t="n">
        <v>15.15</v>
      </c>
      <c r="AB3" s="20" t="n">
        <v>25</v>
      </c>
      <c r="AC3" s="19" t="n">
        <v>19260</v>
      </c>
      <c r="AD3" s="19" t="n">
        <v>27270</v>
      </c>
      <c r="AE3" s="19" t="n">
        <v>45000</v>
      </c>
      <c r="AF3" s="20" t="n">
        <v>10.7</v>
      </c>
      <c r="AG3" s="20" t="n">
        <v>15.15</v>
      </c>
      <c r="AH3" s="20" t="n">
        <v>20</v>
      </c>
      <c r="AI3" s="19" t="n">
        <v>19260</v>
      </c>
      <c r="AJ3" s="19" t="n">
        <v>27270</v>
      </c>
      <c r="AK3" s="19" t="n">
        <v>36000</v>
      </c>
      <c r="AL3" s="20" t="n">
        <v>14.4</v>
      </c>
      <c r="AM3" s="20" t="n">
        <v>15.15</v>
      </c>
      <c r="AN3" s="20" t="n">
        <v>35</v>
      </c>
      <c r="AO3" s="19" t="n">
        <v>25920</v>
      </c>
      <c r="AP3" s="19" t="n">
        <v>27270</v>
      </c>
      <c r="AQ3" s="19" t="n">
        <v>63000</v>
      </c>
      <c r="AR3" s="19" t="n">
        <v>-27651434313</v>
      </c>
      <c r="AS3" s="19" t="n">
        <v>-1214415874</v>
      </c>
      <c r="AT3" s="19" t="n">
        <v>78108624</v>
      </c>
      <c r="AU3" s="19" t="n">
        <v>-26525112763</v>
      </c>
      <c r="AV3" s="19" t="n">
        <v>84207777984</v>
      </c>
      <c r="AW3" s="19" t="n">
        <v>1823078377</v>
      </c>
      <c r="AX3" s="19" t="n">
        <v>1033454494</v>
      </c>
      <c r="AY3" s="19" t="n">
        <v>81351425113</v>
      </c>
    </row>
    <row r="4" customFormat="false" ht="12.8" hidden="false" customHeight="false" outlineLevel="0" collapsed="false">
      <c r="A4" s="15" t="n">
        <v>1</v>
      </c>
      <c r="B4" s="15" t="s">
        <v>77</v>
      </c>
      <c r="C4" s="15" t="s">
        <v>78</v>
      </c>
      <c r="D4" s="16" t="n">
        <v>3705</v>
      </c>
      <c r="E4" s="16" t="n">
        <v>996</v>
      </c>
      <c r="F4" s="16" t="n">
        <v>536</v>
      </c>
      <c r="G4" s="16" t="n">
        <v>2173</v>
      </c>
      <c r="H4" s="17" t="n">
        <v>0.8746</v>
      </c>
      <c r="I4" s="17" t="n">
        <v>0.75</v>
      </c>
      <c r="J4" s="17" t="n">
        <v>0.8</v>
      </c>
      <c r="K4" s="17" t="n">
        <v>0.95</v>
      </c>
      <c r="L4" s="17" t="n">
        <v>0.1254</v>
      </c>
      <c r="M4" s="17" t="n">
        <v>0.25</v>
      </c>
      <c r="N4" s="17" t="n">
        <v>0.2</v>
      </c>
      <c r="O4" s="17" t="n">
        <v>0.05</v>
      </c>
      <c r="P4" s="17" t="n">
        <v>0.0841</v>
      </c>
      <c r="Q4" s="17" t="n">
        <v>0.09</v>
      </c>
      <c r="R4" s="17" t="n">
        <v>0.09</v>
      </c>
      <c r="S4" s="17" t="n">
        <v>0.08</v>
      </c>
      <c r="T4" s="18" t="n">
        <v>18.5</v>
      </c>
      <c r="U4" s="18" t="n">
        <v>15.15</v>
      </c>
      <c r="V4" s="18" t="n">
        <v>19.71</v>
      </c>
      <c r="W4" s="19" t="n">
        <v>30525</v>
      </c>
      <c r="X4" s="19" t="n">
        <v>25000</v>
      </c>
      <c r="Y4" s="19" t="n">
        <v>32522</v>
      </c>
      <c r="Z4" s="20" t="n">
        <v>18.5</v>
      </c>
      <c r="AA4" s="20" t="n">
        <v>15.15</v>
      </c>
      <c r="AB4" s="20" t="n">
        <v>20</v>
      </c>
      <c r="AC4" s="19" t="n">
        <v>30525</v>
      </c>
      <c r="AD4" s="19" t="n">
        <v>25000</v>
      </c>
      <c r="AE4" s="19" t="n">
        <v>33000</v>
      </c>
      <c r="AF4" s="20" t="n">
        <v>17</v>
      </c>
      <c r="AG4" s="20" t="n">
        <v>15.15</v>
      </c>
      <c r="AH4" s="20" t="n">
        <v>18</v>
      </c>
      <c r="AI4" s="19" t="n">
        <v>28050</v>
      </c>
      <c r="AJ4" s="19" t="n">
        <v>25000</v>
      </c>
      <c r="AK4" s="19" t="n">
        <v>29700</v>
      </c>
      <c r="AL4" s="20" t="n">
        <v>21</v>
      </c>
      <c r="AM4" s="20" t="n">
        <v>15.15</v>
      </c>
      <c r="AN4" s="20" t="n">
        <v>25</v>
      </c>
      <c r="AO4" s="19" t="n">
        <v>34650</v>
      </c>
      <c r="AP4" s="19" t="n">
        <v>25000</v>
      </c>
      <c r="AQ4" s="19" t="n">
        <v>41250</v>
      </c>
      <c r="AR4" s="19" t="n">
        <v>296357</v>
      </c>
      <c r="AS4" s="19" t="n">
        <v>-457561</v>
      </c>
      <c r="AT4" s="19" t="n">
        <v>561813</v>
      </c>
      <c r="AU4" s="19" t="n">
        <v>-181095</v>
      </c>
      <c r="AV4" s="19" t="n">
        <v>18531000</v>
      </c>
      <c r="AW4" s="19" t="n">
        <v>227000</v>
      </c>
      <c r="AX4" s="19" t="n">
        <v>11515000</v>
      </c>
      <c r="AY4" s="19" t="n">
        <v>6223000</v>
      </c>
    </row>
    <row r="5" customFormat="false" ht="12.8" hidden="false" customHeight="false" outlineLevel="0" collapsed="false">
      <c r="A5" s="15" t="n">
        <v>2</v>
      </c>
      <c r="B5" s="15" t="s">
        <v>77</v>
      </c>
      <c r="C5" s="15" t="s">
        <v>79</v>
      </c>
      <c r="D5" s="16" t="n">
        <v>2000</v>
      </c>
      <c r="E5" s="16" t="n">
        <v>537</v>
      </c>
      <c r="F5" s="16" t="n">
        <v>289</v>
      </c>
      <c r="G5" s="16" t="n">
        <v>1174</v>
      </c>
      <c r="H5" s="17" t="n">
        <v>0.8749</v>
      </c>
      <c r="I5" s="17" t="n">
        <v>0.75</v>
      </c>
      <c r="J5" s="17" t="n">
        <v>0.8</v>
      </c>
      <c r="K5" s="17" t="n">
        <v>0.95</v>
      </c>
      <c r="L5" s="17" t="n">
        <v>0.1251</v>
      </c>
      <c r="M5" s="17" t="n">
        <v>0.25</v>
      </c>
      <c r="N5" s="17" t="n">
        <v>0.2</v>
      </c>
      <c r="O5" s="17" t="n">
        <v>0.05</v>
      </c>
      <c r="P5" s="17" t="n">
        <v>0.0841</v>
      </c>
      <c r="Q5" s="17" t="n">
        <v>0.09</v>
      </c>
      <c r="R5" s="17" t="n">
        <v>0.09</v>
      </c>
      <c r="S5" s="17" t="n">
        <v>0.08</v>
      </c>
      <c r="T5" s="18" t="n">
        <v>17</v>
      </c>
      <c r="U5" s="18" t="n">
        <v>15.15</v>
      </c>
      <c r="V5" s="18" t="n">
        <v>19.71</v>
      </c>
      <c r="W5" s="19" t="n">
        <v>30600</v>
      </c>
      <c r="X5" s="19" t="n">
        <v>25000</v>
      </c>
      <c r="Y5" s="19" t="n">
        <v>35478</v>
      </c>
      <c r="Z5" s="20" t="n">
        <v>17</v>
      </c>
      <c r="AA5" s="20" t="n">
        <v>15.15</v>
      </c>
      <c r="AB5" s="20" t="n">
        <v>20</v>
      </c>
      <c r="AC5" s="19" t="n">
        <v>30600</v>
      </c>
      <c r="AD5" s="19" t="n">
        <v>25000</v>
      </c>
      <c r="AE5" s="19" t="n">
        <v>36000</v>
      </c>
      <c r="AF5" s="20" t="n">
        <v>15.5</v>
      </c>
      <c r="AG5" s="20" t="n">
        <v>15.15</v>
      </c>
      <c r="AH5" s="20" t="n">
        <v>18</v>
      </c>
      <c r="AI5" s="19" t="n">
        <v>27900</v>
      </c>
      <c r="AJ5" s="19" t="n">
        <v>25000</v>
      </c>
      <c r="AK5" s="19" t="n">
        <v>32400</v>
      </c>
      <c r="AL5" s="20" t="n">
        <v>19</v>
      </c>
      <c r="AM5" s="20" t="n">
        <v>15.15</v>
      </c>
      <c r="AN5" s="20" t="n">
        <v>25</v>
      </c>
      <c r="AO5" s="19" t="n">
        <v>34200</v>
      </c>
      <c r="AP5" s="19" t="n">
        <v>25000</v>
      </c>
      <c r="AQ5" s="19" t="n">
        <v>45000</v>
      </c>
      <c r="AR5" s="19" t="n">
        <v>93395</v>
      </c>
      <c r="AS5" s="19" t="n">
        <v>-169247</v>
      </c>
      <c r="AT5" s="19" t="n">
        <v>9938000</v>
      </c>
      <c r="AU5" s="19" t="n">
        <v>1242000</v>
      </c>
      <c r="AV5" s="19" t="n">
        <v>1220000</v>
      </c>
      <c r="AW5" s="19" t="n">
        <v>6476000</v>
      </c>
      <c r="AX5" s="19" t="n">
        <v>162870</v>
      </c>
      <c r="AY5" s="19" t="n">
        <v>820861</v>
      </c>
    </row>
    <row r="6" customFormat="false" ht="12.8" hidden="false" customHeight="false" outlineLevel="0" collapsed="false">
      <c r="A6" s="15" t="n">
        <v>3</v>
      </c>
      <c r="B6" s="15" t="s">
        <v>80</v>
      </c>
      <c r="C6" s="15" t="s">
        <v>78</v>
      </c>
      <c r="D6" s="16" t="n">
        <v>13446</v>
      </c>
      <c r="E6" s="16" t="n">
        <v>2074</v>
      </c>
      <c r="F6" s="16" t="n">
        <v>2101</v>
      </c>
      <c r="G6" s="16" t="n">
        <v>9271</v>
      </c>
      <c r="H6" s="17" t="n">
        <v>0.9001</v>
      </c>
      <c r="I6" s="17" t="n">
        <v>0.752</v>
      </c>
      <c r="J6" s="17" t="n">
        <v>0.802</v>
      </c>
      <c r="K6" s="17" t="n">
        <v>0.945</v>
      </c>
      <c r="L6" s="17" t="n">
        <v>0.0999</v>
      </c>
      <c r="M6" s="17" t="n">
        <v>0.248</v>
      </c>
      <c r="N6" s="17" t="n">
        <v>0.198</v>
      </c>
      <c r="O6" s="17" t="n">
        <v>0.055</v>
      </c>
      <c r="P6" s="17" t="n">
        <v>0.0827</v>
      </c>
      <c r="Q6" s="17" t="n">
        <v>0.09</v>
      </c>
      <c r="R6" s="17" t="n">
        <v>0.09</v>
      </c>
      <c r="S6" s="17" t="n">
        <v>0.08</v>
      </c>
      <c r="T6" s="18" t="n">
        <v>22</v>
      </c>
      <c r="U6" s="18" t="n">
        <v>15.15</v>
      </c>
      <c r="V6" s="18" t="n">
        <v>40</v>
      </c>
      <c r="W6" s="19" t="n">
        <v>42900</v>
      </c>
      <c r="X6" s="19" t="n">
        <v>29600</v>
      </c>
      <c r="Y6" s="19" t="n">
        <v>78000</v>
      </c>
      <c r="Z6" s="20" t="n">
        <v>22</v>
      </c>
      <c r="AA6" s="20" t="n">
        <v>15.15</v>
      </c>
      <c r="AB6" s="20" t="n">
        <v>35</v>
      </c>
      <c r="AC6" s="19" t="n">
        <v>42900</v>
      </c>
      <c r="AD6" s="19" t="n">
        <v>29600</v>
      </c>
      <c r="AE6" s="19" t="n">
        <v>68250</v>
      </c>
      <c r="AF6" s="20" t="n">
        <v>20</v>
      </c>
      <c r="AG6" s="20" t="n">
        <v>15.15</v>
      </c>
      <c r="AH6" s="20" t="n">
        <v>30</v>
      </c>
      <c r="AI6" s="19" t="n">
        <v>39000</v>
      </c>
      <c r="AJ6" s="19" t="n">
        <v>29600</v>
      </c>
      <c r="AK6" s="19" t="n">
        <v>58500</v>
      </c>
      <c r="AL6" s="20" t="n">
        <v>24</v>
      </c>
      <c r="AM6" s="20" t="n">
        <v>15.15</v>
      </c>
      <c r="AN6" s="20" t="n">
        <v>45</v>
      </c>
      <c r="AO6" s="19" t="n">
        <v>46800</v>
      </c>
      <c r="AP6" s="19" t="n">
        <v>29600</v>
      </c>
      <c r="AQ6" s="19" t="n">
        <v>87750</v>
      </c>
      <c r="AR6" s="19" t="n">
        <v>21406000</v>
      </c>
      <c r="AS6" s="19" t="n">
        <v>2137000</v>
      </c>
      <c r="AT6" s="19" t="n">
        <v>5391000</v>
      </c>
      <c r="AU6" s="19" t="n">
        <v>13878000</v>
      </c>
      <c r="AV6" s="19" t="n">
        <v>92634000</v>
      </c>
      <c r="AW6" s="19" t="n">
        <v>13605000</v>
      </c>
      <c r="AX6" s="19" t="n">
        <v>12523000</v>
      </c>
      <c r="AY6" s="19" t="n">
        <v>66506000</v>
      </c>
    </row>
    <row r="7" customFormat="false" ht="12.8" hidden="false" customHeight="false" outlineLevel="0" collapsed="false">
      <c r="A7" s="15" t="n">
        <v>4</v>
      </c>
      <c r="B7" s="15" t="s">
        <v>80</v>
      </c>
      <c r="C7" s="15" t="s">
        <v>79</v>
      </c>
      <c r="D7" s="16" t="n">
        <v>7254</v>
      </c>
      <c r="E7" s="16" t="n">
        <v>1118</v>
      </c>
      <c r="F7" s="16" t="n">
        <v>1134</v>
      </c>
      <c r="G7" s="16" t="n">
        <v>5002</v>
      </c>
      <c r="H7" s="17" t="n">
        <v>0.9</v>
      </c>
      <c r="I7" s="17" t="n">
        <v>0.752</v>
      </c>
      <c r="J7" s="17" t="n">
        <v>0.802</v>
      </c>
      <c r="K7" s="17" t="n">
        <v>0.945</v>
      </c>
      <c r="L7" s="17" t="n">
        <v>0.1</v>
      </c>
      <c r="M7" s="17" t="n">
        <v>0.248</v>
      </c>
      <c r="N7" s="17" t="n">
        <v>0.198</v>
      </c>
      <c r="O7" s="17" t="n">
        <v>0.055</v>
      </c>
      <c r="P7" s="17" t="n">
        <v>0.0827</v>
      </c>
      <c r="Q7" s="17" t="n">
        <v>0.09</v>
      </c>
      <c r="R7" s="17" t="n">
        <v>0.09</v>
      </c>
      <c r="S7" s="17" t="n">
        <v>0.08</v>
      </c>
      <c r="T7" s="18" t="n">
        <v>20</v>
      </c>
      <c r="U7" s="18" t="n">
        <v>15.15</v>
      </c>
      <c r="V7" s="18" t="n">
        <v>40</v>
      </c>
      <c r="W7" s="19" t="n">
        <v>36000</v>
      </c>
      <c r="X7" s="19" t="n">
        <v>27270</v>
      </c>
      <c r="Y7" s="19" t="n">
        <v>72000</v>
      </c>
      <c r="Z7" s="20" t="n">
        <v>20</v>
      </c>
      <c r="AA7" s="20" t="n">
        <v>15.15</v>
      </c>
      <c r="AB7" s="20" t="n">
        <v>35</v>
      </c>
      <c r="AC7" s="19" t="n">
        <v>36000</v>
      </c>
      <c r="AD7" s="19" t="n">
        <v>27270</v>
      </c>
      <c r="AE7" s="19" t="n">
        <v>63000</v>
      </c>
      <c r="AF7" s="20" t="n">
        <v>18</v>
      </c>
      <c r="AG7" s="20" t="n">
        <v>15.15</v>
      </c>
      <c r="AH7" s="20" t="n">
        <v>30</v>
      </c>
      <c r="AI7" s="19" t="n">
        <v>32400</v>
      </c>
      <c r="AJ7" s="19" t="n">
        <v>27270</v>
      </c>
      <c r="AK7" s="19" t="n">
        <v>54000</v>
      </c>
      <c r="AL7" s="20" t="n">
        <v>22</v>
      </c>
      <c r="AM7" s="20" t="n">
        <v>15.15</v>
      </c>
      <c r="AN7" s="20" t="n">
        <v>45</v>
      </c>
      <c r="AO7" s="19" t="n">
        <v>39600</v>
      </c>
      <c r="AP7" s="19" t="n">
        <v>27270</v>
      </c>
      <c r="AQ7" s="19" t="n">
        <v>81000</v>
      </c>
      <c r="AR7" s="19" t="n">
        <v>5389000</v>
      </c>
      <c r="AS7" s="19" t="n">
        <v>223000</v>
      </c>
      <c r="AT7" s="19" t="n">
        <v>2001000</v>
      </c>
      <c r="AU7" s="19" t="n">
        <v>3165000</v>
      </c>
      <c r="AV7" s="19" t="n">
        <v>42102000</v>
      </c>
      <c r="AW7" s="19" t="n">
        <v>6158000</v>
      </c>
      <c r="AX7" s="19" t="n">
        <v>5605000</v>
      </c>
      <c r="AY7" s="19" t="n">
        <v>30339000</v>
      </c>
    </row>
    <row r="8" customFormat="false" ht="12.8" hidden="false" customHeight="false" outlineLevel="0" collapsed="false">
      <c r="A8" s="15" t="n">
        <v>5</v>
      </c>
      <c r="B8" s="15" t="s">
        <v>81</v>
      </c>
      <c r="C8" s="15" t="s">
        <v>78</v>
      </c>
      <c r="D8" s="16" t="n">
        <v>43148</v>
      </c>
      <c r="E8" s="16" t="n">
        <v>6590</v>
      </c>
      <c r="F8" s="16" t="n">
        <v>6486</v>
      </c>
      <c r="G8" s="16" t="n">
        <v>30072</v>
      </c>
      <c r="H8" s="17" t="n">
        <v>0.8729</v>
      </c>
      <c r="I8" s="17" t="n">
        <v>0.715</v>
      </c>
      <c r="J8" s="17" t="n">
        <v>0.765</v>
      </c>
      <c r="K8" s="17" t="n">
        <v>0.92</v>
      </c>
      <c r="L8" s="17" t="n">
        <v>0.1271</v>
      </c>
      <c r="M8" s="17" t="n">
        <v>0.285</v>
      </c>
      <c r="N8" s="17" t="n">
        <v>0.235</v>
      </c>
      <c r="O8" s="17" t="n">
        <v>0.08</v>
      </c>
      <c r="P8" s="17" t="n">
        <v>0.1137</v>
      </c>
      <c r="Q8" s="17" t="n">
        <v>0.11</v>
      </c>
      <c r="R8" s="17" t="n">
        <v>0.11</v>
      </c>
      <c r="S8" s="17" t="n">
        <v>0.115</v>
      </c>
      <c r="T8" s="18" t="n">
        <v>14.5</v>
      </c>
      <c r="U8" s="18" t="n">
        <v>15.15</v>
      </c>
      <c r="V8" s="18" t="n">
        <v>25</v>
      </c>
      <c r="W8" s="19" t="n">
        <v>22475</v>
      </c>
      <c r="X8" s="19" t="n">
        <v>23513</v>
      </c>
      <c r="Y8" s="19" t="n">
        <v>38750</v>
      </c>
      <c r="Z8" s="20" t="n">
        <v>14.5</v>
      </c>
      <c r="AA8" s="20" t="n">
        <v>15.15</v>
      </c>
      <c r="AB8" s="20" t="n">
        <v>20</v>
      </c>
      <c r="AC8" s="19" t="n">
        <v>22475</v>
      </c>
      <c r="AD8" s="19" t="n">
        <v>23513</v>
      </c>
      <c r="AE8" s="19" t="n">
        <v>31000</v>
      </c>
      <c r="AF8" s="20" t="n">
        <v>13</v>
      </c>
      <c r="AG8" s="20" t="n">
        <v>15.15</v>
      </c>
      <c r="AH8" s="20" t="n">
        <v>18</v>
      </c>
      <c r="AI8" s="19" t="n">
        <v>20150</v>
      </c>
      <c r="AJ8" s="19" t="n">
        <v>23513</v>
      </c>
      <c r="AK8" s="19" t="n">
        <v>27900</v>
      </c>
      <c r="AL8" s="20" t="n">
        <v>16</v>
      </c>
      <c r="AM8" s="20" t="n">
        <v>15.15</v>
      </c>
      <c r="AN8" s="20" t="n">
        <v>25</v>
      </c>
      <c r="AO8" s="19" t="n">
        <v>24800</v>
      </c>
      <c r="AP8" s="19" t="n">
        <v>23513</v>
      </c>
      <c r="AQ8" s="19" t="n">
        <v>38750</v>
      </c>
      <c r="AR8" s="19" t="n">
        <v>-44860000</v>
      </c>
      <c r="AS8" s="19" t="n">
        <v>-9675000</v>
      </c>
      <c r="AT8" s="19" t="n">
        <v>1945000</v>
      </c>
      <c r="AU8" s="19" t="n">
        <v>-37130000</v>
      </c>
      <c r="AV8" s="19" t="n">
        <v>146448000</v>
      </c>
      <c r="AW8" s="19" t="n">
        <v>21078000</v>
      </c>
      <c r="AX8" s="19" t="n">
        <v>18457000</v>
      </c>
      <c r="AY8" s="19" t="n">
        <v>106913000</v>
      </c>
    </row>
    <row r="9" customFormat="false" ht="12.8" hidden="false" customHeight="false" outlineLevel="0" collapsed="false">
      <c r="A9" s="15" t="n">
        <v>6</v>
      </c>
      <c r="B9" s="15" t="s">
        <v>81</v>
      </c>
      <c r="C9" s="15" t="s">
        <v>79</v>
      </c>
      <c r="D9" s="16" t="n">
        <v>23274</v>
      </c>
      <c r="E9" s="16" t="n">
        <v>3555</v>
      </c>
      <c r="F9" s="16" t="n">
        <v>3498</v>
      </c>
      <c r="G9" s="16" t="n">
        <v>16221</v>
      </c>
      <c r="H9" s="17" t="n">
        <v>0.8729</v>
      </c>
      <c r="I9" s="17" t="n">
        <v>0.715</v>
      </c>
      <c r="J9" s="17" t="n">
        <v>0.765</v>
      </c>
      <c r="K9" s="17" t="n">
        <v>0.92</v>
      </c>
      <c r="L9" s="17" t="n">
        <v>0.1271</v>
      </c>
      <c r="M9" s="17" t="n">
        <v>0.285</v>
      </c>
      <c r="N9" s="17" t="n">
        <v>0.235</v>
      </c>
      <c r="O9" s="17" t="n">
        <v>0.08</v>
      </c>
      <c r="P9" s="17" t="n">
        <v>0.1137</v>
      </c>
      <c r="Q9" s="17" t="n">
        <v>0.11</v>
      </c>
      <c r="R9" s="17" t="n">
        <v>0.11</v>
      </c>
      <c r="S9" s="17" t="n">
        <v>0.115</v>
      </c>
      <c r="T9" s="18" t="n">
        <v>13</v>
      </c>
      <c r="U9" s="18" t="n">
        <v>15.15</v>
      </c>
      <c r="V9" s="18" t="n">
        <v>25</v>
      </c>
      <c r="W9" s="19" t="n">
        <v>20800</v>
      </c>
      <c r="X9" s="19" t="n">
        <v>24240</v>
      </c>
      <c r="Y9" s="19" t="n">
        <v>40000</v>
      </c>
      <c r="Z9" s="20" t="n">
        <v>13</v>
      </c>
      <c r="AA9" s="20" t="n">
        <v>15.15</v>
      </c>
      <c r="AB9" s="20" t="n">
        <v>20</v>
      </c>
      <c r="AC9" s="19" t="n">
        <v>20800</v>
      </c>
      <c r="AD9" s="19" t="n">
        <v>24240</v>
      </c>
      <c r="AE9" s="19" t="n">
        <v>32000</v>
      </c>
      <c r="AF9" s="20" t="n">
        <v>11.5</v>
      </c>
      <c r="AG9" s="20" t="n">
        <v>15.15</v>
      </c>
      <c r="AH9" s="20" t="n">
        <v>18</v>
      </c>
      <c r="AI9" s="19" t="n">
        <v>18400</v>
      </c>
      <c r="AJ9" s="19" t="n">
        <v>24240</v>
      </c>
      <c r="AK9" s="19" t="n">
        <v>28800</v>
      </c>
      <c r="AL9" s="20" t="n">
        <v>14.5</v>
      </c>
      <c r="AM9" s="20" t="n">
        <v>15.15</v>
      </c>
      <c r="AN9" s="20" t="n">
        <v>25</v>
      </c>
      <c r="AO9" s="19" t="n">
        <v>23200</v>
      </c>
      <c r="AP9" s="19" t="n">
        <v>24240</v>
      </c>
      <c r="AQ9" s="19" t="n">
        <v>40000</v>
      </c>
      <c r="AR9" s="19" t="n">
        <v>-28094000</v>
      </c>
      <c r="AS9" s="19" t="n">
        <v>-5831000</v>
      </c>
      <c r="AT9" s="19" t="n">
        <v>420000</v>
      </c>
      <c r="AU9" s="19" t="n">
        <v>-22683000</v>
      </c>
      <c r="AV9" s="19" t="n">
        <v>72967000</v>
      </c>
      <c r="AW9" s="19" t="n">
        <v>10417000</v>
      </c>
      <c r="AX9" s="19" t="n">
        <v>8986000</v>
      </c>
      <c r="AY9" s="19" t="n">
        <v>53564000</v>
      </c>
    </row>
    <row r="10" customFormat="false" ht="12.8" hidden="false" customHeight="false" outlineLevel="0" collapsed="false">
      <c r="A10" s="15" t="n">
        <v>7</v>
      </c>
      <c r="B10" s="15" t="s">
        <v>82</v>
      </c>
      <c r="C10" s="15" t="s">
        <v>78</v>
      </c>
      <c r="D10" s="16" t="n">
        <v>19200</v>
      </c>
      <c r="E10" s="16" t="n">
        <v>3316</v>
      </c>
      <c r="F10" s="16" t="n">
        <v>3281</v>
      </c>
      <c r="G10" s="16" t="n">
        <v>12603</v>
      </c>
      <c r="H10" s="17" t="n">
        <v>0.8697</v>
      </c>
      <c r="I10" s="17" t="n">
        <v>0.716</v>
      </c>
      <c r="J10" s="17" t="n">
        <v>0.766</v>
      </c>
      <c r="K10" s="17" t="n">
        <v>0.924</v>
      </c>
      <c r="L10" s="17" t="n">
        <v>0.1303</v>
      </c>
      <c r="M10" s="17" t="n">
        <v>0.284</v>
      </c>
      <c r="N10" s="17" t="n">
        <v>0.234</v>
      </c>
      <c r="O10" s="17" t="n">
        <v>0.076</v>
      </c>
      <c r="P10" s="17" t="n">
        <v>0.1135</v>
      </c>
      <c r="Q10" s="17" t="n">
        <v>0.11</v>
      </c>
      <c r="R10" s="17" t="n">
        <v>0.11</v>
      </c>
      <c r="S10" s="17" t="n">
        <v>0.115</v>
      </c>
      <c r="T10" s="18" t="n">
        <v>14.5</v>
      </c>
      <c r="U10" s="18" t="n">
        <v>15.15</v>
      </c>
      <c r="V10" s="18" t="n">
        <v>25</v>
      </c>
      <c r="W10" s="19" t="n">
        <v>23200</v>
      </c>
      <c r="X10" s="19" t="n">
        <v>24240</v>
      </c>
      <c r="Y10" s="19" t="n">
        <v>40000</v>
      </c>
      <c r="Z10" s="20" t="n">
        <v>14.5</v>
      </c>
      <c r="AA10" s="20" t="n">
        <v>15.15</v>
      </c>
      <c r="AB10" s="20" t="n">
        <v>20</v>
      </c>
      <c r="AC10" s="19" t="n">
        <v>23200</v>
      </c>
      <c r="AD10" s="19" t="n">
        <v>24240</v>
      </c>
      <c r="AE10" s="19" t="n">
        <v>32000</v>
      </c>
      <c r="AF10" s="20" t="n">
        <v>13</v>
      </c>
      <c r="AG10" s="20" t="n">
        <v>15.15</v>
      </c>
      <c r="AH10" s="20" t="n">
        <v>18</v>
      </c>
      <c r="AI10" s="19" t="n">
        <v>20800</v>
      </c>
      <c r="AJ10" s="19" t="n">
        <v>24240</v>
      </c>
      <c r="AK10" s="19" t="n">
        <v>28800</v>
      </c>
      <c r="AL10" s="20" t="n">
        <v>16</v>
      </c>
      <c r="AM10" s="20" t="n">
        <v>15.15</v>
      </c>
      <c r="AN10" s="20" t="n">
        <v>25</v>
      </c>
      <c r="AO10" s="19" t="n">
        <v>25600</v>
      </c>
      <c r="AP10" s="19" t="n">
        <v>24240</v>
      </c>
      <c r="AQ10" s="19" t="n">
        <v>40000</v>
      </c>
      <c r="AR10" s="19" t="n">
        <v>-15004000</v>
      </c>
      <c r="AS10" s="19" t="n">
        <v>-4111000</v>
      </c>
      <c r="AT10" s="19" t="n">
        <v>1706000</v>
      </c>
      <c r="AU10" s="19" t="n">
        <v>-12599000</v>
      </c>
      <c r="AV10" s="19" t="n">
        <v>71526000</v>
      </c>
      <c r="AW10" s="19" t="n">
        <v>11774000</v>
      </c>
      <c r="AX10" s="19" t="n">
        <v>10439000</v>
      </c>
      <c r="AY10" s="19" t="n">
        <v>49313000</v>
      </c>
    </row>
    <row r="11" customFormat="false" ht="12.8" hidden="false" customHeight="false" outlineLevel="0" collapsed="false">
      <c r="A11" s="15" t="n">
        <v>8</v>
      </c>
      <c r="B11" s="15" t="s">
        <v>82</v>
      </c>
      <c r="C11" s="15" t="s">
        <v>79</v>
      </c>
      <c r="D11" s="16" t="n">
        <v>10360</v>
      </c>
      <c r="E11" s="16" t="n">
        <v>1790</v>
      </c>
      <c r="F11" s="16" t="n">
        <v>1769</v>
      </c>
      <c r="G11" s="16" t="n">
        <v>6801</v>
      </c>
      <c r="H11" s="17" t="n">
        <v>0.8697</v>
      </c>
      <c r="I11" s="17" t="n">
        <v>0.716</v>
      </c>
      <c r="J11" s="17" t="n">
        <v>0.766</v>
      </c>
      <c r="K11" s="17" t="n">
        <v>0.924</v>
      </c>
      <c r="L11" s="17" t="n">
        <v>0.1303</v>
      </c>
      <c r="M11" s="17" t="n">
        <v>0.284</v>
      </c>
      <c r="N11" s="17" t="n">
        <v>0.234</v>
      </c>
      <c r="O11" s="17" t="n">
        <v>0.076</v>
      </c>
      <c r="P11" s="17" t="n">
        <v>0.1135</v>
      </c>
      <c r="Q11" s="17" t="n">
        <v>0.11</v>
      </c>
      <c r="R11" s="17" t="n">
        <v>0.11</v>
      </c>
      <c r="S11" s="17" t="n">
        <v>0.115</v>
      </c>
      <c r="T11" s="18" t="n">
        <v>12.5</v>
      </c>
      <c r="U11" s="18" t="n">
        <v>15.15</v>
      </c>
      <c r="V11" s="18" t="n">
        <v>25</v>
      </c>
      <c r="W11" s="19" t="n">
        <v>20000</v>
      </c>
      <c r="X11" s="19" t="n">
        <v>24240</v>
      </c>
      <c r="Y11" s="19" t="n">
        <v>40000</v>
      </c>
      <c r="Z11" s="20" t="n">
        <v>12.5</v>
      </c>
      <c r="AA11" s="20" t="n">
        <v>15.15</v>
      </c>
      <c r="AB11" s="20" t="n">
        <v>20</v>
      </c>
      <c r="AC11" s="19" t="n">
        <v>20000</v>
      </c>
      <c r="AD11" s="19" t="n">
        <v>24240</v>
      </c>
      <c r="AE11" s="19" t="n">
        <v>32000</v>
      </c>
      <c r="AF11" s="20" t="n">
        <v>11</v>
      </c>
      <c r="AG11" s="20" t="n">
        <v>15.15</v>
      </c>
      <c r="AH11" s="20" t="n">
        <v>18</v>
      </c>
      <c r="AI11" s="19" t="n">
        <v>17600</v>
      </c>
      <c r="AJ11" s="19" t="n">
        <v>24240</v>
      </c>
      <c r="AK11" s="19" t="n">
        <v>28800</v>
      </c>
      <c r="AL11" s="20" t="n">
        <v>14</v>
      </c>
      <c r="AM11" s="20" t="n">
        <v>15.15</v>
      </c>
      <c r="AN11" s="20" t="n">
        <v>25</v>
      </c>
      <c r="AO11" s="19" t="n">
        <v>22400</v>
      </c>
      <c r="AP11" s="19" t="n">
        <v>24240</v>
      </c>
      <c r="AQ11" s="19" t="n">
        <v>40000</v>
      </c>
      <c r="AR11" s="19" t="n">
        <v>-11397000</v>
      </c>
      <c r="AS11" s="19" t="n">
        <v>-2792000</v>
      </c>
      <c r="AT11" s="19" t="n">
        <v>354000</v>
      </c>
      <c r="AU11" s="19" t="n">
        <v>-8959000</v>
      </c>
      <c r="AV11" s="19" t="n">
        <v>33502000</v>
      </c>
      <c r="AW11" s="19" t="n">
        <v>5479000</v>
      </c>
      <c r="AX11" s="19" t="n">
        <v>4760000</v>
      </c>
      <c r="AY11" s="19" t="n">
        <v>23263000</v>
      </c>
    </row>
    <row r="12" customFormat="false" ht="12.8" hidden="false" customHeight="false" outlineLevel="0" collapsed="false">
      <c r="A12" s="15" t="n">
        <v>9</v>
      </c>
      <c r="B12" s="15" t="s">
        <v>83</v>
      </c>
      <c r="C12" s="15" t="s">
        <v>78</v>
      </c>
      <c r="D12" s="16" t="n">
        <v>40200</v>
      </c>
      <c r="E12" s="16" t="n">
        <v>6024</v>
      </c>
      <c r="F12" s="16" t="n">
        <v>3018</v>
      </c>
      <c r="G12" s="16" t="n">
        <v>31158</v>
      </c>
      <c r="H12" s="17" t="n">
        <v>0.9179</v>
      </c>
      <c r="I12" s="17" t="n">
        <v>0.76</v>
      </c>
      <c r="J12" s="17" t="n">
        <v>0.81</v>
      </c>
      <c r="K12" s="17" t="n">
        <v>0.95</v>
      </c>
      <c r="L12" s="17" t="n">
        <v>0.0821</v>
      </c>
      <c r="M12" s="17" t="n">
        <v>0.24</v>
      </c>
      <c r="N12" s="17" t="n">
        <v>0.19</v>
      </c>
      <c r="O12" s="17" t="n">
        <v>0.05</v>
      </c>
      <c r="P12" s="17" t="n">
        <v>0.1022</v>
      </c>
      <c r="Q12" s="17" t="n">
        <v>0.09</v>
      </c>
      <c r="R12" s="17" t="n">
        <v>0.09</v>
      </c>
      <c r="S12" s="17" t="n">
        <v>0.105</v>
      </c>
      <c r="T12" s="18" t="n">
        <v>22</v>
      </c>
      <c r="U12" s="18" t="n">
        <v>15.15</v>
      </c>
      <c r="V12" s="18" t="n">
        <v>40</v>
      </c>
      <c r="W12" s="19" t="n">
        <v>42900</v>
      </c>
      <c r="X12" s="19" t="n">
        <v>29600</v>
      </c>
      <c r="Y12" s="19" t="n">
        <v>78000</v>
      </c>
      <c r="Z12" s="20" t="n">
        <v>22</v>
      </c>
      <c r="AA12" s="20" t="n">
        <v>15.15</v>
      </c>
      <c r="AB12" s="20" t="n">
        <v>35</v>
      </c>
      <c r="AC12" s="19" t="n">
        <v>42900</v>
      </c>
      <c r="AD12" s="19" t="n">
        <v>29600</v>
      </c>
      <c r="AE12" s="19" t="n">
        <v>68250</v>
      </c>
      <c r="AF12" s="20" t="n">
        <v>20</v>
      </c>
      <c r="AG12" s="20" t="n">
        <v>15.15</v>
      </c>
      <c r="AH12" s="20" t="n">
        <v>30</v>
      </c>
      <c r="AI12" s="19" t="n">
        <v>39000</v>
      </c>
      <c r="AJ12" s="19" t="n">
        <v>29600</v>
      </c>
      <c r="AK12" s="19" t="n">
        <v>58500</v>
      </c>
      <c r="AL12" s="20" t="n">
        <v>24</v>
      </c>
      <c r="AM12" s="20" t="n">
        <v>15.15</v>
      </c>
      <c r="AN12" s="20" t="n">
        <v>45</v>
      </c>
      <c r="AO12" s="19" t="n">
        <v>46800</v>
      </c>
      <c r="AP12" s="19" t="n">
        <v>29600</v>
      </c>
      <c r="AQ12" s="19" t="n">
        <v>87750</v>
      </c>
      <c r="AR12" s="19" t="n">
        <v>60510000</v>
      </c>
      <c r="AS12" s="19" t="n">
        <v>6180000</v>
      </c>
      <c r="AT12" s="19" t="n">
        <v>7721000</v>
      </c>
      <c r="AU12" s="19" t="n">
        <v>46609000</v>
      </c>
      <c r="AV12" s="19" t="n">
        <v>280646000</v>
      </c>
      <c r="AW12" s="19" t="n">
        <v>39513000</v>
      </c>
      <c r="AX12" s="19" t="n">
        <v>17977000</v>
      </c>
      <c r="AY12" s="19" t="n">
        <v>223156000</v>
      </c>
    </row>
    <row r="13" customFormat="false" ht="12.8" hidden="false" customHeight="false" outlineLevel="0" collapsed="false">
      <c r="A13" s="15" t="n">
        <v>10</v>
      </c>
      <c r="B13" s="15" t="s">
        <v>83</v>
      </c>
      <c r="C13" s="15" t="s">
        <v>79</v>
      </c>
      <c r="D13" s="16" t="n">
        <v>21690</v>
      </c>
      <c r="E13" s="16" t="n">
        <v>2892</v>
      </c>
      <c r="F13" s="16" t="n">
        <v>1626</v>
      </c>
      <c r="G13" s="16" t="n">
        <v>17172</v>
      </c>
      <c r="H13" s="17" t="n">
        <v>0.9179</v>
      </c>
      <c r="I13" s="17" t="n">
        <v>0.76</v>
      </c>
      <c r="J13" s="17" t="n">
        <v>0.81</v>
      </c>
      <c r="K13" s="17" t="n">
        <v>0.95</v>
      </c>
      <c r="L13" s="17" t="n">
        <v>0.0821</v>
      </c>
      <c r="M13" s="17" t="n">
        <v>0.24</v>
      </c>
      <c r="N13" s="17" t="n">
        <v>0.19</v>
      </c>
      <c r="O13" s="17" t="n">
        <v>0.05</v>
      </c>
      <c r="P13" s="17" t="n">
        <v>0.1022</v>
      </c>
      <c r="Q13" s="17" t="n">
        <v>0.09</v>
      </c>
      <c r="R13" s="17" t="n">
        <v>0.09</v>
      </c>
      <c r="S13" s="17" t="n">
        <v>0.105</v>
      </c>
      <c r="T13" s="18" t="n">
        <v>20</v>
      </c>
      <c r="U13" s="18" t="n">
        <v>15.15</v>
      </c>
      <c r="V13" s="18" t="n">
        <v>40</v>
      </c>
      <c r="W13" s="19" t="n">
        <v>36000</v>
      </c>
      <c r="X13" s="19" t="n">
        <v>27270</v>
      </c>
      <c r="Y13" s="19" t="n">
        <v>72000</v>
      </c>
      <c r="Z13" s="20" t="n">
        <v>20</v>
      </c>
      <c r="AA13" s="20" t="n">
        <v>15.15</v>
      </c>
      <c r="AB13" s="20" t="n">
        <v>35</v>
      </c>
      <c r="AC13" s="19" t="n">
        <v>36000</v>
      </c>
      <c r="AD13" s="19" t="n">
        <v>27270</v>
      </c>
      <c r="AE13" s="19" t="n">
        <v>63000</v>
      </c>
      <c r="AF13" s="20" t="n">
        <v>18</v>
      </c>
      <c r="AG13" s="20" t="n">
        <v>15.15</v>
      </c>
      <c r="AH13" s="20" t="n">
        <v>30</v>
      </c>
      <c r="AI13" s="19" t="n">
        <v>32400</v>
      </c>
      <c r="AJ13" s="19" t="n">
        <v>27270</v>
      </c>
      <c r="AK13" s="19" t="n">
        <v>54000</v>
      </c>
      <c r="AL13" s="20" t="n">
        <v>22</v>
      </c>
      <c r="AM13" s="20" t="n">
        <v>15.15</v>
      </c>
      <c r="AN13" s="20" t="n">
        <v>45</v>
      </c>
      <c r="AO13" s="19" t="n">
        <v>39600</v>
      </c>
      <c r="AP13" s="19" t="n">
        <v>27270</v>
      </c>
      <c r="AQ13" s="19" t="n">
        <v>81000</v>
      </c>
      <c r="AR13" s="19" t="n">
        <v>14145000</v>
      </c>
      <c r="AS13" s="19" t="n">
        <v>649000</v>
      </c>
      <c r="AT13" s="19" t="n">
        <v>2876000</v>
      </c>
      <c r="AU13" s="19" t="n">
        <v>10620000</v>
      </c>
      <c r="AV13" s="19" t="n">
        <v>127726000</v>
      </c>
      <c r="AW13" s="19" t="n">
        <v>17853000</v>
      </c>
      <c r="AX13" s="19" t="n">
        <v>8059000</v>
      </c>
      <c r="AY13" s="19" t="n">
        <v>101814000</v>
      </c>
    </row>
    <row r="14" customFormat="false" ht="12.8" hidden="false" customHeight="false" outlineLevel="0" collapsed="false">
      <c r="A14" s="15" t="n">
        <v>11</v>
      </c>
      <c r="B14" s="15" t="s">
        <v>84</v>
      </c>
      <c r="C14" s="15" t="s">
        <v>78</v>
      </c>
      <c r="D14" s="16" t="n">
        <v>29415</v>
      </c>
      <c r="E14" s="16" t="n">
        <v>5034</v>
      </c>
      <c r="F14" s="16" t="n">
        <v>2447</v>
      </c>
      <c r="G14" s="16" t="n">
        <v>21934</v>
      </c>
      <c r="H14" s="17" t="n">
        <v>0.9077</v>
      </c>
      <c r="I14" s="17" t="n">
        <v>0.75</v>
      </c>
      <c r="J14" s="17" t="n">
        <v>0.8</v>
      </c>
      <c r="K14" s="17" t="n">
        <v>0.945</v>
      </c>
      <c r="L14" s="17" t="n">
        <v>0.0923</v>
      </c>
      <c r="M14" s="17" t="n">
        <v>0.25</v>
      </c>
      <c r="N14" s="17" t="n">
        <v>0.2</v>
      </c>
      <c r="O14" s="17" t="n">
        <v>0.055</v>
      </c>
      <c r="P14" s="17" t="n">
        <v>0.1018</v>
      </c>
      <c r="Q14" s="17" t="n">
        <v>0.09</v>
      </c>
      <c r="R14" s="17" t="n">
        <v>0.09</v>
      </c>
      <c r="S14" s="17" t="n">
        <v>0.105</v>
      </c>
      <c r="T14" s="18" t="n">
        <v>24</v>
      </c>
      <c r="U14" s="18" t="n">
        <v>15.15</v>
      </c>
      <c r="V14" s="18" t="n">
        <v>40</v>
      </c>
      <c r="W14" s="19" t="n">
        <v>46800</v>
      </c>
      <c r="X14" s="19" t="n">
        <v>29600</v>
      </c>
      <c r="Y14" s="19" t="n">
        <v>78000</v>
      </c>
      <c r="Z14" s="20" t="n">
        <v>24</v>
      </c>
      <c r="AA14" s="20" t="n">
        <v>15.15</v>
      </c>
      <c r="AB14" s="20" t="n">
        <v>35</v>
      </c>
      <c r="AC14" s="19" t="n">
        <v>46800</v>
      </c>
      <c r="AD14" s="19" t="n">
        <v>29600</v>
      </c>
      <c r="AE14" s="19" t="n">
        <v>68250</v>
      </c>
      <c r="AF14" s="20" t="n">
        <v>22</v>
      </c>
      <c r="AG14" s="20" t="n">
        <v>15.15</v>
      </c>
      <c r="AH14" s="20" t="n">
        <v>30</v>
      </c>
      <c r="AI14" s="19" t="n">
        <v>42900</v>
      </c>
      <c r="AJ14" s="19" t="n">
        <v>29600</v>
      </c>
      <c r="AK14" s="19" t="n">
        <v>58500</v>
      </c>
      <c r="AL14" s="20" t="n">
        <v>26</v>
      </c>
      <c r="AM14" s="20" t="n">
        <v>15.15</v>
      </c>
      <c r="AN14" s="20" t="n">
        <v>45</v>
      </c>
      <c r="AO14" s="19" t="n">
        <v>50700</v>
      </c>
      <c r="AP14" s="19" t="n">
        <v>29600</v>
      </c>
      <c r="AQ14" s="19" t="n">
        <v>87750</v>
      </c>
      <c r="AR14" s="19" t="n">
        <v>58006000</v>
      </c>
      <c r="AS14" s="19" t="n">
        <v>7522000</v>
      </c>
      <c r="AT14" s="19" t="n">
        <v>7400000</v>
      </c>
      <c r="AU14" s="19" t="n">
        <v>43084000</v>
      </c>
      <c r="AV14" s="19" t="n">
        <v>222199000</v>
      </c>
      <c r="AW14" s="19" t="n">
        <v>35988000</v>
      </c>
      <c r="AX14" s="19" t="n">
        <v>16022000</v>
      </c>
      <c r="AY14" s="19" t="n">
        <v>170189000</v>
      </c>
    </row>
    <row r="15" customFormat="false" ht="12.8" hidden="false" customHeight="false" outlineLevel="0" collapsed="false">
      <c r="A15" s="15" t="n">
        <v>12</v>
      </c>
      <c r="B15" s="15" t="s">
        <v>84</v>
      </c>
      <c r="C15" s="15" t="s">
        <v>79</v>
      </c>
      <c r="D15" s="16" t="n">
        <v>15865</v>
      </c>
      <c r="E15" s="16" t="n">
        <v>2709</v>
      </c>
      <c r="F15" s="16" t="n">
        <v>1317</v>
      </c>
      <c r="G15" s="16" t="n">
        <v>11839</v>
      </c>
      <c r="H15" s="17" t="n">
        <v>0.9077</v>
      </c>
      <c r="I15" s="17" t="n">
        <v>0.75</v>
      </c>
      <c r="J15" s="17" t="n">
        <v>0.8</v>
      </c>
      <c r="K15" s="17" t="n">
        <v>0.945</v>
      </c>
      <c r="L15" s="17" t="n">
        <v>0.0923</v>
      </c>
      <c r="M15" s="17" t="n">
        <v>0.25</v>
      </c>
      <c r="N15" s="17" t="n">
        <v>0.2</v>
      </c>
      <c r="O15" s="17" t="n">
        <v>0.055</v>
      </c>
      <c r="P15" s="17" t="n">
        <v>0.1018</v>
      </c>
      <c r="Q15" s="17" t="n">
        <v>0.09</v>
      </c>
      <c r="R15" s="17" t="n">
        <v>0.09</v>
      </c>
      <c r="S15" s="17" t="n">
        <v>0.105</v>
      </c>
      <c r="T15" s="18" t="n">
        <v>22</v>
      </c>
      <c r="U15" s="18" t="n">
        <v>15.15</v>
      </c>
      <c r="V15" s="18" t="n">
        <v>40</v>
      </c>
      <c r="W15" s="19" t="n">
        <v>39600</v>
      </c>
      <c r="X15" s="19" t="n">
        <v>27270</v>
      </c>
      <c r="Y15" s="19" t="n">
        <v>72000</v>
      </c>
      <c r="Z15" s="20" t="n">
        <v>22</v>
      </c>
      <c r="AA15" s="20" t="n">
        <v>15.15</v>
      </c>
      <c r="AB15" s="20" t="n">
        <v>35</v>
      </c>
      <c r="AC15" s="19" t="n">
        <v>39600</v>
      </c>
      <c r="AD15" s="19" t="n">
        <v>27270</v>
      </c>
      <c r="AE15" s="19" t="n">
        <v>63000</v>
      </c>
      <c r="AF15" s="20" t="n">
        <v>20</v>
      </c>
      <c r="AG15" s="20" t="n">
        <v>15.15</v>
      </c>
      <c r="AH15" s="20" t="n">
        <v>30</v>
      </c>
      <c r="AI15" s="19" t="n">
        <v>36000</v>
      </c>
      <c r="AJ15" s="19" t="n">
        <v>27270</v>
      </c>
      <c r="AK15" s="19" t="n">
        <v>54000</v>
      </c>
      <c r="AL15" s="20" t="n">
        <v>24</v>
      </c>
      <c r="AM15" s="20" t="n">
        <v>15.15</v>
      </c>
      <c r="AN15" s="20" t="n">
        <v>45</v>
      </c>
      <c r="AO15" s="19" t="n">
        <v>43200</v>
      </c>
      <c r="AP15" s="19" t="n">
        <v>27270</v>
      </c>
      <c r="AQ15" s="19" t="n">
        <v>81000</v>
      </c>
      <c r="AR15" s="19" t="n">
        <v>17210000</v>
      </c>
      <c r="AS15" s="19" t="n">
        <v>1713000</v>
      </c>
      <c r="AT15" s="19" t="n">
        <v>2897000</v>
      </c>
      <c r="AU15" s="19" t="n">
        <v>12600000</v>
      </c>
      <c r="AV15" s="19" t="n">
        <v>101935000</v>
      </c>
      <c r="AW15" s="19" t="n">
        <v>16410000</v>
      </c>
      <c r="AX15" s="19" t="n">
        <v>7249000</v>
      </c>
      <c r="AY15" s="19" t="n">
        <v>78276000</v>
      </c>
    </row>
    <row r="16" customFormat="false" ht="12.8" hidden="false" customHeight="false" outlineLevel="0" collapsed="false">
      <c r="A16" s="15" t="n">
        <v>13</v>
      </c>
      <c r="B16" s="15" t="s">
        <v>85</v>
      </c>
      <c r="C16" s="15" t="s">
        <v>78</v>
      </c>
      <c r="D16" s="16" t="n">
        <v>43148</v>
      </c>
      <c r="E16" s="16" t="n">
        <v>4163</v>
      </c>
      <c r="F16" s="16" t="n">
        <v>2078</v>
      </c>
      <c r="G16" s="16" t="n">
        <v>36907</v>
      </c>
      <c r="H16" s="17" t="n">
        <v>0.8849</v>
      </c>
      <c r="I16" s="17" t="n">
        <v>0.698</v>
      </c>
      <c r="J16" s="17" t="n">
        <v>0.748</v>
      </c>
      <c r="K16" s="17" t="n">
        <v>0.908</v>
      </c>
      <c r="L16" s="17" t="n">
        <v>0.1151</v>
      </c>
      <c r="M16" s="17" t="n">
        <v>0.302</v>
      </c>
      <c r="N16" s="17" t="n">
        <v>0.252</v>
      </c>
      <c r="O16" s="17" t="n">
        <v>0.092</v>
      </c>
      <c r="P16" s="17" t="n">
        <v>0.1144</v>
      </c>
      <c r="Q16" s="17" t="n">
        <v>0.11</v>
      </c>
      <c r="R16" s="17" t="n">
        <v>0.11</v>
      </c>
      <c r="S16" s="17" t="n">
        <v>0.115</v>
      </c>
      <c r="T16" s="18" t="n">
        <v>15</v>
      </c>
      <c r="U16" s="18" t="n">
        <v>15.15</v>
      </c>
      <c r="V16" s="18" t="n">
        <v>25</v>
      </c>
      <c r="W16" s="19" t="n">
        <v>25500</v>
      </c>
      <c r="X16" s="19" t="n">
        <v>27270</v>
      </c>
      <c r="Y16" s="19" t="n">
        <v>42500</v>
      </c>
      <c r="Z16" s="20" t="n">
        <v>15</v>
      </c>
      <c r="AA16" s="20" t="n">
        <v>15.15</v>
      </c>
      <c r="AB16" s="20" t="n">
        <v>20</v>
      </c>
      <c r="AC16" s="19" t="n">
        <v>25500</v>
      </c>
      <c r="AD16" s="19" t="n">
        <v>27270</v>
      </c>
      <c r="AE16" s="19" t="n">
        <v>34000</v>
      </c>
      <c r="AF16" s="20" t="n">
        <v>13.5</v>
      </c>
      <c r="AG16" s="20" t="n">
        <v>15.15</v>
      </c>
      <c r="AH16" s="20" t="n">
        <v>18</v>
      </c>
      <c r="AI16" s="19" t="n">
        <v>22950</v>
      </c>
      <c r="AJ16" s="19" t="n">
        <v>27270</v>
      </c>
      <c r="AK16" s="19" t="n">
        <v>30600</v>
      </c>
      <c r="AL16" s="20" t="n">
        <v>17</v>
      </c>
      <c r="AM16" s="20" t="n">
        <v>15.15</v>
      </c>
      <c r="AN16" s="20" t="n">
        <v>25</v>
      </c>
      <c r="AO16" s="19" t="n">
        <v>28900</v>
      </c>
      <c r="AP16" s="19" t="n">
        <v>27270</v>
      </c>
      <c r="AQ16" s="19" t="n">
        <v>42500</v>
      </c>
      <c r="AR16" s="19" t="n">
        <v>-26760000</v>
      </c>
      <c r="AS16" s="19" t="n">
        <v>-4203000</v>
      </c>
      <c r="AT16" s="19" t="n">
        <v>1527000</v>
      </c>
      <c r="AU16" s="19" t="n">
        <v>-24084000</v>
      </c>
      <c r="AV16" s="19" t="n">
        <v>187018000</v>
      </c>
      <c r="AW16" s="19" t="n">
        <v>16247000</v>
      </c>
      <c r="AX16" s="19" t="n">
        <v>7299000</v>
      </c>
      <c r="AY16" s="19" t="n">
        <v>163472000</v>
      </c>
    </row>
    <row r="17" customFormat="false" ht="12.8" hidden="false" customHeight="false" outlineLevel="0" collapsed="false">
      <c r="A17" s="15" t="n">
        <v>14</v>
      </c>
      <c r="B17" s="15" t="s">
        <v>85</v>
      </c>
      <c r="C17" s="15" t="s">
        <v>79</v>
      </c>
      <c r="D17" s="16" t="n">
        <v>23274</v>
      </c>
      <c r="E17" s="16" t="n">
        <v>2242</v>
      </c>
      <c r="F17" s="16" t="n">
        <v>1121</v>
      </c>
      <c r="G17" s="16" t="n">
        <v>19911</v>
      </c>
      <c r="H17" s="17" t="n">
        <v>0.8849</v>
      </c>
      <c r="I17" s="17" t="n">
        <v>0.698</v>
      </c>
      <c r="J17" s="17" t="n">
        <v>0.748</v>
      </c>
      <c r="K17" s="17" t="n">
        <v>0.908</v>
      </c>
      <c r="L17" s="17" t="n">
        <v>0.1151</v>
      </c>
      <c r="M17" s="17" t="n">
        <v>0.302</v>
      </c>
      <c r="N17" s="17" t="n">
        <v>0.252</v>
      </c>
      <c r="O17" s="17" t="n">
        <v>0.092</v>
      </c>
      <c r="P17" s="17" t="n">
        <v>0.1144</v>
      </c>
      <c r="Q17" s="17" t="n">
        <v>0.11</v>
      </c>
      <c r="R17" s="17" t="n">
        <v>0.11</v>
      </c>
      <c r="S17" s="17" t="n">
        <v>0.115</v>
      </c>
      <c r="T17" s="18" t="n">
        <v>13.5</v>
      </c>
      <c r="U17" s="18" t="n">
        <v>15.15</v>
      </c>
      <c r="V17" s="18" t="n">
        <v>25</v>
      </c>
      <c r="W17" s="19" t="n">
        <v>22950</v>
      </c>
      <c r="X17" s="19" t="n">
        <v>27270</v>
      </c>
      <c r="Y17" s="19" t="n">
        <v>42500</v>
      </c>
      <c r="Z17" s="20" t="n">
        <v>13.5</v>
      </c>
      <c r="AA17" s="20" t="n">
        <v>15.15</v>
      </c>
      <c r="AB17" s="20" t="n">
        <v>20</v>
      </c>
      <c r="AC17" s="19" t="n">
        <v>22950</v>
      </c>
      <c r="AD17" s="19" t="n">
        <v>27270</v>
      </c>
      <c r="AE17" s="19" t="n">
        <v>34000</v>
      </c>
      <c r="AF17" s="20" t="n">
        <v>12</v>
      </c>
      <c r="AG17" s="20" t="n">
        <v>15.15</v>
      </c>
      <c r="AH17" s="20" t="n">
        <v>18</v>
      </c>
      <c r="AI17" s="19" t="n">
        <v>20400</v>
      </c>
      <c r="AJ17" s="19" t="n">
        <v>27270</v>
      </c>
      <c r="AK17" s="19" t="n">
        <v>30600</v>
      </c>
      <c r="AL17" s="20" t="n">
        <v>15</v>
      </c>
      <c r="AM17" s="20" t="n">
        <v>15.15</v>
      </c>
      <c r="AN17" s="20" t="n">
        <v>25</v>
      </c>
      <c r="AO17" s="19" t="n">
        <v>25500</v>
      </c>
      <c r="AP17" s="19" t="n">
        <v>27270</v>
      </c>
      <c r="AQ17" s="19" t="n">
        <v>42500</v>
      </c>
      <c r="AR17" s="19" t="n">
        <v>-22425000</v>
      </c>
      <c r="AS17" s="19" t="n">
        <v>-2836000</v>
      </c>
      <c r="AT17" s="19" t="n">
        <v>538000</v>
      </c>
      <c r="AU17" s="19" t="n">
        <v>-20127000</v>
      </c>
      <c r="AV17" s="19" t="n">
        <v>89138000</v>
      </c>
      <c r="AW17" s="19" t="n">
        <v>7876000</v>
      </c>
      <c r="AX17" s="19" t="n">
        <v>3500000</v>
      </c>
      <c r="AY17" s="19" t="n">
        <v>77762000</v>
      </c>
    </row>
    <row r="18" customFormat="false" ht="12.8" hidden="false" customHeight="false" outlineLevel="0" collapsed="false">
      <c r="A18" s="15" t="n">
        <v>15</v>
      </c>
      <c r="B18" s="15" t="s">
        <v>86</v>
      </c>
      <c r="C18" s="15" t="s">
        <v>78</v>
      </c>
      <c r="D18" s="16" t="n">
        <v>15600</v>
      </c>
      <c r="E18" s="16" t="n">
        <v>2340</v>
      </c>
      <c r="F18" s="16" t="n">
        <v>2340</v>
      </c>
      <c r="G18" s="16" t="n">
        <v>10920</v>
      </c>
      <c r="H18" s="17" t="n">
        <v>0.8776</v>
      </c>
      <c r="I18" s="17" t="n">
        <v>0.73</v>
      </c>
      <c r="J18" s="17" t="n">
        <v>0.78</v>
      </c>
      <c r="K18" s="17" t="n">
        <v>0.92</v>
      </c>
      <c r="L18" s="17" t="n">
        <v>0.1224</v>
      </c>
      <c r="M18" s="17" t="n">
        <v>0.27</v>
      </c>
      <c r="N18" s="17" t="n">
        <v>0.22</v>
      </c>
      <c r="O18" s="17" t="n">
        <v>0.08</v>
      </c>
      <c r="P18" s="17" t="n">
        <v>0.1037</v>
      </c>
      <c r="Q18" s="17" t="n">
        <v>0.1</v>
      </c>
      <c r="R18" s="17" t="n">
        <v>0.1</v>
      </c>
      <c r="S18" s="17" t="n">
        <v>0.105</v>
      </c>
      <c r="T18" s="18" t="n">
        <v>18</v>
      </c>
      <c r="U18" s="18" t="n">
        <v>15.15</v>
      </c>
      <c r="V18" s="18" t="n">
        <v>25</v>
      </c>
      <c r="W18" s="19" t="n">
        <v>29700</v>
      </c>
      <c r="X18" s="19" t="n">
        <v>25000</v>
      </c>
      <c r="Y18" s="19" t="n">
        <v>41250</v>
      </c>
      <c r="Z18" s="20" t="n">
        <v>18</v>
      </c>
      <c r="AA18" s="20" t="n">
        <v>15.15</v>
      </c>
      <c r="AB18" s="20" t="n">
        <v>20</v>
      </c>
      <c r="AC18" s="19" t="n">
        <v>29700</v>
      </c>
      <c r="AD18" s="19" t="n">
        <v>25000</v>
      </c>
      <c r="AE18" s="19" t="n">
        <v>33000</v>
      </c>
      <c r="AF18" s="20" t="n">
        <v>16.5</v>
      </c>
      <c r="AG18" s="20" t="n">
        <v>15.15</v>
      </c>
      <c r="AH18" s="20" t="n">
        <v>18</v>
      </c>
      <c r="AI18" s="19" t="n">
        <v>27225</v>
      </c>
      <c r="AJ18" s="19" t="n">
        <v>25000</v>
      </c>
      <c r="AK18" s="19" t="n">
        <v>29700</v>
      </c>
      <c r="AL18" s="20" t="n">
        <v>20</v>
      </c>
      <c r="AM18" s="20" t="n">
        <v>15.15</v>
      </c>
      <c r="AN18" s="20" t="n">
        <v>25</v>
      </c>
      <c r="AO18" s="19" t="n">
        <v>33000</v>
      </c>
      <c r="AP18" s="19" t="n">
        <v>25000</v>
      </c>
      <c r="AQ18" s="19" t="n">
        <v>41250</v>
      </c>
      <c r="AR18" s="19" t="n">
        <v>-329000</v>
      </c>
      <c r="AS18" s="19" t="n">
        <v>-1300000</v>
      </c>
      <c r="AT18" s="19" t="n">
        <v>2717000</v>
      </c>
      <c r="AU18" s="19" t="n">
        <v>-1746000</v>
      </c>
      <c r="AV18" s="19" t="n">
        <v>75507000</v>
      </c>
      <c r="AW18" s="19" t="n">
        <v>10620000</v>
      </c>
      <c r="AX18" s="19" t="n">
        <v>9733000</v>
      </c>
      <c r="AY18" s="19" t="n">
        <v>55154000</v>
      </c>
    </row>
    <row r="19" customFormat="false" ht="12.8" hidden="false" customHeight="false" outlineLevel="0" collapsed="false">
      <c r="A19" s="15" t="n">
        <v>16</v>
      </c>
      <c r="B19" s="15" t="s">
        <v>86</v>
      </c>
      <c r="C19" s="15" t="s">
        <v>79</v>
      </c>
      <c r="D19" s="16" t="n">
        <v>8415</v>
      </c>
      <c r="E19" s="16" t="n">
        <v>1262</v>
      </c>
      <c r="F19" s="16" t="n">
        <v>1262</v>
      </c>
      <c r="G19" s="16" t="n">
        <v>5891</v>
      </c>
      <c r="H19" s="17" t="n">
        <v>0.8775</v>
      </c>
      <c r="I19" s="17" t="n">
        <v>0.73</v>
      </c>
      <c r="J19" s="17" t="n">
        <v>0.78</v>
      </c>
      <c r="K19" s="17" t="n">
        <v>0.92</v>
      </c>
      <c r="L19" s="17" t="n">
        <v>0.1225</v>
      </c>
      <c r="M19" s="17" t="n">
        <v>0.27</v>
      </c>
      <c r="N19" s="17" t="n">
        <v>0.22</v>
      </c>
      <c r="O19" s="17" t="n">
        <v>0.08</v>
      </c>
      <c r="P19" s="17" t="n">
        <v>0.1037</v>
      </c>
      <c r="Q19" s="17" t="n">
        <v>0.1</v>
      </c>
      <c r="R19" s="17" t="n">
        <v>0.1</v>
      </c>
      <c r="S19" s="17" t="n">
        <v>0.105</v>
      </c>
      <c r="T19" s="18" t="n">
        <v>16</v>
      </c>
      <c r="U19" s="18" t="n">
        <v>15.15</v>
      </c>
      <c r="V19" s="18" t="n">
        <v>25</v>
      </c>
      <c r="W19" s="19" t="n">
        <v>26400</v>
      </c>
      <c r="X19" s="19" t="n">
        <v>25000</v>
      </c>
      <c r="Y19" s="19" t="n">
        <v>41250</v>
      </c>
      <c r="Z19" s="20" t="n">
        <v>16</v>
      </c>
      <c r="AA19" s="20" t="n">
        <v>15.15</v>
      </c>
      <c r="AB19" s="20" t="n">
        <v>20</v>
      </c>
      <c r="AC19" s="19" t="n">
        <v>26400</v>
      </c>
      <c r="AD19" s="19" t="n">
        <v>25000</v>
      </c>
      <c r="AE19" s="19" t="n">
        <v>33000</v>
      </c>
      <c r="AF19" s="20" t="n">
        <v>14.5</v>
      </c>
      <c r="AG19" s="20" t="n">
        <v>15.15</v>
      </c>
      <c r="AH19" s="20" t="n">
        <v>18</v>
      </c>
      <c r="AI19" s="19" t="n">
        <v>23925</v>
      </c>
      <c r="AJ19" s="19" t="n">
        <v>25000</v>
      </c>
      <c r="AK19" s="19" t="n">
        <v>29700</v>
      </c>
      <c r="AL19" s="20" t="n">
        <v>18</v>
      </c>
      <c r="AM19" s="20" t="n">
        <v>15.15</v>
      </c>
      <c r="AN19" s="20" t="n">
        <v>25</v>
      </c>
      <c r="AO19" s="19" t="n">
        <v>29700</v>
      </c>
      <c r="AP19" s="19" t="n">
        <v>25000</v>
      </c>
      <c r="AQ19" s="19" t="n">
        <v>41250</v>
      </c>
      <c r="AR19" s="19" t="n">
        <v>-3384000</v>
      </c>
      <c r="AS19" s="19" t="n">
        <v>-1161000</v>
      </c>
      <c r="AT19" s="19" t="n">
        <v>1051000</v>
      </c>
      <c r="AU19" s="19" t="n">
        <v>-3274000</v>
      </c>
      <c r="AV19" s="19" t="n">
        <v>36490000</v>
      </c>
      <c r="AW19" s="19" t="n">
        <v>5098000</v>
      </c>
      <c r="AX19" s="19" t="n">
        <v>4622000</v>
      </c>
      <c r="AY19" s="19" t="n">
        <v>26770000</v>
      </c>
    </row>
    <row r="20" customFormat="false" ht="12.8" hidden="false" customHeight="false" outlineLevel="0" collapsed="false">
      <c r="A20" s="15" t="n">
        <v>17</v>
      </c>
      <c r="B20" s="15" t="s">
        <v>87</v>
      </c>
      <c r="C20" s="15" t="s">
        <v>78</v>
      </c>
      <c r="D20" s="16" t="n">
        <v>11415</v>
      </c>
      <c r="E20" s="16" t="n">
        <v>1754</v>
      </c>
      <c r="F20" s="16" t="n">
        <v>775</v>
      </c>
      <c r="G20" s="16" t="n">
        <v>8886</v>
      </c>
      <c r="H20" s="17" t="n">
        <v>0.8843</v>
      </c>
      <c r="I20" s="17" t="n">
        <v>0.715</v>
      </c>
      <c r="J20" s="17" t="n">
        <v>0.765</v>
      </c>
      <c r="K20" s="17" t="n">
        <v>0.918</v>
      </c>
      <c r="L20" s="17" t="n">
        <v>0.1157</v>
      </c>
      <c r="M20" s="17" t="n">
        <v>0.285</v>
      </c>
      <c r="N20" s="17" t="n">
        <v>0.235</v>
      </c>
      <c r="O20" s="17" t="n">
        <v>0.082</v>
      </c>
      <c r="P20" s="17" t="n">
        <v>0.104</v>
      </c>
      <c r="Q20" s="17" t="n">
        <v>0.1</v>
      </c>
      <c r="R20" s="17" t="n">
        <v>0.1</v>
      </c>
      <c r="S20" s="17" t="n">
        <v>0.105</v>
      </c>
      <c r="T20" s="18" t="n">
        <v>20</v>
      </c>
      <c r="U20" s="18" t="n">
        <v>15.15</v>
      </c>
      <c r="V20" s="18" t="n">
        <v>30</v>
      </c>
      <c r="W20" s="19" t="n">
        <v>36000</v>
      </c>
      <c r="X20" s="19" t="n">
        <v>27270</v>
      </c>
      <c r="Y20" s="19" t="n">
        <v>54000</v>
      </c>
      <c r="Z20" s="20" t="n">
        <v>20</v>
      </c>
      <c r="AA20" s="20" t="n">
        <v>15.15</v>
      </c>
      <c r="AB20" s="20" t="n">
        <v>25</v>
      </c>
      <c r="AC20" s="19" t="n">
        <v>36000</v>
      </c>
      <c r="AD20" s="19" t="n">
        <v>27270</v>
      </c>
      <c r="AE20" s="19" t="n">
        <v>45000</v>
      </c>
      <c r="AF20" s="20" t="n">
        <v>18</v>
      </c>
      <c r="AG20" s="20" t="n">
        <v>15.15</v>
      </c>
      <c r="AH20" s="20" t="n">
        <v>22</v>
      </c>
      <c r="AI20" s="19" t="n">
        <v>32400</v>
      </c>
      <c r="AJ20" s="19" t="n">
        <v>27270</v>
      </c>
      <c r="AK20" s="19" t="n">
        <v>39600</v>
      </c>
      <c r="AL20" s="20" t="n">
        <v>22</v>
      </c>
      <c r="AM20" s="20" t="n">
        <v>15.15</v>
      </c>
      <c r="AN20" s="20" t="n">
        <v>35</v>
      </c>
      <c r="AO20" s="19" t="n">
        <v>39600</v>
      </c>
      <c r="AP20" s="19" t="n">
        <v>27270</v>
      </c>
      <c r="AQ20" s="19" t="n">
        <v>63000</v>
      </c>
      <c r="AR20" s="19" t="n">
        <v>7610000</v>
      </c>
      <c r="AS20" s="19" t="n">
        <v>976000</v>
      </c>
      <c r="AT20" s="19" t="n">
        <v>327000</v>
      </c>
      <c r="AU20" s="19" t="n">
        <v>6307000</v>
      </c>
      <c r="AV20" s="19" t="n">
        <v>51305000</v>
      </c>
      <c r="AW20" s="19" t="n">
        <v>7537000</v>
      </c>
      <c r="AX20" s="19" t="n">
        <v>3260000</v>
      </c>
      <c r="AY20" s="19" t="n">
        <v>40508000</v>
      </c>
    </row>
    <row r="21" customFormat="false" ht="12.8" hidden="false" customHeight="false" outlineLevel="0" collapsed="false">
      <c r="A21" s="15" t="n">
        <v>18</v>
      </c>
      <c r="B21" s="15" t="s">
        <v>87</v>
      </c>
      <c r="C21" s="15" t="s">
        <v>79</v>
      </c>
      <c r="D21" s="16" t="n">
        <v>6158</v>
      </c>
      <c r="E21" s="16" t="n">
        <v>942</v>
      </c>
      <c r="F21" s="16" t="n">
        <v>421</v>
      </c>
      <c r="G21" s="16" t="n">
        <v>4795</v>
      </c>
      <c r="H21" s="17" t="n">
        <v>0.8843</v>
      </c>
      <c r="I21" s="17" t="n">
        <v>0.715</v>
      </c>
      <c r="J21" s="17" t="n">
        <v>0.765</v>
      </c>
      <c r="K21" s="17" t="n">
        <v>0.918</v>
      </c>
      <c r="L21" s="17" t="n">
        <v>0.1157</v>
      </c>
      <c r="M21" s="17" t="n">
        <v>0.285</v>
      </c>
      <c r="N21" s="17" t="n">
        <v>0.235</v>
      </c>
      <c r="O21" s="17" t="n">
        <v>0.082</v>
      </c>
      <c r="P21" s="17" t="n">
        <v>0.104</v>
      </c>
      <c r="Q21" s="17" t="n">
        <v>0.1</v>
      </c>
      <c r="R21" s="17" t="n">
        <v>0.1</v>
      </c>
      <c r="S21" s="17" t="n">
        <v>0.105</v>
      </c>
      <c r="T21" s="18" t="n">
        <v>18</v>
      </c>
      <c r="U21" s="18" t="n">
        <v>15.15</v>
      </c>
      <c r="V21" s="18" t="n">
        <v>30</v>
      </c>
      <c r="W21" s="19" t="n">
        <v>32400</v>
      </c>
      <c r="X21" s="19" t="n">
        <v>27270</v>
      </c>
      <c r="Y21" s="19" t="n">
        <v>54000</v>
      </c>
      <c r="Z21" s="20" t="n">
        <v>18</v>
      </c>
      <c r="AA21" s="20" t="n">
        <v>15.15</v>
      </c>
      <c r="AB21" s="20" t="n">
        <v>25</v>
      </c>
      <c r="AC21" s="19" t="n">
        <v>32400</v>
      </c>
      <c r="AD21" s="19" t="n">
        <v>27270</v>
      </c>
      <c r="AE21" s="19" t="n">
        <v>45000</v>
      </c>
      <c r="AF21" s="20" t="n">
        <v>16</v>
      </c>
      <c r="AG21" s="20" t="n">
        <v>15.15</v>
      </c>
      <c r="AH21" s="20" t="n">
        <v>22</v>
      </c>
      <c r="AI21" s="19" t="n">
        <v>28800</v>
      </c>
      <c r="AJ21" s="19" t="n">
        <v>27270</v>
      </c>
      <c r="AK21" s="19" t="n">
        <v>39600</v>
      </c>
      <c r="AL21" s="20" t="n">
        <v>20</v>
      </c>
      <c r="AM21" s="20" t="n">
        <v>15.15</v>
      </c>
      <c r="AN21" s="20" t="n">
        <v>35</v>
      </c>
      <c r="AO21" s="19" t="n">
        <v>36000</v>
      </c>
      <c r="AP21" s="19" t="n">
        <v>27270</v>
      </c>
      <c r="AQ21" s="19" t="n">
        <v>63000</v>
      </c>
      <c r="AR21" s="19" t="n">
        <v>3278000</v>
      </c>
      <c r="AS21" s="19" t="n">
        <v>438000</v>
      </c>
      <c r="AT21" s="19" t="n">
        <v>140000</v>
      </c>
      <c r="AU21" s="19" t="n">
        <v>2700000</v>
      </c>
      <c r="AV21" s="19" t="n">
        <v>22933000</v>
      </c>
      <c r="AW21" s="19" t="n">
        <v>3383000</v>
      </c>
      <c r="AX21" s="19" t="n">
        <v>1462000</v>
      </c>
      <c r="AY21" s="19" t="n">
        <v>18088000</v>
      </c>
    </row>
    <row r="22" customFormat="false" ht="12.8" hidden="false" customHeight="false" outlineLevel="0" collapsed="false">
      <c r="A22" s="15" t="n">
        <v>19</v>
      </c>
      <c r="B22" s="15" t="s">
        <v>88</v>
      </c>
      <c r="C22" s="15" t="s">
        <v>78</v>
      </c>
      <c r="D22" s="16" t="n">
        <v>21060</v>
      </c>
      <c r="E22" s="16" t="n">
        <v>3222</v>
      </c>
      <c r="F22" s="16" t="n">
        <v>1580</v>
      </c>
      <c r="G22" s="16" t="n">
        <v>16258</v>
      </c>
      <c r="H22" s="17" t="n">
        <v>0.8891</v>
      </c>
      <c r="I22" s="17" t="n">
        <v>0.716</v>
      </c>
      <c r="J22" s="17" t="n">
        <v>0.766</v>
      </c>
      <c r="K22" s="17" t="n">
        <v>0.916</v>
      </c>
      <c r="L22" s="17" t="n">
        <v>0.1109</v>
      </c>
      <c r="M22" s="17" t="n">
        <v>0.284</v>
      </c>
      <c r="N22" s="17" t="n">
        <v>0.234</v>
      </c>
      <c r="O22" s="17" t="n">
        <v>0.084</v>
      </c>
      <c r="P22" s="17" t="n">
        <v>0.1034</v>
      </c>
      <c r="Q22" s="17" t="n">
        <v>0.1</v>
      </c>
      <c r="R22" s="17" t="n">
        <v>0.1</v>
      </c>
      <c r="S22" s="17" t="n">
        <v>0.105</v>
      </c>
      <c r="T22" s="18" t="n">
        <v>20</v>
      </c>
      <c r="U22" s="18" t="n">
        <v>15.15</v>
      </c>
      <c r="V22" s="18" t="n">
        <v>30</v>
      </c>
      <c r="W22" s="19" t="n">
        <v>36000</v>
      </c>
      <c r="X22" s="19" t="n">
        <v>27270</v>
      </c>
      <c r="Y22" s="19" t="n">
        <v>54000</v>
      </c>
      <c r="Z22" s="20" t="n">
        <v>20</v>
      </c>
      <c r="AA22" s="20" t="n">
        <v>15.15</v>
      </c>
      <c r="AB22" s="20" t="n">
        <v>25</v>
      </c>
      <c r="AC22" s="19" t="n">
        <v>36000</v>
      </c>
      <c r="AD22" s="19" t="n">
        <v>27270</v>
      </c>
      <c r="AE22" s="19" t="n">
        <v>45000</v>
      </c>
      <c r="AF22" s="20" t="n">
        <v>18</v>
      </c>
      <c r="AG22" s="20" t="n">
        <v>15.15</v>
      </c>
      <c r="AH22" s="20" t="n">
        <v>22</v>
      </c>
      <c r="AI22" s="19" t="n">
        <v>32400</v>
      </c>
      <c r="AJ22" s="19" t="n">
        <v>27270</v>
      </c>
      <c r="AK22" s="19" t="n">
        <v>39600</v>
      </c>
      <c r="AL22" s="20" t="n">
        <v>22</v>
      </c>
      <c r="AM22" s="20" t="n">
        <v>15.15</v>
      </c>
      <c r="AN22" s="20" t="n">
        <v>35</v>
      </c>
      <c r="AO22" s="19" t="n">
        <v>39600</v>
      </c>
      <c r="AP22" s="19" t="n">
        <v>27270</v>
      </c>
      <c r="AQ22" s="19" t="n">
        <v>63000</v>
      </c>
      <c r="AR22" s="19" t="n">
        <v>22046000</v>
      </c>
      <c r="AS22" s="19" t="n">
        <v>2160000</v>
      </c>
      <c r="AT22" s="19" t="n">
        <v>941000</v>
      </c>
      <c r="AU22" s="19" t="n">
        <v>18945000</v>
      </c>
      <c r="AV22" s="19" t="n">
        <v>85390000</v>
      </c>
      <c r="AW22" s="19" t="n">
        <v>12375000</v>
      </c>
      <c r="AX22" s="19" t="n">
        <v>6150000</v>
      </c>
      <c r="AY22" s="19" t="n">
        <v>66865000</v>
      </c>
    </row>
    <row r="23" customFormat="false" ht="12.8" hidden="false" customHeight="false" outlineLevel="0" collapsed="false">
      <c r="A23" s="15" t="n">
        <v>20</v>
      </c>
      <c r="B23" s="15" t="s">
        <v>88</v>
      </c>
      <c r="C23" s="15" t="s">
        <v>79</v>
      </c>
      <c r="D23" s="16" t="n">
        <v>11357</v>
      </c>
      <c r="E23" s="16" t="n">
        <v>1738</v>
      </c>
      <c r="F23" s="16" t="n">
        <v>850</v>
      </c>
      <c r="G23" s="16" t="n">
        <v>8769</v>
      </c>
      <c r="H23" s="17" t="n">
        <v>0.8891</v>
      </c>
      <c r="I23" s="17" t="n">
        <v>0.716</v>
      </c>
      <c r="J23" s="17" t="n">
        <v>0.766</v>
      </c>
      <c r="K23" s="17" t="n">
        <v>0.916</v>
      </c>
      <c r="L23" s="17" t="n">
        <v>0.1109</v>
      </c>
      <c r="M23" s="17" t="n">
        <v>0.284</v>
      </c>
      <c r="N23" s="17" t="n">
        <v>0.234</v>
      </c>
      <c r="O23" s="17" t="n">
        <v>0.084</v>
      </c>
      <c r="P23" s="17" t="n">
        <v>0.1034</v>
      </c>
      <c r="Q23" s="17" t="n">
        <v>0.1</v>
      </c>
      <c r="R23" s="17" t="n">
        <v>0.1</v>
      </c>
      <c r="S23" s="17" t="n">
        <v>0.105</v>
      </c>
      <c r="T23" s="18" t="n">
        <v>18</v>
      </c>
      <c r="U23" s="18" t="n">
        <v>15.15</v>
      </c>
      <c r="V23" s="18" t="n">
        <v>30</v>
      </c>
      <c r="W23" s="19" t="n">
        <v>32400</v>
      </c>
      <c r="X23" s="19" t="n">
        <v>27270</v>
      </c>
      <c r="Y23" s="19" t="n">
        <v>54000</v>
      </c>
      <c r="Z23" s="20" t="n">
        <v>18</v>
      </c>
      <c r="AA23" s="20" t="n">
        <v>15.15</v>
      </c>
      <c r="AB23" s="20" t="n">
        <v>25</v>
      </c>
      <c r="AC23" s="19" t="n">
        <v>32400</v>
      </c>
      <c r="AD23" s="19" t="n">
        <v>27270</v>
      </c>
      <c r="AE23" s="19" t="n">
        <v>45000</v>
      </c>
      <c r="AF23" s="20" t="n">
        <v>16</v>
      </c>
      <c r="AG23" s="20" t="n">
        <v>15.15</v>
      </c>
      <c r="AH23" s="20" t="n">
        <v>22</v>
      </c>
      <c r="AI23" s="19" t="n">
        <v>28800</v>
      </c>
      <c r="AJ23" s="19" t="n">
        <v>27270</v>
      </c>
      <c r="AK23" s="19" t="n">
        <v>39600</v>
      </c>
      <c r="AL23" s="20" t="n">
        <v>20</v>
      </c>
      <c r="AM23" s="20" t="n">
        <v>15.15</v>
      </c>
      <c r="AN23" s="20" t="n">
        <v>35</v>
      </c>
      <c r="AO23" s="19" t="n">
        <v>36000</v>
      </c>
      <c r="AP23" s="19" t="n">
        <v>27270</v>
      </c>
      <c r="AQ23" s="19" t="n">
        <v>63000</v>
      </c>
      <c r="AR23" s="19" t="n">
        <v>9893000</v>
      </c>
      <c r="AS23" s="19" t="n">
        <v>973000</v>
      </c>
      <c r="AT23" s="19" t="n">
        <v>400000</v>
      </c>
      <c r="AU23" s="19" t="n">
        <v>8520000</v>
      </c>
      <c r="AV23" s="19" t="n">
        <v>38296000</v>
      </c>
      <c r="AW23" s="19" t="n">
        <v>5579000</v>
      </c>
      <c r="AX23" s="19" t="n">
        <v>2758000</v>
      </c>
      <c r="AY23" s="19" t="n">
        <v>29959000</v>
      </c>
    </row>
    <row r="24" customFormat="false" ht="12.8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customFormat="false" ht="12.8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customFormat="false" ht="12.8" hidden="false" customHeight="false" outlineLevel="0" collapsed="false">
      <c r="A26" s="4" t="s">
        <v>169</v>
      </c>
      <c r="B26" s="27" t="s">
        <v>168</v>
      </c>
      <c r="C26" s="4" t="s">
        <v>144</v>
      </c>
    </row>
    <row r="27" customFormat="false" ht="23.85" hidden="false" customHeight="false" outlineLevel="0" collapsed="false">
      <c r="A27" s="4" t="s">
        <v>15</v>
      </c>
      <c r="B27" s="14" t="s">
        <v>145</v>
      </c>
      <c r="C27" s="14" t="str">
        <f aca="false">D2</f>
        <v>Total Population</v>
      </c>
      <c r="D27" s="14" t="str">
        <f aca="false">E2</f>
        <v>Authorized Population</v>
      </c>
      <c r="E27" s="14" t="str">
        <f aca="false">F2</f>
        <v>Unauthorized Population</v>
      </c>
      <c r="F27" s="14" t="str">
        <f aca="false">G2</f>
        <v>American Population</v>
      </c>
    </row>
    <row r="28" customFormat="false" ht="12.8" hidden="false" customHeight="false" outlineLevel="1" collapsed="false">
      <c r="A28" s="4" t="str">
        <f aca="false">_xlfn.CONCAT($A$26, ".", $A3)</f>
        <v>FL.0.0</v>
      </c>
      <c r="B28" s="4" t="str">
        <f aca="false">_xlfn.CONCAT(B3, ": ", C3)</f>
        <v>All Industries: All Roles</v>
      </c>
      <c r="C28" s="27" t="n">
        <f aca="false">D3</f>
        <v>23462518</v>
      </c>
      <c r="D28" s="27" t="n">
        <f aca="false">E3</f>
        <v>3777000</v>
      </c>
      <c r="E28" s="27" t="n">
        <f aca="false">F3</f>
        <v>1223000</v>
      </c>
      <c r="F28" s="27" t="n">
        <f aca="false">G3</f>
        <v>18462518</v>
      </c>
    </row>
    <row r="29" customFormat="false" ht="12.8" hidden="false" customHeight="false" outlineLevel="1" collapsed="false">
      <c r="A29" s="5" t="str">
        <f aca="false">_xlfn.CONCAT($A$26, ".", $A4)</f>
        <v>FL.0.1</v>
      </c>
      <c r="B29" s="5" t="str">
        <f aca="false">_xlfn.CONCAT(B4, ": ", C4)</f>
        <v>Agriculture: Worker</v>
      </c>
      <c r="C29" s="15" t="n">
        <f aca="false">D4</f>
        <v>3705</v>
      </c>
      <c r="D29" s="15" t="n">
        <f aca="false">E4</f>
        <v>996</v>
      </c>
      <c r="E29" s="15" t="n">
        <f aca="false">F4</f>
        <v>536</v>
      </c>
      <c r="F29" s="15" t="n">
        <f aca="false">G4</f>
        <v>2173</v>
      </c>
    </row>
    <row r="30" customFormat="false" ht="12.8" hidden="false" customHeight="false" outlineLevel="1" collapsed="false">
      <c r="A30" s="5" t="str">
        <f aca="false">_xlfn.CONCAT($A$26, ".", $A5)</f>
        <v>FL.0.2</v>
      </c>
      <c r="B30" s="5" t="str">
        <f aca="false">_xlfn.CONCAT(B5, ": ", C5)</f>
        <v>Agriculture: Support</v>
      </c>
      <c r="C30" s="15" t="n">
        <f aca="false">D5</f>
        <v>2000</v>
      </c>
      <c r="D30" s="15" t="n">
        <f aca="false">E5</f>
        <v>537</v>
      </c>
      <c r="E30" s="15" t="n">
        <f aca="false">F5</f>
        <v>289</v>
      </c>
      <c r="F30" s="15" t="n">
        <f aca="false">G5</f>
        <v>1174</v>
      </c>
    </row>
    <row r="31" customFormat="false" ht="12.8" hidden="false" customHeight="false" outlineLevel="1" collapsed="false">
      <c r="A31" s="5" t="str">
        <f aca="false">_xlfn.CONCAT($A$26, ".", $A6)</f>
        <v>FL.0.3</v>
      </c>
      <c r="B31" s="5" t="str">
        <f aca="false">_xlfn.CONCAT(B6, ": ", C6)</f>
        <v>Construction: Worker</v>
      </c>
      <c r="C31" s="15" t="n">
        <f aca="false">D6</f>
        <v>13446</v>
      </c>
      <c r="D31" s="15" t="n">
        <f aca="false">E6</f>
        <v>2074</v>
      </c>
      <c r="E31" s="15" t="n">
        <f aca="false">F6</f>
        <v>2101</v>
      </c>
      <c r="F31" s="15" t="n">
        <f aca="false">G6</f>
        <v>9271</v>
      </c>
    </row>
    <row r="32" customFormat="false" ht="12.8" hidden="false" customHeight="false" outlineLevel="1" collapsed="false">
      <c r="A32" s="5" t="str">
        <f aca="false">_xlfn.CONCAT($A$26, ".", $A7)</f>
        <v>FL.0.4</v>
      </c>
      <c r="B32" s="5" t="str">
        <f aca="false">_xlfn.CONCAT(B7, ": ", C7)</f>
        <v>Construction: Support</v>
      </c>
      <c r="C32" s="15" t="n">
        <f aca="false">D7</f>
        <v>7254</v>
      </c>
      <c r="D32" s="15" t="n">
        <f aca="false">E7</f>
        <v>1118</v>
      </c>
      <c r="E32" s="15" t="n">
        <f aca="false">F7</f>
        <v>1134</v>
      </c>
      <c r="F32" s="15" t="n">
        <f aca="false">G7</f>
        <v>5002</v>
      </c>
    </row>
    <row r="33" customFormat="false" ht="12.8" hidden="false" customHeight="false" outlineLevel="1" collapsed="false">
      <c r="A33" s="5" t="str">
        <f aca="false">_xlfn.CONCAT($A$26, ".", $A8)</f>
        <v>FL.0.5</v>
      </c>
      <c r="B33" s="5" t="str">
        <f aca="false">_xlfn.CONCAT(B8, ": ", C8)</f>
        <v>Hospitality: Worker</v>
      </c>
      <c r="C33" s="15" t="n">
        <f aca="false">D8</f>
        <v>43148</v>
      </c>
      <c r="D33" s="15" t="n">
        <f aca="false">E8</f>
        <v>6590</v>
      </c>
      <c r="E33" s="15" t="n">
        <f aca="false">F8</f>
        <v>6486</v>
      </c>
      <c r="F33" s="15" t="n">
        <f aca="false">G8</f>
        <v>30072</v>
      </c>
    </row>
    <row r="34" customFormat="false" ht="12.8" hidden="false" customHeight="false" outlineLevel="1" collapsed="false">
      <c r="A34" s="5" t="str">
        <f aca="false">_xlfn.CONCAT($A$26, ".", $A9)</f>
        <v>FL.0.6</v>
      </c>
      <c r="B34" s="5" t="str">
        <f aca="false">_xlfn.CONCAT(B9, ": ", C9)</f>
        <v>Hospitality: Support</v>
      </c>
      <c r="C34" s="15" t="n">
        <f aca="false">D9</f>
        <v>23274</v>
      </c>
      <c r="D34" s="15" t="n">
        <f aca="false">E9</f>
        <v>3555</v>
      </c>
      <c r="E34" s="15" t="n">
        <f aca="false">F9</f>
        <v>3498</v>
      </c>
      <c r="F34" s="15" t="n">
        <f aca="false">G9</f>
        <v>16221</v>
      </c>
    </row>
    <row r="35" customFormat="false" ht="12.8" hidden="false" customHeight="false" outlineLevel="1" collapsed="false">
      <c r="A35" s="5" t="str">
        <f aca="false">_xlfn.CONCAT($A$26, ".", $A10)</f>
        <v>FL.0.7</v>
      </c>
      <c r="B35" s="5" t="str">
        <f aca="false">_xlfn.CONCAT(B10, ": ", C10)</f>
        <v>Cleaning/Maintenance: Worker</v>
      </c>
      <c r="C35" s="15" t="n">
        <f aca="false">D10</f>
        <v>19200</v>
      </c>
      <c r="D35" s="15" t="n">
        <f aca="false">E10</f>
        <v>3316</v>
      </c>
      <c r="E35" s="15" t="n">
        <f aca="false">F10</f>
        <v>3281</v>
      </c>
      <c r="F35" s="15" t="n">
        <f aca="false">G10</f>
        <v>12603</v>
      </c>
    </row>
    <row r="36" customFormat="false" ht="12.8" hidden="false" customHeight="false" outlineLevel="1" collapsed="false">
      <c r="A36" s="5" t="str">
        <f aca="false">_xlfn.CONCAT($A$26, ".", $A11)</f>
        <v>FL.0.8</v>
      </c>
      <c r="B36" s="5" t="str">
        <f aca="false">_xlfn.CONCAT(B11, ": ", C11)</f>
        <v>Cleaning/Maintenance: Support</v>
      </c>
      <c r="C36" s="15" t="n">
        <f aca="false">D11</f>
        <v>10360</v>
      </c>
      <c r="D36" s="15" t="n">
        <f aca="false">E11</f>
        <v>1790</v>
      </c>
      <c r="E36" s="15" t="n">
        <f aca="false">F11</f>
        <v>1769</v>
      </c>
      <c r="F36" s="15" t="n">
        <f aca="false">G11</f>
        <v>6801</v>
      </c>
    </row>
    <row r="37" customFormat="false" ht="12.8" hidden="false" customHeight="false" outlineLevel="1" collapsed="false">
      <c r="A37" s="5" t="str">
        <f aca="false">_xlfn.CONCAT($A$26, ".", $A12)</f>
        <v>FL.0.9</v>
      </c>
      <c r="B37" s="5" t="str">
        <f aca="false">_xlfn.CONCAT(B12, ": ", C12)</f>
        <v>Manufacturing: Worker</v>
      </c>
      <c r="C37" s="15" t="n">
        <f aca="false">D12</f>
        <v>40200</v>
      </c>
      <c r="D37" s="15" t="n">
        <f aca="false">E12</f>
        <v>6024</v>
      </c>
      <c r="E37" s="15" t="n">
        <f aca="false">F12</f>
        <v>3018</v>
      </c>
      <c r="F37" s="15" t="n">
        <f aca="false">G12</f>
        <v>31158</v>
      </c>
    </row>
    <row r="38" customFormat="false" ht="12.8" hidden="false" customHeight="false" outlineLevel="1" collapsed="false">
      <c r="A38" s="5" t="str">
        <f aca="false">_xlfn.CONCAT($A$26, ".", $A13)</f>
        <v>FL.0.10</v>
      </c>
      <c r="B38" s="5" t="str">
        <f aca="false">_xlfn.CONCAT(B13, ": ", C13)</f>
        <v>Manufacturing: Support</v>
      </c>
      <c r="C38" s="15" t="n">
        <f aca="false">D13</f>
        <v>21690</v>
      </c>
      <c r="D38" s="15" t="n">
        <f aca="false">E13</f>
        <v>2892</v>
      </c>
      <c r="E38" s="15" t="n">
        <f aca="false">F13</f>
        <v>1626</v>
      </c>
      <c r="F38" s="15" t="n">
        <f aca="false">G13</f>
        <v>17172</v>
      </c>
    </row>
    <row r="39" customFormat="false" ht="12.8" hidden="false" customHeight="false" outlineLevel="1" collapsed="false">
      <c r="A39" s="5" t="str">
        <f aca="false">_xlfn.CONCAT($A$26, ".", $A14)</f>
        <v>FL.0.11</v>
      </c>
      <c r="B39" s="5" t="str">
        <f aca="false">_xlfn.CONCAT(B14, ": ", C14)</f>
        <v>Transportation &amp; Warehousing: Worker</v>
      </c>
      <c r="C39" s="15" t="n">
        <f aca="false">D14</f>
        <v>29415</v>
      </c>
      <c r="D39" s="15" t="n">
        <f aca="false">E14</f>
        <v>5034</v>
      </c>
      <c r="E39" s="15" t="n">
        <f aca="false">F14</f>
        <v>2447</v>
      </c>
      <c r="F39" s="15" t="n">
        <f aca="false">G14</f>
        <v>21934</v>
      </c>
    </row>
    <row r="40" customFormat="false" ht="12.8" hidden="false" customHeight="false" outlineLevel="1" collapsed="false">
      <c r="A40" s="5" t="str">
        <f aca="false">_xlfn.CONCAT($A$26, ".", $A15)</f>
        <v>FL.0.12</v>
      </c>
      <c r="B40" s="5" t="str">
        <f aca="false">_xlfn.CONCAT(B15, ": ", C15)</f>
        <v>Transportation &amp; Warehousing: Support</v>
      </c>
      <c r="C40" s="15" t="n">
        <f aca="false">D15</f>
        <v>15865</v>
      </c>
      <c r="D40" s="15" t="n">
        <f aca="false">E15</f>
        <v>2709</v>
      </c>
      <c r="E40" s="15" t="n">
        <f aca="false">F15</f>
        <v>1317</v>
      </c>
      <c r="F40" s="15" t="n">
        <f aca="false">G15</f>
        <v>11839</v>
      </c>
    </row>
    <row r="41" customFormat="false" ht="12.8" hidden="false" customHeight="false" outlineLevel="1" collapsed="false">
      <c r="A41" s="5" t="str">
        <f aca="false">_xlfn.CONCAT($A$26, ".", $A16)</f>
        <v>FL.0.13</v>
      </c>
      <c r="B41" s="5" t="str">
        <f aca="false">_xlfn.CONCAT(B16, ": ", C16)</f>
        <v>Retail Trade: Worker</v>
      </c>
      <c r="C41" s="15" t="n">
        <f aca="false">D16</f>
        <v>43148</v>
      </c>
      <c r="D41" s="15" t="n">
        <f aca="false">E16</f>
        <v>4163</v>
      </c>
      <c r="E41" s="15" t="n">
        <f aca="false">F16</f>
        <v>2078</v>
      </c>
      <c r="F41" s="15" t="n">
        <f aca="false">G16</f>
        <v>36907</v>
      </c>
    </row>
    <row r="42" customFormat="false" ht="12.8" hidden="false" customHeight="false" outlineLevel="1" collapsed="false">
      <c r="A42" s="5" t="str">
        <f aca="false">_xlfn.CONCAT($A$26, ".", $A17)</f>
        <v>FL.0.14</v>
      </c>
      <c r="B42" s="5" t="str">
        <f aca="false">_xlfn.CONCAT(B17, ": ", C17)</f>
        <v>Retail Trade: Support</v>
      </c>
      <c r="C42" s="15" t="n">
        <f aca="false">D17</f>
        <v>23274</v>
      </c>
      <c r="D42" s="15" t="n">
        <f aca="false">E17</f>
        <v>2242</v>
      </c>
      <c r="E42" s="15" t="n">
        <f aca="false">F17</f>
        <v>1121</v>
      </c>
      <c r="F42" s="15" t="n">
        <f aca="false">G17</f>
        <v>19911</v>
      </c>
    </row>
    <row r="43" customFormat="false" ht="12.8" hidden="false" customHeight="false" outlineLevel="1" collapsed="false">
      <c r="A43" s="5" t="str">
        <f aca="false">_xlfn.CONCAT($A$26, ".", $A18)</f>
        <v>FL.0.15</v>
      </c>
      <c r="B43" s="5" t="str">
        <f aca="false">_xlfn.CONCAT(B18, ": ", C18)</f>
        <v>Landscaping / Groundskeeping: Worker</v>
      </c>
      <c r="C43" s="15" t="n">
        <f aca="false">D18</f>
        <v>15600</v>
      </c>
      <c r="D43" s="15" t="n">
        <f aca="false">E18</f>
        <v>2340</v>
      </c>
      <c r="E43" s="15" t="n">
        <f aca="false">F18</f>
        <v>2340</v>
      </c>
      <c r="F43" s="15" t="n">
        <f aca="false">G18</f>
        <v>10920</v>
      </c>
    </row>
    <row r="44" customFormat="false" ht="12.8" hidden="false" customHeight="false" outlineLevel="1" collapsed="false">
      <c r="A44" s="5" t="str">
        <f aca="false">_xlfn.CONCAT($A$26, ".", $A19)</f>
        <v>FL.0.16</v>
      </c>
      <c r="B44" s="5" t="str">
        <f aca="false">_xlfn.CONCAT(B19, ": ", C19)</f>
        <v>Landscaping / Groundskeeping: Support</v>
      </c>
      <c r="C44" s="15" t="n">
        <f aca="false">D19</f>
        <v>8415</v>
      </c>
      <c r="D44" s="15" t="n">
        <f aca="false">E19</f>
        <v>1262</v>
      </c>
      <c r="E44" s="15" t="n">
        <f aca="false">F19</f>
        <v>1262</v>
      </c>
      <c r="F44" s="15" t="n">
        <f aca="false">G19</f>
        <v>5891</v>
      </c>
    </row>
    <row r="45" customFormat="false" ht="12.8" hidden="false" customHeight="false" outlineLevel="1" collapsed="false">
      <c r="A45" s="5" t="str">
        <f aca="false">_xlfn.CONCAT($A$26, ".", $A20)</f>
        <v>FL.0.17</v>
      </c>
      <c r="B45" s="5" t="str">
        <f aca="false">_xlfn.CONCAT(B20, ": ", C20)</f>
        <v>Automotive &amp; Repair: Worker</v>
      </c>
      <c r="C45" s="15" t="n">
        <f aca="false">D20</f>
        <v>11415</v>
      </c>
      <c r="D45" s="15" t="n">
        <f aca="false">E20</f>
        <v>1754</v>
      </c>
      <c r="E45" s="15" t="n">
        <f aca="false">F20</f>
        <v>775</v>
      </c>
      <c r="F45" s="15" t="n">
        <f aca="false">G20</f>
        <v>8886</v>
      </c>
    </row>
    <row r="46" customFormat="false" ht="12.8" hidden="false" customHeight="false" outlineLevel="1" collapsed="false">
      <c r="A46" s="5" t="str">
        <f aca="false">_xlfn.CONCAT($A$26, ".", $A21)</f>
        <v>FL.0.18</v>
      </c>
      <c r="B46" s="5" t="str">
        <f aca="false">_xlfn.CONCAT(B21, ": ", C21)</f>
        <v>Automotive &amp; Repair: Support</v>
      </c>
      <c r="C46" s="15" t="n">
        <f aca="false">D21</f>
        <v>6158</v>
      </c>
      <c r="D46" s="15" t="n">
        <f aca="false">E21</f>
        <v>942</v>
      </c>
      <c r="E46" s="15" t="n">
        <f aca="false">F21</f>
        <v>421</v>
      </c>
      <c r="F46" s="15" t="n">
        <f aca="false">G21</f>
        <v>4795</v>
      </c>
    </row>
    <row r="47" customFormat="false" ht="12.8" hidden="false" customHeight="false" outlineLevel="1" collapsed="false">
      <c r="A47" s="5" t="str">
        <f aca="false">_xlfn.CONCAT($A$26, ".", $A22)</f>
        <v>FL.0.19</v>
      </c>
      <c r="B47" s="5" t="str">
        <f aca="false">_xlfn.CONCAT(B22, ": ", C22)</f>
        <v>Other Services: Worker</v>
      </c>
      <c r="C47" s="15" t="n">
        <f aca="false">D22</f>
        <v>21060</v>
      </c>
      <c r="D47" s="15" t="n">
        <f aca="false">E22</f>
        <v>3222</v>
      </c>
      <c r="E47" s="15" t="n">
        <f aca="false">F22</f>
        <v>1580</v>
      </c>
      <c r="F47" s="15" t="n">
        <f aca="false">G22</f>
        <v>16258</v>
      </c>
    </row>
    <row r="48" customFormat="false" ht="12.8" hidden="false" customHeight="false" outlineLevel="1" collapsed="false">
      <c r="A48" s="5" t="str">
        <f aca="false">_xlfn.CONCAT($A$26, ".", $A23)</f>
        <v>FL.0.20</v>
      </c>
      <c r="B48" s="5" t="str">
        <f aca="false">_xlfn.CONCAT(B23, ": ", C23)</f>
        <v>Other Services: Support</v>
      </c>
      <c r="C48" s="15" t="n">
        <f aca="false">D23</f>
        <v>11357</v>
      </c>
      <c r="D48" s="15" t="n">
        <f aca="false">E23</f>
        <v>1738</v>
      </c>
      <c r="E48" s="15" t="n">
        <f aca="false">F23</f>
        <v>850</v>
      </c>
      <c r="F48" s="15" t="n">
        <f aca="false">G23</f>
        <v>8769</v>
      </c>
    </row>
    <row r="144" customFormat="false" ht="12.8" hidden="false" customHeight="false" outlineLevel="0" collapsed="false">
      <c r="A144" s="4" t="s">
        <v>170</v>
      </c>
      <c r="B144" s="27" t="s">
        <v>168</v>
      </c>
      <c r="C144" s="29" t="s">
        <v>147</v>
      </c>
    </row>
    <row r="145" customFormat="false" ht="35.05" hidden="false" customHeight="false" outlineLevel="0" collapsed="false">
      <c r="A145" s="4" t="s">
        <v>15</v>
      </c>
      <c r="B145" s="14" t="s">
        <v>145</v>
      </c>
      <c r="C145" s="14" t="str">
        <f aca="false">H2</f>
        <v>Employment Rate</v>
      </c>
      <c r="D145" s="14" t="str">
        <f aca="false">I2</f>
        <v>Authorized Immigrant Employment Rate</v>
      </c>
      <c r="E145" s="14" t="str">
        <f aca="false">J2</f>
        <v>Unauthorized Immigrant Employment Rate</v>
      </c>
      <c r="F145" s="14" t="str">
        <f aca="false">K2</f>
        <v>American Employment Rate</v>
      </c>
    </row>
    <row r="146" customFormat="false" ht="12.8" hidden="false" customHeight="false" outlineLevel="0" collapsed="false">
      <c r="A146" s="1" t="str">
        <f aca="false">_xlfn.CONCAT($A$144, ".", A3)</f>
        <v>FL.1.0</v>
      </c>
      <c r="B146" s="4" t="str">
        <f aca="false">_xlfn.CONCAT(B3, ": ", C3)</f>
        <v>All Industries: All Roles</v>
      </c>
      <c r="C146" s="30" t="n">
        <f aca="false">H3</f>
        <v>0.9147</v>
      </c>
      <c r="D146" s="30" t="n">
        <f aca="false">I3</f>
        <v>0.722</v>
      </c>
      <c r="E146" s="30" t="n">
        <f aca="false">J3</f>
        <v>0.772</v>
      </c>
      <c r="F146" s="30" t="n">
        <f aca="false">K3</f>
        <v>0.925</v>
      </c>
    </row>
    <row r="147" customFormat="false" ht="12.8" hidden="false" customHeight="false" outlineLevel="0" collapsed="false">
      <c r="A147" s="1" t="str">
        <f aca="false">_xlfn.CONCAT($A$144, ".", A4)</f>
        <v>FL.1.1</v>
      </c>
      <c r="B147" s="5" t="str">
        <f aca="false">_xlfn.CONCAT(B4, ": ", C4)</f>
        <v>Agriculture: Worker</v>
      </c>
      <c r="C147" s="17" t="n">
        <f aca="false">H4</f>
        <v>0.8746</v>
      </c>
      <c r="D147" s="17" t="n">
        <f aca="false">I4</f>
        <v>0.75</v>
      </c>
      <c r="E147" s="17" t="n">
        <f aca="false">J4</f>
        <v>0.8</v>
      </c>
      <c r="F147" s="17" t="n">
        <f aca="false">K4</f>
        <v>0.95</v>
      </c>
    </row>
    <row r="148" customFormat="false" ht="12.8" hidden="false" customHeight="false" outlineLevel="0" collapsed="false">
      <c r="A148" s="1" t="str">
        <f aca="false">_xlfn.CONCAT($A$144, ".", A5)</f>
        <v>FL.1.2</v>
      </c>
      <c r="B148" s="5" t="str">
        <f aca="false">_xlfn.CONCAT(B5, ": ", C5)</f>
        <v>Agriculture: Support</v>
      </c>
      <c r="C148" s="17" t="n">
        <f aca="false">H5</f>
        <v>0.8749</v>
      </c>
      <c r="D148" s="17" t="n">
        <f aca="false">I5</f>
        <v>0.75</v>
      </c>
      <c r="E148" s="17" t="n">
        <f aca="false">J5</f>
        <v>0.8</v>
      </c>
      <c r="F148" s="17" t="n">
        <f aca="false">K5</f>
        <v>0.95</v>
      </c>
    </row>
    <row r="149" customFormat="false" ht="12.8" hidden="false" customHeight="false" outlineLevel="0" collapsed="false">
      <c r="A149" s="1" t="str">
        <f aca="false">_xlfn.CONCAT($A$144, ".", A6)</f>
        <v>FL.1.3</v>
      </c>
      <c r="B149" s="5" t="str">
        <f aca="false">_xlfn.CONCAT(B6, ": ", C6)</f>
        <v>Construction: Worker</v>
      </c>
      <c r="C149" s="17" t="n">
        <f aca="false">H6</f>
        <v>0.9001</v>
      </c>
      <c r="D149" s="17" t="n">
        <f aca="false">I6</f>
        <v>0.752</v>
      </c>
      <c r="E149" s="17" t="n">
        <f aca="false">J6</f>
        <v>0.802</v>
      </c>
      <c r="F149" s="17" t="n">
        <f aca="false">K6</f>
        <v>0.945</v>
      </c>
    </row>
    <row r="150" customFormat="false" ht="12.8" hidden="false" customHeight="false" outlineLevel="0" collapsed="false">
      <c r="A150" s="1" t="str">
        <f aca="false">_xlfn.CONCAT($A$144, ".", A7)</f>
        <v>FL.1.4</v>
      </c>
      <c r="B150" s="5" t="str">
        <f aca="false">_xlfn.CONCAT(B7, ": ", C7)</f>
        <v>Construction: Support</v>
      </c>
      <c r="C150" s="17" t="n">
        <f aca="false">H7</f>
        <v>0.9</v>
      </c>
      <c r="D150" s="17" t="n">
        <f aca="false">I7</f>
        <v>0.752</v>
      </c>
      <c r="E150" s="17" t="n">
        <f aca="false">J7</f>
        <v>0.802</v>
      </c>
      <c r="F150" s="17" t="n">
        <f aca="false">K7</f>
        <v>0.945</v>
      </c>
    </row>
    <row r="151" customFormat="false" ht="12.8" hidden="false" customHeight="false" outlineLevel="0" collapsed="false">
      <c r="A151" s="1" t="str">
        <f aca="false">_xlfn.CONCAT($A$144, ".", A8)</f>
        <v>FL.1.5</v>
      </c>
      <c r="B151" s="5" t="str">
        <f aca="false">_xlfn.CONCAT(B8, ": ", C8)</f>
        <v>Hospitality: Worker</v>
      </c>
      <c r="C151" s="17" t="n">
        <f aca="false">H8</f>
        <v>0.8729</v>
      </c>
      <c r="D151" s="17" t="n">
        <f aca="false">I8</f>
        <v>0.715</v>
      </c>
      <c r="E151" s="17" t="n">
        <f aca="false">J8</f>
        <v>0.765</v>
      </c>
      <c r="F151" s="17" t="n">
        <f aca="false">K8</f>
        <v>0.92</v>
      </c>
    </row>
    <row r="152" customFormat="false" ht="12.8" hidden="false" customHeight="false" outlineLevel="0" collapsed="false">
      <c r="A152" s="1" t="str">
        <f aca="false">_xlfn.CONCAT($A$144, ".", A9)</f>
        <v>FL.1.6</v>
      </c>
      <c r="B152" s="5" t="str">
        <f aca="false">_xlfn.CONCAT(B9, ": ", C9)</f>
        <v>Hospitality: Support</v>
      </c>
      <c r="C152" s="17" t="n">
        <f aca="false">H9</f>
        <v>0.8729</v>
      </c>
      <c r="D152" s="17" t="n">
        <f aca="false">I9</f>
        <v>0.715</v>
      </c>
      <c r="E152" s="17" t="n">
        <f aca="false">J9</f>
        <v>0.765</v>
      </c>
      <c r="F152" s="17" t="n">
        <f aca="false">K9</f>
        <v>0.92</v>
      </c>
    </row>
    <row r="153" customFormat="false" ht="12.8" hidden="false" customHeight="false" outlineLevel="0" collapsed="false">
      <c r="A153" s="1" t="str">
        <f aca="false">_xlfn.CONCAT($A$144, ".", A10)</f>
        <v>FL.1.7</v>
      </c>
      <c r="B153" s="5" t="str">
        <f aca="false">_xlfn.CONCAT(B10, ": ", C10)</f>
        <v>Cleaning/Maintenance: Worker</v>
      </c>
      <c r="C153" s="17" t="n">
        <f aca="false">H10</f>
        <v>0.8697</v>
      </c>
      <c r="D153" s="17" t="n">
        <f aca="false">I10</f>
        <v>0.716</v>
      </c>
      <c r="E153" s="17" t="n">
        <f aca="false">J10</f>
        <v>0.766</v>
      </c>
      <c r="F153" s="17" t="n">
        <f aca="false">K10</f>
        <v>0.924</v>
      </c>
    </row>
    <row r="154" customFormat="false" ht="12.8" hidden="false" customHeight="false" outlineLevel="0" collapsed="false">
      <c r="A154" s="1" t="str">
        <f aca="false">_xlfn.CONCAT($A$144, ".", A11)</f>
        <v>FL.1.8</v>
      </c>
      <c r="B154" s="5" t="str">
        <f aca="false">_xlfn.CONCAT(B11, ": ", C11)</f>
        <v>Cleaning/Maintenance: Support</v>
      </c>
      <c r="C154" s="17" t="n">
        <f aca="false">H11</f>
        <v>0.8697</v>
      </c>
      <c r="D154" s="17" t="n">
        <f aca="false">I11</f>
        <v>0.716</v>
      </c>
      <c r="E154" s="17" t="n">
        <f aca="false">J11</f>
        <v>0.766</v>
      </c>
      <c r="F154" s="17" t="n">
        <f aca="false">K11</f>
        <v>0.924</v>
      </c>
    </row>
    <row r="155" customFormat="false" ht="12.8" hidden="false" customHeight="false" outlineLevel="0" collapsed="false">
      <c r="A155" s="1" t="str">
        <f aca="false">_xlfn.CONCAT($A$144, ".", A12)</f>
        <v>FL.1.9</v>
      </c>
      <c r="B155" s="5" t="str">
        <f aca="false">_xlfn.CONCAT(B12, ": ", C12)</f>
        <v>Manufacturing: Worker</v>
      </c>
      <c r="C155" s="17" t="n">
        <f aca="false">H12</f>
        <v>0.9179</v>
      </c>
      <c r="D155" s="17" t="n">
        <f aca="false">I12</f>
        <v>0.76</v>
      </c>
      <c r="E155" s="17" t="n">
        <f aca="false">J12</f>
        <v>0.81</v>
      </c>
      <c r="F155" s="17" t="n">
        <f aca="false">K12</f>
        <v>0.95</v>
      </c>
    </row>
    <row r="156" customFormat="false" ht="12.8" hidden="false" customHeight="false" outlineLevel="0" collapsed="false">
      <c r="A156" s="1" t="str">
        <f aca="false">_xlfn.CONCAT($A$144, ".", A13)</f>
        <v>FL.1.10</v>
      </c>
      <c r="B156" s="5" t="str">
        <f aca="false">_xlfn.CONCAT(B13, ": ", C13)</f>
        <v>Manufacturing: Support</v>
      </c>
      <c r="C156" s="17" t="n">
        <f aca="false">H13</f>
        <v>0.9179</v>
      </c>
      <c r="D156" s="17" t="n">
        <f aca="false">I13</f>
        <v>0.76</v>
      </c>
      <c r="E156" s="17" t="n">
        <f aca="false">J13</f>
        <v>0.81</v>
      </c>
      <c r="F156" s="17" t="n">
        <f aca="false">K13</f>
        <v>0.95</v>
      </c>
    </row>
    <row r="157" customFormat="false" ht="12.8" hidden="false" customHeight="false" outlineLevel="0" collapsed="false">
      <c r="A157" s="1" t="str">
        <f aca="false">_xlfn.CONCAT($A$144, ".", A14)</f>
        <v>FL.1.11</v>
      </c>
      <c r="B157" s="5" t="str">
        <f aca="false">_xlfn.CONCAT(B14, ": ", C14)</f>
        <v>Transportation &amp; Warehousing: Worker</v>
      </c>
      <c r="C157" s="17" t="n">
        <f aca="false">H14</f>
        <v>0.9077</v>
      </c>
      <c r="D157" s="17" t="n">
        <f aca="false">I14</f>
        <v>0.75</v>
      </c>
      <c r="E157" s="17" t="n">
        <f aca="false">J14</f>
        <v>0.8</v>
      </c>
      <c r="F157" s="17" t="n">
        <f aca="false">K14</f>
        <v>0.945</v>
      </c>
    </row>
    <row r="158" customFormat="false" ht="12.8" hidden="false" customHeight="false" outlineLevel="0" collapsed="false">
      <c r="A158" s="1" t="str">
        <f aca="false">_xlfn.CONCAT($A$144, ".", A15)</f>
        <v>FL.1.12</v>
      </c>
      <c r="B158" s="5" t="str">
        <f aca="false">_xlfn.CONCAT(B15, ": ", C15)</f>
        <v>Transportation &amp; Warehousing: Support</v>
      </c>
      <c r="C158" s="17" t="n">
        <f aca="false">H15</f>
        <v>0.9077</v>
      </c>
      <c r="D158" s="17" t="n">
        <f aca="false">I15</f>
        <v>0.75</v>
      </c>
      <c r="E158" s="17" t="n">
        <f aca="false">J15</f>
        <v>0.8</v>
      </c>
      <c r="F158" s="17" t="n">
        <f aca="false">K15</f>
        <v>0.945</v>
      </c>
    </row>
    <row r="159" customFormat="false" ht="12.8" hidden="false" customHeight="false" outlineLevel="0" collapsed="false">
      <c r="A159" s="1" t="str">
        <f aca="false">_xlfn.CONCAT($A$144, ".", A16)</f>
        <v>FL.1.13</v>
      </c>
      <c r="B159" s="5" t="str">
        <f aca="false">_xlfn.CONCAT(B16, ": ", C16)</f>
        <v>Retail Trade: Worker</v>
      </c>
      <c r="C159" s="17" t="n">
        <f aca="false">H16</f>
        <v>0.8849</v>
      </c>
      <c r="D159" s="17" t="n">
        <f aca="false">I16</f>
        <v>0.698</v>
      </c>
      <c r="E159" s="17" t="n">
        <f aca="false">J16</f>
        <v>0.748</v>
      </c>
      <c r="F159" s="17" t="n">
        <f aca="false">K16</f>
        <v>0.908</v>
      </c>
    </row>
    <row r="160" customFormat="false" ht="12.8" hidden="false" customHeight="false" outlineLevel="0" collapsed="false">
      <c r="A160" s="1" t="str">
        <f aca="false">_xlfn.CONCAT($A$144, ".", A17)</f>
        <v>FL.1.14</v>
      </c>
      <c r="B160" s="5" t="str">
        <f aca="false">_xlfn.CONCAT(B17, ": ", C17)</f>
        <v>Retail Trade: Support</v>
      </c>
      <c r="C160" s="17" t="n">
        <f aca="false">H17</f>
        <v>0.8849</v>
      </c>
      <c r="D160" s="17" t="n">
        <f aca="false">I17</f>
        <v>0.698</v>
      </c>
      <c r="E160" s="17" t="n">
        <f aca="false">J17</f>
        <v>0.748</v>
      </c>
      <c r="F160" s="17" t="n">
        <f aca="false">K17</f>
        <v>0.908</v>
      </c>
    </row>
    <row r="161" customFormat="false" ht="12.8" hidden="false" customHeight="false" outlineLevel="0" collapsed="false">
      <c r="A161" s="1" t="str">
        <f aca="false">_xlfn.CONCAT($A$144, ".", A18)</f>
        <v>FL.1.15</v>
      </c>
      <c r="B161" s="5" t="str">
        <f aca="false">_xlfn.CONCAT(B18, ": ", C18)</f>
        <v>Landscaping / Groundskeeping: Worker</v>
      </c>
      <c r="C161" s="17" t="n">
        <f aca="false">H18</f>
        <v>0.8776</v>
      </c>
      <c r="D161" s="17" t="n">
        <f aca="false">I18</f>
        <v>0.73</v>
      </c>
      <c r="E161" s="17" t="n">
        <f aca="false">J18</f>
        <v>0.78</v>
      </c>
      <c r="F161" s="17" t="n">
        <f aca="false">K18</f>
        <v>0.92</v>
      </c>
    </row>
    <row r="162" customFormat="false" ht="12.8" hidden="false" customHeight="false" outlineLevel="0" collapsed="false">
      <c r="A162" s="1" t="str">
        <f aca="false">_xlfn.CONCAT($A$144, ".", A19)</f>
        <v>FL.1.16</v>
      </c>
      <c r="B162" s="5" t="str">
        <f aca="false">_xlfn.CONCAT(B19, ": ", C19)</f>
        <v>Landscaping / Groundskeeping: Support</v>
      </c>
      <c r="C162" s="17" t="n">
        <f aca="false">H19</f>
        <v>0.8775</v>
      </c>
      <c r="D162" s="17" t="n">
        <f aca="false">I19</f>
        <v>0.73</v>
      </c>
      <c r="E162" s="17" t="n">
        <f aca="false">J19</f>
        <v>0.78</v>
      </c>
      <c r="F162" s="17" t="n">
        <f aca="false">K19</f>
        <v>0.92</v>
      </c>
    </row>
    <row r="163" customFormat="false" ht="12.8" hidden="false" customHeight="false" outlineLevel="0" collapsed="false">
      <c r="A163" s="1" t="str">
        <f aca="false">_xlfn.CONCAT($A$144, ".", A20)</f>
        <v>FL.1.17</v>
      </c>
      <c r="B163" s="5" t="str">
        <f aca="false">_xlfn.CONCAT(B20, ": ", C20)</f>
        <v>Automotive &amp; Repair: Worker</v>
      </c>
      <c r="C163" s="17" t="n">
        <f aca="false">H20</f>
        <v>0.8843</v>
      </c>
      <c r="D163" s="17" t="n">
        <f aca="false">I20</f>
        <v>0.715</v>
      </c>
      <c r="E163" s="17" t="n">
        <f aca="false">J20</f>
        <v>0.765</v>
      </c>
      <c r="F163" s="17" t="n">
        <f aca="false">K20</f>
        <v>0.918</v>
      </c>
    </row>
    <row r="164" customFormat="false" ht="12.8" hidden="false" customHeight="false" outlineLevel="0" collapsed="false">
      <c r="A164" s="1" t="str">
        <f aca="false">_xlfn.CONCAT($A$144, ".", A21)</f>
        <v>FL.1.18</v>
      </c>
      <c r="B164" s="5" t="str">
        <f aca="false">_xlfn.CONCAT(B21, ": ", C21)</f>
        <v>Automotive &amp; Repair: Support</v>
      </c>
      <c r="C164" s="17" t="n">
        <f aca="false">H21</f>
        <v>0.8843</v>
      </c>
      <c r="D164" s="17" t="n">
        <f aca="false">I21</f>
        <v>0.715</v>
      </c>
      <c r="E164" s="17" t="n">
        <f aca="false">J21</f>
        <v>0.765</v>
      </c>
      <c r="F164" s="17" t="n">
        <f aca="false">K21</f>
        <v>0.918</v>
      </c>
    </row>
    <row r="165" customFormat="false" ht="12.8" hidden="false" customHeight="false" outlineLevel="0" collapsed="false">
      <c r="A165" s="1" t="str">
        <f aca="false">_xlfn.CONCAT($A$144, ".", A22)</f>
        <v>FL.1.19</v>
      </c>
      <c r="B165" s="5" t="str">
        <f aca="false">_xlfn.CONCAT(B22, ": ", C22)</f>
        <v>Other Services: Worker</v>
      </c>
      <c r="C165" s="17" t="n">
        <f aca="false">H22</f>
        <v>0.8891</v>
      </c>
      <c r="D165" s="17" t="n">
        <f aca="false">I22</f>
        <v>0.716</v>
      </c>
      <c r="E165" s="17" t="n">
        <f aca="false">J22</f>
        <v>0.766</v>
      </c>
      <c r="F165" s="17" t="n">
        <f aca="false">K22</f>
        <v>0.916</v>
      </c>
    </row>
    <row r="166" customFormat="false" ht="12.8" hidden="false" customHeight="false" outlineLevel="0" collapsed="false">
      <c r="A166" s="1" t="str">
        <f aca="false">_xlfn.CONCAT($A$144, ".", A23)</f>
        <v>FL.1.20</v>
      </c>
      <c r="B166" s="5" t="str">
        <f aca="false">_xlfn.CONCAT(B23, ": ", C23)</f>
        <v>Other Services: Support</v>
      </c>
      <c r="C166" s="17" t="n">
        <f aca="false">H23</f>
        <v>0.8891</v>
      </c>
      <c r="D166" s="17" t="n">
        <f aca="false">I23</f>
        <v>0.716</v>
      </c>
      <c r="E166" s="17" t="n">
        <f aca="false">J23</f>
        <v>0.766</v>
      </c>
      <c r="F166" s="17" t="n">
        <f aca="false">K23</f>
        <v>0.916</v>
      </c>
    </row>
    <row r="261" customFormat="false" ht="12.8" hidden="false" customHeight="false" outlineLevel="0" collapsed="false">
      <c r="A261" s="4" t="s">
        <v>171</v>
      </c>
      <c r="B261" s="27" t="s">
        <v>168</v>
      </c>
      <c r="C261" s="29" t="s">
        <v>149</v>
      </c>
    </row>
    <row r="262" customFormat="false" ht="46.25" hidden="false" customHeight="false" outlineLevel="0" collapsed="false">
      <c r="A262" s="4" t="s">
        <v>15</v>
      </c>
      <c r="B262" s="14" t="s">
        <v>145</v>
      </c>
      <c r="C262" s="23" t="str">
        <f aca="false">L2</f>
        <v>Unemployment Rate</v>
      </c>
      <c r="D262" s="23" t="str">
        <f aca="false">M2</f>
        <v>Authorized Immigrant Unemployment Rate</v>
      </c>
      <c r="E262" s="23" t="str">
        <f aca="false">N2</f>
        <v>Unauthorized Immigrant Unemployment Rate</v>
      </c>
      <c r="F262" s="23" t="str">
        <f aca="false">O2</f>
        <v>American Unemployment Rate</v>
      </c>
    </row>
    <row r="263" customFormat="false" ht="12.8" hidden="false" customHeight="false" outlineLevel="0" collapsed="false">
      <c r="A263" s="4" t="str">
        <f aca="false">_xlfn.CONCAT($A$261, ".", A3)</f>
        <v>FL.2.0</v>
      </c>
      <c r="B263" s="4" t="str">
        <f aca="false">_xlfn.CONCAT(B3, ": ", C3)</f>
        <v>All Industries: All Roles</v>
      </c>
      <c r="C263" s="23" t="n">
        <f aca="false">L3</f>
        <v>0.0853</v>
      </c>
      <c r="D263" s="23" t="n">
        <f aca="false">M3</f>
        <v>0.278</v>
      </c>
      <c r="E263" s="23" t="n">
        <f aca="false">N3</f>
        <v>0.228</v>
      </c>
      <c r="F263" s="23" t="n">
        <f aca="false">O3</f>
        <v>0.075</v>
      </c>
    </row>
    <row r="264" customFormat="false" ht="12.8" hidden="false" customHeight="false" outlineLevel="0" collapsed="false">
      <c r="A264" s="5" t="str">
        <f aca="false">_xlfn.CONCAT($A$261, ".", A4)</f>
        <v>FL.2.1</v>
      </c>
      <c r="B264" s="5" t="str">
        <f aca="false">_xlfn.CONCAT(B4, ": ", C4)</f>
        <v>Agriculture: Worker</v>
      </c>
      <c r="C264" s="31" t="n">
        <f aca="false">L4</f>
        <v>0.1254</v>
      </c>
      <c r="D264" s="31" t="n">
        <f aca="false">M4</f>
        <v>0.25</v>
      </c>
      <c r="E264" s="31" t="n">
        <f aca="false">N4</f>
        <v>0.2</v>
      </c>
      <c r="F264" s="31" t="n">
        <f aca="false">O4</f>
        <v>0.05</v>
      </c>
    </row>
    <row r="265" customFormat="false" ht="12.8" hidden="false" customHeight="false" outlineLevel="0" collapsed="false">
      <c r="A265" s="5" t="str">
        <f aca="false">_xlfn.CONCAT($A$261, ".", A5)</f>
        <v>FL.2.2</v>
      </c>
      <c r="B265" s="5" t="str">
        <f aca="false">_xlfn.CONCAT(B5, ": ", C5)</f>
        <v>Agriculture: Support</v>
      </c>
      <c r="C265" s="31" t="n">
        <f aca="false">L5</f>
        <v>0.1251</v>
      </c>
      <c r="D265" s="31" t="n">
        <f aca="false">M5</f>
        <v>0.25</v>
      </c>
      <c r="E265" s="31" t="n">
        <f aca="false">N5</f>
        <v>0.2</v>
      </c>
      <c r="F265" s="31" t="n">
        <f aca="false">O5</f>
        <v>0.05</v>
      </c>
    </row>
    <row r="266" customFormat="false" ht="12.8" hidden="false" customHeight="false" outlineLevel="0" collapsed="false">
      <c r="A266" s="5" t="str">
        <f aca="false">_xlfn.CONCAT($A$261, ".", A6)</f>
        <v>FL.2.3</v>
      </c>
      <c r="B266" s="5" t="str">
        <f aca="false">_xlfn.CONCAT(B6, ": ", C6)</f>
        <v>Construction: Worker</v>
      </c>
      <c r="C266" s="31" t="n">
        <f aca="false">L6</f>
        <v>0.0999</v>
      </c>
      <c r="D266" s="31" t="n">
        <f aca="false">M6</f>
        <v>0.248</v>
      </c>
      <c r="E266" s="31" t="n">
        <f aca="false">N6</f>
        <v>0.198</v>
      </c>
      <c r="F266" s="31" t="n">
        <f aca="false">O6</f>
        <v>0.055</v>
      </c>
    </row>
    <row r="267" customFormat="false" ht="12.8" hidden="false" customHeight="false" outlineLevel="0" collapsed="false">
      <c r="A267" s="5" t="str">
        <f aca="false">_xlfn.CONCAT($A$261, ".", A7)</f>
        <v>FL.2.4</v>
      </c>
      <c r="B267" s="5" t="str">
        <f aca="false">_xlfn.CONCAT(B7, ": ", C7)</f>
        <v>Construction: Support</v>
      </c>
      <c r="C267" s="31" t="n">
        <f aca="false">L7</f>
        <v>0.1</v>
      </c>
      <c r="D267" s="31" t="n">
        <f aca="false">M7</f>
        <v>0.248</v>
      </c>
      <c r="E267" s="31" t="n">
        <f aca="false">N7</f>
        <v>0.198</v>
      </c>
      <c r="F267" s="31" t="n">
        <f aca="false">O7</f>
        <v>0.055</v>
      </c>
    </row>
    <row r="268" customFormat="false" ht="12.8" hidden="false" customHeight="false" outlineLevel="0" collapsed="false">
      <c r="A268" s="5" t="str">
        <f aca="false">_xlfn.CONCAT($A$261, ".", A8)</f>
        <v>FL.2.5</v>
      </c>
      <c r="B268" s="5" t="str">
        <f aca="false">_xlfn.CONCAT(B8, ": ", C8)</f>
        <v>Hospitality: Worker</v>
      </c>
      <c r="C268" s="31" t="n">
        <f aca="false">L8</f>
        <v>0.1271</v>
      </c>
      <c r="D268" s="31" t="n">
        <f aca="false">M8</f>
        <v>0.285</v>
      </c>
      <c r="E268" s="31" t="n">
        <f aca="false">N8</f>
        <v>0.235</v>
      </c>
      <c r="F268" s="31" t="n">
        <f aca="false">O8</f>
        <v>0.08</v>
      </c>
    </row>
    <row r="269" customFormat="false" ht="12.8" hidden="false" customHeight="false" outlineLevel="0" collapsed="false">
      <c r="A269" s="5" t="str">
        <f aca="false">_xlfn.CONCAT($A$261, ".", A9)</f>
        <v>FL.2.6</v>
      </c>
      <c r="B269" s="5" t="str">
        <f aca="false">_xlfn.CONCAT(B9, ": ", C9)</f>
        <v>Hospitality: Support</v>
      </c>
      <c r="C269" s="31" t="n">
        <f aca="false">L9</f>
        <v>0.1271</v>
      </c>
      <c r="D269" s="31" t="n">
        <f aca="false">M9</f>
        <v>0.285</v>
      </c>
      <c r="E269" s="31" t="n">
        <f aca="false">N9</f>
        <v>0.235</v>
      </c>
      <c r="F269" s="31" t="n">
        <f aca="false">O9</f>
        <v>0.08</v>
      </c>
    </row>
    <row r="270" customFormat="false" ht="12.8" hidden="false" customHeight="false" outlineLevel="0" collapsed="false">
      <c r="A270" s="5" t="str">
        <f aca="false">_xlfn.CONCAT($A$261, ".", A10)</f>
        <v>FL.2.7</v>
      </c>
      <c r="B270" s="5" t="str">
        <f aca="false">_xlfn.CONCAT(B10, ": ", C10)</f>
        <v>Cleaning/Maintenance: Worker</v>
      </c>
      <c r="C270" s="31" t="n">
        <f aca="false">L10</f>
        <v>0.1303</v>
      </c>
      <c r="D270" s="31" t="n">
        <f aca="false">M10</f>
        <v>0.284</v>
      </c>
      <c r="E270" s="31" t="n">
        <f aca="false">N10</f>
        <v>0.234</v>
      </c>
      <c r="F270" s="31" t="n">
        <f aca="false">O10</f>
        <v>0.076</v>
      </c>
    </row>
    <row r="271" customFormat="false" ht="12.8" hidden="false" customHeight="false" outlineLevel="0" collapsed="false">
      <c r="A271" s="5" t="str">
        <f aca="false">_xlfn.CONCAT($A$261, ".", A11)</f>
        <v>FL.2.8</v>
      </c>
      <c r="B271" s="5" t="str">
        <f aca="false">_xlfn.CONCAT(B11, ": ", C11)</f>
        <v>Cleaning/Maintenance: Support</v>
      </c>
      <c r="C271" s="31" t="n">
        <f aca="false">L11</f>
        <v>0.1303</v>
      </c>
      <c r="D271" s="31" t="n">
        <f aca="false">M11</f>
        <v>0.284</v>
      </c>
      <c r="E271" s="31" t="n">
        <f aca="false">N11</f>
        <v>0.234</v>
      </c>
      <c r="F271" s="31" t="n">
        <f aca="false">O11</f>
        <v>0.076</v>
      </c>
    </row>
    <row r="272" customFormat="false" ht="12.8" hidden="false" customHeight="false" outlineLevel="0" collapsed="false">
      <c r="A272" s="5" t="str">
        <f aca="false">_xlfn.CONCAT($A$261, ".", A12)</f>
        <v>FL.2.9</v>
      </c>
      <c r="B272" s="5" t="str">
        <f aca="false">_xlfn.CONCAT(B12, ": ", C12)</f>
        <v>Manufacturing: Worker</v>
      </c>
      <c r="C272" s="31" t="n">
        <f aca="false">L12</f>
        <v>0.0821</v>
      </c>
      <c r="D272" s="31" t="n">
        <f aca="false">M12</f>
        <v>0.24</v>
      </c>
      <c r="E272" s="31" t="n">
        <f aca="false">N12</f>
        <v>0.19</v>
      </c>
      <c r="F272" s="31" t="n">
        <f aca="false">O12</f>
        <v>0.05</v>
      </c>
    </row>
    <row r="273" customFormat="false" ht="12.8" hidden="false" customHeight="false" outlineLevel="0" collapsed="false">
      <c r="A273" s="5" t="str">
        <f aca="false">_xlfn.CONCAT($A$261, ".", A13)</f>
        <v>FL.2.10</v>
      </c>
      <c r="B273" s="5" t="str">
        <f aca="false">_xlfn.CONCAT(B13, ": ", C13)</f>
        <v>Manufacturing: Support</v>
      </c>
      <c r="C273" s="31" t="n">
        <f aca="false">L13</f>
        <v>0.0821</v>
      </c>
      <c r="D273" s="31" t="n">
        <f aca="false">M13</f>
        <v>0.24</v>
      </c>
      <c r="E273" s="31" t="n">
        <f aca="false">N13</f>
        <v>0.19</v>
      </c>
      <c r="F273" s="31" t="n">
        <f aca="false">O13</f>
        <v>0.05</v>
      </c>
    </row>
    <row r="274" customFormat="false" ht="12.8" hidden="false" customHeight="false" outlineLevel="0" collapsed="false">
      <c r="A274" s="5" t="str">
        <f aca="false">_xlfn.CONCAT($A$261, ".", A14)</f>
        <v>FL.2.11</v>
      </c>
      <c r="B274" s="5" t="str">
        <f aca="false">_xlfn.CONCAT(B14, ": ", C14)</f>
        <v>Transportation &amp; Warehousing: Worker</v>
      </c>
      <c r="C274" s="31" t="n">
        <f aca="false">L14</f>
        <v>0.0923</v>
      </c>
      <c r="D274" s="31" t="n">
        <f aca="false">M14</f>
        <v>0.25</v>
      </c>
      <c r="E274" s="31" t="n">
        <f aca="false">N14</f>
        <v>0.2</v>
      </c>
      <c r="F274" s="31" t="n">
        <f aca="false">O14</f>
        <v>0.055</v>
      </c>
    </row>
    <row r="275" customFormat="false" ht="12.8" hidden="false" customHeight="false" outlineLevel="0" collapsed="false">
      <c r="A275" s="5" t="str">
        <f aca="false">_xlfn.CONCAT($A$261, ".", A15)</f>
        <v>FL.2.12</v>
      </c>
      <c r="B275" s="5" t="str">
        <f aca="false">_xlfn.CONCAT(B15, ": ", C15)</f>
        <v>Transportation &amp; Warehousing: Support</v>
      </c>
      <c r="C275" s="31" t="n">
        <f aca="false">L15</f>
        <v>0.0923</v>
      </c>
      <c r="D275" s="31" t="n">
        <f aca="false">M15</f>
        <v>0.25</v>
      </c>
      <c r="E275" s="31" t="n">
        <f aca="false">N15</f>
        <v>0.2</v>
      </c>
      <c r="F275" s="31" t="n">
        <f aca="false">O15</f>
        <v>0.055</v>
      </c>
    </row>
    <row r="276" customFormat="false" ht="12.8" hidden="false" customHeight="false" outlineLevel="0" collapsed="false">
      <c r="A276" s="5" t="str">
        <f aca="false">_xlfn.CONCAT($A$261, ".", A16)</f>
        <v>FL.2.13</v>
      </c>
      <c r="B276" s="5" t="str">
        <f aca="false">_xlfn.CONCAT(B16, ": ", C16)</f>
        <v>Retail Trade: Worker</v>
      </c>
      <c r="C276" s="31" t="n">
        <f aca="false">L16</f>
        <v>0.1151</v>
      </c>
      <c r="D276" s="31" t="n">
        <f aca="false">M16</f>
        <v>0.302</v>
      </c>
      <c r="E276" s="31" t="n">
        <f aca="false">N16</f>
        <v>0.252</v>
      </c>
      <c r="F276" s="31" t="n">
        <f aca="false">O16</f>
        <v>0.092</v>
      </c>
    </row>
    <row r="277" customFormat="false" ht="12.8" hidden="false" customHeight="false" outlineLevel="0" collapsed="false">
      <c r="A277" s="5" t="str">
        <f aca="false">_xlfn.CONCAT($A$261, ".", A17)</f>
        <v>FL.2.14</v>
      </c>
      <c r="B277" s="5" t="str">
        <f aca="false">_xlfn.CONCAT(B17, ": ", C17)</f>
        <v>Retail Trade: Support</v>
      </c>
      <c r="C277" s="31" t="n">
        <f aca="false">L17</f>
        <v>0.1151</v>
      </c>
      <c r="D277" s="31" t="n">
        <f aca="false">M17</f>
        <v>0.302</v>
      </c>
      <c r="E277" s="31" t="n">
        <f aca="false">N17</f>
        <v>0.252</v>
      </c>
      <c r="F277" s="31" t="n">
        <f aca="false">O17</f>
        <v>0.092</v>
      </c>
    </row>
    <row r="278" customFormat="false" ht="12.8" hidden="false" customHeight="false" outlineLevel="0" collapsed="false">
      <c r="A278" s="5" t="str">
        <f aca="false">_xlfn.CONCAT($A$261, ".", A18)</f>
        <v>FL.2.15</v>
      </c>
      <c r="B278" s="5" t="str">
        <f aca="false">_xlfn.CONCAT(B18, ": ", C18)</f>
        <v>Landscaping / Groundskeeping: Worker</v>
      </c>
      <c r="C278" s="31" t="n">
        <f aca="false">L18</f>
        <v>0.1224</v>
      </c>
      <c r="D278" s="31" t="n">
        <f aca="false">M18</f>
        <v>0.27</v>
      </c>
      <c r="E278" s="31" t="n">
        <f aca="false">N18</f>
        <v>0.22</v>
      </c>
      <c r="F278" s="31" t="n">
        <f aca="false">O18</f>
        <v>0.08</v>
      </c>
    </row>
    <row r="279" customFormat="false" ht="12.8" hidden="false" customHeight="false" outlineLevel="0" collapsed="false">
      <c r="A279" s="5" t="str">
        <f aca="false">_xlfn.CONCAT($A$261, ".", A19)</f>
        <v>FL.2.16</v>
      </c>
      <c r="B279" s="5" t="str">
        <f aca="false">_xlfn.CONCAT(B19, ": ", C19)</f>
        <v>Landscaping / Groundskeeping: Support</v>
      </c>
      <c r="C279" s="31" t="n">
        <f aca="false">L19</f>
        <v>0.1225</v>
      </c>
      <c r="D279" s="31" t="n">
        <f aca="false">M19</f>
        <v>0.27</v>
      </c>
      <c r="E279" s="31" t="n">
        <f aca="false">N19</f>
        <v>0.22</v>
      </c>
      <c r="F279" s="31" t="n">
        <f aca="false">O19</f>
        <v>0.08</v>
      </c>
    </row>
    <row r="280" customFormat="false" ht="12.8" hidden="false" customHeight="false" outlineLevel="0" collapsed="false">
      <c r="A280" s="5" t="str">
        <f aca="false">_xlfn.CONCAT($A$261, ".", A20)</f>
        <v>FL.2.17</v>
      </c>
      <c r="B280" s="5" t="str">
        <f aca="false">_xlfn.CONCAT(B20, ": ", C20)</f>
        <v>Automotive &amp; Repair: Worker</v>
      </c>
      <c r="C280" s="31" t="n">
        <f aca="false">L20</f>
        <v>0.1157</v>
      </c>
      <c r="D280" s="31" t="n">
        <f aca="false">M20</f>
        <v>0.285</v>
      </c>
      <c r="E280" s="31" t="n">
        <f aca="false">N20</f>
        <v>0.235</v>
      </c>
      <c r="F280" s="31" t="n">
        <f aca="false">O20</f>
        <v>0.082</v>
      </c>
    </row>
    <row r="281" customFormat="false" ht="12.8" hidden="false" customHeight="false" outlineLevel="0" collapsed="false">
      <c r="A281" s="5" t="str">
        <f aca="false">_xlfn.CONCAT($A$261, ".", A21)</f>
        <v>FL.2.18</v>
      </c>
      <c r="B281" s="5" t="str">
        <f aca="false">_xlfn.CONCAT(B21, ": ", C21)</f>
        <v>Automotive &amp; Repair: Support</v>
      </c>
      <c r="C281" s="31" t="n">
        <f aca="false">L21</f>
        <v>0.1157</v>
      </c>
      <c r="D281" s="31" t="n">
        <f aca="false">M21</f>
        <v>0.285</v>
      </c>
      <c r="E281" s="31" t="n">
        <f aca="false">N21</f>
        <v>0.235</v>
      </c>
      <c r="F281" s="31" t="n">
        <f aca="false">O21</f>
        <v>0.082</v>
      </c>
    </row>
    <row r="282" customFormat="false" ht="12.8" hidden="false" customHeight="false" outlineLevel="0" collapsed="false">
      <c r="A282" s="5" t="str">
        <f aca="false">_xlfn.CONCAT($A$261, ".", A22)</f>
        <v>FL.2.19</v>
      </c>
      <c r="B282" s="5" t="str">
        <f aca="false">_xlfn.CONCAT(B22, ": ", C22)</f>
        <v>Other Services: Worker</v>
      </c>
      <c r="C282" s="31" t="n">
        <f aca="false">L22</f>
        <v>0.1109</v>
      </c>
      <c r="D282" s="31" t="n">
        <f aca="false">M22</f>
        <v>0.284</v>
      </c>
      <c r="E282" s="31" t="n">
        <f aca="false">N22</f>
        <v>0.234</v>
      </c>
      <c r="F282" s="31" t="n">
        <f aca="false">O22</f>
        <v>0.084</v>
      </c>
    </row>
    <row r="283" customFormat="false" ht="12.8" hidden="false" customHeight="false" outlineLevel="0" collapsed="false">
      <c r="A283" s="5" t="str">
        <f aca="false">_xlfn.CONCAT($A$261, ".", A23)</f>
        <v>FL.2.20</v>
      </c>
      <c r="B283" s="5" t="str">
        <f aca="false">_xlfn.CONCAT(B23, ": ", C23)</f>
        <v>Other Services: Support</v>
      </c>
      <c r="C283" s="31" t="n">
        <f aca="false">L23</f>
        <v>0.1109</v>
      </c>
      <c r="D283" s="31" t="n">
        <f aca="false">M23</f>
        <v>0.284</v>
      </c>
      <c r="E283" s="31" t="n">
        <f aca="false">N23</f>
        <v>0.234</v>
      </c>
      <c r="F283" s="31" t="n">
        <f aca="false">O23</f>
        <v>0.084</v>
      </c>
    </row>
    <row r="378" customFormat="false" ht="12.8" hidden="false" customHeight="false" outlineLevel="0" collapsed="false">
      <c r="A378" s="4" t="s">
        <v>172</v>
      </c>
      <c r="B378" s="27" t="s">
        <v>168</v>
      </c>
      <c r="C378" s="29" t="s">
        <v>151</v>
      </c>
    </row>
    <row r="379" customFormat="false" ht="46.25" hidden="false" customHeight="false" outlineLevel="0" collapsed="false">
      <c r="A379" s="4" t="s">
        <v>15</v>
      </c>
      <c r="B379" s="14" t="s">
        <v>145</v>
      </c>
      <c r="C379" s="23" t="str">
        <f aca="false">P2</f>
        <v>Underemployment Rate</v>
      </c>
      <c r="D379" s="23" t="str">
        <f aca="false">Q2</f>
        <v>Authorized Immigrant Underemployment Rate</v>
      </c>
      <c r="E379" s="23" t="str">
        <f aca="false">R2</f>
        <v>Unauthorized Immigrant Underemployment Rate</v>
      </c>
      <c r="F379" s="23" t="str">
        <f aca="false">S2</f>
        <v>American Underemployment Rate</v>
      </c>
    </row>
    <row r="380" customFormat="false" ht="12.8" hidden="false" customHeight="false" outlineLevel="0" collapsed="false">
      <c r="A380" s="1" t="str">
        <f aca="false">_xlfn.CONCAT($A$378, ".", A3)</f>
        <v>FL.3.0</v>
      </c>
      <c r="B380" s="4" t="str">
        <f aca="false">_xlfn.CONCAT(B3, ": ", C3)</f>
        <v>All Industries: All Roles</v>
      </c>
      <c r="C380" s="31" t="n">
        <f aca="false">P3</f>
        <v>0.0809</v>
      </c>
      <c r="D380" s="31" t="n">
        <f aca="false">Q3</f>
        <v>0.095</v>
      </c>
      <c r="E380" s="31" t="n">
        <f aca="false">R3</f>
        <v>0.095</v>
      </c>
      <c r="F380" s="31" t="n">
        <f aca="false">S3</f>
        <v>0.08</v>
      </c>
    </row>
    <row r="381" customFormat="false" ht="12.8" hidden="false" customHeight="false" outlineLevel="0" collapsed="false">
      <c r="A381" s="1" t="str">
        <f aca="false">_xlfn.CONCAT($A$378, ".", A4)</f>
        <v>FL.3.1</v>
      </c>
      <c r="B381" s="5" t="str">
        <f aca="false">_xlfn.CONCAT(B4, ": ", C4)</f>
        <v>Agriculture: Worker</v>
      </c>
      <c r="C381" s="31" t="n">
        <f aca="false">P4</f>
        <v>0.0841</v>
      </c>
      <c r="D381" s="31" t="n">
        <f aca="false">Q4</f>
        <v>0.09</v>
      </c>
      <c r="E381" s="31" t="n">
        <f aca="false">R4</f>
        <v>0.09</v>
      </c>
      <c r="F381" s="31" t="n">
        <f aca="false">S4</f>
        <v>0.08</v>
      </c>
    </row>
    <row r="382" customFormat="false" ht="12.8" hidden="false" customHeight="false" outlineLevel="0" collapsed="false">
      <c r="A382" s="1" t="str">
        <f aca="false">_xlfn.CONCAT($A$378, ".", A5)</f>
        <v>FL.3.2</v>
      </c>
      <c r="B382" s="5" t="str">
        <f aca="false">_xlfn.CONCAT(B5, ": ", C5)</f>
        <v>Agriculture: Support</v>
      </c>
      <c r="C382" s="31" t="n">
        <f aca="false">P5</f>
        <v>0.0841</v>
      </c>
      <c r="D382" s="31" t="n">
        <f aca="false">Q5</f>
        <v>0.09</v>
      </c>
      <c r="E382" s="31" t="n">
        <f aca="false">R5</f>
        <v>0.09</v>
      </c>
      <c r="F382" s="31" t="n">
        <f aca="false">S5</f>
        <v>0.08</v>
      </c>
    </row>
    <row r="383" customFormat="false" ht="12.8" hidden="false" customHeight="false" outlineLevel="0" collapsed="false">
      <c r="A383" s="1" t="str">
        <f aca="false">_xlfn.CONCAT($A$378, ".", A6)</f>
        <v>FL.3.3</v>
      </c>
      <c r="B383" s="5" t="str">
        <f aca="false">_xlfn.CONCAT(B6, ": ", C6)</f>
        <v>Construction: Worker</v>
      </c>
      <c r="C383" s="31" t="n">
        <f aca="false">P6</f>
        <v>0.0827</v>
      </c>
      <c r="D383" s="31" t="n">
        <f aca="false">Q6</f>
        <v>0.09</v>
      </c>
      <c r="E383" s="31" t="n">
        <f aca="false">R6</f>
        <v>0.09</v>
      </c>
      <c r="F383" s="31" t="n">
        <f aca="false">S6</f>
        <v>0.08</v>
      </c>
    </row>
    <row r="384" customFormat="false" ht="12.8" hidden="false" customHeight="false" outlineLevel="0" collapsed="false">
      <c r="A384" s="1" t="str">
        <f aca="false">_xlfn.CONCAT($A$378, ".", A7)</f>
        <v>FL.3.4</v>
      </c>
      <c r="B384" s="5" t="str">
        <f aca="false">_xlfn.CONCAT(B7, ": ", C7)</f>
        <v>Construction: Support</v>
      </c>
      <c r="C384" s="31" t="n">
        <f aca="false">P7</f>
        <v>0.0827</v>
      </c>
      <c r="D384" s="31" t="n">
        <f aca="false">Q7</f>
        <v>0.09</v>
      </c>
      <c r="E384" s="31" t="n">
        <f aca="false">R7</f>
        <v>0.09</v>
      </c>
      <c r="F384" s="31" t="n">
        <f aca="false">S7</f>
        <v>0.08</v>
      </c>
    </row>
    <row r="385" customFormat="false" ht="12.8" hidden="false" customHeight="false" outlineLevel="0" collapsed="false">
      <c r="A385" s="1" t="str">
        <f aca="false">_xlfn.CONCAT($A$378, ".", A8)</f>
        <v>FL.3.5</v>
      </c>
      <c r="B385" s="5" t="str">
        <f aca="false">_xlfn.CONCAT(B8, ": ", C8)</f>
        <v>Hospitality: Worker</v>
      </c>
      <c r="C385" s="31" t="n">
        <f aca="false">P8</f>
        <v>0.1137</v>
      </c>
      <c r="D385" s="31" t="n">
        <f aca="false">Q8</f>
        <v>0.11</v>
      </c>
      <c r="E385" s="31" t="n">
        <f aca="false">R8</f>
        <v>0.11</v>
      </c>
      <c r="F385" s="31" t="n">
        <f aca="false">S8</f>
        <v>0.115</v>
      </c>
    </row>
    <row r="386" customFormat="false" ht="12.8" hidden="false" customHeight="false" outlineLevel="0" collapsed="false">
      <c r="A386" s="1" t="str">
        <f aca="false">_xlfn.CONCAT($A$378, ".", A9)</f>
        <v>FL.3.6</v>
      </c>
      <c r="B386" s="5" t="str">
        <f aca="false">_xlfn.CONCAT(B9, ": ", C9)</f>
        <v>Hospitality: Support</v>
      </c>
      <c r="C386" s="31" t="n">
        <f aca="false">P9</f>
        <v>0.1137</v>
      </c>
      <c r="D386" s="31" t="n">
        <f aca="false">Q9</f>
        <v>0.11</v>
      </c>
      <c r="E386" s="31" t="n">
        <f aca="false">R9</f>
        <v>0.11</v>
      </c>
      <c r="F386" s="31" t="n">
        <f aca="false">S9</f>
        <v>0.115</v>
      </c>
    </row>
    <row r="387" customFormat="false" ht="12.8" hidden="false" customHeight="false" outlineLevel="0" collapsed="false">
      <c r="A387" s="1" t="str">
        <f aca="false">_xlfn.CONCAT($A$378, ".", A10)</f>
        <v>FL.3.7</v>
      </c>
      <c r="B387" s="5" t="str">
        <f aca="false">_xlfn.CONCAT(B10, ": ", C10)</f>
        <v>Cleaning/Maintenance: Worker</v>
      </c>
      <c r="C387" s="31" t="n">
        <f aca="false">P10</f>
        <v>0.1135</v>
      </c>
      <c r="D387" s="31" t="n">
        <f aca="false">Q10</f>
        <v>0.11</v>
      </c>
      <c r="E387" s="31" t="n">
        <f aca="false">R10</f>
        <v>0.11</v>
      </c>
      <c r="F387" s="31" t="n">
        <f aca="false">S10</f>
        <v>0.115</v>
      </c>
    </row>
    <row r="388" customFormat="false" ht="12.8" hidden="false" customHeight="false" outlineLevel="0" collapsed="false">
      <c r="A388" s="1" t="str">
        <f aca="false">_xlfn.CONCAT($A$378, ".", A11)</f>
        <v>FL.3.8</v>
      </c>
      <c r="B388" s="5" t="str">
        <f aca="false">_xlfn.CONCAT(B11, ": ", C11)</f>
        <v>Cleaning/Maintenance: Support</v>
      </c>
      <c r="C388" s="31" t="n">
        <f aca="false">P11</f>
        <v>0.1135</v>
      </c>
      <c r="D388" s="31" t="n">
        <f aca="false">Q11</f>
        <v>0.11</v>
      </c>
      <c r="E388" s="31" t="n">
        <f aca="false">R11</f>
        <v>0.11</v>
      </c>
      <c r="F388" s="31" t="n">
        <f aca="false">S11</f>
        <v>0.115</v>
      </c>
    </row>
    <row r="389" customFormat="false" ht="12.8" hidden="false" customHeight="false" outlineLevel="0" collapsed="false">
      <c r="A389" s="1" t="str">
        <f aca="false">_xlfn.CONCAT($A$378, ".", A12)</f>
        <v>FL.3.9</v>
      </c>
      <c r="B389" s="5" t="str">
        <f aca="false">_xlfn.CONCAT(B12, ": ", C12)</f>
        <v>Manufacturing: Worker</v>
      </c>
      <c r="C389" s="31" t="n">
        <f aca="false">P12</f>
        <v>0.1022</v>
      </c>
      <c r="D389" s="31" t="n">
        <f aca="false">Q12</f>
        <v>0.09</v>
      </c>
      <c r="E389" s="31" t="n">
        <f aca="false">R12</f>
        <v>0.09</v>
      </c>
      <c r="F389" s="31" t="n">
        <f aca="false">S12</f>
        <v>0.105</v>
      </c>
    </row>
    <row r="390" customFormat="false" ht="12.8" hidden="false" customHeight="false" outlineLevel="0" collapsed="false">
      <c r="A390" s="1" t="str">
        <f aca="false">_xlfn.CONCAT($A$378, ".", A13)</f>
        <v>FL.3.10</v>
      </c>
      <c r="B390" s="5" t="str">
        <f aca="false">_xlfn.CONCAT(B13, ": ", C13)</f>
        <v>Manufacturing: Support</v>
      </c>
      <c r="C390" s="31" t="n">
        <f aca="false">P13</f>
        <v>0.1022</v>
      </c>
      <c r="D390" s="31" t="n">
        <f aca="false">Q13</f>
        <v>0.09</v>
      </c>
      <c r="E390" s="31" t="n">
        <f aca="false">R13</f>
        <v>0.09</v>
      </c>
      <c r="F390" s="31" t="n">
        <f aca="false">S13</f>
        <v>0.105</v>
      </c>
    </row>
    <row r="391" customFormat="false" ht="12.8" hidden="false" customHeight="false" outlineLevel="0" collapsed="false">
      <c r="A391" s="1" t="str">
        <f aca="false">_xlfn.CONCAT($A$378, ".", A14)</f>
        <v>FL.3.11</v>
      </c>
      <c r="B391" s="5" t="str">
        <f aca="false">_xlfn.CONCAT(B14, ": ", C14)</f>
        <v>Transportation &amp; Warehousing: Worker</v>
      </c>
      <c r="C391" s="31" t="n">
        <f aca="false">P14</f>
        <v>0.1018</v>
      </c>
      <c r="D391" s="31" t="n">
        <f aca="false">Q14</f>
        <v>0.09</v>
      </c>
      <c r="E391" s="31" t="n">
        <f aca="false">R14</f>
        <v>0.09</v>
      </c>
      <c r="F391" s="31" t="n">
        <f aca="false">S14</f>
        <v>0.105</v>
      </c>
    </row>
    <row r="392" customFormat="false" ht="12.8" hidden="false" customHeight="false" outlineLevel="0" collapsed="false">
      <c r="A392" s="1" t="str">
        <f aca="false">_xlfn.CONCAT($A$378, ".", A15)</f>
        <v>FL.3.12</v>
      </c>
      <c r="B392" s="5" t="str">
        <f aca="false">_xlfn.CONCAT(B15, ": ", C15)</f>
        <v>Transportation &amp; Warehousing: Support</v>
      </c>
      <c r="C392" s="31" t="n">
        <f aca="false">P15</f>
        <v>0.1018</v>
      </c>
      <c r="D392" s="31" t="n">
        <f aca="false">Q15</f>
        <v>0.09</v>
      </c>
      <c r="E392" s="31" t="n">
        <f aca="false">R15</f>
        <v>0.09</v>
      </c>
      <c r="F392" s="31" t="n">
        <f aca="false">S15</f>
        <v>0.105</v>
      </c>
    </row>
    <row r="393" customFormat="false" ht="12.8" hidden="false" customHeight="false" outlineLevel="0" collapsed="false">
      <c r="A393" s="1" t="str">
        <f aca="false">_xlfn.CONCAT($A$378, ".", A16)</f>
        <v>FL.3.13</v>
      </c>
      <c r="B393" s="5" t="str">
        <f aca="false">_xlfn.CONCAT(B16, ": ", C16)</f>
        <v>Retail Trade: Worker</v>
      </c>
      <c r="C393" s="31" t="n">
        <f aca="false">P16</f>
        <v>0.1144</v>
      </c>
      <c r="D393" s="31" t="n">
        <f aca="false">Q16</f>
        <v>0.11</v>
      </c>
      <c r="E393" s="31" t="n">
        <f aca="false">R16</f>
        <v>0.11</v>
      </c>
      <c r="F393" s="31" t="n">
        <f aca="false">S16</f>
        <v>0.115</v>
      </c>
    </row>
    <row r="394" customFormat="false" ht="12.8" hidden="false" customHeight="false" outlineLevel="0" collapsed="false">
      <c r="A394" s="1" t="str">
        <f aca="false">_xlfn.CONCAT($A$378, ".", A17)</f>
        <v>FL.3.14</v>
      </c>
      <c r="B394" s="5" t="str">
        <f aca="false">_xlfn.CONCAT(B17, ": ", C17)</f>
        <v>Retail Trade: Support</v>
      </c>
      <c r="C394" s="31" t="n">
        <f aca="false">P17</f>
        <v>0.1144</v>
      </c>
      <c r="D394" s="31" t="n">
        <f aca="false">Q17</f>
        <v>0.11</v>
      </c>
      <c r="E394" s="31" t="n">
        <f aca="false">R17</f>
        <v>0.11</v>
      </c>
      <c r="F394" s="31" t="n">
        <f aca="false">S17</f>
        <v>0.115</v>
      </c>
    </row>
    <row r="395" customFormat="false" ht="12.8" hidden="false" customHeight="false" outlineLevel="0" collapsed="false">
      <c r="A395" s="1" t="str">
        <f aca="false">_xlfn.CONCAT($A$378, ".", A18)</f>
        <v>FL.3.15</v>
      </c>
      <c r="B395" s="5" t="str">
        <f aca="false">_xlfn.CONCAT(B18, ": ", C18)</f>
        <v>Landscaping / Groundskeeping: Worker</v>
      </c>
      <c r="C395" s="31" t="n">
        <f aca="false">P18</f>
        <v>0.1037</v>
      </c>
      <c r="D395" s="31" t="n">
        <f aca="false">Q18</f>
        <v>0.1</v>
      </c>
      <c r="E395" s="31" t="n">
        <f aca="false">R18</f>
        <v>0.1</v>
      </c>
      <c r="F395" s="31" t="n">
        <f aca="false">S18</f>
        <v>0.105</v>
      </c>
    </row>
    <row r="396" customFormat="false" ht="12.8" hidden="false" customHeight="false" outlineLevel="0" collapsed="false">
      <c r="A396" s="1" t="str">
        <f aca="false">_xlfn.CONCAT($A$378, ".", A19)</f>
        <v>FL.3.16</v>
      </c>
      <c r="B396" s="5" t="str">
        <f aca="false">_xlfn.CONCAT(B19, ": ", C19)</f>
        <v>Landscaping / Groundskeeping: Support</v>
      </c>
      <c r="C396" s="31" t="n">
        <f aca="false">P19</f>
        <v>0.1037</v>
      </c>
      <c r="D396" s="31" t="n">
        <f aca="false">Q19</f>
        <v>0.1</v>
      </c>
      <c r="E396" s="31" t="n">
        <f aca="false">R19</f>
        <v>0.1</v>
      </c>
      <c r="F396" s="31" t="n">
        <f aca="false">S19</f>
        <v>0.105</v>
      </c>
    </row>
    <row r="397" customFormat="false" ht="12.8" hidden="false" customHeight="false" outlineLevel="0" collapsed="false">
      <c r="A397" s="1" t="str">
        <f aca="false">_xlfn.CONCAT($A$378, ".", A20)</f>
        <v>FL.3.17</v>
      </c>
      <c r="B397" s="5" t="str">
        <f aca="false">_xlfn.CONCAT(B20, ": ", C20)</f>
        <v>Automotive &amp; Repair: Worker</v>
      </c>
      <c r="C397" s="31" t="n">
        <f aca="false">P20</f>
        <v>0.104</v>
      </c>
      <c r="D397" s="31" t="n">
        <f aca="false">Q20</f>
        <v>0.1</v>
      </c>
      <c r="E397" s="31" t="n">
        <f aca="false">R20</f>
        <v>0.1</v>
      </c>
      <c r="F397" s="31" t="n">
        <f aca="false">S20</f>
        <v>0.105</v>
      </c>
    </row>
    <row r="398" customFormat="false" ht="12.8" hidden="false" customHeight="false" outlineLevel="0" collapsed="false">
      <c r="A398" s="1" t="str">
        <f aca="false">_xlfn.CONCAT($A$378, ".", A21)</f>
        <v>FL.3.18</v>
      </c>
      <c r="B398" s="5" t="str">
        <f aca="false">_xlfn.CONCAT(B21, ": ", C21)</f>
        <v>Automotive &amp; Repair: Support</v>
      </c>
      <c r="C398" s="31" t="n">
        <f aca="false">P21</f>
        <v>0.104</v>
      </c>
      <c r="D398" s="31" t="n">
        <f aca="false">Q21</f>
        <v>0.1</v>
      </c>
      <c r="E398" s="31" t="n">
        <f aca="false">R21</f>
        <v>0.1</v>
      </c>
      <c r="F398" s="31" t="n">
        <f aca="false">S21</f>
        <v>0.105</v>
      </c>
    </row>
    <row r="399" customFormat="false" ht="12.8" hidden="false" customHeight="false" outlineLevel="0" collapsed="false">
      <c r="A399" s="1" t="str">
        <f aca="false">_xlfn.CONCAT($A$378, ".", A22)</f>
        <v>FL.3.19</v>
      </c>
      <c r="B399" s="5" t="str">
        <f aca="false">_xlfn.CONCAT(B22, ": ", C22)</f>
        <v>Other Services: Worker</v>
      </c>
      <c r="C399" s="31" t="n">
        <f aca="false">P22</f>
        <v>0.1034</v>
      </c>
      <c r="D399" s="31" t="n">
        <f aca="false">Q22</f>
        <v>0.1</v>
      </c>
      <c r="E399" s="31" t="n">
        <f aca="false">R22</f>
        <v>0.1</v>
      </c>
      <c r="F399" s="31" t="n">
        <f aca="false">S22</f>
        <v>0.105</v>
      </c>
    </row>
    <row r="400" customFormat="false" ht="12.8" hidden="false" customHeight="false" outlineLevel="0" collapsed="false">
      <c r="A400" s="1" t="str">
        <f aca="false">_xlfn.CONCAT($A$378, ".", A23)</f>
        <v>FL.3.20</v>
      </c>
      <c r="B400" s="5" t="str">
        <f aca="false">_xlfn.CONCAT(B23, ": ", C23)</f>
        <v>Other Services: Support</v>
      </c>
      <c r="C400" s="31" t="n">
        <f aca="false">P23</f>
        <v>0.1034</v>
      </c>
      <c r="D400" s="31" t="n">
        <f aca="false">Q23</f>
        <v>0.1</v>
      </c>
      <c r="E400" s="31" t="n">
        <f aca="false">R23</f>
        <v>0.1</v>
      </c>
      <c r="F400" s="31" t="n">
        <f aca="false">S23</f>
        <v>0.105</v>
      </c>
    </row>
    <row r="496" customFormat="false" ht="12.8" hidden="false" customHeight="false" outlineLevel="0" collapsed="false">
      <c r="A496" s="4" t="s">
        <v>173</v>
      </c>
      <c r="B496" s="27" t="s">
        <v>168</v>
      </c>
      <c r="C496" s="29" t="s">
        <v>153</v>
      </c>
    </row>
    <row r="497" customFormat="false" ht="35.05" hidden="false" customHeight="false" outlineLevel="0" collapsed="false">
      <c r="A497" s="4" t="s">
        <v>15</v>
      </c>
      <c r="B497" s="4" t="str">
        <f aca="false">_xlfn.CONCAT(B2, ": ", C2)</f>
        <v>Industry: Role</v>
      </c>
      <c r="C497" s="14" t="str">
        <f aca="false">T2</f>
        <v>Wage Average ($/hr)</v>
      </c>
      <c r="D497" s="14" t="str">
        <f aca="false">Z2</f>
        <v>Authorized Immigrant Wage Average ($/hr)</v>
      </c>
      <c r="E497" s="14" t="str">
        <f aca="false">AF2</f>
        <v>Unauthorized Immigrant Wage Average ($/hr)</v>
      </c>
      <c r="F497" s="14" t="str">
        <f aca="false">AL2</f>
        <v>American Wage Average ($/hr)</v>
      </c>
    </row>
    <row r="498" customFormat="false" ht="12.8" hidden="false" customHeight="false" outlineLevel="0" collapsed="false">
      <c r="A498" s="1" t="str">
        <f aca="false">_xlfn.CONCAT($A$496, ".", A3)</f>
        <v>FL.4.0</v>
      </c>
      <c r="B498" s="4" t="str">
        <f aca="false">_xlfn.CONCAT(B3, ": ", C3)</f>
        <v>All Industries: All Roles</v>
      </c>
      <c r="C498" s="32" t="n">
        <f aca="false">T3</f>
        <v>14.2</v>
      </c>
      <c r="D498" s="32" t="n">
        <f aca="false">Z3</f>
        <v>10.7</v>
      </c>
      <c r="E498" s="32" t="n">
        <f aca="false">AF3</f>
        <v>10.7</v>
      </c>
      <c r="F498" s="34" t="n">
        <f aca="false">AL3</f>
        <v>14.4</v>
      </c>
    </row>
    <row r="499" customFormat="false" ht="12.8" hidden="false" customHeight="false" outlineLevel="0" collapsed="false">
      <c r="A499" s="1" t="str">
        <f aca="false">_xlfn.CONCAT($A$496, ".", A4)</f>
        <v>FL.4.1</v>
      </c>
      <c r="B499" s="5" t="str">
        <f aca="false">_xlfn.CONCAT(B4, ": ", C4)</f>
        <v>Agriculture: Worker</v>
      </c>
      <c r="C499" s="18" t="n">
        <f aca="false">T4</f>
        <v>18.5</v>
      </c>
      <c r="D499" s="18" t="n">
        <f aca="false">Z4</f>
        <v>18.5</v>
      </c>
      <c r="E499" s="18" t="n">
        <f aca="false">AF4</f>
        <v>17</v>
      </c>
      <c r="F499" s="20" t="n">
        <f aca="false">AL4</f>
        <v>21</v>
      </c>
    </row>
    <row r="500" customFormat="false" ht="12.8" hidden="false" customHeight="false" outlineLevel="0" collapsed="false">
      <c r="A500" s="1" t="str">
        <f aca="false">_xlfn.CONCAT($A$496, ".", A5)</f>
        <v>FL.4.2</v>
      </c>
      <c r="B500" s="5" t="str">
        <f aca="false">_xlfn.CONCAT(B5, ": ", C5)</f>
        <v>Agriculture: Support</v>
      </c>
      <c r="C500" s="18" t="n">
        <f aca="false">T5</f>
        <v>17</v>
      </c>
      <c r="D500" s="18" t="n">
        <f aca="false">Z5</f>
        <v>17</v>
      </c>
      <c r="E500" s="18" t="n">
        <f aca="false">AF5</f>
        <v>15.5</v>
      </c>
      <c r="F500" s="20" t="n">
        <f aca="false">AL5</f>
        <v>19</v>
      </c>
    </row>
    <row r="501" customFormat="false" ht="12.8" hidden="false" customHeight="false" outlineLevel="0" collapsed="false">
      <c r="A501" s="1" t="str">
        <f aca="false">_xlfn.CONCAT($A$496, ".", A6)</f>
        <v>FL.4.3</v>
      </c>
      <c r="B501" s="5" t="str">
        <f aca="false">_xlfn.CONCAT(B6, ": ", C6)</f>
        <v>Construction: Worker</v>
      </c>
      <c r="C501" s="18" t="n">
        <f aca="false">T6</f>
        <v>22</v>
      </c>
      <c r="D501" s="18" t="n">
        <f aca="false">Z6</f>
        <v>22</v>
      </c>
      <c r="E501" s="18" t="n">
        <f aca="false">AF6</f>
        <v>20</v>
      </c>
      <c r="F501" s="20" t="n">
        <f aca="false">AL6</f>
        <v>24</v>
      </c>
    </row>
    <row r="502" customFormat="false" ht="12.8" hidden="false" customHeight="false" outlineLevel="0" collapsed="false">
      <c r="A502" s="1" t="str">
        <f aca="false">_xlfn.CONCAT($A$496, ".", A7)</f>
        <v>FL.4.4</v>
      </c>
      <c r="B502" s="5" t="str">
        <f aca="false">_xlfn.CONCAT(B7, ": ", C7)</f>
        <v>Construction: Support</v>
      </c>
      <c r="C502" s="18" t="n">
        <f aca="false">T7</f>
        <v>20</v>
      </c>
      <c r="D502" s="18" t="n">
        <f aca="false">Z7</f>
        <v>20</v>
      </c>
      <c r="E502" s="18" t="n">
        <f aca="false">AF7</f>
        <v>18</v>
      </c>
      <c r="F502" s="20" t="n">
        <f aca="false">AL7</f>
        <v>22</v>
      </c>
    </row>
    <row r="503" customFormat="false" ht="12.8" hidden="false" customHeight="false" outlineLevel="0" collapsed="false">
      <c r="A503" s="1" t="str">
        <f aca="false">_xlfn.CONCAT($A$496, ".", A8)</f>
        <v>FL.4.5</v>
      </c>
      <c r="B503" s="5" t="str">
        <f aca="false">_xlfn.CONCAT(B8, ": ", C8)</f>
        <v>Hospitality: Worker</v>
      </c>
      <c r="C503" s="18" t="n">
        <f aca="false">T8</f>
        <v>14.5</v>
      </c>
      <c r="D503" s="18" t="n">
        <f aca="false">Z8</f>
        <v>14.5</v>
      </c>
      <c r="E503" s="18" t="n">
        <f aca="false">AF8</f>
        <v>13</v>
      </c>
      <c r="F503" s="20" t="n">
        <f aca="false">AL8</f>
        <v>16</v>
      </c>
    </row>
    <row r="504" customFormat="false" ht="12.8" hidden="false" customHeight="false" outlineLevel="0" collapsed="false">
      <c r="A504" s="1" t="str">
        <f aca="false">_xlfn.CONCAT($A$496, ".", A9)</f>
        <v>FL.4.6</v>
      </c>
      <c r="B504" s="5" t="str">
        <f aca="false">_xlfn.CONCAT(B9, ": ", C9)</f>
        <v>Hospitality: Support</v>
      </c>
      <c r="C504" s="18" t="n">
        <f aca="false">T9</f>
        <v>13</v>
      </c>
      <c r="D504" s="18" t="n">
        <f aca="false">Z9</f>
        <v>13</v>
      </c>
      <c r="E504" s="18" t="n">
        <f aca="false">AF9</f>
        <v>11.5</v>
      </c>
      <c r="F504" s="20" t="n">
        <f aca="false">AL9</f>
        <v>14.5</v>
      </c>
    </row>
    <row r="505" customFormat="false" ht="12.8" hidden="false" customHeight="false" outlineLevel="0" collapsed="false">
      <c r="A505" s="1" t="str">
        <f aca="false">_xlfn.CONCAT($A$496, ".", A10)</f>
        <v>FL.4.7</v>
      </c>
      <c r="B505" s="5" t="str">
        <f aca="false">_xlfn.CONCAT(B10, ": ", C10)</f>
        <v>Cleaning/Maintenance: Worker</v>
      </c>
      <c r="C505" s="18" t="n">
        <f aca="false">T10</f>
        <v>14.5</v>
      </c>
      <c r="D505" s="18" t="n">
        <f aca="false">Z10</f>
        <v>14.5</v>
      </c>
      <c r="E505" s="18" t="n">
        <f aca="false">AF10</f>
        <v>13</v>
      </c>
      <c r="F505" s="20" t="n">
        <f aca="false">AL10</f>
        <v>16</v>
      </c>
    </row>
    <row r="506" customFormat="false" ht="12.8" hidden="false" customHeight="false" outlineLevel="0" collapsed="false">
      <c r="A506" s="1" t="str">
        <f aca="false">_xlfn.CONCAT($A$496, ".", A11)</f>
        <v>FL.4.8</v>
      </c>
      <c r="B506" s="5" t="str">
        <f aca="false">_xlfn.CONCAT(B11, ": ", C11)</f>
        <v>Cleaning/Maintenance: Support</v>
      </c>
      <c r="C506" s="18" t="n">
        <f aca="false">T11</f>
        <v>12.5</v>
      </c>
      <c r="D506" s="18" t="n">
        <f aca="false">Z11</f>
        <v>12.5</v>
      </c>
      <c r="E506" s="18" t="n">
        <f aca="false">AF11</f>
        <v>11</v>
      </c>
      <c r="F506" s="20" t="n">
        <f aca="false">AL11</f>
        <v>14</v>
      </c>
    </row>
    <row r="507" customFormat="false" ht="12.8" hidden="false" customHeight="false" outlineLevel="0" collapsed="false">
      <c r="A507" s="1" t="str">
        <f aca="false">_xlfn.CONCAT($A$496, ".", A12)</f>
        <v>FL.4.9</v>
      </c>
      <c r="B507" s="5" t="str">
        <f aca="false">_xlfn.CONCAT(B12, ": ", C12)</f>
        <v>Manufacturing: Worker</v>
      </c>
      <c r="C507" s="18" t="n">
        <f aca="false">T12</f>
        <v>22</v>
      </c>
      <c r="D507" s="18" t="n">
        <f aca="false">Z12</f>
        <v>22</v>
      </c>
      <c r="E507" s="18" t="n">
        <f aca="false">AF12</f>
        <v>20</v>
      </c>
      <c r="F507" s="20" t="n">
        <f aca="false">AL12</f>
        <v>24</v>
      </c>
    </row>
    <row r="508" customFormat="false" ht="12.8" hidden="false" customHeight="false" outlineLevel="0" collapsed="false">
      <c r="A508" s="1" t="str">
        <f aca="false">_xlfn.CONCAT($A$496, ".", A13)</f>
        <v>FL.4.10</v>
      </c>
      <c r="B508" s="5" t="str">
        <f aca="false">_xlfn.CONCAT(B13, ": ", C13)</f>
        <v>Manufacturing: Support</v>
      </c>
      <c r="C508" s="18" t="n">
        <f aca="false">T13</f>
        <v>20</v>
      </c>
      <c r="D508" s="18" t="n">
        <f aca="false">Z13</f>
        <v>20</v>
      </c>
      <c r="E508" s="18" t="n">
        <f aca="false">AF13</f>
        <v>18</v>
      </c>
      <c r="F508" s="20" t="n">
        <f aca="false">AL13</f>
        <v>22</v>
      </c>
    </row>
    <row r="509" customFormat="false" ht="12.8" hidden="false" customHeight="false" outlineLevel="0" collapsed="false">
      <c r="A509" s="1" t="str">
        <f aca="false">_xlfn.CONCAT($A$496, ".", A14)</f>
        <v>FL.4.11</v>
      </c>
      <c r="B509" s="5" t="str">
        <f aca="false">_xlfn.CONCAT(B14, ": ", C14)</f>
        <v>Transportation &amp; Warehousing: Worker</v>
      </c>
      <c r="C509" s="18" t="n">
        <f aca="false">T14</f>
        <v>24</v>
      </c>
      <c r="D509" s="18" t="n">
        <f aca="false">Z14</f>
        <v>24</v>
      </c>
      <c r="E509" s="18" t="n">
        <f aca="false">AF14</f>
        <v>22</v>
      </c>
      <c r="F509" s="20" t="n">
        <f aca="false">AL14</f>
        <v>26</v>
      </c>
    </row>
    <row r="510" customFormat="false" ht="12.8" hidden="false" customHeight="false" outlineLevel="0" collapsed="false">
      <c r="A510" s="1" t="str">
        <f aca="false">_xlfn.CONCAT($A$496, ".", A15)</f>
        <v>FL.4.12</v>
      </c>
      <c r="B510" s="5" t="str">
        <f aca="false">_xlfn.CONCAT(B15, ": ", C15)</f>
        <v>Transportation &amp; Warehousing: Support</v>
      </c>
      <c r="C510" s="18" t="n">
        <f aca="false">T15</f>
        <v>22</v>
      </c>
      <c r="D510" s="18" t="n">
        <f aca="false">Z15</f>
        <v>22</v>
      </c>
      <c r="E510" s="18" t="n">
        <f aca="false">AF15</f>
        <v>20</v>
      </c>
      <c r="F510" s="20" t="n">
        <f aca="false">AL15</f>
        <v>24</v>
      </c>
    </row>
    <row r="511" customFormat="false" ht="12.8" hidden="false" customHeight="false" outlineLevel="0" collapsed="false">
      <c r="A511" s="1" t="str">
        <f aca="false">_xlfn.CONCAT($A$496, ".", A16)</f>
        <v>FL.4.13</v>
      </c>
      <c r="B511" s="5" t="str">
        <f aca="false">_xlfn.CONCAT(B16, ": ", C16)</f>
        <v>Retail Trade: Worker</v>
      </c>
      <c r="C511" s="18" t="n">
        <f aca="false">T16</f>
        <v>15</v>
      </c>
      <c r="D511" s="18" t="n">
        <f aca="false">Z16</f>
        <v>15</v>
      </c>
      <c r="E511" s="18" t="n">
        <f aca="false">AF16</f>
        <v>13.5</v>
      </c>
      <c r="F511" s="20" t="n">
        <f aca="false">AL16</f>
        <v>17</v>
      </c>
    </row>
    <row r="512" customFormat="false" ht="12.8" hidden="false" customHeight="false" outlineLevel="0" collapsed="false">
      <c r="A512" s="1" t="str">
        <f aca="false">_xlfn.CONCAT($A$496, ".", A17)</f>
        <v>FL.4.14</v>
      </c>
      <c r="B512" s="5" t="str">
        <f aca="false">_xlfn.CONCAT(B17, ": ", C17)</f>
        <v>Retail Trade: Support</v>
      </c>
      <c r="C512" s="18" t="n">
        <f aca="false">T17</f>
        <v>13.5</v>
      </c>
      <c r="D512" s="18" t="n">
        <f aca="false">Z17</f>
        <v>13.5</v>
      </c>
      <c r="E512" s="18" t="n">
        <f aca="false">AF17</f>
        <v>12</v>
      </c>
      <c r="F512" s="20" t="n">
        <f aca="false">AL17</f>
        <v>15</v>
      </c>
    </row>
    <row r="513" customFormat="false" ht="12.8" hidden="false" customHeight="false" outlineLevel="0" collapsed="false">
      <c r="A513" s="1" t="str">
        <f aca="false">_xlfn.CONCAT($A$496, ".", A18)</f>
        <v>FL.4.15</v>
      </c>
      <c r="B513" s="5" t="str">
        <f aca="false">_xlfn.CONCAT(B18, ": ", C18)</f>
        <v>Landscaping / Groundskeeping: Worker</v>
      </c>
      <c r="C513" s="18" t="n">
        <f aca="false">T18</f>
        <v>18</v>
      </c>
      <c r="D513" s="18" t="n">
        <f aca="false">Z18</f>
        <v>18</v>
      </c>
      <c r="E513" s="18" t="n">
        <f aca="false">AF18</f>
        <v>16.5</v>
      </c>
      <c r="F513" s="20" t="n">
        <f aca="false">AL18</f>
        <v>20</v>
      </c>
    </row>
    <row r="514" customFormat="false" ht="12.8" hidden="false" customHeight="false" outlineLevel="0" collapsed="false">
      <c r="A514" s="1" t="str">
        <f aca="false">_xlfn.CONCAT($A$496, ".", A19)</f>
        <v>FL.4.16</v>
      </c>
      <c r="B514" s="5" t="str">
        <f aca="false">_xlfn.CONCAT(B19, ": ", C19)</f>
        <v>Landscaping / Groundskeeping: Support</v>
      </c>
      <c r="C514" s="18" t="n">
        <f aca="false">T19</f>
        <v>16</v>
      </c>
      <c r="D514" s="18" t="n">
        <f aca="false">Z19</f>
        <v>16</v>
      </c>
      <c r="E514" s="18" t="n">
        <f aca="false">AF19</f>
        <v>14.5</v>
      </c>
      <c r="F514" s="20" t="n">
        <f aca="false">AL19</f>
        <v>18</v>
      </c>
    </row>
    <row r="515" customFormat="false" ht="12.8" hidden="false" customHeight="false" outlineLevel="0" collapsed="false">
      <c r="A515" s="1" t="str">
        <f aca="false">_xlfn.CONCAT($A$496, ".", A20)</f>
        <v>FL.4.17</v>
      </c>
      <c r="B515" s="5" t="str">
        <f aca="false">_xlfn.CONCAT(B20, ": ", C20)</f>
        <v>Automotive &amp; Repair: Worker</v>
      </c>
      <c r="C515" s="18" t="n">
        <f aca="false">T20</f>
        <v>20</v>
      </c>
      <c r="D515" s="18" t="n">
        <f aca="false">Z20</f>
        <v>20</v>
      </c>
      <c r="E515" s="18" t="n">
        <f aca="false">AF20</f>
        <v>18</v>
      </c>
      <c r="F515" s="20" t="n">
        <f aca="false">AL20</f>
        <v>22</v>
      </c>
    </row>
    <row r="516" customFormat="false" ht="12.8" hidden="false" customHeight="false" outlineLevel="0" collapsed="false">
      <c r="A516" s="1" t="str">
        <f aca="false">_xlfn.CONCAT($A$496, ".", A21)</f>
        <v>FL.4.18</v>
      </c>
      <c r="B516" s="5" t="str">
        <f aca="false">_xlfn.CONCAT(B21, ": ", C21)</f>
        <v>Automotive &amp; Repair: Support</v>
      </c>
      <c r="C516" s="18" t="n">
        <f aca="false">T21</f>
        <v>18</v>
      </c>
      <c r="D516" s="18" t="n">
        <f aca="false">Z21</f>
        <v>18</v>
      </c>
      <c r="E516" s="18" t="n">
        <f aca="false">AF21</f>
        <v>16</v>
      </c>
      <c r="F516" s="20" t="n">
        <f aca="false">AL21</f>
        <v>20</v>
      </c>
    </row>
    <row r="517" customFormat="false" ht="12.8" hidden="false" customHeight="false" outlineLevel="0" collapsed="false">
      <c r="A517" s="1" t="str">
        <f aca="false">_xlfn.CONCAT($A$496, ".", A22)</f>
        <v>FL.4.19</v>
      </c>
      <c r="B517" s="5" t="str">
        <f aca="false">_xlfn.CONCAT(B22, ": ", C22)</f>
        <v>Other Services: Worker</v>
      </c>
      <c r="C517" s="18" t="n">
        <f aca="false">T22</f>
        <v>20</v>
      </c>
      <c r="D517" s="18" t="n">
        <f aca="false">Z22</f>
        <v>20</v>
      </c>
      <c r="E517" s="18" t="n">
        <f aca="false">AF22</f>
        <v>18</v>
      </c>
      <c r="F517" s="20" t="n">
        <f aca="false">AL22</f>
        <v>22</v>
      </c>
    </row>
    <row r="518" customFormat="false" ht="12.8" hidden="false" customHeight="false" outlineLevel="0" collapsed="false">
      <c r="A518" s="1" t="str">
        <f aca="false">_xlfn.CONCAT($A$496, ".", A23)</f>
        <v>FL.4.20</v>
      </c>
      <c r="B518" s="5" t="str">
        <f aca="false">_xlfn.CONCAT(B23, ": ", C23)</f>
        <v>Other Services: Support</v>
      </c>
      <c r="C518" s="18" t="n">
        <f aca="false">T23</f>
        <v>18</v>
      </c>
      <c r="D518" s="18" t="n">
        <f aca="false">Z23</f>
        <v>18</v>
      </c>
      <c r="E518" s="18" t="n">
        <f aca="false">AF23</f>
        <v>16</v>
      </c>
      <c r="F518" s="20" t="n">
        <f aca="false">AL23</f>
        <v>20</v>
      </c>
    </row>
    <row r="613" customFormat="false" ht="12.8" hidden="false" customHeight="false" outlineLevel="0" collapsed="false">
      <c r="A613" s="4" t="s">
        <v>174</v>
      </c>
      <c r="B613" s="27" t="s">
        <v>168</v>
      </c>
      <c r="C613" s="29" t="s">
        <v>155</v>
      </c>
    </row>
    <row r="614" customFormat="false" ht="46.25" hidden="false" customHeight="false" outlineLevel="0" collapsed="false">
      <c r="A614" s="4" t="s">
        <v>15</v>
      </c>
      <c r="B614" s="4" t="str">
        <f aca="false">_xlfn.CONCAT(B2, ": ", C2)</f>
        <v>Industry: Role</v>
      </c>
      <c r="C614" s="33" t="str">
        <f aca="false">W2</f>
        <v>Annual Income ($)</v>
      </c>
      <c r="D614" s="33" t="str">
        <f aca="false">AC2</f>
        <v>Authorized Immigrant Annual Income Average ($)</v>
      </c>
      <c r="E614" s="33" t="str">
        <f aca="false">AI2</f>
        <v>Unauthorized Immigrant Annual Income Average ($)</v>
      </c>
      <c r="F614" s="33" t="str">
        <f aca="false">AO2</f>
        <v>American Annual Income Average ($)</v>
      </c>
    </row>
    <row r="615" customFormat="false" ht="12.8" hidden="false" customHeight="false" outlineLevel="0" collapsed="false">
      <c r="A615" s="1" t="str">
        <f aca="false">_xlfn.CONCAT($A$613, ".", A3)</f>
        <v>FL.5.0</v>
      </c>
      <c r="B615" s="4" t="str">
        <f aca="false">_xlfn.CONCAT(B3, ": ", C3)</f>
        <v>All Industries: All Roles</v>
      </c>
      <c r="C615" s="33" t="n">
        <f aca="false">W3</f>
        <v>25560</v>
      </c>
      <c r="D615" s="33" t="n">
        <f aca="false">AC3</f>
        <v>19260</v>
      </c>
      <c r="E615" s="33" t="n">
        <f aca="false">AI3</f>
        <v>19260</v>
      </c>
      <c r="F615" s="33" t="n">
        <f aca="false">AO3</f>
        <v>25920</v>
      </c>
    </row>
    <row r="616" customFormat="false" ht="12.8" hidden="false" customHeight="false" outlineLevel="0" collapsed="false">
      <c r="A616" s="1" t="str">
        <f aca="false">_xlfn.CONCAT($A$613, ".", A4)</f>
        <v>FL.5.1</v>
      </c>
      <c r="B616" s="5" t="str">
        <f aca="false">_xlfn.CONCAT(B4, ": ", C4)</f>
        <v>Agriculture: Worker</v>
      </c>
      <c r="C616" s="33" t="n">
        <f aca="false">W4</f>
        <v>30525</v>
      </c>
      <c r="D616" s="33" t="n">
        <f aca="false">AC4</f>
        <v>30525</v>
      </c>
      <c r="E616" s="33" t="n">
        <f aca="false">AI4</f>
        <v>28050</v>
      </c>
      <c r="F616" s="33" t="n">
        <f aca="false">AO4</f>
        <v>34650</v>
      </c>
    </row>
    <row r="617" customFormat="false" ht="12.8" hidden="false" customHeight="false" outlineLevel="0" collapsed="false">
      <c r="A617" s="1" t="str">
        <f aca="false">_xlfn.CONCAT($A$613, ".", A5)</f>
        <v>FL.5.2</v>
      </c>
      <c r="B617" s="5" t="str">
        <f aca="false">_xlfn.CONCAT(B5, ": ", C5)</f>
        <v>Agriculture: Support</v>
      </c>
      <c r="C617" s="33" t="n">
        <f aca="false">W5</f>
        <v>30600</v>
      </c>
      <c r="D617" s="33" t="n">
        <f aca="false">AC5</f>
        <v>30600</v>
      </c>
      <c r="E617" s="33" t="n">
        <f aca="false">AI5</f>
        <v>27900</v>
      </c>
      <c r="F617" s="33" t="n">
        <f aca="false">AO5</f>
        <v>34200</v>
      </c>
    </row>
    <row r="618" customFormat="false" ht="12.8" hidden="false" customHeight="false" outlineLevel="0" collapsed="false">
      <c r="A618" s="1" t="str">
        <f aca="false">_xlfn.CONCAT($A$613, ".", A6)</f>
        <v>FL.5.3</v>
      </c>
      <c r="B618" s="5" t="str">
        <f aca="false">_xlfn.CONCAT(B6, ": ", C6)</f>
        <v>Construction: Worker</v>
      </c>
      <c r="C618" s="33" t="n">
        <f aca="false">W6</f>
        <v>42900</v>
      </c>
      <c r="D618" s="33" t="n">
        <f aca="false">AC6</f>
        <v>42900</v>
      </c>
      <c r="E618" s="33" t="n">
        <f aca="false">AI6</f>
        <v>39000</v>
      </c>
      <c r="F618" s="33" t="n">
        <f aca="false">AO6</f>
        <v>46800</v>
      </c>
    </row>
    <row r="619" customFormat="false" ht="12.8" hidden="false" customHeight="false" outlineLevel="0" collapsed="false">
      <c r="A619" s="1" t="str">
        <f aca="false">_xlfn.CONCAT($A$613, ".", A7)</f>
        <v>FL.5.4</v>
      </c>
      <c r="B619" s="5" t="str">
        <f aca="false">_xlfn.CONCAT(B7, ": ", C7)</f>
        <v>Construction: Support</v>
      </c>
      <c r="C619" s="33" t="n">
        <f aca="false">W7</f>
        <v>36000</v>
      </c>
      <c r="D619" s="33" t="n">
        <f aca="false">AC7</f>
        <v>36000</v>
      </c>
      <c r="E619" s="33" t="n">
        <f aca="false">AI7</f>
        <v>32400</v>
      </c>
      <c r="F619" s="33" t="n">
        <f aca="false">AO7</f>
        <v>39600</v>
      </c>
    </row>
    <row r="620" customFormat="false" ht="12.8" hidden="false" customHeight="false" outlineLevel="0" collapsed="false">
      <c r="A620" s="1" t="str">
        <f aca="false">_xlfn.CONCAT($A$613, ".", A8)</f>
        <v>FL.5.5</v>
      </c>
      <c r="B620" s="5" t="str">
        <f aca="false">_xlfn.CONCAT(B8, ": ", C8)</f>
        <v>Hospitality: Worker</v>
      </c>
      <c r="C620" s="33" t="n">
        <f aca="false">W8</f>
        <v>22475</v>
      </c>
      <c r="D620" s="33" t="n">
        <f aca="false">AC8</f>
        <v>22475</v>
      </c>
      <c r="E620" s="33" t="n">
        <f aca="false">AI8</f>
        <v>20150</v>
      </c>
      <c r="F620" s="33" t="n">
        <f aca="false">AO8</f>
        <v>24800</v>
      </c>
    </row>
    <row r="621" customFormat="false" ht="12.8" hidden="false" customHeight="false" outlineLevel="0" collapsed="false">
      <c r="A621" s="1" t="str">
        <f aca="false">_xlfn.CONCAT($A$613, ".", A9)</f>
        <v>FL.5.6</v>
      </c>
      <c r="B621" s="5" t="str">
        <f aca="false">_xlfn.CONCAT(B9, ": ", C9)</f>
        <v>Hospitality: Support</v>
      </c>
      <c r="C621" s="33" t="n">
        <f aca="false">W9</f>
        <v>20800</v>
      </c>
      <c r="D621" s="33" t="n">
        <f aca="false">AC9</f>
        <v>20800</v>
      </c>
      <c r="E621" s="33" t="n">
        <f aca="false">AI9</f>
        <v>18400</v>
      </c>
      <c r="F621" s="33" t="n">
        <f aca="false">AO9</f>
        <v>23200</v>
      </c>
    </row>
    <row r="622" customFormat="false" ht="12.8" hidden="false" customHeight="false" outlineLevel="0" collapsed="false">
      <c r="A622" s="1" t="str">
        <f aca="false">_xlfn.CONCAT($A$613, ".", A10)</f>
        <v>FL.5.7</v>
      </c>
      <c r="B622" s="5" t="str">
        <f aca="false">_xlfn.CONCAT(B10, ": ", C10)</f>
        <v>Cleaning/Maintenance: Worker</v>
      </c>
      <c r="C622" s="33" t="n">
        <f aca="false">W10</f>
        <v>23200</v>
      </c>
      <c r="D622" s="33" t="n">
        <f aca="false">AC10</f>
        <v>23200</v>
      </c>
      <c r="E622" s="33" t="n">
        <f aca="false">AI10</f>
        <v>20800</v>
      </c>
      <c r="F622" s="33" t="n">
        <f aca="false">AO10</f>
        <v>25600</v>
      </c>
    </row>
    <row r="623" customFormat="false" ht="12.8" hidden="false" customHeight="false" outlineLevel="0" collapsed="false">
      <c r="A623" s="1" t="str">
        <f aca="false">_xlfn.CONCAT($A$613, ".", A11)</f>
        <v>FL.5.8</v>
      </c>
      <c r="B623" s="5" t="str">
        <f aca="false">_xlfn.CONCAT(B11, ": ", C11)</f>
        <v>Cleaning/Maintenance: Support</v>
      </c>
      <c r="C623" s="33" t="n">
        <f aca="false">W11</f>
        <v>20000</v>
      </c>
      <c r="D623" s="33" t="n">
        <f aca="false">AC11</f>
        <v>20000</v>
      </c>
      <c r="E623" s="33" t="n">
        <f aca="false">AI11</f>
        <v>17600</v>
      </c>
      <c r="F623" s="33" t="n">
        <f aca="false">AO11</f>
        <v>22400</v>
      </c>
    </row>
    <row r="624" customFormat="false" ht="12.8" hidden="false" customHeight="false" outlineLevel="0" collapsed="false">
      <c r="A624" s="1" t="str">
        <f aca="false">_xlfn.CONCAT($A$613, ".", A12)</f>
        <v>FL.5.9</v>
      </c>
      <c r="B624" s="5" t="str">
        <f aca="false">_xlfn.CONCAT(B12, ": ", C12)</f>
        <v>Manufacturing: Worker</v>
      </c>
      <c r="C624" s="33" t="n">
        <f aca="false">W12</f>
        <v>42900</v>
      </c>
      <c r="D624" s="33" t="n">
        <f aca="false">AC12</f>
        <v>42900</v>
      </c>
      <c r="E624" s="33" t="n">
        <f aca="false">AI12</f>
        <v>39000</v>
      </c>
      <c r="F624" s="33" t="n">
        <f aca="false">AO12</f>
        <v>46800</v>
      </c>
    </row>
    <row r="625" customFormat="false" ht="12.8" hidden="false" customHeight="false" outlineLevel="0" collapsed="false">
      <c r="A625" s="1" t="str">
        <f aca="false">_xlfn.CONCAT($A$613, ".", A13)</f>
        <v>FL.5.10</v>
      </c>
      <c r="B625" s="5" t="str">
        <f aca="false">_xlfn.CONCAT(B13, ": ", C13)</f>
        <v>Manufacturing: Support</v>
      </c>
      <c r="C625" s="33" t="n">
        <f aca="false">W13</f>
        <v>36000</v>
      </c>
      <c r="D625" s="33" t="n">
        <f aca="false">AC13</f>
        <v>36000</v>
      </c>
      <c r="E625" s="33" t="n">
        <f aca="false">AI13</f>
        <v>32400</v>
      </c>
      <c r="F625" s="33" t="n">
        <f aca="false">AO13</f>
        <v>39600</v>
      </c>
    </row>
    <row r="626" customFormat="false" ht="12.8" hidden="false" customHeight="false" outlineLevel="0" collapsed="false">
      <c r="A626" s="1" t="str">
        <f aca="false">_xlfn.CONCAT($A$613, ".", A14)</f>
        <v>FL.5.11</v>
      </c>
      <c r="B626" s="5" t="str">
        <f aca="false">_xlfn.CONCAT(B14, ": ", C14)</f>
        <v>Transportation &amp; Warehousing: Worker</v>
      </c>
      <c r="C626" s="33" t="n">
        <f aca="false">W14</f>
        <v>46800</v>
      </c>
      <c r="D626" s="33" t="n">
        <f aca="false">AC14</f>
        <v>46800</v>
      </c>
      <c r="E626" s="33" t="n">
        <f aca="false">AI14</f>
        <v>42900</v>
      </c>
      <c r="F626" s="33" t="n">
        <f aca="false">AO14</f>
        <v>50700</v>
      </c>
    </row>
    <row r="627" customFormat="false" ht="12.8" hidden="false" customHeight="false" outlineLevel="0" collapsed="false">
      <c r="A627" s="1" t="str">
        <f aca="false">_xlfn.CONCAT($A$613, ".", A15)</f>
        <v>FL.5.12</v>
      </c>
      <c r="B627" s="5" t="str">
        <f aca="false">_xlfn.CONCAT(B15, ": ", C15)</f>
        <v>Transportation &amp; Warehousing: Support</v>
      </c>
      <c r="C627" s="33" t="n">
        <f aca="false">W15</f>
        <v>39600</v>
      </c>
      <c r="D627" s="33" t="n">
        <f aca="false">AC15</f>
        <v>39600</v>
      </c>
      <c r="E627" s="33" t="n">
        <f aca="false">AI15</f>
        <v>36000</v>
      </c>
      <c r="F627" s="33" t="n">
        <f aca="false">AO15</f>
        <v>43200</v>
      </c>
    </row>
    <row r="628" customFormat="false" ht="12.8" hidden="false" customHeight="false" outlineLevel="0" collapsed="false">
      <c r="A628" s="1" t="str">
        <f aca="false">_xlfn.CONCAT($A$613, ".", A16)</f>
        <v>FL.5.13</v>
      </c>
      <c r="B628" s="5" t="str">
        <f aca="false">_xlfn.CONCAT(B16, ": ", C16)</f>
        <v>Retail Trade: Worker</v>
      </c>
      <c r="C628" s="33" t="n">
        <f aca="false">W16</f>
        <v>25500</v>
      </c>
      <c r="D628" s="33" t="n">
        <f aca="false">AC16</f>
        <v>25500</v>
      </c>
      <c r="E628" s="33" t="n">
        <f aca="false">AI16</f>
        <v>22950</v>
      </c>
      <c r="F628" s="33" t="n">
        <f aca="false">AO16</f>
        <v>28900</v>
      </c>
    </row>
    <row r="629" customFormat="false" ht="12.8" hidden="false" customHeight="false" outlineLevel="0" collapsed="false">
      <c r="A629" s="1" t="str">
        <f aca="false">_xlfn.CONCAT($A$613, ".", A17)</f>
        <v>FL.5.14</v>
      </c>
      <c r="B629" s="5" t="str">
        <f aca="false">_xlfn.CONCAT(B17, ": ", C17)</f>
        <v>Retail Trade: Support</v>
      </c>
      <c r="C629" s="33" t="n">
        <f aca="false">W17</f>
        <v>22950</v>
      </c>
      <c r="D629" s="33" t="n">
        <f aca="false">AC17</f>
        <v>22950</v>
      </c>
      <c r="E629" s="33" t="n">
        <f aca="false">AI17</f>
        <v>20400</v>
      </c>
      <c r="F629" s="33" t="n">
        <f aca="false">AO17</f>
        <v>25500</v>
      </c>
    </row>
    <row r="630" customFormat="false" ht="12.8" hidden="false" customHeight="false" outlineLevel="0" collapsed="false">
      <c r="A630" s="1" t="str">
        <f aca="false">_xlfn.CONCAT($A$613, ".", A18)</f>
        <v>FL.5.15</v>
      </c>
      <c r="B630" s="5" t="str">
        <f aca="false">_xlfn.CONCAT(B18, ": ", C18)</f>
        <v>Landscaping / Groundskeeping: Worker</v>
      </c>
      <c r="C630" s="33" t="n">
        <f aca="false">W18</f>
        <v>29700</v>
      </c>
      <c r="D630" s="33" t="n">
        <f aca="false">AC18</f>
        <v>29700</v>
      </c>
      <c r="E630" s="33" t="n">
        <f aca="false">AI18</f>
        <v>27225</v>
      </c>
      <c r="F630" s="33" t="n">
        <f aca="false">AO18</f>
        <v>33000</v>
      </c>
    </row>
    <row r="631" customFormat="false" ht="12.8" hidden="false" customHeight="false" outlineLevel="0" collapsed="false">
      <c r="A631" s="1" t="str">
        <f aca="false">_xlfn.CONCAT($A$613, ".", A19)</f>
        <v>FL.5.16</v>
      </c>
      <c r="B631" s="5" t="str">
        <f aca="false">_xlfn.CONCAT(B19, ": ", C19)</f>
        <v>Landscaping / Groundskeeping: Support</v>
      </c>
      <c r="C631" s="33" t="n">
        <f aca="false">W19</f>
        <v>26400</v>
      </c>
      <c r="D631" s="33" t="n">
        <f aca="false">AC19</f>
        <v>26400</v>
      </c>
      <c r="E631" s="33" t="n">
        <f aca="false">AI19</f>
        <v>23925</v>
      </c>
      <c r="F631" s="33" t="n">
        <f aca="false">AO19</f>
        <v>29700</v>
      </c>
    </row>
    <row r="632" customFormat="false" ht="12.8" hidden="false" customHeight="false" outlineLevel="0" collapsed="false">
      <c r="A632" s="1" t="str">
        <f aca="false">_xlfn.CONCAT($A$613, ".", A20)</f>
        <v>FL.5.17</v>
      </c>
      <c r="B632" s="5" t="str">
        <f aca="false">_xlfn.CONCAT(B20, ": ", C20)</f>
        <v>Automotive &amp; Repair: Worker</v>
      </c>
      <c r="C632" s="33" t="n">
        <f aca="false">W20</f>
        <v>36000</v>
      </c>
      <c r="D632" s="33" t="n">
        <f aca="false">AC20</f>
        <v>36000</v>
      </c>
      <c r="E632" s="33" t="n">
        <f aca="false">AI20</f>
        <v>32400</v>
      </c>
      <c r="F632" s="33" t="n">
        <f aca="false">AO20</f>
        <v>39600</v>
      </c>
    </row>
    <row r="633" customFormat="false" ht="12.8" hidden="false" customHeight="false" outlineLevel="0" collapsed="false">
      <c r="A633" s="1" t="str">
        <f aca="false">_xlfn.CONCAT($A$613, ".", A21)</f>
        <v>FL.5.18</v>
      </c>
      <c r="B633" s="5" t="str">
        <f aca="false">_xlfn.CONCAT(B21, ": ", C21)</f>
        <v>Automotive &amp; Repair: Support</v>
      </c>
      <c r="C633" s="33" t="n">
        <f aca="false">W21</f>
        <v>32400</v>
      </c>
      <c r="D633" s="33" t="n">
        <f aca="false">AC21</f>
        <v>32400</v>
      </c>
      <c r="E633" s="33" t="n">
        <f aca="false">AI21</f>
        <v>28800</v>
      </c>
      <c r="F633" s="33" t="n">
        <f aca="false">AO21</f>
        <v>36000</v>
      </c>
    </row>
    <row r="634" customFormat="false" ht="12.8" hidden="false" customHeight="false" outlineLevel="0" collapsed="false">
      <c r="A634" s="1" t="str">
        <f aca="false">_xlfn.CONCAT($A$613, ".", A22)</f>
        <v>FL.5.19</v>
      </c>
      <c r="B634" s="5" t="str">
        <f aca="false">_xlfn.CONCAT(B22, ": ", C22)</f>
        <v>Other Services: Worker</v>
      </c>
      <c r="C634" s="33" t="n">
        <f aca="false">W22</f>
        <v>36000</v>
      </c>
      <c r="D634" s="33" t="n">
        <f aca="false">AC22</f>
        <v>36000</v>
      </c>
      <c r="E634" s="33" t="n">
        <f aca="false">AI22</f>
        <v>32400</v>
      </c>
      <c r="F634" s="33" t="n">
        <f aca="false">AO22</f>
        <v>39600</v>
      </c>
    </row>
    <row r="635" customFormat="false" ht="12.8" hidden="false" customHeight="false" outlineLevel="0" collapsed="false">
      <c r="A635" s="1" t="str">
        <f aca="false">_xlfn.CONCAT($A$613, ".", A23)</f>
        <v>FL.5.20</v>
      </c>
      <c r="B635" s="5" t="str">
        <f aca="false">_xlfn.CONCAT(B23, ": ", C23)</f>
        <v>Other Services: Support</v>
      </c>
      <c r="C635" s="33" t="n">
        <f aca="false">W23</f>
        <v>32400</v>
      </c>
      <c r="D635" s="33" t="n">
        <f aca="false">AC23</f>
        <v>32400</v>
      </c>
      <c r="E635" s="33" t="n">
        <f aca="false">AI23</f>
        <v>28800</v>
      </c>
      <c r="F635" s="33" t="n">
        <f aca="false">AO23</f>
        <v>36000</v>
      </c>
    </row>
    <row r="731" customFormat="false" ht="12.8" hidden="false" customHeight="false" outlineLevel="0" collapsed="false">
      <c r="A731" s="4" t="s">
        <v>175</v>
      </c>
      <c r="B731" s="27" t="s">
        <v>168</v>
      </c>
      <c r="C731" s="29" t="s">
        <v>157</v>
      </c>
    </row>
    <row r="732" customFormat="false" ht="46.25" hidden="false" customHeight="false" outlineLevel="0" collapsed="false">
      <c r="A732" s="4" t="s">
        <v>15</v>
      </c>
      <c r="B732" s="4" t="str">
        <f aca="false">_xlfn.CONCAT(B2, ": ", C2)</f>
        <v>Industry: Role</v>
      </c>
      <c r="C732" s="24" t="str">
        <f aca="false">AR2</f>
        <v>Federal Personal Income Tax Revenue ($)</v>
      </c>
      <c r="D732" s="24" t="str">
        <f aca="false">AS2</f>
        <v>Authorized Immigrant Federal Personal Income Tax Revenue ($)</v>
      </c>
      <c r="E732" s="24" t="str">
        <f aca="false">AT2</f>
        <v>Unauthorized Immigrant Federal Personal Income Tax Revenue ($)</v>
      </c>
      <c r="F732" s="24" t="str">
        <f aca="false">AU2</f>
        <v>American Federal Personal Income Tax Revenue ($)</v>
      </c>
    </row>
    <row r="733" customFormat="false" ht="12.8" hidden="false" customHeight="false" outlineLevel="0" collapsed="false">
      <c r="A733" s="5" t="str">
        <f aca="false">_xlfn.CONCAT($A$731, ".", A3)</f>
        <v>FL.6.0</v>
      </c>
      <c r="B733" s="5" t="str">
        <f aca="false">_xlfn.CONCAT(B3, ": ", C3)</f>
        <v>All Industries: All Roles</v>
      </c>
      <c r="C733" s="24" t="n">
        <f aca="false">AR3</f>
        <v>-27651434313</v>
      </c>
      <c r="D733" s="24" t="n">
        <f aca="false">AS3</f>
        <v>-1214415874</v>
      </c>
      <c r="E733" s="24" t="n">
        <f aca="false">AT3</f>
        <v>78108624</v>
      </c>
      <c r="F733" s="24" t="n">
        <f aca="false">AU3</f>
        <v>-26525112763</v>
      </c>
    </row>
    <row r="734" customFormat="false" ht="12.8" hidden="false" customHeight="false" outlineLevel="0" collapsed="false">
      <c r="A734" s="5" t="str">
        <f aca="false">_xlfn.CONCAT($A$731, ".", A4)</f>
        <v>FL.6.1</v>
      </c>
      <c r="B734" s="5" t="str">
        <f aca="false">_xlfn.CONCAT(B4, ": ", C4)</f>
        <v>Agriculture: Worker</v>
      </c>
      <c r="C734" s="24" t="n">
        <f aca="false">AR4</f>
        <v>296357</v>
      </c>
      <c r="D734" s="24" t="n">
        <f aca="false">AS4</f>
        <v>-457561</v>
      </c>
      <c r="E734" s="24" t="n">
        <f aca="false">AT4</f>
        <v>561813</v>
      </c>
      <c r="F734" s="24" t="n">
        <f aca="false">AU4</f>
        <v>-181095</v>
      </c>
    </row>
    <row r="735" customFormat="false" ht="12.8" hidden="false" customHeight="false" outlineLevel="0" collapsed="false">
      <c r="A735" s="5" t="str">
        <f aca="false">_xlfn.CONCAT($A$731, ".", A5)</f>
        <v>FL.6.2</v>
      </c>
      <c r="B735" s="5" t="str">
        <f aca="false">_xlfn.CONCAT(B5, ": ", C5)</f>
        <v>Agriculture: Support</v>
      </c>
      <c r="C735" s="24" t="n">
        <f aca="false">AR5</f>
        <v>93395</v>
      </c>
      <c r="D735" s="24" t="n">
        <f aca="false">AS5</f>
        <v>-169247</v>
      </c>
      <c r="E735" s="24" t="n">
        <f aca="false">AT5</f>
        <v>9938000</v>
      </c>
      <c r="F735" s="24" t="n">
        <f aca="false">AU5</f>
        <v>1242000</v>
      </c>
    </row>
    <row r="736" customFormat="false" ht="12.8" hidden="false" customHeight="false" outlineLevel="0" collapsed="false">
      <c r="A736" s="5" t="str">
        <f aca="false">_xlfn.CONCAT($A$731, ".", A6)</f>
        <v>FL.6.3</v>
      </c>
      <c r="B736" s="5" t="str">
        <f aca="false">_xlfn.CONCAT(B6, ": ", C6)</f>
        <v>Construction: Worker</v>
      </c>
      <c r="C736" s="24" t="n">
        <f aca="false">AR6</f>
        <v>21406000</v>
      </c>
      <c r="D736" s="24" t="n">
        <f aca="false">AS6</f>
        <v>2137000</v>
      </c>
      <c r="E736" s="24" t="n">
        <f aca="false">AT6</f>
        <v>5391000</v>
      </c>
      <c r="F736" s="24" t="n">
        <f aca="false">AU6</f>
        <v>13878000</v>
      </c>
    </row>
    <row r="737" customFormat="false" ht="12.8" hidden="false" customHeight="false" outlineLevel="0" collapsed="false">
      <c r="A737" s="5" t="str">
        <f aca="false">_xlfn.CONCAT($A$731, ".", A7)</f>
        <v>FL.6.4</v>
      </c>
      <c r="B737" s="5" t="str">
        <f aca="false">_xlfn.CONCAT(B7, ": ", C7)</f>
        <v>Construction: Support</v>
      </c>
      <c r="C737" s="24" t="n">
        <f aca="false">AR7</f>
        <v>5389000</v>
      </c>
      <c r="D737" s="24" t="n">
        <f aca="false">AS7</f>
        <v>223000</v>
      </c>
      <c r="E737" s="24" t="n">
        <f aca="false">AT7</f>
        <v>2001000</v>
      </c>
      <c r="F737" s="24" t="n">
        <f aca="false">AU7</f>
        <v>3165000</v>
      </c>
    </row>
    <row r="738" customFormat="false" ht="12.8" hidden="false" customHeight="false" outlineLevel="0" collapsed="false">
      <c r="A738" s="5" t="str">
        <f aca="false">_xlfn.CONCAT($A$731, ".", A8)</f>
        <v>FL.6.5</v>
      </c>
      <c r="B738" s="5" t="str">
        <f aca="false">_xlfn.CONCAT(B8, ": ", C8)</f>
        <v>Hospitality: Worker</v>
      </c>
      <c r="C738" s="24" t="n">
        <f aca="false">AR8</f>
        <v>-44860000</v>
      </c>
      <c r="D738" s="24" t="n">
        <f aca="false">AS8</f>
        <v>-9675000</v>
      </c>
      <c r="E738" s="24" t="n">
        <f aca="false">AT8</f>
        <v>1945000</v>
      </c>
      <c r="F738" s="24" t="n">
        <f aca="false">AU8</f>
        <v>-37130000</v>
      </c>
    </row>
    <row r="739" customFormat="false" ht="12.8" hidden="false" customHeight="false" outlineLevel="0" collapsed="false">
      <c r="A739" s="5" t="str">
        <f aca="false">_xlfn.CONCAT($A$731, ".", A9)</f>
        <v>FL.6.6</v>
      </c>
      <c r="B739" s="5" t="str">
        <f aca="false">_xlfn.CONCAT(B9, ": ", C9)</f>
        <v>Hospitality: Support</v>
      </c>
      <c r="C739" s="24" t="n">
        <f aca="false">AR9</f>
        <v>-28094000</v>
      </c>
      <c r="D739" s="24" t="n">
        <f aca="false">AS9</f>
        <v>-5831000</v>
      </c>
      <c r="E739" s="24" t="n">
        <f aca="false">AT9</f>
        <v>420000</v>
      </c>
      <c r="F739" s="24" t="n">
        <f aca="false">AU9</f>
        <v>-22683000</v>
      </c>
    </row>
    <row r="740" customFormat="false" ht="12.8" hidden="false" customHeight="false" outlineLevel="0" collapsed="false">
      <c r="A740" s="5" t="str">
        <f aca="false">_xlfn.CONCAT($A$731, ".", A10)</f>
        <v>FL.6.7</v>
      </c>
      <c r="B740" s="5" t="str">
        <f aca="false">_xlfn.CONCAT(B10, ": ", C10)</f>
        <v>Cleaning/Maintenance: Worker</v>
      </c>
      <c r="C740" s="24" t="n">
        <f aca="false">AR10</f>
        <v>-15004000</v>
      </c>
      <c r="D740" s="24" t="n">
        <f aca="false">AS10</f>
        <v>-4111000</v>
      </c>
      <c r="E740" s="24" t="n">
        <f aca="false">AT10</f>
        <v>1706000</v>
      </c>
      <c r="F740" s="24" t="n">
        <f aca="false">AU10</f>
        <v>-12599000</v>
      </c>
    </row>
    <row r="741" customFormat="false" ht="12.8" hidden="false" customHeight="false" outlineLevel="0" collapsed="false">
      <c r="A741" s="5" t="str">
        <f aca="false">_xlfn.CONCAT($A$731, ".", A11)</f>
        <v>FL.6.8</v>
      </c>
      <c r="B741" s="5" t="str">
        <f aca="false">_xlfn.CONCAT(B11, ": ", C11)</f>
        <v>Cleaning/Maintenance: Support</v>
      </c>
      <c r="C741" s="24" t="n">
        <f aca="false">AR11</f>
        <v>-11397000</v>
      </c>
      <c r="D741" s="24" t="n">
        <f aca="false">AS11</f>
        <v>-2792000</v>
      </c>
      <c r="E741" s="24" t="n">
        <f aca="false">AT11</f>
        <v>354000</v>
      </c>
      <c r="F741" s="24" t="n">
        <f aca="false">AU11</f>
        <v>-8959000</v>
      </c>
    </row>
    <row r="742" customFormat="false" ht="12.8" hidden="false" customHeight="false" outlineLevel="0" collapsed="false">
      <c r="A742" s="5" t="str">
        <f aca="false">_xlfn.CONCAT($A$731, ".", A12)</f>
        <v>FL.6.9</v>
      </c>
      <c r="B742" s="5" t="str">
        <f aca="false">_xlfn.CONCAT(B12, ": ", C12)</f>
        <v>Manufacturing: Worker</v>
      </c>
      <c r="C742" s="24" t="n">
        <f aca="false">AR12</f>
        <v>60510000</v>
      </c>
      <c r="D742" s="24" t="n">
        <f aca="false">AS12</f>
        <v>6180000</v>
      </c>
      <c r="E742" s="24" t="n">
        <f aca="false">AT12</f>
        <v>7721000</v>
      </c>
      <c r="F742" s="24" t="n">
        <f aca="false">AU12</f>
        <v>46609000</v>
      </c>
    </row>
    <row r="743" customFormat="false" ht="12.8" hidden="false" customHeight="false" outlineLevel="0" collapsed="false">
      <c r="A743" s="5" t="str">
        <f aca="false">_xlfn.CONCAT($A$731, ".", A13)</f>
        <v>FL.6.10</v>
      </c>
      <c r="B743" s="5" t="str">
        <f aca="false">_xlfn.CONCAT(B13, ": ", C13)</f>
        <v>Manufacturing: Support</v>
      </c>
      <c r="C743" s="24" t="n">
        <f aca="false">AR13</f>
        <v>14145000</v>
      </c>
      <c r="D743" s="24" t="n">
        <f aca="false">AS13</f>
        <v>649000</v>
      </c>
      <c r="E743" s="24" t="n">
        <f aca="false">AT13</f>
        <v>2876000</v>
      </c>
      <c r="F743" s="24" t="n">
        <f aca="false">AU13</f>
        <v>10620000</v>
      </c>
    </row>
    <row r="744" customFormat="false" ht="12.8" hidden="false" customHeight="false" outlineLevel="0" collapsed="false">
      <c r="A744" s="5" t="str">
        <f aca="false">_xlfn.CONCAT($A$731, ".", A14)</f>
        <v>FL.6.11</v>
      </c>
      <c r="B744" s="5" t="str">
        <f aca="false">_xlfn.CONCAT(B14, ": ", C14)</f>
        <v>Transportation &amp; Warehousing: Worker</v>
      </c>
      <c r="C744" s="24" t="n">
        <f aca="false">AR14</f>
        <v>58006000</v>
      </c>
      <c r="D744" s="24" t="n">
        <f aca="false">AS14</f>
        <v>7522000</v>
      </c>
      <c r="E744" s="24" t="n">
        <f aca="false">AT14</f>
        <v>7400000</v>
      </c>
      <c r="F744" s="24" t="n">
        <f aca="false">AU14</f>
        <v>43084000</v>
      </c>
    </row>
    <row r="745" customFormat="false" ht="12.8" hidden="false" customHeight="false" outlineLevel="0" collapsed="false">
      <c r="A745" s="5" t="str">
        <f aca="false">_xlfn.CONCAT($A$731, ".", A15)</f>
        <v>FL.6.12</v>
      </c>
      <c r="B745" s="5" t="str">
        <f aca="false">_xlfn.CONCAT(B15, ": ", C15)</f>
        <v>Transportation &amp; Warehousing: Support</v>
      </c>
      <c r="C745" s="24" t="n">
        <f aca="false">AR15</f>
        <v>17210000</v>
      </c>
      <c r="D745" s="24" t="n">
        <f aca="false">AS15</f>
        <v>1713000</v>
      </c>
      <c r="E745" s="24" t="n">
        <f aca="false">AT15</f>
        <v>2897000</v>
      </c>
      <c r="F745" s="24" t="n">
        <f aca="false">AU15</f>
        <v>12600000</v>
      </c>
    </row>
    <row r="746" customFormat="false" ht="12.8" hidden="false" customHeight="false" outlineLevel="0" collapsed="false">
      <c r="A746" s="5" t="str">
        <f aca="false">_xlfn.CONCAT($A$731, ".", A16)</f>
        <v>FL.6.13</v>
      </c>
      <c r="B746" s="5" t="str">
        <f aca="false">_xlfn.CONCAT(B16, ": ", C16)</f>
        <v>Retail Trade: Worker</v>
      </c>
      <c r="C746" s="24" t="n">
        <f aca="false">AR16</f>
        <v>-26760000</v>
      </c>
      <c r="D746" s="24" t="n">
        <f aca="false">AS16</f>
        <v>-4203000</v>
      </c>
      <c r="E746" s="24" t="n">
        <f aca="false">AT16</f>
        <v>1527000</v>
      </c>
      <c r="F746" s="24" t="n">
        <f aca="false">AU16</f>
        <v>-24084000</v>
      </c>
    </row>
    <row r="747" customFormat="false" ht="12.8" hidden="false" customHeight="false" outlineLevel="0" collapsed="false">
      <c r="A747" s="5" t="str">
        <f aca="false">_xlfn.CONCAT($A$731, ".", A17)</f>
        <v>FL.6.14</v>
      </c>
      <c r="B747" s="5" t="str">
        <f aca="false">_xlfn.CONCAT(B17, ": ", C17)</f>
        <v>Retail Trade: Support</v>
      </c>
      <c r="C747" s="24" t="n">
        <f aca="false">AR17</f>
        <v>-22425000</v>
      </c>
      <c r="D747" s="24" t="n">
        <f aca="false">AS17</f>
        <v>-2836000</v>
      </c>
      <c r="E747" s="24" t="n">
        <f aca="false">AT17</f>
        <v>538000</v>
      </c>
      <c r="F747" s="24" t="n">
        <f aca="false">AU17</f>
        <v>-20127000</v>
      </c>
    </row>
    <row r="748" customFormat="false" ht="12.8" hidden="false" customHeight="false" outlineLevel="0" collapsed="false">
      <c r="A748" s="5" t="str">
        <f aca="false">_xlfn.CONCAT($A$731, ".", A18)</f>
        <v>FL.6.15</v>
      </c>
      <c r="B748" s="5" t="str">
        <f aca="false">_xlfn.CONCAT(B18, ": ", C18)</f>
        <v>Landscaping / Groundskeeping: Worker</v>
      </c>
      <c r="C748" s="24" t="n">
        <f aca="false">AR18</f>
        <v>-329000</v>
      </c>
      <c r="D748" s="24" t="n">
        <f aca="false">AS18</f>
        <v>-1300000</v>
      </c>
      <c r="E748" s="24" t="n">
        <f aca="false">AT18</f>
        <v>2717000</v>
      </c>
      <c r="F748" s="24" t="n">
        <f aca="false">AU18</f>
        <v>-1746000</v>
      </c>
    </row>
    <row r="749" customFormat="false" ht="12.8" hidden="false" customHeight="false" outlineLevel="0" collapsed="false">
      <c r="A749" s="5" t="str">
        <f aca="false">_xlfn.CONCAT($A$731, ".", A19)</f>
        <v>FL.6.16</v>
      </c>
      <c r="B749" s="5" t="str">
        <f aca="false">_xlfn.CONCAT(B19, ": ", C19)</f>
        <v>Landscaping / Groundskeeping: Support</v>
      </c>
      <c r="C749" s="24" t="n">
        <f aca="false">AR19</f>
        <v>-3384000</v>
      </c>
      <c r="D749" s="24" t="n">
        <f aca="false">AS19</f>
        <v>-1161000</v>
      </c>
      <c r="E749" s="24" t="n">
        <f aca="false">AT19</f>
        <v>1051000</v>
      </c>
      <c r="F749" s="24" t="n">
        <f aca="false">AU19</f>
        <v>-3274000</v>
      </c>
    </row>
    <row r="750" customFormat="false" ht="12.8" hidden="false" customHeight="false" outlineLevel="0" collapsed="false">
      <c r="A750" s="5" t="str">
        <f aca="false">_xlfn.CONCAT($A$731, ".", A20)</f>
        <v>FL.6.17</v>
      </c>
      <c r="B750" s="5" t="str">
        <f aca="false">_xlfn.CONCAT(B20, ": ", C20)</f>
        <v>Automotive &amp; Repair: Worker</v>
      </c>
      <c r="C750" s="24" t="n">
        <f aca="false">AR20</f>
        <v>7610000</v>
      </c>
      <c r="D750" s="24" t="n">
        <f aca="false">AS20</f>
        <v>976000</v>
      </c>
      <c r="E750" s="24" t="n">
        <f aca="false">AT20</f>
        <v>327000</v>
      </c>
      <c r="F750" s="24" t="n">
        <f aca="false">AU20</f>
        <v>6307000</v>
      </c>
    </row>
    <row r="751" customFormat="false" ht="12.8" hidden="false" customHeight="false" outlineLevel="0" collapsed="false">
      <c r="A751" s="5" t="str">
        <f aca="false">_xlfn.CONCAT($A$731, ".", A21)</f>
        <v>FL.6.18</v>
      </c>
      <c r="B751" s="5" t="str">
        <f aca="false">_xlfn.CONCAT(B21, ": ", C21)</f>
        <v>Automotive &amp; Repair: Support</v>
      </c>
      <c r="C751" s="24" t="n">
        <f aca="false">AR21</f>
        <v>3278000</v>
      </c>
      <c r="D751" s="24" t="n">
        <f aca="false">AS21</f>
        <v>438000</v>
      </c>
      <c r="E751" s="24" t="n">
        <f aca="false">AT21</f>
        <v>140000</v>
      </c>
      <c r="F751" s="24" t="n">
        <f aca="false">AU21</f>
        <v>2700000</v>
      </c>
    </row>
    <row r="752" customFormat="false" ht="12.8" hidden="false" customHeight="false" outlineLevel="0" collapsed="false">
      <c r="A752" s="5" t="str">
        <f aca="false">_xlfn.CONCAT($A$731, ".", A22)</f>
        <v>FL.6.19</v>
      </c>
      <c r="B752" s="5" t="str">
        <f aca="false">_xlfn.CONCAT(B22, ": ", C22)</f>
        <v>Other Services: Worker</v>
      </c>
      <c r="C752" s="24" t="n">
        <f aca="false">AR22</f>
        <v>22046000</v>
      </c>
      <c r="D752" s="24" t="n">
        <f aca="false">AS22</f>
        <v>2160000</v>
      </c>
      <c r="E752" s="24" t="n">
        <f aca="false">AT22</f>
        <v>941000</v>
      </c>
      <c r="F752" s="24" t="n">
        <f aca="false">AU22</f>
        <v>18945000</v>
      </c>
    </row>
    <row r="753" customFormat="false" ht="12.8" hidden="false" customHeight="false" outlineLevel="0" collapsed="false">
      <c r="A753" s="5" t="str">
        <f aca="false">_xlfn.CONCAT($A$731, ".", A23)</f>
        <v>FL.6.20</v>
      </c>
      <c r="B753" s="5" t="str">
        <f aca="false">_xlfn.CONCAT(B23, ": ", C23)</f>
        <v>Other Services: Support</v>
      </c>
      <c r="C753" s="24" t="n">
        <f aca="false">AR23</f>
        <v>9893000</v>
      </c>
      <c r="D753" s="24" t="n">
        <f aca="false">AS23</f>
        <v>973000</v>
      </c>
      <c r="E753" s="24" t="n">
        <f aca="false">AT23</f>
        <v>400000</v>
      </c>
      <c r="F753" s="24" t="n">
        <f aca="false">AU23</f>
        <v>8520000</v>
      </c>
    </row>
    <row r="754" customFormat="false" ht="12.8" hidden="false" customHeight="false" outlineLevel="0" collapsed="false">
      <c r="A754" s="5"/>
      <c r="B754" s="5"/>
      <c r="C754" s="24"/>
      <c r="D754" s="24"/>
      <c r="E754" s="24"/>
      <c r="F754" s="24"/>
    </row>
    <row r="755" customFormat="false" ht="12.8" hidden="false" customHeight="false" outlineLevel="0" collapsed="false">
      <c r="A755" s="5"/>
      <c r="B755" s="5"/>
      <c r="C755" s="24"/>
      <c r="D755" s="24"/>
      <c r="E755" s="24"/>
      <c r="F755" s="24"/>
    </row>
    <row r="847" customFormat="false" ht="12.8" hidden="false" customHeight="false" outlineLevel="0" collapsed="false">
      <c r="A847" s="4" t="s">
        <v>175</v>
      </c>
      <c r="B847" s="27" t="s">
        <v>168</v>
      </c>
      <c r="C847" s="29" t="s">
        <v>157</v>
      </c>
    </row>
    <row r="848" customFormat="false" ht="35.05" hidden="false" customHeight="false" outlineLevel="0" collapsed="false">
      <c r="A848" s="4" t="s">
        <v>15</v>
      </c>
      <c r="B848" s="4" t="str">
        <f aca="false">_xlfn.CONCAT(B2, ": ", C2)</f>
        <v>Industry: Role</v>
      </c>
      <c r="C848" s="24" t="str">
        <f aca="false">AV2</f>
        <v>Payroll Tax Revenue ($)</v>
      </c>
      <c r="D848" s="24" t="str">
        <f aca="false">AW2</f>
        <v>Authorized Immigrant Payroll Tax Revenue ($)</v>
      </c>
      <c r="E848" s="24" t="str">
        <f aca="false">AX2</f>
        <v>Unauthorized Immigrant Payroll Tax Revenue ($)</v>
      </c>
      <c r="F848" s="24" t="str">
        <f aca="false">AY2</f>
        <v>American Payroll Tax Revenue ($)</v>
      </c>
    </row>
    <row r="849" customFormat="false" ht="12.8" hidden="false" customHeight="false" outlineLevel="0" collapsed="false">
      <c r="A849" s="5" t="str">
        <f aca="false">_xlfn.CONCAT($A$731, ".", A3)</f>
        <v>FL.6.0</v>
      </c>
      <c r="B849" s="5" t="str">
        <f aca="false">_xlfn.CONCAT(B3, ": ", C3)</f>
        <v>All Industries: All Roles</v>
      </c>
      <c r="C849" s="24" t="n">
        <f aca="false">AV3</f>
        <v>84207777984</v>
      </c>
      <c r="D849" s="24" t="n">
        <f aca="false">AW3</f>
        <v>1823078377</v>
      </c>
      <c r="E849" s="24" t="n">
        <f aca="false">AX3</f>
        <v>1033454494</v>
      </c>
      <c r="F849" s="24" t="n">
        <f aca="false">AY3</f>
        <v>81351425113</v>
      </c>
    </row>
    <row r="850" customFormat="false" ht="12.8" hidden="false" customHeight="false" outlineLevel="0" collapsed="false">
      <c r="A850" s="5" t="str">
        <f aca="false">_xlfn.CONCAT($A$731, ".", A4)</f>
        <v>FL.6.1</v>
      </c>
      <c r="B850" s="5" t="str">
        <f aca="false">_xlfn.CONCAT(B4, ": ", C4)</f>
        <v>Agriculture: Worker</v>
      </c>
      <c r="C850" s="24" t="n">
        <f aca="false">AV4</f>
        <v>18531000</v>
      </c>
      <c r="D850" s="24" t="n">
        <f aca="false">AW4</f>
        <v>227000</v>
      </c>
      <c r="E850" s="24" t="n">
        <f aca="false">AX4</f>
        <v>11515000</v>
      </c>
      <c r="F850" s="24" t="n">
        <f aca="false">AY4</f>
        <v>6223000</v>
      </c>
    </row>
    <row r="851" customFormat="false" ht="12.8" hidden="false" customHeight="false" outlineLevel="0" collapsed="false">
      <c r="A851" s="5" t="str">
        <f aca="false">_xlfn.CONCAT($A$731, ".", A5)</f>
        <v>FL.6.2</v>
      </c>
      <c r="B851" s="5" t="str">
        <f aca="false">_xlfn.CONCAT(B5, ": ", C5)</f>
        <v>Agriculture: Support</v>
      </c>
      <c r="C851" s="24" t="n">
        <f aca="false">AV5</f>
        <v>1220000</v>
      </c>
      <c r="D851" s="24" t="n">
        <f aca="false">AW5</f>
        <v>6476000</v>
      </c>
      <c r="E851" s="24" t="n">
        <f aca="false">AX5</f>
        <v>162870</v>
      </c>
      <c r="F851" s="24" t="n">
        <f aca="false">AY5</f>
        <v>820861</v>
      </c>
    </row>
    <row r="852" customFormat="false" ht="12.8" hidden="false" customHeight="false" outlineLevel="0" collapsed="false">
      <c r="A852" s="5" t="str">
        <f aca="false">_xlfn.CONCAT($A$731, ".", A6)</f>
        <v>FL.6.3</v>
      </c>
      <c r="B852" s="5" t="str">
        <f aca="false">_xlfn.CONCAT(B6, ": ", C6)</f>
        <v>Construction: Worker</v>
      </c>
      <c r="C852" s="24" t="n">
        <f aca="false">AV6</f>
        <v>92634000</v>
      </c>
      <c r="D852" s="24" t="n">
        <f aca="false">AW6</f>
        <v>13605000</v>
      </c>
      <c r="E852" s="24" t="n">
        <f aca="false">AX6</f>
        <v>12523000</v>
      </c>
      <c r="F852" s="24" t="n">
        <f aca="false">AY6</f>
        <v>66506000</v>
      </c>
    </row>
    <row r="853" customFormat="false" ht="12.8" hidden="false" customHeight="false" outlineLevel="0" collapsed="false">
      <c r="A853" s="5" t="str">
        <f aca="false">_xlfn.CONCAT($A$731, ".", A7)</f>
        <v>FL.6.4</v>
      </c>
      <c r="B853" s="5" t="str">
        <f aca="false">_xlfn.CONCAT(B7, ": ", C7)</f>
        <v>Construction: Support</v>
      </c>
      <c r="C853" s="24" t="n">
        <f aca="false">AV7</f>
        <v>42102000</v>
      </c>
      <c r="D853" s="24" t="n">
        <f aca="false">AW7</f>
        <v>6158000</v>
      </c>
      <c r="E853" s="24" t="n">
        <f aca="false">AX7</f>
        <v>5605000</v>
      </c>
      <c r="F853" s="24" t="n">
        <f aca="false">AY7</f>
        <v>30339000</v>
      </c>
    </row>
    <row r="854" customFormat="false" ht="12.8" hidden="false" customHeight="false" outlineLevel="0" collapsed="false">
      <c r="A854" s="5" t="str">
        <f aca="false">_xlfn.CONCAT($A$731, ".", A8)</f>
        <v>FL.6.5</v>
      </c>
      <c r="B854" s="5" t="str">
        <f aca="false">_xlfn.CONCAT(B8, ": ", C8)</f>
        <v>Hospitality: Worker</v>
      </c>
      <c r="C854" s="24" t="n">
        <f aca="false">AV8</f>
        <v>146448000</v>
      </c>
      <c r="D854" s="24" t="n">
        <f aca="false">AW8</f>
        <v>21078000</v>
      </c>
      <c r="E854" s="24" t="n">
        <f aca="false">AX8</f>
        <v>18457000</v>
      </c>
      <c r="F854" s="24" t="n">
        <f aca="false">AY8</f>
        <v>106913000</v>
      </c>
    </row>
    <row r="855" customFormat="false" ht="12.8" hidden="false" customHeight="false" outlineLevel="0" collapsed="false">
      <c r="A855" s="5" t="str">
        <f aca="false">_xlfn.CONCAT($A$731, ".", A9)</f>
        <v>FL.6.6</v>
      </c>
      <c r="B855" s="5" t="str">
        <f aca="false">_xlfn.CONCAT(B9, ": ", C9)</f>
        <v>Hospitality: Support</v>
      </c>
      <c r="C855" s="24" t="n">
        <f aca="false">AV9</f>
        <v>72967000</v>
      </c>
      <c r="D855" s="24" t="n">
        <f aca="false">AW9</f>
        <v>10417000</v>
      </c>
      <c r="E855" s="24" t="n">
        <f aca="false">AX9</f>
        <v>8986000</v>
      </c>
      <c r="F855" s="24" t="n">
        <f aca="false">AY9</f>
        <v>53564000</v>
      </c>
    </row>
    <row r="856" customFormat="false" ht="12.8" hidden="false" customHeight="false" outlineLevel="0" collapsed="false">
      <c r="A856" s="5" t="str">
        <f aca="false">_xlfn.CONCAT($A$731, ".", A10)</f>
        <v>FL.6.7</v>
      </c>
      <c r="B856" s="5" t="str">
        <f aca="false">_xlfn.CONCAT(B10, ": ", C10)</f>
        <v>Cleaning/Maintenance: Worker</v>
      </c>
      <c r="C856" s="24" t="n">
        <f aca="false">AV10</f>
        <v>71526000</v>
      </c>
      <c r="D856" s="24" t="n">
        <f aca="false">AW10</f>
        <v>11774000</v>
      </c>
      <c r="E856" s="24" t="n">
        <f aca="false">AX10</f>
        <v>10439000</v>
      </c>
      <c r="F856" s="24" t="n">
        <f aca="false">AY10</f>
        <v>49313000</v>
      </c>
    </row>
    <row r="857" customFormat="false" ht="12.8" hidden="false" customHeight="false" outlineLevel="0" collapsed="false">
      <c r="A857" s="5" t="str">
        <f aca="false">_xlfn.CONCAT($A$731, ".", A11)</f>
        <v>FL.6.8</v>
      </c>
      <c r="B857" s="5" t="str">
        <f aca="false">_xlfn.CONCAT(B11, ": ", C11)</f>
        <v>Cleaning/Maintenance: Support</v>
      </c>
      <c r="C857" s="24" t="n">
        <f aca="false">AV11</f>
        <v>33502000</v>
      </c>
      <c r="D857" s="24" t="n">
        <f aca="false">AW11</f>
        <v>5479000</v>
      </c>
      <c r="E857" s="24" t="n">
        <f aca="false">AX11</f>
        <v>4760000</v>
      </c>
      <c r="F857" s="24" t="n">
        <f aca="false">AY11</f>
        <v>23263000</v>
      </c>
    </row>
    <row r="858" customFormat="false" ht="12.8" hidden="false" customHeight="false" outlineLevel="0" collapsed="false">
      <c r="A858" s="5" t="str">
        <f aca="false">_xlfn.CONCAT($A$731, ".", A12)</f>
        <v>FL.6.9</v>
      </c>
      <c r="B858" s="5" t="str">
        <f aca="false">_xlfn.CONCAT(B12, ": ", C12)</f>
        <v>Manufacturing: Worker</v>
      </c>
      <c r="C858" s="24" t="n">
        <f aca="false">AV12</f>
        <v>280646000</v>
      </c>
      <c r="D858" s="24" t="n">
        <f aca="false">AW12</f>
        <v>39513000</v>
      </c>
      <c r="E858" s="24" t="n">
        <f aca="false">AX12</f>
        <v>17977000</v>
      </c>
      <c r="F858" s="24" t="n">
        <f aca="false">AY12</f>
        <v>223156000</v>
      </c>
    </row>
    <row r="859" customFormat="false" ht="12.8" hidden="false" customHeight="false" outlineLevel="0" collapsed="false">
      <c r="A859" s="5" t="str">
        <f aca="false">_xlfn.CONCAT($A$731, ".", A13)</f>
        <v>FL.6.10</v>
      </c>
      <c r="B859" s="5" t="str">
        <f aca="false">_xlfn.CONCAT(B13, ": ", C13)</f>
        <v>Manufacturing: Support</v>
      </c>
      <c r="C859" s="24" t="n">
        <f aca="false">AV13</f>
        <v>127726000</v>
      </c>
      <c r="D859" s="24" t="n">
        <f aca="false">AW13</f>
        <v>17853000</v>
      </c>
      <c r="E859" s="24" t="n">
        <f aca="false">AX13</f>
        <v>8059000</v>
      </c>
      <c r="F859" s="24" t="n">
        <f aca="false">AY13</f>
        <v>101814000</v>
      </c>
    </row>
    <row r="860" customFormat="false" ht="12.8" hidden="false" customHeight="false" outlineLevel="0" collapsed="false">
      <c r="A860" s="5" t="str">
        <f aca="false">_xlfn.CONCAT($A$731, ".", A14)</f>
        <v>FL.6.11</v>
      </c>
      <c r="B860" s="5" t="str">
        <f aca="false">_xlfn.CONCAT(B14, ": ", C14)</f>
        <v>Transportation &amp; Warehousing: Worker</v>
      </c>
      <c r="C860" s="24" t="n">
        <f aca="false">AV14</f>
        <v>222199000</v>
      </c>
      <c r="D860" s="24" t="n">
        <f aca="false">AW14</f>
        <v>35988000</v>
      </c>
      <c r="E860" s="24" t="n">
        <f aca="false">AX14</f>
        <v>16022000</v>
      </c>
      <c r="F860" s="24" t="n">
        <f aca="false">AY14</f>
        <v>170189000</v>
      </c>
    </row>
    <row r="861" customFormat="false" ht="12.8" hidden="false" customHeight="false" outlineLevel="0" collapsed="false">
      <c r="A861" s="5" t="str">
        <f aca="false">_xlfn.CONCAT($A$731, ".", A15)</f>
        <v>FL.6.12</v>
      </c>
      <c r="B861" s="5" t="str">
        <f aca="false">_xlfn.CONCAT(B15, ": ", C15)</f>
        <v>Transportation &amp; Warehousing: Support</v>
      </c>
      <c r="C861" s="24" t="n">
        <f aca="false">AV15</f>
        <v>101935000</v>
      </c>
      <c r="D861" s="24" t="n">
        <f aca="false">AW15</f>
        <v>16410000</v>
      </c>
      <c r="E861" s="24" t="n">
        <f aca="false">AX15</f>
        <v>7249000</v>
      </c>
      <c r="F861" s="24" t="n">
        <f aca="false">AY15</f>
        <v>78276000</v>
      </c>
    </row>
    <row r="862" customFormat="false" ht="12.8" hidden="false" customHeight="false" outlineLevel="0" collapsed="false">
      <c r="A862" s="5" t="str">
        <f aca="false">_xlfn.CONCAT($A$731, ".", A16)</f>
        <v>FL.6.13</v>
      </c>
      <c r="B862" s="5" t="str">
        <f aca="false">_xlfn.CONCAT(B16, ": ", C16)</f>
        <v>Retail Trade: Worker</v>
      </c>
      <c r="C862" s="24" t="n">
        <f aca="false">AV16</f>
        <v>187018000</v>
      </c>
      <c r="D862" s="24" t="n">
        <f aca="false">AW16</f>
        <v>16247000</v>
      </c>
      <c r="E862" s="24" t="n">
        <f aca="false">AX16</f>
        <v>7299000</v>
      </c>
      <c r="F862" s="24" t="n">
        <f aca="false">AY16</f>
        <v>163472000</v>
      </c>
    </row>
    <row r="863" customFormat="false" ht="12.8" hidden="false" customHeight="false" outlineLevel="0" collapsed="false">
      <c r="A863" s="5" t="str">
        <f aca="false">_xlfn.CONCAT($A$731, ".", A17)</f>
        <v>FL.6.14</v>
      </c>
      <c r="B863" s="5" t="str">
        <f aca="false">_xlfn.CONCAT(B17, ": ", C17)</f>
        <v>Retail Trade: Support</v>
      </c>
      <c r="C863" s="24" t="n">
        <f aca="false">AV17</f>
        <v>89138000</v>
      </c>
      <c r="D863" s="24" t="n">
        <f aca="false">AW17</f>
        <v>7876000</v>
      </c>
      <c r="E863" s="24" t="n">
        <f aca="false">AX17</f>
        <v>3500000</v>
      </c>
      <c r="F863" s="24" t="n">
        <f aca="false">AY17</f>
        <v>77762000</v>
      </c>
    </row>
    <row r="864" customFormat="false" ht="12.8" hidden="false" customHeight="false" outlineLevel="0" collapsed="false">
      <c r="A864" s="5" t="str">
        <f aca="false">_xlfn.CONCAT($A$731, ".", A18)</f>
        <v>FL.6.15</v>
      </c>
      <c r="B864" s="5" t="str">
        <f aca="false">_xlfn.CONCAT(B18, ": ", C18)</f>
        <v>Landscaping / Groundskeeping: Worker</v>
      </c>
      <c r="C864" s="24" t="n">
        <f aca="false">AV18</f>
        <v>75507000</v>
      </c>
      <c r="D864" s="24" t="n">
        <f aca="false">AW18</f>
        <v>10620000</v>
      </c>
      <c r="E864" s="24" t="n">
        <f aca="false">AX18</f>
        <v>9733000</v>
      </c>
      <c r="F864" s="24" t="n">
        <f aca="false">AY18</f>
        <v>55154000</v>
      </c>
    </row>
    <row r="865" customFormat="false" ht="12.8" hidden="false" customHeight="false" outlineLevel="0" collapsed="false">
      <c r="A865" s="5" t="str">
        <f aca="false">_xlfn.CONCAT($A$731, ".", A19)</f>
        <v>FL.6.16</v>
      </c>
      <c r="B865" s="5" t="str">
        <f aca="false">_xlfn.CONCAT(B19, ": ", C19)</f>
        <v>Landscaping / Groundskeeping: Support</v>
      </c>
      <c r="C865" s="24" t="n">
        <f aca="false">AV19</f>
        <v>36490000</v>
      </c>
      <c r="D865" s="24" t="n">
        <f aca="false">AW19</f>
        <v>5098000</v>
      </c>
      <c r="E865" s="24" t="n">
        <f aca="false">AX19</f>
        <v>4622000</v>
      </c>
      <c r="F865" s="24" t="n">
        <f aca="false">AY19</f>
        <v>26770000</v>
      </c>
    </row>
    <row r="866" customFormat="false" ht="12.8" hidden="false" customHeight="false" outlineLevel="0" collapsed="false">
      <c r="A866" s="5" t="str">
        <f aca="false">_xlfn.CONCAT($A$731, ".", A20)</f>
        <v>FL.6.17</v>
      </c>
      <c r="B866" s="5" t="str">
        <f aca="false">_xlfn.CONCAT(B20, ": ", C20)</f>
        <v>Automotive &amp; Repair: Worker</v>
      </c>
      <c r="C866" s="24" t="n">
        <f aca="false">AV20</f>
        <v>51305000</v>
      </c>
      <c r="D866" s="24" t="n">
        <f aca="false">AW20</f>
        <v>7537000</v>
      </c>
      <c r="E866" s="24" t="n">
        <f aca="false">AX20</f>
        <v>3260000</v>
      </c>
      <c r="F866" s="24" t="n">
        <f aca="false">AY20</f>
        <v>40508000</v>
      </c>
    </row>
    <row r="867" customFormat="false" ht="12.8" hidden="false" customHeight="false" outlineLevel="0" collapsed="false">
      <c r="A867" s="5" t="str">
        <f aca="false">_xlfn.CONCAT($A$731, ".", A21)</f>
        <v>FL.6.18</v>
      </c>
      <c r="B867" s="5" t="str">
        <f aca="false">_xlfn.CONCAT(B21, ": ", C21)</f>
        <v>Automotive &amp; Repair: Support</v>
      </c>
      <c r="C867" s="24" t="n">
        <f aca="false">AV21</f>
        <v>22933000</v>
      </c>
      <c r="D867" s="24" t="n">
        <f aca="false">AW21</f>
        <v>3383000</v>
      </c>
      <c r="E867" s="24" t="n">
        <f aca="false">AX21</f>
        <v>1462000</v>
      </c>
      <c r="F867" s="24" t="n">
        <f aca="false">AY21</f>
        <v>18088000</v>
      </c>
    </row>
    <row r="868" customFormat="false" ht="12.8" hidden="false" customHeight="false" outlineLevel="0" collapsed="false">
      <c r="A868" s="5" t="str">
        <f aca="false">_xlfn.CONCAT($A$731, ".", A22)</f>
        <v>FL.6.19</v>
      </c>
      <c r="B868" s="5" t="str">
        <f aca="false">_xlfn.CONCAT(B22, ": ", C22)</f>
        <v>Other Services: Worker</v>
      </c>
      <c r="C868" s="24" t="n">
        <f aca="false">AV22</f>
        <v>85390000</v>
      </c>
      <c r="D868" s="24" t="n">
        <f aca="false">AW22</f>
        <v>12375000</v>
      </c>
      <c r="E868" s="24" t="n">
        <f aca="false">AX22</f>
        <v>6150000</v>
      </c>
      <c r="F868" s="24" t="n">
        <f aca="false">AY22</f>
        <v>66865000</v>
      </c>
    </row>
    <row r="869" customFormat="false" ht="12.8" hidden="false" customHeight="false" outlineLevel="0" collapsed="false">
      <c r="A869" s="5" t="str">
        <f aca="false">_xlfn.CONCAT($A$731, ".", A23)</f>
        <v>FL.6.20</v>
      </c>
      <c r="B869" s="5" t="str">
        <f aca="false">_xlfn.CONCAT(B23, ": ", C23)</f>
        <v>Other Services: Support</v>
      </c>
      <c r="C869" s="24" t="n">
        <f aca="false">AV23</f>
        <v>38296000</v>
      </c>
      <c r="D869" s="24" t="n">
        <f aca="false">AW23</f>
        <v>5579000</v>
      </c>
      <c r="E869" s="24" t="n">
        <f aca="false">AX23</f>
        <v>2758000</v>
      </c>
      <c r="F869" s="24" t="n">
        <f aca="false">AY23</f>
        <v>29959000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099"/>
    <pageSetUpPr fitToPage="false"/>
  </sheetPr>
  <dimension ref="A1:AY869"/>
  <sheetViews>
    <sheetView showFormulas="false" showGridLines="true" showRowColHeaders="true" showZeros="true" rightToLeft="false" tabSelected="false" showOutlineSymbols="true" defaultGridColor="true" view="normal" topLeftCell="A936" colorId="64" zoomScale="80" zoomScaleNormal="80" zoomScalePageLayoutView="100" workbookViewId="0">
      <selection pane="topLeft" activeCell="H130" activeCellId="0" sqref="H130"/>
    </sheetView>
  </sheetViews>
  <sheetFormatPr defaultColWidth="11.53515625" defaultRowHeight="12.8" customHeight="false" zeroHeight="false" outlineLevelRow="1" outlineLevelCol="0"/>
  <cols>
    <col collapsed="false" customWidth="true" hidden="false" outlineLevel="0" max="2" min="2" style="1" width="36.9"/>
    <col collapsed="false" customWidth="true" hidden="false" outlineLevel="0" max="3" min="3" style="1" width="21.47"/>
    <col collapsed="false" customWidth="true" hidden="false" outlineLevel="0" max="34" min="4" style="1" width="16.84"/>
    <col collapsed="false" customWidth="true" hidden="false" outlineLevel="0" max="48" min="35" style="1" width="17.78"/>
    <col collapsed="false" customWidth="true" hidden="false" outlineLevel="0" max="51" min="49" style="1" width="15.48"/>
  </cols>
  <sheetData>
    <row r="1" customFormat="false" ht="12.8" hidden="false" customHeight="false" outlineLevel="0" collapsed="false">
      <c r="A1" s="21" t="s">
        <v>176</v>
      </c>
      <c r="B1" s="15" t="s">
        <v>177</v>
      </c>
    </row>
    <row r="2" customFormat="false" ht="46.25" hidden="false" customHeight="false" outlineLevel="0" collapsed="false">
      <c r="A2" s="14" t="s">
        <v>13</v>
      </c>
      <c r="B2" s="14" t="s">
        <v>24</v>
      </c>
      <c r="C2" s="14" t="s">
        <v>25</v>
      </c>
      <c r="D2" s="22" t="s">
        <v>26</v>
      </c>
      <c r="E2" s="22" t="s">
        <v>27</v>
      </c>
      <c r="F2" s="22" t="s">
        <v>28</v>
      </c>
      <c r="G2" s="22" t="s">
        <v>29</v>
      </c>
      <c r="H2" s="23" t="s">
        <v>99</v>
      </c>
      <c r="I2" s="23" t="s">
        <v>100</v>
      </c>
      <c r="J2" s="23" t="s">
        <v>101</v>
      </c>
      <c r="K2" s="23" t="s">
        <v>102</v>
      </c>
      <c r="L2" s="23" t="s">
        <v>103</v>
      </c>
      <c r="M2" s="23" t="s">
        <v>104</v>
      </c>
      <c r="N2" s="23" t="s">
        <v>105</v>
      </c>
      <c r="O2" s="23" t="s">
        <v>106</v>
      </c>
      <c r="P2" s="23" t="s">
        <v>107</v>
      </c>
      <c r="Q2" s="23" t="s">
        <v>108</v>
      </c>
      <c r="R2" s="23" t="s">
        <v>109</v>
      </c>
      <c r="S2" s="23" t="s">
        <v>110</v>
      </c>
      <c r="T2" s="23" t="s">
        <v>42</v>
      </c>
      <c r="U2" s="23" t="s">
        <v>43</v>
      </c>
      <c r="V2" s="23" t="s">
        <v>44</v>
      </c>
      <c r="W2" s="24" t="s">
        <v>45</v>
      </c>
      <c r="X2" s="24" t="s">
        <v>46</v>
      </c>
      <c r="Y2" s="24" t="s">
        <v>47</v>
      </c>
      <c r="Z2" s="25" t="s">
        <v>48</v>
      </c>
      <c r="AA2" s="25" t="s">
        <v>49</v>
      </c>
      <c r="AB2" s="25" t="s">
        <v>50</v>
      </c>
      <c r="AC2" s="24" t="s">
        <v>51</v>
      </c>
      <c r="AD2" s="24" t="s">
        <v>52</v>
      </c>
      <c r="AE2" s="24" t="s">
        <v>53</v>
      </c>
      <c r="AF2" s="25" t="s">
        <v>54</v>
      </c>
      <c r="AG2" s="25" t="s">
        <v>55</v>
      </c>
      <c r="AH2" s="25" t="s">
        <v>56</v>
      </c>
      <c r="AI2" s="24" t="s">
        <v>57</v>
      </c>
      <c r="AJ2" s="24" t="s">
        <v>58</v>
      </c>
      <c r="AK2" s="24" t="s">
        <v>59</v>
      </c>
      <c r="AL2" s="25" t="s">
        <v>60</v>
      </c>
      <c r="AM2" s="25" t="s">
        <v>61</v>
      </c>
      <c r="AN2" s="25" t="s">
        <v>62</v>
      </c>
      <c r="AO2" s="24" t="s">
        <v>63</v>
      </c>
      <c r="AP2" s="24" t="s">
        <v>64</v>
      </c>
      <c r="AQ2" s="24" t="s">
        <v>65</v>
      </c>
      <c r="AR2" s="24" t="s">
        <v>66</v>
      </c>
      <c r="AS2" s="24" t="s">
        <v>67</v>
      </c>
      <c r="AT2" s="24" t="s">
        <v>68</v>
      </c>
      <c r="AU2" s="24" t="s">
        <v>69</v>
      </c>
      <c r="AV2" s="24" t="s">
        <v>70</v>
      </c>
      <c r="AW2" s="24" t="s">
        <v>71</v>
      </c>
      <c r="AX2" s="24" t="s">
        <v>72</v>
      </c>
      <c r="AY2" s="24" t="s">
        <v>73</v>
      </c>
    </row>
    <row r="3" customFormat="false" ht="12.8" hidden="false" customHeight="false" outlineLevel="0" collapsed="false">
      <c r="A3" s="15" t="n">
        <v>0</v>
      </c>
      <c r="B3" s="15" t="s">
        <v>75</v>
      </c>
      <c r="C3" s="15" t="s">
        <v>76</v>
      </c>
      <c r="D3" s="16" t="n">
        <v>11302748</v>
      </c>
      <c r="E3" s="16" t="n">
        <v>682000</v>
      </c>
      <c r="F3" s="16" t="n">
        <v>479000</v>
      </c>
      <c r="G3" s="16" t="n">
        <v>10142748</v>
      </c>
      <c r="H3" s="17" t="n">
        <v>0.9147</v>
      </c>
      <c r="I3" s="17" t="n">
        <v>0.722</v>
      </c>
      <c r="J3" s="17" t="n">
        <v>0.772</v>
      </c>
      <c r="K3" s="17" t="n">
        <v>0.925</v>
      </c>
      <c r="L3" s="17" t="n">
        <v>0.0853</v>
      </c>
      <c r="M3" s="17" t="n">
        <v>0.278</v>
      </c>
      <c r="N3" s="17" t="n">
        <v>0.228</v>
      </c>
      <c r="O3" s="17" t="n">
        <v>0.075</v>
      </c>
      <c r="P3" s="17" t="n">
        <v>0.0809</v>
      </c>
      <c r="Q3" s="17" t="n">
        <v>0.095</v>
      </c>
      <c r="R3" s="17" t="n">
        <v>0.095</v>
      </c>
      <c r="S3" s="17" t="n">
        <v>0.08</v>
      </c>
      <c r="T3" s="18" t="n">
        <v>13.8</v>
      </c>
      <c r="U3" s="18" t="n">
        <v>7.25</v>
      </c>
      <c r="V3" s="18" t="n">
        <v>30</v>
      </c>
      <c r="W3" s="19" t="n">
        <v>24840</v>
      </c>
      <c r="X3" s="19" t="n">
        <v>13050</v>
      </c>
      <c r="Y3" s="19" t="n">
        <v>54000</v>
      </c>
      <c r="Z3" s="20" t="n">
        <v>10.4</v>
      </c>
      <c r="AA3" s="20" t="n">
        <v>8</v>
      </c>
      <c r="AB3" s="20" t="n">
        <v>25</v>
      </c>
      <c r="AC3" s="19" t="n">
        <v>18720</v>
      </c>
      <c r="AD3" s="19" t="n">
        <v>14400</v>
      </c>
      <c r="AE3" s="19" t="n">
        <v>45000</v>
      </c>
      <c r="AF3" s="20" t="n">
        <v>10.4</v>
      </c>
      <c r="AG3" s="20" t="n">
        <v>7.25</v>
      </c>
      <c r="AH3" s="20" t="n">
        <v>20</v>
      </c>
      <c r="AI3" s="19" t="n">
        <v>18720</v>
      </c>
      <c r="AJ3" s="19" t="n">
        <v>13050</v>
      </c>
      <c r="AK3" s="19" t="n">
        <v>36000</v>
      </c>
      <c r="AL3" s="20" t="n">
        <v>14</v>
      </c>
      <c r="AM3" s="20" t="n">
        <v>9</v>
      </c>
      <c r="AN3" s="20" t="n">
        <v>35</v>
      </c>
      <c r="AO3" s="19" t="n">
        <v>25200</v>
      </c>
      <c r="AP3" s="19" t="n">
        <v>16200</v>
      </c>
      <c r="AQ3" s="19" t="n">
        <v>63000</v>
      </c>
      <c r="AR3" s="19" t="n">
        <v>-13320000000</v>
      </c>
      <c r="AS3" s="19" t="n">
        <v>-584000000</v>
      </c>
      <c r="AT3" s="19" t="n">
        <v>37500000</v>
      </c>
      <c r="AU3" s="19" t="n">
        <v>-12777500000</v>
      </c>
      <c r="AV3" s="19" t="n">
        <v>40500000000</v>
      </c>
      <c r="AW3" s="19" t="n">
        <v>877000000</v>
      </c>
      <c r="AX3" s="19" t="n">
        <v>497000000</v>
      </c>
      <c r="AY3" s="19" t="n">
        <v>39135000000</v>
      </c>
    </row>
    <row r="4" customFormat="false" ht="12.8" hidden="false" customHeight="false" outlineLevel="0" collapsed="false">
      <c r="A4" s="15" t="n">
        <v>1</v>
      </c>
      <c r="B4" s="15" t="s">
        <v>77</v>
      </c>
      <c r="C4" s="15" t="s">
        <v>78</v>
      </c>
      <c r="D4" s="16" t="n">
        <v>1780</v>
      </c>
      <c r="E4" s="16" t="n">
        <v>478</v>
      </c>
      <c r="F4" s="16" t="n">
        <v>258</v>
      </c>
      <c r="G4" s="16" t="n">
        <v>1044</v>
      </c>
      <c r="H4" s="17" t="n">
        <v>0.8746</v>
      </c>
      <c r="I4" s="17" t="n">
        <v>0.75</v>
      </c>
      <c r="J4" s="17" t="n">
        <v>0.8</v>
      </c>
      <c r="K4" s="17" t="n">
        <v>0.95</v>
      </c>
      <c r="L4" s="17" t="n">
        <v>0.1254</v>
      </c>
      <c r="M4" s="17" t="n">
        <v>0.25</v>
      </c>
      <c r="N4" s="17" t="n">
        <v>0.2</v>
      </c>
      <c r="O4" s="17" t="n">
        <v>0.05</v>
      </c>
      <c r="P4" s="17" t="n">
        <v>0.0841</v>
      </c>
      <c r="Q4" s="17" t="n">
        <v>0.09</v>
      </c>
      <c r="R4" s="17" t="n">
        <v>0.09</v>
      </c>
      <c r="S4" s="17" t="n">
        <v>0.08</v>
      </c>
      <c r="T4" s="18" t="n">
        <v>18.5</v>
      </c>
      <c r="U4" s="18" t="n">
        <v>7.25</v>
      </c>
      <c r="V4" s="18" t="n">
        <v>19.71</v>
      </c>
      <c r="W4" s="19" t="n">
        <v>30525</v>
      </c>
      <c r="X4" s="19" t="n">
        <v>14108</v>
      </c>
      <c r="Y4" s="19" t="n">
        <v>32522</v>
      </c>
      <c r="Z4" s="20" t="n">
        <v>18.5</v>
      </c>
      <c r="AA4" s="20" t="n">
        <v>9</v>
      </c>
      <c r="AB4" s="20" t="n">
        <v>20</v>
      </c>
      <c r="AC4" s="19" t="n">
        <v>30525</v>
      </c>
      <c r="AD4" s="19" t="n">
        <v>14850</v>
      </c>
      <c r="AE4" s="19" t="n">
        <v>33000</v>
      </c>
      <c r="AF4" s="20" t="n">
        <v>17</v>
      </c>
      <c r="AG4" s="20" t="n">
        <v>7.25</v>
      </c>
      <c r="AH4" s="20" t="n">
        <v>18</v>
      </c>
      <c r="AI4" s="19" t="n">
        <v>28050</v>
      </c>
      <c r="AJ4" s="19" t="n">
        <v>13200</v>
      </c>
      <c r="AK4" s="19" t="n">
        <v>29700</v>
      </c>
      <c r="AL4" s="20" t="n">
        <v>21</v>
      </c>
      <c r="AM4" s="20" t="n">
        <v>10</v>
      </c>
      <c r="AN4" s="20" t="n">
        <v>25</v>
      </c>
      <c r="AO4" s="19" t="n">
        <v>34650</v>
      </c>
      <c r="AP4" s="19" t="n">
        <v>16500</v>
      </c>
      <c r="AQ4" s="19" t="n">
        <v>41250</v>
      </c>
      <c r="AR4" s="19" t="n">
        <v>150000</v>
      </c>
      <c r="AS4" s="19" t="n">
        <v>-48000</v>
      </c>
      <c r="AT4" s="19" t="n">
        <v>70000</v>
      </c>
      <c r="AU4" s="19" t="n">
        <v>128000</v>
      </c>
      <c r="AV4" s="19" t="n">
        <v>11800000</v>
      </c>
      <c r="AW4" s="19" t="n">
        <v>2970000</v>
      </c>
      <c r="AX4" s="19" t="n">
        <v>1470000</v>
      </c>
      <c r="AY4" s="19" t="n">
        <v>7350000</v>
      </c>
    </row>
    <row r="5" customFormat="false" ht="12.8" hidden="false" customHeight="false" outlineLevel="0" collapsed="false">
      <c r="A5" s="15" t="n">
        <v>2</v>
      </c>
      <c r="B5" s="15" t="s">
        <v>77</v>
      </c>
      <c r="C5" s="15" t="s">
        <v>79</v>
      </c>
      <c r="D5" s="16" t="n">
        <v>960</v>
      </c>
      <c r="E5" s="16" t="n">
        <v>258</v>
      </c>
      <c r="F5" s="16" t="n">
        <v>139</v>
      </c>
      <c r="G5" s="16" t="n">
        <v>563</v>
      </c>
      <c r="H5" s="17" t="n">
        <v>0.8749</v>
      </c>
      <c r="I5" s="17" t="n">
        <v>0.75</v>
      </c>
      <c r="J5" s="17" t="n">
        <v>0.8</v>
      </c>
      <c r="K5" s="17" t="n">
        <v>0.95</v>
      </c>
      <c r="L5" s="17" t="n">
        <v>0.1251</v>
      </c>
      <c r="M5" s="17" t="n">
        <v>0.25</v>
      </c>
      <c r="N5" s="17" t="n">
        <v>0.2</v>
      </c>
      <c r="O5" s="17" t="n">
        <v>0.05</v>
      </c>
      <c r="P5" s="17" t="n">
        <v>0.0841</v>
      </c>
      <c r="Q5" s="17" t="n">
        <v>0.09</v>
      </c>
      <c r="R5" s="17" t="n">
        <v>0.09</v>
      </c>
      <c r="S5" s="17" t="n">
        <v>0.08</v>
      </c>
      <c r="T5" s="18" t="n">
        <v>17</v>
      </c>
      <c r="U5" s="18" t="n">
        <v>7.25</v>
      </c>
      <c r="V5" s="18" t="n">
        <v>19.71</v>
      </c>
      <c r="W5" s="19" t="n">
        <v>30600</v>
      </c>
      <c r="X5" s="19" t="n">
        <v>15390</v>
      </c>
      <c r="Y5" s="19" t="n">
        <v>35478</v>
      </c>
      <c r="Z5" s="20" t="n">
        <v>17</v>
      </c>
      <c r="AA5" s="20" t="n">
        <v>9</v>
      </c>
      <c r="AB5" s="20" t="n">
        <v>20</v>
      </c>
      <c r="AC5" s="19" t="n">
        <v>30600</v>
      </c>
      <c r="AD5" s="19" t="n">
        <v>16200</v>
      </c>
      <c r="AE5" s="19" t="n">
        <v>36000</v>
      </c>
      <c r="AF5" s="20" t="n">
        <v>15.5</v>
      </c>
      <c r="AG5" s="20" t="n">
        <v>7.25</v>
      </c>
      <c r="AH5" s="20" t="n">
        <v>18</v>
      </c>
      <c r="AI5" s="19" t="n">
        <v>27900</v>
      </c>
      <c r="AJ5" s="19" t="n">
        <v>14400</v>
      </c>
      <c r="AK5" s="19" t="n">
        <v>32400</v>
      </c>
      <c r="AL5" s="20" t="n">
        <v>19</v>
      </c>
      <c r="AM5" s="20" t="n">
        <v>10</v>
      </c>
      <c r="AN5" s="20" t="n">
        <v>25</v>
      </c>
      <c r="AO5" s="19" t="n">
        <v>34200</v>
      </c>
      <c r="AP5" s="19" t="n">
        <v>18000</v>
      </c>
      <c r="AQ5" s="19" t="n">
        <v>45000</v>
      </c>
      <c r="AR5" s="19" t="n">
        <v>60000</v>
      </c>
      <c r="AS5" s="19" t="n">
        <v>-25000</v>
      </c>
      <c r="AT5" s="19" t="n">
        <v>38000</v>
      </c>
      <c r="AU5" s="19" t="n">
        <v>47000</v>
      </c>
      <c r="AV5" s="19" t="n">
        <v>6200000</v>
      </c>
      <c r="AW5" s="19" t="n">
        <v>1570000</v>
      </c>
      <c r="AX5" s="19" t="n">
        <v>780000</v>
      </c>
      <c r="AY5" s="19" t="n">
        <v>3840000</v>
      </c>
    </row>
    <row r="6" customFormat="false" ht="12.8" hidden="false" customHeight="false" outlineLevel="0" collapsed="false">
      <c r="A6" s="15" t="n">
        <v>3</v>
      </c>
      <c r="B6" s="15" t="s">
        <v>80</v>
      </c>
      <c r="C6" s="15" t="s">
        <v>78</v>
      </c>
      <c r="D6" s="16" t="n">
        <v>6460</v>
      </c>
      <c r="E6" s="16" t="n">
        <v>997</v>
      </c>
      <c r="F6" s="16" t="n">
        <v>1010</v>
      </c>
      <c r="G6" s="16" t="n">
        <v>4453</v>
      </c>
      <c r="H6" s="17" t="n">
        <v>0.9001</v>
      </c>
      <c r="I6" s="17" t="n">
        <v>0.752</v>
      </c>
      <c r="J6" s="17" t="n">
        <v>0.802</v>
      </c>
      <c r="K6" s="17" t="n">
        <v>0.945</v>
      </c>
      <c r="L6" s="17" t="n">
        <v>0.0999</v>
      </c>
      <c r="M6" s="17" t="n">
        <v>0.248</v>
      </c>
      <c r="N6" s="17" t="n">
        <v>0.198</v>
      </c>
      <c r="O6" s="17" t="n">
        <v>0.055</v>
      </c>
      <c r="P6" s="17" t="n">
        <v>0.0827</v>
      </c>
      <c r="Q6" s="17" t="n">
        <v>0.09</v>
      </c>
      <c r="R6" s="17" t="n">
        <v>0.09</v>
      </c>
      <c r="S6" s="17" t="n">
        <v>0.08</v>
      </c>
      <c r="T6" s="18" t="n">
        <v>22</v>
      </c>
      <c r="U6" s="18" t="n">
        <v>7.25</v>
      </c>
      <c r="V6" s="18" t="n">
        <v>40</v>
      </c>
      <c r="W6" s="19" t="n">
        <v>42900</v>
      </c>
      <c r="X6" s="19" t="n">
        <v>19500</v>
      </c>
      <c r="Y6" s="19" t="n">
        <v>78000</v>
      </c>
      <c r="Z6" s="20" t="n">
        <v>22</v>
      </c>
      <c r="AA6" s="20" t="n">
        <v>10.5</v>
      </c>
      <c r="AB6" s="20" t="n">
        <v>35</v>
      </c>
      <c r="AC6" s="19" t="n">
        <v>42900</v>
      </c>
      <c r="AD6" s="19" t="n">
        <v>20475</v>
      </c>
      <c r="AE6" s="19" t="n">
        <v>68250</v>
      </c>
      <c r="AF6" s="20" t="n">
        <v>20</v>
      </c>
      <c r="AG6" s="20" t="n">
        <v>10</v>
      </c>
      <c r="AH6" s="20" t="n">
        <v>30</v>
      </c>
      <c r="AI6" s="19" t="n">
        <v>39000</v>
      </c>
      <c r="AJ6" s="19" t="n">
        <v>19500</v>
      </c>
      <c r="AK6" s="19" t="n">
        <v>58500</v>
      </c>
      <c r="AL6" s="20" t="n">
        <v>24</v>
      </c>
      <c r="AM6" s="20" t="n">
        <v>11</v>
      </c>
      <c r="AN6" s="20" t="n">
        <v>45</v>
      </c>
      <c r="AO6" s="19" t="n">
        <v>46800</v>
      </c>
      <c r="AP6" s="19" t="n">
        <v>21450</v>
      </c>
      <c r="AQ6" s="19" t="n">
        <v>87750</v>
      </c>
      <c r="AR6" s="19" t="n">
        <v>10280000</v>
      </c>
      <c r="AS6" s="19" t="n">
        <v>1025000</v>
      </c>
      <c r="AT6" s="19" t="n">
        <v>2580000</v>
      </c>
      <c r="AU6" s="19" t="n">
        <v>6660000</v>
      </c>
      <c r="AV6" s="19" t="n">
        <v>44400000</v>
      </c>
      <c r="AW6" s="19" t="n">
        <v>6530000</v>
      </c>
      <c r="AX6" s="19" t="n">
        <v>6010000</v>
      </c>
      <c r="AY6" s="19" t="n">
        <v>31860000</v>
      </c>
    </row>
    <row r="7" customFormat="false" ht="12.8" hidden="false" customHeight="false" outlineLevel="0" collapsed="false">
      <c r="A7" s="15" t="n">
        <v>4</v>
      </c>
      <c r="B7" s="15" t="s">
        <v>80</v>
      </c>
      <c r="C7" s="15" t="s">
        <v>79</v>
      </c>
      <c r="D7" s="16" t="n">
        <v>3485</v>
      </c>
      <c r="E7" s="16" t="n">
        <v>537</v>
      </c>
      <c r="F7" s="16" t="n">
        <v>545</v>
      </c>
      <c r="G7" s="16" t="n">
        <v>2403</v>
      </c>
      <c r="H7" s="17" t="n">
        <v>0.9</v>
      </c>
      <c r="I7" s="17" t="n">
        <v>0.752</v>
      </c>
      <c r="J7" s="17" t="n">
        <v>0.802</v>
      </c>
      <c r="K7" s="17" t="n">
        <v>0.945</v>
      </c>
      <c r="L7" s="17" t="n">
        <v>0.1</v>
      </c>
      <c r="M7" s="17" t="n">
        <v>0.248</v>
      </c>
      <c r="N7" s="17" t="n">
        <v>0.198</v>
      </c>
      <c r="O7" s="17" t="n">
        <v>0.055</v>
      </c>
      <c r="P7" s="17" t="n">
        <v>0.0827</v>
      </c>
      <c r="Q7" s="17" t="n">
        <v>0.09</v>
      </c>
      <c r="R7" s="17" t="n">
        <v>0.09</v>
      </c>
      <c r="S7" s="17" t="n">
        <v>0.08</v>
      </c>
      <c r="T7" s="18" t="n">
        <v>20</v>
      </c>
      <c r="U7" s="18" t="n">
        <v>7.25</v>
      </c>
      <c r="V7" s="18" t="n">
        <v>40</v>
      </c>
      <c r="W7" s="19" t="n">
        <v>36000</v>
      </c>
      <c r="X7" s="19" t="n">
        <v>18000</v>
      </c>
      <c r="Y7" s="19" t="n">
        <v>72000</v>
      </c>
      <c r="Z7" s="20" t="n">
        <v>20</v>
      </c>
      <c r="AA7" s="20" t="n">
        <v>10.5</v>
      </c>
      <c r="AB7" s="20" t="n">
        <v>35</v>
      </c>
      <c r="AC7" s="19" t="n">
        <v>36000</v>
      </c>
      <c r="AD7" s="19" t="n">
        <v>18900</v>
      </c>
      <c r="AE7" s="19" t="n">
        <v>63000</v>
      </c>
      <c r="AF7" s="20" t="n">
        <v>18</v>
      </c>
      <c r="AG7" s="20" t="n">
        <v>10</v>
      </c>
      <c r="AH7" s="20" t="n">
        <v>30</v>
      </c>
      <c r="AI7" s="19" t="n">
        <v>32400</v>
      </c>
      <c r="AJ7" s="19" t="n">
        <v>18000</v>
      </c>
      <c r="AK7" s="19" t="n">
        <v>54000</v>
      </c>
      <c r="AL7" s="20" t="n">
        <v>22</v>
      </c>
      <c r="AM7" s="20" t="n">
        <v>11</v>
      </c>
      <c r="AN7" s="20" t="n">
        <v>45</v>
      </c>
      <c r="AO7" s="19" t="n">
        <v>39600</v>
      </c>
      <c r="AP7" s="19" t="n">
        <v>19800</v>
      </c>
      <c r="AQ7" s="19" t="n">
        <v>81000</v>
      </c>
      <c r="AR7" s="19" t="n">
        <v>2580000</v>
      </c>
      <c r="AS7" s="19" t="n">
        <v>107000</v>
      </c>
      <c r="AT7" s="19" t="n">
        <v>1280000</v>
      </c>
      <c r="AU7" s="19" t="n">
        <v>2020000</v>
      </c>
      <c r="AV7" s="19" t="n">
        <v>20100000</v>
      </c>
      <c r="AW7" s="19" t="n">
        <v>2940000</v>
      </c>
      <c r="AX7" s="19" t="n">
        <v>2680000</v>
      </c>
      <c r="AY7" s="19" t="n">
        <v>14500000</v>
      </c>
    </row>
    <row r="8" customFormat="false" ht="12.8" hidden="false" customHeight="false" outlineLevel="0" collapsed="false">
      <c r="A8" s="15" t="n">
        <v>5</v>
      </c>
      <c r="B8" s="15" t="s">
        <v>81</v>
      </c>
      <c r="C8" s="15" t="s">
        <v>78</v>
      </c>
      <c r="D8" s="16" t="n">
        <v>20750</v>
      </c>
      <c r="E8" s="16" t="n">
        <v>3170</v>
      </c>
      <c r="F8" s="16" t="n">
        <v>3120</v>
      </c>
      <c r="G8" s="16" t="n">
        <v>14460</v>
      </c>
      <c r="H8" s="17" t="n">
        <v>0.8729</v>
      </c>
      <c r="I8" s="17" t="n">
        <v>0.715</v>
      </c>
      <c r="J8" s="17" t="n">
        <v>0.765</v>
      </c>
      <c r="K8" s="17" t="n">
        <v>0.92</v>
      </c>
      <c r="L8" s="17" t="n">
        <v>0.1271</v>
      </c>
      <c r="M8" s="17" t="n">
        <v>0.285</v>
      </c>
      <c r="N8" s="17" t="n">
        <v>0.235</v>
      </c>
      <c r="O8" s="17" t="n">
        <v>0.08</v>
      </c>
      <c r="P8" s="17" t="n">
        <v>0.1137</v>
      </c>
      <c r="Q8" s="17" t="n">
        <v>0.11</v>
      </c>
      <c r="R8" s="17" t="n">
        <v>0.11</v>
      </c>
      <c r="S8" s="17" t="n">
        <v>0.115</v>
      </c>
      <c r="T8" s="18" t="n">
        <v>13.5</v>
      </c>
      <c r="U8" s="18" t="n">
        <v>7.25</v>
      </c>
      <c r="V8" s="18" t="n">
        <v>25</v>
      </c>
      <c r="W8" s="19" t="n">
        <v>20925</v>
      </c>
      <c r="X8" s="19" t="n">
        <v>11238</v>
      </c>
      <c r="Y8" s="19" t="n">
        <v>38750</v>
      </c>
      <c r="Z8" s="20" t="n">
        <v>13.5</v>
      </c>
      <c r="AA8" s="20" t="n">
        <v>8</v>
      </c>
      <c r="AB8" s="20" t="n">
        <v>20</v>
      </c>
      <c r="AC8" s="19" t="n">
        <v>20925</v>
      </c>
      <c r="AD8" s="19" t="n">
        <v>12400</v>
      </c>
      <c r="AE8" s="19" t="n">
        <v>31000</v>
      </c>
      <c r="AF8" s="20" t="n">
        <v>12</v>
      </c>
      <c r="AG8" s="20" t="n">
        <v>7.25</v>
      </c>
      <c r="AH8" s="20" t="n">
        <v>18</v>
      </c>
      <c r="AI8" s="19" t="n">
        <v>18600</v>
      </c>
      <c r="AJ8" s="19" t="n">
        <v>11238</v>
      </c>
      <c r="AK8" s="19" t="n">
        <v>27900</v>
      </c>
      <c r="AL8" s="20" t="n">
        <v>15</v>
      </c>
      <c r="AM8" s="20" t="n">
        <v>9</v>
      </c>
      <c r="AN8" s="20" t="n">
        <v>25</v>
      </c>
      <c r="AO8" s="19" t="n">
        <v>23250</v>
      </c>
      <c r="AP8" s="19" t="n">
        <v>13950</v>
      </c>
      <c r="AQ8" s="19" t="n">
        <v>38750</v>
      </c>
      <c r="AR8" s="19" t="n">
        <v>-21600000</v>
      </c>
      <c r="AS8" s="19" t="n">
        <v>-4650000</v>
      </c>
      <c r="AT8" s="19" t="n">
        <v>205000</v>
      </c>
      <c r="AU8" s="19" t="n">
        <v>-16950000</v>
      </c>
      <c r="AV8" s="19" t="n">
        <v>70000000</v>
      </c>
      <c r="AW8" s="19" t="n">
        <v>10000000</v>
      </c>
      <c r="AX8" s="19" t="n">
        <v>8770000</v>
      </c>
      <c r="AY8" s="19" t="n">
        <v>51200000</v>
      </c>
    </row>
    <row r="9" customFormat="false" ht="12.8" hidden="false" customHeight="false" outlineLevel="0" collapsed="false">
      <c r="A9" s="15" t="n">
        <v>6</v>
      </c>
      <c r="B9" s="15" t="s">
        <v>81</v>
      </c>
      <c r="C9" s="15" t="s">
        <v>79</v>
      </c>
      <c r="D9" s="16" t="n">
        <v>11190</v>
      </c>
      <c r="E9" s="16" t="n">
        <v>1710</v>
      </c>
      <c r="F9" s="16" t="n">
        <v>1680</v>
      </c>
      <c r="G9" s="16" t="n">
        <v>7800</v>
      </c>
      <c r="H9" s="17" t="n">
        <v>0.8729</v>
      </c>
      <c r="I9" s="17" t="n">
        <v>0.715</v>
      </c>
      <c r="J9" s="17" t="n">
        <v>0.765</v>
      </c>
      <c r="K9" s="17" t="n">
        <v>0.92</v>
      </c>
      <c r="L9" s="17" t="n">
        <v>0.1271</v>
      </c>
      <c r="M9" s="17" t="n">
        <v>0.285</v>
      </c>
      <c r="N9" s="17" t="n">
        <v>0.235</v>
      </c>
      <c r="O9" s="17" t="n">
        <v>0.08</v>
      </c>
      <c r="P9" s="17" t="n">
        <v>0.1137</v>
      </c>
      <c r="Q9" s="17" t="n">
        <v>0.11</v>
      </c>
      <c r="R9" s="17" t="n">
        <v>0.11</v>
      </c>
      <c r="S9" s="17" t="n">
        <v>0.115</v>
      </c>
      <c r="T9" s="18" t="n">
        <v>12</v>
      </c>
      <c r="U9" s="18" t="n">
        <v>7.25</v>
      </c>
      <c r="V9" s="18" t="n">
        <v>25</v>
      </c>
      <c r="W9" s="19" t="n">
        <v>19200</v>
      </c>
      <c r="X9" s="19" t="n">
        <v>11600</v>
      </c>
      <c r="Y9" s="19" t="n">
        <v>40000</v>
      </c>
      <c r="Z9" s="20" t="n">
        <v>12</v>
      </c>
      <c r="AA9" s="20" t="n">
        <v>8</v>
      </c>
      <c r="AB9" s="20" t="n">
        <v>20</v>
      </c>
      <c r="AC9" s="19" t="n">
        <v>19200</v>
      </c>
      <c r="AD9" s="19" t="n">
        <v>12800</v>
      </c>
      <c r="AE9" s="19" t="n">
        <v>32000</v>
      </c>
      <c r="AF9" s="20" t="n">
        <v>10.5</v>
      </c>
      <c r="AG9" s="20" t="n">
        <v>7.25</v>
      </c>
      <c r="AH9" s="20" t="n">
        <v>18</v>
      </c>
      <c r="AI9" s="19" t="n">
        <v>16800</v>
      </c>
      <c r="AJ9" s="19" t="n">
        <v>11600</v>
      </c>
      <c r="AK9" s="19" t="n">
        <v>28800</v>
      </c>
      <c r="AL9" s="20" t="n">
        <v>13.5</v>
      </c>
      <c r="AM9" s="20" t="n">
        <v>9</v>
      </c>
      <c r="AN9" s="20" t="n">
        <v>25</v>
      </c>
      <c r="AO9" s="19" t="n">
        <v>21600</v>
      </c>
      <c r="AP9" s="19" t="n">
        <v>14400</v>
      </c>
      <c r="AQ9" s="19" t="n">
        <v>40000</v>
      </c>
      <c r="AR9" s="19" t="n">
        <v>-13500000</v>
      </c>
      <c r="AS9" s="19" t="n">
        <v>-2800000</v>
      </c>
      <c r="AT9" s="19" t="n">
        <v>44000</v>
      </c>
      <c r="AU9" s="19" t="n">
        <v>-10700000</v>
      </c>
      <c r="AV9" s="19" t="n">
        <v>35000000</v>
      </c>
      <c r="AW9" s="19" t="n">
        <v>5000000</v>
      </c>
      <c r="AX9" s="19" t="n">
        <v>4300000</v>
      </c>
      <c r="AY9" s="19" t="n">
        <v>25700000</v>
      </c>
    </row>
    <row r="10" customFormat="false" ht="12.8" hidden="false" customHeight="false" outlineLevel="0" collapsed="false">
      <c r="A10" s="15" t="n">
        <v>7</v>
      </c>
      <c r="B10" s="15" t="s">
        <v>82</v>
      </c>
      <c r="C10" s="15" t="s">
        <v>78</v>
      </c>
      <c r="D10" s="16" t="n">
        <v>9240</v>
      </c>
      <c r="E10" s="16" t="n">
        <v>1597</v>
      </c>
      <c r="F10" s="16" t="n">
        <v>1579</v>
      </c>
      <c r="G10" s="16" t="n">
        <v>6064</v>
      </c>
      <c r="H10" s="17" t="n">
        <v>0.8697</v>
      </c>
      <c r="I10" s="17" t="n">
        <v>0.716</v>
      </c>
      <c r="J10" s="17" t="n">
        <v>0.766</v>
      </c>
      <c r="K10" s="17" t="n">
        <v>0.924</v>
      </c>
      <c r="L10" s="17" t="n">
        <v>0.1303</v>
      </c>
      <c r="M10" s="17" t="n">
        <v>0.284</v>
      </c>
      <c r="N10" s="17" t="n">
        <v>0.234</v>
      </c>
      <c r="O10" s="17" t="n">
        <v>0.076</v>
      </c>
      <c r="P10" s="17" t="n">
        <v>0.1135</v>
      </c>
      <c r="Q10" s="17" t="n">
        <v>0.11</v>
      </c>
      <c r="R10" s="17" t="n">
        <v>0.11</v>
      </c>
      <c r="S10" s="17" t="n">
        <v>0.115</v>
      </c>
      <c r="T10" s="18" t="n">
        <v>14.5</v>
      </c>
      <c r="U10" s="18" t="n">
        <v>7.25</v>
      </c>
      <c r="V10" s="18" t="n">
        <v>25</v>
      </c>
      <c r="W10" s="19" t="n">
        <v>23200</v>
      </c>
      <c r="X10" s="19" t="n">
        <v>11600</v>
      </c>
      <c r="Y10" s="19" t="n">
        <v>40000</v>
      </c>
      <c r="Z10" s="20" t="n">
        <v>14.5</v>
      </c>
      <c r="AA10" s="20" t="n">
        <v>8</v>
      </c>
      <c r="AB10" s="20" t="n">
        <v>20</v>
      </c>
      <c r="AC10" s="19" t="n">
        <v>23200</v>
      </c>
      <c r="AD10" s="19" t="n">
        <v>12800</v>
      </c>
      <c r="AE10" s="19" t="n">
        <v>32000</v>
      </c>
      <c r="AF10" s="20" t="n">
        <v>13</v>
      </c>
      <c r="AG10" s="20" t="n">
        <v>7.25</v>
      </c>
      <c r="AH10" s="20" t="n">
        <v>18</v>
      </c>
      <c r="AI10" s="19" t="n">
        <v>20800</v>
      </c>
      <c r="AJ10" s="19" t="n">
        <v>11600</v>
      </c>
      <c r="AK10" s="19" t="n">
        <v>28800</v>
      </c>
      <c r="AL10" s="20" t="n">
        <v>16</v>
      </c>
      <c r="AM10" s="20" t="n">
        <v>9</v>
      </c>
      <c r="AN10" s="20" t="n">
        <v>25</v>
      </c>
      <c r="AO10" s="19" t="n">
        <v>25600</v>
      </c>
      <c r="AP10" s="19" t="n">
        <v>14400</v>
      </c>
      <c r="AQ10" s="19" t="n">
        <v>40000</v>
      </c>
      <c r="AR10" s="19" t="n">
        <v>-7200000</v>
      </c>
      <c r="AS10" s="19" t="n">
        <v>-1970000</v>
      </c>
      <c r="AT10" s="19" t="n">
        <v>1090000</v>
      </c>
      <c r="AU10" s="19" t="n">
        <v>-6320000</v>
      </c>
      <c r="AV10" s="19" t="n">
        <v>34300000</v>
      </c>
      <c r="AW10" s="19" t="n">
        <v>5640000</v>
      </c>
      <c r="AX10" s="19" t="n">
        <v>5000000</v>
      </c>
      <c r="AY10" s="19" t="n">
        <v>23650000</v>
      </c>
    </row>
    <row r="11" customFormat="false" ht="12.8" hidden="false" customHeight="false" outlineLevel="0" collapsed="false">
      <c r="A11" s="15" t="n">
        <v>8</v>
      </c>
      <c r="B11" s="15" t="s">
        <v>82</v>
      </c>
      <c r="C11" s="15" t="s">
        <v>79</v>
      </c>
      <c r="D11" s="16" t="n">
        <v>4985</v>
      </c>
      <c r="E11" s="16" t="n">
        <v>862</v>
      </c>
      <c r="F11" s="16" t="n">
        <v>852</v>
      </c>
      <c r="G11" s="16" t="n">
        <v>3271</v>
      </c>
      <c r="H11" s="17" t="n">
        <v>0.8697</v>
      </c>
      <c r="I11" s="17" t="n">
        <v>0.716</v>
      </c>
      <c r="J11" s="17" t="n">
        <v>0.766</v>
      </c>
      <c r="K11" s="17" t="n">
        <v>0.924</v>
      </c>
      <c r="L11" s="17" t="n">
        <v>0.1303</v>
      </c>
      <c r="M11" s="17" t="n">
        <v>0.284</v>
      </c>
      <c r="N11" s="17" t="n">
        <v>0.234</v>
      </c>
      <c r="O11" s="17" t="n">
        <v>0.076</v>
      </c>
      <c r="P11" s="17" t="n">
        <v>0.1135</v>
      </c>
      <c r="Q11" s="17" t="n">
        <v>0.11</v>
      </c>
      <c r="R11" s="17" t="n">
        <v>0.11</v>
      </c>
      <c r="S11" s="17" t="n">
        <v>0.115</v>
      </c>
      <c r="T11" s="18" t="n">
        <v>12.5</v>
      </c>
      <c r="U11" s="18" t="n">
        <v>7.25</v>
      </c>
      <c r="V11" s="18" t="n">
        <v>25</v>
      </c>
      <c r="W11" s="19" t="n">
        <v>20000</v>
      </c>
      <c r="X11" s="19" t="n">
        <v>11600</v>
      </c>
      <c r="Y11" s="19" t="n">
        <v>40000</v>
      </c>
      <c r="Z11" s="20" t="n">
        <v>12.5</v>
      </c>
      <c r="AA11" s="20" t="n">
        <v>8</v>
      </c>
      <c r="AB11" s="20" t="n">
        <v>20</v>
      </c>
      <c r="AC11" s="19" t="n">
        <v>20000</v>
      </c>
      <c r="AD11" s="19" t="n">
        <v>12800</v>
      </c>
      <c r="AE11" s="19" t="n">
        <v>32000</v>
      </c>
      <c r="AF11" s="20" t="n">
        <v>11</v>
      </c>
      <c r="AG11" s="20" t="n">
        <v>7.25</v>
      </c>
      <c r="AH11" s="20" t="n">
        <v>18</v>
      </c>
      <c r="AI11" s="19" t="n">
        <v>17600</v>
      </c>
      <c r="AJ11" s="19" t="n">
        <v>11600</v>
      </c>
      <c r="AK11" s="19" t="n">
        <v>28800</v>
      </c>
      <c r="AL11" s="20" t="n">
        <v>14</v>
      </c>
      <c r="AM11" s="20" t="n">
        <v>9</v>
      </c>
      <c r="AN11" s="20" t="n">
        <v>25</v>
      </c>
      <c r="AO11" s="19" t="n">
        <v>22400</v>
      </c>
      <c r="AP11" s="19" t="n">
        <v>14400</v>
      </c>
      <c r="AQ11" s="19" t="n">
        <v>40000</v>
      </c>
      <c r="AR11" s="19" t="n">
        <v>-5470000</v>
      </c>
      <c r="AS11" s="19" t="n">
        <v>-1340000</v>
      </c>
      <c r="AT11" s="19" t="n">
        <v>226000</v>
      </c>
      <c r="AU11" s="19" t="n">
        <v>-4290000</v>
      </c>
      <c r="AV11" s="19" t="n">
        <v>16000000</v>
      </c>
      <c r="AW11" s="19" t="n">
        <v>2620000</v>
      </c>
      <c r="AX11" s="19" t="n">
        <v>2280000</v>
      </c>
      <c r="AY11" s="19" t="n">
        <v>11100000</v>
      </c>
    </row>
    <row r="12" customFormat="false" ht="12.8" hidden="false" customHeight="false" outlineLevel="0" collapsed="false">
      <c r="A12" s="15" t="n">
        <v>9</v>
      </c>
      <c r="B12" s="15" t="s">
        <v>83</v>
      </c>
      <c r="C12" s="15" t="s">
        <v>78</v>
      </c>
      <c r="D12" s="16" t="n">
        <v>19320</v>
      </c>
      <c r="E12" s="16" t="n">
        <v>2892</v>
      </c>
      <c r="F12" s="16" t="n">
        <v>1449</v>
      </c>
      <c r="G12" s="16" t="n">
        <v>14979</v>
      </c>
      <c r="H12" s="17" t="n">
        <v>0.9179</v>
      </c>
      <c r="I12" s="17" t="n">
        <v>0.76</v>
      </c>
      <c r="J12" s="17" t="n">
        <v>0.81</v>
      </c>
      <c r="K12" s="17" t="n">
        <v>0.95</v>
      </c>
      <c r="L12" s="17" t="n">
        <v>0.0821</v>
      </c>
      <c r="M12" s="17" t="n">
        <v>0.24</v>
      </c>
      <c r="N12" s="17" t="n">
        <v>0.19</v>
      </c>
      <c r="O12" s="17" t="n">
        <v>0.05</v>
      </c>
      <c r="P12" s="17" t="n">
        <v>0.1022</v>
      </c>
      <c r="Q12" s="17" t="n">
        <v>0.09</v>
      </c>
      <c r="R12" s="17" t="n">
        <v>0.09</v>
      </c>
      <c r="S12" s="17" t="n">
        <v>0.105</v>
      </c>
      <c r="T12" s="18" t="n">
        <v>22</v>
      </c>
      <c r="U12" s="18" t="n">
        <v>7.25</v>
      </c>
      <c r="V12" s="18" t="n">
        <v>40</v>
      </c>
      <c r="W12" s="19" t="n">
        <v>42900</v>
      </c>
      <c r="X12" s="19" t="n">
        <v>19500</v>
      </c>
      <c r="Y12" s="19" t="n">
        <v>78000</v>
      </c>
      <c r="Z12" s="20" t="n">
        <v>22</v>
      </c>
      <c r="AA12" s="20" t="n">
        <v>10.5</v>
      </c>
      <c r="AB12" s="20" t="n">
        <v>35</v>
      </c>
      <c r="AC12" s="19" t="n">
        <v>42900</v>
      </c>
      <c r="AD12" s="19" t="n">
        <v>20475</v>
      </c>
      <c r="AE12" s="19" t="n">
        <v>68250</v>
      </c>
      <c r="AF12" s="20" t="n">
        <v>20</v>
      </c>
      <c r="AG12" s="20" t="n">
        <v>10</v>
      </c>
      <c r="AH12" s="20" t="n">
        <v>30</v>
      </c>
      <c r="AI12" s="19" t="n">
        <v>39000</v>
      </c>
      <c r="AJ12" s="19" t="n">
        <v>19500</v>
      </c>
      <c r="AK12" s="19" t="n">
        <v>58500</v>
      </c>
      <c r="AL12" s="20" t="n">
        <v>24</v>
      </c>
      <c r="AM12" s="20" t="n">
        <v>11</v>
      </c>
      <c r="AN12" s="20" t="n">
        <v>45</v>
      </c>
      <c r="AO12" s="19" t="n">
        <v>46800</v>
      </c>
      <c r="AP12" s="19" t="n">
        <v>21450</v>
      </c>
      <c r="AQ12" s="19" t="n">
        <v>87750</v>
      </c>
      <c r="AR12" s="19" t="n">
        <v>29000000</v>
      </c>
      <c r="AS12" s="19" t="n">
        <v>2960000</v>
      </c>
      <c r="AT12" s="19" t="n">
        <v>3690000</v>
      </c>
      <c r="AU12" s="19" t="n">
        <v>22350000</v>
      </c>
      <c r="AV12" s="19" t="n">
        <v>134000000</v>
      </c>
      <c r="AW12" s="19" t="n">
        <v>18800000</v>
      </c>
      <c r="AX12" s="19" t="n">
        <v>8600000</v>
      </c>
      <c r="AY12" s="19" t="n">
        <v>106600000</v>
      </c>
    </row>
    <row r="13" customFormat="false" ht="12.8" hidden="false" customHeight="false" outlineLevel="0" collapsed="false">
      <c r="A13" s="15" t="n">
        <v>10</v>
      </c>
      <c r="B13" s="15" t="s">
        <v>83</v>
      </c>
      <c r="C13" s="15" t="s">
        <v>79</v>
      </c>
      <c r="D13" s="16" t="n">
        <v>10420</v>
      </c>
      <c r="E13" s="16" t="n">
        <v>1388</v>
      </c>
      <c r="F13" s="16" t="n">
        <v>781</v>
      </c>
      <c r="G13" s="16" t="n">
        <v>8251</v>
      </c>
      <c r="H13" s="17" t="n">
        <v>0.9179</v>
      </c>
      <c r="I13" s="17" t="n">
        <v>0.76</v>
      </c>
      <c r="J13" s="17" t="n">
        <v>0.81</v>
      </c>
      <c r="K13" s="17" t="n">
        <v>0.95</v>
      </c>
      <c r="L13" s="17" t="n">
        <v>0.0821</v>
      </c>
      <c r="M13" s="17" t="n">
        <v>0.24</v>
      </c>
      <c r="N13" s="17" t="n">
        <v>0.19</v>
      </c>
      <c r="O13" s="17" t="n">
        <v>0.05</v>
      </c>
      <c r="P13" s="17" t="n">
        <v>0.1022</v>
      </c>
      <c r="Q13" s="17" t="n">
        <v>0.09</v>
      </c>
      <c r="R13" s="17" t="n">
        <v>0.09</v>
      </c>
      <c r="S13" s="17" t="n">
        <v>0.105</v>
      </c>
      <c r="T13" s="18" t="n">
        <v>20</v>
      </c>
      <c r="U13" s="18" t="n">
        <v>7.25</v>
      </c>
      <c r="V13" s="18" t="n">
        <v>40</v>
      </c>
      <c r="W13" s="19" t="n">
        <v>36000</v>
      </c>
      <c r="X13" s="19" t="n">
        <v>18000</v>
      </c>
      <c r="Y13" s="19" t="n">
        <v>72000</v>
      </c>
      <c r="Z13" s="20" t="n">
        <v>20</v>
      </c>
      <c r="AA13" s="20" t="n">
        <v>10.5</v>
      </c>
      <c r="AB13" s="20" t="n">
        <v>35</v>
      </c>
      <c r="AC13" s="19" t="n">
        <v>36000</v>
      </c>
      <c r="AD13" s="19" t="n">
        <v>18900</v>
      </c>
      <c r="AE13" s="19" t="n">
        <v>63000</v>
      </c>
      <c r="AF13" s="20" t="n">
        <v>18</v>
      </c>
      <c r="AG13" s="20" t="n">
        <v>10</v>
      </c>
      <c r="AH13" s="20" t="n">
        <v>30</v>
      </c>
      <c r="AI13" s="19" t="n">
        <v>32400</v>
      </c>
      <c r="AJ13" s="19" t="n">
        <v>18000</v>
      </c>
      <c r="AK13" s="19" t="n">
        <v>54000</v>
      </c>
      <c r="AL13" s="20" t="n">
        <v>22</v>
      </c>
      <c r="AM13" s="20" t="n">
        <v>11</v>
      </c>
      <c r="AN13" s="20" t="n">
        <v>45</v>
      </c>
      <c r="AO13" s="19" t="n">
        <v>39600</v>
      </c>
      <c r="AP13" s="19" t="n">
        <v>19800</v>
      </c>
      <c r="AQ13" s="19" t="n">
        <v>81000</v>
      </c>
      <c r="AR13" s="19" t="n">
        <v>6770000</v>
      </c>
      <c r="AS13" s="19" t="n">
        <v>310000</v>
      </c>
      <c r="AT13" s="19" t="n">
        <v>1830000</v>
      </c>
      <c r="AU13" s="19" t="n">
        <v>5080000</v>
      </c>
      <c r="AV13" s="19" t="n">
        <v>61000000</v>
      </c>
      <c r="AW13" s="19" t="n">
        <v>8540000</v>
      </c>
      <c r="AX13" s="19" t="n">
        <v>3860000</v>
      </c>
      <c r="AY13" s="19" t="n">
        <v>48600000</v>
      </c>
    </row>
    <row r="14" customFormat="false" ht="12.8" hidden="false" customHeight="false" outlineLevel="0" collapsed="false">
      <c r="A14" s="15" t="n">
        <v>11</v>
      </c>
      <c r="B14" s="15" t="s">
        <v>84</v>
      </c>
      <c r="C14" s="15" t="s">
        <v>78</v>
      </c>
      <c r="D14" s="16" t="n">
        <v>14140</v>
      </c>
      <c r="E14" s="16" t="n">
        <v>2418</v>
      </c>
      <c r="F14" s="16" t="n">
        <v>1175</v>
      </c>
      <c r="G14" s="16" t="n">
        <v>9547</v>
      </c>
      <c r="H14" s="17" t="n">
        <v>0.9077</v>
      </c>
      <c r="I14" s="17" t="n">
        <v>0.75</v>
      </c>
      <c r="J14" s="17" t="n">
        <v>0.8</v>
      </c>
      <c r="K14" s="17" t="n">
        <v>0.945</v>
      </c>
      <c r="L14" s="17" t="n">
        <v>0.0923</v>
      </c>
      <c r="M14" s="17" t="n">
        <v>0.25</v>
      </c>
      <c r="N14" s="17" t="n">
        <v>0.2</v>
      </c>
      <c r="O14" s="17" t="n">
        <v>0.055</v>
      </c>
      <c r="P14" s="17" t="n">
        <v>0.1018</v>
      </c>
      <c r="Q14" s="17" t="n">
        <v>0.09</v>
      </c>
      <c r="R14" s="17" t="n">
        <v>0.09</v>
      </c>
      <c r="S14" s="17" t="n">
        <v>0.105</v>
      </c>
      <c r="T14" s="18" t="n">
        <v>24</v>
      </c>
      <c r="U14" s="18" t="n">
        <v>7.25</v>
      </c>
      <c r="V14" s="18" t="n">
        <v>40</v>
      </c>
      <c r="W14" s="19" t="n">
        <v>46800</v>
      </c>
      <c r="X14" s="19" t="n">
        <v>19500</v>
      </c>
      <c r="Y14" s="19" t="n">
        <v>78000</v>
      </c>
      <c r="Z14" s="20" t="n">
        <v>24</v>
      </c>
      <c r="AA14" s="20" t="n">
        <v>10.5</v>
      </c>
      <c r="AB14" s="20" t="n">
        <v>35</v>
      </c>
      <c r="AC14" s="19" t="n">
        <v>46800</v>
      </c>
      <c r="AD14" s="19" t="n">
        <v>20475</v>
      </c>
      <c r="AE14" s="19" t="n">
        <v>68250</v>
      </c>
      <c r="AF14" s="20" t="n">
        <v>22</v>
      </c>
      <c r="AG14" s="20" t="n">
        <v>10</v>
      </c>
      <c r="AH14" s="20" t="n">
        <v>30</v>
      </c>
      <c r="AI14" s="19" t="n">
        <v>42900</v>
      </c>
      <c r="AJ14" s="19" t="n">
        <v>19500</v>
      </c>
      <c r="AK14" s="19" t="n">
        <v>58500</v>
      </c>
      <c r="AL14" s="20" t="n">
        <v>26</v>
      </c>
      <c r="AM14" s="20" t="n">
        <v>11</v>
      </c>
      <c r="AN14" s="20" t="n">
        <v>45</v>
      </c>
      <c r="AO14" s="19" t="n">
        <v>50700</v>
      </c>
      <c r="AP14" s="19" t="n">
        <v>21450</v>
      </c>
      <c r="AQ14" s="19" t="n">
        <v>87750</v>
      </c>
      <c r="AR14" s="19" t="n">
        <v>27800000</v>
      </c>
      <c r="AS14" s="19" t="n">
        <v>3600000</v>
      </c>
      <c r="AT14" s="19" t="n">
        <v>3740000</v>
      </c>
      <c r="AU14" s="19" t="n">
        <v>20460000</v>
      </c>
      <c r="AV14" s="19" t="n">
        <v>106000000</v>
      </c>
      <c r="AW14" s="19" t="n">
        <v>17200000</v>
      </c>
      <c r="AX14" s="19" t="n">
        <v>7650000</v>
      </c>
      <c r="AY14" s="19" t="n">
        <v>81100000</v>
      </c>
    </row>
    <row r="15" customFormat="false" ht="12.8" hidden="false" customHeight="false" outlineLevel="0" collapsed="false">
      <c r="A15" s="15" t="n">
        <v>12</v>
      </c>
      <c r="B15" s="15" t="s">
        <v>84</v>
      </c>
      <c r="C15" s="15" t="s">
        <v>79</v>
      </c>
      <c r="D15" s="16" t="n">
        <v>7630</v>
      </c>
      <c r="E15" s="16" t="n">
        <v>1300</v>
      </c>
      <c r="F15" s="16" t="n">
        <v>632</v>
      </c>
      <c r="G15" s="16" t="n">
        <v>5698</v>
      </c>
      <c r="H15" s="17" t="n">
        <v>0.9077</v>
      </c>
      <c r="I15" s="17" t="n">
        <v>0.75</v>
      </c>
      <c r="J15" s="17" t="n">
        <v>0.8</v>
      </c>
      <c r="K15" s="17" t="n">
        <v>0.945</v>
      </c>
      <c r="L15" s="17" t="n">
        <v>0.0923</v>
      </c>
      <c r="M15" s="17" t="n">
        <v>0.25</v>
      </c>
      <c r="N15" s="17" t="n">
        <v>0.2</v>
      </c>
      <c r="O15" s="17" t="n">
        <v>0.055</v>
      </c>
      <c r="P15" s="17" t="n">
        <v>0.1018</v>
      </c>
      <c r="Q15" s="17" t="n">
        <v>0.09</v>
      </c>
      <c r="R15" s="17" t="n">
        <v>0.09</v>
      </c>
      <c r="S15" s="17" t="n">
        <v>0.105</v>
      </c>
      <c r="T15" s="18" t="n">
        <v>22</v>
      </c>
      <c r="U15" s="18" t="n">
        <v>7.25</v>
      </c>
      <c r="V15" s="18" t="n">
        <v>40</v>
      </c>
      <c r="W15" s="19" t="n">
        <v>39600</v>
      </c>
      <c r="X15" s="19" t="n">
        <v>18000</v>
      </c>
      <c r="Y15" s="19" t="n">
        <v>72000</v>
      </c>
      <c r="Z15" s="20" t="n">
        <v>22</v>
      </c>
      <c r="AA15" s="20" t="n">
        <v>10.5</v>
      </c>
      <c r="AB15" s="20" t="n">
        <v>35</v>
      </c>
      <c r="AC15" s="19" t="n">
        <v>39600</v>
      </c>
      <c r="AD15" s="19" t="n">
        <v>18900</v>
      </c>
      <c r="AE15" s="19" t="n">
        <v>63000</v>
      </c>
      <c r="AF15" s="20" t="n">
        <v>20</v>
      </c>
      <c r="AG15" s="20" t="n">
        <v>10</v>
      </c>
      <c r="AH15" s="20" t="n">
        <v>30</v>
      </c>
      <c r="AI15" s="19" t="n">
        <v>36000</v>
      </c>
      <c r="AJ15" s="19" t="n">
        <v>18000</v>
      </c>
      <c r="AK15" s="19" t="n">
        <v>54000</v>
      </c>
      <c r="AL15" s="20" t="n">
        <v>24</v>
      </c>
      <c r="AM15" s="20" t="n">
        <v>11</v>
      </c>
      <c r="AN15" s="20" t="n">
        <v>45</v>
      </c>
      <c r="AO15" s="19" t="n">
        <v>43200</v>
      </c>
      <c r="AP15" s="19" t="n">
        <v>19800</v>
      </c>
      <c r="AQ15" s="19" t="n">
        <v>81000</v>
      </c>
      <c r="AR15" s="19" t="n">
        <v>8240000</v>
      </c>
      <c r="AS15" s="19" t="n">
        <v>820000</v>
      </c>
      <c r="AT15" s="19" t="n">
        <v>1840000</v>
      </c>
      <c r="AU15" s="19" t="n">
        <v>5580000</v>
      </c>
      <c r="AV15" s="19" t="n">
        <v>48700000</v>
      </c>
      <c r="AW15" s="19" t="n">
        <v>7850000</v>
      </c>
      <c r="AX15" s="19" t="n">
        <v>3470000</v>
      </c>
      <c r="AY15" s="19" t="n">
        <v>37400000</v>
      </c>
    </row>
    <row r="16" customFormat="false" ht="12.8" hidden="false" customHeight="false" outlineLevel="0" collapsed="false">
      <c r="A16" s="15" t="n">
        <v>13</v>
      </c>
      <c r="B16" s="15" t="s">
        <v>85</v>
      </c>
      <c r="C16" s="15" t="s">
        <v>78</v>
      </c>
      <c r="D16" s="16" t="n">
        <v>20750</v>
      </c>
      <c r="E16" s="16" t="n">
        <v>2000</v>
      </c>
      <c r="F16" s="16" t="n">
        <v>1000</v>
      </c>
      <c r="G16" s="16" t="n">
        <v>17750</v>
      </c>
      <c r="H16" s="17" t="n">
        <v>0.8849</v>
      </c>
      <c r="I16" s="17" t="n">
        <v>0.698</v>
      </c>
      <c r="J16" s="17" t="n">
        <v>0.748</v>
      </c>
      <c r="K16" s="17" t="n">
        <v>0.908</v>
      </c>
      <c r="L16" s="17" t="n">
        <v>0.1151</v>
      </c>
      <c r="M16" s="17" t="n">
        <v>0.302</v>
      </c>
      <c r="N16" s="17" t="n">
        <v>0.252</v>
      </c>
      <c r="O16" s="17" t="n">
        <v>0.092</v>
      </c>
      <c r="P16" s="17" t="n">
        <v>0.1144</v>
      </c>
      <c r="Q16" s="17" t="n">
        <v>0.11</v>
      </c>
      <c r="R16" s="17" t="n">
        <v>0.11</v>
      </c>
      <c r="S16" s="17" t="n">
        <v>0.115</v>
      </c>
      <c r="T16" s="18" t="n">
        <v>15</v>
      </c>
      <c r="U16" s="18" t="n">
        <v>7.25</v>
      </c>
      <c r="V16" s="18" t="n">
        <v>25</v>
      </c>
      <c r="W16" s="19" t="n">
        <v>25500</v>
      </c>
      <c r="X16" s="19" t="n">
        <v>18700</v>
      </c>
      <c r="Y16" s="19" t="n">
        <v>42500</v>
      </c>
      <c r="Z16" s="20" t="n">
        <v>15</v>
      </c>
      <c r="AA16" s="20" t="n">
        <v>8</v>
      </c>
      <c r="AB16" s="20" t="n">
        <v>20</v>
      </c>
      <c r="AC16" s="19" t="n">
        <v>25500</v>
      </c>
      <c r="AD16" s="19" t="n">
        <v>13600</v>
      </c>
      <c r="AE16" s="19" t="n">
        <v>34000</v>
      </c>
      <c r="AF16" s="20" t="n">
        <v>13.5</v>
      </c>
      <c r="AG16" s="20" t="n">
        <v>7.25</v>
      </c>
      <c r="AH16" s="20" t="n">
        <v>18</v>
      </c>
      <c r="AI16" s="19" t="n">
        <v>22950</v>
      </c>
      <c r="AJ16" s="19" t="n">
        <v>13050</v>
      </c>
      <c r="AK16" s="19" t="n">
        <v>30600</v>
      </c>
      <c r="AL16" s="20" t="n">
        <v>17</v>
      </c>
      <c r="AM16" s="20" t="n">
        <v>9</v>
      </c>
      <c r="AN16" s="20" t="n">
        <v>25</v>
      </c>
      <c r="AO16" s="19" t="n">
        <v>28900</v>
      </c>
      <c r="AP16" s="19" t="n">
        <v>15300</v>
      </c>
      <c r="AQ16" s="19" t="n">
        <v>42500</v>
      </c>
      <c r="AR16" s="19" t="n">
        <v>-12800000</v>
      </c>
      <c r="AS16" s="19" t="n">
        <v>-2010000</v>
      </c>
      <c r="AT16" s="19" t="n">
        <v>770000</v>
      </c>
      <c r="AU16" s="19" t="n">
        <v>-11500000</v>
      </c>
      <c r="AV16" s="19" t="n">
        <v>89500000</v>
      </c>
      <c r="AW16" s="19" t="n">
        <v>7770000</v>
      </c>
      <c r="AX16" s="19" t="n">
        <v>3490000</v>
      </c>
      <c r="AY16" s="19" t="n">
        <v>78200000</v>
      </c>
    </row>
    <row r="17" customFormat="false" ht="12.8" hidden="false" customHeight="false" outlineLevel="0" collapsed="false">
      <c r="A17" s="15" t="n">
        <v>14</v>
      </c>
      <c r="B17" s="15" t="s">
        <v>85</v>
      </c>
      <c r="C17" s="15" t="s">
        <v>79</v>
      </c>
      <c r="D17" s="16" t="n">
        <v>11190</v>
      </c>
      <c r="E17" s="16" t="n">
        <v>1078</v>
      </c>
      <c r="F17" s="16" t="n">
        <v>539</v>
      </c>
      <c r="G17" s="16" t="n">
        <v>9573</v>
      </c>
      <c r="H17" s="17" t="n">
        <v>0.8849</v>
      </c>
      <c r="I17" s="17" t="n">
        <v>0.698</v>
      </c>
      <c r="J17" s="17" t="n">
        <v>0.748</v>
      </c>
      <c r="K17" s="17" t="n">
        <v>0.908</v>
      </c>
      <c r="L17" s="17" t="n">
        <v>0.1151</v>
      </c>
      <c r="M17" s="17" t="n">
        <v>0.302</v>
      </c>
      <c r="N17" s="17" t="n">
        <v>0.252</v>
      </c>
      <c r="O17" s="17" t="n">
        <v>0.092</v>
      </c>
      <c r="P17" s="17" t="n">
        <v>0.1144</v>
      </c>
      <c r="Q17" s="17" t="n">
        <v>0.11</v>
      </c>
      <c r="R17" s="17" t="n">
        <v>0.11</v>
      </c>
      <c r="S17" s="17" t="n">
        <v>0.115</v>
      </c>
      <c r="T17" s="18" t="n">
        <v>13.5</v>
      </c>
      <c r="U17" s="18" t="n">
        <v>7.25</v>
      </c>
      <c r="V17" s="18" t="n">
        <v>25</v>
      </c>
      <c r="W17" s="19" t="n">
        <v>22950</v>
      </c>
      <c r="X17" s="19" t="n">
        <v>18700</v>
      </c>
      <c r="Y17" s="19" t="n">
        <v>42500</v>
      </c>
      <c r="Z17" s="20" t="n">
        <v>13.5</v>
      </c>
      <c r="AA17" s="20" t="n">
        <v>8</v>
      </c>
      <c r="AB17" s="20" t="n">
        <v>20</v>
      </c>
      <c r="AC17" s="19" t="n">
        <v>22950</v>
      </c>
      <c r="AD17" s="19" t="n">
        <v>13600</v>
      </c>
      <c r="AE17" s="19" t="n">
        <v>34000</v>
      </c>
      <c r="AF17" s="20" t="n">
        <v>12</v>
      </c>
      <c r="AG17" s="20" t="n">
        <v>7.25</v>
      </c>
      <c r="AH17" s="20" t="n">
        <v>18</v>
      </c>
      <c r="AI17" s="19" t="n">
        <v>20400</v>
      </c>
      <c r="AJ17" s="19" t="n">
        <v>13050</v>
      </c>
      <c r="AK17" s="19" t="n">
        <v>30600</v>
      </c>
      <c r="AL17" s="20" t="n">
        <v>15</v>
      </c>
      <c r="AM17" s="20" t="n">
        <v>9</v>
      </c>
      <c r="AN17" s="20" t="n">
        <v>25</v>
      </c>
      <c r="AO17" s="19" t="n">
        <v>25500</v>
      </c>
      <c r="AP17" s="19" t="n">
        <v>15300</v>
      </c>
      <c r="AQ17" s="19" t="n">
        <v>42500</v>
      </c>
      <c r="AR17" s="19" t="n">
        <v>-10700000</v>
      </c>
      <c r="AS17" s="19" t="n">
        <v>-1360000</v>
      </c>
      <c r="AT17" s="19" t="n">
        <v>342000</v>
      </c>
      <c r="AU17" s="19" t="n">
        <v>-9630000</v>
      </c>
      <c r="AV17" s="19" t="n">
        <v>42600000</v>
      </c>
      <c r="AW17" s="19" t="n">
        <v>3770000</v>
      </c>
      <c r="AX17" s="19" t="n">
        <v>1680000</v>
      </c>
      <c r="AY17" s="19" t="n">
        <v>37200000</v>
      </c>
    </row>
    <row r="18" customFormat="false" ht="12.8" hidden="false" customHeight="false" outlineLevel="0" collapsed="false">
      <c r="A18" s="15" t="n">
        <v>15</v>
      </c>
      <c r="B18" s="15" t="s">
        <v>86</v>
      </c>
      <c r="C18" s="15" t="s">
        <v>78</v>
      </c>
      <c r="D18" s="16" t="n">
        <v>7500</v>
      </c>
      <c r="E18" s="16" t="n">
        <v>1125</v>
      </c>
      <c r="F18" s="16" t="n">
        <v>1125</v>
      </c>
      <c r="G18" s="16" t="n">
        <v>5250</v>
      </c>
      <c r="H18" s="17" t="n">
        <v>0.8776</v>
      </c>
      <c r="I18" s="17" t="n">
        <v>0.73</v>
      </c>
      <c r="J18" s="17" t="n">
        <v>0.78</v>
      </c>
      <c r="K18" s="17" t="n">
        <v>0.92</v>
      </c>
      <c r="L18" s="17" t="n">
        <v>0.1224</v>
      </c>
      <c r="M18" s="17" t="n">
        <v>0.27</v>
      </c>
      <c r="N18" s="17" t="n">
        <v>0.22</v>
      </c>
      <c r="O18" s="17" t="n">
        <v>0.08</v>
      </c>
      <c r="P18" s="17" t="n">
        <v>0.1037</v>
      </c>
      <c r="Q18" s="17" t="n">
        <v>0.1</v>
      </c>
      <c r="R18" s="17" t="n">
        <v>0.1</v>
      </c>
      <c r="S18" s="17" t="n">
        <v>0.105</v>
      </c>
      <c r="T18" s="18" t="n">
        <v>18</v>
      </c>
      <c r="U18" s="18" t="n">
        <v>7.25</v>
      </c>
      <c r="V18" s="18" t="n">
        <v>25</v>
      </c>
      <c r="W18" s="19" t="n">
        <v>29700</v>
      </c>
      <c r="X18" s="19" t="n">
        <v>11962</v>
      </c>
      <c r="Y18" s="19" t="n">
        <v>41250</v>
      </c>
      <c r="Z18" s="20" t="n">
        <v>18</v>
      </c>
      <c r="AA18" s="20" t="n">
        <v>8</v>
      </c>
      <c r="AB18" s="20" t="n">
        <v>20</v>
      </c>
      <c r="AC18" s="19" t="n">
        <v>29700</v>
      </c>
      <c r="AD18" s="19" t="n">
        <v>13200</v>
      </c>
      <c r="AE18" s="19" t="n">
        <v>33000</v>
      </c>
      <c r="AF18" s="20" t="n">
        <v>16.5</v>
      </c>
      <c r="AG18" s="20" t="n">
        <v>7.25</v>
      </c>
      <c r="AH18" s="20" t="n">
        <v>18</v>
      </c>
      <c r="AI18" s="19" t="n">
        <v>27225</v>
      </c>
      <c r="AJ18" s="19" t="n">
        <v>11962</v>
      </c>
      <c r="AK18" s="19" t="n">
        <v>29700</v>
      </c>
      <c r="AL18" s="20" t="n">
        <v>20</v>
      </c>
      <c r="AM18" s="20" t="n">
        <v>9</v>
      </c>
      <c r="AN18" s="20" t="n">
        <v>25</v>
      </c>
      <c r="AO18" s="19" t="n">
        <v>33000</v>
      </c>
      <c r="AP18" s="19" t="n">
        <v>14850</v>
      </c>
      <c r="AQ18" s="19" t="n">
        <v>41250</v>
      </c>
      <c r="AR18" s="19" t="n">
        <v>-158000</v>
      </c>
      <c r="AS18" s="19" t="n">
        <v>-623000</v>
      </c>
      <c r="AT18" s="19" t="n">
        <v>1730000</v>
      </c>
      <c r="AU18" s="19" t="n">
        <v>-1110000</v>
      </c>
      <c r="AV18" s="19" t="n">
        <v>36200000</v>
      </c>
      <c r="AW18" s="19" t="n">
        <v>5100000</v>
      </c>
      <c r="AX18" s="19" t="n">
        <v>4670000</v>
      </c>
      <c r="AY18" s="19" t="n">
        <v>26400000</v>
      </c>
    </row>
    <row r="19" customFormat="false" ht="12.8" hidden="false" customHeight="false" outlineLevel="0" collapsed="false">
      <c r="A19" s="15" t="n">
        <v>16</v>
      </c>
      <c r="B19" s="15" t="s">
        <v>86</v>
      </c>
      <c r="C19" s="15" t="s">
        <v>79</v>
      </c>
      <c r="D19" s="16" t="n">
        <v>4050</v>
      </c>
      <c r="E19" s="16" t="n">
        <v>608</v>
      </c>
      <c r="F19" s="16" t="n">
        <v>608</v>
      </c>
      <c r="G19" s="16" t="n">
        <v>2834</v>
      </c>
      <c r="H19" s="17" t="n">
        <v>0.8775</v>
      </c>
      <c r="I19" s="17" t="n">
        <v>0.73</v>
      </c>
      <c r="J19" s="17" t="n">
        <v>0.78</v>
      </c>
      <c r="K19" s="17" t="n">
        <v>0.92</v>
      </c>
      <c r="L19" s="17" t="n">
        <v>0.1225</v>
      </c>
      <c r="M19" s="17" t="n">
        <v>0.27</v>
      </c>
      <c r="N19" s="17" t="n">
        <v>0.22</v>
      </c>
      <c r="O19" s="17" t="n">
        <v>0.08</v>
      </c>
      <c r="P19" s="17" t="n">
        <v>0.1037</v>
      </c>
      <c r="Q19" s="17" t="n">
        <v>0.1</v>
      </c>
      <c r="R19" s="17" t="n">
        <v>0.1</v>
      </c>
      <c r="S19" s="17" t="n">
        <v>0.105</v>
      </c>
      <c r="T19" s="18" t="n">
        <v>16</v>
      </c>
      <c r="U19" s="18" t="n">
        <v>7.25</v>
      </c>
      <c r="V19" s="18" t="n">
        <v>25</v>
      </c>
      <c r="W19" s="19" t="n">
        <v>26400</v>
      </c>
      <c r="X19" s="19" t="n">
        <v>11962</v>
      </c>
      <c r="Y19" s="19" t="n">
        <v>41250</v>
      </c>
      <c r="Z19" s="20" t="n">
        <v>16</v>
      </c>
      <c r="AA19" s="20" t="n">
        <v>8</v>
      </c>
      <c r="AB19" s="20" t="n">
        <v>20</v>
      </c>
      <c r="AC19" s="19" t="n">
        <v>26400</v>
      </c>
      <c r="AD19" s="19" t="n">
        <v>13200</v>
      </c>
      <c r="AE19" s="19" t="n">
        <v>33000</v>
      </c>
      <c r="AF19" s="20" t="n">
        <v>14.5</v>
      </c>
      <c r="AG19" s="20" t="n">
        <v>7.25</v>
      </c>
      <c r="AH19" s="20" t="n">
        <v>18</v>
      </c>
      <c r="AI19" s="19" t="n">
        <v>23925</v>
      </c>
      <c r="AJ19" s="19" t="n">
        <v>11962</v>
      </c>
      <c r="AK19" s="19" t="n">
        <v>29700</v>
      </c>
      <c r="AL19" s="20" t="n">
        <v>18</v>
      </c>
      <c r="AM19" s="20" t="n">
        <v>9</v>
      </c>
      <c r="AN19" s="20" t="n">
        <v>25</v>
      </c>
      <c r="AO19" s="19" t="n">
        <v>29700</v>
      </c>
      <c r="AP19" s="19" t="n">
        <v>14850</v>
      </c>
      <c r="AQ19" s="19" t="n">
        <v>41250</v>
      </c>
      <c r="AR19" s="19" t="n">
        <v>-1620000</v>
      </c>
      <c r="AS19" s="19" t="n">
        <v>-556000</v>
      </c>
      <c r="AT19" s="19" t="n">
        <v>670000</v>
      </c>
      <c r="AU19" s="19" t="n">
        <v>-1570000</v>
      </c>
      <c r="AV19" s="19" t="n">
        <v>17500000</v>
      </c>
      <c r="AW19" s="19" t="n">
        <v>2440000</v>
      </c>
      <c r="AX19" s="19" t="n">
        <v>2210000</v>
      </c>
      <c r="AY19" s="19" t="n">
        <v>12800000</v>
      </c>
    </row>
    <row r="20" customFormat="false" ht="12.8" hidden="false" customHeight="false" outlineLevel="0" collapsed="false">
      <c r="A20" s="15" t="n">
        <v>17</v>
      </c>
      <c r="B20" s="15" t="s">
        <v>87</v>
      </c>
      <c r="C20" s="15" t="s">
        <v>78</v>
      </c>
      <c r="D20" s="16" t="n">
        <v>5480</v>
      </c>
      <c r="E20" s="16" t="n">
        <v>842</v>
      </c>
      <c r="F20" s="16" t="n">
        <v>372</v>
      </c>
      <c r="G20" s="16" t="n">
        <v>4266</v>
      </c>
      <c r="H20" s="17" t="n">
        <v>0.8843</v>
      </c>
      <c r="I20" s="17" t="n">
        <v>0.715</v>
      </c>
      <c r="J20" s="17" t="n">
        <v>0.765</v>
      </c>
      <c r="K20" s="17" t="n">
        <v>0.918</v>
      </c>
      <c r="L20" s="17" t="n">
        <v>0.1157</v>
      </c>
      <c r="M20" s="17" t="n">
        <v>0.285</v>
      </c>
      <c r="N20" s="17" t="n">
        <v>0.235</v>
      </c>
      <c r="O20" s="17" t="n">
        <v>0.082</v>
      </c>
      <c r="P20" s="17" t="n">
        <v>0.104</v>
      </c>
      <c r="Q20" s="17" t="n">
        <v>0.1</v>
      </c>
      <c r="R20" s="17" t="n">
        <v>0.1</v>
      </c>
      <c r="S20" s="17" t="n">
        <v>0.105</v>
      </c>
      <c r="T20" s="18" t="n">
        <v>20</v>
      </c>
      <c r="U20" s="18" t="n">
        <v>7.25</v>
      </c>
      <c r="V20" s="18" t="n">
        <v>30</v>
      </c>
      <c r="W20" s="19" t="n">
        <v>36000</v>
      </c>
      <c r="X20" s="19" t="n">
        <v>19800</v>
      </c>
      <c r="Y20" s="19" t="n">
        <v>54000</v>
      </c>
      <c r="Z20" s="20" t="n">
        <v>20</v>
      </c>
      <c r="AA20" s="20" t="n">
        <v>10</v>
      </c>
      <c r="AB20" s="20" t="n">
        <v>25</v>
      </c>
      <c r="AC20" s="19" t="n">
        <v>36000</v>
      </c>
      <c r="AD20" s="19" t="n">
        <v>19800</v>
      </c>
      <c r="AE20" s="19" t="n">
        <v>45000</v>
      </c>
      <c r="AF20" s="20" t="n">
        <v>18</v>
      </c>
      <c r="AG20" s="20" t="n">
        <v>10</v>
      </c>
      <c r="AH20" s="20" t="n">
        <v>22</v>
      </c>
      <c r="AI20" s="19" t="n">
        <v>32400</v>
      </c>
      <c r="AJ20" s="19" t="n">
        <v>19800</v>
      </c>
      <c r="AK20" s="19" t="n">
        <v>39600</v>
      </c>
      <c r="AL20" s="20" t="n">
        <v>22</v>
      </c>
      <c r="AM20" s="20" t="n">
        <v>11</v>
      </c>
      <c r="AN20" s="20" t="n">
        <v>35</v>
      </c>
      <c r="AO20" s="19" t="n">
        <v>39600</v>
      </c>
      <c r="AP20" s="19" t="n">
        <v>19800</v>
      </c>
      <c r="AQ20" s="19" t="n">
        <v>63000</v>
      </c>
      <c r="AR20" s="19" t="n">
        <v>3650000</v>
      </c>
      <c r="AS20" s="19" t="n">
        <v>469000</v>
      </c>
      <c r="AT20" s="19" t="n">
        <v>157000</v>
      </c>
      <c r="AU20" s="19" t="n">
        <v>3020000</v>
      </c>
      <c r="AV20" s="19" t="n">
        <v>24600000</v>
      </c>
      <c r="AW20" s="19" t="n">
        <v>3610000</v>
      </c>
      <c r="AX20" s="19" t="n">
        <v>1560000</v>
      </c>
      <c r="AY20" s="19" t="n">
        <v>19400000</v>
      </c>
    </row>
    <row r="21" customFormat="false" ht="12.8" hidden="false" customHeight="false" outlineLevel="0" collapsed="false">
      <c r="A21" s="15" t="n">
        <v>18</v>
      </c>
      <c r="B21" s="15" t="s">
        <v>87</v>
      </c>
      <c r="C21" s="15" t="s">
        <v>79</v>
      </c>
      <c r="D21" s="16" t="n">
        <v>2960</v>
      </c>
      <c r="E21" s="16" t="n">
        <v>455</v>
      </c>
      <c r="F21" s="16" t="n">
        <v>201</v>
      </c>
      <c r="G21" s="16" t="n">
        <v>2304</v>
      </c>
      <c r="H21" s="17" t="n">
        <v>0.8843</v>
      </c>
      <c r="I21" s="17" t="n">
        <v>0.715</v>
      </c>
      <c r="J21" s="17" t="n">
        <v>0.765</v>
      </c>
      <c r="K21" s="17" t="n">
        <v>0.918</v>
      </c>
      <c r="L21" s="17" t="n">
        <v>0.1157</v>
      </c>
      <c r="M21" s="17" t="n">
        <v>0.285</v>
      </c>
      <c r="N21" s="17" t="n">
        <v>0.235</v>
      </c>
      <c r="O21" s="17" t="n">
        <v>0.082</v>
      </c>
      <c r="P21" s="17" t="n">
        <v>0.104</v>
      </c>
      <c r="Q21" s="17" t="n">
        <v>0.1</v>
      </c>
      <c r="R21" s="17" t="n">
        <v>0.1</v>
      </c>
      <c r="S21" s="17" t="n">
        <v>0.105</v>
      </c>
      <c r="T21" s="18" t="n">
        <v>18</v>
      </c>
      <c r="U21" s="18" t="n">
        <v>7.25</v>
      </c>
      <c r="V21" s="18" t="n">
        <v>30</v>
      </c>
      <c r="W21" s="19" t="n">
        <v>32400</v>
      </c>
      <c r="X21" s="19" t="n">
        <v>19800</v>
      </c>
      <c r="Y21" s="19" t="n">
        <v>54000</v>
      </c>
      <c r="Z21" s="20" t="n">
        <v>18</v>
      </c>
      <c r="AA21" s="20" t="n">
        <v>10</v>
      </c>
      <c r="AB21" s="20" t="n">
        <v>25</v>
      </c>
      <c r="AC21" s="19" t="n">
        <v>32400</v>
      </c>
      <c r="AD21" s="19" t="n">
        <v>19800</v>
      </c>
      <c r="AE21" s="19" t="n">
        <v>45000</v>
      </c>
      <c r="AF21" s="20" t="n">
        <v>16</v>
      </c>
      <c r="AG21" s="20" t="n">
        <v>10</v>
      </c>
      <c r="AH21" s="20" t="n">
        <v>22</v>
      </c>
      <c r="AI21" s="19" t="n">
        <v>28800</v>
      </c>
      <c r="AJ21" s="19" t="n">
        <v>19800</v>
      </c>
      <c r="AK21" s="19" t="n">
        <v>39600</v>
      </c>
      <c r="AL21" s="20" t="n">
        <v>20</v>
      </c>
      <c r="AM21" s="20" t="n">
        <v>11</v>
      </c>
      <c r="AN21" s="20" t="n">
        <v>35</v>
      </c>
      <c r="AO21" s="19" t="n">
        <v>36000</v>
      </c>
      <c r="AP21" s="19" t="n">
        <v>19800</v>
      </c>
      <c r="AQ21" s="19" t="n">
        <v>63000</v>
      </c>
      <c r="AR21" s="19" t="n">
        <v>1570000</v>
      </c>
      <c r="AS21" s="19" t="n">
        <v>210000</v>
      </c>
      <c r="AT21" s="19" t="n">
        <v>67000</v>
      </c>
      <c r="AU21" s="19" t="n">
        <v>1290000</v>
      </c>
      <c r="AV21" s="19" t="n">
        <v>11000000</v>
      </c>
      <c r="AW21" s="19" t="n">
        <v>1620000</v>
      </c>
      <c r="AX21" s="19" t="n">
        <v>700000</v>
      </c>
      <c r="AY21" s="19" t="n">
        <v>8690000</v>
      </c>
    </row>
    <row r="22" customFormat="false" ht="12.8" hidden="false" customHeight="false" outlineLevel="0" collapsed="false">
      <c r="A22" s="15" t="n">
        <v>19</v>
      </c>
      <c r="B22" s="15" t="s">
        <v>88</v>
      </c>
      <c r="C22" s="15" t="s">
        <v>78</v>
      </c>
      <c r="D22" s="16" t="n">
        <v>10120</v>
      </c>
      <c r="E22" s="16" t="n">
        <v>1548</v>
      </c>
      <c r="F22" s="16" t="n">
        <v>760</v>
      </c>
      <c r="G22" s="16" t="n">
        <v>7812</v>
      </c>
      <c r="H22" s="17" t="n">
        <v>0.8891</v>
      </c>
      <c r="I22" s="17" t="n">
        <v>0.716</v>
      </c>
      <c r="J22" s="17" t="n">
        <v>0.766</v>
      </c>
      <c r="K22" s="17" t="n">
        <v>0.916</v>
      </c>
      <c r="L22" s="17" t="n">
        <v>0.1109</v>
      </c>
      <c r="M22" s="17" t="n">
        <v>0.284</v>
      </c>
      <c r="N22" s="17" t="n">
        <v>0.234</v>
      </c>
      <c r="O22" s="17" t="n">
        <v>0.084</v>
      </c>
      <c r="P22" s="17" t="n">
        <v>0.1034</v>
      </c>
      <c r="Q22" s="17" t="n">
        <v>0.1</v>
      </c>
      <c r="R22" s="17" t="n">
        <v>0.1</v>
      </c>
      <c r="S22" s="17" t="n">
        <v>0.105</v>
      </c>
      <c r="T22" s="18" t="n">
        <v>20</v>
      </c>
      <c r="U22" s="18" t="n">
        <v>7.25</v>
      </c>
      <c r="V22" s="18" t="n">
        <v>30</v>
      </c>
      <c r="W22" s="19" t="n">
        <v>36000</v>
      </c>
      <c r="X22" s="19" t="n">
        <v>19800</v>
      </c>
      <c r="Y22" s="19" t="n">
        <v>54000</v>
      </c>
      <c r="Z22" s="20" t="n">
        <v>20</v>
      </c>
      <c r="AA22" s="20" t="n">
        <v>10</v>
      </c>
      <c r="AB22" s="20" t="n">
        <v>25</v>
      </c>
      <c r="AC22" s="19" t="n">
        <v>36000</v>
      </c>
      <c r="AD22" s="19" t="n">
        <v>19800</v>
      </c>
      <c r="AE22" s="19" t="n">
        <v>45000</v>
      </c>
      <c r="AF22" s="20" t="n">
        <v>18</v>
      </c>
      <c r="AG22" s="20" t="n">
        <v>10</v>
      </c>
      <c r="AH22" s="20" t="n">
        <v>22</v>
      </c>
      <c r="AI22" s="19" t="n">
        <v>32400</v>
      </c>
      <c r="AJ22" s="19" t="n">
        <v>19800</v>
      </c>
      <c r="AK22" s="19" t="n">
        <v>39600</v>
      </c>
      <c r="AL22" s="20" t="n">
        <v>22</v>
      </c>
      <c r="AM22" s="20" t="n">
        <v>11</v>
      </c>
      <c r="AN22" s="20" t="n">
        <v>35</v>
      </c>
      <c r="AO22" s="19" t="n">
        <v>39600</v>
      </c>
      <c r="AP22" s="19" t="n">
        <v>19800</v>
      </c>
      <c r="AQ22" s="19" t="n">
        <v>63000</v>
      </c>
      <c r="AR22" s="19" t="n">
        <v>10580000</v>
      </c>
      <c r="AS22" s="19" t="n">
        <v>1037000</v>
      </c>
      <c r="AT22" s="19" t="n">
        <v>600000</v>
      </c>
      <c r="AU22" s="19" t="n">
        <v>8940000</v>
      </c>
      <c r="AV22" s="19" t="n">
        <v>41000000</v>
      </c>
      <c r="AW22" s="19" t="n">
        <v>5930000</v>
      </c>
      <c r="AX22" s="19" t="n">
        <v>2950000</v>
      </c>
      <c r="AY22" s="19" t="n">
        <v>32100000</v>
      </c>
    </row>
    <row r="23" customFormat="false" ht="12.8" hidden="false" customHeight="false" outlineLevel="0" collapsed="false">
      <c r="A23" s="15" t="n">
        <v>20</v>
      </c>
      <c r="B23" s="15" t="s">
        <v>88</v>
      </c>
      <c r="C23" s="15" t="s">
        <v>79</v>
      </c>
      <c r="D23" s="16" t="n">
        <v>5455</v>
      </c>
      <c r="E23" s="16" t="n">
        <v>835</v>
      </c>
      <c r="F23" s="16" t="n">
        <v>410</v>
      </c>
      <c r="G23" s="16" t="n">
        <v>4210</v>
      </c>
      <c r="H23" s="17" t="n">
        <v>0.8891</v>
      </c>
      <c r="I23" s="17" t="n">
        <v>0.716</v>
      </c>
      <c r="J23" s="17" t="n">
        <v>0.766</v>
      </c>
      <c r="K23" s="17" t="n">
        <v>0.916</v>
      </c>
      <c r="L23" s="17" t="n">
        <v>0.1109</v>
      </c>
      <c r="M23" s="17" t="n">
        <v>0.284</v>
      </c>
      <c r="N23" s="17" t="n">
        <v>0.234</v>
      </c>
      <c r="O23" s="17" t="n">
        <v>0.084</v>
      </c>
      <c r="P23" s="17" t="n">
        <v>0.1034</v>
      </c>
      <c r="Q23" s="17" t="n">
        <v>0.1</v>
      </c>
      <c r="R23" s="17" t="n">
        <v>0.1</v>
      </c>
      <c r="S23" s="17" t="n">
        <v>0.105</v>
      </c>
      <c r="T23" s="18" t="n">
        <v>18</v>
      </c>
      <c r="U23" s="18" t="n">
        <v>7.25</v>
      </c>
      <c r="V23" s="18" t="n">
        <v>30</v>
      </c>
      <c r="W23" s="19" t="n">
        <v>32400</v>
      </c>
      <c r="X23" s="19" t="n">
        <v>19800</v>
      </c>
      <c r="Y23" s="19" t="n">
        <v>54000</v>
      </c>
      <c r="Z23" s="20" t="n">
        <v>18</v>
      </c>
      <c r="AA23" s="20" t="n">
        <v>10</v>
      </c>
      <c r="AB23" s="20" t="n">
        <v>25</v>
      </c>
      <c r="AC23" s="19" t="n">
        <v>32400</v>
      </c>
      <c r="AD23" s="19" t="n">
        <v>19800</v>
      </c>
      <c r="AE23" s="19" t="n">
        <v>45000</v>
      </c>
      <c r="AF23" s="20" t="n">
        <v>16</v>
      </c>
      <c r="AG23" s="20" t="n">
        <v>10</v>
      </c>
      <c r="AH23" s="20" t="n">
        <v>22</v>
      </c>
      <c r="AI23" s="19" t="n">
        <v>28800</v>
      </c>
      <c r="AJ23" s="19" t="n">
        <v>19800</v>
      </c>
      <c r="AK23" s="19" t="n">
        <v>39600</v>
      </c>
      <c r="AL23" s="20" t="n">
        <v>20</v>
      </c>
      <c r="AM23" s="20" t="n">
        <v>11</v>
      </c>
      <c r="AN23" s="20" t="n">
        <v>35</v>
      </c>
      <c r="AO23" s="19" t="n">
        <v>36000</v>
      </c>
      <c r="AP23" s="19" t="n">
        <v>19800</v>
      </c>
      <c r="AQ23" s="19" t="n">
        <v>63000</v>
      </c>
      <c r="AR23" s="19" t="n">
        <v>4750000</v>
      </c>
      <c r="AS23" s="19" t="n">
        <v>466000</v>
      </c>
      <c r="AT23" s="19" t="n">
        <v>255000</v>
      </c>
      <c r="AU23" s="19" t="n">
        <v>4030000</v>
      </c>
      <c r="AV23" s="19" t="n">
        <v>18400000</v>
      </c>
      <c r="AW23" s="19" t="n">
        <v>2670000</v>
      </c>
      <c r="AX23" s="19" t="n">
        <v>1330000</v>
      </c>
      <c r="AY23" s="19" t="n">
        <v>14400000</v>
      </c>
    </row>
    <row r="24" customFormat="false" ht="12.8" hidden="false" customHeight="false" outlineLevel="0" collapsed="false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customFormat="false" ht="12.8" hidden="false" customHeight="fals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customFormat="false" ht="12.8" hidden="false" customHeight="false" outlineLevel="0" collapsed="false">
      <c r="A26" s="4" t="s">
        <v>178</v>
      </c>
      <c r="B26" s="27" t="s">
        <v>177</v>
      </c>
      <c r="C26" s="4" t="s">
        <v>144</v>
      </c>
    </row>
    <row r="27" customFormat="false" ht="23.85" hidden="false" customHeight="false" outlineLevel="0" collapsed="false">
      <c r="A27" s="4" t="s">
        <v>15</v>
      </c>
      <c r="B27" s="14" t="s">
        <v>145</v>
      </c>
      <c r="C27" s="14" t="str">
        <f aca="false">D2</f>
        <v>Total Population</v>
      </c>
      <c r="D27" s="14" t="str">
        <f aca="false">E2</f>
        <v>Authorized Population</v>
      </c>
      <c r="E27" s="14" t="str">
        <f aca="false">F2</f>
        <v>Unauthorized Population</v>
      </c>
      <c r="F27" s="14" t="str">
        <f aca="false">G2</f>
        <v>American Population</v>
      </c>
    </row>
    <row r="28" customFormat="false" ht="12.8" hidden="false" customHeight="false" outlineLevel="1" collapsed="false">
      <c r="A28" s="4" t="str">
        <f aca="false">_xlfn.CONCAT($A$26, ".", $A3)</f>
        <v>GA.0.0</v>
      </c>
      <c r="B28" s="4" t="str">
        <f aca="false">_xlfn.CONCAT(B3, ": ", C3)</f>
        <v>All Industries: All Roles</v>
      </c>
      <c r="C28" s="27" t="n">
        <f aca="false">D3</f>
        <v>11302748</v>
      </c>
      <c r="D28" s="27" t="n">
        <f aca="false">E3</f>
        <v>682000</v>
      </c>
      <c r="E28" s="27" t="n">
        <f aca="false">F3</f>
        <v>479000</v>
      </c>
      <c r="F28" s="27" t="n">
        <f aca="false">G3</f>
        <v>10142748</v>
      </c>
    </row>
    <row r="29" customFormat="false" ht="12.8" hidden="false" customHeight="false" outlineLevel="1" collapsed="false">
      <c r="A29" s="5" t="str">
        <f aca="false">_xlfn.CONCAT($A$26, ".", $A4)</f>
        <v>GA.0.1</v>
      </c>
      <c r="B29" s="5" t="str">
        <f aca="false">_xlfn.CONCAT(B4, ": ", C4)</f>
        <v>Agriculture: Worker</v>
      </c>
      <c r="C29" s="15" t="n">
        <f aca="false">D4</f>
        <v>1780</v>
      </c>
      <c r="D29" s="15" t="n">
        <f aca="false">E4</f>
        <v>478</v>
      </c>
      <c r="E29" s="15" t="n">
        <f aca="false">F4</f>
        <v>258</v>
      </c>
      <c r="F29" s="15" t="n">
        <f aca="false">G4</f>
        <v>1044</v>
      </c>
    </row>
    <row r="30" customFormat="false" ht="12.8" hidden="false" customHeight="false" outlineLevel="1" collapsed="false">
      <c r="A30" s="5" t="str">
        <f aca="false">_xlfn.CONCAT($A$26, ".", $A5)</f>
        <v>GA.0.2</v>
      </c>
      <c r="B30" s="5" t="str">
        <f aca="false">_xlfn.CONCAT(B5, ": ", C5)</f>
        <v>Agriculture: Support</v>
      </c>
      <c r="C30" s="15" t="n">
        <f aca="false">D5</f>
        <v>960</v>
      </c>
      <c r="D30" s="15" t="n">
        <f aca="false">E5</f>
        <v>258</v>
      </c>
      <c r="E30" s="15" t="n">
        <f aca="false">F5</f>
        <v>139</v>
      </c>
      <c r="F30" s="15" t="n">
        <f aca="false">G5</f>
        <v>563</v>
      </c>
    </row>
    <row r="31" customFormat="false" ht="12.8" hidden="false" customHeight="false" outlineLevel="1" collapsed="false">
      <c r="A31" s="5" t="str">
        <f aca="false">_xlfn.CONCAT($A$26, ".", $A6)</f>
        <v>GA.0.3</v>
      </c>
      <c r="B31" s="5" t="str">
        <f aca="false">_xlfn.CONCAT(B6, ": ", C6)</f>
        <v>Construction: Worker</v>
      </c>
      <c r="C31" s="15" t="n">
        <f aca="false">D6</f>
        <v>6460</v>
      </c>
      <c r="D31" s="15" t="n">
        <f aca="false">E6</f>
        <v>997</v>
      </c>
      <c r="E31" s="15" t="n">
        <f aca="false">F6</f>
        <v>1010</v>
      </c>
      <c r="F31" s="15" t="n">
        <f aca="false">G6</f>
        <v>4453</v>
      </c>
    </row>
    <row r="32" customFormat="false" ht="12.8" hidden="false" customHeight="false" outlineLevel="1" collapsed="false">
      <c r="A32" s="5" t="str">
        <f aca="false">_xlfn.CONCAT($A$26, ".", $A7)</f>
        <v>GA.0.4</v>
      </c>
      <c r="B32" s="5" t="str">
        <f aca="false">_xlfn.CONCAT(B7, ": ", C7)</f>
        <v>Construction: Support</v>
      </c>
      <c r="C32" s="15" t="n">
        <f aca="false">D7</f>
        <v>3485</v>
      </c>
      <c r="D32" s="15" t="n">
        <f aca="false">E7</f>
        <v>537</v>
      </c>
      <c r="E32" s="15" t="n">
        <f aca="false">F7</f>
        <v>545</v>
      </c>
      <c r="F32" s="15" t="n">
        <f aca="false">G7</f>
        <v>2403</v>
      </c>
    </row>
    <row r="33" customFormat="false" ht="12.8" hidden="false" customHeight="false" outlineLevel="1" collapsed="false">
      <c r="A33" s="5" t="str">
        <f aca="false">_xlfn.CONCAT($A$26, ".", $A8)</f>
        <v>GA.0.5</v>
      </c>
      <c r="B33" s="5" t="str">
        <f aca="false">_xlfn.CONCAT(B8, ": ", C8)</f>
        <v>Hospitality: Worker</v>
      </c>
      <c r="C33" s="15" t="n">
        <f aca="false">D8</f>
        <v>20750</v>
      </c>
      <c r="D33" s="15" t="n">
        <f aca="false">E8</f>
        <v>3170</v>
      </c>
      <c r="E33" s="15" t="n">
        <f aca="false">F8</f>
        <v>3120</v>
      </c>
      <c r="F33" s="15" t="n">
        <f aca="false">G8</f>
        <v>14460</v>
      </c>
    </row>
    <row r="34" customFormat="false" ht="12.8" hidden="false" customHeight="false" outlineLevel="1" collapsed="false">
      <c r="A34" s="5" t="str">
        <f aca="false">_xlfn.CONCAT($A$26, ".", $A9)</f>
        <v>GA.0.6</v>
      </c>
      <c r="B34" s="5" t="str">
        <f aca="false">_xlfn.CONCAT(B9, ": ", C9)</f>
        <v>Hospitality: Support</v>
      </c>
      <c r="C34" s="15" t="n">
        <f aca="false">D9</f>
        <v>11190</v>
      </c>
      <c r="D34" s="15" t="n">
        <f aca="false">E9</f>
        <v>1710</v>
      </c>
      <c r="E34" s="15" t="n">
        <f aca="false">F9</f>
        <v>1680</v>
      </c>
      <c r="F34" s="15" t="n">
        <f aca="false">G9</f>
        <v>7800</v>
      </c>
    </row>
    <row r="35" customFormat="false" ht="12.8" hidden="false" customHeight="false" outlineLevel="1" collapsed="false">
      <c r="A35" s="5" t="str">
        <f aca="false">_xlfn.CONCAT($A$26, ".", $A10)</f>
        <v>GA.0.7</v>
      </c>
      <c r="B35" s="5" t="str">
        <f aca="false">_xlfn.CONCAT(B10, ": ", C10)</f>
        <v>Cleaning/Maintenance: Worker</v>
      </c>
      <c r="C35" s="15" t="n">
        <f aca="false">D10</f>
        <v>9240</v>
      </c>
      <c r="D35" s="15" t="n">
        <f aca="false">E10</f>
        <v>1597</v>
      </c>
      <c r="E35" s="15" t="n">
        <f aca="false">F10</f>
        <v>1579</v>
      </c>
      <c r="F35" s="15" t="n">
        <f aca="false">G10</f>
        <v>6064</v>
      </c>
    </row>
    <row r="36" customFormat="false" ht="12.8" hidden="false" customHeight="false" outlineLevel="1" collapsed="false">
      <c r="A36" s="5" t="str">
        <f aca="false">_xlfn.CONCAT($A$26, ".", $A11)</f>
        <v>GA.0.8</v>
      </c>
      <c r="B36" s="5" t="str">
        <f aca="false">_xlfn.CONCAT(B11, ": ", C11)</f>
        <v>Cleaning/Maintenance: Support</v>
      </c>
      <c r="C36" s="15" t="n">
        <f aca="false">D11</f>
        <v>4985</v>
      </c>
      <c r="D36" s="15" t="n">
        <f aca="false">E11</f>
        <v>862</v>
      </c>
      <c r="E36" s="15" t="n">
        <f aca="false">F11</f>
        <v>852</v>
      </c>
      <c r="F36" s="15" t="n">
        <f aca="false">G11</f>
        <v>3271</v>
      </c>
    </row>
    <row r="37" customFormat="false" ht="12.8" hidden="false" customHeight="false" outlineLevel="1" collapsed="false">
      <c r="A37" s="5" t="str">
        <f aca="false">_xlfn.CONCAT($A$26, ".", $A12)</f>
        <v>GA.0.9</v>
      </c>
      <c r="B37" s="5" t="str">
        <f aca="false">_xlfn.CONCAT(B12, ": ", C12)</f>
        <v>Manufacturing: Worker</v>
      </c>
      <c r="C37" s="15" t="n">
        <f aca="false">D12</f>
        <v>19320</v>
      </c>
      <c r="D37" s="15" t="n">
        <f aca="false">E12</f>
        <v>2892</v>
      </c>
      <c r="E37" s="15" t="n">
        <f aca="false">F12</f>
        <v>1449</v>
      </c>
      <c r="F37" s="15" t="n">
        <f aca="false">G12</f>
        <v>14979</v>
      </c>
    </row>
    <row r="38" customFormat="false" ht="12.8" hidden="false" customHeight="false" outlineLevel="1" collapsed="false">
      <c r="A38" s="5" t="str">
        <f aca="false">_xlfn.CONCAT($A$26, ".", $A13)</f>
        <v>GA.0.10</v>
      </c>
      <c r="B38" s="5" t="str">
        <f aca="false">_xlfn.CONCAT(B13, ": ", C13)</f>
        <v>Manufacturing: Support</v>
      </c>
      <c r="C38" s="15" t="n">
        <f aca="false">D13</f>
        <v>10420</v>
      </c>
      <c r="D38" s="15" t="n">
        <f aca="false">E13</f>
        <v>1388</v>
      </c>
      <c r="E38" s="15" t="n">
        <f aca="false">F13</f>
        <v>781</v>
      </c>
      <c r="F38" s="15" t="n">
        <f aca="false">G13</f>
        <v>8251</v>
      </c>
    </row>
    <row r="39" customFormat="false" ht="12.8" hidden="false" customHeight="false" outlineLevel="1" collapsed="false">
      <c r="A39" s="5" t="str">
        <f aca="false">_xlfn.CONCAT($A$26, ".", $A14)</f>
        <v>GA.0.11</v>
      </c>
      <c r="B39" s="5" t="str">
        <f aca="false">_xlfn.CONCAT(B14, ": ", C14)</f>
        <v>Transportation &amp; Warehousing: Worker</v>
      </c>
      <c r="C39" s="15" t="n">
        <f aca="false">D14</f>
        <v>14140</v>
      </c>
      <c r="D39" s="15" t="n">
        <f aca="false">E14</f>
        <v>2418</v>
      </c>
      <c r="E39" s="15" t="n">
        <f aca="false">F14</f>
        <v>1175</v>
      </c>
      <c r="F39" s="15" t="n">
        <f aca="false">G14</f>
        <v>9547</v>
      </c>
    </row>
    <row r="40" customFormat="false" ht="12.8" hidden="false" customHeight="false" outlineLevel="1" collapsed="false">
      <c r="A40" s="5" t="str">
        <f aca="false">_xlfn.CONCAT($A$26, ".", $A15)</f>
        <v>GA.0.12</v>
      </c>
      <c r="B40" s="5" t="str">
        <f aca="false">_xlfn.CONCAT(B15, ": ", C15)</f>
        <v>Transportation &amp; Warehousing: Support</v>
      </c>
      <c r="C40" s="15" t="n">
        <f aca="false">D15</f>
        <v>7630</v>
      </c>
      <c r="D40" s="15" t="n">
        <f aca="false">E15</f>
        <v>1300</v>
      </c>
      <c r="E40" s="15" t="n">
        <f aca="false">F15</f>
        <v>632</v>
      </c>
      <c r="F40" s="15" t="n">
        <f aca="false">G15</f>
        <v>5698</v>
      </c>
    </row>
    <row r="41" customFormat="false" ht="12.8" hidden="false" customHeight="false" outlineLevel="1" collapsed="false">
      <c r="A41" s="5" t="str">
        <f aca="false">_xlfn.CONCAT($A$26, ".", $A16)</f>
        <v>GA.0.13</v>
      </c>
      <c r="B41" s="5" t="str">
        <f aca="false">_xlfn.CONCAT(B16, ": ", C16)</f>
        <v>Retail Trade: Worker</v>
      </c>
      <c r="C41" s="15" t="n">
        <f aca="false">D16</f>
        <v>20750</v>
      </c>
      <c r="D41" s="15" t="n">
        <f aca="false">E16</f>
        <v>2000</v>
      </c>
      <c r="E41" s="15" t="n">
        <f aca="false">F16</f>
        <v>1000</v>
      </c>
      <c r="F41" s="15" t="n">
        <f aca="false">G16</f>
        <v>17750</v>
      </c>
    </row>
    <row r="42" customFormat="false" ht="12.8" hidden="false" customHeight="false" outlineLevel="1" collapsed="false">
      <c r="A42" s="5" t="str">
        <f aca="false">_xlfn.CONCAT($A$26, ".", $A17)</f>
        <v>GA.0.14</v>
      </c>
      <c r="B42" s="5" t="str">
        <f aca="false">_xlfn.CONCAT(B17, ": ", C17)</f>
        <v>Retail Trade: Support</v>
      </c>
      <c r="C42" s="15" t="n">
        <f aca="false">D17</f>
        <v>11190</v>
      </c>
      <c r="D42" s="15" t="n">
        <f aca="false">E17</f>
        <v>1078</v>
      </c>
      <c r="E42" s="15" t="n">
        <f aca="false">F17</f>
        <v>539</v>
      </c>
      <c r="F42" s="15" t="n">
        <f aca="false">G17</f>
        <v>9573</v>
      </c>
    </row>
    <row r="43" customFormat="false" ht="12.8" hidden="false" customHeight="false" outlineLevel="1" collapsed="false">
      <c r="A43" s="5" t="str">
        <f aca="false">_xlfn.CONCAT($A$26, ".", $A18)</f>
        <v>GA.0.15</v>
      </c>
      <c r="B43" s="5" t="str">
        <f aca="false">_xlfn.CONCAT(B18, ": ", C18)</f>
        <v>Landscaping / Groundskeeping: Worker</v>
      </c>
      <c r="C43" s="15" t="n">
        <f aca="false">D18</f>
        <v>7500</v>
      </c>
      <c r="D43" s="15" t="n">
        <f aca="false">E18</f>
        <v>1125</v>
      </c>
      <c r="E43" s="15" t="n">
        <f aca="false">F18</f>
        <v>1125</v>
      </c>
      <c r="F43" s="15" t="n">
        <f aca="false">G18</f>
        <v>5250</v>
      </c>
    </row>
    <row r="44" customFormat="false" ht="12.8" hidden="false" customHeight="false" outlineLevel="1" collapsed="false">
      <c r="A44" s="5" t="str">
        <f aca="false">_xlfn.CONCAT($A$26, ".", $A19)</f>
        <v>GA.0.16</v>
      </c>
      <c r="B44" s="5" t="str">
        <f aca="false">_xlfn.CONCAT(B19, ": ", C19)</f>
        <v>Landscaping / Groundskeeping: Support</v>
      </c>
      <c r="C44" s="15" t="n">
        <f aca="false">D19</f>
        <v>4050</v>
      </c>
      <c r="D44" s="15" t="n">
        <f aca="false">E19</f>
        <v>608</v>
      </c>
      <c r="E44" s="15" t="n">
        <f aca="false">F19</f>
        <v>608</v>
      </c>
      <c r="F44" s="15" t="n">
        <f aca="false">G19</f>
        <v>2834</v>
      </c>
    </row>
    <row r="45" customFormat="false" ht="12.8" hidden="false" customHeight="false" outlineLevel="1" collapsed="false">
      <c r="A45" s="5" t="str">
        <f aca="false">_xlfn.CONCAT($A$26, ".", $A20)</f>
        <v>GA.0.17</v>
      </c>
      <c r="B45" s="5" t="str">
        <f aca="false">_xlfn.CONCAT(B20, ": ", C20)</f>
        <v>Automotive &amp; Repair: Worker</v>
      </c>
      <c r="C45" s="15" t="n">
        <f aca="false">D20</f>
        <v>5480</v>
      </c>
      <c r="D45" s="15" t="n">
        <f aca="false">E20</f>
        <v>842</v>
      </c>
      <c r="E45" s="15" t="n">
        <f aca="false">F20</f>
        <v>372</v>
      </c>
      <c r="F45" s="15" t="n">
        <f aca="false">G20</f>
        <v>4266</v>
      </c>
    </row>
    <row r="46" customFormat="false" ht="12.8" hidden="false" customHeight="false" outlineLevel="1" collapsed="false">
      <c r="A46" s="5" t="str">
        <f aca="false">_xlfn.CONCAT($A$26, ".", $A21)</f>
        <v>GA.0.18</v>
      </c>
      <c r="B46" s="5" t="str">
        <f aca="false">_xlfn.CONCAT(B21, ": ", C21)</f>
        <v>Automotive &amp; Repair: Support</v>
      </c>
      <c r="C46" s="15" t="n">
        <f aca="false">D21</f>
        <v>2960</v>
      </c>
      <c r="D46" s="15" t="n">
        <f aca="false">E21</f>
        <v>455</v>
      </c>
      <c r="E46" s="15" t="n">
        <f aca="false">F21</f>
        <v>201</v>
      </c>
      <c r="F46" s="15" t="n">
        <f aca="false">G21</f>
        <v>2304</v>
      </c>
    </row>
    <row r="47" customFormat="false" ht="12.8" hidden="false" customHeight="false" outlineLevel="1" collapsed="false">
      <c r="A47" s="5" t="str">
        <f aca="false">_xlfn.CONCAT($A$26, ".", $A22)</f>
        <v>GA.0.19</v>
      </c>
      <c r="B47" s="5" t="str">
        <f aca="false">_xlfn.CONCAT(B22, ": ", C22)</f>
        <v>Other Services: Worker</v>
      </c>
      <c r="C47" s="15" t="n">
        <f aca="false">D22</f>
        <v>10120</v>
      </c>
      <c r="D47" s="15" t="n">
        <f aca="false">E22</f>
        <v>1548</v>
      </c>
      <c r="E47" s="15" t="n">
        <f aca="false">F22</f>
        <v>760</v>
      </c>
      <c r="F47" s="15" t="n">
        <f aca="false">G22</f>
        <v>7812</v>
      </c>
    </row>
    <row r="48" customFormat="false" ht="12.8" hidden="false" customHeight="false" outlineLevel="1" collapsed="false">
      <c r="A48" s="5" t="str">
        <f aca="false">_xlfn.CONCAT($A$26, ".", $A23)</f>
        <v>GA.0.20</v>
      </c>
      <c r="B48" s="5" t="str">
        <f aca="false">_xlfn.CONCAT(B23, ": ", C23)</f>
        <v>Other Services: Support</v>
      </c>
      <c r="C48" s="15" t="n">
        <f aca="false">D23</f>
        <v>5455</v>
      </c>
      <c r="D48" s="15" t="n">
        <f aca="false">E23</f>
        <v>835</v>
      </c>
      <c r="E48" s="15" t="n">
        <f aca="false">F23</f>
        <v>410</v>
      </c>
      <c r="F48" s="15" t="n">
        <f aca="false">G23</f>
        <v>4210</v>
      </c>
    </row>
    <row r="144" customFormat="false" ht="12.8" hidden="false" customHeight="false" outlineLevel="0" collapsed="false">
      <c r="A144" s="4" t="s">
        <v>179</v>
      </c>
      <c r="B144" s="27" t="s">
        <v>177</v>
      </c>
      <c r="C144" s="29" t="s">
        <v>147</v>
      </c>
    </row>
    <row r="145" customFormat="false" ht="35.05" hidden="false" customHeight="false" outlineLevel="0" collapsed="false">
      <c r="A145" s="4" t="s">
        <v>15</v>
      </c>
      <c r="B145" s="14" t="s">
        <v>145</v>
      </c>
      <c r="C145" s="14" t="str">
        <f aca="false">H2</f>
        <v>Employment Rate</v>
      </c>
      <c r="D145" s="14" t="str">
        <f aca="false">I2</f>
        <v>Authorized Immigrant Employment Rate</v>
      </c>
      <c r="E145" s="14" t="str">
        <f aca="false">J2</f>
        <v>Unauthorized Immigrant Employment Rate</v>
      </c>
      <c r="F145" s="14" t="str">
        <f aca="false">K2</f>
        <v>American Employment Rate</v>
      </c>
    </row>
    <row r="146" customFormat="false" ht="12.8" hidden="false" customHeight="false" outlineLevel="0" collapsed="false">
      <c r="A146" s="1" t="str">
        <f aca="false">_xlfn.CONCAT($A$144, ".", A3)</f>
        <v>GA.1.0</v>
      </c>
      <c r="B146" s="4" t="str">
        <f aca="false">_xlfn.CONCAT(B3, ": ", C3)</f>
        <v>All Industries: All Roles</v>
      </c>
      <c r="C146" s="30" t="n">
        <f aca="false">H3</f>
        <v>0.9147</v>
      </c>
      <c r="D146" s="30" t="n">
        <f aca="false">I3</f>
        <v>0.722</v>
      </c>
      <c r="E146" s="30" t="n">
        <f aca="false">J3</f>
        <v>0.772</v>
      </c>
      <c r="F146" s="30" t="n">
        <f aca="false">K3</f>
        <v>0.925</v>
      </c>
    </row>
    <row r="147" customFormat="false" ht="12.8" hidden="false" customHeight="false" outlineLevel="0" collapsed="false">
      <c r="A147" s="1" t="str">
        <f aca="false">_xlfn.CONCAT($A$144, ".", A4)</f>
        <v>GA.1.1</v>
      </c>
      <c r="B147" s="5" t="str">
        <f aca="false">_xlfn.CONCAT(B4, ": ", C4)</f>
        <v>Agriculture: Worker</v>
      </c>
      <c r="C147" s="17" t="n">
        <f aca="false">H4</f>
        <v>0.8746</v>
      </c>
      <c r="D147" s="17" t="n">
        <f aca="false">I4</f>
        <v>0.75</v>
      </c>
      <c r="E147" s="17" t="n">
        <f aca="false">J4</f>
        <v>0.8</v>
      </c>
      <c r="F147" s="17" t="n">
        <f aca="false">K4</f>
        <v>0.95</v>
      </c>
    </row>
    <row r="148" customFormat="false" ht="12.8" hidden="false" customHeight="false" outlineLevel="0" collapsed="false">
      <c r="A148" s="1" t="str">
        <f aca="false">_xlfn.CONCAT($A$144, ".", A5)</f>
        <v>GA.1.2</v>
      </c>
      <c r="B148" s="5" t="str">
        <f aca="false">_xlfn.CONCAT(B5, ": ", C5)</f>
        <v>Agriculture: Support</v>
      </c>
      <c r="C148" s="17" t="n">
        <f aca="false">H5</f>
        <v>0.8749</v>
      </c>
      <c r="D148" s="17" t="n">
        <f aca="false">I5</f>
        <v>0.75</v>
      </c>
      <c r="E148" s="17" t="n">
        <f aca="false">J5</f>
        <v>0.8</v>
      </c>
      <c r="F148" s="17" t="n">
        <f aca="false">K5</f>
        <v>0.95</v>
      </c>
    </row>
    <row r="149" customFormat="false" ht="12.8" hidden="false" customHeight="false" outlineLevel="0" collapsed="false">
      <c r="A149" s="1" t="str">
        <f aca="false">_xlfn.CONCAT($A$144, ".", A6)</f>
        <v>GA.1.3</v>
      </c>
      <c r="B149" s="5" t="str">
        <f aca="false">_xlfn.CONCAT(B6, ": ", C6)</f>
        <v>Construction: Worker</v>
      </c>
      <c r="C149" s="17" t="n">
        <f aca="false">H6</f>
        <v>0.9001</v>
      </c>
      <c r="D149" s="17" t="n">
        <f aca="false">I6</f>
        <v>0.752</v>
      </c>
      <c r="E149" s="17" t="n">
        <f aca="false">J6</f>
        <v>0.802</v>
      </c>
      <c r="F149" s="17" t="n">
        <f aca="false">K6</f>
        <v>0.945</v>
      </c>
    </row>
    <row r="150" customFormat="false" ht="12.8" hidden="false" customHeight="false" outlineLevel="0" collapsed="false">
      <c r="A150" s="1" t="str">
        <f aca="false">_xlfn.CONCAT($A$144, ".", A7)</f>
        <v>GA.1.4</v>
      </c>
      <c r="B150" s="5" t="str">
        <f aca="false">_xlfn.CONCAT(B7, ": ", C7)</f>
        <v>Construction: Support</v>
      </c>
      <c r="C150" s="17" t="n">
        <f aca="false">H7</f>
        <v>0.9</v>
      </c>
      <c r="D150" s="17" t="n">
        <f aca="false">I7</f>
        <v>0.752</v>
      </c>
      <c r="E150" s="17" t="n">
        <f aca="false">J7</f>
        <v>0.802</v>
      </c>
      <c r="F150" s="17" t="n">
        <f aca="false">K7</f>
        <v>0.945</v>
      </c>
    </row>
    <row r="151" customFormat="false" ht="12.8" hidden="false" customHeight="false" outlineLevel="0" collapsed="false">
      <c r="A151" s="1" t="str">
        <f aca="false">_xlfn.CONCAT($A$144, ".", A8)</f>
        <v>GA.1.5</v>
      </c>
      <c r="B151" s="5" t="str">
        <f aca="false">_xlfn.CONCAT(B8, ": ", C8)</f>
        <v>Hospitality: Worker</v>
      </c>
      <c r="C151" s="17" t="n">
        <f aca="false">H8</f>
        <v>0.8729</v>
      </c>
      <c r="D151" s="17" t="n">
        <f aca="false">I8</f>
        <v>0.715</v>
      </c>
      <c r="E151" s="17" t="n">
        <f aca="false">J8</f>
        <v>0.765</v>
      </c>
      <c r="F151" s="17" t="n">
        <f aca="false">K8</f>
        <v>0.92</v>
      </c>
    </row>
    <row r="152" customFormat="false" ht="12.8" hidden="false" customHeight="false" outlineLevel="0" collapsed="false">
      <c r="A152" s="1" t="str">
        <f aca="false">_xlfn.CONCAT($A$144, ".", A9)</f>
        <v>GA.1.6</v>
      </c>
      <c r="B152" s="5" t="str">
        <f aca="false">_xlfn.CONCAT(B9, ": ", C9)</f>
        <v>Hospitality: Support</v>
      </c>
      <c r="C152" s="17" t="n">
        <f aca="false">H9</f>
        <v>0.8729</v>
      </c>
      <c r="D152" s="17" t="n">
        <f aca="false">I9</f>
        <v>0.715</v>
      </c>
      <c r="E152" s="17" t="n">
        <f aca="false">J9</f>
        <v>0.765</v>
      </c>
      <c r="F152" s="17" t="n">
        <f aca="false">K9</f>
        <v>0.92</v>
      </c>
    </row>
    <row r="153" customFormat="false" ht="12.8" hidden="false" customHeight="false" outlineLevel="0" collapsed="false">
      <c r="A153" s="1" t="str">
        <f aca="false">_xlfn.CONCAT($A$144, ".", A10)</f>
        <v>GA.1.7</v>
      </c>
      <c r="B153" s="5" t="str">
        <f aca="false">_xlfn.CONCAT(B10, ": ", C10)</f>
        <v>Cleaning/Maintenance: Worker</v>
      </c>
      <c r="C153" s="17" t="n">
        <f aca="false">H10</f>
        <v>0.8697</v>
      </c>
      <c r="D153" s="17" t="n">
        <f aca="false">I10</f>
        <v>0.716</v>
      </c>
      <c r="E153" s="17" t="n">
        <f aca="false">J10</f>
        <v>0.766</v>
      </c>
      <c r="F153" s="17" t="n">
        <f aca="false">K10</f>
        <v>0.924</v>
      </c>
    </row>
    <row r="154" customFormat="false" ht="12.8" hidden="false" customHeight="false" outlineLevel="0" collapsed="false">
      <c r="A154" s="1" t="str">
        <f aca="false">_xlfn.CONCAT($A$144, ".", A11)</f>
        <v>GA.1.8</v>
      </c>
      <c r="B154" s="5" t="str">
        <f aca="false">_xlfn.CONCAT(B11, ": ", C11)</f>
        <v>Cleaning/Maintenance: Support</v>
      </c>
      <c r="C154" s="17" t="n">
        <f aca="false">H11</f>
        <v>0.8697</v>
      </c>
      <c r="D154" s="17" t="n">
        <f aca="false">I11</f>
        <v>0.716</v>
      </c>
      <c r="E154" s="17" t="n">
        <f aca="false">J11</f>
        <v>0.766</v>
      </c>
      <c r="F154" s="17" t="n">
        <f aca="false">K11</f>
        <v>0.924</v>
      </c>
    </row>
    <row r="155" customFormat="false" ht="12.8" hidden="false" customHeight="false" outlineLevel="0" collapsed="false">
      <c r="A155" s="1" t="str">
        <f aca="false">_xlfn.CONCAT($A$144, ".", A12)</f>
        <v>GA.1.9</v>
      </c>
      <c r="B155" s="5" t="str">
        <f aca="false">_xlfn.CONCAT(B12, ": ", C12)</f>
        <v>Manufacturing: Worker</v>
      </c>
      <c r="C155" s="17" t="n">
        <f aca="false">H12</f>
        <v>0.9179</v>
      </c>
      <c r="D155" s="17" t="n">
        <f aca="false">I12</f>
        <v>0.76</v>
      </c>
      <c r="E155" s="17" t="n">
        <f aca="false">J12</f>
        <v>0.81</v>
      </c>
      <c r="F155" s="17" t="n">
        <f aca="false">K12</f>
        <v>0.95</v>
      </c>
    </row>
    <row r="156" customFormat="false" ht="12.8" hidden="false" customHeight="false" outlineLevel="0" collapsed="false">
      <c r="A156" s="1" t="str">
        <f aca="false">_xlfn.CONCAT($A$144, ".", A13)</f>
        <v>GA.1.10</v>
      </c>
      <c r="B156" s="5" t="str">
        <f aca="false">_xlfn.CONCAT(B13, ": ", C13)</f>
        <v>Manufacturing: Support</v>
      </c>
      <c r="C156" s="17" t="n">
        <f aca="false">H13</f>
        <v>0.9179</v>
      </c>
      <c r="D156" s="17" t="n">
        <f aca="false">I13</f>
        <v>0.76</v>
      </c>
      <c r="E156" s="17" t="n">
        <f aca="false">J13</f>
        <v>0.81</v>
      </c>
      <c r="F156" s="17" t="n">
        <f aca="false">K13</f>
        <v>0.95</v>
      </c>
    </row>
    <row r="157" customFormat="false" ht="12.8" hidden="false" customHeight="false" outlineLevel="0" collapsed="false">
      <c r="A157" s="1" t="str">
        <f aca="false">_xlfn.CONCAT($A$144, ".", A14)</f>
        <v>GA.1.11</v>
      </c>
      <c r="B157" s="5" t="str">
        <f aca="false">_xlfn.CONCAT(B14, ": ", C14)</f>
        <v>Transportation &amp; Warehousing: Worker</v>
      </c>
      <c r="C157" s="17" t="n">
        <f aca="false">H14</f>
        <v>0.9077</v>
      </c>
      <c r="D157" s="17" t="n">
        <f aca="false">I14</f>
        <v>0.75</v>
      </c>
      <c r="E157" s="17" t="n">
        <f aca="false">J14</f>
        <v>0.8</v>
      </c>
      <c r="F157" s="17" t="n">
        <f aca="false">K14</f>
        <v>0.945</v>
      </c>
    </row>
    <row r="158" customFormat="false" ht="12.8" hidden="false" customHeight="false" outlineLevel="0" collapsed="false">
      <c r="A158" s="1" t="str">
        <f aca="false">_xlfn.CONCAT($A$144, ".", A15)</f>
        <v>GA.1.12</v>
      </c>
      <c r="B158" s="5" t="str">
        <f aca="false">_xlfn.CONCAT(B15, ": ", C15)</f>
        <v>Transportation &amp; Warehousing: Support</v>
      </c>
      <c r="C158" s="17" t="n">
        <f aca="false">H15</f>
        <v>0.9077</v>
      </c>
      <c r="D158" s="17" t="n">
        <f aca="false">I15</f>
        <v>0.75</v>
      </c>
      <c r="E158" s="17" t="n">
        <f aca="false">J15</f>
        <v>0.8</v>
      </c>
      <c r="F158" s="17" t="n">
        <f aca="false">K15</f>
        <v>0.945</v>
      </c>
    </row>
    <row r="159" customFormat="false" ht="12.8" hidden="false" customHeight="false" outlineLevel="0" collapsed="false">
      <c r="A159" s="1" t="str">
        <f aca="false">_xlfn.CONCAT($A$144, ".", A16)</f>
        <v>GA.1.13</v>
      </c>
      <c r="B159" s="5" t="str">
        <f aca="false">_xlfn.CONCAT(B16, ": ", C16)</f>
        <v>Retail Trade: Worker</v>
      </c>
      <c r="C159" s="17" t="n">
        <f aca="false">H16</f>
        <v>0.8849</v>
      </c>
      <c r="D159" s="17" t="n">
        <f aca="false">I16</f>
        <v>0.698</v>
      </c>
      <c r="E159" s="17" t="n">
        <f aca="false">J16</f>
        <v>0.748</v>
      </c>
      <c r="F159" s="17" t="n">
        <f aca="false">K16</f>
        <v>0.908</v>
      </c>
    </row>
    <row r="160" customFormat="false" ht="12.8" hidden="false" customHeight="false" outlineLevel="0" collapsed="false">
      <c r="A160" s="1" t="str">
        <f aca="false">_xlfn.CONCAT($A$144, ".", A17)</f>
        <v>GA.1.14</v>
      </c>
      <c r="B160" s="5" t="str">
        <f aca="false">_xlfn.CONCAT(B17, ": ", C17)</f>
        <v>Retail Trade: Support</v>
      </c>
      <c r="C160" s="17" t="n">
        <f aca="false">H17</f>
        <v>0.8849</v>
      </c>
      <c r="D160" s="17" t="n">
        <f aca="false">I17</f>
        <v>0.698</v>
      </c>
      <c r="E160" s="17" t="n">
        <f aca="false">J17</f>
        <v>0.748</v>
      </c>
      <c r="F160" s="17" t="n">
        <f aca="false">K17</f>
        <v>0.908</v>
      </c>
    </row>
    <row r="161" customFormat="false" ht="12.8" hidden="false" customHeight="false" outlineLevel="0" collapsed="false">
      <c r="A161" s="1" t="str">
        <f aca="false">_xlfn.CONCAT($A$144, ".", A18)</f>
        <v>GA.1.15</v>
      </c>
      <c r="B161" s="5" t="str">
        <f aca="false">_xlfn.CONCAT(B18, ": ", C18)</f>
        <v>Landscaping / Groundskeeping: Worker</v>
      </c>
      <c r="C161" s="17" t="n">
        <f aca="false">H18</f>
        <v>0.8776</v>
      </c>
      <c r="D161" s="17" t="n">
        <f aca="false">I18</f>
        <v>0.73</v>
      </c>
      <c r="E161" s="17" t="n">
        <f aca="false">J18</f>
        <v>0.78</v>
      </c>
      <c r="F161" s="17" t="n">
        <f aca="false">K18</f>
        <v>0.92</v>
      </c>
    </row>
    <row r="162" customFormat="false" ht="12.8" hidden="false" customHeight="false" outlineLevel="0" collapsed="false">
      <c r="A162" s="1" t="str">
        <f aca="false">_xlfn.CONCAT($A$144, ".", A19)</f>
        <v>GA.1.16</v>
      </c>
      <c r="B162" s="5" t="str">
        <f aca="false">_xlfn.CONCAT(B19, ": ", C19)</f>
        <v>Landscaping / Groundskeeping: Support</v>
      </c>
      <c r="C162" s="17" t="n">
        <f aca="false">H19</f>
        <v>0.8775</v>
      </c>
      <c r="D162" s="17" t="n">
        <f aca="false">I19</f>
        <v>0.73</v>
      </c>
      <c r="E162" s="17" t="n">
        <f aca="false">J19</f>
        <v>0.78</v>
      </c>
      <c r="F162" s="17" t="n">
        <f aca="false">K19</f>
        <v>0.92</v>
      </c>
    </row>
    <row r="163" customFormat="false" ht="12.8" hidden="false" customHeight="false" outlineLevel="0" collapsed="false">
      <c r="A163" s="1" t="str">
        <f aca="false">_xlfn.CONCAT($A$144, ".", A20)</f>
        <v>GA.1.17</v>
      </c>
      <c r="B163" s="5" t="str">
        <f aca="false">_xlfn.CONCAT(B20, ": ", C20)</f>
        <v>Automotive &amp; Repair: Worker</v>
      </c>
      <c r="C163" s="17" t="n">
        <f aca="false">H20</f>
        <v>0.8843</v>
      </c>
      <c r="D163" s="17" t="n">
        <f aca="false">I20</f>
        <v>0.715</v>
      </c>
      <c r="E163" s="17" t="n">
        <f aca="false">J20</f>
        <v>0.765</v>
      </c>
      <c r="F163" s="17" t="n">
        <f aca="false">K20</f>
        <v>0.918</v>
      </c>
    </row>
    <row r="164" customFormat="false" ht="12.8" hidden="false" customHeight="false" outlineLevel="0" collapsed="false">
      <c r="A164" s="1" t="str">
        <f aca="false">_xlfn.CONCAT($A$144, ".", A21)</f>
        <v>GA.1.18</v>
      </c>
      <c r="B164" s="5" t="str">
        <f aca="false">_xlfn.CONCAT(B21, ": ", C21)</f>
        <v>Automotive &amp; Repair: Support</v>
      </c>
      <c r="C164" s="17" t="n">
        <f aca="false">H21</f>
        <v>0.8843</v>
      </c>
      <c r="D164" s="17" t="n">
        <f aca="false">I21</f>
        <v>0.715</v>
      </c>
      <c r="E164" s="17" t="n">
        <f aca="false">J21</f>
        <v>0.765</v>
      </c>
      <c r="F164" s="17" t="n">
        <f aca="false">K21</f>
        <v>0.918</v>
      </c>
    </row>
    <row r="165" customFormat="false" ht="12.8" hidden="false" customHeight="false" outlineLevel="0" collapsed="false">
      <c r="A165" s="1" t="str">
        <f aca="false">_xlfn.CONCAT($A$144, ".", A22)</f>
        <v>GA.1.19</v>
      </c>
      <c r="B165" s="5" t="str">
        <f aca="false">_xlfn.CONCAT(B22, ": ", C22)</f>
        <v>Other Services: Worker</v>
      </c>
      <c r="C165" s="17" t="n">
        <f aca="false">H22</f>
        <v>0.8891</v>
      </c>
      <c r="D165" s="17" t="n">
        <f aca="false">I22</f>
        <v>0.716</v>
      </c>
      <c r="E165" s="17" t="n">
        <f aca="false">J22</f>
        <v>0.766</v>
      </c>
      <c r="F165" s="17" t="n">
        <f aca="false">K22</f>
        <v>0.916</v>
      </c>
    </row>
    <row r="166" customFormat="false" ht="12.8" hidden="false" customHeight="false" outlineLevel="0" collapsed="false">
      <c r="A166" s="1" t="str">
        <f aca="false">_xlfn.CONCAT($A$144, ".", A23)</f>
        <v>GA.1.20</v>
      </c>
      <c r="B166" s="5" t="str">
        <f aca="false">_xlfn.CONCAT(B23, ": ", C23)</f>
        <v>Other Services: Support</v>
      </c>
      <c r="C166" s="17" t="n">
        <f aca="false">H23</f>
        <v>0.8891</v>
      </c>
      <c r="D166" s="17" t="n">
        <f aca="false">I23</f>
        <v>0.716</v>
      </c>
      <c r="E166" s="17" t="n">
        <f aca="false">J23</f>
        <v>0.766</v>
      </c>
      <c r="F166" s="17" t="n">
        <f aca="false">K23</f>
        <v>0.916</v>
      </c>
    </row>
    <row r="261" customFormat="false" ht="12.8" hidden="false" customHeight="false" outlineLevel="0" collapsed="false">
      <c r="A261" s="4" t="s">
        <v>180</v>
      </c>
      <c r="B261" s="27" t="s">
        <v>177</v>
      </c>
      <c r="C261" s="29" t="s">
        <v>149</v>
      </c>
    </row>
    <row r="262" customFormat="false" ht="46.25" hidden="false" customHeight="false" outlineLevel="0" collapsed="false">
      <c r="A262" s="4" t="s">
        <v>15</v>
      </c>
      <c r="B262" s="14" t="s">
        <v>145</v>
      </c>
      <c r="C262" s="23" t="str">
        <f aca="false">L2</f>
        <v>Unemployment Rate</v>
      </c>
      <c r="D262" s="23" t="str">
        <f aca="false">M2</f>
        <v>Authorized Immigrant Unemployment Rate</v>
      </c>
      <c r="E262" s="23" t="str">
        <f aca="false">N2</f>
        <v>Unauthorized Immigrant Unemployment Rate</v>
      </c>
      <c r="F262" s="23" t="str">
        <f aca="false">O2</f>
        <v>American Unemployment Rate</v>
      </c>
    </row>
    <row r="263" customFormat="false" ht="12.8" hidden="false" customHeight="false" outlineLevel="0" collapsed="false">
      <c r="A263" s="4" t="str">
        <f aca="false">_xlfn.CONCAT($A$261, ".", A3)</f>
        <v>GA.2.0</v>
      </c>
      <c r="B263" s="4" t="str">
        <f aca="false">_xlfn.CONCAT(B3, ": ", C3)</f>
        <v>All Industries: All Roles</v>
      </c>
      <c r="C263" s="23" t="n">
        <f aca="false">L3</f>
        <v>0.0853</v>
      </c>
      <c r="D263" s="23" t="n">
        <f aca="false">M3</f>
        <v>0.278</v>
      </c>
      <c r="E263" s="23" t="n">
        <f aca="false">N3</f>
        <v>0.228</v>
      </c>
      <c r="F263" s="23" t="n">
        <f aca="false">O3</f>
        <v>0.075</v>
      </c>
    </row>
    <row r="264" customFormat="false" ht="12.8" hidden="false" customHeight="false" outlineLevel="0" collapsed="false">
      <c r="A264" s="5" t="str">
        <f aca="false">_xlfn.CONCAT($A$261, ".", A4)</f>
        <v>GA.2.1</v>
      </c>
      <c r="B264" s="5" t="str">
        <f aca="false">_xlfn.CONCAT(B4, ": ", C4)</f>
        <v>Agriculture: Worker</v>
      </c>
      <c r="C264" s="31" t="n">
        <f aca="false">L4</f>
        <v>0.1254</v>
      </c>
      <c r="D264" s="31" t="n">
        <f aca="false">M4</f>
        <v>0.25</v>
      </c>
      <c r="E264" s="31" t="n">
        <f aca="false">N4</f>
        <v>0.2</v>
      </c>
      <c r="F264" s="31" t="n">
        <f aca="false">O4</f>
        <v>0.05</v>
      </c>
    </row>
    <row r="265" customFormat="false" ht="12.8" hidden="false" customHeight="false" outlineLevel="0" collapsed="false">
      <c r="A265" s="5" t="str">
        <f aca="false">_xlfn.CONCAT($A$261, ".", A5)</f>
        <v>GA.2.2</v>
      </c>
      <c r="B265" s="5" t="str">
        <f aca="false">_xlfn.CONCAT(B5, ": ", C5)</f>
        <v>Agriculture: Support</v>
      </c>
      <c r="C265" s="31" t="n">
        <f aca="false">L5</f>
        <v>0.1251</v>
      </c>
      <c r="D265" s="31" t="n">
        <f aca="false">M5</f>
        <v>0.25</v>
      </c>
      <c r="E265" s="31" t="n">
        <f aca="false">N5</f>
        <v>0.2</v>
      </c>
      <c r="F265" s="31" t="n">
        <f aca="false">O5</f>
        <v>0.05</v>
      </c>
    </row>
    <row r="266" customFormat="false" ht="12.8" hidden="false" customHeight="false" outlineLevel="0" collapsed="false">
      <c r="A266" s="5" t="str">
        <f aca="false">_xlfn.CONCAT($A$261, ".", A6)</f>
        <v>GA.2.3</v>
      </c>
      <c r="B266" s="5" t="str">
        <f aca="false">_xlfn.CONCAT(B6, ": ", C6)</f>
        <v>Construction: Worker</v>
      </c>
      <c r="C266" s="31" t="n">
        <f aca="false">L6</f>
        <v>0.0999</v>
      </c>
      <c r="D266" s="31" t="n">
        <f aca="false">M6</f>
        <v>0.248</v>
      </c>
      <c r="E266" s="31" t="n">
        <f aca="false">N6</f>
        <v>0.198</v>
      </c>
      <c r="F266" s="31" t="n">
        <f aca="false">O6</f>
        <v>0.055</v>
      </c>
    </row>
    <row r="267" customFormat="false" ht="12.8" hidden="false" customHeight="false" outlineLevel="0" collapsed="false">
      <c r="A267" s="5" t="str">
        <f aca="false">_xlfn.CONCAT($A$261, ".", A7)</f>
        <v>GA.2.4</v>
      </c>
      <c r="B267" s="5" t="str">
        <f aca="false">_xlfn.CONCAT(B7, ": ", C7)</f>
        <v>Construction: Support</v>
      </c>
      <c r="C267" s="31" t="n">
        <f aca="false">L7</f>
        <v>0.1</v>
      </c>
      <c r="D267" s="31" t="n">
        <f aca="false">M7</f>
        <v>0.248</v>
      </c>
      <c r="E267" s="31" t="n">
        <f aca="false">N7</f>
        <v>0.198</v>
      </c>
      <c r="F267" s="31" t="n">
        <f aca="false">O7</f>
        <v>0.055</v>
      </c>
    </row>
    <row r="268" customFormat="false" ht="12.8" hidden="false" customHeight="false" outlineLevel="0" collapsed="false">
      <c r="A268" s="5" t="str">
        <f aca="false">_xlfn.CONCAT($A$261, ".", A8)</f>
        <v>GA.2.5</v>
      </c>
      <c r="B268" s="5" t="str">
        <f aca="false">_xlfn.CONCAT(B8, ": ", C8)</f>
        <v>Hospitality: Worker</v>
      </c>
      <c r="C268" s="31" t="n">
        <f aca="false">L8</f>
        <v>0.1271</v>
      </c>
      <c r="D268" s="31" t="n">
        <f aca="false">M8</f>
        <v>0.285</v>
      </c>
      <c r="E268" s="31" t="n">
        <f aca="false">N8</f>
        <v>0.235</v>
      </c>
      <c r="F268" s="31" t="n">
        <f aca="false">O8</f>
        <v>0.08</v>
      </c>
    </row>
    <row r="269" customFormat="false" ht="12.8" hidden="false" customHeight="false" outlineLevel="0" collapsed="false">
      <c r="A269" s="5" t="str">
        <f aca="false">_xlfn.CONCAT($A$261, ".", A9)</f>
        <v>GA.2.6</v>
      </c>
      <c r="B269" s="5" t="str">
        <f aca="false">_xlfn.CONCAT(B9, ": ", C9)</f>
        <v>Hospitality: Support</v>
      </c>
      <c r="C269" s="31" t="n">
        <f aca="false">L9</f>
        <v>0.1271</v>
      </c>
      <c r="D269" s="31" t="n">
        <f aca="false">M9</f>
        <v>0.285</v>
      </c>
      <c r="E269" s="31" t="n">
        <f aca="false">N9</f>
        <v>0.235</v>
      </c>
      <c r="F269" s="31" t="n">
        <f aca="false">O9</f>
        <v>0.08</v>
      </c>
    </row>
    <row r="270" customFormat="false" ht="12.8" hidden="false" customHeight="false" outlineLevel="0" collapsed="false">
      <c r="A270" s="5" t="str">
        <f aca="false">_xlfn.CONCAT($A$261, ".", A10)</f>
        <v>GA.2.7</v>
      </c>
      <c r="B270" s="5" t="str">
        <f aca="false">_xlfn.CONCAT(B10, ": ", C10)</f>
        <v>Cleaning/Maintenance: Worker</v>
      </c>
      <c r="C270" s="31" t="n">
        <f aca="false">L10</f>
        <v>0.1303</v>
      </c>
      <c r="D270" s="31" t="n">
        <f aca="false">M10</f>
        <v>0.284</v>
      </c>
      <c r="E270" s="31" t="n">
        <f aca="false">N10</f>
        <v>0.234</v>
      </c>
      <c r="F270" s="31" t="n">
        <f aca="false">O10</f>
        <v>0.076</v>
      </c>
    </row>
    <row r="271" customFormat="false" ht="12.8" hidden="false" customHeight="false" outlineLevel="0" collapsed="false">
      <c r="A271" s="5" t="str">
        <f aca="false">_xlfn.CONCAT($A$261, ".", A11)</f>
        <v>GA.2.8</v>
      </c>
      <c r="B271" s="5" t="str">
        <f aca="false">_xlfn.CONCAT(B11, ": ", C11)</f>
        <v>Cleaning/Maintenance: Support</v>
      </c>
      <c r="C271" s="31" t="n">
        <f aca="false">L11</f>
        <v>0.1303</v>
      </c>
      <c r="D271" s="31" t="n">
        <f aca="false">M11</f>
        <v>0.284</v>
      </c>
      <c r="E271" s="31" t="n">
        <f aca="false">N11</f>
        <v>0.234</v>
      </c>
      <c r="F271" s="31" t="n">
        <f aca="false">O11</f>
        <v>0.076</v>
      </c>
    </row>
    <row r="272" customFormat="false" ht="12.8" hidden="false" customHeight="false" outlineLevel="0" collapsed="false">
      <c r="A272" s="5" t="str">
        <f aca="false">_xlfn.CONCAT($A$261, ".", A12)</f>
        <v>GA.2.9</v>
      </c>
      <c r="B272" s="5" t="str">
        <f aca="false">_xlfn.CONCAT(B12, ": ", C12)</f>
        <v>Manufacturing: Worker</v>
      </c>
      <c r="C272" s="31" t="n">
        <f aca="false">L12</f>
        <v>0.0821</v>
      </c>
      <c r="D272" s="31" t="n">
        <f aca="false">M12</f>
        <v>0.24</v>
      </c>
      <c r="E272" s="31" t="n">
        <f aca="false">N12</f>
        <v>0.19</v>
      </c>
      <c r="F272" s="31" t="n">
        <f aca="false">O12</f>
        <v>0.05</v>
      </c>
    </row>
    <row r="273" customFormat="false" ht="12.8" hidden="false" customHeight="false" outlineLevel="0" collapsed="false">
      <c r="A273" s="5" t="str">
        <f aca="false">_xlfn.CONCAT($A$261, ".", A13)</f>
        <v>GA.2.10</v>
      </c>
      <c r="B273" s="5" t="str">
        <f aca="false">_xlfn.CONCAT(B13, ": ", C13)</f>
        <v>Manufacturing: Support</v>
      </c>
      <c r="C273" s="31" t="n">
        <f aca="false">L13</f>
        <v>0.0821</v>
      </c>
      <c r="D273" s="31" t="n">
        <f aca="false">M13</f>
        <v>0.24</v>
      </c>
      <c r="E273" s="31" t="n">
        <f aca="false">N13</f>
        <v>0.19</v>
      </c>
      <c r="F273" s="31" t="n">
        <f aca="false">O13</f>
        <v>0.05</v>
      </c>
    </row>
    <row r="274" customFormat="false" ht="12.8" hidden="false" customHeight="false" outlineLevel="0" collapsed="false">
      <c r="A274" s="5" t="str">
        <f aca="false">_xlfn.CONCAT($A$261, ".", A14)</f>
        <v>GA.2.11</v>
      </c>
      <c r="B274" s="5" t="str">
        <f aca="false">_xlfn.CONCAT(B14, ": ", C14)</f>
        <v>Transportation &amp; Warehousing: Worker</v>
      </c>
      <c r="C274" s="31" t="n">
        <f aca="false">L14</f>
        <v>0.0923</v>
      </c>
      <c r="D274" s="31" t="n">
        <f aca="false">M14</f>
        <v>0.25</v>
      </c>
      <c r="E274" s="31" t="n">
        <f aca="false">N14</f>
        <v>0.2</v>
      </c>
      <c r="F274" s="31" t="n">
        <f aca="false">O14</f>
        <v>0.055</v>
      </c>
    </row>
    <row r="275" customFormat="false" ht="12.8" hidden="false" customHeight="false" outlineLevel="0" collapsed="false">
      <c r="A275" s="5" t="str">
        <f aca="false">_xlfn.CONCAT($A$261, ".", A15)</f>
        <v>GA.2.12</v>
      </c>
      <c r="B275" s="5" t="str">
        <f aca="false">_xlfn.CONCAT(B15, ": ", C15)</f>
        <v>Transportation &amp; Warehousing: Support</v>
      </c>
      <c r="C275" s="31" t="n">
        <f aca="false">L15</f>
        <v>0.0923</v>
      </c>
      <c r="D275" s="31" t="n">
        <f aca="false">M15</f>
        <v>0.25</v>
      </c>
      <c r="E275" s="31" t="n">
        <f aca="false">N15</f>
        <v>0.2</v>
      </c>
      <c r="F275" s="31" t="n">
        <f aca="false">O15</f>
        <v>0.055</v>
      </c>
    </row>
    <row r="276" customFormat="false" ht="12.8" hidden="false" customHeight="false" outlineLevel="0" collapsed="false">
      <c r="A276" s="5" t="str">
        <f aca="false">_xlfn.CONCAT($A$261, ".", A16)</f>
        <v>GA.2.13</v>
      </c>
      <c r="B276" s="5" t="str">
        <f aca="false">_xlfn.CONCAT(B16, ": ", C16)</f>
        <v>Retail Trade: Worker</v>
      </c>
      <c r="C276" s="31" t="n">
        <f aca="false">L16</f>
        <v>0.1151</v>
      </c>
      <c r="D276" s="31" t="n">
        <f aca="false">M16</f>
        <v>0.302</v>
      </c>
      <c r="E276" s="31" t="n">
        <f aca="false">N16</f>
        <v>0.252</v>
      </c>
      <c r="F276" s="31" t="n">
        <f aca="false">O16</f>
        <v>0.092</v>
      </c>
    </row>
    <row r="277" customFormat="false" ht="12.8" hidden="false" customHeight="false" outlineLevel="0" collapsed="false">
      <c r="A277" s="5" t="str">
        <f aca="false">_xlfn.CONCAT($A$261, ".", A17)</f>
        <v>GA.2.14</v>
      </c>
      <c r="B277" s="5" t="str">
        <f aca="false">_xlfn.CONCAT(B17, ": ", C17)</f>
        <v>Retail Trade: Support</v>
      </c>
      <c r="C277" s="31" t="n">
        <f aca="false">L17</f>
        <v>0.1151</v>
      </c>
      <c r="D277" s="31" t="n">
        <f aca="false">M17</f>
        <v>0.302</v>
      </c>
      <c r="E277" s="31" t="n">
        <f aca="false">N17</f>
        <v>0.252</v>
      </c>
      <c r="F277" s="31" t="n">
        <f aca="false">O17</f>
        <v>0.092</v>
      </c>
    </row>
    <row r="278" customFormat="false" ht="12.8" hidden="false" customHeight="false" outlineLevel="0" collapsed="false">
      <c r="A278" s="5" t="str">
        <f aca="false">_xlfn.CONCAT($A$261, ".", A18)</f>
        <v>GA.2.15</v>
      </c>
      <c r="B278" s="5" t="str">
        <f aca="false">_xlfn.CONCAT(B18, ": ", C18)</f>
        <v>Landscaping / Groundskeeping: Worker</v>
      </c>
      <c r="C278" s="31" t="n">
        <f aca="false">L18</f>
        <v>0.1224</v>
      </c>
      <c r="D278" s="31" t="n">
        <f aca="false">M18</f>
        <v>0.27</v>
      </c>
      <c r="E278" s="31" t="n">
        <f aca="false">N18</f>
        <v>0.22</v>
      </c>
      <c r="F278" s="31" t="n">
        <f aca="false">O18</f>
        <v>0.08</v>
      </c>
    </row>
    <row r="279" customFormat="false" ht="12.8" hidden="false" customHeight="false" outlineLevel="0" collapsed="false">
      <c r="A279" s="5" t="str">
        <f aca="false">_xlfn.CONCAT($A$261, ".", A19)</f>
        <v>GA.2.16</v>
      </c>
      <c r="B279" s="5" t="str">
        <f aca="false">_xlfn.CONCAT(B19, ": ", C19)</f>
        <v>Landscaping / Groundskeeping: Support</v>
      </c>
      <c r="C279" s="31" t="n">
        <f aca="false">L19</f>
        <v>0.1225</v>
      </c>
      <c r="D279" s="31" t="n">
        <f aca="false">M19</f>
        <v>0.27</v>
      </c>
      <c r="E279" s="31" t="n">
        <f aca="false">N19</f>
        <v>0.22</v>
      </c>
      <c r="F279" s="31" t="n">
        <f aca="false">O19</f>
        <v>0.08</v>
      </c>
    </row>
    <row r="280" customFormat="false" ht="12.8" hidden="false" customHeight="false" outlineLevel="0" collapsed="false">
      <c r="A280" s="5" t="str">
        <f aca="false">_xlfn.CONCAT($A$261, ".", A20)</f>
        <v>GA.2.17</v>
      </c>
      <c r="B280" s="5" t="str">
        <f aca="false">_xlfn.CONCAT(B20, ": ", C20)</f>
        <v>Automotive &amp; Repair: Worker</v>
      </c>
      <c r="C280" s="31" t="n">
        <f aca="false">L20</f>
        <v>0.1157</v>
      </c>
      <c r="D280" s="31" t="n">
        <f aca="false">M20</f>
        <v>0.285</v>
      </c>
      <c r="E280" s="31" t="n">
        <f aca="false">N20</f>
        <v>0.235</v>
      </c>
      <c r="F280" s="31" t="n">
        <f aca="false">O20</f>
        <v>0.082</v>
      </c>
    </row>
    <row r="281" customFormat="false" ht="12.8" hidden="false" customHeight="false" outlineLevel="0" collapsed="false">
      <c r="A281" s="5" t="str">
        <f aca="false">_xlfn.CONCAT($A$261, ".", A21)</f>
        <v>GA.2.18</v>
      </c>
      <c r="B281" s="5" t="str">
        <f aca="false">_xlfn.CONCAT(B21, ": ", C21)</f>
        <v>Automotive &amp; Repair: Support</v>
      </c>
      <c r="C281" s="31" t="n">
        <f aca="false">L21</f>
        <v>0.1157</v>
      </c>
      <c r="D281" s="31" t="n">
        <f aca="false">M21</f>
        <v>0.285</v>
      </c>
      <c r="E281" s="31" t="n">
        <f aca="false">N21</f>
        <v>0.235</v>
      </c>
      <c r="F281" s="31" t="n">
        <f aca="false">O21</f>
        <v>0.082</v>
      </c>
    </row>
    <row r="282" customFormat="false" ht="12.8" hidden="false" customHeight="false" outlineLevel="0" collapsed="false">
      <c r="A282" s="5" t="str">
        <f aca="false">_xlfn.CONCAT($A$261, ".", A22)</f>
        <v>GA.2.19</v>
      </c>
      <c r="B282" s="5" t="str">
        <f aca="false">_xlfn.CONCAT(B22, ": ", C22)</f>
        <v>Other Services: Worker</v>
      </c>
      <c r="C282" s="31" t="n">
        <f aca="false">L22</f>
        <v>0.1109</v>
      </c>
      <c r="D282" s="31" t="n">
        <f aca="false">M22</f>
        <v>0.284</v>
      </c>
      <c r="E282" s="31" t="n">
        <f aca="false">N22</f>
        <v>0.234</v>
      </c>
      <c r="F282" s="31" t="n">
        <f aca="false">O22</f>
        <v>0.084</v>
      </c>
    </row>
    <row r="283" customFormat="false" ht="12.8" hidden="false" customHeight="false" outlineLevel="0" collapsed="false">
      <c r="A283" s="5" t="str">
        <f aca="false">_xlfn.CONCAT($A$261, ".", A23)</f>
        <v>GA.2.20</v>
      </c>
      <c r="B283" s="5" t="str">
        <f aca="false">_xlfn.CONCAT(B23, ": ", C23)</f>
        <v>Other Services: Support</v>
      </c>
      <c r="C283" s="31" t="n">
        <f aca="false">L23</f>
        <v>0.1109</v>
      </c>
      <c r="D283" s="31" t="n">
        <f aca="false">M23</f>
        <v>0.284</v>
      </c>
      <c r="E283" s="31" t="n">
        <f aca="false">N23</f>
        <v>0.234</v>
      </c>
      <c r="F283" s="31" t="n">
        <f aca="false">O23</f>
        <v>0.084</v>
      </c>
    </row>
    <row r="378" customFormat="false" ht="12.8" hidden="false" customHeight="false" outlineLevel="0" collapsed="false">
      <c r="A378" s="4" t="s">
        <v>181</v>
      </c>
      <c r="B378" s="27" t="s">
        <v>177</v>
      </c>
      <c r="C378" s="29" t="s">
        <v>151</v>
      </c>
    </row>
    <row r="379" customFormat="false" ht="46.25" hidden="false" customHeight="false" outlineLevel="0" collapsed="false">
      <c r="A379" s="4" t="s">
        <v>15</v>
      </c>
      <c r="B379" s="14" t="s">
        <v>145</v>
      </c>
      <c r="C379" s="23" t="str">
        <f aca="false">P2</f>
        <v>Underemployment Rate</v>
      </c>
      <c r="D379" s="23" t="str">
        <f aca="false">Q2</f>
        <v>Authorized Immigrant Underemployment Rate</v>
      </c>
      <c r="E379" s="23" t="str">
        <f aca="false">R2</f>
        <v>Unauthorized Immigrant Underemployment Rate</v>
      </c>
      <c r="F379" s="23" t="str">
        <f aca="false">S2</f>
        <v>American Underemployment Rate</v>
      </c>
    </row>
    <row r="380" customFormat="false" ht="12.8" hidden="false" customHeight="false" outlineLevel="0" collapsed="false">
      <c r="A380" s="1" t="str">
        <f aca="false">_xlfn.CONCAT($A$378, ".", A3)</f>
        <v>GA.3.0</v>
      </c>
      <c r="B380" s="4" t="str">
        <f aca="false">_xlfn.CONCAT(B3, ": ", C3)</f>
        <v>All Industries: All Roles</v>
      </c>
      <c r="C380" s="31" t="n">
        <f aca="false">P3</f>
        <v>0.0809</v>
      </c>
      <c r="D380" s="31" t="n">
        <f aca="false">Q3</f>
        <v>0.095</v>
      </c>
      <c r="E380" s="31" t="n">
        <f aca="false">R3</f>
        <v>0.095</v>
      </c>
      <c r="F380" s="31" t="n">
        <f aca="false">S3</f>
        <v>0.08</v>
      </c>
    </row>
    <row r="381" customFormat="false" ht="12.8" hidden="false" customHeight="false" outlineLevel="0" collapsed="false">
      <c r="A381" s="1" t="str">
        <f aca="false">_xlfn.CONCAT($A$378, ".", A4)</f>
        <v>GA.3.1</v>
      </c>
      <c r="B381" s="5" t="str">
        <f aca="false">_xlfn.CONCAT(B4, ": ", C4)</f>
        <v>Agriculture: Worker</v>
      </c>
      <c r="C381" s="31" t="n">
        <f aca="false">P4</f>
        <v>0.0841</v>
      </c>
      <c r="D381" s="31" t="n">
        <f aca="false">Q4</f>
        <v>0.09</v>
      </c>
      <c r="E381" s="31" t="n">
        <f aca="false">R4</f>
        <v>0.09</v>
      </c>
      <c r="F381" s="31" t="n">
        <f aca="false">S4</f>
        <v>0.08</v>
      </c>
    </row>
    <row r="382" customFormat="false" ht="12.8" hidden="false" customHeight="false" outlineLevel="0" collapsed="false">
      <c r="A382" s="1" t="str">
        <f aca="false">_xlfn.CONCAT($A$378, ".", A5)</f>
        <v>GA.3.2</v>
      </c>
      <c r="B382" s="5" t="str">
        <f aca="false">_xlfn.CONCAT(B5, ": ", C5)</f>
        <v>Agriculture: Support</v>
      </c>
      <c r="C382" s="31" t="n">
        <f aca="false">P5</f>
        <v>0.0841</v>
      </c>
      <c r="D382" s="31" t="n">
        <f aca="false">Q5</f>
        <v>0.09</v>
      </c>
      <c r="E382" s="31" t="n">
        <f aca="false">R5</f>
        <v>0.09</v>
      </c>
      <c r="F382" s="31" t="n">
        <f aca="false">S5</f>
        <v>0.08</v>
      </c>
    </row>
    <row r="383" customFormat="false" ht="12.8" hidden="false" customHeight="false" outlineLevel="0" collapsed="false">
      <c r="A383" s="1" t="str">
        <f aca="false">_xlfn.CONCAT($A$378, ".", A6)</f>
        <v>GA.3.3</v>
      </c>
      <c r="B383" s="5" t="str">
        <f aca="false">_xlfn.CONCAT(B6, ": ", C6)</f>
        <v>Construction: Worker</v>
      </c>
      <c r="C383" s="31" t="n">
        <f aca="false">P6</f>
        <v>0.0827</v>
      </c>
      <c r="D383" s="31" t="n">
        <f aca="false">Q6</f>
        <v>0.09</v>
      </c>
      <c r="E383" s="31" t="n">
        <f aca="false">R6</f>
        <v>0.09</v>
      </c>
      <c r="F383" s="31" t="n">
        <f aca="false">S6</f>
        <v>0.08</v>
      </c>
    </row>
    <row r="384" customFormat="false" ht="12.8" hidden="false" customHeight="false" outlineLevel="0" collapsed="false">
      <c r="A384" s="1" t="str">
        <f aca="false">_xlfn.CONCAT($A$378, ".", A7)</f>
        <v>GA.3.4</v>
      </c>
      <c r="B384" s="5" t="str">
        <f aca="false">_xlfn.CONCAT(B7, ": ", C7)</f>
        <v>Construction: Support</v>
      </c>
      <c r="C384" s="31" t="n">
        <f aca="false">P7</f>
        <v>0.0827</v>
      </c>
      <c r="D384" s="31" t="n">
        <f aca="false">Q7</f>
        <v>0.09</v>
      </c>
      <c r="E384" s="31" t="n">
        <f aca="false">R7</f>
        <v>0.09</v>
      </c>
      <c r="F384" s="31" t="n">
        <f aca="false">S7</f>
        <v>0.08</v>
      </c>
    </row>
    <row r="385" customFormat="false" ht="12.8" hidden="false" customHeight="false" outlineLevel="0" collapsed="false">
      <c r="A385" s="1" t="str">
        <f aca="false">_xlfn.CONCAT($A$378, ".", A8)</f>
        <v>GA.3.5</v>
      </c>
      <c r="B385" s="5" t="str">
        <f aca="false">_xlfn.CONCAT(B8, ": ", C8)</f>
        <v>Hospitality: Worker</v>
      </c>
      <c r="C385" s="31" t="n">
        <f aca="false">P8</f>
        <v>0.1137</v>
      </c>
      <c r="D385" s="31" t="n">
        <f aca="false">Q8</f>
        <v>0.11</v>
      </c>
      <c r="E385" s="31" t="n">
        <f aca="false">R8</f>
        <v>0.11</v>
      </c>
      <c r="F385" s="31" t="n">
        <f aca="false">S8</f>
        <v>0.115</v>
      </c>
    </row>
    <row r="386" customFormat="false" ht="12.8" hidden="false" customHeight="false" outlineLevel="0" collapsed="false">
      <c r="A386" s="1" t="str">
        <f aca="false">_xlfn.CONCAT($A$378, ".", A9)</f>
        <v>GA.3.6</v>
      </c>
      <c r="B386" s="5" t="str">
        <f aca="false">_xlfn.CONCAT(B9, ": ", C9)</f>
        <v>Hospitality: Support</v>
      </c>
      <c r="C386" s="31" t="n">
        <f aca="false">P9</f>
        <v>0.1137</v>
      </c>
      <c r="D386" s="31" t="n">
        <f aca="false">Q9</f>
        <v>0.11</v>
      </c>
      <c r="E386" s="31" t="n">
        <f aca="false">R9</f>
        <v>0.11</v>
      </c>
      <c r="F386" s="31" t="n">
        <f aca="false">S9</f>
        <v>0.115</v>
      </c>
    </row>
    <row r="387" customFormat="false" ht="12.8" hidden="false" customHeight="false" outlineLevel="0" collapsed="false">
      <c r="A387" s="1" t="str">
        <f aca="false">_xlfn.CONCAT($A$378, ".", A10)</f>
        <v>GA.3.7</v>
      </c>
      <c r="B387" s="5" t="str">
        <f aca="false">_xlfn.CONCAT(B10, ": ", C10)</f>
        <v>Cleaning/Maintenance: Worker</v>
      </c>
      <c r="C387" s="31" t="n">
        <f aca="false">P10</f>
        <v>0.1135</v>
      </c>
      <c r="D387" s="31" t="n">
        <f aca="false">Q10</f>
        <v>0.11</v>
      </c>
      <c r="E387" s="31" t="n">
        <f aca="false">R10</f>
        <v>0.11</v>
      </c>
      <c r="F387" s="31" t="n">
        <f aca="false">S10</f>
        <v>0.115</v>
      </c>
    </row>
    <row r="388" customFormat="false" ht="12.8" hidden="false" customHeight="false" outlineLevel="0" collapsed="false">
      <c r="A388" s="1" t="str">
        <f aca="false">_xlfn.CONCAT($A$378, ".", A11)</f>
        <v>GA.3.8</v>
      </c>
      <c r="B388" s="5" t="str">
        <f aca="false">_xlfn.CONCAT(B11, ": ", C11)</f>
        <v>Cleaning/Maintenance: Support</v>
      </c>
      <c r="C388" s="31" t="n">
        <f aca="false">P11</f>
        <v>0.1135</v>
      </c>
      <c r="D388" s="31" t="n">
        <f aca="false">Q11</f>
        <v>0.11</v>
      </c>
      <c r="E388" s="31" t="n">
        <f aca="false">R11</f>
        <v>0.11</v>
      </c>
      <c r="F388" s="31" t="n">
        <f aca="false">S11</f>
        <v>0.115</v>
      </c>
    </row>
    <row r="389" customFormat="false" ht="12.8" hidden="false" customHeight="false" outlineLevel="0" collapsed="false">
      <c r="A389" s="1" t="str">
        <f aca="false">_xlfn.CONCAT($A$378, ".", A12)</f>
        <v>GA.3.9</v>
      </c>
      <c r="B389" s="5" t="str">
        <f aca="false">_xlfn.CONCAT(B12, ": ", C12)</f>
        <v>Manufacturing: Worker</v>
      </c>
      <c r="C389" s="31" t="n">
        <f aca="false">P12</f>
        <v>0.1022</v>
      </c>
      <c r="D389" s="31" t="n">
        <f aca="false">Q12</f>
        <v>0.09</v>
      </c>
      <c r="E389" s="31" t="n">
        <f aca="false">R12</f>
        <v>0.09</v>
      </c>
      <c r="F389" s="31" t="n">
        <f aca="false">S12</f>
        <v>0.105</v>
      </c>
    </row>
    <row r="390" customFormat="false" ht="12.8" hidden="false" customHeight="false" outlineLevel="0" collapsed="false">
      <c r="A390" s="1" t="str">
        <f aca="false">_xlfn.CONCAT($A$378, ".", A13)</f>
        <v>GA.3.10</v>
      </c>
      <c r="B390" s="5" t="str">
        <f aca="false">_xlfn.CONCAT(B13, ": ", C13)</f>
        <v>Manufacturing: Support</v>
      </c>
      <c r="C390" s="31" t="n">
        <f aca="false">P13</f>
        <v>0.1022</v>
      </c>
      <c r="D390" s="31" t="n">
        <f aca="false">Q13</f>
        <v>0.09</v>
      </c>
      <c r="E390" s="31" t="n">
        <f aca="false">R13</f>
        <v>0.09</v>
      </c>
      <c r="F390" s="31" t="n">
        <f aca="false">S13</f>
        <v>0.105</v>
      </c>
    </row>
    <row r="391" customFormat="false" ht="12.8" hidden="false" customHeight="false" outlineLevel="0" collapsed="false">
      <c r="A391" s="1" t="str">
        <f aca="false">_xlfn.CONCAT($A$378, ".", A14)</f>
        <v>GA.3.11</v>
      </c>
      <c r="B391" s="5" t="str">
        <f aca="false">_xlfn.CONCAT(B14, ": ", C14)</f>
        <v>Transportation &amp; Warehousing: Worker</v>
      </c>
      <c r="C391" s="31" t="n">
        <f aca="false">P14</f>
        <v>0.1018</v>
      </c>
      <c r="D391" s="31" t="n">
        <f aca="false">Q14</f>
        <v>0.09</v>
      </c>
      <c r="E391" s="31" t="n">
        <f aca="false">R14</f>
        <v>0.09</v>
      </c>
      <c r="F391" s="31" t="n">
        <f aca="false">S14</f>
        <v>0.105</v>
      </c>
    </row>
    <row r="392" customFormat="false" ht="12.8" hidden="false" customHeight="false" outlineLevel="0" collapsed="false">
      <c r="A392" s="1" t="str">
        <f aca="false">_xlfn.CONCAT($A$378, ".", A15)</f>
        <v>GA.3.12</v>
      </c>
      <c r="B392" s="5" t="str">
        <f aca="false">_xlfn.CONCAT(B15, ": ", C15)</f>
        <v>Transportation &amp; Warehousing: Support</v>
      </c>
      <c r="C392" s="31" t="n">
        <f aca="false">P15</f>
        <v>0.1018</v>
      </c>
      <c r="D392" s="31" t="n">
        <f aca="false">Q15</f>
        <v>0.09</v>
      </c>
      <c r="E392" s="31" t="n">
        <f aca="false">R15</f>
        <v>0.09</v>
      </c>
      <c r="F392" s="31" t="n">
        <f aca="false">S15</f>
        <v>0.105</v>
      </c>
    </row>
    <row r="393" customFormat="false" ht="12.8" hidden="false" customHeight="false" outlineLevel="0" collapsed="false">
      <c r="A393" s="1" t="str">
        <f aca="false">_xlfn.CONCAT($A$378, ".", A16)</f>
        <v>GA.3.13</v>
      </c>
      <c r="B393" s="5" t="str">
        <f aca="false">_xlfn.CONCAT(B16, ": ", C16)</f>
        <v>Retail Trade: Worker</v>
      </c>
      <c r="C393" s="31" t="n">
        <f aca="false">P16</f>
        <v>0.1144</v>
      </c>
      <c r="D393" s="31" t="n">
        <f aca="false">Q16</f>
        <v>0.11</v>
      </c>
      <c r="E393" s="31" t="n">
        <f aca="false">R16</f>
        <v>0.11</v>
      </c>
      <c r="F393" s="31" t="n">
        <f aca="false">S16</f>
        <v>0.115</v>
      </c>
    </row>
    <row r="394" customFormat="false" ht="12.8" hidden="false" customHeight="false" outlineLevel="0" collapsed="false">
      <c r="A394" s="1" t="str">
        <f aca="false">_xlfn.CONCAT($A$378, ".", A17)</f>
        <v>GA.3.14</v>
      </c>
      <c r="B394" s="5" t="str">
        <f aca="false">_xlfn.CONCAT(B17, ": ", C17)</f>
        <v>Retail Trade: Support</v>
      </c>
      <c r="C394" s="31" t="n">
        <f aca="false">P17</f>
        <v>0.1144</v>
      </c>
      <c r="D394" s="31" t="n">
        <f aca="false">Q17</f>
        <v>0.11</v>
      </c>
      <c r="E394" s="31" t="n">
        <f aca="false">R17</f>
        <v>0.11</v>
      </c>
      <c r="F394" s="31" t="n">
        <f aca="false">S17</f>
        <v>0.115</v>
      </c>
    </row>
    <row r="395" customFormat="false" ht="12.8" hidden="false" customHeight="false" outlineLevel="0" collapsed="false">
      <c r="A395" s="1" t="str">
        <f aca="false">_xlfn.CONCAT($A$378, ".", A18)</f>
        <v>GA.3.15</v>
      </c>
      <c r="B395" s="5" t="str">
        <f aca="false">_xlfn.CONCAT(B18, ": ", C18)</f>
        <v>Landscaping / Groundskeeping: Worker</v>
      </c>
      <c r="C395" s="31" t="n">
        <f aca="false">P18</f>
        <v>0.1037</v>
      </c>
      <c r="D395" s="31" t="n">
        <f aca="false">Q18</f>
        <v>0.1</v>
      </c>
      <c r="E395" s="31" t="n">
        <f aca="false">R18</f>
        <v>0.1</v>
      </c>
      <c r="F395" s="31" t="n">
        <f aca="false">S18</f>
        <v>0.105</v>
      </c>
    </row>
    <row r="396" customFormat="false" ht="12.8" hidden="false" customHeight="false" outlineLevel="0" collapsed="false">
      <c r="A396" s="1" t="str">
        <f aca="false">_xlfn.CONCAT($A$378, ".", A19)</f>
        <v>GA.3.16</v>
      </c>
      <c r="B396" s="5" t="str">
        <f aca="false">_xlfn.CONCAT(B19, ": ", C19)</f>
        <v>Landscaping / Groundskeeping: Support</v>
      </c>
      <c r="C396" s="31" t="n">
        <f aca="false">P19</f>
        <v>0.1037</v>
      </c>
      <c r="D396" s="31" t="n">
        <f aca="false">Q19</f>
        <v>0.1</v>
      </c>
      <c r="E396" s="31" t="n">
        <f aca="false">R19</f>
        <v>0.1</v>
      </c>
      <c r="F396" s="31" t="n">
        <f aca="false">S19</f>
        <v>0.105</v>
      </c>
    </row>
    <row r="397" customFormat="false" ht="12.8" hidden="false" customHeight="false" outlineLevel="0" collapsed="false">
      <c r="A397" s="1" t="str">
        <f aca="false">_xlfn.CONCAT($A$378, ".", A20)</f>
        <v>GA.3.17</v>
      </c>
      <c r="B397" s="5" t="str">
        <f aca="false">_xlfn.CONCAT(B20, ": ", C20)</f>
        <v>Automotive &amp; Repair: Worker</v>
      </c>
      <c r="C397" s="31" t="n">
        <f aca="false">P20</f>
        <v>0.104</v>
      </c>
      <c r="D397" s="31" t="n">
        <f aca="false">Q20</f>
        <v>0.1</v>
      </c>
      <c r="E397" s="31" t="n">
        <f aca="false">R20</f>
        <v>0.1</v>
      </c>
      <c r="F397" s="31" t="n">
        <f aca="false">S20</f>
        <v>0.105</v>
      </c>
    </row>
    <row r="398" customFormat="false" ht="12.8" hidden="false" customHeight="false" outlineLevel="0" collapsed="false">
      <c r="A398" s="1" t="str">
        <f aca="false">_xlfn.CONCAT($A$378, ".", A21)</f>
        <v>GA.3.18</v>
      </c>
      <c r="B398" s="5" t="str">
        <f aca="false">_xlfn.CONCAT(B21, ": ", C21)</f>
        <v>Automotive &amp; Repair: Support</v>
      </c>
      <c r="C398" s="31" t="n">
        <f aca="false">P21</f>
        <v>0.104</v>
      </c>
      <c r="D398" s="31" t="n">
        <f aca="false">Q21</f>
        <v>0.1</v>
      </c>
      <c r="E398" s="31" t="n">
        <f aca="false">R21</f>
        <v>0.1</v>
      </c>
      <c r="F398" s="31" t="n">
        <f aca="false">S21</f>
        <v>0.105</v>
      </c>
    </row>
    <row r="399" customFormat="false" ht="12.8" hidden="false" customHeight="false" outlineLevel="0" collapsed="false">
      <c r="A399" s="1" t="str">
        <f aca="false">_xlfn.CONCAT($A$378, ".", A22)</f>
        <v>GA.3.19</v>
      </c>
      <c r="B399" s="5" t="str">
        <f aca="false">_xlfn.CONCAT(B22, ": ", C22)</f>
        <v>Other Services: Worker</v>
      </c>
      <c r="C399" s="31" t="n">
        <f aca="false">P22</f>
        <v>0.1034</v>
      </c>
      <c r="D399" s="31" t="n">
        <f aca="false">Q22</f>
        <v>0.1</v>
      </c>
      <c r="E399" s="31" t="n">
        <f aca="false">R22</f>
        <v>0.1</v>
      </c>
      <c r="F399" s="31" t="n">
        <f aca="false">S22</f>
        <v>0.105</v>
      </c>
    </row>
    <row r="400" customFormat="false" ht="12.8" hidden="false" customHeight="false" outlineLevel="0" collapsed="false">
      <c r="A400" s="1" t="str">
        <f aca="false">_xlfn.CONCAT($A$378, ".", A23)</f>
        <v>GA.3.20</v>
      </c>
      <c r="B400" s="5" t="str">
        <f aca="false">_xlfn.CONCAT(B23, ": ", C23)</f>
        <v>Other Services: Support</v>
      </c>
      <c r="C400" s="31" t="n">
        <f aca="false">P23</f>
        <v>0.1034</v>
      </c>
      <c r="D400" s="31" t="n">
        <f aca="false">Q23</f>
        <v>0.1</v>
      </c>
      <c r="E400" s="31" t="n">
        <f aca="false">R23</f>
        <v>0.1</v>
      </c>
      <c r="F400" s="31" t="n">
        <f aca="false">S23</f>
        <v>0.105</v>
      </c>
    </row>
    <row r="496" customFormat="false" ht="12.8" hidden="false" customHeight="false" outlineLevel="0" collapsed="false">
      <c r="A496" s="4" t="s">
        <v>182</v>
      </c>
      <c r="B496" s="27" t="s">
        <v>177</v>
      </c>
      <c r="C496" s="29" t="s">
        <v>153</v>
      </c>
    </row>
    <row r="497" customFormat="false" ht="35.05" hidden="false" customHeight="false" outlineLevel="0" collapsed="false">
      <c r="A497" s="4" t="s">
        <v>15</v>
      </c>
      <c r="B497" s="4" t="str">
        <f aca="false">_xlfn.CONCAT(B2, ": ", C2)</f>
        <v>Industry: Role</v>
      </c>
      <c r="C497" s="14" t="str">
        <f aca="false">T2</f>
        <v>Wage Average ($/hr)</v>
      </c>
      <c r="D497" s="14" t="str">
        <f aca="false">Z2</f>
        <v>Authorized Immigrant Wage Average ($/hr)</v>
      </c>
      <c r="E497" s="14" t="str">
        <f aca="false">AF2</f>
        <v>Unauthorized Immigrant Wage Average ($/hr)</v>
      </c>
      <c r="F497" s="14" t="str">
        <f aca="false">AL2</f>
        <v>American Wage Average ($/hr)</v>
      </c>
    </row>
    <row r="498" customFormat="false" ht="12.8" hidden="false" customHeight="false" outlineLevel="0" collapsed="false">
      <c r="A498" s="1" t="str">
        <f aca="false">_xlfn.CONCAT($A$496, ".", A3)</f>
        <v>GA.4.0</v>
      </c>
      <c r="B498" s="4" t="str">
        <f aca="false">_xlfn.CONCAT(B3, ": ", C3)</f>
        <v>All Industries: All Roles</v>
      </c>
      <c r="C498" s="32" t="n">
        <f aca="false">T3</f>
        <v>13.8</v>
      </c>
      <c r="D498" s="32" t="n">
        <f aca="false">Z3</f>
        <v>10.4</v>
      </c>
      <c r="E498" s="32" t="n">
        <f aca="false">AF3</f>
        <v>10.4</v>
      </c>
      <c r="F498" s="34" t="n">
        <f aca="false">AL3</f>
        <v>14</v>
      </c>
    </row>
    <row r="499" customFormat="false" ht="12.8" hidden="false" customHeight="false" outlineLevel="0" collapsed="false">
      <c r="A499" s="1" t="str">
        <f aca="false">_xlfn.CONCAT($A$496, ".", A4)</f>
        <v>GA.4.1</v>
      </c>
      <c r="B499" s="5" t="str">
        <f aca="false">_xlfn.CONCAT(B4, ": ", C4)</f>
        <v>Agriculture: Worker</v>
      </c>
      <c r="C499" s="18" t="n">
        <f aca="false">T4</f>
        <v>18.5</v>
      </c>
      <c r="D499" s="18" t="n">
        <f aca="false">Z4</f>
        <v>18.5</v>
      </c>
      <c r="E499" s="18" t="n">
        <f aca="false">AF4</f>
        <v>17</v>
      </c>
      <c r="F499" s="20" t="n">
        <f aca="false">AL4</f>
        <v>21</v>
      </c>
    </row>
    <row r="500" customFormat="false" ht="12.8" hidden="false" customHeight="false" outlineLevel="0" collapsed="false">
      <c r="A500" s="1" t="str">
        <f aca="false">_xlfn.CONCAT($A$496, ".", A5)</f>
        <v>GA.4.2</v>
      </c>
      <c r="B500" s="5" t="str">
        <f aca="false">_xlfn.CONCAT(B5, ": ", C5)</f>
        <v>Agriculture: Support</v>
      </c>
      <c r="C500" s="18" t="n">
        <f aca="false">T5</f>
        <v>17</v>
      </c>
      <c r="D500" s="18" t="n">
        <f aca="false">Z5</f>
        <v>17</v>
      </c>
      <c r="E500" s="18" t="n">
        <f aca="false">AF5</f>
        <v>15.5</v>
      </c>
      <c r="F500" s="20" t="n">
        <f aca="false">AL5</f>
        <v>19</v>
      </c>
    </row>
    <row r="501" customFormat="false" ht="12.8" hidden="false" customHeight="false" outlineLevel="0" collapsed="false">
      <c r="A501" s="1" t="str">
        <f aca="false">_xlfn.CONCAT($A$496, ".", A6)</f>
        <v>GA.4.3</v>
      </c>
      <c r="B501" s="5" t="str">
        <f aca="false">_xlfn.CONCAT(B6, ": ", C6)</f>
        <v>Construction: Worker</v>
      </c>
      <c r="C501" s="18" t="n">
        <f aca="false">T6</f>
        <v>22</v>
      </c>
      <c r="D501" s="18" t="n">
        <f aca="false">Z6</f>
        <v>22</v>
      </c>
      <c r="E501" s="18" t="n">
        <f aca="false">AF6</f>
        <v>20</v>
      </c>
      <c r="F501" s="20" t="n">
        <f aca="false">AL6</f>
        <v>24</v>
      </c>
    </row>
    <row r="502" customFormat="false" ht="12.8" hidden="false" customHeight="false" outlineLevel="0" collapsed="false">
      <c r="A502" s="1" t="str">
        <f aca="false">_xlfn.CONCAT($A$496, ".", A7)</f>
        <v>GA.4.4</v>
      </c>
      <c r="B502" s="5" t="str">
        <f aca="false">_xlfn.CONCAT(B7, ": ", C7)</f>
        <v>Construction: Support</v>
      </c>
      <c r="C502" s="18" t="n">
        <f aca="false">T7</f>
        <v>20</v>
      </c>
      <c r="D502" s="18" t="n">
        <f aca="false">Z7</f>
        <v>20</v>
      </c>
      <c r="E502" s="18" t="n">
        <f aca="false">AF7</f>
        <v>18</v>
      </c>
      <c r="F502" s="20" t="n">
        <f aca="false">AL7</f>
        <v>22</v>
      </c>
    </row>
    <row r="503" customFormat="false" ht="12.8" hidden="false" customHeight="false" outlineLevel="0" collapsed="false">
      <c r="A503" s="1" t="str">
        <f aca="false">_xlfn.CONCAT($A$496, ".", A8)</f>
        <v>GA.4.5</v>
      </c>
      <c r="B503" s="5" t="str">
        <f aca="false">_xlfn.CONCAT(B8, ": ", C8)</f>
        <v>Hospitality: Worker</v>
      </c>
      <c r="C503" s="18" t="n">
        <f aca="false">T8</f>
        <v>13.5</v>
      </c>
      <c r="D503" s="18" t="n">
        <f aca="false">Z8</f>
        <v>13.5</v>
      </c>
      <c r="E503" s="18" t="n">
        <f aca="false">AF8</f>
        <v>12</v>
      </c>
      <c r="F503" s="20" t="n">
        <f aca="false">AL8</f>
        <v>15</v>
      </c>
    </row>
    <row r="504" customFormat="false" ht="12.8" hidden="false" customHeight="false" outlineLevel="0" collapsed="false">
      <c r="A504" s="1" t="str">
        <f aca="false">_xlfn.CONCAT($A$496, ".", A9)</f>
        <v>GA.4.6</v>
      </c>
      <c r="B504" s="5" t="str">
        <f aca="false">_xlfn.CONCAT(B9, ": ", C9)</f>
        <v>Hospitality: Support</v>
      </c>
      <c r="C504" s="18" t="n">
        <f aca="false">T9</f>
        <v>12</v>
      </c>
      <c r="D504" s="18" t="n">
        <f aca="false">Z9</f>
        <v>12</v>
      </c>
      <c r="E504" s="18" t="n">
        <f aca="false">AF9</f>
        <v>10.5</v>
      </c>
      <c r="F504" s="20" t="n">
        <f aca="false">AL9</f>
        <v>13.5</v>
      </c>
    </row>
    <row r="505" customFormat="false" ht="12.8" hidden="false" customHeight="false" outlineLevel="0" collapsed="false">
      <c r="A505" s="1" t="str">
        <f aca="false">_xlfn.CONCAT($A$496, ".", A10)</f>
        <v>GA.4.7</v>
      </c>
      <c r="B505" s="5" t="str">
        <f aca="false">_xlfn.CONCAT(B10, ": ", C10)</f>
        <v>Cleaning/Maintenance: Worker</v>
      </c>
      <c r="C505" s="18" t="n">
        <f aca="false">T10</f>
        <v>14.5</v>
      </c>
      <c r="D505" s="18" t="n">
        <f aca="false">Z10</f>
        <v>14.5</v>
      </c>
      <c r="E505" s="18" t="n">
        <f aca="false">AF10</f>
        <v>13</v>
      </c>
      <c r="F505" s="20" t="n">
        <f aca="false">AL10</f>
        <v>16</v>
      </c>
    </row>
    <row r="506" customFormat="false" ht="12.8" hidden="false" customHeight="false" outlineLevel="0" collapsed="false">
      <c r="A506" s="1" t="str">
        <f aca="false">_xlfn.CONCAT($A$496, ".", A11)</f>
        <v>GA.4.8</v>
      </c>
      <c r="B506" s="5" t="str">
        <f aca="false">_xlfn.CONCAT(B11, ": ", C11)</f>
        <v>Cleaning/Maintenance: Support</v>
      </c>
      <c r="C506" s="18" t="n">
        <f aca="false">T11</f>
        <v>12.5</v>
      </c>
      <c r="D506" s="18" t="n">
        <f aca="false">Z11</f>
        <v>12.5</v>
      </c>
      <c r="E506" s="18" t="n">
        <f aca="false">AF11</f>
        <v>11</v>
      </c>
      <c r="F506" s="20" t="n">
        <f aca="false">AL11</f>
        <v>14</v>
      </c>
    </row>
    <row r="507" customFormat="false" ht="12.8" hidden="false" customHeight="false" outlineLevel="0" collapsed="false">
      <c r="A507" s="1" t="str">
        <f aca="false">_xlfn.CONCAT($A$496, ".", A12)</f>
        <v>GA.4.9</v>
      </c>
      <c r="B507" s="5" t="str">
        <f aca="false">_xlfn.CONCAT(B12, ": ", C12)</f>
        <v>Manufacturing: Worker</v>
      </c>
      <c r="C507" s="18" t="n">
        <f aca="false">T12</f>
        <v>22</v>
      </c>
      <c r="D507" s="18" t="n">
        <f aca="false">Z12</f>
        <v>22</v>
      </c>
      <c r="E507" s="18" t="n">
        <f aca="false">AF12</f>
        <v>20</v>
      </c>
      <c r="F507" s="20" t="n">
        <f aca="false">AL12</f>
        <v>24</v>
      </c>
    </row>
    <row r="508" customFormat="false" ht="12.8" hidden="false" customHeight="false" outlineLevel="0" collapsed="false">
      <c r="A508" s="1" t="str">
        <f aca="false">_xlfn.CONCAT($A$496, ".", A13)</f>
        <v>GA.4.10</v>
      </c>
      <c r="B508" s="5" t="str">
        <f aca="false">_xlfn.CONCAT(B13, ": ", C13)</f>
        <v>Manufacturing: Support</v>
      </c>
      <c r="C508" s="18" t="n">
        <f aca="false">T13</f>
        <v>20</v>
      </c>
      <c r="D508" s="18" t="n">
        <f aca="false">Z13</f>
        <v>20</v>
      </c>
      <c r="E508" s="18" t="n">
        <f aca="false">AF13</f>
        <v>18</v>
      </c>
      <c r="F508" s="20" t="n">
        <f aca="false">AL13</f>
        <v>22</v>
      </c>
    </row>
    <row r="509" customFormat="false" ht="12.8" hidden="false" customHeight="false" outlineLevel="0" collapsed="false">
      <c r="A509" s="1" t="str">
        <f aca="false">_xlfn.CONCAT($A$496, ".", A14)</f>
        <v>GA.4.11</v>
      </c>
      <c r="B509" s="5" t="str">
        <f aca="false">_xlfn.CONCAT(B14, ": ", C14)</f>
        <v>Transportation &amp; Warehousing: Worker</v>
      </c>
      <c r="C509" s="18" t="n">
        <f aca="false">T14</f>
        <v>24</v>
      </c>
      <c r="D509" s="18" t="n">
        <f aca="false">Z14</f>
        <v>24</v>
      </c>
      <c r="E509" s="18" t="n">
        <f aca="false">AF14</f>
        <v>22</v>
      </c>
      <c r="F509" s="20" t="n">
        <f aca="false">AL14</f>
        <v>26</v>
      </c>
    </row>
    <row r="510" customFormat="false" ht="12.8" hidden="false" customHeight="false" outlineLevel="0" collapsed="false">
      <c r="A510" s="1" t="str">
        <f aca="false">_xlfn.CONCAT($A$496, ".", A15)</f>
        <v>GA.4.12</v>
      </c>
      <c r="B510" s="5" t="str">
        <f aca="false">_xlfn.CONCAT(B15, ": ", C15)</f>
        <v>Transportation &amp; Warehousing: Support</v>
      </c>
      <c r="C510" s="18" t="n">
        <f aca="false">T15</f>
        <v>22</v>
      </c>
      <c r="D510" s="18" t="n">
        <f aca="false">Z15</f>
        <v>22</v>
      </c>
      <c r="E510" s="18" t="n">
        <f aca="false">AF15</f>
        <v>20</v>
      </c>
      <c r="F510" s="20" t="n">
        <f aca="false">AL15</f>
        <v>24</v>
      </c>
    </row>
    <row r="511" customFormat="false" ht="12.8" hidden="false" customHeight="false" outlineLevel="0" collapsed="false">
      <c r="A511" s="1" t="str">
        <f aca="false">_xlfn.CONCAT($A$496, ".", A16)</f>
        <v>GA.4.13</v>
      </c>
      <c r="B511" s="5" t="str">
        <f aca="false">_xlfn.CONCAT(B16, ": ", C16)</f>
        <v>Retail Trade: Worker</v>
      </c>
      <c r="C511" s="18" t="n">
        <f aca="false">T16</f>
        <v>15</v>
      </c>
      <c r="D511" s="18" t="n">
        <f aca="false">Z16</f>
        <v>15</v>
      </c>
      <c r="E511" s="18" t="n">
        <f aca="false">AF16</f>
        <v>13.5</v>
      </c>
      <c r="F511" s="20" t="n">
        <f aca="false">AL16</f>
        <v>17</v>
      </c>
    </row>
    <row r="512" customFormat="false" ht="12.8" hidden="false" customHeight="false" outlineLevel="0" collapsed="false">
      <c r="A512" s="1" t="str">
        <f aca="false">_xlfn.CONCAT($A$496, ".", A17)</f>
        <v>GA.4.14</v>
      </c>
      <c r="B512" s="5" t="str">
        <f aca="false">_xlfn.CONCAT(B17, ": ", C17)</f>
        <v>Retail Trade: Support</v>
      </c>
      <c r="C512" s="18" t="n">
        <f aca="false">T17</f>
        <v>13.5</v>
      </c>
      <c r="D512" s="18" t="n">
        <f aca="false">Z17</f>
        <v>13.5</v>
      </c>
      <c r="E512" s="18" t="n">
        <f aca="false">AF17</f>
        <v>12</v>
      </c>
      <c r="F512" s="20" t="n">
        <f aca="false">AL17</f>
        <v>15</v>
      </c>
    </row>
    <row r="513" customFormat="false" ht="12.8" hidden="false" customHeight="false" outlineLevel="0" collapsed="false">
      <c r="A513" s="1" t="str">
        <f aca="false">_xlfn.CONCAT($A$496, ".", A18)</f>
        <v>GA.4.15</v>
      </c>
      <c r="B513" s="5" t="str">
        <f aca="false">_xlfn.CONCAT(B18, ": ", C18)</f>
        <v>Landscaping / Groundskeeping: Worker</v>
      </c>
      <c r="C513" s="18" t="n">
        <f aca="false">T18</f>
        <v>18</v>
      </c>
      <c r="D513" s="18" t="n">
        <f aca="false">Z18</f>
        <v>18</v>
      </c>
      <c r="E513" s="18" t="n">
        <f aca="false">AF18</f>
        <v>16.5</v>
      </c>
      <c r="F513" s="20" t="n">
        <f aca="false">AL18</f>
        <v>20</v>
      </c>
    </row>
    <row r="514" customFormat="false" ht="12.8" hidden="false" customHeight="false" outlineLevel="0" collapsed="false">
      <c r="A514" s="1" t="str">
        <f aca="false">_xlfn.CONCAT($A$496, ".", A19)</f>
        <v>GA.4.16</v>
      </c>
      <c r="B514" s="5" t="str">
        <f aca="false">_xlfn.CONCAT(B19, ": ", C19)</f>
        <v>Landscaping / Groundskeeping: Support</v>
      </c>
      <c r="C514" s="18" t="n">
        <f aca="false">T19</f>
        <v>16</v>
      </c>
      <c r="D514" s="18" t="n">
        <f aca="false">Z19</f>
        <v>16</v>
      </c>
      <c r="E514" s="18" t="n">
        <f aca="false">AF19</f>
        <v>14.5</v>
      </c>
      <c r="F514" s="20" t="n">
        <f aca="false">AL19</f>
        <v>18</v>
      </c>
    </row>
    <row r="515" customFormat="false" ht="12.8" hidden="false" customHeight="false" outlineLevel="0" collapsed="false">
      <c r="A515" s="1" t="str">
        <f aca="false">_xlfn.CONCAT($A$496, ".", A20)</f>
        <v>GA.4.17</v>
      </c>
      <c r="B515" s="5" t="str">
        <f aca="false">_xlfn.CONCAT(B20, ": ", C20)</f>
        <v>Automotive &amp; Repair: Worker</v>
      </c>
      <c r="C515" s="18" t="n">
        <f aca="false">T20</f>
        <v>20</v>
      </c>
      <c r="D515" s="18" t="n">
        <f aca="false">Z20</f>
        <v>20</v>
      </c>
      <c r="E515" s="18" t="n">
        <f aca="false">AF20</f>
        <v>18</v>
      </c>
      <c r="F515" s="20" t="n">
        <f aca="false">AL20</f>
        <v>22</v>
      </c>
    </row>
    <row r="516" customFormat="false" ht="12.8" hidden="false" customHeight="false" outlineLevel="0" collapsed="false">
      <c r="A516" s="1" t="str">
        <f aca="false">_xlfn.CONCAT($A$496, ".", A21)</f>
        <v>GA.4.18</v>
      </c>
      <c r="B516" s="5" t="str">
        <f aca="false">_xlfn.CONCAT(B21, ": ", C21)</f>
        <v>Automotive &amp; Repair: Support</v>
      </c>
      <c r="C516" s="18" t="n">
        <f aca="false">T21</f>
        <v>18</v>
      </c>
      <c r="D516" s="18" t="n">
        <f aca="false">Z21</f>
        <v>18</v>
      </c>
      <c r="E516" s="18" t="n">
        <f aca="false">AF21</f>
        <v>16</v>
      </c>
      <c r="F516" s="20" t="n">
        <f aca="false">AL21</f>
        <v>20</v>
      </c>
    </row>
    <row r="517" customFormat="false" ht="12.8" hidden="false" customHeight="false" outlineLevel="0" collapsed="false">
      <c r="A517" s="1" t="str">
        <f aca="false">_xlfn.CONCAT($A$496, ".", A22)</f>
        <v>GA.4.19</v>
      </c>
      <c r="B517" s="5" t="str">
        <f aca="false">_xlfn.CONCAT(B22, ": ", C22)</f>
        <v>Other Services: Worker</v>
      </c>
      <c r="C517" s="18" t="n">
        <f aca="false">T22</f>
        <v>20</v>
      </c>
      <c r="D517" s="18" t="n">
        <f aca="false">Z22</f>
        <v>20</v>
      </c>
      <c r="E517" s="18" t="n">
        <f aca="false">AF22</f>
        <v>18</v>
      </c>
      <c r="F517" s="20" t="n">
        <f aca="false">AL22</f>
        <v>22</v>
      </c>
    </row>
    <row r="518" customFormat="false" ht="12.8" hidden="false" customHeight="false" outlineLevel="0" collapsed="false">
      <c r="A518" s="1" t="str">
        <f aca="false">_xlfn.CONCAT($A$496, ".", A23)</f>
        <v>GA.4.20</v>
      </c>
      <c r="B518" s="5" t="str">
        <f aca="false">_xlfn.CONCAT(B23, ": ", C23)</f>
        <v>Other Services: Support</v>
      </c>
      <c r="C518" s="18" t="n">
        <f aca="false">T23</f>
        <v>18</v>
      </c>
      <c r="D518" s="18" t="n">
        <f aca="false">Z23</f>
        <v>18</v>
      </c>
      <c r="E518" s="18" t="n">
        <f aca="false">AF23</f>
        <v>16</v>
      </c>
      <c r="F518" s="20" t="n">
        <f aca="false">AL23</f>
        <v>20</v>
      </c>
    </row>
    <row r="613" customFormat="false" ht="12.8" hidden="false" customHeight="false" outlineLevel="0" collapsed="false">
      <c r="A613" s="4" t="s">
        <v>183</v>
      </c>
      <c r="B613" s="27" t="s">
        <v>177</v>
      </c>
      <c r="C613" s="29" t="s">
        <v>155</v>
      </c>
    </row>
    <row r="614" customFormat="false" ht="46.25" hidden="false" customHeight="false" outlineLevel="0" collapsed="false">
      <c r="A614" s="4" t="s">
        <v>15</v>
      </c>
      <c r="B614" s="4" t="str">
        <f aca="false">_xlfn.CONCAT(B2, ": ", C2)</f>
        <v>Industry: Role</v>
      </c>
      <c r="C614" s="33" t="str">
        <f aca="false">W2</f>
        <v>Annual Income ($)</v>
      </c>
      <c r="D614" s="33" t="str">
        <f aca="false">AC2</f>
        <v>Authorized Immigrant Annual Income Average ($)</v>
      </c>
      <c r="E614" s="33" t="str">
        <f aca="false">AI2</f>
        <v>Unauthorized Immigrant Annual Income Average ($)</v>
      </c>
      <c r="F614" s="33" t="str">
        <f aca="false">AO2</f>
        <v>American Annual Income Average ($)</v>
      </c>
    </row>
    <row r="615" customFormat="false" ht="12.8" hidden="false" customHeight="false" outlineLevel="0" collapsed="false">
      <c r="A615" s="1" t="str">
        <f aca="false">_xlfn.CONCAT($A$613, ".", A3)</f>
        <v>GA.5.0</v>
      </c>
      <c r="B615" s="4" t="str">
        <f aca="false">_xlfn.CONCAT(B3, ": ", C3)</f>
        <v>All Industries: All Roles</v>
      </c>
      <c r="C615" s="33" t="n">
        <f aca="false">W3</f>
        <v>24840</v>
      </c>
      <c r="D615" s="33" t="n">
        <f aca="false">AC3</f>
        <v>18720</v>
      </c>
      <c r="E615" s="33" t="n">
        <f aca="false">AI3</f>
        <v>18720</v>
      </c>
      <c r="F615" s="33" t="n">
        <f aca="false">AO3</f>
        <v>25200</v>
      </c>
    </row>
    <row r="616" customFormat="false" ht="12.8" hidden="false" customHeight="false" outlineLevel="0" collapsed="false">
      <c r="A616" s="1" t="str">
        <f aca="false">_xlfn.CONCAT($A$613, ".", A4)</f>
        <v>GA.5.1</v>
      </c>
      <c r="B616" s="5" t="str">
        <f aca="false">_xlfn.CONCAT(B4, ": ", C4)</f>
        <v>Agriculture: Worker</v>
      </c>
      <c r="C616" s="33" t="n">
        <f aca="false">W4</f>
        <v>30525</v>
      </c>
      <c r="D616" s="33" t="n">
        <f aca="false">AC4</f>
        <v>30525</v>
      </c>
      <c r="E616" s="33" t="n">
        <f aca="false">AI4</f>
        <v>28050</v>
      </c>
      <c r="F616" s="33" t="n">
        <f aca="false">AO4</f>
        <v>34650</v>
      </c>
    </row>
    <row r="617" customFormat="false" ht="12.8" hidden="false" customHeight="false" outlineLevel="0" collapsed="false">
      <c r="A617" s="1" t="str">
        <f aca="false">_xlfn.CONCAT($A$613, ".", A5)</f>
        <v>GA.5.2</v>
      </c>
      <c r="B617" s="5" t="str">
        <f aca="false">_xlfn.CONCAT(B5, ": ", C5)</f>
        <v>Agriculture: Support</v>
      </c>
      <c r="C617" s="33" t="n">
        <f aca="false">W5</f>
        <v>30600</v>
      </c>
      <c r="D617" s="33" t="n">
        <f aca="false">AC5</f>
        <v>30600</v>
      </c>
      <c r="E617" s="33" t="n">
        <f aca="false">AI5</f>
        <v>27900</v>
      </c>
      <c r="F617" s="33" t="n">
        <f aca="false">AO5</f>
        <v>34200</v>
      </c>
    </row>
    <row r="618" customFormat="false" ht="12.8" hidden="false" customHeight="false" outlineLevel="0" collapsed="false">
      <c r="A618" s="1" t="str">
        <f aca="false">_xlfn.CONCAT($A$613, ".", A6)</f>
        <v>GA.5.3</v>
      </c>
      <c r="B618" s="5" t="str">
        <f aca="false">_xlfn.CONCAT(B6, ": ", C6)</f>
        <v>Construction: Worker</v>
      </c>
      <c r="C618" s="33" t="n">
        <f aca="false">W6</f>
        <v>42900</v>
      </c>
      <c r="D618" s="33" t="n">
        <f aca="false">AC6</f>
        <v>42900</v>
      </c>
      <c r="E618" s="33" t="n">
        <f aca="false">AI6</f>
        <v>39000</v>
      </c>
      <c r="F618" s="33" t="n">
        <f aca="false">AO6</f>
        <v>46800</v>
      </c>
    </row>
    <row r="619" customFormat="false" ht="12.8" hidden="false" customHeight="false" outlineLevel="0" collapsed="false">
      <c r="A619" s="1" t="str">
        <f aca="false">_xlfn.CONCAT($A$613, ".", A7)</f>
        <v>GA.5.4</v>
      </c>
      <c r="B619" s="5" t="str">
        <f aca="false">_xlfn.CONCAT(B7, ": ", C7)</f>
        <v>Construction: Support</v>
      </c>
      <c r="C619" s="33" t="n">
        <f aca="false">W7</f>
        <v>36000</v>
      </c>
      <c r="D619" s="33" t="n">
        <f aca="false">AC7</f>
        <v>36000</v>
      </c>
      <c r="E619" s="33" t="n">
        <f aca="false">AI7</f>
        <v>32400</v>
      </c>
      <c r="F619" s="33" t="n">
        <f aca="false">AO7</f>
        <v>39600</v>
      </c>
    </row>
    <row r="620" customFormat="false" ht="12.8" hidden="false" customHeight="false" outlineLevel="0" collapsed="false">
      <c r="A620" s="1" t="str">
        <f aca="false">_xlfn.CONCAT($A$613, ".", A8)</f>
        <v>GA.5.5</v>
      </c>
      <c r="B620" s="5" t="str">
        <f aca="false">_xlfn.CONCAT(B8, ": ", C8)</f>
        <v>Hospitality: Worker</v>
      </c>
      <c r="C620" s="33" t="n">
        <f aca="false">W8</f>
        <v>20925</v>
      </c>
      <c r="D620" s="33" t="n">
        <f aca="false">AC8</f>
        <v>20925</v>
      </c>
      <c r="E620" s="33" t="n">
        <f aca="false">AI8</f>
        <v>18600</v>
      </c>
      <c r="F620" s="33" t="n">
        <f aca="false">AO8</f>
        <v>23250</v>
      </c>
    </row>
    <row r="621" customFormat="false" ht="12.8" hidden="false" customHeight="false" outlineLevel="0" collapsed="false">
      <c r="A621" s="1" t="str">
        <f aca="false">_xlfn.CONCAT($A$613, ".", A9)</f>
        <v>GA.5.6</v>
      </c>
      <c r="B621" s="5" t="str">
        <f aca="false">_xlfn.CONCAT(B9, ": ", C9)</f>
        <v>Hospitality: Support</v>
      </c>
      <c r="C621" s="33" t="n">
        <f aca="false">W9</f>
        <v>19200</v>
      </c>
      <c r="D621" s="33" t="n">
        <f aca="false">AC9</f>
        <v>19200</v>
      </c>
      <c r="E621" s="33" t="n">
        <f aca="false">AI9</f>
        <v>16800</v>
      </c>
      <c r="F621" s="33" t="n">
        <f aca="false">AO9</f>
        <v>21600</v>
      </c>
    </row>
    <row r="622" customFormat="false" ht="12.8" hidden="false" customHeight="false" outlineLevel="0" collapsed="false">
      <c r="A622" s="1" t="str">
        <f aca="false">_xlfn.CONCAT($A$613, ".", A10)</f>
        <v>GA.5.7</v>
      </c>
      <c r="B622" s="5" t="str">
        <f aca="false">_xlfn.CONCAT(B10, ": ", C10)</f>
        <v>Cleaning/Maintenance: Worker</v>
      </c>
      <c r="C622" s="33" t="n">
        <f aca="false">W10</f>
        <v>23200</v>
      </c>
      <c r="D622" s="33" t="n">
        <f aca="false">AC10</f>
        <v>23200</v>
      </c>
      <c r="E622" s="33" t="n">
        <f aca="false">AI10</f>
        <v>20800</v>
      </c>
      <c r="F622" s="33" t="n">
        <f aca="false">AO10</f>
        <v>25600</v>
      </c>
    </row>
    <row r="623" customFormat="false" ht="12.8" hidden="false" customHeight="false" outlineLevel="0" collapsed="false">
      <c r="A623" s="1" t="str">
        <f aca="false">_xlfn.CONCAT($A$613, ".", A11)</f>
        <v>GA.5.8</v>
      </c>
      <c r="B623" s="5" t="str">
        <f aca="false">_xlfn.CONCAT(B11, ": ", C11)</f>
        <v>Cleaning/Maintenance: Support</v>
      </c>
      <c r="C623" s="33" t="n">
        <f aca="false">W11</f>
        <v>20000</v>
      </c>
      <c r="D623" s="33" t="n">
        <f aca="false">AC11</f>
        <v>20000</v>
      </c>
      <c r="E623" s="33" t="n">
        <f aca="false">AI11</f>
        <v>17600</v>
      </c>
      <c r="F623" s="33" t="n">
        <f aca="false">AO11</f>
        <v>22400</v>
      </c>
    </row>
    <row r="624" customFormat="false" ht="12.8" hidden="false" customHeight="false" outlineLevel="0" collapsed="false">
      <c r="A624" s="1" t="str">
        <f aca="false">_xlfn.CONCAT($A$613, ".", A12)</f>
        <v>GA.5.9</v>
      </c>
      <c r="B624" s="5" t="str">
        <f aca="false">_xlfn.CONCAT(B12, ": ", C12)</f>
        <v>Manufacturing: Worker</v>
      </c>
      <c r="C624" s="33" t="n">
        <f aca="false">W12</f>
        <v>42900</v>
      </c>
      <c r="D624" s="33" t="n">
        <f aca="false">AC12</f>
        <v>42900</v>
      </c>
      <c r="E624" s="33" t="n">
        <f aca="false">AI12</f>
        <v>39000</v>
      </c>
      <c r="F624" s="33" t="n">
        <f aca="false">AO12</f>
        <v>46800</v>
      </c>
    </row>
    <row r="625" customFormat="false" ht="12.8" hidden="false" customHeight="false" outlineLevel="0" collapsed="false">
      <c r="A625" s="1" t="str">
        <f aca="false">_xlfn.CONCAT($A$613, ".", A13)</f>
        <v>GA.5.10</v>
      </c>
      <c r="B625" s="5" t="str">
        <f aca="false">_xlfn.CONCAT(B13, ": ", C13)</f>
        <v>Manufacturing: Support</v>
      </c>
      <c r="C625" s="33" t="n">
        <f aca="false">W13</f>
        <v>36000</v>
      </c>
      <c r="D625" s="33" t="n">
        <f aca="false">AC13</f>
        <v>36000</v>
      </c>
      <c r="E625" s="33" t="n">
        <f aca="false">AI13</f>
        <v>32400</v>
      </c>
      <c r="F625" s="33" t="n">
        <f aca="false">AO13</f>
        <v>39600</v>
      </c>
    </row>
    <row r="626" customFormat="false" ht="12.8" hidden="false" customHeight="false" outlineLevel="0" collapsed="false">
      <c r="A626" s="1" t="str">
        <f aca="false">_xlfn.CONCAT($A$613, ".", A14)</f>
        <v>GA.5.11</v>
      </c>
      <c r="B626" s="5" t="str">
        <f aca="false">_xlfn.CONCAT(B14, ": ", C14)</f>
        <v>Transportation &amp; Warehousing: Worker</v>
      </c>
      <c r="C626" s="33" t="n">
        <f aca="false">W14</f>
        <v>46800</v>
      </c>
      <c r="D626" s="33" t="n">
        <f aca="false">AC14</f>
        <v>46800</v>
      </c>
      <c r="E626" s="33" t="n">
        <f aca="false">AI14</f>
        <v>42900</v>
      </c>
      <c r="F626" s="33" t="n">
        <f aca="false">AO14</f>
        <v>50700</v>
      </c>
    </row>
    <row r="627" customFormat="false" ht="12.8" hidden="false" customHeight="false" outlineLevel="0" collapsed="false">
      <c r="A627" s="1" t="str">
        <f aca="false">_xlfn.CONCAT($A$613, ".", A15)</f>
        <v>GA.5.12</v>
      </c>
      <c r="B627" s="5" t="str">
        <f aca="false">_xlfn.CONCAT(B15, ": ", C15)</f>
        <v>Transportation &amp; Warehousing: Support</v>
      </c>
      <c r="C627" s="33" t="n">
        <f aca="false">W15</f>
        <v>39600</v>
      </c>
      <c r="D627" s="33" t="n">
        <f aca="false">AC15</f>
        <v>39600</v>
      </c>
      <c r="E627" s="33" t="n">
        <f aca="false">AI15</f>
        <v>36000</v>
      </c>
      <c r="F627" s="33" t="n">
        <f aca="false">AO15</f>
        <v>43200</v>
      </c>
    </row>
    <row r="628" customFormat="false" ht="12.8" hidden="false" customHeight="false" outlineLevel="0" collapsed="false">
      <c r="A628" s="1" t="str">
        <f aca="false">_xlfn.CONCAT($A$613, ".", A16)</f>
        <v>GA.5.13</v>
      </c>
      <c r="B628" s="5" t="str">
        <f aca="false">_xlfn.CONCAT(B16, ": ", C16)</f>
        <v>Retail Trade: Worker</v>
      </c>
      <c r="C628" s="33" t="n">
        <f aca="false">W16</f>
        <v>25500</v>
      </c>
      <c r="D628" s="33" t="n">
        <f aca="false">AC16</f>
        <v>25500</v>
      </c>
      <c r="E628" s="33" t="n">
        <f aca="false">AI16</f>
        <v>22950</v>
      </c>
      <c r="F628" s="33" t="n">
        <f aca="false">AO16</f>
        <v>28900</v>
      </c>
    </row>
    <row r="629" customFormat="false" ht="12.8" hidden="false" customHeight="false" outlineLevel="0" collapsed="false">
      <c r="A629" s="1" t="str">
        <f aca="false">_xlfn.CONCAT($A$613, ".", A17)</f>
        <v>GA.5.14</v>
      </c>
      <c r="B629" s="5" t="str">
        <f aca="false">_xlfn.CONCAT(B17, ": ", C17)</f>
        <v>Retail Trade: Support</v>
      </c>
      <c r="C629" s="33" t="n">
        <f aca="false">W17</f>
        <v>22950</v>
      </c>
      <c r="D629" s="33" t="n">
        <f aca="false">AC17</f>
        <v>22950</v>
      </c>
      <c r="E629" s="33" t="n">
        <f aca="false">AI17</f>
        <v>20400</v>
      </c>
      <c r="F629" s="33" t="n">
        <f aca="false">AO17</f>
        <v>25500</v>
      </c>
    </row>
    <row r="630" customFormat="false" ht="12.8" hidden="false" customHeight="false" outlineLevel="0" collapsed="false">
      <c r="A630" s="1" t="str">
        <f aca="false">_xlfn.CONCAT($A$613, ".", A18)</f>
        <v>GA.5.15</v>
      </c>
      <c r="B630" s="5" t="str">
        <f aca="false">_xlfn.CONCAT(B18, ": ", C18)</f>
        <v>Landscaping / Groundskeeping: Worker</v>
      </c>
      <c r="C630" s="33" t="n">
        <f aca="false">W18</f>
        <v>29700</v>
      </c>
      <c r="D630" s="33" t="n">
        <f aca="false">AC18</f>
        <v>29700</v>
      </c>
      <c r="E630" s="33" t="n">
        <f aca="false">AI18</f>
        <v>27225</v>
      </c>
      <c r="F630" s="33" t="n">
        <f aca="false">AO18</f>
        <v>33000</v>
      </c>
    </row>
    <row r="631" customFormat="false" ht="12.8" hidden="false" customHeight="false" outlineLevel="0" collapsed="false">
      <c r="A631" s="1" t="str">
        <f aca="false">_xlfn.CONCAT($A$613, ".", A19)</f>
        <v>GA.5.16</v>
      </c>
      <c r="B631" s="5" t="str">
        <f aca="false">_xlfn.CONCAT(B19, ": ", C19)</f>
        <v>Landscaping / Groundskeeping: Support</v>
      </c>
      <c r="C631" s="33" t="n">
        <f aca="false">W19</f>
        <v>26400</v>
      </c>
      <c r="D631" s="33" t="n">
        <f aca="false">AC19</f>
        <v>26400</v>
      </c>
      <c r="E631" s="33" t="n">
        <f aca="false">AI19</f>
        <v>23925</v>
      </c>
      <c r="F631" s="33" t="n">
        <f aca="false">AO19</f>
        <v>29700</v>
      </c>
    </row>
    <row r="632" customFormat="false" ht="12.8" hidden="false" customHeight="false" outlineLevel="0" collapsed="false">
      <c r="A632" s="1" t="str">
        <f aca="false">_xlfn.CONCAT($A$613, ".", A20)</f>
        <v>GA.5.17</v>
      </c>
      <c r="B632" s="5" t="str">
        <f aca="false">_xlfn.CONCAT(B20, ": ", C20)</f>
        <v>Automotive &amp; Repair: Worker</v>
      </c>
      <c r="C632" s="33" t="n">
        <f aca="false">W20</f>
        <v>36000</v>
      </c>
      <c r="D632" s="33" t="n">
        <f aca="false">AC20</f>
        <v>36000</v>
      </c>
      <c r="E632" s="33" t="n">
        <f aca="false">AI20</f>
        <v>32400</v>
      </c>
      <c r="F632" s="33" t="n">
        <f aca="false">AO20</f>
        <v>39600</v>
      </c>
    </row>
    <row r="633" customFormat="false" ht="12.8" hidden="false" customHeight="false" outlineLevel="0" collapsed="false">
      <c r="A633" s="1" t="str">
        <f aca="false">_xlfn.CONCAT($A$613, ".", A21)</f>
        <v>GA.5.18</v>
      </c>
      <c r="B633" s="5" t="str">
        <f aca="false">_xlfn.CONCAT(B21, ": ", C21)</f>
        <v>Automotive &amp; Repair: Support</v>
      </c>
      <c r="C633" s="33" t="n">
        <f aca="false">W21</f>
        <v>32400</v>
      </c>
      <c r="D633" s="33" t="n">
        <f aca="false">AC21</f>
        <v>32400</v>
      </c>
      <c r="E633" s="33" t="n">
        <f aca="false">AI21</f>
        <v>28800</v>
      </c>
      <c r="F633" s="33" t="n">
        <f aca="false">AO21</f>
        <v>36000</v>
      </c>
    </row>
    <row r="634" customFormat="false" ht="12.8" hidden="false" customHeight="false" outlineLevel="0" collapsed="false">
      <c r="A634" s="1" t="str">
        <f aca="false">_xlfn.CONCAT($A$613, ".", A22)</f>
        <v>GA.5.19</v>
      </c>
      <c r="B634" s="5" t="str">
        <f aca="false">_xlfn.CONCAT(B22, ": ", C22)</f>
        <v>Other Services: Worker</v>
      </c>
      <c r="C634" s="33" t="n">
        <f aca="false">W22</f>
        <v>36000</v>
      </c>
      <c r="D634" s="33" t="n">
        <f aca="false">AC22</f>
        <v>36000</v>
      </c>
      <c r="E634" s="33" t="n">
        <f aca="false">AI22</f>
        <v>32400</v>
      </c>
      <c r="F634" s="33" t="n">
        <f aca="false">AO22</f>
        <v>39600</v>
      </c>
    </row>
    <row r="635" customFormat="false" ht="12.8" hidden="false" customHeight="false" outlineLevel="0" collapsed="false">
      <c r="A635" s="1" t="str">
        <f aca="false">_xlfn.CONCAT($A$613, ".", A23)</f>
        <v>GA.5.20</v>
      </c>
      <c r="B635" s="5" t="str">
        <f aca="false">_xlfn.CONCAT(B23, ": ", C23)</f>
        <v>Other Services: Support</v>
      </c>
      <c r="C635" s="33" t="n">
        <f aca="false">W23</f>
        <v>32400</v>
      </c>
      <c r="D635" s="33" t="n">
        <f aca="false">AC23</f>
        <v>32400</v>
      </c>
      <c r="E635" s="33" t="n">
        <f aca="false">AI23</f>
        <v>28800</v>
      </c>
      <c r="F635" s="33" t="n">
        <f aca="false">AO23</f>
        <v>36000</v>
      </c>
    </row>
    <row r="731" customFormat="false" ht="12.8" hidden="false" customHeight="false" outlineLevel="0" collapsed="false">
      <c r="A731" s="4" t="s">
        <v>184</v>
      </c>
      <c r="B731" s="27" t="s">
        <v>177</v>
      </c>
      <c r="C731" s="29" t="s">
        <v>157</v>
      </c>
    </row>
    <row r="732" customFormat="false" ht="46.25" hidden="false" customHeight="false" outlineLevel="0" collapsed="false">
      <c r="A732" s="4" t="s">
        <v>15</v>
      </c>
      <c r="B732" s="4" t="str">
        <f aca="false">_xlfn.CONCAT(B2, ": ", C2)</f>
        <v>Industry: Role</v>
      </c>
      <c r="C732" s="24" t="str">
        <f aca="false">AR2</f>
        <v>Federal Personal Income Tax Revenue ($)</v>
      </c>
      <c r="D732" s="24" t="str">
        <f aca="false">AS2</f>
        <v>Authorized Immigrant Federal Personal Income Tax Revenue ($)</v>
      </c>
      <c r="E732" s="24" t="str">
        <f aca="false">AT2</f>
        <v>Unauthorized Immigrant Federal Personal Income Tax Revenue ($)</v>
      </c>
      <c r="F732" s="24" t="str">
        <f aca="false">AU2</f>
        <v>American Federal Personal Income Tax Revenue ($)</v>
      </c>
    </row>
    <row r="733" customFormat="false" ht="12.8" hidden="false" customHeight="false" outlineLevel="0" collapsed="false">
      <c r="A733" s="5" t="str">
        <f aca="false">_xlfn.CONCAT($A$731, ".", A3)</f>
        <v>GA.6.0</v>
      </c>
      <c r="B733" s="5" t="str">
        <f aca="false">_xlfn.CONCAT(B3, ": ", C3)</f>
        <v>All Industries: All Roles</v>
      </c>
      <c r="C733" s="24" t="n">
        <f aca="false">AR3</f>
        <v>-13320000000</v>
      </c>
      <c r="D733" s="24" t="n">
        <f aca="false">AS3</f>
        <v>-584000000</v>
      </c>
      <c r="E733" s="24" t="n">
        <f aca="false">AT3</f>
        <v>37500000</v>
      </c>
      <c r="F733" s="24" t="n">
        <f aca="false">AU3</f>
        <v>-12777500000</v>
      </c>
    </row>
    <row r="734" customFormat="false" ht="12.8" hidden="false" customHeight="false" outlineLevel="0" collapsed="false">
      <c r="A734" s="5" t="str">
        <f aca="false">_xlfn.CONCAT($A$731, ".", A4)</f>
        <v>GA.6.1</v>
      </c>
      <c r="B734" s="5" t="str">
        <f aca="false">_xlfn.CONCAT(B4, ": ", C4)</f>
        <v>Agriculture: Worker</v>
      </c>
      <c r="C734" s="24" t="n">
        <f aca="false">AR4</f>
        <v>150000</v>
      </c>
      <c r="D734" s="24" t="n">
        <f aca="false">AS4</f>
        <v>-48000</v>
      </c>
      <c r="E734" s="24" t="n">
        <f aca="false">AT4</f>
        <v>70000</v>
      </c>
      <c r="F734" s="24" t="n">
        <f aca="false">AU4</f>
        <v>128000</v>
      </c>
    </row>
    <row r="735" customFormat="false" ht="12.8" hidden="false" customHeight="false" outlineLevel="0" collapsed="false">
      <c r="A735" s="5" t="str">
        <f aca="false">_xlfn.CONCAT($A$731, ".", A5)</f>
        <v>GA.6.2</v>
      </c>
      <c r="B735" s="5" t="str">
        <f aca="false">_xlfn.CONCAT(B5, ": ", C5)</f>
        <v>Agriculture: Support</v>
      </c>
      <c r="C735" s="24" t="n">
        <f aca="false">AR5</f>
        <v>60000</v>
      </c>
      <c r="D735" s="24" t="n">
        <f aca="false">AS5</f>
        <v>-25000</v>
      </c>
      <c r="E735" s="24" t="n">
        <f aca="false">AT5</f>
        <v>38000</v>
      </c>
      <c r="F735" s="24" t="n">
        <f aca="false">AU5</f>
        <v>47000</v>
      </c>
    </row>
    <row r="736" customFormat="false" ht="12.8" hidden="false" customHeight="false" outlineLevel="0" collapsed="false">
      <c r="A736" s="5" t="str">
        <f aca="false">_xlfn.CONCAT($A$731, ".", A6)</f>
        <v>GA.6.3</v>
      </c>
      <c r="B736" s="5" t="str">
        <f aca="false">_xlfn.CONCAT(B6, ": ", C6)</f>
        <v>Construction: Worker</v>
      </c>
      <c r="C736" s="24" t="n">
        <f aca="false">AR6</f>
        <v>10280000</v>
      </c>
      <c r="D736" s="24" t="n">
        <f aca="false">AS6</f>
        <v>1025000</v>
      </c>
      <c r="E736" s="24" t="n">
        <f aca="false">AT6</f>
        <v>2580000</v>
      </c>
      <c r="F736" s="24" t="n">
        <f aca="false">AU6</f>
        <v>6660000</v>
      </c>
    </row>
    <row r="737" customFormat="false" ht="12.8" hidden="false" customHeight="false" outlineLevel="0" collapsed="false">
      <c r="A737" s="5" t="str">
        <f aca="false">_xlfn.CONCAT($A$731, ".", A7)</f>
        <v>GA.6.4</v>
      </c>
      <c r="B737" s="5" t="str">
        <f aca="false">_xlfn.CONCAT(B7, ": ", C7)</f>
        <v>Construction: Support</v>
      </c>
      <c r="C737" s="24" t="n">
        <f aca="false">AR7</f>
        <v>2580000</v>
      </c>
      <c r="D737" s="24" t="n">
        <f aca="false">AS7</f>
        <v>107000</v>
      </c>
      <c r="E737" s="24" t="n">
        <f aca="false">AT7</f>
        <v>1280000</v>
      </c>
      <c r="F737" s="24" t="n">
        <f aca="false">AU7</f>
        <v>2020000</v>
      </c>
    </row>
    <row r="738" customFormat="false" ht="12.8" hidden="false" customHeight="false" outlineLevel="0" collapsed="false">
      <c r="A738" s="5" t="str">
        <f aca="false">_xlfn.CONCAT($A$731, ".", A8)</f>
        <v>GA.6.5</v>
      </c>
      <c r="B738" s="5" t="str">
        <f aca="false">_xlfn.CONCAT(B8, ": ", C8)</f>
        <v>Hospitality: Worker</v>
      </c>
      <c r="C738" s="24" t="n">
        <f aca="false">AR8</f>
        <v>-21600000</v>
      </c>
      <c r="D738" s="24" t="n">
        <f aca="false">AS8</f>
        <v>-4650000</v>
      </c>
      <c r="E738" s="24" t="n">
        <f aca="false">AT8</f>
        <v>205000</v>
      </c>
      <c r="F738" s="24" t="n">
        <f aca="false">AU8</f>
        <v>-16950000</v>
      </c>
    </row>
    <row r="739" customFormat="false" ht="12.8" hidden="false" customHeight="false" outlineLevel="0" collapsed="false">
      <c r="A739" s="5" t="str">
        <f aca="false">_xlfn.CONCAT($A$731, ".", A9)</f>
        <v>GA.6.6</v>
      </c>
      <c r="B739" s="5" t="str">
        <f aca="false">_xlfn.CONCAT(B9, ": ", C9)</f>
        <v>Hospitality: Support</v>
      </c>
      <c r="C739" s="24" t="n">
        <f aca="false">AR9</f>
        <v>-13500000</v>
      </c>
      <c r="D739" s="24" t="n">
        <f aca="false">AS9</f>
        <v>-2800000</v>
      </c>
      <c r="E739" s="24" t="n">
        <f aca="false">AT9</f>
        <v>44000</v>
      </c>
      <c r="F739" s="24" t="n">
        <f aca="false">AU9</f>
        <v>-10700000</v>
      </c>
    </row>
    <row r="740" customFormat="false" ht="12.8" hidden="false" customHeight="false" outlineLevel="0" collapsed="false">
      <c r="A740" s="5" t="str">
        <f aca="false">_xlfn.CONCAT($A$731, ".", A10)</f>
        <v>GA.6.7</v>
      </c>
      <c r="B740" s="5" t="str">
        <f aca="false">_xlfn.CONCAT(B10, ": ", C10)</f>
        <v>Cleaning/Maintenance: Worker</v>
      </c>
      <c r="C740" s="24" t="n">
        <f aca="false">AR10</f>
        <v>-7200000</v>
      </c>
      <c r="D740" s="24" t="n">
        <f aca="false">AS10</f>
        <v>-1970000</v>
      </c>
      <c r="E740" s="24" t="n">
        <f aca="false">AT10</f>
        <v>1090000</v>
      </c>
      <c r="F740" s="24" t="n">
        <f aca="false">AU10</f>
        <v>-6320000</v>
      </c>
    </row>
    <row r="741" customFormat="false" ht="12.8" hidden="false" customHeight="false" outlineLevel="0" collapsed="false">
      <c r="A741" s="5" t="str">
        <f aca="false">_xlfn.CONCAT($A$731, ".", A11)</f>
        <v>GA.6.8</v>
      </c>
      <c r="B741" s="5" t="str">
        <f aca="false">_xlfn.CONCAT(B11, ": ", C11)</f>
        <v>Cleaning/Maintenance: Support</v>
      </c>
      <c r="C741" s="24" t="n">
        <f aca="false">AR11</f>
        <v>-5470000</v>
      </c>
      <c r="D741" s="24" t="n">
        <f aca="false">AS11</f>
        <v>-1340000</v>
      </c>
      <c r="E741" s="24" t="n">
        <f aca="false">AT11</f>
        <v>226000</v>
      </c>
      <c r="F741" s="24" t="n">
        <f aca="false">AU11</f>
        <v>-4290000</v>
      </c>
    </row>
    <row r="742" customFormat="false" ht="12.8" hidden="false" customHeight="false" outlineLevel="0" collapsed="false">
      <c r="A742" s="5" t="str">
        <f aca="false">_xlfn.CONCAT($A$731, ".", A12)</f>
        <v>GA.6.9</v>
      </c>
      <c r="B742" s="5" t="str">
        <f aca="false">_xlfn.CONCAT(B12, ": ", C12)</f>
        <v>Manufacturing: Worker</v>
      </c>
      <c r="C742" s="24" t="n">
        <f aca="false">AR12</f>
        <v>29000000</v>
      </c>
      <c r="D742" s="24" t="n">
        <f aca="false">AS12</f>
        <v>2960000</v>
      </c>
      <c r="E742" s="24" t="n">
        <f aca="false">AT12</f>
        <v>3690000</v>
      </c>
      <c r="F742" s="24" t="n">
        <f aca="false">AU12</f>
        <v>22350000</v>
      </c>
    </row>
    <row r="743" customFormat="false" ht="12.8" hidden="false" customHeight="false" outlineLevel="0" collapsed="false">
      <c r="A743" s="5" t="str">
        <f aca="false">_xlfn.CONCAT($A$731, ".", A13)</f>
        <v>GA.6.10</v>
      </c>
      <c r="B743" s="5" t="str">
        <f aca="false">_xlfn.CONCAT(B13, ": ", C13)</f>
        <v>Manufacturing: Support</v>
      </c>
      <c r="C743" s="24" t="n">
        <f aca="false">AR13</f>
        <v>6770000</v>
      </c>
      <c r="D743" s="24" t="n">
        <f aca="false">AS13</f>
        <v>310000</v>
      </c>
      <c r="E743" s="24" t="n">
        <f aca="false">AT13</f>
        <v>1830000</v>
      </c>
      <c r="F743" s="24" t="n">
        <f aca="false">AU13</f>
        <v>5080000</v>
      </c>
    </row>
    <row r="744" customFormat="false" ht="12.8" hidden="false" customHeight="false" outlineLevel="0" collapsed="false">
      <c r="A744" s="5" t="str">
        <f aca="false">_xlfn.CONCAT($A$731, ".", A14)</f>
        <v>GA.6.11</v>
      </c>
      <c r="B744" s="5" t="str">
        <f aca="false">_xlfn.CONCAT(B14, ": ", C14)</f>
        <v>Transportation &amp; Warehousing: Worker</v>
      </c>
      <c r="C744" s="24" t="n">
        <f aca="false">AR14</f>
        <v>27800000</v>
      </c>
      <c r="D744" s="24" t="n">
        <f aca="false">AS14</f>
        <v>3600000</v>
      </c>
      <c r="E744" s="24" t="n">
        <f aca="false">AT14</f>
        <v>3740000</v>
      </c>
      <c r="F744" s="24" t="n">
        <f aca="false">AU14</f>
        <v>20460000</v>
      </c>
    </row>
    <row r="745" customFormat="false" ht="12.8" hidden="false" customHeight="false" outlineLevel="0" collapsed="false">
      <c r="A745" s="5" t="str">
        <f aca="false">_xlfn.CONCAT($A$731, ".", A15)</f>
        <v>GA.6.12</v>
      </c>
      <c r="B745" s="5" t="str">
        <f aca="false">_xlfn.CONCAT(B15, ": ", C15)</f>
        <v>Transportation &amp; Warehousing: Support</v>
      </c>
      <c r="C745" s="24" t="n">
        <f aca="false">AR15</f>
        <v>8240000</v>
      </c>
      <c r="D745" s="24" t="n">
        <f aca="false">AS15</f>
        <v>820000</v>
      </c>
      <c r="E745" s="24" t="n">
        <f aca="false">AT15</f>
        <v>1840000</v>
      </c>
      <c r="F745" s="24" t="n">
        <f aca="false">AU15</f>
        <v>5580000</v>
      </c>
    </row>
    <row r="746" customFormat="false" ht="12.8" hidden="false" customHeight="false" outlineLevel="0" collapsed="false">
      <c r="A746" s="5" t="str">
        <f aca="false">_xlfn.CONCAT($A$731, ".", A16)</f>
        <v>GA.6.13</v>
      </c>
      <c r="B746" s="5" t="str">
        <f aca="false">_xlfn.CONCAT(B16, ": ", C16)</f>
        <v>Retail Trade: Worker</v>
      </c>
      <c r="C746" s="24" t="n">
        <f aca="false">AR16</f>
        <v>-12800000</v>
      </c>
      <c r="D746" s="24" t="n">
        <f aca="false">AS16</f>
        <v>-2010000</v>
      </c>
      <c r="E746" s="24" t="n">
        <f aca="false">AT16</f>
        <v>770000</v>
      </c>
      <c r="F746" s="24" t="n">
        <f aca="false">AU16</f>
        <v>-11500000</v>
      </c>
    </row>
    <row r="747" customFormat="false" ht="12.8" hidden="false" customHeight="false" outlineLevel="0" collapsed="false">
      <c r="A747" s="5" t="str">
        <f aca="false">_xlfn.CONCAT($A$731, ".", A17)</f>
        <v>GA.6.14</v>
      </c>
      <c r="B747" s="5" t="str">
        <f aca="false">_xlfn.CONCAT(B17, ": ", C17)</f>
        <v>Retail Trade: Support</v>
      </c>
      <c r="C747" s="24" t="n">
        <f aca="false">AR17</f>
        <v>-10700000</v>
      </c>
      <c r="D747" s="24" t="n">
        <f aca="false">AS17</f>
        <v>-1360000</v>
      </c>
      <c r="E747" s="24" t="n">
        <f aca="false">AT17</f>
        <v>342000</v>
      </c>
      <c r="F747" s="24" t="n">
        <f aca="false">AU17</f>
        <v>-9630000</v>
      </c>
    </row>
    <row r="748" customFormat="false" ht="12.8" hidden="false" customHeight="false" outlineLevel="0" collapsed="false">
      <c r="A748" s="5" t="str">
        <f aca="false">_xlfn.CONCAT($A$731, ".", A18)</f>
        <v>GA.6.15</v>
      </c>
      <c r="B748" s="5" t="str">
        <f aca="false">_xlfn.CONCAT(B18, ": ", C18)</f>
        <v>Landscaping / Groundskeeping: Worker</v>
      </c>
      <c r="C748" s="24" t="n">
        <f aca="false">AR18</f>
        <v>-158000</v>
      </c>
      <c r="D748" s="24" t="n">
        <f aca="false">AS18</f>
        <v>-623000</v>
      </c>
      <c r="E748" s="24" t="n">
        <f aca="false">AT18</f>
        <v>1730000</v>
      </c>
      <c r="F748" s="24" t="n">
        <f aca="false">AU18</f>
        <v>-1110000</v>
      </c>
    </row>
    <row r="749" customFormat="false" ht="12.8" hidden="false" customHeight="false" outlineLevel="0" collapsed="false">
      <c r="A749" s="5" t="str">
        <f aca="false">_xlfn.CONCAT($A$731, ".", A19)</f>
        <v>GA.6.16</v>
      </c>
      <c r="B749" s="5" t="str">
        <f aca="false">_xlfn.CONCAT(B19, ": ", C19)</f>
        <v>Landscaping / Groundskeeping: Support</v>
      </c>
      <c r="C749" s="24" t="n">
        <f aca="false">AR19</f>
        <v>-1620000</v>
      </c>
      <c r="D749" s="24" t="n">
        <f aca="false">AS19</f>
        <v>-556000</v>
      </c>
      <c r="E749" s="24" t="n">
        <f aca="false">AT19</f>
        <v>670000</v>
      </c>
      <c r="F749" s="24" t="n">
        <f aca="false">AU19</f>
        <v>-1570000</v>
      </c>
    </row>
    <row r="750" customFormat="false" ht="12.8" hidden="false" customHeight="false" outlineLevel="0" collapsed="false">
      <c r="A750" s="5" t="str">
        <f aca="false">_xlfn.CONCAT($A$731, ".", A20)</f>
        <v>GA.6.17</v>
      </c>
      <c r="B750" s="5" t="str">
        <f aca="false">_xlfn.CONCAT(B20, ": ", C20)</f>
        <v>Automotive &amp; Repair: Worker</v>
      </c>
      <c r="C750" s="24" t="n">
        <f aca="false">AR20</f>
        <v>3650000</v>
      </c>
      <c r="D750" s="24" t="n">
        <f aca="false">AS20</f>
        <v>469000</v>
      </c>
      <c r="E750" s="24" t="n">
        <f aca="false">AT20</f>
        <v>157000</v>
      </c>
      <c r="F750" s="24" t="n">
        <f aca="false">AU20</f>
        <v>3020000</v>
      </c>
    </row>
    <row r="751" customFormat="false" ht="12.8" hidden="false" customHeight="false" outlineLevel="0" collapsed="false">
      <c r="A751" s="5" t="str">
        <f aca="false">_xlfn.CONCAT($A$731, ".", A21)</f>
        <v>GA.6.18</v>
      </c>
      <c r="B751" s="5" t="str">
        <f aca="false">_xlfn.CONCAT(B21, ": ", C21)</f>
        <v>Automotive &amp; Repair: Support</v>
      </c>
      <c r="C751" s="24" t="n">
        <f aca="false">AR21</f>
        <v>1570000</v>
      </c>
      <c r="D751" s="24" t="n">
        <f aca="false">AS21</f>
        <v>210000</v>
      </c>
      <c r="E751" s="24" t="n">
        <f aca="false">AT21</f>
        <v>67000</v>
      </c>
      <c r="F751" s="24" t="n">
        <f aca="false">AU21</f>
        <v>1290000</v>
      </c>
    </row>
    <row r="752" customFormat="false" ht="12.8" hidden="false" customHeight="false" outlineLevel="0" collapsed="false">
      <c r="A752" s="5" t="str">
        <f aca="false">_xlfn.CONCAT($A$731, ".", A22)</f>
        <v>GA.6.19</v>
      </c>
      <c r="B752" s="5" t="str">
        <f aca="false">_xlfn.CONCAT(B22, ": ", C22)</f>
        <v>Other Services: Worker</v>
      </c>
      <c r="C752" s="24" t="n">
        <f aca="false">AR22</f>
        <v>10580000</v>
      </c>
      <c r="D752" s="24" t="n">
        <f aca="false">AS22</f>
        <v>1037000</v>
      </c>
      <c r="E752" s="24" t="n">
        <f aca="false">AT22</f>
        <v>600000</v>
      </c>
      <c r="F752" s="24" t="n">
        <f aca="false">AU22</f>
        <v>8940000</v>
      </c>
    </row>
    <row r="753" customFormat="false" ht="12.8" hidden="false" customHeight="false" outlineLevel="0" collapsed="false">
      <c r="A753" s="5" t="str">
        <f aca="false">_xlfn.CONCAT($A$731, ".", A23)</f>
        <v>GA.6.20</v>
      </c>
      <c r="B753" s="5" t="str">
        <f aca="false">_xlfn.CONCAT(B23, ": ", C23)</f>
        <v>Other Services: Support</v>
      </c>
      <c r="C753" s="24" t="n">
        <f aca="false">AR23</f>
        <v>4750000</v>
      </c>
      <c r="D753" s="24" t="n">
        <f aca="false">AS23</f>
        <v>466000</v>
      </c>
      <c r="E753" s="24" t="n">
        <f aca="false">AT23</f>
        <v>255000</v>
      </c>
      <c r="F753" s="24" t="n">
        <f aca="false">AU23</f>
        <v>4030000</v>
      </c>
    </row>
    <row r="754" customFormat="false" ht="12.8" hidden="false" customHeight="false" outlineLevel="0" collapsed="false">
      <c r="A754" s="5"/>
      <c r="B754" s="5"/>
      <c r="C754" s="24"/>
      <c r="D754" s="24"/>
      <c r="E754" s="24"/>
      <c r="F754" s="24"/>
    </row>
    <row r="755" customFormat="false" ht="12.8" hidden="false" customHeight="false" outlineLevel="0" collapsed="false">
      <c r="A755" s="5"/>
      <c r="B755" s="5"/>
      <c r="C755" s="24"/>
      <c r="D755" s="24"/>
      <c r="E755" s="24"/>
      <c r="F755" s="24"/>
    </row>
    <row r="847" customFormat="false" ht="12.8" hidden="false" customHeight="false" outlineLevel="0" collapsed="false">
      <c r="A847" s="4" t="s">
        <v>184</v>
      </c>
      <c r="B847" s="27" t="s">
        <v>177</v>
      </c>
      <c r="C847" s="29" t="s">
        <v>157</v>
      </c>
    </row>
    <row r="848" customFormat="false" ht="35.05" hidden="false" customHeight="false" outlineLevel="0" collapsed="false">
      <c r="A848" s="4" t="s">
        <v>15</v>
      </c>
      <c r="B848" s="4" t="str">
        <f aca="false">_xlfn.CONCAT(B2, ": ", C2)</f>
        <v>Industry: Role</v>
      </c>
      <c r="C848" s="24" t="str">
        <f aca="false">AV2</f>
        <v>Payroll Tax Revenue ($)</v>
      </c>
      <c r="D848" s="24" t="str">
        <f aca="false">AW2</f>
        <v>Authorized Immigrant Payroll Tax Revenue ($)</v>
      </c>
      <c r="E848" s="24" t="str">
        <f aca="false">AX2</f>
        <v>Unauthorized Immigrant Payroll Tax Revenue ($)</v>
      </c>
      <c r="F848" s="24" t="str">
        <f aca="false">AY2</f>
        <v>American Payroll Tax Revenue ($)</v>
      </c>
    </row>
    <row r="849" customFormat="false" ht="12.8" hidden="false" customHeight="false" outlineLevel="0" collapsed="false">
      <c r="A849" s="5" t="str">
        <f aca="false">_xlfn.CONCAT($A$731, ".", A3)</f>
        <v>GA.6.0</v>
      </c>
      <c r="B849" s="5" t="str">
        <f aca="false">_xlfn.CONCAT(B3, ": ", C3)</f>
        <v>All Industries: All Roles</v>
      </c>
      <c r="C849" s="24" t="n">
        <f aca="false">AV3</f>
        <v>40500000000</v>
      </c>
      <c r="D849" s="24" t="n">
        <f aca="false">AW3</f>
        <v>877000000</v>
      </c>
      <c r="E849" s="24" t="n">
        <f aca="false">AX3</f>
        <v>497000000</v>
      </c>
      <c r="F849" s="24" t="n">
        <f aca="false">AY3</f>
        <v>39135000000</v>
      </c>
    </row>
    <row r="850" customFormat="false" ht="12.8" hidden="false" customHeight="false" outlineLevel="0" collapsed="false">
      <c r="A850" s="5" t="str">
        <f aca="false">_xlfn.CONCAT($A$731, ".", A4)</f>
        <v>GA.6.1</v>
      </c>
      <c r="B850" s="5" t="str">
        <f aca="false">_xlfn.CONCAT(B4, ": ", C4)</f>
        <v>Agriculture: Worker</v>
      </c>
      <c r="C850" s="24" t="n">
        <f aca="false">AV4</f>
        <v>11800000</v>
      </c>
      <c r="D850" s="24" t="n">
        <f aca="false">AW4</f>
        <v>2970000</v>
      </c>
      <c r="E850" s="24" t="n">
        <f aca="false">AX4</f>
        <v>1470000</v>
      </c>
      <c r="F850" s="24" t="n">
        <f aca="false">AY4</f>
        <v>7350000</v>
      </c>
    </row>
    <row r="851" customFormat="false" ht="12.8" hidden="false" customHeight="false" outlineLevel="0" collapsed="false">
      <c r="A851" s="5" t="str">
        <f aca="false">_xlfn.CONCAT($A$731, ".", A5)</f>
        <v>GA.6.2</v>
      </c>
      <c r="B851" s="5" t="str">
        <f aca="false">_xlfn.CONCAT(B5, ": ", C5)</f>
        <v>Agriculture: Support</v>
      </c>
      <c r="C851" s="24" t="n">
        <f aca="false">AV5</f>
        <v>6200000</v>
      </c>
      <c r="D851" s="24" t="n">
        <f aca="false">AW5</f>
        <v>1570000</v>
      </c>
      <c r="E851" s="24" t="n">
        <f aca="false">AX5</f>
        <v>780000</v>
      </c>
      <c r="F851" s="24" t="n">
        <f aca="false">AY5</f>
        <v>3840000</v>
      </c>
    </row>
    <row r="852" customFormat="false" ht="12.8" hidden="false" customHeight="false" outlineLevel="0" collapsed="false">
      <c r="A852" s="5" t="str">
        <f aca="false">_xlfn.CONCAT($A$731, ".", A6)</f>
        <v>GA.6.3</v>
      </c>
      <c r="B852" s="5" t="str">
        <f aca="false">_xlfn.CONCAT(B6, ": ", C6)</f>
        <v>Construction: Worker</v>
      </c>
      <c r="C852" s="24" t="n">
        <f aca="false">AV6</f>
        <v>44400000</v>
      </c>
      <c r="D852" s="24" t="n">
        <f aca="false">AW6</f>
        <v>6530000</v>
      </c>
      <c r="E852" s="24" t="n">
        <f aca="false">AX6</f>
        <v>6010000</v>
      </c>
      <c r="F852" s="24" t="n">
        <f aca="false">AY6</f>
        <v>31860000</v>
      </c>
    </row>
    <row r="853" customFormat="false" ht="12.8" hidden="false" customHeight="false" outlineLevel="0" collapsed="false">
      <c r="A853" s="5" t="str">
        <f aca="false">_xlfn.CONCAT($A$731, ".", A7)</f>
        <v>GA.6.4</v>
      </c>
      <c r="B853" s="5" t="str">
        <f aca="false">_xlfn.CONCAT(B7, ": ", C7)</f>
        <v>Construction: Support</v>
      </c>
      <c r="C853" s="24" t="n">
        <f aca="false">AV7</f>
        <v>20100000</v>
      </c>
      <c r="D853" s="24" t="n">
        <f aca="false">AW7</f>
        <v>2940000</v>
      </c>
      <c r="E853" s="24" t="n">
        <f aca="false">AX7</f>
        <v>2680000</v>
      </c>
      <c r="F853" s="24" t="n">
        <f aca="false">AY7</f>
        <v>14500000</v>
      </c>
    </row>
    <row r="854" customFormat="false" ht="12.8" hidden="false" customHeight="false" outlineLevel="0" collapsed="false">
      <c r="A854" s="5" t="str">
        <f aca="false">_xlfn.CONCAT($A$731, ".", A8)</f>
        <v>GA.6.5</v>
      </c>
      <c r="B854" s="5" t="str">
        <f aca="false">_xlfn.CONCAT(B8, ": ", C8)</f>
        <v>Hospitality: Worker</v>
      </c>
      <c r="C854" s="24" t="n">
        <f aca="false">AV8</f>
        <v>70000000</v>
      </c>
      <c r="D854" s="24" t="n">
        <f aca="false">AW8</f>
        <v>10000000</v>
      </c>
      <c r="E854" s="24" t="n">
        <f aca="false">AX8</f>
        <v>8770000</v>
      </c>
      <c r="F854" s="24" t="n">
        <f aca="false">AY8</f>
        <v>51200000</v>
      </c>
    </row>
    <row r="855" customFormat="false" ht="12.8" hidden="false" customHeight="false" outlineLevel="0" collapsed="false">
      <c r="A855" s="5" t="str">
        <f aca="false">_xlfn.CONCAT($A$731, ".", A9)</f>
        <v>GA.6.6</v>
      </c>
      <c r="B855" s="5" t="str">
        <f aca="false">_xlfn.CONCAT(B9, ": ", C9)</f>
        <v>Hospitality: Support</v>
      </c>
      <c r="C855" s="24" t="n">
        <f aca="false">AV9</f>
        <v>35000000</v>
      </c>
      <c r="D855" s="24" t="n">
        <f aca="false">AW9</f>
        <v>5000000</v>
      </c>
      <c r="E855" s="24" t="n">
        <f aca="false">AX9</f>
        <v>4300000</v>
      </c>
      <c r="F855" s="24" t="n">
        <f aca="false">AY9</f>
        <v>25700000</v>
      </c>
    </row>
    <row r="856" customFormat="false" ht="12.8" hidden="false" customHeight="false" outlineLevel="0" collapsed="false">
      <c r="A856" s="5" t="str">
        <f aca="false">_xlfn.CONCAT($A$731, ".", A10)</f>
        <v>GA.6.7</v>
      </c>
      <c r="B856" s="5" t="str">
        <f aca="false">_xlfn.CONCAT(B10, ": ", C10)</f>
        <v>Cleaning/Maintenance: Worker</v>
      </c>
      <c r="C856" s="24" t="n">
        <f aca="false">AV10</f>
        <v>34300000</v>
      </c>
      <c r="D856" s="24" t="n">
        <f aca="false">AW10</f>
        <v>5640000</v>
      </c>
      <c r="E856" s="24" t="n">
        <f aca="false">AX10</f>
        <v>5000000</v>
      </c>
      <c r="F856" s="24" t="n">
        <f aca="false">AY10</f>
        <v>23650000</v>
      </c>
    </row>
    <row r="857" customFormat="false" ht="12.8" hidden="false" customHeight="false" outlineLevel="0" collapsed="false">
      <c r="A857" s="5" t="str">
        <f aca="false">_xlfn.CONCAT($A$731, ".", A11)</f>
        <v>GA.6.8</v>
      </c>
      <c r="B857" s="5" t="str">
        <f aca="false">_xlfn.CONCAT(B11, ": ", C11)</f>
        <v>Cleaning/Maintenance: Support</v>
      </c>
      <c r="C857" s="24" t="n">
        <f aca="false">AV11</f>
        <v>16000000</v>
      </c>
      <c r="D857" s="24" t="n">
        <f aca="false">AW11</f>
        <v>2620000</v>
      </c>
      <c r="E857" s="24" t="n">
        <f aca="false">AX11</f>
        <v>2280000</v>
      </c>
      <c r="F857" s="24" t="n">
        <f aca="false">AY11</f>
        <v>11100000</v>
      </c>
    </row>
    <row r="858" customFormat="false" ht="12.8" hidden="false" customHeight="false" outlineLevel="0" collapsed="false">
      <c r="A858" s="5" t="str">
        <f aca="false">_xlfn.CONCAT($A$731, ".", A12)</f>
        <v>GA.6.9</v>
      </c>
      <c r="B858" s="5" t="str">
        <f aca="false">_xlfn.CONCAT(B12, ": ", C12)</f>
        <v>Manufacturing: Worker</v>
      </c>
      <c r="C858" s="24" t="n">
        <f aca="false">AV12</f>
        <v>134000000</v>
      </c>
      <c r="D858" s="24" t="n">
        <f aca="false">AW12</f>
        <v>18800000</v>
      </c>
      <c r="E858" s="24" t="n">
        <f aca="false">AX12</f>
        <v>8600000</v>
      </c>
      <c r="F858" s="24" t="n">
        <f aca="false">AY12</f>
        <v>106600000</v>
      </c>
    </row>
    <row r="859" customFormat="false" ht="12.8" hidden="false" customHeight="false" outlineLevel="0" collapsed="false">
      <c r="A859" s="5" t="str">
        <f aca="false">_xlfn.CONCAT($A$731, ".", A13)</f>
        <v>GA.6.10</v>
      </c>
      <c r="B859" s="5" t="str">
        <f aca="false">_xlfn.CONCAT(B13, ": ", C13)</f>
        <v>Manufacturing: Support</v>
      </c>
      <c r="C859" s="24" t="n">
        <f aca="false">AV13</f>
        <v>61000000</v>
      </c>
      <c r="D859" s="24" t="n">
        <f aca="false">AW13</f>
        <v>8540000</v>
      </c>
      <c r="E859" s="24" t="n">
        <f aca="false">AX13</f>
        <v>3860000</v>
      </c>
      <c r="F859" s="24" t="n">
        <f aca="false">AY13</f>
        <v>48600000</v>
      </c>
    </row>
    <row r="860" customFormat="false" ht="12.8" hidden="false" customHeight="false" outlineLevel="0" collapsed="false">
      <c r="A860" s="5" t="str">
        <f aca="false">_xlfn.CONCAT($A$731, ".", A14)</f>
        <v>GA.6.11</v>
      </c>
      <c r="B860" s="5" t="str">
        <f aca="false">_xlfn.CONCAT(B14, ": ", C14)</f>
        <v>Transportation &amp; Warehousing: Worker</v>
      </c>
      <c r="C860" s="24" t="n">
        <f aca="false">AV14</f>
        <v>106000000</v>
      </c>
      <c r="D860" s="24" t="n">
        <f aca="false">AW14</f>
        <v>17200000</v>
      </c>
      <c r="E860" s="24" t="n">
        <f aca="false">AX14</f>
        <v>7650000</v>
      </c>
      <c r="F860" s="24" t="n">
        <f aca="false">AY14</f>
        <v>81100000</v>
      </c>
    </row>
    <row r="861" customFormat="false" ht="12.8" hidden="false" customHeight="false" outlineLevel="0" collapsed="false">
      <c r="A861" s="5" t="str">
        <f aca="false">_xlfn.CONCAT($A$731, ".", A15)</f>
        <v>GA.6.12</v>
      </c>
      <c r="B861" s="5" t="str">
        <f aca="false">_xlfn.CONCAT(B15, ": ", C15)</f>
        <v>Transportation &amp; Warehousing: Support</v>
      </c>
      <c r="C861" s="24" t="n">
        <f aca="false">AV15</f>
        <v>48700000</v>
      </c>
      <c r="D861" s="24" t="n">
        <f aca="false">AW15</f>
        <v>7850000</v>
      </c>
      <c r="E861" s="24" t="n">
        <f aca="false">AX15</f>
        <v>3470000</v>
      </c>
      <c r="F861" s="24" t="n">
        <f aca="false">AY15</f>
        <v>37400000</v>
      </c>
    </row>
    <row r="862" customFormat="false" ht="12.8" hidden="false" customHeight="false" outlineLevel="0" collapsed="false">
      <c r="A862" s="5" t="str">
        <f aca="false">_xlfn.CONCAT($A$731, ".", A16)</f>
        <v>GA.6.13</v>
      </c>
      <c r="B862" s="5" t="str">
        <f aca="false">_xlfn.CONCAT(B16, ": ", C16)</f>
        <v>Retail Trade: Worker</v>
      </c>
      <c r="C862" s="24" t="n">
        <f aca="false">AV16</f>
        <v>89500000</v>
      </c>
      <c r="D862" s="24" t="n">
        <f aca="false">AW16</f>
        <v>7770000</v>
      </c>
      <c r="E862" s="24" t="n">
        <f aca="false">AX16</f>
        <v>3490000</v>
      </c>
      <c r="F862" s="24" t="n">
        <f aca="false">AY16</f>
        <v>78200000</v>
      </c>
    </row>
    <row r="863" customFormat="false" ht="12.8" hidden="false" customHeight="false" outlineLevel="0" collapsed="false">
      <c r="A863" s="5" t="str">
        <f aca="false">_xlfn.CONCAT($A$731, ".", A17)</f>
        <v>GA.6.14</v>
      </c>
      <c r="B863" s="5" t="str">
        <f aca="false">_xlfn.CONCAT(B17, ": ", C17)</f>
        <v>Retail Trade: Support</v>
      </c>
      <c r="C863" s="24" t="n">
        <f aca="false">AV17</f>
        <v>42600000</v>
      </c>
      <c r="D863" s="24" t="n">
        <f aca="false">AW17</f>
        <v>3770000</v>
      </c>
      <c r="E863" s="24" t="n">
        <f aca="false">AX17</f>
        <v>1680000</v>
      </c>
      <c r="F863" s="24" t="n">
        <f aca="false">AY17</f>
        <v>37200000</v>
      </c>
    </row>
    <row r="864" customFormat="false" ht="12.8" hidden="false" customHeight="false" outlineLevel="0" collapsed="false">
      <c r="A864" s="5" t="str">
        <f aca="false">_xlfn.CONCAT($A$731, ".", A18)</f>
        <v>GA.6.15</v>
      </c>
      <c r="B864" s="5" t="str">
        <f aca="false">_xlfn.CONCAT(B18, ": ", C18)</f>
        <v>Landscaping / Groundskeeping: Worker</v>
      </c>
      <c r="C864" s="24" t="n">
        <f aca="false">AV18</f>
        <v>36200000</v>
      </c>
      <c r="D864" s="24" t="n">
        <f aca="false">AW18</f>
        <v>5100000</v>
      </c>
      <c r="E864" s="24" t="n">
        <f aca="false">AX18</f>
        <v>4670000</v>
      </c>
      <c r="F864" s="24" t="n">
        <f aca="false">AY18</f>
        <v>26400000</v>
      </c>
    </row>
    <row r="865" customFormat="false" ht="12.8" hidden="false" customHeight="false" outlineLevel="0" collapsed="false">
      <c r="A865" s="5" t="str">
        <f aca="false">_xlfn.CONCAT($A$731, ".", A19)</f>
        <v>GA.6.16</v>
      </c>
      <c r="B865" s="5" t="str">
        <f aca="false">_xlfn.CONCAT(B19, ": ", C19)</f>
        <v>Landscaping / Groundskeeping: Support</v>
      </c>
      <c r="C865" s="24" t="n">
        <f aca="false">AV19</f>
        <v>17500000</v>
      </c>
      <c r="D865" s="24" t="n">
        <f aca="false">AW19</f>
        <v>2440000</v>
      </c>
      <c r="E865" s="24" t="n">
        <f aca="false">AX19</f>
        <v>2210000</v>
      </c>
      <c r="F865" s="24" t="n">
        <f aca="false">AY19</f>
        <v>12800000</v>
      </c>
    </row>
    <row r="866" customFormat="false" ht="12.8" hidden="false" customHeight="false" outlineLevel="0" collapsed="false">
      <c r="A866" s="5" t="str">
        <f aca="false">_xlfn.CONCAT($A$731, ".", A20)</f>
        <v>GA.6.17</v>
      </c>
      <c r="B866" s="5" t="str">
        <f aca="false">_xlfn.CONCAT(B20, ": ", C20)</f>
        <v>Automotive &amp; Repair: Worker</v>
      </c>
      <c r="C866" s="24" t="n">
        <f aca="false">AV20</f>
        <v>24600000</v>
      </c>
      <c r="D866" s="24" t="n">
        <f aca="false">AW20</f>
        <v>3610000</v>
      </c>
      <c r="E866" s="24" t="n">
        <f aca="false">AX20</f>
        <v>1560000</v>
      </c>
      <c r="F866" s="24" t="n">
        <f aca="false">AY20</f>
        <v>19400000</v>
      </c>
    </row>
    <row r="867" customFormat="false" ht="12.8" hidden="false" customHeight="false" outlineLevel="0" collapsed="false">
      <c r="A867" s="5" t="str">
        <f aca="false">_xlfn.CONCAT($A$731, ".", A21)</f>
        <v>GA.6.18</v>
      </c>
      <c r="B867" s="5" t="str">
        <f aca="false">_xlfn.CONCAT(B21, ": ", C21)</f>
        <v>Automotive &amp; Repair: Support</v>
      </c>
      <c r="C867" s="24" t="n">
        <f aca="false">AV21</f>
        <v>11000000</v>
      </c>
      <c r="D867" s="24" t="n">
        <f aca="false">AW21</f>
        <v>1620000</v>
      </c>
      <c r="E867" s="24" t="n">
        <f aca="false">AX21</f>
        <v>700000</v>
      </c>
      <c r="F867" s="24" t="n">
        <f aca="false">AY21</f>
        <v>8690000</v>
      </c>
    </row>
    <row r="868" customFormat="false" ht="12.8" hidden="false" customHeight="false" outlineLevel="0" collapsed="false">
      <c r="A868" s="5" t="str">
        <f aca="false">_xlfn.CONCAT($A$731, ".", A22)</f>
        <v>GA.6.19</v>
      </c>
      <c r="B868" s="5" t="str">
        <f aca="false">_xlfn.CONCAT(B22, ": ", C22)</f>
        <v>Other Services: Worker</v>
      </c>
      <c r="C868" s="24" t="n">
        <f aca="false">AV22</f>
        <v>41000000</v>
      </c>
      <c r="D868" s="24" t="n">
        <f aca="false">AW22</f>
        <v>5930000</v>
      </c>
      <c r="E868" s="24" t="n">
        <f aca="false">AX22</f>
        <v>2950000</v>
      </c>
      <c r="F868" s="24" t="n">
        <f aca="false">AY22</f>
        <v>32100000</v>
      </c>
    </row>
    <row r="869" customFormat="false" ht="12.8" hidden="false" customHeight="false" outlineLevel="0" collapsed="false">
      <c r="A869" s="5" t="str">
        <f aca="false">_xlfn.CONCAT($A$731, ".", A23)</f>
        <v>GA.6.20</v>
      </c>
      <c r="B869" s="5" t="str">
        <f aca="false">_xlfn.CONCAT(B23, ": ", C23)</f>
        <v>Other Services: Support</v>
      </c>
      <c r="C869" s="24" t="n">
        <f aca="false">AV23</f>
        <v>18400000</v>
      </c>
      <c r="D869" s="24" t="n">
        <f aca="false">AW23</f>
        <v>2670000</v>
      </c>
      <c r="E869" s="24" t="n">
        <f aca="false">AX23</f>
        <v>1330000</v>
      </c>
      <c r="F869" s="24" t="n">
        <f aca="false">AY23</f>
        <v>14400000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1999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2025-12-27T14:55:03Z</dcterms:created>
  <dc:creator/>
  <dc:description/>
  <dc:language>en-US</dc:language>
  <cp:lastModifiedBy/>
  <dcterms:modified xsi:type="dcterms:W3CDTF">2026-01-29T09:36:48Z</dcterms:modified>
  <cp:revision>306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