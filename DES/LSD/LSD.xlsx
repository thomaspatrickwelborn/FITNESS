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SD" sheetId="1" state="visible" r:id="rId3"/>
    <sheet name="LSD-CALCULATOR" sheetId="2" state="visible" r:id="rId4"/>
    <sheet name="LSD-REVENUE" sheetId="3" state="visible" r:id="rId5"/>
    <sheet name="LSD-ENTITIES" sheetId="4" state="visible" r:id="rId6"/>
    <sheet name="LSD-PRIVILEGE" sheetId="5" state="visible" r:id="rId7"/>
    <sheet name="LSD-QUALIFICATIONS" sheetId="6" state="visible" r:id="rId8"/>
    <sheet name="LSD-GRANTS" sheetId="7" state="visible" r:id="rId9"/>
    <sheet name="LSD-REGION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<sst xmlns="http://schemas.openxmlformats.org/spreadsheetml/2006/main" count="1171" uniqueCount="923">
  <si>
    <t xml:space="preserve">DES - Labor Security Division (LSD)</t>
  </si>
  <si>
    <t xml:space="preserve">AID</t>
  </si>
  <si>
    <t xml:space="preserve">Aspect</t>
  </si>
  <si>
    <t xml:space="preserve">Details</t>
  </si>
  <si>
    <t xml:space="preserve">Division Name</t>
  </si>
  <si>
    <t xml:space="preserve">Labor Security Division (LSD)</t>
  </si>
  <si>
    <t xml:space="preserve">Parent Department</t>
  </si>
  <si>
    <t xml:space="preserve">Department of Economic Security (DES)</t>
  </si>
  <si>
    <t xml:space="preserve">Primary Mission</t>
  </si>
  <si>
    <t xml:space="preserve">Consolidates workforce development, training, job placement, business support programs, labor standards, and co-fiduciary incentives to provide priority access to motivated workers while funding Cost of Business (COB) grants</t>
  </si>
  <si>
    <t xml:space="preserve">Key Subdivisions</t>
  </si>
  <si>
    <t xml:space="preserve">Wage and Hour Division; Employee Benefits Security Administration (EBSA); Employment and Training Administration; Veterans’ Employment and Training Service; Bureau of Labor Statistics; Vocational Rehabilitation (partial); unified COB program delivery</t>
  </si>
  <si>
    <t xml:space="preserve">Consolidated Legacy Entities</t>
  </si>
  <si>
    <t xml:space="preserve">DOL workforce functions, SBA business programs, parts of ED (Perkins), USDA rural development, EDA grants, and related training/apprenticeship entities</t>
  </si>
  <si>
    <t xml:space="preserve">Estimated Annual Budget</t>
  </si>
  <si>
    <t xml:space="preserve">$29 billion (post-consolidation)</t>
  </si>
  <si>
    <t xml:space="preserve">Estimated Staff (FTE)</t>
  </si>
  <si>
    <t xml:space="preserve">Current Legacy Staff (Approx.)</t>
  </si>
  <si>
    <t xml:space="preserve">Post-Consolidation Savings</t>
  </si>
  <si>
    <t xml:space="preserve">~$1–1.5 billion annual budget savings ~400 staff reduction (adjusted for expanded scope and removal of safety functions like OSHA/MSHA)</t>
  </si>
  <si>
    <t xml:space="preserve">Core Functions Managed</t>
  </si>
  <si>
    <t xml:space="preserve">Workforce policy and grants; job training/apprenticeships; business COB support (capital access, R&amp;D, permitting, exports, infrastructure); co-fiduciary job matching portal; labor statistics; veterans integration</t>
  </si>
  <si>
    <t xml:space="preserve">Primary Consolidation Benefits</t>
  </si>
  <si>
    <t xml:space="preserve">Unified training reimbursements and COB platform; AI-driven job matching; moderate streamlining of business grant processing; implicit wage subsidies via grant-dependent labor pool; some elimination of silos</t>
  </si>
  <si>
    <t xml:space="preserve">LSD Calculator</t>
  </si>
  <si>
    <t xml:space="preserve">Nonfunctional formual table used for machine calculations - especially estimations. </t>
  </si>
  <si>
    <t xml:space="preserve">CID</t>
  </si>
  <si>
    <t xml:space="preserve">Calculation Type</t>
  </si>
  <si>
    <t xml:space="preserve">Formula / Pseudocode</t>
  </si>
  <si>
    <t xml:space="preserve">Inputs</t>
  </si>
  <si>
    <t xml:space="preserve">Outputs</t>
  </si>
  <si>
    <t xml:space="preserve">Dependencies / Assumptions</t>
  </si>
  <si>
    <t xml:space="preserve">Cross-link to FITTER</t>
  </si>
  <si>
    <t xml:space="preserve">Annual Adjustment Method</t>
  </si>
  <si>
    <t xml:space="preserve">Exact Per-Entity Grant Formulas</t>
  </si>
  <si>
    <t xml:space="preserve">Grant_Amount = Base_Amount × Entity_Size_Factor × SOC_Priority_Multiplier × Participation_Level × Regional_COB_Adjustment × FMW_Labor_Subsidy_Boost</t>
  </si>
  <si>
    <t xml:space="preserve">Base_Amount &amp; Avg_Benefit (LSD-GRANTS), Entity_Size_Factor (0.5–2.0 from LSD-QUALIFICATIONS), SOC_Priority_Multiplier (1.0–1.5 from GRANTEE SOC), Participation_Level (0.5–1.0), Regional_COB_Min/Max (LSD-REGIONS), FMW_Labor_Subsidy_Boost (from FMW phase-in)</t>
  </si>
  <si>
    <t xml:space="preserve">Per-entity annual grant</t>
  </si>
  <si>
    <t xml:space="preserve">FMW_Boost = 1 + (New_FMW / Current_FMW × 0.3) for hiring-priority entities</t>
  </si>
  <si>
    <t xml:space="preserve">FITTER FMW sheet (current vs phased)</t>
  </si>
  <si>
    <t xml:space="preserve">Entity Qualification &amp; Scaling Rules</t>
  </si>
  <si>
    <t xml:space="preserve">Qualified_Grant = IF(Entity_Revenue &lt; Revenue_Cap, Grant_Amount × (1 + Privilege_Bonus + BFIT_Credit_Redirect_Bonus), 0)</t>
  </si>
  <si>
    <t xml:space="preserve">Entity_Revenue &amp; Cap (LSD-QUALIFICATIONS), Privilege_Bonus (0.1–0.3 from LSD-PRIVILEGE), BFIT_Credit_Redirect_Bonus (from eliminated business credits)</t>
  </si>
  <si>
    <t xml:space="preserve">Scaled entity grant with bonuses</t>
  </si>
  <si>
    <t xml:space="preserve">Redirect bonus phased in 3–5 years</t>
  </si>
  <si>
    <t xml:space="preserve">FITTER BFIT-CREDITS &amp; TIMELINE</t>
  </si>
  <si>
    <t xml:space="preserve">Co-Fiduciary Priority &amp; Matching Weights</t>
  </si>
  <si>
    <t xml:space="preserve">Effective_Grant_Value = Direct_Grant + (Hiring_Priority_Factor × Avg_Wage_Subsidy × Expected_Hires) × FMW_Wage_Floor_Multiplier</t>
  </si>
  <si>
    <t xml:space="preserve">Direct_Grant, Hiring_Priority_Factor (1.0–2.0 from LSD-ENTITIES), Avg_Wage_Subsidy (20–30% implicit), Expected_Hires (from ILLER), FMW_Wage_Floor_Multiplier (1 + FMW_Increase_% × 0.4)</t>
  </si>
  <si>
    <t xml:space="preserve">Total effective value incl. subsidy</t>
  </si>
  <si>
    <t xml:space="preserve">Higher FMW increases subsidy value for co-fiduciaries</t>
  </si>
  <si>
    <t xml:space="preserve">FITTER FMW + ILLER</t>
  </si>
  <si>
    <t xml:space="preserve">Aggregation &amp; Overlap Deduction Methodology</t>
  </si>
  <si>
    <t xml:space="preserve">Category_Outlay = SUM(Unique_Entities × Avg_Benefit) − Multi_Category_Overlap × Total_Outlay + FMW_Employment_Reduction_Offset + Robot_Tax_Recycle_Offset</t>
  </si>
  <si>
    <t xml:space="preserve">Unique_Entities &amp; Avg_Benefit (LSD-GRANTS), Multi_Category_Overlap (0.1–0.3), FMW_Reduction_Offset (negative), Robot_Tax_Recycle (positive from BFIT)</t>
  </si>
  <si>
    <t xml:space="preserve">Annual category outlay ($B)</t>
  </si>
  <si>
    <t xml:space="preserve">FMW reduces full-grant need; Robot Tax recycle lowers net outlay</t>
  </si>
  <si>
    <t xml:space="preserve">FITTER FMW + BFIT (Robot Tax)</t>
  </si>
  <si>
    <t xml:space="preserve">Revenue Allocation &amp; Source-Specific Splits per Category</t>
  </si>
  <si>
    <t xml:space="preserve">Category_Inlay = Total_COB_Revenue × Category_Weight + Redirected_BFIT_Credits + Tariff_40pct_Share + Robot_Tax_Allocation</t>
  </si>
  <si>
    <t xml:space="preserve">Total_COB_Revenue (LSD-REVENUE), Category_Weight (e.g. Workforce=20%), Redirected_BFIT_Credits (from BFIT-CREDITS), Tariff_40pct (from TARIFF), Robot_Tax_Allocation (from BFIT)</t>
  </si>
  <si>
    <t xml:space="preserve">Annual category inlay ($B)</t>
  </si>
  <si>
    <t xml:space="preserve">40% tariff + Robot Tax phased in</t>
  </si>
  <si>
    <t xml:space="preserve">FITTER TARIFF + BFIT-CREDITS</t>
  </si>
  <si>
    <t xml:space="preserve">Inflation, Escalation &amp; Indexing Rules</t>
  </si>
  <si>
    <t xml:space="preserve">Escalated_Value = Prior_Value × (1 + Inflation_Rate + FMW_Adjust + Tariff_Growth_Adj + Robot_Tax_Growth)</t>
  </si>
  <si>
    <t xml:space="preserve">Prior_Value, Inflation_Rate (~3%), FMW_Adjust (from FMW), Tariff_Growth_Adj (~3–5% from TARIFF), Robot_Tax_Growth (from BFIT)</t>
  </si>
  <si>
    <t xml:space="preserve">Next-year baseline value</t>
  </si>
  <si>
    <t xml:space="preserve">Robot Tax grows faster with automation</t>
  </si>
  <si>
    <t xml:space="preserve">FITTER FMW + TARIFF + BFIT</t>
  </si>
  <si>
    <t xml:space="preserve">Compounded annually per TIMELINE phase</t>
  </si>
  <si>
    <t xml:space="preserve">Behavioral, Adoption &amp; Participation Rate Models</t>
  </si>
  <si>
    <t xml:space="preserve">Adjusted_Outlay = Baseline_Outlay × (1 − Participation_Rate × Savings_Factor) + FMW_Work_Incentive_Offset + Matching_Offset + ILLER_Labor_Supply_Offset</t>
  </si>
  <si>
    <t xml:space="preserve">Participation_Rate (0.4–0.6), Savings_Factor (0.08–0.1), FMW_Offset (negative), Matching_Offset (philanthropic), ILLER_Offset (positive labor supply)</t>
  </si>
  <si>
    <t xml:space="preserve">Net outlay after behavior</t>
  </si>
  <si>
    <t xml:space="preserve">ILLER increases domestic hires, reducing grant need</t>
  </si>
  <si>
    <t xml:space="preserve">FITTER FMW + ILLER + LSD-REVENUE</t>
  </si>
  <si>
    <t xml:space="preserve">Regional COB Adjustment Formulas</t>
  </si>
  <si>
    <t xml:space="preserve">Adjusted_COB_Grant = COB_Min + (COB_Max − COB_Min) × (Firm_Scale / Max_Scale) × FMW_Regional_Wage_Adjust</t>
  </si>
  <si>
    <t xml:space="preserve">COB_Min/Max (LSD-REGIONS), Firm_Scale (revenue tier 0–1), FMW_Regional_Wage_Adjust (scaled by regional FMW impact)</t>
  </si>
  <si>
    <t xml:space="preserve">Region-adjusted grant</t>
  </si>
  <si>
    <t xml:space="preserve">Cross-link to SSD COL for wage parity</t>
  </si>
  <si>
    <t xml:space="preserve">FITTER FMW + LSD-REGIONS</t>
  </si>
  <si>
    <t xml:space="preserve">Audit, Compliance &amp; Debarment Impact on Outlays</t>
  </si>
  <si>
    <t xml:space="preserve">Net_Outlay = Gross_Outlay × (1 − Debarment_Rate) + Fine_Recovery + AI_Compliance_Savings</t>
  </si>
  <si>
    <t xml:space="preserve">Gross_Outlay, Debarment_Rate (0.01–0.05 from GRANTEE), Fine_Recovery ($500–25k), AI_Savings (2–5% from ESP)</t>
  </si>
  <si>
    <t xml:space="preserve">Post-audit net outlay</t>
  </si>
  <si>
    <t xml:space="preserve">AI savings increase with ESP rollout</t>
  </si>
  <si>
    <t xml:space="preserve">FITTER TIMELINE (ESP)</t>
  </si>
  <si>
    <t xml:space="preserve">Multi-Year Dynamic Projection Framework</t>
  </si>
  <si>
    <t xml:space="preserve">Projected_Value_YrN = Baseline × PRODUCT(1 + Annual_Escalation_Array[1:N]) + Cumulative_FMW_Reduction + Cumulative_Tariff_Robot_Contribution</t>
  </si>
  <si>
    <t xml:space="preserve">Annual_Escalation_Array (inflation + FMW + tariff + Robot), Cumulative_FMW_Reduction (negative), Cumulative_Tariff_Robot (positive)</t>
  </si>
  <si>
    <t xml:space="preserve">N-year cumulative inlay/outlay</t>
  </si>
  <si>
    <t xml:space="preserve">Full sync with FITTER TIMELINE</t>
  </si>
  <si>
    <t xml:space="preserve">FITTER TIMELINE + FMW/TARIFF/BFIT</t>
  </si>
  <si>
    <t xml:space="preserve">Compounded product over projection horizon</t>
  </si>
  <si>
    <t xml:space="preserve">Robot Tax Recycle to COB (new)</t>
  </si>
  <si>
    <t xml:space="preserve">Robot_Recycle_Inlay = Robot_Tax_Revenue × COB_Allocation_Share × Phase_In_Factor</t>
  </si>
  <si>
    <t xml:space="preserve">Robot_Tax_Revenue (from BFIT), COB_Allocation_Share (40–60%), Phase_In_Factor (from TIMELINE)</t>
  </si>
  <si>
    <t xml:space="preserve">Annual recycle to COB categories</t>
  </si>
  <si>
    <t xml:space="preserve">Primarily funds Workforce/R&amp;D categories</t>
  </si>
  <si>
    <t xml:space="preserve">FITTER BFIT (Robot Tax)</t>
  </si>
  <si>
    <t xml:space="preserve">BFIT Credit Redirect Contribution (new)</t>
  </si>
  <si>
    <t xml:space="preserve">BFIT_Redirect_To_LSD = Eliminated_Business_Credit_Cost × Redirect_Share × Phase_In_Completeness</t>
  </si>
  <si>
    <t xml:space="preserve">Eliminated_Credit_Cost (BFIT-CREDITS, $151–222B baseline), Redirect_Share (40–60% to COB), Phase_In_Completeness (0→1 over 3–5 years)</t>
  </si>
  <si>
    <t xml:space="preserve">Annual redirected revenue to LSD grants</t>
  </si>
  <si>
    <t xml:space="preserve">Replaces R&amp;D/Opportunity Zone credits</t>
  </si>
  <si>
    <t xml:space="preserve">Business Wealth Accumulation Impact on COB Grants</t>
  </si>
  <si>
    <t xml:space="preserve">Wealth_Adjusted_COB_Grant = Base_COB_Grant × (1 - Business_Profit_Tier_Reduction) × (1 + BFIT_Profit_Relief)</t>
  </si>
  <si>
    <t xml:space="preserve">Base_COB_Grant (from LSD-GRANTS), Business_Profit_Tier_Reduction (0.0–0.7 for high-profit tiers), BFIT_Profit_Relief (from lower effective rates + credit preservation)</t>
  </si>
  <si>
    <t xml:space="preserve">Adjusted COB grant after business wealth growth</t>
  </si>
  <si>
    <t xml:space="preserve">High-profit firms phase out of full grants</t>
  </si>
  <si>
    <t xml:space="preserve">FITTER BFIT-BRACKETS + BFIT-CREDITS</t>
  </si>
  <si>
    <t xml:space="preserve">Profit Tier Transition Rate for Entities</t>
  </si>
  <si>
    <t xml:space="preserve">Business_Transition_Rate_YrN = Business_Transition_Rate_Yr(N-1) + (FMW_Cost_Increase_% × Labor_Profit_Squeeze) + (BFIT_Profit_Growth_Factor)</t>
  </si>
  <si>
    <t xml:space="preserve">Transition_Rate_Yr0 = 0.02–0.05, Labor_Profit_Squeeze (0.3–0.6 from FMW), BFIT_Profit_Growth_Factor (from progressive rates)</t>
  </si>
  <si>
    <t xml:space="preserve">% of businesses moving to lower eligibility tiers per year</t>
  </si>
  <si>
    <t xml:space="preserve">FMW squeezes margins → faster transition out of grants</t>
  </si>
  <si>
    <t xml:space="preserve">FITTER FMW + BFIT</t>
  </si>
  <si>
    <t xml:space="preserve">Compounded annual transition</t>
  </si>
  <si>
    <t xml:space="preserve">Net LSD Outlay After Wealth &amp; ILLER Effect</t>
  </si>
  <si>
    <t xml:space="preserve">Net_LSD_Outlay = Gross_LSD_Outlay × (1 - Cumulative_Business_Transition) + ILLER_Labor_Supply_Savings</t>
  </si>
  <si>
    <t xml:space="preserve">Gross_LSD_Outlay, Cumulative_Business_Transition (from above), ILLER_Savings (0.03–0.10 from domestic labor increase)</t>
  </si>
  <si>
    <t xml:space="preserve">Final adjusted LSD outlay ($B)</t>
  </si>
  <si>
    <t xml:space="preserve">ILLER increases domestic competition → reduces subsidy need</t>
  </si>
  <si>
    <t xml:space="preserve">FITTER ILLER + BFIT</t>
  </si>
  <si>
    <t xml:space="preserve">LSD - Government Revenue</t>
  </si>
  <si>
    <t xml:space="preserve">COBID</t>
  </si>
  <si>
    <t xml:space="preserve">Grant Name</t>
  </si>
  <si>
    <t xml:space="preserve">Federal Funding &amp; Cost Details (Updated)</t>
  </si>
  <si>
    <t xml:space="preserve">Annual Federal Funding (2025–2026 est., $$ B)</t>
  </si>
  <si>
    <t xml:space="preserve">Total Unique Beneficiary Entities (approx.)</t>
  </si>
  <si>
    <t xml:space="preserve">Avg Annual Benefit per Entity ( $$)</t>
  </si>
  <si>
    <t xml:space="preserve">Annual Federal Funding (2025 est., $$ B)</t>
  </si>
  <si>
    <t xml:space="preserve">A</t>
  </si>
  <si>
    <t xml:space="preserve">Workforce Development &amp; Training</t>
  </si>
  <si>
    <t xml:space="preserve">Consolidated DOL/SBA + Robot Tax offsets for training</t>
  </si>
  <si>
    <t xml:space="preserve">18–25</t>
  </si>
  <si>
    <t xml:space="preserve">~0.5–0.7M employers</t>
  </si>
  <si>
    <t xml:space="preserve">25,714–50,000</t>
  </si>
  <si>
    <t xml:space="preserve">15–20</t>
  </si>
  <si>
    <t xml:space="preserve">~0.5M employers</t>
  </si>
  <si>
    <t xml:space="preserve">30,000–40,000</t>
  </si>
  <si>
    <t xml:space="preserve">B</t>
  </si>
  <si>
    <t xml:space="preserve">Capital Access &amp; Investment</t>
  </si>
  <si>
    <t xml:space="preserve">SBA/USDA lending + surcharge infusions for capital</t>
  </si>
  <si>
    <t xml:space="preserve">28–35</t>
  </si>
  <si>
    <t xml:space="preserve">~0.3–0.4M entities</t>
  </si>
  <si>
    <t xml:space="preserve">70,000–116,667</t>
  </si>
  <si>
    <t xml:space="preserve">25–30</t>
  </si>
  <si>
    <t xml:space="preserve">~0.3M entities</t>
  </si>
  <si>
    <t xml:space="preserve">83,333–100,000</t>
  </si>
  <si>
    <t xml:space="preserve">C</t>
  </si>
  <si>
    <t xml:space="preserve">Research &amp; Development</t>
  </si>
  <si>
    <t xml:space="preserve">SBIR/STTR + major Robot Tax allocation for innovation</t>
  </si>
  <si>
    <t xml:space="preserve">~15,000–25,000 awards</t>
  </si>
  <si>
    <t xml:space="preserve">600,000–1,333,333</t>
  </si>
  <si>
    <t xml:space="preserve">12–15</t>
  </si>
  <si>
    <t xml:space="preserve">~15,000 awards</t>
  </si>
  <si>
    <t xml:space="preserve">800,000–1,000,000</t>
  </si>
  <si>
    <t xml:space="preserve">D</t>
  </si>
  <si>
    <t xml:space="preserve">Regulatory Compliance &amp; Permitting</t>
  </si>
  <si>
    <t xml:space="preserve">OSHA/EPA assistance + minor Trust Fund top-up</t>
  </si>
  <si>
    <t xml:space="preserve">3–5</t>
  </si>
  <si>
    <t xml:space="preserve">~0.2–0.3M firms</t>
  </si>
  <si>
    <t xml:space="preserve">10,000–25,000</t>
  </si>
  <si>
    <t xml:space="preserve">2.5–3.5</t>
  </si>
  <si>
    <t xml:space="preserve">~0.2M firms</t>
  </si>
  <si>
    <t xml:space="preserve">12,500–17,500</t>
  </si>
  <si>
    <t xml:space="preserve">E</t>
  </si>
  <si>
    <t xml:space="preserve">Export &amp; Trade Promotion</t>
  </si>
  <si>
    <t xml:space="preserve">EXIM/SBA export + tariff/Robot Tax offsets</t>
  </si>
  <si>
    <t xml:space="preserve">5–8</t>
  </si>
  <si>
    <t xml:space="preserve">~50,000–80,000 exporters</t>
  </si>
  <si>
    <t xml:space="preserve">62,500–160,000</t>
  </si>
  <si>
    <t xml:space="preserve">4–6</t>
  </si>
  <si>
    <t xml:space="preserve">~50,000 exporters</t>
  </si>
  <si>
    <t xml:space="preserve">80,000–120,000</t>
  </si>
  <si>
    <t xml:space="preserve">F</t>
  </si>
  <si>
    <t xml:space="preserve">Infrastructure &amp; Facilities</t>
  </si>
  <si>
    <t xml:space="preserve">EDA/USDA broadband + supplemental Trust Fund</t>
  </si>
  <si>
    <t xml:space="preserve">20–28</t>
  </si>
  <si>
    <t xml:space="preserve">~10,000–15,000 projects</t>
  </si>
  <si>
    <t xml:space="preserve">1,333,333–2,800,000</t>
  </si>
  <si>
    <t xml:space="preserve">18–22</t>
  </si>
  <si>
    <t xml:space="preserve">~10,000 projects</t>
  </si>
  <si>
    <t xml:space="preserve">1,800,000–2,200,000</t>
  </si>
  <si>
    <t xml:space="preserve">G</t>
  </si>
  <si>
    <t xml:space="preserve">Energy &amp; Sustainability</t>
  </si>
  <si>
    <t xml:space="preserve">DOE/EPA green + Robot Tax synergy</t>
  </si>
  <si>
    <t xml:space="preserve">10–15</t>
  </si>
  <si>
    <t xml:space="preserve">~100,000–150,000 participants</t>
  </si>
  <si>
    <t xml:space="preserve">66,667–150,000</t>
  </si>
  <si>
    <t xml:space="preserve">8–12</t>
  </si>
  <si>
    <t xml:space="preserve">~100,000 participants</t>
  </si>
  <si>
    <t xml:space="preserve">H</t>
  </si>
  <si>
    <t xml:space="preserve">Supply Chain &amp; Procurement</t>
  </si>
  <si>
    <t xml:space="preserve">Set-asides + high-earner surcharge infusion</t>
  </si>
  <si>
    <t xml:space="preserve">55–70</t>
  </si>
  <si>
    <t xml:space="preserve">~200,000–300,000 contractors</t>
  </si>
  <si>
    <t xml:space="preserve">183,333–350,000</t>
  </si>
  <si>
    <t xml:space="preserve">50–60</t>
  </si>
  <si>
    <t xml:space="preserve">~200,000 contractors</t>
  </si>
  <si>
    <t xml:space="preserve">250,000–300,000</t>
  </si>
  <si>
    <t xml:space="preserve">I</t>
  </si>
  <si>
    <t xml:space="preserve">Disaster Recovery &amp; Resilience</t>
  </si>
  <si>
    <t xml:space="preserve">FEMA/SBA disaster + minor Trust Fund</t>
  </si>
  <si>
    <t xml:space="preserve">6–10</t>
  </si>
  <si>
    <t xml:space="preserve">~50,000–80,000 firms</t>
  </si>
  <si>
    <t xml:space="preserve">75,000–200,000</t>
  </si>
  <si>
    <t xml:space="preserve">5–7</t>
  </si>
  <si>
    <t xml:space="preserve">~50,000 firms</t>
  </si>
  <si>
    <t xml:space="preserve">100,000–140,000</t>
  </si>
  <si>
    <t xml:space="preserve">TOTAL</t>
  </si>
  <si>
    <t xml:space="preserve">All LSD Grant Categories</t>
  </si>
  <si>
    <t xml:space="preserve">Unified system + ~$20–50B new Trust Fund infusion (Robot Tax dominant)</t>
  </si>
  <si>
    <t xml:space="preserve">160–216</t>
  </si>
  <si>
    <t xml:space="preserve">~1.5–2M unduplicated entities</t>
  </si>
  <si>
    <t xml:space="preserve">Variable</t>
  </si>
  <si>
    <t xml:space="preserve">139.5–175.5</t>
  </si>
  <si>
    <t xml:space="preserve">~1.5M (unduplicated)</t>
  </si>
  <si>
    <t xml:space="preserve">LSD - Philanthropic Revenue</t>
  </si>
  <si>
    <t xml:space="preserve">GCID</t>
  </si>
  <si>
    <t xml:space="preserve">Conservative Public Donation Funding (Annual $B)</t>
  </si>
  <si>
    <t xml:space="preserve">Liberal Public Donation Funding (Annual $B)</t>
  </si>
  <si>
    <t xml:space="preserve">Likely Donation Channels</t>
  </si>
  <si>
    <t xml:space="preserve">Notes on Substitution vs. Add-On</t>
  </si>
  <si>
    <t xml:space="preserve">10–20</t>
  </si>
  <si>
    <t xml:space="preserve">30–50</t>
  </si>
  <si>
    <t xml:space="preserve">Workforce nonprofits, community foundations</t>
  </si>
  <si>
    <t xml:space="preserve">High substitution</t>
  </si>
  <si>
    <t xml:space="preserve">5–10</t>
  </si>
  <si>
    <t xml:space="preserve">15–30</t>
  </si>
  <si>
    <t xml:space="preserve">Startup incubators, impact investing</t>
  </si>
  <si>
    <t xml:space="preserve">Moderate</t>
  </si>
  <si>
    <t xml:space="preserve">8–15</t>
  </si>
  <si>
    <t xml:space="preserve">25–45</t>
  </si>
  <si>
    <t xml:space="preserve">Innovation funds, university endowments</t>
  </si>
  <si>
    <t xml:space="preserve">2–5</t>
  </si>
  <si>
    <t xml:space="preserve">6–12</t>
  </si>
  <si>
    <t xml:space="preserve">Small business advocacy groups</t>
  </si>
  <si>
    <t xml:space="preserve">Low-moderate</t>
  </si>
  <si>
    <t xml:space="preserve">3–6</t>
  </si>
  <si>
    <t xml:space="preserve">9–18</t>
  </si>
  <si>
    <t xml:space="preserve">Trade associations, export councils</t>
  </si>
  <si>
    <t xml:space="preserve">12–20</t>
  </si>
  <si>
    <t xml:space="preserve">35–60</t>
  </si>
  <si>
    <t xml:space="preserve">Rural development funds</t>
  </si>
  <si>
    <t xml:space="preserve">7–12</t>
  </si>
  <si>
    <t xml:space="preserve">20–40</t>
  </si>
  <si>
    <t xml:space="preserve">Environmental nonprofits</t>
  </si>
  <si>
    <t xml:space="preserve">Moderate-high</t>
  </si>
  <si>
    <t xml:space="preserve">15–25</t>
  </si>
  <si>
    <t xml:space="preserve">45–80</t>
  </si>
  <si>
    <t xml:space="preserve">Supplier diversity initiatives</t>
  </si>
  <si>
    <t xml:space="preserve">High</t>
  </si>
  <si>
    <t xml:space="preserve">4–8</t>
  </si>
  <si>
    <t xml:space="preserve">12–25</t>
  </si>
  <si>
    <t xml:space="preserve">Disaster relief organizations</t>
  </si>
  <si>
    <t xml:space="preserve">—</t>
  </si>
  <si>
    <t xml:space="preserve">66–121</t>
  </si>
  <si>
    <t xml:space="preserve">197–360</t>
  </si>
  <si>
    <t xml:space="preserve">Strongest in workforce/infrastructure</t>
  </si>
  <si>
    <t xml:space="preserve">LSD - Corporate Revenue</t>
  </si>
  <si>
    <t xml:space="preserve">Conservative Corporate Funding (Annual $B)</t>
  </si>
  <si>
    <t xml:space="preserve">Liberal Corporate Funding (Annual $B)</t>
  </si>
  <si>
    <t xml:space="preserve">Likely Corporate Channels</t>
  </si>
  <si>
    <t xml:space="preserve">25–50</t>
  </si>
  <si>
    <t xml:space="preserve">80–150</t>
  </si>
  <si>
    <t xml:space="preserve">Employee training programs</t>
  </si>
  <si>
    <t xml:space="preserve">High, talent pipeline</t>
  </si>
  <si>
    <t xml:space="preserve">50–100</t>
  </si>
  <si>
    <t xml:space="preserve">Venture arms, supplier financing</t>
  </si>
  <si>
    <t xml:space="preserve">70–130</t>
  </si>
  <si>
    <t xml:space="preserve">Corporate R&amp;D partnerships</t>
  </si>
  <si>
    <t xml:space="preserve">High, innovation focus</t>
  </si>
  <si>
    <t xml:space="preserve">Compliance consulting sponsorships</t>
  </si>
  <si>
    <t xml:space="preserve">Global supply chain initiatives</t>
  </si>
  <si>
    <t xml:space="preserve">18–35</t>
  </si>
  <si>
    <t xml:space="preserve">60–110</t>
  </si>
  <si>
    <t xml:space="preserve">Corporate infrastructure funds</t>
  </si>
  <si>
    <t xml:space="preserve">High, community ties</t>
  </si>
  <si>
    <t xml:space="preserve">40–80</t>
  </si>
  <si>
    <t xml:space="preserve">Green tech investments</t>
  </si>
  <si>
    <t xml:space="preserve">30–60</t>
  </si>
  <si>
    <t xml:space="preserve">100–200</t>
  </si>
  <si>
    <t xml:space="preserve">Supplier development programs</t>
  </si>
  <si>
    <t xml:space="preserve">Very high, core need</t>
  </si>
  <si>
    <t xml:space="preserve">Corporate resilience funds</t>
  </si>
  <si>
    <t xml:space="preserve">139–277</t>
  </si>
  <si>
    <t xml:space="preserve">460–890</t>
  </si>
  <si>
    <t xml:space="preserve">Strongest in supply chain/workforce</t>
  </si>
  <si>
    <t xml:space="preserve">LSD - Combined Revenue</t>
  </si>
  <si>
    <t xml:space="preserve">FID</t>
  </si>
  <si>
    <t xml:space="preserve">Feature</t>
  </si>
  <si>
    <t xml:space="preserve">Description</t>
  </si>
  <si>
    <t xml:space="preserve">Estimated Annual Revenue Potential (Conservative)</t>
  </si>
  <si>
    <t xml:space="preserve">Estimated Annual Revenue Potential (Liberal)</t>
  </si>
  <si>
    <t xml:space="preserve">Key Advantages</t>
  </si>
  <si>
    <t xml:space="preserve">Estimated Success Likelihood</t>
  </si>
  <si>
    <t xml:space="preserve">Viability &amp; Success Factors</t>
  </si>
  <si>
    <t xml:space="preserve">Social-Philanthropic Revenue</t>
  </si>
  <si>
    <t xml:space="preserve">Category-restricted donations</t>
  </si>
  <si>
    <t xml:space="preserve">High trust, outcome tracking</t>
  </si>
  <si>
    <t xml:space="preserve">High (80–92%)</t>
  </si>
  <si>
    <t xml:space="preserve">Strong in workforce/infrastructure; success via charity marketing</t>
  </si>
  <si>
    <t xml:space="preserve">High (70–85%)</t>
  </si>
  <si>
    <t xml:space="preserve">Corporate-Philanthropic Revenue</t>
  </si>
  <si>
    <t xml:space="preserve">Sponsorships tied to business benefits/training</t>
  </si>
  <si>
    <t xml:space="preserve">Talent pipeline, innovation</t>
  </si>
  <si>
    <t xml:space="preserve">Very High (88–96%)</t>
  </si>
  <si>
    <t xml:space="preserve">Highest in supply chain/R&amp;D; tied to business needs</t>
  </si>
  <si>
    <t xml:space="preserve">Very High (80–90%)</t>
  </si>
  <si>
    <t xml:space="preserve">Government Revenue</t>
  </si>
  <si>
    <t xml:space="preserve">Core appropriations + Robot Tax/surcharge Trust Fund</t>
  </si>
  <si>
    <t xml:space="preserve">Stable + external revenue</t>
  </si>
  <si>
    <t xml:space="preserve">High (base + new streams)</t>
  </si>
  <si>
    <t xml:space="preserve">Proven programs; moderated by Robot Tax; business incentives reduce net outlays</t>
  </si>
  <si>
    <t xml:space="preserve">High (base stable)</t>
  </si>
  <si>
    <t xml:space="preserve">Combined</t>
  </si>
  <si>
    <t xml:space="preserve">Integrated blending of all channels</t>
  </si>
  <si>
    <t xml:space="preserve">365–614</t>
  </si>
  <si>
    <t xml:space="preserve">873–1,466</t>
  </si>
  <si>
    <t xml:space="preserve">Synergies, reduced net public cost, diversified funding</t>
  </si>
  <si>
    <t xml:space="preserve">High (conservative likely)</t>
  </si>
  <si>
    <t xml:space="preserve">Transformative appeal; offsets net expenditure through private/public/philanthropic mix + co-fiduciary scaling</t>
  </si>
  <si>
    <t xml:space="preserve">DES LSD Entities</t>
  </si>
  <si>
    <t xml:space="preserve">Entity Types in DES/ESP System</t>
  </si>
  <si>
    <t xml:space="preserve">LSD-ETID</t>
  </si>
  <si>
    <t xml:space="preserve">Entity Type Name</t>
  </si>
  <si>
    <t xml:space="preserve">Primary Role in System</t>
  </si>
  <si>
    <t xml:space="preserve">Registration Requirements</t>
  </si>
  <si>
    <t xml:space="preserve">Benefits to Entity</t>
  </si>
  <si>
    <t xml:space="preserve">LSD-ET01</t>
  </si>
  <si>
    <t xml:space="preserve">Private Employer (For-Profit)</t>
  </si>
  <si>
    <t xml:space="preserve">C-corps, S-corps, LLCs, partnerships, sole proprietors with employees</t>
  </si>
  <si>
    <t xml:space="preserve">Primary co-fiduciary; posts jobs, hires grantees</t>
  </si>
  <si>
    <t xml:space="preserve">IRS EIN, state business license, payroll compliance</t>
  </si>
  <si>
    <t xml:space="preserve">Priority access to grant-dependent labor pool; implicit wage subsidy</t>
  </si>
  <si>
    <t xml:space="preserve">LSD-ET02</t>
  </si>
  <si>
    <t xml:space="preserve">Large Corporation (&gt; $50M revenue)</t>
  </si>
  <si>
    <t xml:space="preserve">Publicly traded or private firms subject to Robot tax</t>
  </si>
  <si>
    <t xml:space="preserve">Co-fiduciary + automation reporting</t>
  </si>
  <si>
    <t xml:space="preserve">Annual revenue certification, automation uplift reporting</t>
  </si>
  <si>
    <t xml:space="preserve">150–200% expensing, 0% loans on surtax paid</t>
  </si>
  <si>
    <t xml:space="preserve">LSD-ET03</t>
  </si>
  <si>
    <t xml:space="preserve">Non-Profit / Charity</t>
  </si>
  <si>
    <t xml:space="preserve">501(c)(3) organizations, religious entities, community service groups</t>
  </si>
  <si>
    <t xml:space="preserve">Limited co-fiduciary (mission-aligned roles)</t>
  </si>
  <si>
    <t xml:space="preserve">IRS 990 filings, mission statement</t>
  </si>
  <si>
    <t xml:space="preserve">Access to grantees for volunteer/paid roles; grant funding pass-through</t>
  </si>
  <si>
    <t xml:space="preserve">LSD-ET04</t>
  </si>
  <si>
    <t xml:space="preserve">Labor Union</t>
  </si>
  <si>
    <t xml:space="preserve">Local, national, or international unions</t>
  </si>
  <si>
    <t xml:space="preserve">Co-fiduciary + priority placement partner</t>
  </si>
  <si>
    <t xml:space="preserve">NLRA compliance, dues roster upload</t>
  </si>
  <si>
    <t xml:space="preserve">Union members receive priority job matching; training credit coordination</t>
  </si>
  <si>
    <t xml:space="preserve">LSD-ET05</t>
  </si>
  <si>
    <t xml:space="preserve">Trade Association / Apprenticeship Program</t>
  </si>
  <si>
    <t xml:space="preserve">Registered apprenticeship sponsors, trade groups (e.g., ABC, IEC)</t>
  </si>
  <si>
    <t xml:space="preserve">Training provider + co-fiduciary</t>
  </si>
  <si>
    <t xml:space="preserve">DOL-registered apprenticeship or state certification</t>
  </si>
  <si>
    <t xml:space="preserve">Priority for LS37 trade-certified grantees; funding for training slots</t>
  </si>
  <si>
    <t xml:space="preserve">LSD-ET06</t>
  </si>
  <si>
    <t xml:space="preserve">Professional Association</t>
  </si>
  <si>
    <t xml:space="preserve">Licensing/certifying bodies (e.g., AMA, ABA, IEEE, state bar associations)</t>
  </si>
  <si>
    <t xml:space="preserve">Credential verification + continuing ed partner</t>
  </si>
  <si>
    <t xml:space="preserve">Official recognition, CE tracking system</t>
  </si>
  <si>
    <t xml:space="preserve">Priority placement for LS38 members; professional track matching</t>
  </si>
  <si>
    <t xml:space="preserve">LSD-ET07</t>
  </si>
  <si>
    <t xml:space="preserve">University / College</t>
  </si>
  <si>
    <t xml:space="preserve">Public/private higher education institutions</t>
  </si>
  <si>
    <t xml:space="preserve">Education Security Grant partner + employer</t>
  </si>
  <si>
    <t xml:space="preserve">Accreditation, enrollment data sharing</t>
  </si>
  <si>
    <t xml:space="preserve">Direct ESG disbursement; priority hiring of student grantees</t>
  </si>
  <si>
    <t xml:space="preserve">LSD-ET08</t>
  </si>
  <si>
    <t xml:space="preserve">Government Employer</t>
  </si>
  <si>
    <t xml:space="preserve">Federal, state, local agencies (non-federal contractor)</t>
  </si>
  <si>
    <t xml:space="preserve">Limited co-fiduciary (public service roles)</t>
  </si>
  <si>
    <t xml:space="preserve">Government entity verification</t>
  </si>
  <si>
    <t xml:space="preserve">Access to grantees for LS13 public-service roles; coordination offsets</t>
  </si>
  <si>
    <t xml:space="preserve">LSD-ET09</t>
  </si>
  <si>
    <t xml:space="preserve">Critical Infrastructure Employer</t>
  </si>
  <si>
    <t xml:space="preserve">Utilities, transportation, hospitals designated as critical</t>
  </si>
  <si>
    <t xml:space="preserve">Priority hiring during emergencies</t>
  </si>
  <si>
    <t xml:space="preserve">DHS/FBI critical infrastructure designation</t>
  </si>
  <si>
    <t xml:space="preserve">Bonus credits, expedited grantee matching in crises</t>
  </si>
  <si>
    <t xml:space="preserve">DES LSD Qualifications</t>
  </si>
  <si>
    <t xml:space="preserve">Entity Qualification &amp; Privilege Matrix</t>
  </si>
  <si>
    <t xml:space="preserve">LSD-ET</t>
  </si>
  <si>
    <t xml:space="preserve">Associated Participant Privilege</t>
  </si>
  <si>
    <t xml:space="preserve">Associated Participant Status</t>
  </si>
  <si>
    <t xml:space="preserve">Placement Priority Level</t>
  </si>
  <si>
    <t xml:space="preserve">Special Rules / Incentives for Entity</t>
  </si>
  <si>
    <t xml:space="preserve">Restrictions on Entity</t>
  </si>
  <si>
    <t xml:space="preserve">Private Employer</t>
  </si>
  <si>
    <t xml:space="preserve">None (general)</t>
  </si>
  <si>
    <t xml:space="preserve">LS06, LS09, LS36–LS38</t>
  </si>
  <si>
    <t xml:space="preserve">Standard</t>
  </si>
  <si>
    <t xml:space="preserve">Highest volume of postings; implicit subsidy via grantee motivation</t>
  </si>
  <si>
    <t xml:space="preserve">Must offer ≥ regional min wage + $1/hr for suitability</t>
  </si>
  <si>
    <t xml:space="preserve">Large Corporation</t>
  </si>
  <si>
    <t xml:space="preserve">None</t>
  </si>
  <si>
    <t xml:space="preserve">LS06–LS10, LS36–LS38</t>
  </si>
  <si>
    <t xml:space="preserve">Super-expensing &amp; loans offset Robot tax</t>
  </si>
  <si>
    <t xml:space="preserve">Automation uplift reporting required</t>
  </si>
  <si>
    <t xml:space="preserve">LS06, LS13</t>
  </si>
  <si>
    <t xml:space="preserve">Medium</t>
  </si>
  <si>
    <t xml:space="preserve">Tax-exempt; can receive direct grant funds for roles</t>
  </si>
  <si>
    <t xml:space="preserve">Roles must align with charitable mission</t>
  </si>
  <si>
    <t xml:space="preserve">I (Union Member Priority)</t>
  </si>
  <si>
    <t xml:space="preserve">LS36</t>
  </si>
  <si>
    <t xml:space="preserve">Union jobs auto-flagged; faster grievance integration</t>
  </si>
  <si>
    <t xml:space="preserve">Must accept union-scale wages; collective bargaining preserved</t>
  </si>
  <si>
    <t xml:space="preserve">Trade Association / Apprenticeship</t>
  </si>
  <si>
    <t xml:space="preserve">J (Trade Certification Holder)</t>
  </si>
  <si>
    <t xml:space="preserve">LS37</t>
  </si>
  <si>
    <t xml:space="preserve">Very High (trade roles)</t>
  </si>
  <si>
    <t xml:space="preserve">Funding for training slots; journeyman priority</t>
  </si>
  <si>
    <t xml:space="preserve">Must meet DOL apprenticeship standards</t>
  </si>
  <si>
    <t xml:space="preserve">K (Industry Association Affiliate)</t>
  </si>
  <si>
    <t xml:space="preserve">LS38</t>
  </si>
  <si>
    <t xml:space="preserve">Very High (professional roles)</t>
  </si>
  <si>
    <t xml:space="preserve">CE hours may count as work credits; credential verification</t>
  </si>
  <si>
    <t xml:space="preserve">Roles require association membership/certification</t>
  </si>
  <si>
    <t xml:space="preserve">LS02–LS05</t>
  </si>
  <si>
    <t xml:space="preserve">High (student roles)</t>
  </si>
  <si>
    <t xml:space="preserve">Direct ESG tuition payments; on-campus job priority</t>
  </si>
  <si>
    <t xml:space="preserve">Student workers limited to part-time</t>
  </si>
  <si>
    <t xml:space="preserve">LS13</t>
  </si>
  <si>
    <t xml:space="preserve">Coordination with federal benefits offsets</t>
  </si>
  <si>
    <t xml:space="preserve">Limited to public-service legacy tracks</t>
  </si>
  <si>
    <t xml:space="preserve">Critical Infrastructure</t>
  </si>
  <si>
    <t xml:space="preserve">LS14</t>
  </si>
  <si>
    <t xml:space="preserve">Emergency Highest</t>
  </si>
  <si>
    <t xml:space="preserve">Bonus credits during declared emergencies</t>
  </si>
  <si>
    <t xml:space="preserve">Must maintain critical status designation</t>
  </si>
  <si>
    <t xml:space="preserve">Entity Co-Fiduciary Obligation Tiers</t>
  </si>
  <si>
    <t xml:space="preserve">LSD-TID</t>
  </si>
  <si>
    <t xml:space="preserve">Entity Types Included</t>
  </si>
  <si>
    <t xml:space="preserve">Posting Requirements</t>
  </si>
  <si>
    <t xml:space="preserve">Hiring Priority Mandate</t>
  </si>
  <si>
    <t xml:space="preserve">Audit Frequency</t>
  </si>
  <si>
    <t xml:space="preserve">Sanctions for Non-Compliance</t>
  </si>
  <si>
    <t xml:space="preserve">LSD-TID01</t>
  </si>
  <si>
    <t xml:space="preserve">ET01, ET02 (Private &amp; Large Corps)</t>
  </si>
  <si>
    <t xml:space="preserve">Must post all entry/mid-level openings</t>
  </si>
  <si>
    <t xml:space="preserve">Priority listing of qualified grantees</t>
  </si>
  <si>
    <t xml:space="preserve">Annual + random</t>
  </si>
  <si>
    <t xml:space="preserve">Fines, probation, temporary debarment</t>
  </si>
  <si>
    <t xml:space="preserve">LSD-TID02</t>
  </si>
  <si>
    <t xml:space="preserve">ET04–ET06 (Unions, Trades, Professional)</t>
  </si>
  <si>
    <t xml:space="preserve">Must post union/trade/professional openings</t>
  </si>
  <si>
    <t xml:space="preserve">Highest); must interview privilege holders</t>
  </si>
  <si>
    <t xml:space="preserve">Semi-annual</t>
  </si>
  <si>
    <t xml:space="preserve">Loss of priority access, fines, training mandates</t>
  </si>
  <si>
    <t xml:space="preserve">LSD-TID03</t>
  </si>
  <si>
    <t xml:space="preserve">ET03, ET07–ET09 (Non-Profit, Education, Gov, Critical)</t>
  </si>
  <si>
    <t xml:space="preserve">Encouraged but not mandatory postings</t>
  </si>
  <si>
    <t xml:space="preserve">Voluntary priority</t>
  </si>
  <si>
    <t xml:space="preserve">Biennial</t>
  </si>
  <si>
    <t xml:space="preserve">Warning → reduced access → probation</t>
  </si>
  <si>
    <t xml:space="preserve">DES LSD Grant Quaifications</t>
  </si>
  <si>
    <t xml:space="preserve">DES LSD Grant Qualifications</t>
  </si>
  <si>
    <t xml:space="preserve">Category Name</t>
  </si>
  <si>
    <t xml:space="preserve">Eligible Business Types</t>
  </si>
  <si>
    <t xml:space="preserve">Required Co-Fiduciary Status</t>
  </si>
  <si>
    <t xml:space="preserve">Disallowed Business Types</t>
  </si>
  <si>
    <t xml:space="preserve">Eligible Entity Types (from LSD)</t>
  </si>
  <si>
    <t xml:space="preserve">Wealth/Revenue Cap</t>
  </si>
  <si>
    <t xml:space="preserve">Income/Profit Notes</t>
  </si>
  <si>
    <t xml:space="preserve">Max Annual Benefit Example (Medium firm, high-cost region)</t>
  </si>
  <si>
    <t xml:space="preserve">COB-A</t>
  </si>
  <si>
    <t xml:space="preserve">All registered co-fiduciaries</t>
  </si>
  <si>
    <t xml:space="preserve">Active job postings for grantees</t>
  </si>
  <si>
    <t xml:space="preserve">Large non-co-fiduciary corps</t>
  </si>
  <si>
    <t xml:space="preserve">ET01–ET09</t>
  </si>
  <si>
    <t xml:space="preserve">None (scaled by size)</t>
  </si>
  <si>
    <t xml:space="preserve">Priority for hiring LS36–LS38 grantees</t>
  </si>
  <si>
    <t xml:space="preserve">$500,000 (large training cohorts)</t>
  </si>
  <si>
    <t xml:space="preserve">Total Unique Beneficiaries (millions)</t>
  </si>
  <si>
    <t xml:space="preserve">Avg Annual Benefit per Person ($$)</t>
  </si>
  <si>
    <t xml:space="preserve">COB-B</t>
  </si>
  <si>
    <t xml:space="preserve">Small/medium enterprises, startups</t>
  </si>
  <si>
    <t xml:space="preserve">Co-fiduciary registration preferred</t>
  </si>
  <si>
    <t xml:space="preserve">Publicly traded giants</t>
  </si>
  <si>
    <t xml:space="preserve">ET01, ET02 (with robot tax offset), ET05–ET09</t>
  </si>
  <si>
    <t xml:space="preserve">Revenue &lt; $50M for full</t>
  </si>
  <si>
    <t xml:space="preserve">Debt/equity matching required</t>
  </si>
  <si>
    <t xml:space="preserve">$2,000,000 loan guarantee</t>
  </si>
  <si>
    <t xml:space="preserve">COB-C</t>
  </si>
  <si>
    <t xml:space="preserve">Tech/innovation firms</t>
  </si>
  <si>
    <t xml:space="preserve">Co-fiduciary priority</t>
  </si>
  <si>
    <t xml:space="preserve">Large non-R&amp;D corps</t>
  </si>
  <si>
    <t xml:space="preserve">None (merit-based)</t>
  </si>
  <si>
    <t xml:space="preserve">Phase I/II awards</t>
  </si>
  <si>
    <t xml:space="preserve">$1,500,000 (Phase II)</t>
  </si>
  <si>
    <t xml:space="preserve">~32</t>
  </si>
  <si>
    <t xml:space="preserve">~375</t>
  </si>
  <si>
    <t xml:space="preserve">COB-D</t>
  </si>
  <si>
    <t xml:space="preserve">Small businesses &lt;500 employees</t>
  </si>
  <si>
    <t xml:space="preserve">Mandatory for expedited</t>
  </si>
  <si>
    <t xml:space="preserve">Monopolies/large polluters</t>
  </si>
  <si>
    <t xml:space="preserve">ET01, ET03–ET09</t>
  </si>
  <si>
    <t xml:space="preserve">Revenue-based fees</t>
  </si>
  <si>
    <t xml:space="preserve">Compliance cost reimbursement</t>
  </si>
  <si>
    <t xml:space="preserve">~60</t>
  </si>
  <si>
    <t xml:space="preserve">COB-E</t>
  </si>
  <si>
    <t xml:space="preserve">Exporting firms</t>
  </si>
  <si>
    <t xml:space="preserve">Co-fiduciary encouraged</t>
  </si>
  <si>
    <t xml:space="preserve">Importers only</t>
  </si>
  <si>
    <t xml:space="preserve">Export revenue share test</t>
  </si>
  <si>
    <t xml:space="preserve">Marketing/trade mission funding</t>
  </si>
  <si>
    <t xml:space="preserve">~10</t>
  </si>
  <si>
    <t xml:space="preserve">COB-F</t>
  </si>
  <si>
    <t xml:space="preserve">Rural/critical infrastructure firms</t>
  </si>
  <si>
    <t xml:space="preserve">Priority hiring grantees</t>
  </si>
  <si>
    <t xml:space="preserve">Large urban non-participants</t>
  </si>
  <si>
    <t xml:space="preserve">ET01, ET09 (critical)</t>
  </si>
  <si>
    <t xml:space="preserve">Project scale cap</t>
  </si>
  <si>
    <t xml:space="preserve">Broadband/utility buildout</t>
  </si>
  <si>
    <t xml:space="preserve">$5,000,000 project</t>
  </si>
  <si>
    <t xml:space="preserve">~160</t>
  </si>
  <si>
    <t xml:space="preserve">COB-G</t>
  </si>
  <si>
    <t xml:space="preserve">All sizes adopting green tech</t>
  </si>
  <si>
    <t xml:space="preserve">Co-fiduciary bonus</t>
  </si>
  <si>
    <t xml:space="preserve">Fossil-only firms</t>
  </si>
  <si>
    <t xml:space="preserve">Energy audit required</t>
  </si>
  <si>
    <t xml:space="preserve">Retrofit/renewable rebates</t>
  </si>
  <si>
    <t xml:space="preserve">COB-H</t>
  </si>
  <si>
    <t xml:space="preserve">Disadvantaged/small businesses</t>
  </si>
  <si>
    <t xml:space="preserve">Set-aside preference</t>
  </si>
  <si>
    <t xml:space="preserve">Large non-diverse primes</t>
  </si>
  <si>
    <t xml:space="preserve">Certification (8(a), HUBZone, etc.)</t>
  </si>
  <si>
    <t xml:space="preserve">Contract value preference</t>
  </si>
  <si>
    <t xml:space="preserve">$10,000,000 set-aside contracts</t>
  </si>
  <si>
    <t xml:space="preserve">~100 (phased)</t>
  </si>
  <si>
    <t xml:space="preserve">0–500</t>
  </si>
  <si>
    <t xml:space="preserve">COB-I</t>
  </si>
  <si>
    <t xml:space="preserve">Affected businesses</t>
  </si>
  <si>
    <t xml:space="preserve">Grantee hiring priority</t>
  </si>
  <si>
    <t xml:space="preserve">Non-impacted speculators</t>
  </si>
  <si>
    <t xml:space="preserve">All ET types in disaster areas</t>
  </si>
  <si>
    <t xml:space="preserve">Event-triggered</t>
  </si>
  <si>
    <t xml:space="preserve">Recovery loans/grants</t>
  </si>
  <si>
    <t xml:space="preserve">~18</t>
  </si>
  <si>
    <t xml:space="preserve">All Consolidated Grants (A–I)</t>
  </si>
  <si>
    <t xml:space="preserve">Unified vendor-restricted electronic benefit system covering all major federal means-tested and social-welfare spending</t>
  </si>
  <si>
    <t xml:space="preserve">All current state/county/city matching &amp; supplemental programs preserved</t>
  </si>
  <si>
    <t xml:space="preserve">All local administration &amp; top-ups preserved</t>
  </si>
  <si>
    <t xml:space="preserve">All low- and moderate-income U.S. residents (multiple grants per person common)</t>
  </si>
  <si>
    <t xml:space="preserve">~200 unduplicated individuals</t>
  </si>
  <si>
    <t xml:space="preserve">ESP LSD Grants</t>
  </si>
  <si>
    <t xml:space="preserve">Current DES LSD Related Program Consolidation Savings</t>
  </si>
  <si>
    <t xml:space="preserve">Annual Benefit Outlays (2025 baseline, $B)</t>
  </si>
  <si>
    <t xml:space="preserve">Legacy Operational/Admin Costs (2025 est., $B)</t>
  </si>
  <si>
    <t xml:space="preserve">Post-Reform Operational Costs (est., $B)</t>
  </si>
  <si>
    <t xml:space="preserve">Estimated Annual Savings ($B)</t>
  </si>
  <si>
    <t xml:space="preserve">Estimated Decade Savings ($B, nominal)</t>
  </si>
  <si>
    <t xml:space="preserve">Total Unique Beneficiary Entities (post-reform est.)</t>
  </si>
  <si>
    <t xml:space="preserve">Key Savings Drivers</t>
  </si>
  <si>
    <t xml:space="preserve">~1.5</t>
  </si>
  <si>
    <t xml:space="preserve">~1.0</t>
  </si>
  <si>
    <t xml:space="preserve">~0.5</t>
  </si>
  <si>
    <t xml:space="preserve">~5–6</t>
  </si>
  <si>
    <t xml:space="preserve">~0.6M employers</t>
  </si>
  <si>
    <t xml:space="preserve">Partial unification of training reimbursements; some AI matching &amp; compliance gains</t>
  </si>
  <si>
    <t xml:space="preserve">~2.0</t>
  </si>
  <si>
    <t xml:space="preserve">~1.4</t>
  </si>
  <si>
    <t xml:space="preserve">~0.6</t>
  </si>
  <si>
    <t xml:space="preserve">~6–7</t>
  </si>
  <si>
    <t xml:space="preserve">~0.4M loans/guarantees</t>
  </si>
  <si>
    <t xml:space="preserve">Moderate streamlining of loan/guarantee processing; digital applications</t>
  </si>
  <si>
    <t xml:space="preserve">~0.7</t>
  </si>
  <si>
    <t xml:space="preserve">~0.3</t>
  </si>
  <si>
    <t xml:space="preserve">~3–4</t>
  </si>
  <si>
    <t xml:space="preserve">~20,000 awards</t>
  </si>
  <si>
    <t xml:space="preserve">Partial centralization of SBIR/STTR portal; limited automated review</t>
  </si>
  <si>
    <t xml:space="preserve">~0.2</t>
  </si>
  <si>
    <t xml:space="preserve">~0.1</t>
  </si>
  <si>
    <t xml:space="preserve">~1–1.2</t>
  </si>
  <si>
    <t xml:space="preserve">~0.3M firms</t>
  </si>
  <si>
    <t xml:space="preserve">Limited one-stop digital permitting &amp; consultation</t>
  </si>
  <si>
    <t xml:space="preserve">~0.4</t>
  </si>
  <si>
    <t xml:space="preserve">~1–1.5</t>
  </si>
  <si>
    <t xml:space="preserve">~60,000 exporters</t>
  </si>
  <si>
    <t xml:space="preserve">Partial integration of export financing platform</t>
  </si>
  <si>
    <t xml:space="preserve">~1.1</t>
  </si>
  <si>
    <t xml:space="preserve">~4–5</t>
  </si>
  <si>
    <t xml:space="preserve">~12,000 projects</t>
  </si>
  <si>
    <t xml:space="preserve">Moderate unification of project applications &amp; broadband tracking</t>
  </si>
  <si>
    <t xml:space="preserve">All COB Categories (A–F)</t>
  </si>
  <si>
    <t xml:space="preserve">~6–8</t>
  </si>
  <si>
    <t xml:space="preserve">~4.7</t>
  </si>
  <si>
    <t xml:space="preserve">~1.3–1.8</t>
  </si>
  <si>
    <t xml:space="preserve">~20–25</t>
  </si>
  <si>
    <t xml:space="preserve">~1.4M unique entities</t>
  </si>
  <si>
    <t xml:space="preserve">Digital unification; co-fiduciary scaling; preserved state/local top-ups with modest overhead reduction</t>
  </si>
  <si>
    <t xml:space="preserve">2.A</t>
  </si>
  <si>
    <t xml:space="preserve">Current DSS LSD Related Programs (Expanded)</t>
  </si>
  <si>
    <t xml:space="preserve">Subdivision</t>
  </si>
  <si>
    <t xml:space="preserve">Consolidation Recommendation</t>
  </si>
  <si>
    <t xml:space="preserve">Federal Funding &amp; Cost Details</t>
  </si>
  <si>
    <t xml:space="preserve">State Funding &amp; Cost Details</t>
  </si>
  <si>
    <t xml:space="preserve">County Funding &amp; Cost Details</t>
  </si>
  <si>
    <t xml:space="preserve">Local (City) Funding &amp; Cost Details</t>
  </si>
  <si>
    <t xml:space="preserve">Primary Benefactors</t>
  </si>
  <si>
    <t xml:space="preserve">Total Beneficiary Entities (approx.)</t>
  </si>
  <si>
    <t xml:space="preserve">Avg Annual Benefit per Entity ($$)</t>
  </si>
  <si>
    <t xml:space="preserve">Notes</t>
  </si>
  <si>
    <t xml:space="preserve">Parent – COB-A (overall business training support)</t>
  </si>
  <si>
    <t xml:space="preserve">Unified vendor-restricted system for employer training reimbursements &amp; grants</t>
  </si>
  <si>
    <t xml:space="preserve">Consolidated DOL/WIOA employer-focused funds, SBA workforce programs, apprenticeship expansion</t>
  </si>
  <si>
    <t xml:space="preserve">State workforce development boards &amp; incentives</t>
  </si>
  <si>
    <t xml:space="preserve">County incumbent worker programs</t>
  </si>
  <si>
    <t xml:space="preserve">City local talent pipelines</t>
  </si>
  <si>
    <t xml:space="preserve">Employers (esp. SMEs hiring grantees)</t>
  </si>
  <si>
    <t xml:space="preserve">0.5M employers</t>
  </si>
  <si>
    <t xml:space="preserve">Priority for co-fiduciary employers hiring ESP grantees</t>
  </si>
  <si>
    <t xml:space="preserve">COB-A.1</t>
  </si>
  <si>
    <t xml:space="preserve">On-the-Job Training (OJT) &amp; Incumbent Worker</t>
  </si>
  <si>
    <t xml:space="preserve">WIOA incumbent worker &amp; OJT reimbursements (up to 50–90% wage subsidy)</t>
  </si>
  <si>
    <t xml:space="preserve">State OJT matching funds</t>
  </si>
  <si>
    <t xml:space="preserve">County customized training</t>
  </si>
  <si>
    <t xml:space="preserve">City employer-specific training grants</t>
  </si>
  <si>
    <t xml:space="preserve">Businesses providing structured OJT</t>
  </si>
  <si>
    <t xml:space="preserve">100,000 employers</t>
  </si>
  <si>
    <t xml:space="preserve">Wage reimbursement model</t>
  </si>
  <si>
    <t xml:space="preserve">COB-A.2</t>
  </si>
  <si>
    <t xml:space="preserve">Registered Apprenticeship Expansion</t>
  </si>
  <si>
    <t xml:space="preserve">DOL Office of Apprenticeship grants, Apprenticeship.gov funding</t>
  </si>
  <si>
    <t xml:space="preserve">State apprenticeship agency incentives</t>
  </si>
  <si>
    <t xml:space="preserve">County union/non-union programs</t>
  </si>
  <si>
    <t xml:space="preserve">City pre-apprenticeship pipelines</t>
  </si>
  <si>
    <t xml:space="preserve">Apprenticeship sponsors</t>
  </si>
  <si>
    <t xml:space="preserve">20,000 sponsors</t>
  </si>
  <si>
    <t xml:space="preserve">Per-apprentice grants &amp; tax credits converted</t>
  </si>
  <si>
    <t xml:space="preserve">COB-A.3</t>
  </si>
  <si>
    <t xml:space="preserve">Sector Partnerships &amp; Industry Training</t>
  </si>
  <si>
    <t xml:space="preserve">WIOA sector partnership grants, Manufacturing Extension Partnership (MEP) training</t>
  </si>
  <si>
    <t xml:space="preserve">State industry cluster funds</t>
  </si>
  <si>
    <t xml:space="preserve">Regional skills alliances</t>
  </si>
  <si>
    <t xml:space="preserve">Local workforce boards</t>
  </si>
  <si>
    <t xml:space="preserve">Employers in targeted sectors</t>
  </si>
  <si>
    <t xml:space="preserve">50,000 partnerships</t>
  </si>
  <si>
    <t xml:space="preserve">Collaborative training models</t>
  </si>
  <si>
    <t xml:space="preserve">COB-A.4</t>
  </si>
  <si>
    <t xml:space="preserve">Small Business Workforce Grants</t>
  </si>
  <si>
    <t xml:space="preserve">SBA PRIME &amp; other workforce technical assistance</t>
  </si>
  <si>
    <t xml:space="preserve">State small business training programs</t>
  </si>
  <si>
    <t xml:space="preserve">County SBDC support</t>
  </si>
  <si>
    <t xml:space="preserve">City entrepreneurial training</t>
  </si>
  <si>
    <t xml:space="preserve">330,000 firms</t>
  </si>
  <si>
    <t xml:space="preserve">Technical assistance &amp; classroom training</t>
  </si>
  <si>
    <t xml:space="preserve">Parent – COB-B (business financing)</t>
  </si>
  <si>
    <t xml:space="preserve">Vendor-restricted transfers for loans, guarantees, equity</t>
  </si>
  <si>
    <t xml:space="preserve">SBA lending programs, USDA rural business, Treasury SSBCI, EDA RLFs</t>
  </si>
  <si>
    <t xml:space="preserve">State loan participation &amp; venture funds</t>
  </si>
  <si>
    <t xml:space="preserve">County revolving loan funds</t>
  </si>
  <si>
    <t xml:space="preserve">City gap financing</t>
  </si>
  <si>
    <t xml:space="preserve">Small/medium businesses &amp; startups</t>
  </si>
  <si>
    <t xml:space="preserve">0.3M loans/guarantees</t>
  </si>
  <si>
    <t xml:space="preserve">Leveraged capital access</t>
  </si>
  <si>
    <t xml:space="preserve">COB-B.1</t>
  </si>
  <si>
    <t xml:space="preserve">SBA 7(a) Loan Guarantees</t>
  </si>
  <si>
    <t xml:space="preserve">Primary SBA loan program (guarantees up to 85%)</t>
  </si>
  <si>
    <t xml:space="preserve">General small businesses</t>
  </si>
  <si>
    <t xml:space="preserve">60,000 loans</t>
  </si>
  <si>
    <t xml:space="preserve">Most utilized program</t>
  </si>
  <si>
    <t xml:space="preserve">COB-B.2</t>
  </si>
  <si>
    <t xml:space="preserve">SBA 504/CDC Real Estate &amp; Equipment</t>
  </si>
  <si>
    <t xml:space="preserve">Fixed-asset financing via Certified Development Companies</t>
  </si>
  <si>
    <t xml:space="preserve">Businesses purchasing fixed assets</t>
  </si>
  <si>
    <t xml:space="preserve">8,000 loans</t>
  </si>
  <si>
    <t xml:space="preserve">Long-term, low-rate financing</t>
  </si>
  <si>
    <t xml:space="preserve">COB-B.3</t>
  </si>
  <si>
    <t xml:space="preserve">USDA Business &amp; Industry Loans</t>
  </si>
  <si>
    <t xml:space="preserve">Guaranteed loans for rural businesses</t>
  </si>
  <si>
    <t xml:space="preserve">State rural development offices</t>
  </si>
  <si>
    <t xml:space="preserve">Rural employers</t>
  </si>
  <si>
    <t xml:space="preserve">1,500 loans</t>
  </si>
  <si>
    <t xml:space="preserve">High per-loan value</t>
  </si>
  <si>
    <t xml:space="preserve">COB-B.4</t>
  </si>
  <si>
    <t xml:space="preserve">State Small Business Credit Initiative (SSBCI)</t>
  </si>
  <si>
    <t xml:space="preserve">Treasury-funded state loan/equity programs</t>
  </si>
  <si>
    <t xml:space="preserve">State-administered funds</t>
  </si>
  <si>
    <t xml:space="preserve">Very small &amp; underserved businesses</t>
  </si>
  <si>
    <t xml:space="preserve">200,000 participants</t>
  </si>
  <si>
    <t xml:space="preserve">Post-ARPA continuation</t>
  </si>
  <si>
    <t xml:space="preserve">Parent – COB-C (innovation funding)</t>
  </si>
  <si>
    <t xml:space="preserve">Direct grants to R&amp;D vendors or reimbursements</t>
  </si>
  <si>
    <t xml:space="preserve">Federal SBIR/STTR across agencies, NSF/DOE/NIH small business R&amp;D</t>
  </si>
  <si>
    <t xml:space="preserve">State R&amp;D credits/grants</t>
  </si>
  <si>
    <t xml:space="preserve">County innovation districts</t>
  </si>
  <si>
    <t xml:space="preserve">City incubator grants</t>
  </si>
  <si>
    <t xml:space="preserve">Innovative SMEs</t>
  </si>
  <si>
    <t xml:space="preserve">15,000 awards</t>
  </si>
  <si>
    <t xml:space="preserve">Competitive, phased funding</t>
  </si>
  <si>
    <t xml:space="preserve">COB-C.1</t>
  </si>
  <si>
    <t xml:space="preserve">SBIR Phase I/II</t>
  </si>
  <si>
    <t xml:space="preserve">Non-dilutive seed &amp; development grants (multiple agencies)</t>
  </si>
  <si>
    <t xml:space="preserve">Tech startups &amp; small firms</t>
  </si>
  <si>
    <t xml:space="preserve">10,000 awards</t>
  </si>
  <si>
    <t xml:space="preserve">Core federal R&amp;D pipeline</t>
  </si>
  <si>
    <t xml:space="preserve">COB-C.2</t>
  </si>
  <si>
    <t xml:space="preserve">STTR (Technology Transfer)</t>
  </si>
  <si>
    <t xml:space="preserve">Requires university/research institution partnership</t>
  </si>
  <si>
    <t xml:space="preserve">Small firms partnering with research entities</t>
  </si>
  <si>
    <t xml:space="preserve">2,000 awards</t>
  </si>
  <si>
    <t xml:space="preserve">Collaboration-focused</t>
  </si>
  <si>
    <t xml:space="preserve">COB-C.3</t>
  </si>
  <si>
    <t xml:space="preserve">Other Agency-Specific Small Business R&amp;D</t>
  </si>
  <si>
    <t xml:space="preserve">USDA, EPA, DHS, DOT small business innovation programs</t>
  </si>
  <si>
    <t xml:space="preserve">State matching innovation funds</t>
  </si>
  <si>
    <t xml:space="preserve">Sector-specific innovators</t>
  </si>
  <si>
    <t xml:space="preserve">3,000 awards</t>
  </si>
  <si>
    <t xml:space="preserve">Targeted applications</t>
  </si>
  <si>
    <t xml:space="preserve">Parent – COB-D</t>
  </si>
  <si>
    <t xml:space="preserve">Reimbursements for compliance costs &amp; expedited aid</t>
  </si>
  <si>
    <t xml:space="preserve">OSHA consultation, EPA small business assistance, FDA regulatory aid</t>
  </si>
  <si>
    <t xml:space="preserve">State permitting offices</t>
  </si>
  <si>
    <t xml:space="preserve">County zoning assistance</t>
  </si>
  <si>
    <t xml:space="preserve">City one-stop permitting</t>
  </si>
  <si>
    <t xml:space="preserve">Regulated small businesses</t>
  </si>
  <si>
    <t xml:space="preserve">0.2M firms</t>
  </si>
  <si>
    <t xml:space="preserve">Reduces entry barriers</t>
  </si>
  <si>
    <t xml:space="preserve">COB-D.1</t>
  </si>
  <si>
    <t xml:space="preserve">OSHA Consultation &amp; Training</t>
  </si>
  <si>
    <t xml:space="preserve">Free on-site safety/health consultation (DOL)</t>
  </si>
  <si>
    <t xml:space="preserve">State OSHA plans</t>
  </si>
  <si>
    <t xml:space="preserve">Small high-hazard employers</t>
  </si>
  <si>
    <t xml:space="preserve">50,000 consultations</t>
  </si>
  <si>
    <t xml:space="preserve">No-fine consultations</t>
  </si>
  <si>
    <t xml:space="preserve">COB-D.2</t>
  </si>
  <si>
    <t xml:space="preserve">EPA Small Business Assistance</t>
  </si>
  <si>
    <t xml:space="preserve">Environmental compliance support &amp; grants</t>
  </si>
  <si>
    <t xml:space="preserve">State environmental agencies</t>
  </si>
  <si>
    <t xml:space="preserve">Pollution-prevention focused firms</t>
  </si>
  <si>
    <t xml:space="preserve">100,000 assisted</t>
  </si>
  <si>
    <t xml:space="preserve">Technical assistance model</t>
  </si>
  <si>
    <t xml:space="preserve">COB-D.3</t>
  </si>
  <si>
    <t xml:space="preserve">Permitting Expediting Grants</t>
  </si>
  <si>
    <t xml:space="preserve">Hypothetical consolidation of fee waivers/expediting aid</t>
  </si>
  <si>
    <t xml:space="preserve">State one-stop permitting</t>
  </si>
  <si>
    <t xml:space="preserve">County planning aid</t>
  </si>
  <si>
    <t xml:space="preserve">City fast-track programs</t>
  </si>
  <si>
    <t xml:space="preserve">New/expanding businesses</t>
  </si>
  <si>
    <t xml:space="preserve">50,000 firms</t>
  </si>
  <si>
    <t xml:space="preserve">Streamlined approvals</t>
  </si>
  <si>
    <t xml:space="preserve">Parent – COB-E</t>
  </si>
  <si>
    <t xml:space="preserve">Support for export marketing &amp; finance</t>
  </si>
  <si>
    <t xml:space="preserve">EXIM, SBA export programs, USDA export aid</t>
  </si>
  <si>
    <t xml:space="preserve">State export agencies</t>
  </si>
  <si>
    <t xml:space="preserve">Regional export councils</t>
  </si>
  <si>
    <t xml:space="preserve">City trade missions</t>
  </si>
  <si>
    <t xml:space="preserve">Exporting SMEs</t>
  </si>
  <si>
    <t xml:space="preserve">50,000 exporters</t>
  </si>
  <si>
    <t xml:space="preserve">Tied to tariff offsets</t>
  </si>
  <si>
    <t xml:space="preserve">COB-E.1</t>
  </si>
  <si>
    <t xml:space="preserve">SBA State Trade Expansion Program (STEP)</t>
  </si>
  <si>
    <t xml:space="preserve">Export marketing grants to states</t>
  </si>
  <si>
    <t xml:space="preserve">State-administered export funds</t>
  </si>
  <si>
    <t xml:space="preserve">First-time &amp; expanding exporters</t>
  </si>
  <si>
    <t xml:space="preserve">20,000 firms</t>
  </si>
  <si>
    <t xml:space="preserve">Trade shows &amp; missions</t>
  </si>
  <si>
    <t xml:space="preserve">COB-E.2</t>
  </si>
  <si>
    <t xml:space="preserve">EXIM Bank Working Capital &amp; Insurance</t>
  </si>
  <si>
    <t xml:space="preserve">Export credit insurance &amp; working capital guarantees</t>
  </si>
  <si>
    <t xml:space="preserve">Export-dependent businesses</t>
  </si>
  <si>
    <t xml:space="preserve">5,000 users</t>
  </si>
  <si>
    <t xml:space="preserve">Facilitates foreign sales</t>
  </si>
  <si>
    <t xml:space="preserve">COB-E.3</t>
  </si>
  <si>
    <t xml:space="preserve">USDA Export Programs</t>
  </si>
  <si>
    <t xml:space="preserve">Market Access Program (MAP), Foreign Market Development</t>
  </si>
  <si>
    <t xml:space="preserve">Agricultural exporters</t>
  </si>
  <si>
    <t xml:space="preserve">25,000 participants</t>
  </si>
  <si>
    <t xml:space="preserve">Commodity-focused</t>
  </si>
  <si>
    <t xml:space="preserve">Parent – COB-F</t>
  </si>
  <si>
    <t xml:space="preserve">Grants for site development &amp; connectivity</t>
  </si>
  <si>
    <t xml:space="preserve">EDA, USDA broadband/business infrastructure</t>
  </si>
  <si>
    <t xml:space="preserve">State infrastructure banks</t>
  </si>
  <si>
    <t xml:space="preserve">County industrial sites</t>
  </si>
  <si>
    <t xml:space="preserve">City redevelopment</t>
  </si>
  <si>
    <t xml:space="preserve">Businesses in underserved areas</t>
  </si>
  <si>
    <t xml:space="preserve">10,000 projects</t>
  </si>
  <si>
    <t xml:space="preserve">Place-based support</t>
  </si>
  <si>
    <t xml:space="preserve">COB-F.1</t>
  </si>
  <si>
    <t xml:space="preserve">EDA Public Works &amp; Economic Adjustment</t>
  </si>
  <si>
    <t xml:space="preserve">Infrastructure grants for business districts</t>
  </si>
  <si>
    <t xml:space="preserve">State matching</t>
  </si>
  <si>
    <t xml:space="preserve">County site preparation</t>
  </si>
  <si>
    <t xml:space="preserve">City brownfields</t>
  </si>
  <si>
    <t xml:space="preserve">Distressed communities</t>
  </si>
  <si>
    <t xml:space="preserve">500 projects</t>
  </si>
  <si>
    <t xml:space="preserve">High per-project value</t>
  </si>
  <si>
    <t xml:space="preserve">COB-F.2</t>
  </si>
  <si>
    <t xml:space="preserve">USDA ReConnect &amp; Broadband</t>
  </si>
  <si>
    <t xml:space="preserve">Broadband deployment for business/rural access</t>
  </si>
  <si>
    <t xml:space="preserve">State broadband funds</t>
  </si>
  <si>
    <t xml:space="preserve">Rural businesses</t>
  </si>
  <si>
    <t xml:space="preserve">300 projects</t>
  </si>
  <si>
    <t xml:space="preserve">Large infrastructure awards</t>
  </si>
  <si>
    <t xml:space="preserve">COB-F.3</t>
  </si>
  <si>
    <t xml:space="preserve">DOT Small Business Infrastructure</t>
  </si>
  <si>
    <t xml:space="preserve">BUILD/TIGER small project set-asides</t>
  </si>
  <si>
    <t xml:space="preserve">State DOT matching</t>
  </si>
  <si>
    <t xml:space="preserve">City multimodal access</t>
  </si>
  <si>
    <t xml:space="preserve">Transportation-dependent firms</t>
  </si>
  <si>
    <t xml:space="preserve">200 projects</t>
  </si>
  <si>
    <t xml:space="preserve">Connectivity focus</t>
  </si>
  <si>
    <t xml:space="preserve">All COB Categories (A–F, with subdivisions)</t>
  </si>
  <si>
    <t xml:space="preserve">Unified system consolidating major federal small-business support programs</t>
  </si>
  <si>
    <t xml:space="preserve">All matching &amp; supplemental programs preserved</t>
  </si>
  <si>
    <t xml:space="preserve">Small/medium enterprises across sectors</t>
  </si>
  <si>
    <t xml:space="preserve">~1M unique entities</t>
  </si>
  <si>
    <t xml:space="preserve">~76,500</t>
  </si>
  <si>
    <t xml:space="preserve">Excludes procurement set-asides (~$150B+ in contract value, not direct spending); focuses on direct grants/loans/guarantees</t>
  </si>
  <si>
    <t xml:space="preserve">Current DSS LSD Related Programs (Impanded)</t>
  </si>
  <si>
    <t xml:space="preserve">Grantee (business) afforded vendor-restricted balance for transfers to qualified "training vendors" (apprenticeship sponsors, technical schools, universities, OJT providers, continuing-ed providers). Includes employer wage reimbursements for training.</t>
  </si>
  <si>
    <t xml:space="preserve">SBA workforce grants, DOL apprenticeships, WIOA employer-side funding, Perkins postsecondary, Trade Adjustment Assistance firms</t>
  </si>
  <si>
    <t xml:space="preserve">State workforce boards, apprenticeship incentives, community college partnerships</t>
  </si>
  <si>
    <t xml:space="preserve">County incumbent worker training, regional skills alliances</t>
  </si>
  <si>
    <t xml:space="preserve">City pre-apprenticeship &amp; local talent pipeline programs</t>
  </si>
  <si>
    <t xml:space="preserve">Employers hiring/training workers (esp. small/medium businesses)</t>
  </si>
  <si>
    <t xml:space="preserve">Replaces fragmented workforce grants; strong co-fiduciary incentives for hiring grantees</t>
  </si>
  <si>
    <t xml:space="preserve">Electronic transfers to qualified "capital vendors" (banks, CDFIs, venture funds, equipment financers). Includes loan guarantees, direct lending, equity matching.</t>
  </si>
  <si>
    <t xml:space="preserve">SBA 7(a)/504 loans, USDA rural business loans, EDA revolving loan funds, Treasury SSBCI</t>
  </si>
  <si>
    <t xml:space="preserve">State small business loan funds, venture capital matching</t>
  </si>
  <si>
    <t xml:space="preserve">County microloan pools</t>
  </si>
  <si>
    <t xml:space="preserve">City gap financing &amp; startup grants</t>
  </si>
  <si>
    <t xml:space="preserve">Small businesses, startups, rural enterprises</t>
  </si>
  <si>
    <t xml:space="preserve">High leverage; optional employer/employee matching via Investment Grant cross-flows</t>
  </si>
  <si>
    <t xml:space="preserve">Transfers to qualified "R&amp;D vendors" (universities, labs, contract researchers). Includes tax credits converted to direct grants, SBIR/STTR.</t>
  </si>
  <si>
    <t xml:space="preserve">SBIR/STTR Phase I/II, NSF I-Corps, DOE ARPA-E small business, NIH SBIR, USDA SBIR</t>
  </si>
  <si>
    <t xml:space="preserve">State R&amp;D tax credits/grants</t>
  </si>
  <si>
    <t xml:space="preserve">County innovation hubs</t>
  </si>
  <si>
    <t xml:space="preserve">City tech incubator support</t>
  </si>
  <si>
    <t xml:space="preserve">Innovative small/medium firms</t>
  </si>
  <si>
    <t xml:space="preserve">Streamlined application; priority for automation-adjacent/tech firms</t>
  </si>
  <si>
    <t xml:space="preserve">Direct offsets/reimbursements to qualified "compliance vendors" (consultants, legal, certification bodies). Includes fee waivers, expedited processing.</t>
  </si>
  <si>
    <t xml:space="preserve">EPA small business assistance, OSHA consultation grants, FDA fast-track aid</t>
  </si>
  <si>
    <t xml:space="preserve">State environmental/permitting offices</t>
  </si>
  <si>
    <t xml:space="preserve">County zoning/planning aid</t>
  </si>
  <si>
    <t xml:space="preserve">City one-stop business permitting</t>
  </si>
  <si>
    <t xml:space="preserve">Small businesses facing regulatory burden</t>
  </si>
  <si>
    <t xml:space="preserve">Reduces barriers; partial replacement of indirect tax expenditures</t>
  </si>
  <si>
    <t xml:space="preserve">Transfers to qualified "export vendors" (trade missions, marketing firms, certification bodies). Includes trade finance guarantees.</t>
  </si>
  <si>
    <t xml:space="preserve">EXIM Bank small business financing, SBA STEP grants, USDA export programs</t>
  </si>
  <si>
    <t xml:space="preserve">State export promotion offices</t>
  </si>
  <si>
    <t xml:space="preserve">City international trade support</t>
  </si>
  <si>
    <t xml:space="preserve">Exporting small/medium businesses</t>
  </si>
  <si>
    <t xml:space="preserve">Tied to tariff revenue streams; offsets import competition</t>
  </si>
  <si>
    <t xml:space="preserve">Electronic transfers to qualified "infrastructure vendors" (broadband providers, utilities, construction). Includes site development grants.</t>
  </si>
  <si>
    <t xml:space="preserve">EDA public works, USDA ReConnect broadband, DOT BUILD small projects</t>
  </si>
  <si>
    <t xml:space="preserve">State infrastructure banks, broadband expansion</t>
  </si>
  <si>
    <t xml:space="preserve">County industrial parks</t>
  </si>
  <si>
    <t xml:space="preserve">City brownfield redevelopment &amp; utility extensions</t>
  </si>
  <si>
    <t xml:space="preserve">Growing/rural businesses needing facilities</t>
  </si>
  <si>
    <t xml:space="preserve">Priority for critical infrastructure employers</t>
  </si>
  <si>
    <t xml:space="preserve">Transfers to qualified "energy vendors" (renewable installers, efficiency auditors). Includes rebates, tax credit conversions.</t>
  </si>
  <si>
    <t xml:space="preserve">DOE small business clean energy, EPA ENERGY STAR aid, USDA REAP</t>
  </si>
  <si>
    <t xml:space="preserve">State green energy incentives</t>
  </si>
  <si>
    <t xml:space="preserve">County energy efficiency programs</t>
  </si>
  <si>
    <t xml:space="preserve">City solar/retrofit rebates</t>
  </si>
  <si>
    <t xml:space="preserve">Businesses adopting sustainable practices</t>
  </si>
  <si>
    <t xml:space="preserve">100,000 participants</t>
  </si>
  <si>
    <t xml:space="preserve">Aligns with utility grant synergies; employer opt-in potential</t>
  </si>
  <si>
    <t xml:space="preserve">Direct set-aside/preference funding to qualified federal/state contractors. Includes subcontracting credits.</t>
  </si>
  <si>
    <t xml:space="preserve">Small business set-asides (GSA, DoD, etc.), 8(a) program, HUBZone incentives</t>
  </si>
  <si>
    <t xml:space="preserve">State procurement preferences</t>
  </si>
  <si>
    <t xml:space="preserve">County local vendor preferences</t>
  </si>
  <si>
    <t xml:space="preserve">City minority/women-owned business programs</t>
  </si>
  <si>
    <t xml:space="preserve">Federal/state contractors (esp. disadvantaged)</t>
  </si>
  <si>
    <t xml:space="preserve">50.0 (set-aside value)</t>
  </si>
  <si>
    <t xml:space="preserve">200,000 contractors</t>
  </si>
  <si>
    <t xml:space="preserve">Encourages grantee hiring via co-fiduciary priority</t>
  </si>
  <si>
    <t xml:space="preserve">Electronic transfers to qualified "recovery vendors" (contractors, insurers, consultants). Rapid deployment post-event.</t>
  </si>
  <si>
    <t xml:space="preserve">FEMA small business disaster loans, SBA disaster assistance, HUD CDBG-DR business recovery</t>
  </si>
  <si>
    <t xml:space="preserve">State disaster funds</t>
  </si>
  <si>
    <t xml:space="preserve">County emergency business aid</t>
  </si>
  <si>
    <t xml:space="preserve">City rapid recovery grants</t>
  </si>
  <si>
    <t xml:space="preserve">Businesses in declared disaster areas</t>
  </si>
  <si>
    <t xml:space="preserve">5.0 (average annual)</t>
  </si>
  <si>
    <t xml:space="preserve">50,000 affected firms</t>
  </si>
  <si>
    <t xml:space="preserve">Contingent funding; integrates with critical infrastructure priority</t>
  </si>
  <si>
    <t xml:space="preserve">All COB Categories (A–I)</t>
  </si>
  <si>
    <t xml:space="preserve">Unified vendor-restricted electronic system for business support across federal/state/local programs</t>
  </si>
  <si>
    <t xml:space="preserve">All current matching &amp; supplemental programs preserved</t>
  </si>
  <si>
    <t xml:space="preserve">Small/medium businesses, startups, exporters, innovative firms</t>
  </si>
  <si>
    <t xml:space="preserve">~1.5M unique entities</t>
  </si>
  <si>
    <t xml:space="preserve">~93,000</t>
  </si>
  <si>
    <t xml:space="preserve">Complements ESP grantee system; creates business incentives for grantee hiring &amp; training</t>
  </si>
  <si>
    <t xml:space="preserve">DES LSD Regions</t>
  </si>
  <si>
    <t xml:space="preserve">LSD-RID</t>
  </si>
  <si>
    <t xml:space="preserve">Region</t>
  </si>
  <si>
    <t xml:space="preserve">Total COB Min ($$ )</t>
  </si>
  <si>
    <t xml:space="preserve">Total COB Max ( $$)</t>
  </si>
  <si>
    <t xml:space="preserve">Workforce Min</t>
  </si>
  <si>
    <t xml:space="preserve">Workforce Max</t>
  </si>
  <si>
    <t xml:space="preserve">Capital Min</t>
  </si>
  <si>
    <t xml:space="preserve">Capital Max</t>
  </si>
  <si>
    <t xml:space="preserve">R&amp;D Min</t>
  </si>
  <si>
    <t xml:space="preserve">R&amp;D Max</t>
  </si>
  <si>
    <t xml:space="preserve">Regulatory Min</t>
  </si>
  <si>
    <t xml:space="preserve">Regulatory Max</t>
  </si>
  <si>
    <t xml:space="preserve">Export Min</t>
  </si>
  <si>
    <t xml:space="preserve">Export Max</t>
  </si>
  <si>
    <t xml:space="preserve">Infrastructure Min</t>
  </si>
  <si>
    <t xml:space="preserve">Infrastructure Max</t>
  </si>
  <si>
    <t xml:space="preserve">Energy Min</t>
  </si>
  <si>
    <t xml:space="preserve">Energy Max</t>
  </si>
  <si>
    <t xml:space="preserve">Supply Chain Min</t>
  </si>
  <si>
    <t xml:space="preserve">Supply Chain Max</t>
  </si>
  <si>
    <t xml:space="preserve">Disaster Min</t>
  </si>
  <si>
    <t xml:space="preserve">Disaster Max</t>
  </si>
  <si>
    <t xml:space="preserve">Southeast (lowest COB)</t>
  </si>
  <si>
    <t xml:space="preserve">Plains</t>
  </si>
  <si>
    <t xml:space="preserve">Great Lakes</t>
  </si>
  <si>
    <t xml:space="preserve">Southwest</t>
  </si>
  <si>
    <t xml:space="preserve">Rocky Mountain</t>
  </si>
  <si>
    <t xml:space="preserve">Mideast</t>
  </si>
  <si>
    <t xml:space="preserve">New England</t>
  </si>
  <si>
    <t xml:space="preserve">Far West (highest COB)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</si>
</sst>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3" activeCellId="0" sqref="B2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1" width="29.98"/>
    <col collapsed="false" customWidth="true" hidden="false" outlineLevel="0" max="3" min="3" style="1" width="46.13"/>
    <col collapsed="false" customWidth="true" hidden="false" outlineLevel="0" max="4" min="4" style="1" width="34.59"/>
    <col collapsed="false" customWidth="true" hidden="false" outlineLevel="0" max="5" min="5" style="1" width="23.07"/>
    <col collapsed="false" customWidth="true" hidden="false" outlineLevel="0" max="6" min="6" style="1" width="16.14"/>
    <col collapsed="false" customWidth="true" hidden="false" outlineLevel="0" max="7" min="7" style="1" width="23.07"/>
    <col collapsed="false" customWidth="true" hidden="false" outlineLevel="0" max="8" min="8" style="2" width="23.07"/>
    <col collapsed="false" customWidth="false" hidden="false" outlineLevel="0" max="16384" min="9" style="2" width="11.53"/>
  </cols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3" t="s">
        <v>1</v>
      </c>
      <c r="B2" s="4" t="s">
        <v>2</v>
      </c>
      <c r="C2" s="4" t="s">
        <v>3</v>
      </c>
    </row>
    <row r="3" customFormat="false" ht="15" hidden="false" customHeight="false" outlineLevel="0" collapsed="false">
      <c r="A3" s="3" t="n">
        <v>0</v>
      </c>
      <c r="B3" s="5" t="s">
        <v>4</v>
      </c>
      <c r="C3" s="6" t="s">
        <v>5</v>
      </c>
      <c r="H3" s="1"/>
      <c r="I3" s="1"/>
    </row>
    <row r="4" customFormat="false" ht="15" hidden="false" customHeight="false" outlineLevel="0" collapsed="false">
      <c r="A4" s="3" t="n">
        <v>1</v>
      </c>
      <c r="B4" s="5" t="s">
        <v>6</v>
      </c>
      <c r="C4" s="6" t="s">
        <v>7</v>
      </c>
      <c r="H4" s="1"/>
      <c r="I4" s="1"/>
    </row>
    <row r="5" customFormat="false" ht="15" hidden="false" customHeight="false" outlineLevel="0" collapsed="false">
      <c r="A5" s="3" t="n">
        <v>2</v>
      </c>
      <c r="B5" s="5" t="s">
        <v>8</v>
      </c>
      <c r="C5" s="6" t="s">
        <v>9</v>
      </c>
      <c r="H5" s="1"/>
      <c r="I5" s="1"/>
    </row>
    <row r="6" customFormat="false" ht="15" hidden="false" customHeight="false" outlineLevel="0" collapsed="false">
      <c r="A6" s="3" t="n">
        <v>3</v>
      </c>
      <c r="B6" s="5" t="s">
        <v>10</v>
      </c>
      <c r="C6" s="6" t="s">
        <v>11</v>
      </c>
      <c r="H6" s="1"/>
      <c r="I6" s="1"/>
    </row>
    <row r="7" customFormat="false" ht="15" hidden="false" customHeight="false" outlineLevel="0" collapsed="false">
      <c r="A7" s="3" t="n">
        <v>4</v>
      </c>
      <c r="B7" s="5" t="s">
        <v>12</v>
      </c>
      <c r="C7" s="6" t="s">
        <v>13</v>
      </c>
      <c r="H7" s="1"/>
      <c r="I7" s="1"/>
    </row>
    <row r="8" customFormat="false" ht="15" hidden="false" customHeight="false" outlineLevel="0" collapsed="false">
      <c r="A8" s="3" t="n">
        <v>5</v>
      </c>
      <c r="B8" s="5" t="s">
        <v>14</v>
      </c>
      <c r="C8" s="6" t="s">
        <v>15</v>
      </c>
      <c r="H8" s="1"/>
      <c r="I8" s="1"/>
    </row>
    <row r="9" customFormat="false" ht="15" hidden="false" customHeight="false" outlineLevel="0" collapsed="false">
      <c r="A9" s="3" t="n">
        <v>6</v>
      </c>
      <c r="B9" s="5" t="s">
        <v>16</v>
      </c>
      <c r="C9" s="6" t="n">
        <v>14500</v>
      </c>
      <c r="H9" s="1"/>
      <c r="I9" s="1"/>
    </row>
    <row r="10" customFormat="false" ht="15" hidden="false" customHeight="false" outlineLevel="0" collapsed="false">
      <c r="A10" s="3" t="n">
        <v>7</v>
      </c>
      <c r="B10" s="5" t="s">
        <v>17</v>
      </c>
      <c r="C10" s="6" t="n">
        <v>14900</v>
      </c>
      <c r="H10" s="1"/>
      <c r="I10" s="1"/>
    </row>
    <row r="11" customFormat="false" ht="15" hidden="false" customHeight="false" outlineLevel="0" collapsed="false">
      <c r="A11" s="3" t="n">
        <v>8</v>
      </c>
      <c r="B11" s="5" t="s">
        <v>18</v>
      </c>
      <c r="C11" s="6" t="s">
        <v>19</v>
      </c>
      <c r="H11" s="1"/>
      <c r="I11" s="1"/>
    </row>
    <row r="12" customFormat="false" ht="15" hidden="false" customHeight="false" outlineLevel="0" collapsed="false">
      <c r="A12" s="3" t="n">
        <v>9</v>
      </c>
      <c r="B12" s="5" t="s">
        <v>20</v>
      </c>
      <c r="C12" s="6" t="s">
        <v>21</v>
      </c>
      <c r="H12" s="1"/>
      <c r="I12" s="1"/>
    </row>
    <row r="13" customFormat="false" ht="15" hidden="false" customHeight="false" outlineLevel="0" collapsed="false">
      <c r="A13" s="3" t="n">
        <v>10</v>
      </c>
      <c r="B13" s="5" t="s">
        <v>22</v>
      </c>
      <c r="C13" s="6" t="s">
        <v>23</v>
      </c>
      <c r="H13" s="1"/>
      <c r="I13" s="1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</row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50" activeCellId="0" sqref="F5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22"/>
    <col collapsed="false" customWidth="true" hidden="false" outlineLevel="0" max="2" min="2" style="0" width="57.66"/>
    <col collapsed="false" customWidth="true" hidden="false" outlineLevel="0" max="4" min="4" style="0" width="13.84"/>
  </cols>
  <sheetData>
    <row r="1" customFormat="false" ht="12.8" hidden="false" customHeight="false" outlineLevel="0" collapsed="false">
      <c r="A1" s="0" t="s">
        <v>24</v>
      </c>
    </row>
    <row r="2" customFormat="false" ht="12.8" hidden="false" customHeight="false" outlineLevel="0" collapsed="false">
      <c r="A2" s="0" t="s">
        <v>25</v>
      </c>
    </row>
    <row r="3" customFormat="false" ht="12.8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</row>
    <row r="4" customFormat="false" ht="12.8" hidden="false" customHeight="false" outlineLevel="0" collapsed="false">
      <c r="A4" s="0" t="n">
        <v>0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e">
        <f aca="false"> prior_grant × (1 + Inflation + FMW_Phase_Rate)</f>
        <v>#N/A</v>
      </c>
    </row>
    <row r="5" customFormat="false" ht="12.8" hidden="false" customHeight="false" outlineLevel="0" collapsed="false">
      <c r="A5" s="0" t="n">
        <v>1</v>
      </c>
      <c r="B5" s="0" t="s">
        <v>40</v>
      </c>
      <c r="C5" s="0" t="s">
        <v>41</v>
      </c>
      <c r="D5" s="0" t="s">
        <v>42</v>
      </c>
      <c r="E5" s="0" t="s">
        <v>43</v>
      </c>
      <c r="F5" s="0" t="s">
        <v>44</v>
      </c>
      <c r="G5" s="0" t="s">
        <v>45</v>
      </c>
      <c r="H5" s="0" t="e">
        <f aca="false"> prior × (1 + Phase_In_Progress + Revenue_Cap_Adjustment)</f>
        <v>#N/A</v>
      </c>
    </row>
    <row r="6" customFormat="false" ht="12.8" hidden="false" customHeight="false" outlineLevel="0" collapsed="false">
      <c r="A6" s="0" t="n">
        <v>2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51</v>
      </c>
      <c r="H6" s="0" t="e">
        <f aca="false"> prior_value × (1 + FMW_Annual_Increase_%)</f>
        <v>#N/A</v>
      </c>
    </row>
    <row r="7" customFormat="false" ht="12.8" hidden="false" customHeight="false" outlineLevel="0" collapsed="false">
      <c r="A7" s="0" t="n">
        <v>3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e">
        <f aca="false"> prior_outlay × (1 + Inflation − FMW_Employment_Effect + Robot_Recycle_Rate)</f>
        <v>#N/A</v>
      </c>
    </row>
    <row r="8" customFormat="false" ht="12.8" hidden="false" customHeight="false" outlineLevel="0" collapsed="false">
      <c r="A8" s="0" t="n">
        <v>4</v>
      </c>
      <c r="B8" s="0" t="s">
        <v>58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63</v>
      </c>
      <c r="H8" s="0" t="e">
        <f aca="false"> prior_inlay × (1 + Revenue_Growth + Credit_Redirect_Phase + Tariff_Growth)</f>
        <v>#N/A</v>
      </c>
    </row>
    <row r="9" customFormat="false" ht="12.8" hidden="false" customHeight="false" outlineLevel="0" collapsed="false">
      <c r="A9" s="0" t="n">
        <v>5</v>
      </c>
      <c r="B9" s="0" t="s">
        <v>64</v>
      </c>
      <c r="C9" s="0" t="s">
        <v>65</v>
      </c>
      <c r="D9" s="0" t="s">
        <v>66</v>
      </c>
      <c r="E9" s="0" t="s">
        <v>67</v>
      </c>
      <c r="F9" s="0" t="s">
        <v>68</v>
      </c>
      <c r="G9" s="0" t="s">
        <v>69</v>
      </c>
      <c r="H9" s="0" t="s">
        <v>70</v>
      </c>
    </row>
    <row r="10" customFormat="false" ht="12.8" hidden="false" customHeight="false" outlineLevel="0" collapsed="false">
      <c r="A10" s="0" t="n">
        <v>6</v>
      </c>
      <c r="B10" s="0" t="s">
        <v>71</v>
      </c>
      <c r="C10" s="0" t="s">
        <v>72</v>
      </c>
      <c r="D10" s="0" t="s">
        <v>73</v>
      </c>
      <c r="E10" s="0" t="s">
        <v>74</v>
      </c>
      <c r="F10" s="0" t="s">
        <v>75</v>
      </c>
      <c r="G10" s="0" t="s">
        <v>76</v>
      </c>
      <c r="H10" s="0" t="e">
        <f aca="false"> prior × (1 − Annual_Behavioral_Savings + ILLER_Impact)</f>
        <v>#N/A</v>
      </c>
    </row>
    <row r="11" customFormat="false" ht="12.8" hidden="false" customHeight="false" outlineLevel="0" collapsed="false">
      <c r="A11" s="0" t="n">
        <v>7</v>
      </c>
      <c r="B11" s="0" t="s">
        <v>77</v>
      </c>
      <c r="C11" s="0" t="s">
        <v>78</v>
      </c>
      <c r="D11" s="0" t="s">
        <v>79</v>
      </c>
      <c r="E11" s="0" t="s">
        <v>80</v>
      </c>
      <c r="F11" s="0" t="s">
        <v>81</v>
      </c>
      <c r="G11" s="0" t="s">
        <v>82</v>
      </c>
      <c r="H11" s="0" t="e">
        <f aca="false"> prior × (1 + FMW_Regional_Increase_%)</f>
        <v>#N/A</v>
      </c>
    </row>
    <row r="12" customFormat="false" ht="12.8" hidden="false" customHeight="false" outlineLevel="0" collapsed="false">
      <c r="A12" s="0" t="n">
        <v>8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88</v>
      </c>
      <c r="H12" s="0" t="e">
        <f aca="false"> prior × (1 − Annual_Compliance_Improvement)</f>
        <v>#N/A</v>
      </c>
    </row>
    <row r="13" customFormat="false" ht="12.8" hidden="false" customHeight="false" outlineLevel="0" collapsed="false">
      <c r="A13" s="0" t="n">
        <v>9</v>
      </c>
      <c r="B13" s="0" t="s">
        <v>89</v>
      </c>
      <c r="C13" s="0" t="s">
        <v>90</v>
      </c>
      <c r="D13" s="0" t="s">
        <v>91</v>
      </c>
      <c r="E13" s="0" t="s">
        <v>92</v>
      </c>
      <c r="F13" s="0" t="s">
        <v>93</v>
      </c>
      <c r="G13" s="0" t="s">
        <v>94</v>
      </c>
      <c r="H13" s="0" t="s">
        <v>95</v>
      </c>
    </row>
    <row r="14" customFormat="false" ht="12.8" hidden="false" customHeight="false" outlineLevel="0" collapsed="false">
      <c r="A14" s="0" t="n">
        <v>10</v>
      </c>
      <c r="B14" s="0" t="s">
        <v>96</v>
      </c>
      <c r="C14" s="0" t="s">
        <v>97</v>
      </c>
      <c r="D14" s="0" t="s">
        <v>98</v>
      </c>
      <c r="E14" s="0" t="s">
        <v>99</v>
      </c>
      <c r="F14" s="0" t="s">
        <v>100</v>
      </c>
      <c r="G14" s="0" t="s">
        <v>101</v>
      </c>
      <c r="H14" s="0" t="e">
        <f aca="false"> prior × (1 + Automation_Growth + Phase_In_Progress)</f>
        <v>#N/A</v>
      </c>
    </row>
    <row r="15" customFormat="false" ht="12.8" hidden="false" customHeight="false" outlineLevel="0" collapsed="false">
      <c r="A15" s="0" t="n">
        <v>11</v>
      </c>
      <c r="B15" s="0" t="s">
        <v>102</v>
      </c>
      <c r="C15" s="0" t="s">
        <v>103</v>
      </c>
      <c r="D15" s="0" t="s">
        <v>104</v>
      </c>
      <c r="E15" s="0" t="s">
        <v>105</v>
      </c>
      <c r="F15" s="0" t="s">
        <v>106</v>
      </c>
      <c r="G15" s="0" t="s">
        <v>45</v>
      </c>
      <c r="H15" s="0" t="e">
        <f aca="false"> prior × Phase_In_Progress_This_Year</f>
        <v>#N/A</v>
      </c>
    </row>
    <row r="16" customFormat="false" ht="12.8" hidden="false" customHeight="false" outlineLevel="0" collapsed="false">
      <c r="A16" s="0" t="n">
        <v>12</v>
      </c>
      <c r="B16" s="0" t="s">
        <v>107</v>
      </c>
      <c r="C16" s="0" t="s">
        <v>108</v>
      </c>
      <c r="D16" s="0" t="s">
        <v>109</v>
      </c>
      <c r="E16" s="0" t="s">
        <v>110</v>
      </c>
      <c r="F16" s="0" t="s">
        <v>111</v>
      </c>
      <c r="G16" s="0" t="s">
        <v>112</v>
      </c>
      <c r="H16" s="0" t="e">
        <f aca="false"> prior_cob × (1 - Annual_Profit_Growth_Rate)</f>
        <v>#N/A</v>
      </c>
    </row>
    <row r="17" customFormat="false" ht="12.8" hidden="false" customHeight="false" outlineLevel="0" collapsed="false">
      <c r="A17" s="0" t="n">
        <v>13</v>
      </c>
      <c r="B17" s="0" t="s">
        <v>113</v>
      </c>
      <c r="C17" s="0" t="s">
        <v>114</v>
      </c>
      <c r="D17" s="0" t="s">
        <v>115</v>
      </c>
      <c r="E17" s="0" t="s">
        <v>116</v>
      </c>
      <c r="F17" s="0" t="s">
        <v>117</v>
      </c>
      <c r="G17" s="0" t="s">
        <v>118</v>
      </c>
      <c r="H17" s="0" t="s">
        <v>119</v>
      </c>
    </row>
    <row r="18" customFormat="false" ht="12.8" hidden="false" customHeight="false" outlineLevel="0" collapsed="false">
      <c r="A18" s="0" t="n">
        <v>14</v>
      </c>
      <c r="B18" s="0" t="s">
        <v>120</v>
      </c>
      <c r="C18" s="0" t="s">
        <v>121</v>
      </c>
      <c r="D18" s="0" t="s">
        <v>122</v>
      </c>
      <c r="E18" s="0" t="s">
        <v>123</v>
      </c>
      <c r="F18" s="0" t="s">
        <v>124</v>
      </c>
      <c r="G18" s="0" t="s">
        <v>125</v>
      </c>
      <c r="H18" s="0" t="e">
        <f aca="false"> prior_net × (1 - Annual_Transition_Accel + ILLER_Savings)</f>
        <v>#N/A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F25" activeCellId="0" sqref="AF25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2" width="11.53"/>
  </cols>
  <sheetData>
    <row r="2" customFormat="false" ht="12.8" hidden="false" customHeight="false" outlineLevel="0" collapsed="false">
      <c r="A2" s="3" t="n">
        <v>1</v>
      </c>
      <c r="B2" s="3" t="s">
        <v>126</v>
      </c>
    </row>
    <row r="3" customFormat="false" ht="57.45" hidden="false" customHeight="false" outlineLevel="0" collapsed="false">
      <c r="A3" s="8" t="s">
        <v>127</v>
      </c>
      <c r="B3" s="8" t="s">
        <v>128</v>
      </c>
      <c r="C3" s="8" t="s">
        <v>129</v>
      </c>
      <c r="D3" s="8" t="s">
        <v>130</v>
      </c>
      <c r="E3" s="8" t="s">
        <v>131</v>
      </c>
      <c r="F3" s="8" t="s">
        <v>132</v>
      </c>
      <c r="G3" s="8" t="s">
        <v>133</v>
      </c>
      <c r="H3" s="8" t="s">
        <v>131</v>
      </c>
      <c r="I3" s="8" t="s">
        <v>132</v>
      </c>
    </row>
    <row r="4" customFormat="false" ht="57.45" hidden="false" customHeight="false" outlineLevel="0" collapsed="false">
      <c r="A4" s="9" t="s">
        <v>134</v>
      </c>
      <c r="B4" s="9" t="s">
        <v>135</v>
      </c>
      <c r="C4" s="9" t="s">
        <v>136</v>
      </c>
      <c r="D4" s="9" t="s">
        <v>137</v>
      </c>
      <c r="E4" s="9" t="s">
        <v>138</v>
      </c>
      <c r="F4" s="9" t="s">
        <v>139</v>
      </c>
      <c r="G4" s="9" t="s">
        <v>140</v>
      </c>
      <c r="H4" s="9" t="s">
        <v>141</v>
      </c>
      <c r="I4" s="9" t="s">
        <v>142</v>
      </c>
    </row>
    <row r="5" customFormat="false" ht="57.45" hidden="false" customHeight="false" outlineLevel="0" collapsed="false">
      <c r="A5" s="9" t="s">
        <v>143</v>
      </c>
      <c r="B5" s="9" t="s">
        <v>144</v>
      </c>
      <c r="C5" s="9" t="s">
        <v>145</v>
      </c>
      <c r="D5" s="9" t="s">
        <v>146</v>
      </c>
      <c r="E5" s="9" t="s">
        <v>147</v>
      </c>
      <c r="F5" s="9" t="s">
        <v>148</v>
      </c>
      <c r="G5" s="9" t="s">
        <v>149</v>
      </c>
      <c r="H5" s="9" t="s">
        <v>150</v>
      </c>
      <c r="I5" s="9" t="s">
        <v>151</v>
      </c>
    </row>
    <row r="6" customFormat="false" ht="57.45" hidden="false" customHeight="false" outlineLevel="0" collapsed="false">
      <c r="A6" s="9" t="s">
        <v>152</v>
      </c>
      <c r="B6" s="9" t="s">
        <v>153</v>
      </c>
      <c r="C6" s="9" t="s">
        <v>154</v>
      </c>
      <c r="D6" s="9" t="s">
        <v>140</v>
      </c>
      <c r="E6" s="9" t="s">
        <v>155</v>
      </c>
      <c r="F6" s="9" t="s">
        <v>156</v>
      </c>
      <c r="G6" s="9" t="s">
        <v>157</v>
      </c>
      <c r="H6" s="9" t="s">
        <v>158</v>
      </c>
      <c r="I6" s="9" t="s">
        <v>159</v>
      </c>
    </row>
    <row r="7" customFormat="false" ht="45.75" hidden="false" customHeight="false" outlineLevel="0" collapsed="false">
      <c r="A7" s="9" t="s">
        <v>160</v>
      </c>
      <c r="B7" s="9" t="s">
        <v>161</v>
      </c>
      <c r="C7" s="9" t="s">
        <v>162</v>
      </c>
      <c r="D7" s="9" t="s">
        <v>163</v>
      </c>
      <c r="E7" s="9" t="s">
        <v>164</v>
      </c>
      <c r="F7" s="9" t="s">
        <v>165</v>
      </c>
      <c r="G7" s="9" t="s">
        <v>166</v>
      </c>
      <c r="H7" s="9" t="s">
        <v>167</v>
      </c>
      <c r="I7" s="9" t="s">
        <v>168</v>
      </c>
    </row>
    <row r="8" customFormat="false" ht="45.75" hidden="false" customHeight="false" outlineLevel="0" collapsed="false">
      <c r="A8" s="9" t="s">
        <v>169</v>
      </c>
      <c r="B8" s="9" t="s">
        <v>170</v>
      </c>
      <c r="C8" s="9" t="s">
        <v>171</v>
      </c>
      <c r="D8" s="9" t="s">
        <v>172</v>
      </c>
      <c r="E8" s="9" t="s">
        <v>173</v>
      </c>
      <c r="F8" s="9" t="s">
        <v>174</v>
      </c>
      <c r="G8" s="9" t="s">
        <v>175</v>
      </c>
      <c r="H8" s="9" t="s">
        <v>176</v>
      </c>
      <c r="I8" s="9" t="s">
        <v>177</v>
      </c>
    </row>
    <row r="9" customFormat="false" ht="45.75" hidden="false" customHeight="false" outlineLevel="0" collapsed="false">
      <c r="A9" s="9" t="s">
        <v>178</v>
      </c>
      <c r="B9" s="9" t="s">
        <v>179</v>
      </c>
      <c r="C9" s="9" t="s">
        <v>180</v>
      </c>
      <c r="D9" s="9" t="s">
        <v>181</v>
      </c>
      <c r="E9" s="9" t="s">
        <v>182</v>
      </c>
      <c r="F9" s="9" t="s">
        <v>183</v>
      </c>
      <c r="G9" s="9" t="s">
        <v>184</v>
      </c>
      <c r="H9" s="9" t="s">
        <v>185</v>
      </c>
      <c r="I9" s="9" t="s">
        <v>186</v>
      </c>
    </row>
    <row r="10" customFormat="false" ht="45.75" hidden="false" customHeight="false" outlineLevel="0" collapsed="false">
      <c r="A10" s="9" t="s">
        <v>187</v>
      </c>
      <c r="B10" s="9" t="s">
        <v>188</v>
      </c>
      <c r="C10" s="9" t="s">
        <v>189</v>
      </c>
      <c r="D10" s="9" t="s">
        <v>190</v>
      </c>
      <c r="E10" s="9" t="s">
        <v>191</v>
      </c>
      <c r="F10" s="9" t="s">
        <v>192</v>
      </c>
      <c r="G10" s="9" t="s">
        <v>193</v>
      </c>
      <c r="H10" s="9" t="s">
        <v>194</v>
      </c>
      <c r="I10" s="9" t="s">
        <v>177</v>
      </c>
    </row>
    <row r="11" customFormat="false" ht="45.75" hidden="false" customHeight="false" outlineLevel="0" collapsed="false">
      <c r="A11" s="9" t="s">
        <v>195</v>
      </c>
      <c r="B11" s="9" t="s">
        <v>196</v>
      </c>
      <c r="C11" s="9" t="s">
        <v>197</v>
      </c>
      <c r="D11" s="9" t="s">
        <v>198</v>
      </c>
      <c r="E11" s="9" t="s">
        <v>199</v>
      </c>
      <c r="F11" s="9" t="s">
        <v>200</v>
      </c>
      <c r="G11" s="9" t="s">
        <v>201</v>
      </c>
      <c r="H11" s="9" t="s">
        <v>202</v>
      </c>
      <c r="I11" s="9" t="s">
        <v>203</v>
      </c>
    </row>
    <row r="12" customFormat="false" ht="45.75" hidden="false" customHeight="false" outlineLevel="0" collapsed="false">
      <c r="A12" s="9" t="s">
        <v>204</v>
      </c>
      <c r="B12" s="9" t="s">
        <v>205</v>
      </c>
      <c r="C12" s="9" t="s">
        <v>206</v>
      </c>
      <c r="D12" s="9" t="s">
        <v>207</v>
      </c>
      <c r="E12" s="9" t="s">
        <v>208</v>
      </c>
      <c r="F12" s="9" t="s">
        <v>209</v>
      </c>
      <c r="G12" s="9" t="s">
        <v>210</v>
      </c>
      <c r="H12" s="9" t="s">
        <v>211</v>
      </c>
      <c r="I12" s="9" t="s">
        <v>212</v>
      </c>
    </row>
    <row r="13" customFormat="false" ht="79.85" hidden="false" customHeight="false" outlineLevel="0" collapsed="false">
      <c r="A13" s="9" t="s">
        <v>213</v>
      </c>
      <c r="B13" s="9" t="s">
        <v>214</v>
      </c>
      <c r="C13" s="9" t="s">
        <v>215</v>
      </c>
      <c r="D13" s="9" t="s">
        <v>216</v>
      </c>
      <c r="E13" s="9" t="s">
        <v>217</v>
      </c>
      <c r="F13" s="9" t="s">
        <v>218</v>
      </c>
      <c r="G13" s="9" t="s">
        <v>219</v>
      </c>
      <c r="H13" s="9" t="s">
        <v>220</v>
      </c>
      <c r="I13" s="9" t="s">
        <v>218</v>
      </c>
    </row>
    <row r="15" customFormat="false" ht="12.8" hidden="false" customHeight="false" outlineLevel="0" collapsed="false">
      <c r="A15" s="3" t="n">
        <v>2</v>
      </c>
      <c r="B15" s="3" t="s">
        <v>221</v>
      </c>
    </row>
    <row r="16" customFormat="false" ht="57.45" hidden="false" customHeight="false" outlineLevel="0" collapsed="false">
      <c r="A16" s="8" t="s">
        <v>222</v>
      </c>
      <c r="B16" s="8" t="s">
        <v>128</v>
      </c>
      <c r="C16" s="8" t="s">
        <v>223</v>
      </c>
      <c r="D16" s="8" t="s">
        <v>224</v>
      </c>
      <c r="E16" s="8" t="s">
        <v>225</v>
      </c>
      <c r="F16" s="8" t="s">
        <v>226</v>
      </c>
    </row>
    <row r="17" customFormat="false" ht="45.75" hidden="false" customHeight="false" outlineLevel="0" collapsed="false">
      <c r="A17" s="9" t="s">
        <v>134</v>
      </c>
      <c r="B17" s="9" t="s">
        <v>135</v>
      </c>
      <c r="C17" s="9" t="s">
        <v>227</v>
      </c>
      <c r="D17" s="9" t="s">
        <v>228</v>
      </c>
      <c r="E17" s="9" t="s">
        <v>229</v>
      </c>
      <c r="F17" s="9" t="s">
        <v>230</v>
      </c>
    </row>
    <row r="18" customFormat="false" ht="45.75" hidden="false" customHeight="false" outlineLevel="0" collapsed="false">
      <c r="A18" s="9" t="s">
        <v>143</v>
      </c>
      <c r="B18" s="9" t="s">
        <v>144</v>
      </c>
      <c r="C18" s="9" t="s">
        <v>231</v>
      </c>
      <c r="D18" s="9" t="s">
        <v>232</v>
      </c>
      <c r="E18" s="9" t="s">
        <v>233</v>
      </c>
      <c r="F18" s="9" t="s">
        <v>234</v>
      </c>
    </row>
    <row r="19" customFormat="false" ht="45.75" hidden="false" customHeight="false" outlineLevel="0" collapsed="false">
      <c r="A19" s="9" t="s">
        <v>152</v>
      </c>
      <c r="B19" s="9" t="s">
        <v>153</v>
      </c>
      <c r="C19" s="9" t="s">
        <v>235</v>
      </c>
      <c r="D19" s="9" t="s">
        <v>236</v>
      </c>
      <c r="E19" s="9" t="s">
        <v>237</v>
      </c>
      <c r="F19" s="9" t="s">
        <v>230</v>
      </c>
    </row>
    <row r="20" customFormat="false" ht="45.75" hidden="false" customHeight="false" outlineLevel="0" collapsed="false">
      <c r="A20" s="9" t="s">
        <v>160</v>
      </c>
      <c r="B20" s="9" t="s">
        <v>161</v>
      </c>
      <c r="C20" s="9" t="s">
        <v>238</v>
      </c>
      <c r="D20" s="9" t="s">
        <v>239</v>
      </c>
      <c r="E20" s="9" t="s">
        <v>240</v>
      </c>
      <c r="F20" s="9" t="s">
        <v>241</v>
      </c>
    </row>
    <row r="21" customFormat="false" ht="45.75" hidden="false" customHeight="false" outlineLevel="0" collapsed="false">
      <c r="A21" s="9" t="s">
        <v>169</v>
      </c>
      <c r="B21" s="9" t="s">
        <v>170</v>
      </c>
      <c r="C21" s="9" t="s">
        <v>242</v>
      </c>
      <c r="D21" s="9" t="s">
        <v>243</v>
      </c>
      <c r="E21" s="9" t="s">
        <v>244</v>
      </c>
      <c r="F21" s="9" t="s">
        <v>234</v>
      </c>
    </row>
    <row r="22" customFormat="false" ht="34.8" hidden="false" customHeight="false" outlineLevel="0" collapsed="false">
      <c r="A22" s="9" t="s">
        <v>178</v>
      </c>
      <c r="B22" s="9" t="s">
        <v>179</v>
      </c>
      <c r="C22" s="9" t="s">
        <v>245</v>
      </c>
      <c r="D22" s="9" t="s">
        <v>246</v>
      </c>
      <c r="E22" s="9" t="s">
        <v>247</v>
      </c>
      <c r="F22" s="9" t="s">
        <v>230</v>
      </c>
    </row>
    <row r="23" customFormat="false" ht="23.85" hidden="false" customHeight="false" outlineLevel="0" collapsed="false">
      <c r="A23" s="9" t="s">
        <v>187</v>
      </c>
      <c r="B23" s="9" t="s">
        <v>188</v>
      </c>
      <c r="C23" s="9" t="s">
        <v>248</v>
      </c>
      <c r="D23" s="9" t="s">
        <v>249</v>
      </c>
      <c r="E23" s="9" t="s">
        <v>250</v>
      </c>
      <c r="F23" s="9" t="s">
        <v>251</v>
      </c>
    </row>
    <row r="24" customFormat="false" ht="34.8" hidden="false" customHeight="false" outlineLevel="0" collapsed="false">
      <c r="A24" s="9" t="s">
        <v>195</v>
      </c>
      <c r="B24" s="9" t="s">
        <v>196</v>
      </c>
      <c r="C24" s="9" t="s">
        <v>252</v>
      </c>
      <c r="D24" s="9" t="s">
        <v>253</v>
      </c>
      <c r="E24" s="9" t="s">
        <v>254</v>
      </c>
      <c r="F24" s="9" t="s">
        <v>255</v>
      </c>
    </row>
    <row r="25" customFormat="false" ht="34.8" hidden="false" customHeight="false" outlineLevel="0" collapsed="false">
      <c r="A25" s="9" t="s">
        <v>204</v>
      </c>
      <c r="B25" s="9" t="s">
        <v>205</v>
      </c>
      <c r="C25" s="9" t="s">
        <v>256</v>
      </c>
      <c r="D25" s="9" t="s">
        <v>257</v>
      </c>
      <c r="E25" s="9" t="s">
        <v>258</v>
      </c>
      <c r="F25" s="9" t="s">
        <v>234</v>
      </c>
    </row>
    <row r="26" customFormat="false" ht="34.8" hidden="false" customHeight="false" outlineLevel="0" collapsed="false">
      <c r="A26" s="9" t="s">
        <v>213</v>
      </c>
      <c r="B26" s="9" t="s">
        <v>259</v>
      </c>
      <c r="C26" s="9" t="s">
        <v>260</v>
      </c>
      <c r="D26" s="9" t="s">
        <v>261</v>
      </c>
      <c r="E26" s="9" t="s">
        <v>259</v>
      </c>
      <c r="F26" s="9" t="s">
        <v>262</v>
      </c>
    </row>
    <row r="28" customFormat="false" ht="12.8" hidden="false" customHeight="false" outlineLevel="0" collapsed="false">
      <c r="A28" s="3" t="n">
        <v>3</v>
      </c>
      <c r="B28" s="3" t="s">
        <v>263</v>
      </c>
    </row>
    <row r="29" customFormat="false" ht="45.75" hidden="false" customHeight="false" outlineLevel="0" collapsed="false">
      <c r="A29" s="8" t="s">
        <v>222</v>
      </c>
      <c r="B29" s="8" t="s">
        <v>128</v>
      </c>
      <c r="C29" s="8" t="s">
        <v>264</v>
      </c>
      <c r="D29" s="8" t="s">
        <v>265</v>
      </c>
      <c r="E29" s="8" t="s">
        <v>266</v>
      </c>
      <c r="F29" s="8" t="s">
        <v>226</v>
      </c>
    </row>
    <row r="30" customFormat="false" ht="34.8" hidden="false" customHeight="false" outlineLevel="0" collapsed="false">
      <c r="A30" s="9" t="s">
        <v>134</v>
      </c>
      <c r="B30" s="9" t="s">
        <v>135</v>
      </c>
      <c r="C30" s="9" t="s">
        <v>267</v>
      </c>
      <c r="D30" s="9" t="s">
        <v>268</v>
      </c>
      <c r="E30" s="9" t="s">
        <v>269</v>
      </c>
      <c r="F30" s="9" t="s">
        <v>270</v>
      </c>
    </row>
    <row r="31" customFormat="false" ht="45.75" hidden="false" customHeight="false" outlineLevel="0" collapsed="false">
      <c r="A31" s="9" t="s">
        <v>143</v>
      </c>
      <c r="B31" s="9" t="s">
        <v>144</v>
      </c>
      <c r="C31" s="9" t="s">
        <v>232</v>
      </c>
      <c r="D31" s="9" t="s">
        <v>271</v>
      </c>
      <c r="E31" s="9" t="s">
        <v>272</v>
      </c>
      <c r="F31" s="9" t="s">
        <v>251</v>
      </c>
    </row>
    <row r="32" customFormat="false" ht="34.8" hidden="false" customHeight="false" outlineLevel="0" collapsed="false">
      <c r="A32" s="9" t="s">
        <v>152</v>
      </c>
      <c r="B32" s="9" t="s">
        <v>153</v>
      </c>
      <c r="C32" s="9" t="s">
        <v>249</v>
      </c>
      <c r="D32" s="9" t="s">
        <v>273</v>
      </c>
      <c r="E32" s="9" t="s">
        <v>274</v>
      </c>
      <c r="F32" s="9" t="s">
        <v>275</v>
      </c>
    </row>
    <row r="33" customFormat="false" ht="34.8" hidden="false" customHeight="false" outlineLevel="0" collapsed="false">
      <c r="A33" s="9" t="s">
        <v>160</v>
      </c>
      <c r="B33" s="9" t="s">
        <v>161</v>
      </c>
      <c r="C33" s="9" t="s">
        <v>231</v>
      </c>
      <c r="D33" s="9" t="s">
        <v>232</v>
      </c>
      <c r="E33" s="9" t="s">
        <v>276</v>
      </c>
      <c r="F33" s="9" t="s">
        <v>241</v>
      </c>
    </row>
    <row r="34" customFormat="false" ht="34.8" hidden="false" customHeight="false" outlineLevel="0" collapsed="false">
      <c r="A34" s="9" t="s">
        <v>169</v>
      </c>
      <c r="B34" s="9" t="s">
        <v>170</v>
      </c>
      <c r="C34" s="9" t="s">
        <v>235</v>
      </c>
      <c r="D34" s="9" t="s">
        <v>267</v>
      </c>
      <c r="E34" s="9" t="s">
        <v>277</v>
      </c>
      <c r="F34" s="9" t="s">
        <v>234</v>
      </c>
    </row>
    <row r="35" customFormat="false" ht="34.8" hidden="false" customHeight="false" outlineLevel="0" collapsed="false">
      <c r="A35" s="9" t="s">
        <v>178</v>
      </c>
      <c r="B35" s="9" t="s">
        <v>179</v>
      </c>
      <c r="C35" s="9" t="s">
        <v>278</v>
      </c>
      <c r="D35" s="9" t="s">
        <v>279</v>
      </c>
      <c r="E35" s="9" t="s">
        <v>280</v>
      </c>
      <c r="F35" s="9" t="s">
        <v>281</v>
      </c>
    </row>
    <row r="36" customFormat="false" ht="23.85" hidden="false" customHeight="false" outlineLevel="0" collapsed="false">
      <c r="A36" s="9" t="s">
        <v>187</v>
      </c>
      <c r="B36" s="9" t="s">
        <v>188</v>
      </c>
      <c r="C36" s="9" t="s">
        <v>257</v>
      </c>
      <c r="D36" s="9" t="s">
        <v>282</v>
      </c>
      <c r="E36" s="9" t="s">
        <v>283</v>
      </c>
      <c r="F36" s="9" t="s">
        <v>251</v>
      </c>
    </row>
    <row r="37" customFormat="false" ht="34.8" hidden="false" customHeight="false" outlineLevel="0" collapsed="false">
      <c r="A37" s="9" t="s">
        <v>195</v>
      </c>
      <c r="B37" s="9" t="s">
        <v>196</v>
      </c>
      <c r="C37" s="9" t="s">
        <v>284</v>
      </c>
      <c r="D37" s="9" t="s">
        <v>285</v>
      </c>
      <c r="E37" s="9" t="s">
        <v>286</v>
      </c>
      <c r="F37" s="9" t="s">
        <v>287</v>
      </c>
    </row>
    <row r="38" customFormat="false" ht="34.8" hidden="false" customHeight="false" outlineLevel="0" collapsed="false">
      <c r="A38" s="9" t="s">
        <v>204</v>
      </c>
      <c r="B38" s="9" t="s">
        <v>205</v>
      </c>
      <c r="C38" s="9" t="s">
        <v>239</v>
      </c>
      <c r="D38" s="9" t="s">
        <v>249</v>
      </c>
      <c r="E38" s="9" t="s">
        <v>288</v>
      </c>
      <c r="F38" s="9" t="s">
        <v>234</v>
      </c>
    </row>
    <row r="39" customFormat="false" ht="45.75" hidden="false" customHeight="false" outlineLevel="0" collapsed="false">
      <c r="A39" s="9" t="s">
        <v>213</v>
      </c>
      <c r="B39" s="9" t="s">
        <v>259</v>
      </c>
      <c r="C39" s="9" t="s">
        <v>289</v>
      </c>
      <c r="D39" s="9" t="s">
        <v>290</v>
      </c>
      <c r="E39" s="9" t="s">
        <v>259</v>
      </c>
      <c r="F39" s="9" t="s">
        <v>291</v>
      </c>
    </row>
    <row r="41" customFormat="false" ht="12.8" hidden="false" customHeight="false" outlineLevel="0" collapsed="false">
      <c r="A41" s="10" t="n">
        <v>4</v>
      </c>
      <c r="B41" s="10" t="s">
        <v>292</v>
      </c>
    </row>
    <row r="42" customFormat="false" ht="68.65" hidden="false" customHeight="false" outlineLevel="0" collapsed="false">
      <c r="A42" s="8" t="s">
        <v>293</v>
      </c>
      <c r="B42" s="8" t="s">
        <v>294</v>
      </c>
      <c r="C42" s="8" t="s">
        <v>295</v>
      </c>
      <c r="D42" s="8" t="s">
        <v>296</v>
      </c>
      <c r="E42" s="8" t="s">
        <v>297</v>
      </c>
      <c r="F42" s="8" t="s">
        <v>298</v>
      </c>
      <c r="G42" s="8" t="s">
        <v>299</v>
      </c>
      <c r="H42" s="8" t="s">
        <v>300</v>
      </c>
      <c r="I42" s="8" t="s">
        <v>299</v>
      </c>
    </row>
    <row r="43" customFormat="false" ht="68.65" hidden="false" customHeight="false" outlineLevel="0" collapsed="false">
      <c r="A43" s="9" t="n">
        <v>0</v>
      </c>
      <c r="B43" s="9" t="s">
        <v>301</v>
      </c>
      <c r="C43" s="9" t="s">
        <v>302</v>
      </c>
      <c r="D43" s="9" t="s">
        <v>260</v>
      </c>
      <c r="E43" s="9" t="s">
        <v>261</v>
      </c>
      <c r="F43" s="9" t="s">
        <v>303</v>
      </c>
      <c r="G43" s="9" t="s">
        <v>304</v>
      </c>
      <c r="H43" s="9" t="s">
        <v>305</v>
      </c>
      <c r="I43" s="9" t="s">
        <v>306</v>
      </c>
    </row>
    <row r="44" customFormat="false" ht="68.65" hidden="false" customHeight="false" outlineLevel="0" collapsed="false">
      <c r="A44" s="9" t="n">
        <v>1</v>
      </c>
      <c r="B44" s="9" t="s">
        <v>307</v>
      </c>
      <c r="C44" s="9" t="s">
        <v>308</v>
      </c>
      <c r="D44" s="9" t="s">
        <v>289</v>
      </c>
      <c r="E44" s="9" t="s">
        <v>290</v>
      </c>
      <c r="F44" s="9" t="s">
        <v>309</v>
      </c>
      <c r="G44" s="9" t="s">
        <v>310</v>
      </c>
      <c r="H44" s="9" t="s">
        <v>311</v>
      </c>
      <c r="I44" s="9" t="s">
        <v>312</v>
      </c>
    </row>
    <row r="45" customFormat="false" ht="102.2" hidden="false" customHeight="false" outlineLevel="0" collapsed="false">
      <c r="A45" s="9" t="n">
        <v>2</v>
      </c>
      <c r="B45" s="9" t="s">
        <v>313</v>
      </c>
      <c r="C45" s="9" t="s">
        <v>314</v>
      </c>
      <c r="D45" s="9" t="s">
        <v>216</v>
      </c>
      <c r="E45" s="9" t="n">
        <v>216</v>
      </c>
      <c r="F45" s="9" t="s">
        <v>315</v>
      </c>
      <c r="G45" s="9" t="s">
        <v>316</v>
      </c>
      <c r="H45" s="9" t="s">
        <v>317</v>
      </c>
      <c r="I45" s="9" t="s">
        <v>318</v>
      </c>
    </row>
    <row r="46" customFormat="false" ht="113.4" hidden="false" customHeight="false" outlineLevel="0" collapsed="false">
      <c r="A46" s="9" t="n">
        <v>3</v>
      </c>
      <c r="B46" s="9" t="s">
        <v>319</v>
      </c>
      <c r="C46" s="9" t="s">
        <v>320</v>
      </c>
      <c r="D46" s="9" t="s">
        <v>321</v>
      </c>
      <c r="E46" s="9" t="s">
        <v>322</v>
      </c>
      <c r="F46" s="9" t="s">
        <v>323</v>
      </c>
      <c r="G46" s="9" t="s">
        <v>324</v>
      </c>
      <c r="H46" s="9" t="s">
        <v>325</v>
      </c>
      <c r="I46" s="9" t="s">
        <v>324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7" activeCellId="0" sqref="A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7" width="43.82"/>
  </cols>
  <sheetData>
    <row r="1" customFormat="false" ht="12.8" hidden="false" customHeight="false" outlineLevel="0" collapsed="false">
      <c r="A1" s="7" t="s">
        <v>326</v>
      </c>
    </row>
    <row r="2" customFormat="false" ht="12.8" hidden="false" customHeight="false" outlineLevel="0" collapsed="false">
      <c r="A2" s="11" t="n">
        <v>1</v>
      </c>
      <c r="B2" s="3" t="s">
        <v>327</v>
      </c>
      <c r="C2" s="1"/>
      <c r="D2" s="1"/>
      <c r="E2" s="1"/>
      <c r="F2" s="1"/>
      <c r="G2" s="1"/>
      <c r="H2" s="2"/>
      <c r="I2" s="2"/>
    </row>
    <row r="3" customFormat="false" ht="12.8" hidden="false" customHeight="false" outlineLevel="0" collapsed="false">
      <c r="A3" s="3" t="s">
        <v>328</v>
      </c>
      <c r="B3" s="3" t="s">
        <v>329</v>
      </c>
      <c r="C3" s="3" t="s">
        <v>295</v>
      </c>
      <c r="D3" s="3" t="s">
        <v>330</v>
      </c>
      <c r="E3" s="3" t="s">
        <v>331</v>
      </c>
      <c r="F3" s="3" t="s">
        <v>332</v>
      </c>
      <c r="G3" s="1"/>
      <c r="H3" s="2"/>
      <c r="I3" s="2"/>
    </row>
    <row r="4" customFormat="false" ht="12.8" hidden="false" customHeight="false" outlineLevel="0" collapsed="false">
      <c r="A4" s="1" t="s">
        <v>333</v>
      </c>
      <c r="B4" s="1" t="s">
        <v>334</v>
      </c>
      <c r="C4" s="1" t="s">
        <v>335</v>
      </c>
      <c r="D4" s="1" t="s">
        <v>336</v>
      </c>
      <c r="E4" s="1" t="s">
        <v>337</v>
      </c>
      <c r="F4" s="1" t="s">
        <v>338</v>
      </c>
      <c r="G4" s="1"/>
      <c r="H4" s="2"/>
      <c r="I4" s="2"/>
    </row>
    <row r="5" customFormat="false" ht="12.8" hidden="false" customHeight="false" outlineLevel="0" collapsed="false">
      <c r="A5" s="1" t="s">
        <v>339</v>
      </c>
      <c r="B5" s="1" t="s">
        <v>340</v>
      </c>
      <c r="C5" s="1" t="s">
        <v>341</v>
      </c>
      <c r="D5" s="1" t="s">
        <v>342</v>
      </c>
      <c r="E5" s="1" t="s">
        <v>343</v>
      </c>
      <c r="F5" s="1" t="s">
        <v>344</v>
      </c>
      <c r="G5" s="1"/>
      <c r="H5" s="2"/>
      <c r="I5" s="2"/>
    </row>
    <row r="6" customFormat="false" ht="12.8" hidden="false" customHeight="false" outlineLevel="0" collapsed="false">
      <c r="A6" s="1" t="s">
        <v>345</v>
      </c>
      <c r="B6" s="1" t="s">
        <v>346</v>
      </c>
      <c r="C6" s="1" t="s">
        <v>347</v>
      </c>
      <c r="D6" s="1" t="s">
        <v>348</v>
      </c>
      <c r="E6" s="1" t="s">
        <v>349</v>
      </c>
      <c r="F6" s="1" t="s">
        <v>350</v>
      </c>
      <c r="G6" s="1"/>
      <c r="H6" s="2"/>
      <c r="I6" s="2"/>
    </row>
    <row r="7" customFormat="false" ht="12.8" hidden="false" customHeight="false" outlineLevel="0" collapsed="false">
      <c r="A7" s="1" t="s">
        <v>351</v>
      </c>
      <c r="B7" s="1" t="s">
        <v>352</v>
      </c>
      <c r="C7" s="1" t="s">
        <v>353</v>
      </c>
      <c r="D7" s="1" t="s">
        <v>354</v>
      </c>
      <c r="E7" s="1" t="s">
        <v>355</v>
      </c>
      <c r="F7" s="1" t="s">
        <v>356</v>
      </c>
      <c r="G7" s="1"/>
      <c r="H7" s="2"/>
      <c r="I7" s="2"/>
    </row>
    <row r="8" customFormat="false" ht="12.8" hidden="false" customHeight="false" outlineLevel="0" collapsed="false">
      <c r="A8" s="1" t="s">
        <v>357</v>
      </c>
      <c r="B8" s="1" t="s">
        <v>358</v>
      </c>
      <c r="C8" s="1" t="s">
        <v>359</v>
      </c>
      <c r="D8" s="1" t="s">
        <v>360</v>
      </c>
      <c r="E8" s="1" t="s">
        <v>361</v>
      </c>
      <c r="F8" s="1" t="s">
        <v>362</v>
      </c>
      <c r="G8" s="1"/>
      <c r="H8" s="2"/>
      <c r="I8" s="2"/>
    </row>
    <row r="9" customFormat="false" ht="12.8" hidden="false" customHeight="false" outlineLevel="0" collapsed="false">
      <c r="A9" s="1" t="s">
        <v>363</v>
      </c>
      <c r="B9" s="1" t="s">
        <v>364</v>
      </c>
      <c r="C9" s="1" t="s">
        <v>365</v>
      </c>
      <c r="D9" s="1" t="s">
        <v>366</v>
      </c>
      <c r="E9" s="1" t="s">
        <v>367</v>
      </c>
      <c r="F9" s="1" t="s">
        <v>368</v>
      </c>
      <c r="G9" s="1"/>
      <c r="H9" s="2"/>
      <c r="I9" s="2"/>
    </row>
    <row r="10" customFormat="false" ht="12.8" hidden="false" customHeight="false" outlineLevel="0" collapsed="false">
      <c r="A10" s="1" t="s">
        <v>369</v>
      </c>
      <c r="B10" s="1" t="s">
        <v>370</v>
      </c>
      <c r="C10" s="1" t="s">
        <v>371</v>
      </c>
      <c r="D10" s="1" t="s">
        <v>372</v>
      </c>
      <c r="E10" s="1" t="s">
        <v>373</v>
      </c>
      <c r="F10" s="1" t="s">
        <v>374</v>
      </c>
      <c r="G10" s="1"/>
      <c r="H10" s="2"/>
      <c r="I10" s="2"/>
    </row>
    <row r="11" customFormat="false" ht="12.8" hidden="false" customHeight="false" outlineLevel="0" collapsed="false">
      <c r="A11" s="1" t="s">
        <v>375</v>
      </c>
      <c r="B11" s="1" t="s">
        <v>376</v>
      </c>
      <c r="C11" s="1" t="s">
        <v>377</v>
      </c>
      <c r="D11" s="1" t="s">
        <v>378</v>
      </c>
      <c r="E11" s="1" t="s">
        <v>379</v>
      </c>
      <c r="F11" s="1" t="s">
        <v>380</v>
      </c>
      <c r="G11" s="1"/>
      <c r="H11" s="2"/>
      <c r="I11" s="2"/>
    </row>
    <row r="12" customFormat="false" ht="12.8" hidden="false" customHeight="false" outlineLevel="0" collapsed="false">
      <c r="A12" s="1" t="s">
        <v>381</v>
      </c>
      <c r="B12" s="1" t="s">
        <v>382</v>
      </c>
      <c r="C12" s="1" t="s">
        <v>383</v>
      </c>
      <c r="D12" s="1" t="s">
        <v>384</v>
      </c>
      <c r="E12" s="1" t="s">
        <v>385</v>
      </c>
      <c r="F12" s="1" t="s">
        <v>386</v>
      </c>
      <c r="G12" s="1"/>
      <c r="H12" s="2"/>
      <c r="I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5" activeCellId="0" sqref="A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7" t="s">
        <v>387</v>
      </c>
    </row>
    <row r="2" customFormat="false" ht="12.8" hidden="false" customHeight="false" outlineLevel="0" collapsed="false">
      <c r="A2" s="3" t="s">
        <v>388</v>
      </c>
      <c r="B2" s="1"/>
      <c r="C2" s="1"/>
      <c r="D2" s="1"/>
      <c r="E2" s="1"/>
      <c r="F2" s="1"/>
      <c r="G2" s="1"/>
      <c r="H2" s="2"/>
      <c r="I2" s="2"/>
    </row>
    <row r="3" customFormat="false" ht="12.8" hidden="false" customHeight="false" outlineLevel="0" collapsed="false">
      <c r="A3" s="3" t="s">
        <v>389</v>
      </c>
      <c r="B3" s="3" t="s">
        <v>329</v>
      </c>
      <c r="C3" s="3" t="s">
        <v>390</v>
      </c>
      <c r="D3" s="3" t="s">
        <v>391</v>
      </c>
      <c r="E3" s="3" t="s">
        <v>392</v>
      </c>
      <c r="F3" s="3" t="s">
        <v>393</v>
      </c>
      <c r="G3" s="3" t="s">
        <v>394</v>
      </c>
      <c r="H3" s="2"/>
      <c r="I3" s="2"/>
    </row>
    <row r="4" customFormat="false" ht="12.8" hidden="false" customHeight="false" outlineLevel="0" collapsed="false">
      <c r="A4" s="1" t="s">
        <v>333</v>
      </c>
      <c r="B4" s="1" t="s">
        <v>395</v>
      </c>
      <c r="C4" s="1" t="s">
        <v>396</v>
      </c>
      <c r="D4" s="1" t="s">
        <v>397</v>
      </c>
      <c r="E4" s="1" t="s">
        <v>398</v>
      </c>
      <c r="F4" s="1" t="s">
        <v>399</v>
      </c>
      <c r="G4" s="1" t="s">
        <v>400</v>
      </c>
      <c r="H4" s="2"/>
      <c r="I4" s="2"/>
    </row>
    <row r="5" customFormat="false" ht="12.8" hidden="false" customHeight="false" outlineLevel="0" collapsed="false">
      <c r="A5" s="1" t="s">
        <v>339</v>
      </c>
      <c r="B5" s="1" t="s">
        <v>401</v>
      </c>
      <c r="C5" s="1" t="s">
        <v>402</v>
      </c>
      <c r="D5" s="1" t="s">
        <v>403</v>
      </c>
      <c r="E5" s="1" t="s">
        <v>398</v>
      </c>
      <c r="F5" s="1" t="s">
        <v>404</v>
      </c>
      <c r="G5" s="1" t="s">
        <v>405</v>
      </c>
      <c r="H5" s="2"/>
      <c r="I5" s="2"/>
    </row>
    <row r="6" customFormat="false" ht="12.8" hidden="false" customHeight="false" outlineLevel="0" collapsed="false">
      <c r="A6" s="1" t="s">
        <v>345</v>
      </c>
      <c r="B6" s="1" t="s">
        <v>346</v>
      </c>
      <c r="C6" s="1" t="s">
        <v>402</v>
      </c>
      <c r="D6" s="1" t="s">
        <v>406</v>
      </c>
      <c r="E6" s="1" t="s">
        <v>407</v>
      </c>
      <c r="F6" s="1" t="s">
        <v>408</v>
      </c>
      <c r="G6" s="1" t="s">
        <v>409</v>
      </c>
      <c r="H6" s="2"/>
      <c r="I6" s="2"/>
    </row>
    <row r="7" customFormat="false" ht="12.8" hidden="false" customHeight="false" outlineLevel="0" collapsed="false">
      <c r="A7" s="1" t="s">
        <v>351</v>
      </c>
      <c r="B7" s="1" t="s">
        <v>352</v>
      </c>
      <c r="C7" s="1" t="s">
        <v>410</v>
      </c>
      <c r="D7" s="1" t="s">
        <v>411</v>
      </c>
      <c r="E7" s="1" t="s">
        <v>255</v>
      </c>
      <c r="F7" s="1" t="s">
        <v>412</v>
      </c>
      <c r="G7" s="1" t="s">
        <v>413</v>
      </c>
      <c r="H7" s="2"/>
      <c r="I7" s="2"/>
    </row>
    <row r="8" customFormat="false" ht="12.8" hidden="false" customHeight="false" outlineLevel="0" collapsed="false">
      <c r="A8" s="1" t="s">
        <v>357</v>
      </c>
      <c r="B8" s="1" t="s">
        <v>414</v>
      </c>
      <c r="C8" s="1" t="s">
        <v>415</v>
      </c>
      <c r="D8" s="1" t="s">
        <v>416</v>
      </c>
      <c r="E8" s="1" t="s">
        <v>417</v>
      </c>
      <c r="F8" s="1" t="s">
        <v>418</v>
      </c>
      <c r="G8" s="1" t="s">
        <v>419</v>
      </c>
      <c r="H8" s="2"/>
      <c r="I8" s="2"/>
    </row>
    <row r="9" customFormat="false" ht="12.8" hidden="false" customHeight="false" outlineLevel="0" collapsed="false">
      <c r="A9" s="1" t="s">
        <v>363</v>
      </c>
      <c r="B9" s="1" t="s">
        <v>364</v>
      </c>
      <c r="C9" s="1" t="s">
        <v>420</v>
      </c>
      <c r="D9" s="1" t="s">
        <v>421</v>
      </c>
      <c r="E9" s="1" t="s">
        <v>422</v>
      </c>
      <c r="F9" s="1" t="s">
        <v>423</v>
      </c>
      <c r="G9" s="1" t="s">
        <v>424</v>
      </c>
      <c r="H9" s="2"/>
      <c r="I9" s="2"/>
    </row>
    <row r="10" customFormat="false" ht="12.8" hidden="false" customHeight="false" outlineLevel="0" collapsed="false">
      <c r="A10" s="1" t="s">
        <v>369</v>
      </c>
      <c r="B10" s="1" t="s">
        <v>370</v>
      </c>
      <c r="C10" s="1" t="s">
        <v>402</v>
      </c>
      <c r="D10" s="1" t="s">
        <v>425</v>
      </c>
      <c r="E10" s="1" t="s">
        <v>426</v>
      </c>
      <c r="F10" s="1" t="s">
        <v>427</v>
      </c>
      <c r="G10" s="1" t="s">
        <v>428</v>
      </c>
      <c r="H10" s="2"/>
      <c r="I10" s="2"/>
    </row>
    <row r="11" customFormat="false" ht="12.8" hidden="false" customHeight="false" outlineLevel="0" collapsed="false">
      <c r="A11" s="1" t="s">
        <v>375</v>
      </c>
      <c r="B11" s="1" t="s">
        <v>376</v>
      </c>
      <c r="C11" s="1" t="s">
        <v>402</v>
      </c>
      <c r="D11" s="1" t="s">
        <v>429</v>
      </c>
      <c r="E11" s="1" t="s">
        <v>407</v>
      </c>
      <c r="F11" s="1" t="s">
        <v>430</v>
      </c>
      <c r="G11" s="1" t="s">
        <v>431</v>
      </c>
      <c r="H11" s="2"/>
      <c r="I11" s="2"/>
    </row>
    <row r="12" customFormat="false" ht="12.8" hidden="false" customHeight="false" outlineLevel="0" collapsed="false">
      <c r="A12" s="1" t="s">
        <v>381</v>
      </c>
      <c r="B12" s="1" t="s">
        <v>432</v>
      </c>
      <c r="C12" s="1" t="s">
        <v>402</v>
      </c>
      <c r="D12" s="1" t="s">
        <v>433</v>
      </c>
      <c r="E12" s="1" t="s">
        <v>434</v>
      </c>
      <c r="F12" s="1" t="s">
        <v>435</v>
      </c>
      <c r="G12" s="1" t="s">
        <v>436</v>
      </c>
      <c r="H12" s="2"/>
      <c r="I12" s="2"/>
    </row>
    <row r="14" customFormat="false" ht="12.8" hidden="false" customHeight="false" outlineLevel="0" collapsed="false">
      <c r="A14" s="3" t="s">
        <v>437</v>
      </c>
      <c r="B14" s="1"/>
      <c r="C14" s="1"/>
      <c r="D14" s="1"/>
      <c r="E14" s="1"/>
      <c r="F14" s="1"/>
      <c r="G14" s="1"/>
      <c r="H14" s="2"/>
      <c r="I14" s="2"/>
    </row>
    <row r="15" customFormat="false" ht="12.8" hidden="false" customHeight="false" outlineLevel="0" collapsed="false">
      <c r="A15" s="3" t="s">
        <v>438</v>
      </c>
      <c r="B15" s="3" t="s">
        <v>439</v>
      </c>
      <c r="C15" s="3" t="s">
        <v>440</v>
      </c>
      <c r="D15" s="3" t="s">
        <v>441</v>
      </c>
      <c r="E15" s="3" t="s">
        <v>442</v>
      </c>
      <c r="F15" s="3" t="s">
        <v>443</v>
      </c>
      <c r="G15" s="1"/>
      <c r="H15" s="2"/>
      <c r="I15" s="2"/>
    </row>
    <row r="16" customFormat="false" ht="12.8" hidden="false" customHeight="false" outlineLevel="0" collapsed="false">
      <c r="A16" s="1" t="s">
        <v>444</v>
      </c>
      <c r="B16" s="1" t="s">
        <v>445</v>
      </c>
      <c r="C16" s="1" t="s">
        <v>446</v>
      </c>
      <c r="D16" s="1" t="s">
        <v>447</v>
      </c>
      <c r="E16" s="1" t="s">
        <v>448</v>
      </c>
      <c r="F16" s="1" t="s">
        <v>449</v>
      </c>
      <c r="G16" s="1"/>
      <c r="H16" s="2"/>
      <c r="I16" s="2"/>
    </row>
    <row r="17" customFormat="false" ht="12.8" hidden="false" customHeight="false" outlineLevel="0" collapsed="false">
      <c r="A17" s="1" t="s">
        <v>450</v>
      </c>
      <c r="B17" s="1" t="s">
        <v>451</v>
      </c>
      <c r="C17" s="1" t="s">
        <v>452</v>
      </c>
      <c r="D17" s="1" t="s">
        <v>453</v>
      </c>
      <c r="E17" s="1" t="s">
        <v>454</v>
      </c>
      <c r="F17" s="1" t="s">
        <v>455</v>
      </c>
      <c r="G17" s="1"/>
      <c r="H17" s="2"/>
      <c r="I17" s="2"/>
    </row>
    <row r="18" customFormat="false" ht="12.8" hidden="false" customHeight="false" outlineLevel="0" collapsed="false">
      <c r="A18" s="1" t="s">
        <v>456</v>
      </c>
      <c r="B18" s="1" t="s">
        <v>457</v>
      </c>
      <c r="C18" s="1" t="s">
        <v>458</v>
      </c>
      <c r="D18" s="1" t="s">
        <v>459</v>
      </c>
      <c r="E18" s="1" t="s">
        <v>460</v>
      </c>
      <c r="F18" s="1" t="s">
        <v>461</v>
      </c>
      <c r="G18" s="1"/>
      <c r="H18" s="2"/>
      <c r="I1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3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24" activeCellId="0" sqref="A2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7" t="s">
        <v>462</v>
      </c>
    </row>
    <row r="2" s="2" customFormat="true" ht="12.8" hidden="false" customHeight="false" outlineLevel="0" collapsed="false">
      <c r="A2" s="11" t="n">
        <v>1</v>
      </c>
      <c r="B2" s="2" t="s">
        <v>463</v>
      </c>
      <c r="C2" s="12"/>
      <c r="XFD2" s="7"/>
    </row>
    <row r="3" s="2" customFormat="true" ht="12.8" hidden="false" customHeight="false" outlineLevel="0" collapsed="false">
      <c r="A3" s="2" t="s">
        <v>127</v>
      </c>
      <c r="B3" s="2" t="s">
        <v>464</v>
      </c>
      <c r="C3" s="2" t="s">
        <v>465</v>
      </c>
      <c r="D3" s="2" t="s">
        <v>466</v>
      </c>
      <c r="E3" s="2" t="s">
        <v>467</v>
      </c>
      <c r="F3" s="2" t="s">
        <v>468</v>
      </c>
      <c r="G3" s="2" t="s">
        <v>469</v>
      </c>
      <c r="H3" s="2" t="s">
        <v>470</v>
      </c>
      <c r="I3" s="2" t="s">
        <v>471</v>
      </c>
      <c r="XFD3" s="7"/>
    </row>
    <row r="4" s="1" customFormat="true" ht="12.8" hidden="false" customHeight="false" outlineLevel="0" collapsed="false">
      <c r="A4" s="1" t="s">
        <v>472</v>
      </c>
      <c r="B4" s="1" t="s">
        <v>135</v>
      </c>
      <c r="C4" s="1" t="s">
        <v>473</v>
      </c>
      <c r="D4" s="1" t="s">
        <v>474</v>
      </c>
      <c r="E4" s="1" t="s">
        <v>475</v>
      </c>
      <c r="F4" s="1" t="s">
        <v>476</v>
      </c>
      <c r="G4" s="1" t="s">
        <v>477</v>
      </c>
      <c r="H4" s="1" t="s">
        <v>478</v>
      </c>
      <c r="I4" s="1" t="s">
        <v>479</v>
      </c>
      <c r="J4" s="1" t="s">
        <v>480</v>
      </c>
      <c r="K4" s="1" t="s">
        <v>481</v>
      </c>
      <c r="XFD4" s="7"/>
    </row>
    <row r="5" s="2" customFormat="true" ht="12.8" hidden="false" customHeight="false" outlineLevel="0" collapsed="false">
      <c r="A5" s="2" t="s">
        <v>482</v>
      </c>
      <c r="B5" s="2" t="s">
        <v>144</v>
      </c>
      <c r="C5" s="2" t="s">
        <v>483</v>
      </c>
      <c r="D5" s="2" t="s">
        <v>484</v>
      </c>
      <c r="E5" s="2" t="s">
        <v>485</v>
      </c>
      <c r="F5" s="2" t="s">
        <v>486</v>
      </c>
      <c r="G5" s="2" t="s">
        <v>487</v>
      </c>
      <c r="H5" s="2" t="s">
        <v>488</v>
      </c>
      <c r="I5" s="2" t="s">
        <v>489</v>
      </c>
      <c r="J5" s="2" t="n">
        <v>5.2</v>
      </c>
      <c r="K5" s="2" t="n">
        <v>9700</v>
      </c>
      <c r="XFD5" s="7"/>
    </row>
    <row r="6" s="2" customFormat="true" ht="12.8" hidden="false" customHeight="false" outlineLevel="0" collapsed="false">
      <c r="A6" s="2" t="s">
        <v>490</v>
      </c>
      <c r="B6" s="2" t="s">
        <v>153</v>
      </c>
      <c r="C6" s="2" t="s">
        <v>491</v>
      </c>
      <c r="D6" s="2" t="s">
        <v>492</v>
      </c>
      <c r="E6" s="2" t="s">
        <v>493</v>
      </c>
      <c r="F6" s="2" t="s">
        <v>476</v>
      </c>
      <c r="G6" s="2" t="s">
        <v>494</v>
      </c>
      <c r="H6" s="2" t="s">
        <v>495</v>
      </c>
      <c r="I6" s="2" t="s">
        <v>496</v>
      </c>
      <c r="J6" s="2" t="s">
        <v>497</v>
      </c>
      <c r="K6" s="2" t="s">
        <v>498</v>
      </c>
      <c r="XFD6" s="7"/>
    </row>
    <row r="7" s="2" customFormat="true" ht="12.8" hidden="false" customHeight="false" outlineLevel="0" collapsed="false">
      <c r="A7" s="2" t="s">
        <v>499</v>
      </c>
      <c r="B7" s="2" t="s">
        <v>161</v>
      </c>
      <c r="C7" s="2" t="s">
        <v>500</v>
      </c>
      <c r="D7" s="2" t="s">
        <v>501</v>
      </c>
      <c r="E7" s="2" t="s">
        <v>502</v>
      </c>
      <c r="F7" s="2" t="s">
        <v>503</v>
      </c>
      <c r="G7" s="2" t="s">
        <v>504</v>
      </c>
      <c r="H7" s="2" t="s">
        <v>505</v>
      </c>
      <c r="I7" s="13" t="n">
        <v>50000</v>
      </c>
      <c r="J7" s="2" t="s">
        <v>506</v>
      </c>
      <c r="K7" s="2" t="n">
        <v>2333</v>
      </c>
      <c r="XFD7" s="7"/>
    </row>
    <row r="8" s="2" customFormat="true" ht="12.8" hidden="false" customHeight="false" outlineLevel="0" collapsed="false">
      <c r="A8" s="2" t="s">
        <v>507</v>
      </c>
      <c r="B8" s="2" t="s">
        <v>170</v>
      </c>
      <c r="C8" s="2" t="s">
        <v>508</v>
      </c>
      <c r="D8" s="2" t="s">
        <v>509</v>
      </c>
      <c r="E8" s="2" t="s">
        <v>510</v>
      </c>
      <c r="F8" s="2" t="s">
        <v>476</v>
      </c>
      <c r="G8" s="2" t="s">
        <v>511</v>
      </c>
      <c r="H8" s="2" t="s">
        <v>512</v>
      </c>
      <c r="I8" s="13" t="n">
        <v>200000</v>
      </c>
      <c r="J8" s="2" t="s">
        <v>513</v>
      </c>
      <c r="K8" s="2" t="n">
        <v>6500</v>
      </c>
      <c r="XFD8" s="7"/>
    </row>
    <row r="9" s="2" customFormat="true" ht="12.8" hidden="false" customHeight="false" outlineLevel="0" collapsed="false">
      <c r="A9" s="2" t="s">
        <v>514</v>
      </c>
      <c r="B9" s="2" t="s">
        <v>179</v>
      </c>
      <c r="C9" s="2" t="s">
        <v>515</v>
      </c>
      <c r="D9" s="2" t="s">
        <v>516</v>
      </c>
      <c r="E9" s="2" t="s">
        <v>517</v>
      </c>
      <c r="F9" s="2" t="s">
        <v>518</v>
      </c>
      <c r="G9" s="2" t="s">
        <v>519</v>
      </c>
      <c r="H9" s="2" t="s">
        <v>520</v>
      </c>
      <c r="I9" s="2" t="s">
        <v>521</v>
      </c>
      <c r="J9" s="2" t="s">
        <v>522</v>
      </c>
      <c r="K9" s="2" t="n">
        <v>8750</v>
      </c>
      <c r="XFD9" s="7"/>
    </row>
    <row r="10" s="2" customFormat="true" ht="12.8" hidden="false" customHeight="false" outlineLevel="0" collapsed="false">
      <c r="A10" s="2" t="s">
        <v>523</v>
      </c>
      <c r="B10" s="2" t="s">
        <v>188</v>
      </c>
      <c r="C10" s="2" t="s">
        <v>524</v>
      </c>
      <c r="D10" s="2" t="s">
        <v>525</v>
      </c>
      <c r="E10" s="2" t="s">
        <v>526</v>
      </c>
      <c r="F10" s="2" t="s">
        <v>476</v>
      </c>
      <c r="G10" s="2" t="s">
        <v>527</v>
      </c>
      <c r="H10" s="2" t="s">
        <v>528</v>
      </c>
      <c r="I10" s="13" t="n">
        <v>500000</v>
      </c>
      <c r="J10" s="2" t="s">
        <v>513</v>
      </c>
      <c r="K10" s="2" t="n">
        <v>100</v>
      </c>
      <c r="XFD10" s="7"/>
    </row>
    <row r="11" s="2" customFormat="true" ht="12.8" hidden="false" customHeight="false" outlineLevel="0" collapsed="false">
      <c r="A11" s="2" t="s">
        <v>529</v>
      </c>
      <c r="B11" s="2" t="s">
        <v>196</v>
      </c>
      <c r="C11" s="2" t="s">
        <v>530</v>
      </c>
      <c r="D11" s="2" t="s">
        <v>531</v>
      </c>
      <c r="E11" s="2" t="s">
        <v>532</v>
      </c>
      <c r="F11" s="2" t="s">
        <v>503</v>
      </c>
      <c r="G11" s="2" t="s">
        <v>533</v>
      </c>
      <c r="H11" s="2" t="s">
        <v>534</v>
      </c>
      <c r="I11" s="2" t="s">
        <v>535</v>
      </c>
      <c r="J11" s="2" t="s">
        <v>536</v>
      </c>
      <c r="K11" s="2" t="s">
        <v>537</v>
      </c>
      <c r="XFD11" s="7"/>
    </row>
    <row r="12" s="2" customFormat="true" ht="12.8" hidden="false" customHeight="false" outlineLevel="0" collapsed="false">
      <c r="A12" s="1" t="s">
        <v>538</v>
      </c>
      <c r="B12" s="1" t="s">
        <v>205</v>
      </c>
      <c r="C12" s="1" t="s">
        <v>539</v>
      </c>
      <c r="D12" s="1" t="s">
        <v>540</v>
      </c>
      <c r="E12" s="14" t="s">
        <v>541</v>
      </c>
      <c r="F12" s="1" t="s">
        <v>542</v>
      </c>
      <c r="G12" s="1" t="s">
        <v>543</v>
      </c>
      <c r="H12" s="1" t="s">
        <v>544</v>
      </c>
      <c r="I12" s="15" t="n">
        <v>1000000</v>
      </c>
      <c r="J12" s="1" t="s">
        <v>545</v>
      </c>
      <c r="K12" s="1" t="n">
        <v>2378</v>
      </c>
      <c r="L12" s="1"/>
      <c r="M12" s="1"/>
      <c r="XFD12" s="7"/>
    </row>
    <row r="13" s="2" customFormat="true" ht="12.8" hidden="false" customHeight="false" outlineLevel="0" collapsed="false">
      <c r="A13" s="2" t="s">
        <v>213</v>
      </c>
      <c r="B13" s="2" t="s">
        <v>546</v>
      </c>
      <c r="E13" s="2" t="s">
        <v>547</v>
      </c>
      <c r="F13" s="2" t="s">
        <v>548</v>
      </c>
      <c r="G13" s="2" t="s">
        <v>549</v>
      </c>
      <c r="H13" s="2" t="s">
        <v>550</v>
      </c>
      <c r="I13" s="2" t="n">
        <v>1822.5</v>
      </c>
      <c r="J13" s="2" t="s">
        <v>551</v>
      </c>
      <c r="K13" s="2" t="n">
        <v>9113</v>
      </c>
      <c r="XFD13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7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1" activeCellId="0" sqref="A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9.21"/>
    <col collapsed="false" customWidth="true" hidden="false" outlineLevel="0" max="2" min="2" style="2" width="46.12"/>
    <col collapsed="false" customWidth="true" hidden="false" outlineLevel="0" max="4" min="3" style="2" width="57.41"/>
    <col collapsed="false" customWidth="true" hidden="false" outlineLevel="0" max="5" min="5" style="2" width="36.9"/>
    <col collapsed="false" customWidth="true" hidden="false" outlineLevel="0" max="6" min="6" style="2" width="34.59"/>
    <col collapsed="false" customWidth="true" hidden="false" outlineLevel="0" max="8" min="7" style="2" width="43.82"/>
    <col collapsed="false" customWidth="true" hidden="false" outlineLevel="0" max="9" min="9" style="2" width="29.98"/>
    <col collapsed="false" customWidth="true" hidden="false" outlineLevel="0" max="10" min="10" style="2" width="25.37"/>
    <col collapsed="false" customWidth="true" hidden="false" outlineLevel="0" max="11" min="11" style="2" width="18.45"/>
    <col collapsed="false" customWidth="false" hidden="false" outlineLevel="0" max="16383" min="12" style="2" width="11.53"/>
  </cols>
  <sheetData>
    <row r="1" customFormat="false" ht="12.8" hidden="false" customHeight="false" outlineLevel="0" collapsed="false">
      <c r="A1" s="2" t="s">
        <v>552</v>
      </c>
    </row>
    <row r="2" s="7" customFormat="true" ht="12.8" hidden="false" customHeight="false" outlineLevel="0" collapsed="false">
      <c r="A2" s="11" t="n">
        <v>1</v>
      </c>
      <c r="B2" s="16" t="s">
        <v>553</v>
      </c>
      <c r="XFD2" s="0"/>
    </row>
    <row r="3" s="7" customFormat="true" ht="12.8" hidden="false" customHeight="false" outlineLevel="0" collapsed="false">
      <c r="A3" s="5" t="s">
        <v>127</v>
      </c>
      <c r="B3" s="5" t="s">
        <v>464</v>
      </c>
      <c r="C3" s="5" t="s">
        <v>554</v>
      </c>
      <c r="D3" s="5" t="s">
        <v>555</v>
      </c>
      <c r="E3" s="5" t="s">
        <v>556</v>
      </c>
      <c r="F3" s="5" t="s">
        <v>557</v>
      </c>
      <c r="G3" s="5" t="s">
        <v>558</v>
      </c>
      <c r="H3" s="5" t="s">
        <v>559</v>
      </c>
      <c r="I3" s="5" t="s">
        <v>560</v>
      </c>
      <c r="XFD3" s="0"/>
    </row>
    <row r="4" s="7" customFormat="true" ht="12.8" hidden="false" customHeight="false" outlineLevel="0" collapsed="false">
      <c r="A4" s="6" t="s">
        <v>472</v>
      </c>
      <c r="B4" s="6" t="s">
        <v>135</v>
      </c>
      <c r="C4" s="6" t="n">
        <v>15</v>
      </c>
      <c r="D4" s="6" t="s">
        <v>561</v>
      </c>
      <c r="E4" s="6" t="s">
        <v>562</v>
      </c>
      <c r="F4" s="6" t="s">
        <v>563</v>
      </c>
      <c r="G4" s="6" t="s">
        <v>564</v>
      </c>
      <c r="H4" s="6" t="s">
        <v>565</v>
      </c>
      <c r="I4" s="6" t="s">
        <v>566</v>
      </c>
      <c r="XFD4" s="0"/>
    </row>
    <row r="5" s="7" customFormat="true" ht="12.8" hidden="false" customHeight="false" outlineLevel="0" collapsed="false">
      <c r="A5" s="6" t="s">
        <v>482</v>
      </c>
      <c r="B5" s="6" t="s">
        <v>144</v>
      </c>
      <c r="C5" s="6" t="n">
        <v>25</v>
      </c>
      <c r="D5" s="6" t="s">
        <v>567</v>
      </c>
      <c r="E5" s="6" t="s">
        <v>568</v>
      </c>
      <c r="F5" s="6" t="s">
        <v>569</v>
      </c>
      <c r="G5" s="6" t="s">
        <v>570</v>
      </c>
      <c r="H5" s="6" t="s">
        <v>571</v>
      </c>
      <c r="I5" s="6" t="s">
        <v>572</v>
      </c>
      <c r="XFD5" s="0"/>
    </row>
    <row r="6" s="7" customFormat="true" ht="12.8" hidden="false" customHeight="false" outlineLevel="0" collapsed="false">
      <c r="A6" s="6" t="s">
        <v>490</v>
      </c>
      <c r="B6" s="6" t="s">
        <v>153</v>
      </c>
      <c r="C6" s="6" t="n">
        <v>12</v>
      </c>
      <c r="D6" s="6" t="s">
        <v>562</v>
      </c>
      <c r="E6" s="6" t="s">
        <v>573</v>
      </c>
      <c r="F6" s="6" t="s">
        <v>574</v>
      </c>
      <c r="G6" s="6" t="s">
        <v>575</v>
      </c>
      <c r="H6" s="6" t="s">
        <v>576</v>
      </c>
      <c r="I6" s="6" t="s">
        <v>577</v>
      </c>
      <c r="XFD6" s="0"/>
    </row>
    <row r="7" s="7" customFormat="true" ht="12.8" hidden="false" customHeight="false" outlineLevel="0" collapsed="false">
      <c r="A7" s="6" t="s">
        <v>499</v>
      </c>
      <c r="B7" s="6" t="s">
        <v>161</v>
      </c>
      <c r="C7" s="6" t="n">
        <v>2.5</v>
      </c>
      <c r="D7" s="6" t="s">
        <v>574</v>
      </c>
      <c r="E7" s="6" t="s">
        <v>578</v>
      </c>
      <c r="F7" s="6" t="s">
        <v>579</v>
      </c>
      <c r="G7" s="6" t="s">
        <v>580</v>
      </c>
      <c r="H7" s="6" t="s">
        <v>581</v>
      </c>
      <c r="I7" s="6" t="s">
        <v>582</v>
      </c>
      <c r="XFD7" s="0"/>
    </row>
    <row r="8" s="7" customFormat="true" ht="12.8" hidden="false" customHeight="false" outlineLevel="0" collapsed="false">
      <c r="A8" s="6" t="s">
        <v>507</v>
      </c>
      <c r="B8" s="6" t="s">
        <v>170</v>
      </c>
      <c r="C8" s="6" t="n">
        <v>4</v>
      </c>
      <c r="D8" s="6" t="s">
        <v>583</v>
      </c>
      <c r="E8" s="6" t="s">
        <v>574</v>
      </c>
      <c r="F8" s="6" t="s">
        <v>579</v>
      </c>
      <c r="G8" s="6" t="s">
        <v>584</v>
      </c>
      <c r="H8" s="6" t="s">
        <v>585</v>
      </c>
      <c r="I8" s="6" t="s">
        <v>586</v>
      </c>
      <c r="XFD8" s="0"/>
    </row>
    <row r="9" s="7" customFormat="true" ht="12.8" hidden="false" customHeight="false" outlineLevel="0" collapsed="false">
      <c r="A9" s="6" t="s">
        <v>514</v>
      </c>
      <c r="B9" s="6" t="s">
        <v>179</v>
      </c>
      <c r="C9" s="6" t="n">
        <v>18</v>
      </c>
      <c r="D9" s="6" t="s">
        <v>561</v>
      </c>
      <c r="E9" s="6" t="s">
        <v>587</v>
      </c>
      <c r="F9" s="6" t="s">
        <v>583</v>
      </c>
      <c r="G9" s="6" t="s">
        <v>588</v>
      </c>
      <c r="H9" s="6" t="s">
        <v>589</v>
      </c>
      <c r="I9" s="6" t="s">
        <v>590</v>
      </c>
      <c r="XFD9" s="0"/>
    </row>
    <row r="10" s="7" customFormat="true" ht="12.8" hidden="false" customHeight="false" outlineLevel="0" collapsed="false">
      <c r="A10" s="5" t="s">
        <v>213</v>
      </c>
      <c r="B10" s="5" t="s">
        <v>591</v>
      </c>
      <c r="C10" s="5" t="n">
        <v>76.5</v>
      </c>
      <c r="D10" s="5" t="s">
        <v>592</v>
      </c>
      <c r="E10" s="5" t="s">
        <v>593</v>
      </c>
      <c r="F10" s="5" t="s">
        <v>594</v>
      </c>
      <c r="G10" s="5" t="s">
        <v>595</v>
      </c>
      <c r="H10" s="5" t="s">
        <v>596</v>
      </c>
      <c r="I10" s="6" t="s">
        <v>597</v>
      </c>
      <c r="XFD10" s="0"/>
    </row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>
      <c r="A14" s="7" t="s">
        <v>598</v>
      </c>
      <c r="B14" s="2" t="s">
        <v>599</v>
      </c>
    </row>
    <row r="15" customFormat="false" ht="12.8" hidden="false" customHeight="false" outlineLevel="0" collapsed="false">
      <c r="A15" s="2" t="s">
        <v>127</v>
      </c>
      <c r="B15" s="2" t="s">
        <v>464</v>
      </c>
      <c r="C15" s="2" t="s">
        <v>600</v>
      </c>
      <c r="D15" s="2" t="s">
        <v>601</v>
      </c>
      <c r="E15" s="2" t="s">
        <v>602</v>
      </c>
      <c r="F15" s="2" t="s">
        <v>603</v>
      </c>
      <c r="G15" s="2" t="s">
        <v>604</v>
      </c>
      <c r="H15" s="2" t="s">
        <v>605</v>
      </c>
      <c r="I15" s="2" t="s">
        <v>606</v>
      </c>
      <c r="J15" s="2" t="s">
        <v>133</v>
      </c>
      <c r="K15" s="2" t="s">
        <v>607</v>
      </c>
      <c r="L15" s="2" t="s">
        <v>608</v>
      </c>
      <c r="M15" s="2" t="s">
        <v>609</v>
      </c>
    </row>
    <row r="16" customFormat="false" ht="12.8" hidden="false" customHeight="false" outlineLevel="0" collapsed="false">
      <c r="A16" s="2" t="s">
        <v>472</v>
      </c>
      <c r="B16" s="2" t="s">
        <v>135</v>
      </c>
      <c r="C16" s="2" t="s">
        <v>610</v>
      </c>
      <c r="D16" s="2" t="s">
        <v>611</v>
      </c>
      <c r="E16" s="2" t="s">
        <v>612</v>
      </c>
      <c r="F16" s="2" t="s">
        <v>613</v>
      </c>
      <c r="G16" s="2" t="s">
        <v>614</v>
      </c>
      <c r="H16" s="2" t="s">
        <v>615</v>
      </c>
      <c r="I16" s="2" t="s">
        <v>616</v>
      </c>
      <c r="J16" s="2" t="n">
        <v>15</v>
      </c>
      <c r="K16" s="2" t="s">
        <v>617</v>
      </c>
      <c r="L16" s="2" t="n">
        <v>30000</v>
      </c>
      <c r="M16" s="2" t="s">
        <v>618</v>
      </c>
    </row>
    <row r="17" customFormat="false" ht="12.8" hidden="false" customHeight="false" outlineLevel="0" collapsed="false">
      <c r="A17" s="2" t="s">
        <v>619</v>
      </c>
      <c r="B17" s="2" t="s">
        <v>135</v>
      </c>
      <c r="C17" s="2" t="s">
        <v>620</v>
      </c>
      <c r="D17" s="2" t="b">
        <f aca="false">TRUE()</f>
        <v>1</v>
      </c>
      <c r="E17" s="2" t="s">
        <v>621</v>
      </c>
      <c r="F17" s="2" t="s">
        <v>622</v>
      </c>
      <c r="G17" s="2" t="s">
        <v>623</v>
      </c>
      <c r="H17" s="2" t="s">
        <v>624</v>
      </c>
      <c r="I17" s="2" t="s">
        <v>625</v>
      </c>
      <c r="J17" s="2" t="n">
        <v>3</v>
      </c>
      <c r="K17" s="2" t="s">
        <v>626</v>
      </c>
      <c r="L17" s="2" t="n">
        <v>30000</v>
      </c>
      <c r="M17" s="2" t="s">
        <v>627</v>
      </c>
    </row>
    <row r="18" customFormat="false" ht="12.8" hidden="false" customHeight="false" outlineLevel="0" collapsed="false">
      <c r="A18" s="2" t="s">
        <v>628</v>
      </c>
      <c r="B18" s="2" t="s">
        <v>135</v>
      </c>
      <c r="C18" s="2" t="s">
        <v>629</v>
      </c>
      <c r="D18" s="2" t="b">
        <f aca="false">TRUE()</f>
        <v>1</v>
      </c>
      <c r="E18" s="2" t="s">
        <v>630</v>
      </c>
      <c r="F18" s="2" t="s">
        <v>631</v>
      </c>
      <c r="G18" s="2" t="s">
        <v>632</v>
      </c>
      <c r="H18" s="2" t="s">
        <v>633</v>
      </c>
      <c r="I18" s="2" t="s">
        <v>634</v>
      </c>
      <c r="J18" s="2" t="n">
        <v>2.5</v>
      </c>
      <c r="K18" s="2" t="s">
        <v>635</v>
      </c>
      <c r="L18" s="2" t="n">
        <v>125000</v>
      </c>
      <c r="M18" s="2" t="s">
        <v>636</v>
      </c>
    </row>
    <row r="19" customFormat="false" ht="12.8" hidden="false" customHeight="false" outlineLevel="0" collapsed="false">
      <c r="A19" s="2" t="s">
        <v>637</v>
      </c>
      <c r="B19" s="2" t="s">
        <v>135</v>
      </c>
      <c r="C19" s="2" t="s">
        <v>638</v>
      </c>
      <c r="D19" s="2" t="b">
        <f aca="false">TRUE()</f>
        <v>1</v>
      </c>
      <c r="E19" s="2" t="s">
        <v>639</v>
      </c>
      <c r="F19" s="2" t="s">
        <v>640</v>
      </c>
      <c r="G19" s="2" t="s">
        <v>641</v>
      </c>
      <c r="H19" s="2" t="s">
        <v>642</v>
      </c>
      <c r="I19" s="2" t="s">
        <v>643</v>
      </c>
      <c r="J19" s="2" t="n">
        <v>4</v>
      </c>
      <c r="K19" s="2" t="s">
        <v>644</v>
      </c>
      <c r="L19" s="2" t="n">
        <v>80000</v>
      </c>
      <c r="M19" s="2" t="s">
        <v>645</v>
      </c>
    </row>
    <row r="20" customFormat="false" ht="12.8" hidden="false" customHeight="false" outlineLevel="0" collapsed="false">
      <c r="A20" s="2" t="s">
        <v>646</v>
      </c>
      <c r="B20" s="2" t="s">
        <v>135</v>
      </c>
      <c r="C20" s="2" t="s">
        <v>647</v>
      </c>
      <c r="D20" s="2" t="b">
        <f aca="false">TRUE()</f>
        <v>1</v>
      </c>
      <c r="E20" s="2" t="s">
        <v>648</v>
      </c>
      <c r="F20" s="2" t="s">
        <v>649</v>
      </c>
      <c r="G20" s="2" t="s">
        <v>650</v>
      </c>
      <c r="H20" s="2" t="s">
        <v>651</v>
      </c>
      <c r="I20" s="2" t="s">
        <v>500</v>
      </c>
      <c r="J20" s="2" t="n">
        <v>5.5</v>
      </c>
      <c r="K20" s="2" t="s">
        <v>652</v>
      </c>
      <c r="L20" s="2" t="n">
        <v>16667</v>
      </c>
      <c r="M20" s="2" t="s">
        <v>653</v>
      </c>
    </row>
    <row r="21" customFormat="false" ht="12.8" hidden="false" customHeight="false" outlineLevel="0" collapsed="false">
      <c r="A21" s="2" t="s">
        <v>482</v>
      </c>
      <c r="B21" s="2" t="s">
        <v>144</v>
      </c>
      <c r="C21" s="2" t="s">
        <v>654</v>
      </c>
      <c r="D21" s="2" t="s">
        <v>655</v>
      </c>
      <c r="E21" s="2" t="s">
        <v>656</v>
      </c>
      <c r="F21" s="2" t="s">
        <v>657</v>
      </c>
      <c r="G21" s="2" t="s">
        <v>658</v>
      </c>
      <c r="H21" s="2" t="s">
        <v>659</v>
      </c>
      <c r="I21" s="2" t="s">
        <v>660</v>
      </c>
      <c r="J21" s="2" t="n">
        <v>25</v>
      </c>
      <c r="K21" s="2" t="s">
        <v>661</v>
      </c>
      <c r="L21" s="2" t="n">
        <v>83333</v>
      </c>
      <c r="M21" s="2" t="s">
        <v>662</v>
      </c>
    </row>
    <row r="22" customFormat="false" ht="12.8" hidden="false" customHeight="false" outlineLevel="0" collapsed="false">
      <c r="A22" s="2" t="s">
        <v>663</v>
      </c>
      <c r="B22" s="2" t="s">
        <v>144</v>
      </c>
      <c r="C22" s="2" t="s">
        <v>664</v>
      </c>
      <c r="D22" s="2" t="b">
        <f aca="false">TRUE()</f>
        <v>1</v>
      </c>
      <c r="E22" s="2" t="s">
        <v>665</v>
      </c>
      <c r="F22" s="2" t="s">
        <v>259</v>
      </c>
      <c r="G22" s="2" t="s">
        <v>259</v>
      </c>
      <c r="H22" s="2" t="s">
        <v>259</v>
      </c>
      <c r="I22" s="2" t="s">
        <v>666</v>
      </c>
      <c r="J22" s="2" t="n">
        <v>15</v>
      </c>
      <c r="K22" s="2" t="s">
        <v>667</v>
      </c>
      <c r="L22" s="2" t="n">
        <v>250000</v>
      </c>
      <c r="M22" s="2" t="s">
        <v>668</v>
      </c>
    </row>
    <row r="23" customFormat="false" ht="12.8" hidden="false" customHeight="false" outlineLevel="0" collapsed="false">
      <c r="A23" s="2" t="s">
        <v>669</v>
      </c>
      <c r="B23" s="2" t="s">
        <v>144</v>
      </c>
      <c r="C23" s="2" t="s">
        <v>670</v>
      </c>
      <c r="D23" s="2" t="b">
        <f aca="false">TRUE()</f>
        <v>1</v>
      </c>
      <c r="E23" s="2" t="s">
        <v>671</v>
      </c>
      <c r="F23" s="2" t="s">
        <v>259</v>
      </c>
      <c r="G23" s="2" t="s">
        <v>259</v>
      </c>
      <c r="H23" s="2" t="s">
        <v>259</v>
      </c>
      <c r="I23" s="2" t="s">
        <v>672</v>
      </c>
      <c r="J23" s="2" t="n">
        <v>5</v>
      </c>
      <c r="K23" s="2" t="s">
        <v>673</v>
      </c>
      <c r="L23" s="2" t="n">
        <v>625000</v>
      </c>
      <c r="M23" s="2" t="s">
        <v>674</v>
      </c>
    </row>
    <row r="24" customFormat="false" ht="12.8" hidden="false" customHeight="false" outlineLevel="0" collapsed="false">
      <c r="A24" s="2" t="s">
        <v>675</v>
      </c>
      <c r="B24" s="2" t="s">
        <v>144</v>
      </c>
      <c r="C24" s="2" t="s">
        <v>676</v>
      </c>
      <c r="D24" s="2" t="b">
        <f aca="false">TRUE()</f>
        <v>1</v>
      </c>
      <c r="E24" s="2" t="s">
        <v>677</v>
      </c>
      <c r="F24" s="2" t="s">
        <v>678</v>
      </c>
      <c r="G24" s="2" t="s">
        <v>259</v>
      </c>
      <c r="H24" s="2" t="s">
        <v>259</v>
      </c>
      <c r="I24" s="2" t="s">
        <v>679</v>
      </c>
      <c r="J24" s="2" t="n">
        <v>2</v>
      </c>
      <c r="K24" s="2" t="s">
        <v>680</v>
      </c>
      <c r="L24" s="2" t="n">
        <v>1333333</v>
      </c>
      <c r="M24" s="2" t="s">
        <v>681</v>
      </c>
    </row>
    <row r="25" customFormat="false" ht="12.8" hidden="false" customHeight="false" outlineLevel="0" collapsed="false">
      <c r="A25" s="2" t="s">
        <v>682</v>
      </c>
      <c r="B25" s="2" t="s">
        <v>144</v>
      </c>
      <c r="C25" s="2" t="s">
        <v>683</v>
      </c>
      <c r="D25" s="2" t="b">
        <f aca="false">TRUE()</f>
        <v>1</v>
      </c>
      <c r="E25" s="2" t="s">
        <v>684</v>
      </c>
      <c r="F25" s="2" t="s">
        <v>685</v>
      </c>
      <c r="G25" s="2" t="s">
        <v>259</v>
      </c>
      <c r="H25" s="2" t="s">
        <v>259</v>
      </c>
      <c r="I25" s="2" t="s">
        <v>686</v>
      </c>
      <c r="J25" s="2" t="n">
        <v>3</v>
      </c>
      <c r="K25" s="2" t="s">
        <v>687</v>
      </c>
      <c r="L25" s="2" t="n">
        <v>15000</v>
      </c>
      <c r="M25" s="2" t="s">
        <v>688</v>
      </c>
    </row>
    <row r="26" customFormat="false" ht="12.8" hidden="false" customHeight="false" outlineLevel="0" collapsed="false">
      <c r="A26" s="2" t="s">
        <v>490</v>
      </c>
      <c r="B26" s="2" t="s">
        <v>153</v>
      </c>
      <c r="C26" s="2" t="s">
        <v>689</v>
      </c>
      <c r="D26" s="2" t="s">
        <v>690</v>
      </c>
      <c r="E26" s="2" t="s">
        <v>691</v>
      </c>
      <c r="F26" s="2" t="s">
        <v>692</v>
      </c>
      <c r="G26" s="2" t="s">
        <v>693</v>
      </c>
      <c r="H26" s="2" t="s">
        <v>694</v>
      </c>
      <c r="I26" s="2" t="s">
        <v>695</v>
      </c>
      <c r="J26" s="2" t="n">
        <v>12</v>
      </c>
      <c r="K26" s="2" t="s">
        <v>696</v>
      </c>
      <c r="L26" s="2" t="n">
        <v>800000</v>
      </c>
      <c r="M26" s="2" t="s">
        <v>697</v>
      </c>
    </row>
    <row r="27" customFormat="false" ht="12.8" hidden="false" customHeight="false" outlineLevel="0" collapsed="false">
      <c r="A27" s="2" t="s">
        <v>698</v>
      </c>
      <c r="B27" s="2" t="s">
        <v>153</v>
      </c>
      <c r="C27" s="2" t="s">
        <v>699</v>
      </c>
      <c r="D27" s="2" t="b">
        <f aca="false">TRUE()</f>
        <v>1</v>
      </c>
      <c r="E27" s="2" t="s">
        <v>700</v>
      </c>
      <c r="F27" s="2" t="s">
        <v>259</v>
      </c>
      <c r="G27" s="2" t="s">
        <v>259</v>
      </c>
      <c r="H27" s="2" t="s">
        <v>259</v>
      </c>
      <c r="I27" s="2" t="s">
        <v>701</v>
      </c>
      <c r="J27" s="2" t="n">
        <v>8</v>
      </c>
      <c r="K27" s="2" t="s">
        <v>702</v>
      </c>
      <c r="L27" s="2" t="n">
        <v>800000</v>
      </c>
      <c r="M27" s="2" t="s">
        <v>703</v>
      </c>
    </row>
    <row r="28" customFormat="false" ht="12.8" hidden="false" customHeight="false" outlineLevel="0" collapsed="false">
      <c r="A28" s="2" t="s">
        <v>704</v>
      </c>
      <c r="B28" s="2" t="s">
        <v>153</v>
      </c>
      <c r="C28" s="2" t="s">
        <v>705</v>
      </c>
      <c r="D28" s="2" t="b">
        <f aca="false">TRUE()</f>
        <v>1</v>
      </c>
      <c r="E28" s="2" t="s">
        <v>706</v>
      </c>
      <c r="F28" s="2" t="s">
        <v>259</v>
      </c>
      <c r="G28" s="2" t="s">
        <v>259</v>
      </c>
      <c r="H28" s="2" t="s">
        <v>259</v>
      </c>
      <c r="I28" s="2" t="s">
        <v>707</v>
      </c>
      <c r="J28" s="2" t="n">
        <v>2</v>
      </c>
      <c r="K28" s="2" t="s">
        <v>708</v>
      </c>
      <c r="L28" s="2" t="n">
        <v>1000000</v>
      </c>
      <c r="M28" s="2" t="s">
        <v>709</v>
      </c>
    </row>
    <row r="29" customFormat="false" ht="12.8" hidden="false" customHeight="false" outlineLevel="0" collapsed="false">
      <c r="A29" s="2" t="s">
        <v>710</v>
      </c>
      <c r="B29" s="2" t="s">
        <v>153</v>
      </c>
      <c r="C29" s="2" t="s">
        <v>711</v>
      </c>
      <c r="D29" s="2" t="b">
        <f aca="false">TRUE()</f>
        <v>1</v>
      </c>
      <c r="E29" s="2" t="s">
        <v>712</v>
      </c>
      <c r="F29" s="2" t="s">
        <v>713</v>
      </c>
      <c r="G29" s="2" t="s">
        <v>259</v>
      </c>
      <c r="H29" s="2" t="s">
        <v>259</v>
      </c>
      <c r="I29" s="2" t="s">
        <v>714</v>
      </c>
      <c r="J29" s="2" t="n">
        <v>2</v>
      </c>
      <c r="K29" s="2" t="s">
        <v>715</v>
      </c>
      <c r="L29" s="2" t="n">
        <v>666667</v>
      </c>
      <c r="M29" s="2" t="s">
        <v>716</v>
      </c>
    </row>
    <row r="30" customFormat="false" ht="12.8" hidden="false" customHeight="false" outlineLevel="0" collapsed="false">
      <c r="A30" s="2" t="s">
        <v>499</v>
      </c>
      <c r="B30" s="2" t="s">
        <v>161</v>
      </c>
      <c r="C30" s="2" t="s">
        <v>717</v>
      </c>
      <c r="D30" s="2" t="s">
        <v>718</v>
      </c>
      <c r="E30" s="2" t="s">
        <v>719</v>
      </c>
      <c r="F30" s="2" t="s">
        <v>720</v>
      </c>
      <c r="G30" s="2" t="s">
        <v>721</v>
      </c>
      <c r="H30" s="2" t="s">
        <v>722</v>
      </c>
      <c r="I30" s="2" t="s">
        <v>723</v>
      </c>
      <c r="J30" s="2" t="n">
        <v>2.5</v>
      </c>
      <c r="K30" s="2" t="s">
        <v>724</v>
      </c>
      <c r="L30" s="2" t="n">
        <v>12500</v>
      </c>
      <c r="M30" s="2" t="s">
        <v>725</v>
      </c>
    </row>
    <row r="31" customFormat="false" ht="12.8" hidden="false" customHeight="false" outlineLevel="0" collapsed="false">
      <c r="A31" s="2" t="s">
        <v>726</v>
      </c>
      <c r="B31" s="2" t="s">
        <v>161</v>
      </c>
      <c r="C31" s="2" t="s">
        <v>727</v>
      </c>
      <c r="D31" s="2" t="b">
        <f aca="false">TRUE()</f>
        <v>1</v>
      </c>
      <c r="E31" s="2" t="s">
        <v>728</v>
      </c>
      <c r="F31" s="2" t="s">
        <v>729</v>
      </c>
      <c r="G31" s="2" t="s">
        <v>259</v>
      </c>
      <c r="H31" s="2" t="s">
        <v>259</v>
      </c>
      <c r="I31" s="2" t="s">
        <v>730</v>
      </c>
      <c r="J31" s="2" t="n">
        <v>0.8</v>
      </c>
      <c r="K31" s="2" t="s">
        <v>731</v>
      </c>
      <c r="L31" s="2" t="n">
        <v>16000</v>
      </c>
      <c r="M31" s="2" t="s">
        <v>732</v>
      </c>
    </row>
    <row r="32" customFormat="false" ht="12.8" hidden="false" customHeight="false" outlineLevel="0" collapsed="false">
      <c r="A32" s="2" t="s">
        <v>733</v>
      </c>
      <c r="B32" s="2" t="s">
        <v>161</v>
      </c>
      <c r="C32" s="2" t="s">
        <v>734</v>
      </c>
      <c r="D32" s="2" t="b">
        <f aca="false">TRUE()</f>
        <v>1</v>
      </c>
      <c r="E32" s="2" t="s">
        <v>735</v>
      </c>
      <c r="F32" s="2" t="s">
        <v>736</v>
      </c>
      <c r="G32" s="2" t="s">
        <v>259</v>
      </c>
      <c r="H32" s="2" t="s">
        <v>259</v>
      </c>
      <c r="I32" s="2" t="s">
        <v>737</v>
      </c>
      <c r="J32" s="2" t="n">
        <v>1</v>
      </c>
      <c r="K32" s="2" t="s">
        <v>738</v>
      </c>
      <c r="L32" s="2" t="n">
        <v>10000</v>
      </c>
      <c r="M32" s="2" t="s">
        <v>739</v>
      </c>
    </row>
    <row r="33" customFormat="false" ht="12.8" hidden="false" customHeight="false" outlineLevel="0" collapsed="false">
      <c r="A33" s="2" t="s">
        <v>740</v>
      </c>
      <c r="B33" s="2" t="s">
        <v>161</v>
      </c>
      <c r="C33" s="2" t="s">
        <v>741</v>
      </c>
      <c r="D33" s="2" t="b">
        <f aca="false">TRUE()</f>
        <v>1</v>
      </c>
      <c r="E33" s="2" t="s">
        <v>742</v>
      </c>
      <c r="F33" s="2" t="s">
        <v>743</v>
      </c>
      <c r="G33" s="2" t="s">
        <v>744</v>
      </c>
      <c r="H33" s="2" t="s">
        <v>745</v>
      </c>
      <c r="I33" s="2" t="s">
        <v>746</v>
      </c>
      <c r="J33" s="2" t="n">
        <v>0.7</v>
      </c>
      <c r="K33" s="2" t="s">
        <v>747</v>
      </c>
      <c r="L33" s="2" t="n">
        <v>14000</v>
      </c>
      <c r="M33" s="2" t="s">
        <v>748</v>
      </c>
    </row>
    <row r="34" customFormat="false" ht="12.8" hidden="false" customHeight="false" outlineLevel="0" collapsed="false">
      <c r="A34" s="2" t="s">
        <v>507</v>
      </c>
      <c r="B34" s="2" t="s">
        <v>170</v>
      </c>
      <c r="C34" s="2" t="s">
        <v>749</v>
      </c>
      <c r="D34" s="2" t="s">
        <v>750</v>
      </c>
      <c r="E34" s="2" t="s">
        <v>751</v>
      </c>
      <c r="F34" s="2" t="s">
        <v>752</v>
      </c>
      <c r="G34" s="2" t="s">
        <v>753</v>
      </c>
      <c r="H34" s="2" t="s">
        <v>754</v>
      </c>
      <c r="I34" s="2" t="s">
        <v>755</v>
      </c>
      <c r="J34" s="2" t="n">
        <v>4</v>
      </c>
      <c r="K34" s="2" t="s">
        <v>756</v>
      </c>
      <c r="L34" s="2" t="n">
        <v>80000</v>
      </c>
      <c r="M34" s="2" t="s">
        <v>757</v>
      </c>
    </row>
    <row r="35" customFormat="false" ht="12.8" hidden="false" customHeight="false" outlineLevel="0" collapsed="false">
      <c r="A35" s="2" t="s">
        <v>758</v>
      </c>
      <c r="B35" s="2" t="s">
        <v>170</v>
      </c>
      <c r="C35" s="2" t="s">
        <v>759</v>
      </c>
      <c r="D35" s="2" t="b">
        <f aca="false">TRUE()</f>
        <v>1</v>
      </c>
      <c r="E35" s="2" t="s">
        <v>760</v>
      </c>
      <c r="F35" s="2" t="s">
        <v>761</v>
      </c>
      <c r="G35" s="2" t="s">
        <v>259</v>
      </c>
      <c r="H35" s="2" t="s">
        <v>259</v>
      </c>
      <c r="I35" s="2" t="s">
        <v>762</v>
      </c>
      <c r="J35" s="2" t="n">
        <v>1.5</v>
      </c>
      <c r="K35" s="2" t="s">
        <v>763</v>
      </c>
      <c r="L35" s="2" t="n">
        <v>75000</v>
      </c>
      <c r="M35" s="2" t="s">
        <v>764</v>
      </c>
    </row>
    <row r="36" customFormat="false" ht="12.8" hidden="false" customHeight="false" outlineLevel="0" collapsed="false">
      <c r="A36" s="2" t="s">
        <v>765</v>
      </c>
      <c r="B36" s="2" t="s">
        <v>170</v>
      </c>
      <c r="C36" s="2" t="s">
        <v>766</v>
      </c>
      <c r="D36" s="2" t="b">
        <f aca="false">TRUE()</f>
        <v>1</v>
      </c>
      <c r="E36" s="2" t="s">
        <v>767</v>
      </c>
      <c r="F36" s="2" t="s">
        <v>259</v>
      </c>
      <c r="G36" s="2" t="s">
        <v>259</v>
      </c>
      <c r="H36" s="2" t="s">
        <v>259</v>
      </c>
      <c r="I36" s="2" t="s">
        <v>768</v>
      </c>
      <c r="J36" s="2" t="n">
        <v>2</v>
      </c>
      <c r="K36" s="2" t="s">
        <v>769</v>
      </c>
      <c r="L36" s="2" t="n">
        <v>400000</v>
      </c>
      <c r="M36" s="2" t="s">
        <v>770</v>
      </c>
    </row>
    <row r="37" customFormat="false" ht="12.8" hidden="false" customHeight="false" outlineLevel="0" collapsed="false">
      <c r="A37" s="2" t="s">
        <v>771</v>
      </c>
      <c r="B37" s="2" t="s">
        <v>170</v>
      </c>
      <c r="C37" s="2" t="s">
        <v>772</v>
      </c>
      <c r="D37" s="2" t="b">
        <f aca="false">TRUE()</f>
        <v>1</v>
      </c>
      <c r="E37" s="2" t="s">
        <v>773</v>
      </c>
      <c r="F37" s="2" t="s">
        <v>259</v>
      </c>
      <c r="G37" s="2" t="s">
        <v>259</v>
      </c>
      <c r="H37" s="2" t="s">
        <v>259</v>
      </c>
      <c r="I37" s="2" t="s">
        <v>774</v>
      </c>
      <c r="J37" s="2" t="n">
        <v>0.5</v>
      </c>
      <c r="K37" s="2" t="s">
        <v>775</v>
      </c>
      <c r="L37" s="2" t="n">
        <v>20000</v>
      </c>
      <c r="M37" s="2" t="s">
        <v>776</v>
      </c>
    </row>
    <row r="38" customFormat="false" ht="12.8" hidden="false" customHeight="false" outlineLevel="0" collapsed="false">
      <c r="A38" s="2" t="s">
        <v>514</v>
      </c>
      <c r="B38" s="2" t="s">
        <v>179</v>
      </c>
      <c r="C38" s="2" t="s">
        <v>777</v>
      </c>
      <c r="D38" s="2" t="s">
        <v>778</v>
      </c>
      <c r="E38" s="2" t="s">
        <v>779</v>
      </c>
      <c r="F38" s="2" t="s">
        <v>780</v>
      </c>
      <c r="G38" s="2" t="s">
        <v>781</v>
      </c>
      <c r="H38" s="2" t="s">
        <v>782</v>
      </c>
      <c r="I38" s="2" t="s">
        <v>783</v>
      </c>
      <c r="J38" s="2" t="n">
        <v>18</v>
      </c>
      <c r="K38" s="2" t="s">
        <v>784</v>
      </c>
      <c r="L38" s="2" t="n">
        <v>1800000</v>
      </c>
      <c r="M38" s="2" t="s">
        <v>785</v>
      </c>
    </row>
    <row r="39" customFormat="false" ht="12.8" hidden="false" customHeight="false" outlineLevel="0" collapsed="false">
      <c r="A39" s="2" t="s">
        <v>786</v>
      </c>
      <c r="B39" s="2" t="s">
        <v>179</v>
      </c>
      <c r="C39" s="2" t="s">
        <v>787</v>
      </c>
      <c r="D39" s="2" t="b">
        <f aca="false">TRUE()</f>
        <v>1</v>
      </c>
      <c r="E39" s="2" t="s">
        <v>788</v>
      </c>
      <c r="F39" s="2" t="s">
        <v>789</v>
      </c>
      <c r="G39" s="2" t="s">
        <v>790</v>
      </c>
      <c r="H39" s="2" t="s">
        <v>791</v>
      </c>
      <c r="I39" s="2" t="s">
        <v>792</v>
      </c>
      <c r="J39" s="2" t="n">
        <v>8</v>
      </c>
      <c r="K39" s="2" t="s">
        <v>793</v>
      </c>
      <c r="L39" s="2" t="n">
        <v>16000000</v>
      </c>
      <c r="M39" s="2" t="s">
        <v>794</v>
      </c>
    </row>
    <row r="40" customFormat="false" ht="12.8" hidden="false" customHeight="false" outlineLevel="0" collapsed="false">
      <c r="A40" s="2" t="s">
        <v>795</v>
      </c>
      <c r="B40" s="2" t="s">
        <v>179</v>
      </c>
      <c r="C40" s="2" t="s">
        <v>796</v>
      </c>
      <c r="D40" s="2" t="b">
        <f aca="false">TRUE()</f>
        <v>1</v>
      </c>
      <c r="E40" s="2" t="s">
        <v>797</v>
      </c>
      <c r="F40" s="2" t="s">
        <v>798</v>
      </c>
      <c r="G40" s="2" t="s">
        <v>259</v>
      </c>
      <c r="H40" s="2" t="s">
        <v>259</v>
      </c>
      <c r="I40" s="2" t="s">
        <v>799</v>
      </c>
      <c r="J40" s="2" t="n">
        <v>7</v>
      </c>
      <c r="K40" s="2" t="s">
        <v>800</v>
      </c>
      <c r="L40" s="2" t="n">
        <v>23333333</v>
      </c>
      <c r="M40" s="2" t="s">
        <v>801</v>
      </c>
    </row>
    <row r="41" customFormat="false" ht="12.8" hidden="false" customHeight="false" outlineLevel="0" collapsed="false">
      <c r="A41" s="2" t="s">
        <v>802</v>
      </c>
      <c r="B41" s="2" t="s">
        <v>179</v>
      </c>
      <c r="C41" s="2" t="s">
        <v>803</v>
      </c>
      <c r="D41" s="2" t="b">
        <f aca="false">TRUE()</f>
        <v>1</v>
      </c>
      <c r="E41" s="2" t="s">
        <v>804</v>
      </c>
      <c r="F41" s="2" t="s">
        <v>805</v>
      </c>
      <c r="G41" s="2" t="s">
        <v>259</v>
      </c>
      <c r="H41" s="2" t="s">
        <v>806</v>
      </c>
      <c r="I41" s="2" t="s">
        <v>807</v>
      </c>
      <c r="J41" s="2" t="n">
        <v>3</v>
      </c>
      <c r="K41" s="2" t="s">
        <v>808</v>
      </c>
      <c r="L41" s="2" t="n">
        <v>15000000</v>
      </c>
      <c r="M41" s="2" t="s">
        <v>809</v>
      </c>
    </row>
    <row r="42" customFormat="false" ht="12.8" hidden="false" customHeight="false" outlineLevel="0" collapsed="false">
      <c r="A42" s="2" t="s">
        <v>213</v>
      </c>
      <c r="B42" s="2" t="s">
        <v>810</v>
      </c>
      <c r="E42" s="2" t="s">
        <v>811</v>
      </c>
      <c r="F42" s="2" t="s">
        <v>812</v>
      </c>
      <c r="G42" s="2" t="s">
        <v>812</v>
      </c>
      <c r="H42" s="2" t="s">
        <v>812</v>
      </c>
      <c r="I42" s="2" t="s">
        <v>813</v>
      </c>
      <c r="J42" s="2" t="n">
        <v>76.5</v>
      </c>
      <c r="K42" s="2" t="s">
        <v>814</v>
      </c>
      <c r="L42" s="2" t="s">
        <v>815</v>
      </c>
      <c r="M42" s="2" t="s">
        <v>816</v>
      </c>
    </row>
    <row r="43" customFormat="false" ht="12.8" hidden="false" customHeight="false" outlineLevel="0" collapsed="false"/>
    <row r="44" customFormat="false" ht="12.8" hidden="false" customHeight="false" outlineLevel="0" collapsed="false">
      <c r="A44" s="7" t="s">
        <v>598</v>
      </c>
      <c r="B44" s="2" t="s">
        <v>817</v>
      </c>
    </row>
    <row r="45" customFormat="false" ht="12.8" hidden="false" customHeight="false" outlineLevel="0" collapsed="false">
      <c r="A45" s="2" t="s">
        <v>127</v>
      </c>
      <c r="B45" s="2" t="s">
        <v>464</v>
      </c>
      <c r="C45" s="2" t="s">
        <v>601</v>
      </c>
      <c r="D45" s="2" t="s">
        <v>602</v>
      </c>
      <c r="E45" s="2" t="s">
        <v>603</v>
      </c>
      <c r="F45" s="2" t="s">
        <v>604</v>
      </c>
      <c r="G45" s="2" t="s">
        <v>605</v>
      </c>
      <c r="H45" s="2" t="s">
        <v>606</v>
      </c>
      <c r="I45" s="2" t="s">
        <v>133</v>
      </c>
      <c r="J45" s="2" t="s">
        <v>607</v>
      </c>
      <c r="K45" s="2" t="s">
        <v>608</v>
      </c>
      <c r="L45" s="2" t="s">
        <v>609</v>
      </c>
    </row>
    <row r="46" customFormat="false" ht="12.8" hidden="false" customHeight="false" outlineLevel="0" collapsed="false">
      <c r="A46" s="2" t="s">
        <v>472</v>
      </c>
      <c r="B46" s="2" t="s">
        <v>135</v>
      </c>
      <c r="C46" s="2" t="s">
        <v>818</v>
      </c>
      <c r="D46" s="2" t="s">
        <v>819</v>
      </c>
      <c r="E46" s="2" t="s">
        <v>820</v>
      </c>
      <c r="F46" s="2" t="s">
        <v>821</v>
      </c>
      <c r="G46" s="2" t="s">
        <v>822</v>
      </c>
      <c r="H46" s="2" t="s">
        <v>823</v>
      </c>
      <c r="I46" s="2" t="n">
        <v>15</v>
      </c>
      <c r="J46" s="2" t="s">
        <v>617</v>
      </c>
      <c r="K46" s="2" t="n">
        <v>30000</v>
      </c>
      <c r="L46" s="2" t="s">
        <v>824</v>
      </c>
    </row>
    <row r="47" customFormat="false" ht="12.8" hidden="false" customHeight="false" outlineLevel="0" collapsed="false">
      <c r="A47" s="2" t="s">
        <v>482</v>
      </c>
      <c r="B47" s="2" t="s">
        <v>144</v>
      </c>
      <c r="C47" s="2" t="s">
        <v>825</v>
      </c>
      <c r="D47" s="2" t="s">
        <v>826</v>
      </c>
      <c r="E47" s="2" t="s">
        <v>827</v>
      </c>
      <c r="F47" s="2" t="s">
        <v>828</v>
      </c>
      <c r="G47" s="2" t="s">
        <v>829</v>
      </c>
      <c r="H47" s="2" t="s">
        <v>830</v>
      </c>
      <c r="I47" s="2" t="n">
        <v>25</v>
      </c>
      <c r="J47" s="2" t="s">
        <v>661</v>
      </c>
      <c r="K47" s="2" t="n">
        <v>83333</v>
      </c>
      <c r="L47" s="2" t="s">
        <v>831</v>
      </c>
    </row>
    <row r="48" customFormat="false" ht="12.8" hidden="false" customHeight="false" outlineLevel="0" collapsed="false">
      <c r="A48" s="2" t="s">
        <v>490</v>
      </c>
      <c r="B48" s="2" t="s">
        <v>153</v>
      </c>
      <c r="C48" s="2" t="s">
        <v>832</v>
      </c>
      <c r="D48" s="2" t="s">
        <v>833</v>
      </c>
      <c r="E48" s="2" t="s">
        <v>834</v>
      </c>
      <c r="F48" s="2" t="s">
        <v>835</v>
      </c>
      <c r="G48" s="2" t="s">
        <v>836</v>
      </c>
      <c r="H48" s="2" t="s">
        <v>837</v>
      </c>
      <c r="I48" s="2" t="n">
        <v>12</v>
      </c>
      <c r="J48" s="2" t="s">
        <v>696</v>
      </c>
      <c r="K48" s="2" t="n">
        <v>800000</v>
      </c>
      <c r="L48" s="2" t="s">
        <v>838</v>
      </c>
    </row>
    <row r="49" customFormat="false" ht="12.8" hidden="false" customHeight="false" outlineLevel="0" collapsed="false">
      <c r="A49" s="2" t="s">
        <v>499</v>
      </c>
      <c r="B49" s="2" t="s">
        <v>161</v>
      </c>
      <c r="C49" s="2" t="s">
        <v>839</v>
      </c>
      <c r="D49" s="2" t="s">
        <v>840</v>
      </c>
      <c r="E49" s="2" t="s">
        <v>841</v>
      </c>
      <c r="F49" s="2" t="s">
        <v>842</v>
      </c>
      <c r="G49" s="2" t="s">
        <v>843</v>
      </c>
      <c r="H49" s="2" t="s">
        <v>844</v>
      </c>
      <c r="I49" s="2" t="n">
        <v>2.5</v>
      </c>
      <c r="J49" s="2" t="s">
        <v>724</v>
      </c>
      <c r="K49" s="2" t="n">
        <v>12500</v>
      </c>
      <c r="L49" s="2" t="s">
        <v>845</v>
      </c>
    </row>
    <row r="50" customFormat="false" ht="12.8" hidden="false" customHeight="false" outlineLevel="0" collapsed="false">
      <c r="A50" s="2" t="s">
        <v>507</v>
      </c>
      <c r="B50" s="2" t="s">
        <v>170</v>
      </c>
      <c r="C50" s="2" t="s">
        <v>846</v>
      </c>
      <c r="D50" s="2" t="s">
        <v>847</v>
      </c>
      <c r="E50" s="2" t="s">
        <v>848</v>
      </c>
      <c r="F50" s="2" t="s">
        <v>753</v>
      </c>
      <c r="G50" s="2" t="s">
        <v>849</v>
      </c>
      <c r="H50" s="2" t="s">
        <v>850</v>
      </c>
      <c r="I50" s="2" t="n">
        <v>4</v>
      </c>
      <c r="J50" s="2" t="s">
        <v>756</v>
      </c>
      <c r="K50" s="2" t="n">
        <v>80000</v>
      </c>
      <c r="L50" s="2" t="s">
        <v>851</v>
      </c>
    </row>
    <row r="51" customFormat="false" ht="12.8" hidden="false" customHeight="false" outlineLevel="0" collapsed="false">
      <c r="A51" s="2" t="s">
        <v>514</v>
      </c>
      <c r="B51" s="2" t="s">
        <v>179</v>
      </c>
      <c r="C51" s="2" t="s">
        <v>852</v>
      </c>
      <c r="D51" s="2" t="s">
        <v>853</v>
      </c>
      <c r="E51" s="2" t="s">
        <v>854</v>
      </c>
      <c r="F51" s="2" t="s">
        <v>855</v>
      </c>
      <c r="G51" s="2" t="s">
        <v>856</v>
      </c>
      <c r="H51" s="2" t="s">
        <v>857</v>
      </c>
      <c r="I51" s="2" t="n">
        <v>18</v>
      </c>
      <c r="J51" s="2" t="s">
        <v>784</v>
      </c>
      <c r="K51" s="2" t="n">
        <v>1800000</v>
      </c>
      <c r="L51" s="2" t="s">
        <v>858</v>
      </c>
    </row>
    <row r="52" customFormat="false" ht="12.8" hidden="false" customHeight="false" outlineLevel="0" collapsed="false">
      <c r="A52" s="2" t="s">
        <v>523</v>
      </c>
      <c r="B52" s="2" t="s">
        <v>188</v>
      </c>
      <c r="C52" s="2" t="s">
        <v>859</v>
      </c>
      <c r="D52" s="2" t="s">
        <v>860</v>
      </c>
      <c r="E52" s="2" t="s">
        <v>861</v>
      </c>
      <c r="F52" s="2" t="s">
        <v>862</v>
      </c>
      <c r="G52" s="2" t="s">
        <v>863</v>
      </c>
      <c r="H52" s="2" t="s">
        <v>864</v>
      </c>
      <c r="I52" s="2" t="n">
        <v>8</v>
      </c>
      <c r="J52" s="2" t="s">
        <v>865</v>
      </c>
      <c r="K52" s="2" t="n">
        <v>80000</v>
      </c>
      <c r="L52" s="2" t="s">
        <v>866</v>
      </c>
    </row>
    <row r="53" customFormat="false" ht="12.8" hidden="false" customHeight="false" outlineLevel="0" collapsed="false">
      <c r="A53" s="2" t="s">
        <v>529</v>
      </c>
      <c r="B53" s="2" t="s">
        <v>196</v>
      </c>
      <c r="C53" s="2" t="s">
        <v>867</v>
      </c>
      <c r="D53" s="2" t="s">
        <v>868</v>
      </c>
      <c r="E53" s="2" t="s">
        <v>869</v>
      </c>
      <c r="F53" s="2" t="s">
        <v>870</v>
      </c>
      <c r="G53" s="2" t="s">
        <v>871</v>
      </c>
      <c r="H53" s="2" t="s">
        <v>872</v>
      </c>
      <c r="I53" s="2" t="s">
        <v>873</v>
      </c>
      <c r="J53" s="2" t="s">
        <v>874</v>
      </c>
      <c r="K53" s="2" t="n">
        <v>250000</v>
      </c>
      <c r="L53" s="2" t="s">
        <v>875</v>
      </c>
    </row>
    <row r="54" customFormat="false" ht="12.8" hidden="false" customHeight="false" outlineLevel="0" collapsed="false">
      <c r="A54" s="2" t="s">
        <v>538</v>
      </c>
      <c r="B54" s="2" t="s">
        <v>205</v>
      </c>
      <c r="C54" s="2" t="s">
        <v>876</v>
      </c>
      <c r="D54" s="2" t="s">
        <v>877</v>
      </c>
      <c r="E54" s="2" t="s">
        <v>878</v>
      </c>
      <c r="F54" s="2" t="s">
        <v>879</v>
      </c>
      <c r="G54" s="2" t="s">
        <v>880</v>
      </c>
      <c r="H54" s="2" t="s">
        <v>881</v>
      </c>
      <c r="I54" s="2" t="s">
        <v>882</v>
      </c>
      <c r="J54" s="2" t="s">
        <v>883</v>
      </c>
      <c r="K54" s="2" t="n">
        <v>100000</v>
      </c>
      <c r="L54" s="2" t="s">
        <v>884</v>
      </c>
    </row>
    <row r="55" customFormat="false" ht="12.8" hidden="false" customHeight="false" outlineLevel="0" collapsed="false">
      <c r="A55" s="2" t="s">
        <v>213</v>
      </c>
      <c r="B55" s="2" t="s">
        <v>885</v>
      </c>
      <c r="E55" s="2" t="s">
        <v>886</v>
      </c>
      <c r="F55" s="2" t="s">
        <v>887</v>
      </c>
      <c r="G55" s="2" t="s">
        <v>549</v>
      </c>
      <c r="H55" s="2" t="s">
        <v>888</v>
      </c>
      <c r="I55" s="2" t="n">
        <v>139.5</v>
      </c>
      <c r="J55" s="2" t="s">
        <v>889</v>
      </c>
      <c r="K55" s="2" t="s">
        <v>890</v>
      </c>
      <c r="L55" s="2" t="s">
        <v>891</v>
      </c>
    </row>
    <row r="56" customFormat="false" ht="12.8" hidden="false" customHeight="false" outlineLevel="0" collapsed="false"/>
    <row r="57" s="7" customFormat="true" ht="12.8" hidden="false" customHeight="false" outlineLevel="0" collapsed="false">
      <c r="XFD57" s="0"/>
    </row>
    <row r="58" s="7" customFormat="true" ht="12.8" hidden="false" customHeight="false" outlineLevel="0" collapsed="false">
      <c r="XFD58" s="0"/>
    </row>
    <row r="59" s="7" customFormat="true" ht="12.8" hidden="false" customHeight="false" outlineLevel="0" collapsed="false">
      <c r="XFD59" s="0"/>
    </row>
    <row r="60" s="7" customFormat="true" ht="12.8" hidden="false" customHeight="false" outlineLevel="0" collapsed="false">
      <c r="XFD60" s="0"/>
    </row>
    <row r="61" s="7" customFormat="true" ht="12.8" hidden="false" customHeight="false" outlineLevel="0" collapsed="false">
      <c r="XFD61" s="0"/>
    </row>
    <row r="62" s="7" customFormat="true" ht="12.8" hidden="false" customHeight="false" outlineLevel="0" collapsed="false">
      <c r="XFD62" s="0"/>
    </row>
    <row r="63" s="7" customFormat="true" ht="12.8" hidden="false" customHeight="false" outlineLevel="0" collapsed="false">
      <c r="XFD63" s="0"/>
    </row>
    <row r="64" s="7" customFormat="true" ht="12.8" hidden="false" customHeight="false" outlineLevel="0" collapsed="false">
      <c r="XFD64" s="0"/>
    </row>
    <row r="65" s="7" customFormat="true" ht="12.8" hidden="false" customHeight="false" outlineLevel="0" collapsed="false">
      <c r="XFD65" s="0"/>
    </row>
    <row r="66" s="7" customFormat="true" ht="12.8" hidden="false" customHeight="false" outlineLevel="0" collapsed="false">
      <c r="XFD66" s="0"/>
    </row>
    <row r="67" s="7" customFormat="true" ht="12.8" hidden="false" customHeight="false" outlineLevel="0" collapsed="false">
      <c r="XFD67" s="0"/>
    </row>
    <row r="68" s="7" customFormat="true" ht="12.8" hidden="false" customHeight="false" outlineLevel="0" collapsed="false">
      <c r="XFD68" s="0"/>
    </row>
    <row r="69" customFormat="false" ht="12.8" hidden="false" customHeight="false" outlineLevel="0" collapsed="false"/>
    <row r="71" s="7" customFormat="true" ht="12.8" hidden="false" customHeight="false" outlineLevel="0" collapsed="false">
      <c r="XFD71" s="0"/>
    </row>
    <row r="72" s="7" customFormat="true" ht="12.8" hidden="false" customHeight="false" outlineLevel="0" collapsed="false">
      <c r="XFD72" s="0"/>
    </row>
    <row r="73" s="7" customFormat="true" ht="12.8" hidden="false" customHeight="false" outlineLevel="0" collapsed="false">
      <c r="XFD73" s="0"/>
    </row>
    <row r="74" s="7" customFormat="true" ht="12.8" hidden="false" customHeight="false" outlineLevel="0" collapsed="false">
      <c r="XFD74" s="0"/>
    </row>
    <row r="75" s="7" customFormat="true" ht="12.8" hidden="false" customHeight="false" outlineLevel="0" collapsed="false">
      <c r="XFD75" s="0"/>
    </row>
    <row r="76" s="7" customFormat="true" ht="12.8" hidden="false" customHeight="false" outlineLevel="0" collapsed="false">
      <c r="XFD76" s="0"/>
    </row>
    <row r="77" s="7" customFormat="true" ht="12.8" hidden="false" customHeight="false" outlineLevel="0" collapsed="false">
      <c r="XFD77" s="0"/>
    </row>
    <row r="78" s="7" customFormat="true" ht="12.8" hidden="false" customHeight="false" outlineLevel="0" collapsed="false">
      <c r="XFD78" s="0"/>
    </row>
    <row r="79" s="7" customFormat="true" ht="12.8" hidden="false" customHeight="false" outlineLevel="0" collapsed="false">
      <c r="XFD7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" activeCellId="0" sqref="A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7" t="s">
        <v>892</v>
      </c>
    </row>
    <row r="2" customFormat="false" ht="23.85" hidden="false" customHeight="false" outlineLevel="0" collapsed="false">
      <c r="A2" s="4" t="s">
        <v>893</v>
      </c>
      <c r="B2" s="4" t="s">
        <v>894</v>
      </c>
      <c r="C2" s="4" t="s">
        <v>895</v>
      </c>
      <c r="D2" s="4" t="s">
        <v>896</v>
      </c>
      <c r="E2" s="4" t="s">
        <v>897</v>
      </c>
      <c r="F2" s="4" t="s">
        <v>898</v>
      </c>
      <c r="G2" s="4" t="s">
        <v>899</v>
      </c>
      <c r="H2" s="4" t="s">
        <v>900</v>
      </c>
      <c r="I2" s="4" t="s">
        <v>901</v>
      </c>
      <c r="J2" s="4" t="s">
        <v>902</v>
      </c>
      <c r="K2" s="4" t="s">
        <v>903</v>
      </c>
      <c r="L2" s="4" t="s">
        <v>904</v>
      </c>
      <c r="M2" s="4" t="s">
        <v>905</v>
      </c>
      <c r="N2" s="4" t="s">
        <v>906</v>
      </c>
      <c r="O2" s="4" t="s">
        <v>907</v>
      </c>
      <c r="P2" s="4" t="s">
        <v>908</v>
      </c>
      <c r="Q2" s="4" t="s">
        <v>909</v>
      </c>
      <c r="R2" s="4" t="s">
        <v>910</v>
      </c>
      <c r="S2" s="4" t="s">
        <v>911</v>
      </c>
      <c r="T2" s="4" t="s">
        <v>912</v>
      </c>
      <c r="U2" s="4" t="s">
        <v>913</v>
      </c>
      <c r="V2" s="4" t="s">
        <v>914</v>
      </c>
    </row>
    <row r="3" customFormat="false" ht="23.85" hidden="false" customHeight="false" outlineLevel="0" collapsed="false">
      <c r="A3" s="17" t="n">
        <v>0</v>
      </c>
      <c r="B3" s="17" t="s">
        <v>915</v>
      </c>
      <c r="C3" s="17" t="n">
        <v>50000</v>
      </c>
      <c r="D3" s="17" t="n">
        <v>110000</v>
      </c>
      <c r="E3" s="17" t="n">
        <v>8000</v>
      </c>
      <c r="F3" s="17" t="n">
        <v>15000</v>
      </c>
      <c r="G3" s="17" t="n">
        <v>10000</v>
      </c>
      <c r="H3" s="17" t="n">
        <v>20000</v>
      </c>
      <c r="I3" s="17" t="n">
        <v>5000</v>
      </c>
      <c r="J3" s="17" t="n">
        <v>10000</v>
      </c>
      <c r="K3" s="17" t="n">
        <v>2000</v>
      </c>
      <c r="L3" s="17" t="n">
        <v>4000</v>
      </c>
      <c r="M3" s="17" t="n">
        <v>3000</v>
      </c>
      <c r="N3" s="17" t="n">
        <v>6000</v>
      </c>
      <c r="O3" s="17" t="n">
        <v>10000</v>
      </c>
      <c r="P3" s="17" t="n">
        <v>20000</v>
      </c>
      <c r="Q3" s="17" t="n">
        <v>4000</v>
      </c>
      <c r="R3" s="17" t="n">
        <v>8000</v>
      </c>
      <c r="S3" s="17" t="n">
        <v>5000</v>
      </c>
      <c r="T3" s="17" t="n">
        <v>10000</v>
      </c>
      <c r="U3" s="17" t="n">
        <v>2000</v>
      </c>
      <c r="V3" s="17" t="n">
        <v>5000</v>
      </c>
    </row>
    <row r="4" customFormat="false" ht="12.8" hidden="false" customHeight="false" outlineLevel="0" collapsed="false">
      <c r="A4" s="17" t="n">
        <v>1</v>
      </c>
      <c r="B4" s="17" t="s">
        <v>916</v>
      </c>
      <c r="C4" s="17" t="n">
        <v>55000</v>
      </c>
      <c r="D4" s="17" t="n">
        <v>120000</v>
      </c>
      <c r="E4" s="17" t="n">
        <v>8500</v>
      </c>
      <c r="F4" s="17" t="n">
        <v>16000</v>
      </c>
      <c r="G4" s="17" t="n">
        <v>11000</v>
      </c>
      <c r="H4" s="17" t="n">
        <v>22000</v>
      </c>
      <c r="I4" s="17" t="n">
        <v>5500</v>
      </c>
      <c r="J4" s="17" t="n">
        <v>11000</v>
      </c>
      <c r="K4" s="17" t="n">
        <v>2200</v>
      </c>
      <c r="L4" s="17" t="n">
        <v>4400</v>
      </c>
      <c r="M4" s="17" t="n">
        <v>3200</v>
      </c>
      <c r="N4" s="17" t="n">
        <v>6400</v>
      </c>
      <c r="O4" s="17" t="n">
        <v>11000</v>
      </c>
      <c r="P4" s="17" t="n">
        <v>22000</v>
      </c>
      <c r="Q4" s="17" t="n">
        <v>4400</v>
      </c>
      <c r="R4" s="17" t="n">
        <v>8800</v>
      </c>
      <c r="S4" s="17" t="n">
        <v>5500</v>
      </c>
      <c r="T4" s="17" t="n">
        <v>11000</v>
      </c>
      <c r="U4" s="17" t="n">
        <v>2200</v>
      </c>
      <c r="V4" s="17" t="n">
        <v>5500</v>
      </c>
    </row>
    <row r="5" customFormat="false" ht="12.8" hidden="false" customHeight="false" outlineLevel="0" collapsed="false">
      <c r="A5" s="17" t="n">
        <v>2</v>
      </c>
      <c r="B5" s="17" t="s">
        <v>917</v>
      </c>
      <c r="C5" s="17" t="n">
        <v>60000</v>
      </c>
      <c r="D5" s="17" t="n">
        <v>135000</v>
      </c>
      <c r="E5" s="17" t="n">
        <v>9000</v>
      </c>
      <c r="F5" s="17" t="n">
        <v>18000</v>
      </c>
      <c r="G5" s="17" t="n">
        <v>12000</v>
      </c>
      <c r="H5" s="17" t="n">
        <v>24000</v>
      </c>
      <c r="I5" s="17" t="n">
        <v>6000</v>
      </c>
      <c r="J5" s="17" t="n">
        <v>12000</v>
      </c>
      <c r="K5" s="17" t="n">
        <v>2400</v>
      </c>
      <c r="L5" s="17" t="n">
        <v>4800</v>
      </c>
      <c r="M5" s="17" t="n">
        <v>3500</v>
      </c>
      <c r="N5" s="17" t="n">
        <v>7000</v>
      </c>
      <c r="O5" s="17" t="n">
        <v>12000</v>
      </c>
      <c r="P5" s="17" t="n">
        <v>24000</v>
      </c>
      <c r="Q5" s="17" t="n">
        <v>4800</v>
      </c>
      <c r="R5" s="17" t="n">
        <v>9600</v>
      </c>
      <c r="S5" s="17" t="n">
        <v>6000</v>
      </c>
      <c r="T5" s="17" t="n">
        <v>12000</v>
      </c>
      <c r="U5" s="17" t="n">
        <v>2400</v>
      </c>
      <c r="V5" s="17" t="n">
        <v>6000</v>
      </c>
    </row>
    <row r="6" customFormat="false" ht="12.8" hidden="false" customHeight="false" outlineLevel="0" collapsed="false">
      <c r="A6" s="17" t="n">
        <v>3</v>
      </c>
      <c r="B6" s="17" t="s">
        <v>918</v>
      </c>
      <c r="C6" s="17" t="n">
        <v>65000</v>
      </c>
      <c r="D6" s="17" t="n">
        <v>145000</v>
      </c>
      <c r="E6" s="17" t="n">
        <v>9500</v>
      </c>
      <c r="F6" s="17" t="n">
        <v>19000</v>
      </c>
      <c r="G6" s="17" t="n">
        <v>13000</v>
      </c>
      <c r="H6" s="17" t="n">
        <v>26000</v>
      </c>
      <c r="I6" s="17" t="n">
        <v>6500</v>
      </c>
      <c r="J6" s="17" t="n">
        <v>13000</v>
      </c>
      <c r="K6" s="17" t="n">
        <v>2600</v>
      </c>
      <c r="L6" s="17" t="n">
        <v>5200</v>
      </c>
      <c r="M6" s="17" t="n">
        <v>3700</v>
      </c>
      <c r="N6" s="17" t="n">
        <v>7400</v>
      </c>
      <c r="O6" s="17" t="n">
        <v>13000</v>
      </c>
      <c r="P6" s="17" t="n">
        <v>26000</v>
      </c>
      <c r="Q6" s="17" t="n">
        <v>5200</v>
      </c>
      <c r="R6" s="17" t="n">
        <v>10400</v>
      </c>
      <c r="S6" s="17" t="n">
        <v>6500</v>
      </c>
      <c r="T6" s="17" t="n">
        <v>13000</v>
      </c>
      <c r="U6" s="17" t="n">
        <v>2600</v>
      </c>
      <c r="V6" s="17" t="n">
        <v>6500</v>
      </c>
    </row>
    <row r="7" customFormat="false" ht="23.85" hidden="false" customHeight="false" outlineLevel="0" collapsed="false">
      <c r="A7" s="17" t="n">
        <v>4</v>
      </c>
      <c r="B7" s="17" t="s">
        <v>919</v>
      </c>
      <c r="C7" s="17" t="n">
        <v>70000</v>
      </c>
      <c r="D7" s="17" t="n">
        <v>160000</v>
      </c>
      <c r="E7" s="17" t="n">
        <v>10000</v>
      </c>
      <c r="F7" s="17" t="n">
        <v>20000</v>
      </c>
      <c r="G7" s="17" t="n">
        <v>14000</v>
      </c>
      <c r="H7" s="17" t="n">
        <v>28000</v>
      </c>
      <c r="I7" s="17" t="n">
        <v>7000</v>
      </c>
      <c r="J7" s="17" t="n">
        <v>14000</v>
      </c>
      <c r="K7" s="17" t="n">
        <v>2800</v>
      </c>
      <c r="L7" s="17" t="n">
        <v>5600</v>
      </c>
      <c r="M7" s="17" t="n">
        <v>4000</v>
      </c>
      <c r="N7" s="17" t="n">
        <v>8000</v>
      </c>
      <c r="O7" s="17" t="n">
        <v>14000</v>
      </c>
      <c r="P7" s="17" t="n">
        <v>28000</v>
      </c>
      <c r="Q7" s="17" t="n">
        <v>5600</v>
      </c>
      <c r="R7" s="17" t="n">
        <v>11200</v>
      </c>
      <c r="S7" s="17" t="n">
        <v>7000</v>
      </c>
      <c r="T7" s="17" t="n">
        <v>14000</v>
      </c>
      <c r="U7" s="17" t="n">
        <v>2800</v>
      </c>
      <c r="V7" s="17" t="n">
        <v>7000</v>
      </c>
    </row>
    <row r="8" customFormat="false" ht="12.8" hidden="false" customHeight="false" outlineLevel="0" collapsed="false">
      <c r="A8" s="17" t="n">
        <v>5</v>
      </c>
      <c r="B8" s="17" t="s">
        <v>920</v>
      </c>
      <c r="C8" s="17" t="n">
        <v>75000</v>
      </c>
      <c r="D8" s="17" t="n">
        <v>175000</v>
      </c>
      <c r="E8" s="17" t="n">
        <v>11000</v>
      </c>
      <c r="F8" s="17" t="n">
        <v>22000</v>
      </c>
      <c r="G8" s="17" t="n">
        <v>15000</v>
      </c>
      <c r="H8" s="17" t="n">
        <v>30000</v>
      </c>
      <c r="I8" s="17" t="n">
        <v>7500</v>
      </c>
      <c r="J8" s="17" t="n">
        <v>15000</v>
      </c>
      <c r="K8" s="17" t="n">
        <v>3000</v>
      </c>
      <c r="L8" s="17" t="n">
        <v>6000</v>
      </c>
      <c r="M8" s="17" t="n">
        <v>4200</v>
      </c>
      <c r="N8" s="17" t="n">
        <v>8400</v>
      </c>
      <c r="O8" s="17" t="n">
        <v>15000</v>
      </c>
      <c r="P8" s="17" t="n">
        <v>30000</v>
      </c>
      <c r="Q8" s="17" t="n">
        <v>6000</v>
      </c>
      <c r="R8" s="17" t="n">
        <v>12000</v>
      </c>
      <c r="S8" s="17" t="n">
        <v>7500</v>
      </c>
      <c r="T8" s="17" t="n">
        <v>15000</v>
      </c>
      <c r="U8" s="17" t="n">
        <v>3000</v>
      </c>
      <c r="V8" s="17" t="n">
        <v>7500</v>
      </c>
    </row>
    <row r="9" customFormat="false" ht="12.8" hidden="false" customHeight="false" outlineLevel="0" collapsed="false">
      <c r="A9" s="17" t="n">
        <v>6</v>
      </c>
      <c r="B9" s="17" t="s">
        <v>921</v>
      </c>
      <c r="C9" s="17" t="n">
        <v>80000</v>
      </c>
      <c r="D9" s="17" t="n">
        <v>190000</v>
      </c>
      <c r="E9" s="17" t="n">
        <v>12000</v>
      </c>
      <c r="F9" s="17" t="n">
        <v>24000</v>
      </c>
      <c r="G9" s="17" t="n">
        <v>16000</v>
      </c>
      <c r="H9" s="17" t="n">
        <v>32000</v>
      </c>
      <c r="I9" s="17" t="n">
        <v>8000</v>
      </c>
      <c r="J9" s="17" t="n">
        <v>16000</v>
      </c>
      <c r="K9" s="17" t="n">
        <v>3200</v>
      </c>
      <c r="L9" s="17" t="n">
        <v>6400</v>
      </c>
      <c r="M9" s="17" t="n">
        <v>4500</v>
      </c>
      <c r="N9" s="17" t="n">
        <v>9000</v>
      </c>
      <c r="O9" s="17" t="n">
        <v>16000</v>
      </c>
      <c r="P9" s="17" t="n">
        <v>32000</v>
      </c>
      <c r="Q9" s="17" t="n">
        <v>6400</v>
      </c>
      <c r="R9" s="17" t="n">
        <v>12800</v>
      </c>
      <c r="S9" s="17" t="n">
        <v>8000</v>
      </c>
      <c r="T9" s="17" t="n">
        <v>16000</v>
      </c>
      <c r="U9" s="17" t="n">
        <v>3200</v>
      </c>
      <c r="V9" s="17" t="n">
        <v>8000</v>
      </c>
    </row>
    <row r="10" customFormat="false" ht="35.05" hidden="false" customHeight="false" outlineLevel="0" collapsed="false">
      <c r="A10" s="17" t="n">
        <v>7</v>
      </c>
      <c r="B10" s="17" t="s">
        <v>922</v>
      </c>
      <c r="C10" s="17" t="n">
        <v>90000</v>
      </c>
      <c r="D10" s="17" t="n">
        <v>215000</v>
      </c>
      <c r="E10" s="17" t="n">
        <v>14000</v>
      </c>
      <c r="F10" s="17" t="n">
        <v>28000</v>
      </c>
      <c r="G10" s="17" t="n">
        <v>18000</v>
      </c>
      <c r="H10" s="17" t="n">
        <v>36000</v>
      </c>
      <c r="I10" s="17" t="n">
        <v>9000</v>
      </c>
      <c r="J10" s="17" t="n">
        <v>18000</v>
      </c>
      <c r="K10" s="17" t="n">
        <v>3600</v>
      </c>
      <c r="L10" s="17" t="n">
        <v>7200</v>
      </c>
      <c r="M10" s="17" t="n">
        <v>5000</v>
      </c>
      <c r="N10" s="17" t="n">
        <v>10000</v>
      </c>
      <c r="O10" s="17" t="n">
        <v>18000</v>
      </c>
      <c r="P10" s="17" t="n">
        <v>36000</v>
      </c>
      <c r="Q10" s="17" t="n">
        <v>7200</v>
      </c>
      <c r="R10" s="17" t="n">
        <v>14400</v>
      </c>
      <c r="S10" s="17" t="n">
        <v>9000</v>
      </c>
      <c r="T10" s="17" t="n">
        <v>18000</v>
      </c>
      <c r="U10" s="17" t="n">
        <v>3600</v>
      </c>
      <c r="V10" s="17" t="n">
        <v>9000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2025-12-13T12:40:11Z</dcterms:created>
  <dc:creator/>
  <dc:description/>
  <dc:language>en-US</dc:language>
  <cp:lastModifiedBy/>
  <dcterms:modified xsi:type="dcterms:W3CDTF">2026-01-03T12:22:34Z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