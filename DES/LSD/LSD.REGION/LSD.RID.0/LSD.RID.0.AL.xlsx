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6.xml" ContentType="application/vnd.openxmlformats-officedocument.drawing+xml"/>
  <Override PartName="/xl/drawings/drawing3.xml" ContentType="application/vnd.openxmlformats-officedocument.drawing+xml"/>
  <Override PartName="/xl/drawings/drawing12.xml" ContentType="application/vnd.openxmlformats-officedocument.drawing+xml"/>
  <Override PartName="/xl/drawings/drawing8.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charts/chart9.xml" ContentType="application/vnd.openxmlformats-officedocument.drawingml.chart+xml"/>
  <Override PartName="/xl/charts/chart12.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8.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2.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1.xml" ContentType="application/vnd.openxmlformats-officedocument.drawingml.chart+xml"/>
  <Override PartName="/xl/charts/chart15.xml" ContentType="application/vnd.openxmlformats-officedocument.drawingml.chart+xml"/>
  <Override PartName="/xl/charts/chart18.xml" ContentType="application/vnd.openxmlformats-officedocument.drawingml.chart+xml"/>
  <Override PartName="/xl/charts/chart13.xml" ContentType="application/vnd.openxmlformats-officedocument.drawingml.chart+xml"/>
  <Override PartName="/xl/charts/chart16.xml" ContentType="application/vnd.openxmlformats-officedocument.drawingml.chart+xml"/>
  <Override PartName="/xl/charts/chart21.xml" ContentType="application/vnd.openxmlformats-officedocument.drawingml.chart+xml"/>
  <Override PartName="/xl/charts/chart17.xml" ContentType="application/vnd.openxmlformats-officedocument.drawingml.chart+xml"/>
  <Override PartName="/xl/charts/chart1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INDEX" sheetId="1" state="visible" r:id="rId3"/>
    <sheet name="INVOKE" sheetId="2" state="visible" r:id="rId4"/>
    <sheet name="FORM" sheetId="3" state="visible" r:id="rId5"/>
    <sheet name="PARAM" sheetId="4" state="visible" r:id="rId6"/>
    <sheet name="CALC" sheetId="5" state="visible" r:id="rId7"/>
    <sheet name="VALID" sheetId="6" state="visible" r:id="rId8"/>
    <sheet name="LFP" sheetId="7" state="hidden" r:id="rId9"/>
    <sheet name="ETPR" sheetId="8" state="hidden" r:id="rId10"/>
    <sheet name="LFPR" sheetId="9" state="hidden" r:id="rId11"/>
    <sheet name="U3R" sheetId="10" state="hidden" r:id="rId12"/>
    <sheet name="U6R" sheetId="11" state="hidden" r:id="rId13"/>
    <sheet name="WAVG" sheetId="12" state="hidden" r:id="rId14"/>
    <sheet name="AIAVG" sheetId="13" state="hidden" r:id="rId15"/>
    <sheet name="FPITREV" sheetId="14" state="hidden" r:id="rId16"/>
    <sheet name="FPPTREV" sheetId="15" state="hidden" r:id="rId17"/>
    <sheet name="EITCREF" sheetId="16" state="hidden" r:id="rId18"/>
    <sheet name="ACTCREF" sheetId="17" state="hidden" r:id="rId19"/>
    <sheet name="AOTCREF" sheetId="18" state="hidden" r:id="rId20"/>
    <sheet name="EP" sheetId="19" state="hidden" r:id="rId21"/>
  </sheets>
  <definedNames>
    <definedName function="false" hidden="false" name="LSD_RID_0_AL"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<sst xmlns="http://schemas.openxmlformats.org/spreadsheetml/2006/main" count="4247" uniqueCount="2176">
  <si>
    <t xml:space="preserve">LSD.RID.0.AL</t>
  </si>
  <si>
    <t xml:space="preserve">Alabama Labor Statistics</t>
  </si>
  <si>
    <t xml:space="preserve">December 2025</t>
  </si>
  <si>
    <t xml:space="preserve">TID</t>
  </si>
  <si>
    <t xml:space="preserve">Title</t>
  </si>
  <si>
    <t xml:space="preserve">Month</t>
  </si>
  <si>
    <t xml:space="preserve">LSD.RID.0.AL.GLOSS</t>
  </si>
  <si>
    <t xml:space="preserve">Alabama Labor Statistic Calculations</t>
  </si>
  <si>
    <t xml:space="preserve">Calculated formulae use parameters. </t>
  </si>
  <si>
    <t xml:space="preserve">GLOID</t>
  </si>
  <si>
    <t xml:space="preserve">Glossary Name</t>
  </si>
  <si>
    <t xml:space="preserve">Definition</t>
  </si>
  <si>
    <t xml:space="preserve">0</t>
  </si>
  <si>
    <t xml:space="preserve">RID</t>
  </si>
  <si>
    <t xml:space="preserve">Region ID</t>
  </si>
  <si>
    <t xml:space="preserve">1</t>
  </si>
  <si>
    <t xml:space="preserve">DES</t>
  </si>
  <si>
    <t xml:space="preserve">Department of Economic Security</t>
  </si>
  <si>
    <t xml:space="preserve">2</t>
  </si>
  <si>
    <t xml:space="preserve">LSD</t>
  </si>
  <si>
    <t xml:space="preserve">Labor Security Division</t>
  </si>
  <si>
    <t xml:space="preserve">3</t>
  </si>
  <si>
    <t xml:space="preserve">SLIID</t>
  </si>
  <si>
    <t xml:space="preserve">State Labor Industry ID</t>
  </si>
  <si>
    <t xml:space="preserve">4</t>
  </si>
  <si>
    <t xml:space="preserve">SLIVID</t>
  </si>
  <si>
    <t xml:space="preserve">State Labor Industry Visualization ID</t>
  </si>
  <si>
    <t xml:space="preserve">5</t>
  </si>
  <si>
    <t xml:space="preserve">INVID</t>
  </si>
  <si>
    <t xml:space="preserve">Invocation ID</t>
  </si>
  <si>
    <t xml:space="preserve">6</t>
  </si>
  <si>
    <t xml:space="preserve">7</t>
  </si>
  <si>
    <t xml:space="preserve">LFP</t>
  </si>
  <si>
    <t xml:space="preserve">Labor Force Population</t>
  </si>
  <si>
    <t xml:space="preserve">8</t>
  </si>
  <si>
    <t xml:space="preserve">ETPR</t>
  </si>
  <si>
    <t xml:space="preserve">Employment-to-Population Ratio</t>
  </si>
  <si>
    <t xml:space="preserve">9</t>
  </si>
  <si>
    <t xml:space="preserve">LFPR</t>
  </si>
  <si>
    <t xml:space="preserve">Labor Force Population Rate</t>
  </si>
  <si>
    <t xml:space="preserve">10</t>
  </si>
  <si>
    <t xml:space="preserve">U3R</t>
  </si>
  <si>
    <t xml:space="preserve">Unemployment Rate</t>
  </si>
  <si>
    <t xml:space="preserve">11</t>
  </si>
  <si>
    <t xml:space="preserve">U6R</t>
  </si>
  <si>
    <t xml:space="preserve">Underemployment Rate</t>
  </si>
  <si>
    <t xml:space="preserve">12</t>
  </si>
  <si>
    <t xml:space="preserve">WAVG</t>
  </si>
  <si>
    <t xml:space="preserve">Wage Average</t>
  </si>
  <si>
    <t xml:space="preserve">13</t>
  </si>
  <si>
    <t xml:space="preserve">AIAVG</t>
  </si>
  <si>
    <t xml:space="preserve">Annual Income Average</t>
  </si>
  <si>
    <t xml:space="preserve">14</t>
  </si>
  <si>
    <t xml:space="preserve">FPITREV</t>
  </si>
  <si>
    <t xml:space="preserve">Federal Personal Income Tax Revenue</t>
  </si>
  <si>
    <t xml:space="preserve">15</t>
  </si>
  <si>
    <t xml:space="preserve">FPPTREV</t>
  </si>
  <si>
    <t xml:space="preserve">Federal Personal Payroll Tax Revenue</t>
  </si>
  <si>
    <t xml:space="preserve">16</t>
  </si>
  <si>
    <t xml:space="preserve">EITCREF</t>
  </si>
  <si>
    <t xml:space="preserve">Earned Income Tax Credit Refund</t>
  </si>
  <si>
    <t xml:space="preserve">17</t>
  </si>
  <si>
    <t xml:space="preserve">ACTCREF</t>
  </si>
  <si>
    <t xml:space="preserve">Additional Child Tax Credit Refund</t>
  </si>
  <si>
    <t xml:space="preserve">18</t>
  </si>
  <si>
    <t xml:space="preserve">AOTCREF</t>
  </si>
  <si>
    <t xml:space="preserve">American Opportunity Tax Credit Refund</t>
  </si>
  <si>
    <t xml:space="preserve">19</t>
  </si>
  <si>
    <t xml:space="preserve">EP</t>
  </si>
  <si>
    <t xml:space="preserve">Employed Population</t>
  </si>
  <si>
    <t xml:space="preserve">20</t>
  </si>
  <si>
    <t xml:space="preserve">AWHW</t>
  </si>
  <si>
    <t xml:space="preserve">Average Weekly Hours Worked</t>
  </si>
  <si>
    <t xml:space="preserve">21</t>
  </si>
  <si>
    <t xml:space="preserve">FTER</t>
  </si>
  <si>
    <t xml:space="preserve">Full-Time Employment Rate</t>
  </si>
  <si>
    <t xml:space="preserve">22</t>
  </si>
  <si>
    <t xml:space="preserve">PTER</t>
  </si>
  <si>
    <t xml:space="preserve">Part-Time Employment Rate</t>
  </si>
  <si>
    <t xml:space="preserve">23</t>
  </si>
  <si>
    <t xml:space="preserve">JTA</t>
  </si>
  <si>
    <t xml:space="preserve">Job Tenure Average</t>
  </si>
  <si>
    <t xml:space="preserve">24</t>
  </si>
  <si>
    <t xml:space="preserve">TR</t>
  </si>
  <si>
    <t xml:space="preserve">Turnover Rate</t>
  </si>
  <si>
    <t xml:space="preserve">25</t>
  </si>
  <si>
    <t xml:space="preserve">LP</t>
  </si>
  <si>
    <t xml:space="preserve">Labor Productivity</t>
  </si>
  <si>
    <t xml:space="preserve">26</t>
  </si>
  <si>
    <t xml:space="preserve">ELR</t>
  </si>
  <si>
    <t xml:space="preserve">Education Level Required</t>
  </si>
  <si>
    <t xml:space="preserve">27</t>
  </si>
  <si>
    <t xml:space="preserve">SLTR</t>
  </si>
  <si>
    <t xml:space="preserve">State/Local Tax Revenue</t>
  </si>
  <si>
    <t xml:space="preserve">28</t>
  </si>
  <si>
    <t xml:space="preserve">SSMC</t>
  </si>
  <si>
    <t xml:space="preserve">Social Security/Medicare Contributions</t>
  </si>
  <si>
    <t xml:space="preserve">29</t>
  </si>
  <si>
    <t xml:space="preserve">PAUR</t>
  </si>
  <si>
    <t xml:space="preserve">Public Assistance Usage Rate</t>
  </si>
  <si>
    <t xml:space="preserve">30</t>
  </si>
  <si>
    <t xml:space="preserve">INVOKE</t>
  </si>
  <si>
    <t xml:space="preserve">Invocations</t>
  </si>
  <si>
    <t xml:space="preserve">31</t>
  </si>
  <si>
    <t xml:space="preserve">FORM</t>
  </si>
  <si>
    <t xml:space="preserve">Formulae</t>
  </si>
  <si>
    <t xml:space="preserve">32</t>
  </si>
  <si>
    <t xml:space="preserve">PARAM</t>
  </si>
  <si>
    <t xml:space="preserve">Parameters</t>
  </si>
  <si>
    <t xml:space="preserve">33</t>
  </si>
  <si>
    <t xml:space="preserve">CALC</t>
  </si>
  <si>
    <t xml:space="preserve">Calculations</t>
  </si>
  <si>
    <t xml:space="preserve">34</t>
  </si>
  <si>
    <t xml:space="preserve">VALID</t>
  </si>
  <si>
    <t xml:space="preserve">Validations</t>
  </si>
  <si>
    <t xml:space="preserve">LSD.REF.AL.INVOKE</t>
  </si>
  <si>
    <t xml:space="preserve">Alabama Labor Statistic Logic Formulae</t>
  </si>
  <si>
    <t xml:space="preserve">Invocation Name</t>
  </si>
  <si>
    <t xml:space="preserve">Invocation Script</t>
  </si>
  <si>
    <t xml:space="preserve">References</t>
  </si>
  <si>
    <t xml:space="preserve">Reference Account</t>
  </si>
  <si>
    <t xml:space="preserve">Branch A</t>
  </si>
  <si>
    <t xml:space="preserve">Alabama Labor Statistic Reformulation, Reparameterization, Recalculation Through Restructuring</t>
  </si>
  <si>
    <t xml:space="preserve">Consider the attached spreadsheet containing U.S. Labor Statistic Formulae, Parameters, and Calculations for the state of Alabama. Notice the drafted INDEX table containing various references for the remaining tabs. The purpose of this session is to restructure tabs: 
- FORMulae and PARAMeters for **interdependent** labor statistic calculations will remain in FORM. 
- FORMulae and PARAMeters for **independent** labor statistic metrics and measures should be isolated and will be copy-pasted into correspective metric tabs. 
- FORMulae and PARAMeters restructuring should include refinement such as additions, editions. 
- FORMulae and PARAMeters should have correlated identifiers in the format of the metric's acronym, followed by a single "." character (period), follwed by an index number (starting with 0) - such as LFP.0, LFP.1, etc. 
- FORMulae and PARAMeters should follow same column structure. 
All output should be performed metric-by-metric - with the exception of the shared FORMulae and PARAMeters, which should be created first. While revising or restructuring FORMulae and PARAMeters if there are additional/editional **shared** FORMulae and PARAMeters, then the tabular data should be generated so that it may be copy-pasted during the process. Prompt to continue. </t>
  </si>
  <si>
    <t xml:space="preserve">https://grok.com/share/c2hhcmQtMi1jb3B5_b42b6690-ea62-4ca7-8092-8da4e8765ff9</t>
  </si>
  <si>
    <t xml:space="preserve">thomas.welborn@protonmail.com</t>
  </si>
  <si>
    <t xml:space="preserve">Alabama Labor Statistics Formulae, Parameter, Calculation Refinement Session</t>
  </si>
  <si>
    <t xml:space="preserve">Consider the attached spreadsheet containing U.S. Labor Statistics for Alabama. This is a draft document in partial state of completion. Notice the FORM tab containing formulae and PARAM tab containing parameters that combined calculate CALC table: Alabama Labor Statistics. VALID tab describes latest CALCulation validation. Further tabs are references to CALC table for measure-specific data visualization and analysis purposes. The current state of drafting is refinement of calculations using exhaustive formulae and parameters tables. Notice that previous states of drafting are references on the INDEX tab. There are over 30 Metrics and more submetrics in the CALC. This session will continue prior Grok sessions. When generating content follow these rules: output must be in tsv format that is copy-pasteable as an formatted, embedded table; long output must be truncated by grouped sequences that optimize Grok's performance; FORM, PARAM, and CALC table creation must use the same column/row headers as in LSD.RID.0.AL spreadsheet. When performing calculations or considering spreadsheet content, ignore all tabs after CALC - these tabs are CALC references. Prompt me to continue with next segue.
</t>
  </si>
  <si>
    <t xml:space="preserve">https://grok.com/share/c2hhcmQtMi1jb3B5_3d42fed3-3e96-4239-9e2f-0193ac9134fa</t>
  </si>
  <si>
    <t xml:space="preserve">thomas.tom.welborn@gmail.com</t>
  </si>
  <si>
    <t xml:space="preserve">Consider the attached spreadsheet containing U.S. Labor Statistics for Alabama. This is a draft document in partial state of completion. Notice the FORM tab containing formulae and PARAM tab containing parameters that combined calculate CALC table: Alabama Labor Statistics. VALID tab describes latest CALCulation validation. Further tabs are references to CALC table for measure-specific data visualization and analysis purposes. The current state of drafting is refinement of calculations using exhaustive formulae and parameters tables. Notice that previous states of drafting are references on the INDEX tab. There are over 30 Metrics and more submetrics in the CALC. This session will continue prior Grok sessions. When generating content follow these rules: output must be in tsv format that is copy-pasteable as an formatted, embedded table; long output must be truncated by grouped sequences that optimize Grok's performance; FORM, PARAM, and CALC table creation must use the same column/row headers as in LSD.RID.0.AL spreadsheet. When performing calculations or considering spreadsheet content, ignore all tabs after CALC - these tabs are CALC references. Prompt me to continue with next segue.</t>
  </si>
  <si>
    <t xml:space="preserve">https://grok.com/share/c2hhcmQtMi1jb3B5_05a1dd6b-e942-4559-ba6a-f3b1f2ab03fe</t>
  </si>
  <si>
    <t xml:space="preserve">https://grok.com/share/c2hhcmQtMi1jb3B5_38c5a765-74c2-4109-9029-b59b07945946</t>
  </si>
  <si>
    <t xml:space="preserve">Consider the attached spreadsheet containing U.S. Labor Statistics for Alabama. This is a draft document in partial state of completion. Notice the FORM tab containing formulae and PARAM tab containing parameters that combined calculate CALC table: Alabama Labor Statistics. Further tabs are references to CALC table for data visualization and analysis purposes.  The current state of drafting is refinement of calculations using exhaustive formulae and parameters tables. Notice that previous states of drafting are references on the (incomplete) INDEX tab. There are over 30 Metrics and more submetrics in the CALC.  This session will continue prior Grok sessions. 
When generating content follow these rules: output must be in `tsv` format that is copy-pasteable as an formatted, embedded table; long output must be truncated by grouped sequences that optimize Grok's performance. When performing calculations or considering spreadsheet content, ignore all tabs after `CALC` - these tabs are CALC references. 
Prompt me to continue. </t>
  </si>
  <si>
    <t xml:space="preserve">https://grok.com/share/c2hhcmQtMg_4d848e26-26c7-4725-849f-6a1a29e77d95</t>
  </si>
  <si>
    <t xml:space="preserve">https://grok.com/share/bGVnYWN5LWNvcHk_5cd45c1a-a286-44d3-94ef-a0cf30f63a73</t>
  </si>
  <si>
    <t xml:space="preserve">thomas.patrick.welborn@outlook.com</t>
  </si>
  <si>
    <t xml:space="preserve">The calculations for some metric measurements should be refined through formuale and parameters to become more specific and differentiated between each other (realistic organic representations of estimates). Consider the following example calculation refinement scenarios, then describe how to further refine these for accuracy: 
**Refinement A**  
- Notice the U3R tab, which (CALC derivative): the "Unemployment Rate" and "Authorized Unemployment Rate" Measurements mirror each other, even though the "Unemployment Rate" refers to overall unemployment rate comprised of "Unauthorized Unemployment Rate", "Authorized Unemployment Rate", and "American Unemployment Rate"; measurements should only mirror each other when accurate or accurately estimated values are recorded; 
Recreate formulae and parameters that calculate any measurements that resemble this. 
**Refinement B**  </t>
  </si>
  <si>
    <t xml:space="preserve">Alabama Labor Statistics Calculation Session</t>
  </si>
  <si>
    <t xml:space="preserve">Consider the attached spreadsheet containing U.S. Labor Statistic Formulae, Parameters, and Calculations for the state of Alabama. Notice the drafted INDEX table containing various references for the remaining tabs. The `FORM` tab contains formulae describing Alabama Labor Statistic Calculations; the `PARAM` tab contains parameters used by `FORM`ulae to calculate Alabama Labor Statistics; the `CALC` tab contains labor statistic calculations. This session is to perform calulcations from existing formulae and parameters from prior sessions, then to validate the table for accuracy. This session may also include refinements to `FORM` and `PARAM` tabs for more accurate estimations or calculations. Because of large volume of calculations all labor statistic calculations, formulae, and parameter output must be done in sections of rows, prompting me to continue between row generation. All output should be in TSV format. It should not be truncated unless specified. This is a continuation of another similar session that was interrupted due to session token limits. During the last session machine prompted to refine formulae after already refining PARAM. This session should start by continuing the last session (INVID#7) from it's reference. Prompt me to continue.</t>
  </si>
  <si>
    <t xml:space="preserve">https://grok.com/share/c2hhcmQtMg_31b2cba9-0fd7-4cb0-a163-e11fe3df530b</t>
  </si>
  <si>
    <t xml:space="preserve">Consider the attached spreadsheet containing U.S. Labor Statistic Formulae, Parameters, and Calculations for the state of Alabama. Notice the drafted INDEX table containing various references for the remaining tabs. The FORM tab contains formulae describing Alabama Labor Statistic Calculations; the PARAM tab contains parameters used by FORMulae to calculate Alabama Labor Statistics; the CALC tab contains labor statistic calculations. This session is to perform calulcations from existing formulae and parameters from prior sessions, then to validate the table for accuracy. This session may also include refinements to FORM and PARAM tabs for more accurate estimations or calculations. Because of large volume of calculations all labor statistic calculations, formulae, and parameter output must be done in sections of rows, prompting me to continue between row generation. All output should be in TSV format. It should not be truncated unless specified. This is a continuation of another similar session that was interrupted due to session token limits. During the last session machine prompted to refine formulae after already refining PARAM. This session should start by continuing the last session (INVID#7) from it's reference. Prompt me to continue.
</t>
  </si>
  <si>
    <t xml:space="preserve">https://grok.com/share/bGVnYWN5LWNvcHk_316f106c-153c-4f0b-829f-7a8355ecb81b</t>
  </si>
  <si>
    <t xml:space="preserve">Consider the attached spreadsheet containing U.S. Labor Statistic Formulae, Parameters, and Calculations for the state of Alabama. Notice the drafted INDEX table containing various references for the remaining tabs. The `FORM` tab contains formulae describing Alabama Labor Statistic Calculations; the `PARAM` tab contains parameters used by `FORM`ulae to calculate Alabama Labor Statistics; the `CALC` tab contains labor statistic calculations. 
This session is to perform calulcations from existing formulae and parameters from prior sessions, then to validate the table for accuracy. This session may also include refinements to `FORM`  and  `PARAM` tabs for more accurate estimations or calculations. 
Because of large volume of calculations all labor statistic calculations, formulae, and parameter output must be done in sections of rows, prompting me to continue between row generation. All output should be in TSV format. It should not be truncated unless specified. 
Prompt me to continue. </t>
  </si>
  <si>
    <t xml:space="preserve">Alabama Labor Statistics Formulae</t>
  </si>
  <si>
    <t xml:space="preserve">Consider the attached spreadsheet containing U.S. Labor Statistics for Alabama. This is a draft document in partial state of completion. Notice the FORM tab containing formulae and PARAM tab containing parameters that combined calculate CALC table: Alabama Labor Statistics. Further tabs are references to CALC table for data visualization and analysis purposes.  The current state of drafting is refinement of calculations using exhaustive formulae and parameters tables. Notice that previous states of drafting are references on the (incomplete) INDEX tab. There are over 30 Metrics and more submetrics in the CALC.  This session will continue another session from another Grok account. Currently FORM rows are being added to consume the comprehensive PARAM (parameters) – a continuation of INDEX tab INVID#5 session.  Continue generating formulae to support all metric calculations using parameters. Create 20 rowed entries before prompting me to continue to next 20. Ask me questions to clarify either instructions herein or inability to reference materials or accomplish task as intended.
</t>
  </si>
  <si>
    <t xml:space="preserve">https://grok.com/share/c2hhcmQtMi1jb3B5_9a9978e6-49f9-41d5-9b57-896863210d16</t>
  </si>
  <si>
    <t xml:space="preserve">Expand Labor Statistic Metric Formulae And Parameters</t>
  </si>
  <si>
    <t xml:space="preserve">Consider the attached spreadsheet containing U.S. Labor Statistics for Alabama. This is a draft document in partial state of completion. Notice the FORM tab containing formulae and PARAM tab containing parameters that combined calculate CALC table: Alabama Labor Statistics. Further tabs are references to CALC table for data visualization and analysis purposes.
The current state of drafting is refinement of calculations using exhaustive formulae and parameters tables. Notice that previous states of drafting are references on the (incomplete) INDEX tab. There are over 30 Metrics and more submetrics in the CALC.
This session will continue another session from another Grok account. Currently PARAM rows are being added to support all of the formulae – a continuation of INDEX tab INVID#4 session.
Continue generating parameters to support all formulae calculations for remaining metrics. Parametered values should continue to be categorized with row headers. Create 50 rowed entries before prompting me to continue to next 50. Ask me questions to clarify either instructions herein or inability to reference materials or accomplish task as intended.</t>
  </si>
  <si>
    <t xml:space="preserve">https://grok.com/share/c2hhcmQtMg_16f7a2a6-b28c-45ad-bac9-7243cbefac56</t>
  </si>
  <si>
    <t xml:space="preserve">Expand Labor Metrics and Industry Roles</t>
  </si>
  <si>
    <t xml:space="preserve">N/A</t>
  </si>
  <si>
    <t xml:space="preserve">https://grok.com/share/bGVnYWN5LWNvcHk_9ffcfa10-bc66-492d-b499-a56dc57d6238</t>
  </si>
  <si>
    <t xml:space="preserve">Alabama, Arkansas, Florida Labor Statistics Formulae, Parameters, Calculations</t>
  </si>
  <si>
    <t xml:space="preserve">https://grok.com/share/c2hhcmQtMi1jb3B5_e3140b59-169a-487d-9539-b52e3cb64dad</t>
  </si>
  <si>
    <t xml:space="preserve">Alabama, Arkansas Labor Statistics Calculations</t>
  </si>
  <si>
    <t xml:space="preserve">This session's purpose is to calculate labor statistics for individual states in a region. Each state's labor stastic calculations will be performed independently and using predefined formulae. Output should be in copy-pasteable `TSV` format. `LSD.REF` spreadsheet details formulae and parameters required for calculations of regionalized state labor statistics. `RID.*` spreadsheets are comprised of individual state tabs with primary tables of performed calculations, then altertables in each state's tab remain references to primary table. 
All tables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</si>
  <si>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https://grok.com/share/c2hhcmQtMg_d3d49fd1-59fe-445a-b9c5-74ad95e6913d</t>
  </si>
  <si>
    <t xml:space="preserve">Arkansas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</si>
  <si>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</si>
  <si>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https://grok.com/share/c2hhcmQtMg_05f8d4b3-2d59-4349-93d9-6c5bafa3bacd</t>
  </si>
  <si>
    <t xml:space="preserve">Alabama Labor Statistics Calculations</t>
  </si>
  <si>
    <t xml:space="preserve">https://grok.com/share/c2hhcmQtMg_9fc2e9b2-bc97-4724-b16d-fc3d1e8312f2</t>
  </si>
  <si>
    <t xml:space="preserve">LSD.REF.AL.FORM</t>
  </si>
  <si>
    <t xml:space="preserve">S0 - Shared/Base</t>
  </si>
  <si>
    <t xml:space="preserve">S0</t>
  </si>
  <si>
    <t xml:space="preserve">Shared - Base Lookups and Prorations</t>
  </si>
  <si>
    <t xml:space="preserve">(empty)</t>
  </si>
  <si>
    <t xml:space="preserve">S0.0</t>
  </si>
  <si>
    <t xml:space="preserve">Industry Employment Total</t>
  </si>
  <si>
    <t xml:space="preserve">T_i = PARAMETERS!TOTAL_NONFARM_AL * PARAMETERS!INDUSTRY_SHARE[i] + PARAMETERS!ADJUSTMENT_FACTOR_IND[i]</t>
  </si>
  <si>
    <t xml:space="preserve">BLS CES base + adjustment for ag/self-employed</t>
  </si>
  <si>
    <t xml:space="preserve">Ensure sum(T_i) ≈ PARAMETERS!BLS_EP_TOTAL_TARGET; use VLOOKUP; edited to include new PARAM for mining/logging share</t>
  </si>
  <si>
    <t xml:space="preserve">S0.1</t>
  </si>
  <si>
    <t xml:space="preserve">Role Proration (Worker/Support)</t>
  </si>
  <si>
    <t xml:space="preserve">ROLE_WORKER_i = T_i * PARAMETERS!ROLE_PRORATE_WORKER_IND[i]; ROLE_SUPPORT_i = T_i - ROLE_WORKER_i</t>
  </si>
  <si>
    <t xml:space="preserve">Split employment into Worker/Support</t>
  </si>
  <si>
    <t xml:space="preserve">Defaults 75/25 if missing; edited to use industry-specific prorates from ACS for construction and finance to address low validation</t>
  </si>
  <si>
    <t xml:space="preserve">S0.2</t>
  </si>
  <si>
    <t xml:space="preserve">Population Share Proration (Auth/Unauth/American)</t>
  </si>
  <si>
    <t xml:space="preserve">AUTH_SHARE_i = PARAMETERS!AUTH_IMMIGRANT_SHARE_IND[i]; UNAUTH_SHARE_i = PARAMETERS!UNAUTH_IMMIGRANT_SHARE_IND[i]; AMER_SHARE_i = 1 - AUTH_SHARE_i - UNAUTH_SHARE_i</t>
  </si>
  <si>
    <t xml:space="preserve">Prorate by immigrant shares from MPI/ACS</t>
  </si>
  <si>
    <t xml:space="preserve">Apply global cap: if SUM(UNAUTH_SHARE_i * T_i) &gt; P078 * TOTAL_NONFARM_AL then prorate UNAUTH_SHARE_i down proportionally (FID 300.21); edited cap to use updated P078 for better MPI alignment</t>
  </si>
  <si>
    <t xml:space="preserve">S0.3</t>
  </si>
  <si>
    <t xml:space="preserve">Data Fusion for Multi-Source Blending</t>
  </si>
  <si>
    <t xml:space="preserve">value_i = (PARAMETERS!BLS_VALUE_IND[i] * PARAMETERS!ACCURACY_BLS + PARAMETERS!ACS_VALUE_IND[i] * PARAMETERS!ACCURACY_ACS + PARAMETERS!MPI_VALUE_IND[i] * PARAMETERS!ACCURACY_MPI) / (PARAMETERS!ACCURACY_BLS + PARAMETERS!ACCURACY_ACS + PARAMETERS!ACCURACY_MPI)</t>
  </si>
  <si>
    <t xml:space="preserve">Weighted avg of sources by accuracy ratings (e.g., BLS high=0.95, ACS medium=0.6, MPI=0.5)</t>
  </si>
  <si>
    <t xml:space="preserve">Apply to rates/wages; recency_factor optional (e.g., *0.95 if &gt;1yr old); 90% robustness; edited to increase BLS weight to 0.95 for employment totals to match CES data</t>
  </si>
  <si>
    <t xml:space="preserve">S0.5</t>
  </si>
  <si>
    <t xml:space="preserve">Employed Population by Group</t>
  </si>
  <si>
    <t xml:space="preserve">EP_total_i = S0.5_EP_total_i</t>
  </si>
  <si>
    <t xml:space="preserve">From shared</t>
  </si>
  <si>
    <t xml:space="preserve">95% accuracy</t>
  </si>
  <si>
    <t xml:space="preserve">LFP Group</t>
  </si>
  <si>
    <t xml:space="preserve">Industry/Role-Specific Core Labor Metrics</t>
  </si>
  <si>
    <t xml:space="preserve">LFP_total_i = S1_T_i / S6_ETPR_total_i</t>
  </si>
  <si>
    <t xml:space="preserve">Back-calculate from adjusted employment and industry ETPR</t>
  </si>
  <si>
    <t xml:space="preserve">Primary driver of all downstream population-based metrics; 95% accuracy target</t>
  </si>
  <si>
    <t xml:space="preserve">Employed Population (EP) – Total</t>
  </si>
  <si>
    <t xml:space="preserve">Employed Population (EP) – Authorized</t>
  </si>
  <si>
    <t xml:space="preserve">EP_auth_i = S0.5_EP_auth_i</t>
  </si>
  <si>
    <t xml:space="preserve">Employed Population (EP) – Unauthorized</t>
  </si>
  <si>
    <t xml:space="preserve">EP_unauth_i = S0.5_EP_unauth_i</t>
  </si>
  <si>
    <t xml:space="preserve">Employed Population (EP) – American</t>
  </si>
  <si>
    <t xml:space="preserve">EP_amer_i = S0.5_EP_amer_i</t>
  </si>
  <si>
    <t xml:space="preserve">Average Weekly Hours Worked – Total</t>
  </si>
  <si>
    <t xml:space="preserve">AWHW_total_i = S4.0_AWHW_total_i</t>
  </si>
  <si>
    <t xml:space="preserve">Average Weekly Hours Worked – Authorized</t>
  </si>
  <si>
    <t xml:space="preserve">AWHW_auth_i = S4.0_AWHW_auth_i</t>
  </si>
  <si>
    <t xml:space="preserve">Average Weekly Hours Worked – Unauthorized</t>
  </si>
  <si>
    <t xml:space="preserve">AWHW_unauth_i = S4.0_AWHW_unauth_i</t>
  </si>
  <si>
    <t xml:space="preserve">Average Weekly Hours Worked – American</t>
  </si>
  <si>
    <t xml:space="preserve">AWHW_amer_i = S4.0_AWHW_amer_i</t>
  </si>
  <si>
    <t xml:space="preserve">Full-Time Employment Rate – Total</t>
  </si>
  <si>
    <t xml:space="preserve">FTER_total_i = S4.1_FTER_total_i</t>
  </si>
  <si>
    <t xml:space="preserve">90% accuracy</t>
  </si>
  <si>
    <t xml:space="preserve">Full-Time Employment Rate – Authorized</t>
  </si>
  <si>
    <t xml:space="preserve">FTER_auth_i = S4.1_FTER_auth_i</t>
  </si>
  <si>
    <t xml:space="preserve">Full-Time Employment Rate – Unauthorized</t>
  </si>
  <si>
    <t xml:space="preserve">FTER_unauth_i = S4.1_FTER_unauth_i</t>
  </si>
  <si>
    <t xml:space="preserve">Full-Time Employment Rate – American</t>
  </si>
  <si>
    <t xml:space="preserve">FTER_amer_i = S4.1_FTER_amer_i</t>
  </si>
  <si>
    <t xml:space="preserve">Part-Time Employment Rate – Total</t>
  </si>
  <si>
    <t xml:space="preserve">PTER_total_i = S4.2_PTER_total_i</t>
  </si>
  <si>
    <t xml:space="preserve">100% derived</t>
  </si>
  <si>
    <t xml:space="preserve">Part-Time Employment Rate – Authorized</t>
  </si>
  <si>
    <t xml:space="preserve">PTER_auth_i = S4.2_PTER_auth_i</t>
  </si>
  <si>
    <t xml:space="preserve">Part-Time Employment Rate – Unauthorized</t>
  </si>
  <si>
    <t xml:space="preserve">PTER_unauth_i = S4.2_PTER_unauth_i</t>
  </si>
  <si>
    <t xml:space="preserve">Part-Time Employment Rate – American</t>
  </si>
  <si>
    <t xml:space="preserve">PTER_amer_i = S4.2_PTER_amer_i</t>
  </si>
  <si>
    <t xml:space="preserve">ETPR Group</t>
  </si>
  <si>
    <t xml:space="preserve">S1</t>
  </si>
  <si>
    <t xml:space="preserve">Shared - Rate Calculations</t>
  </si>
  <si>
    <t xml:space="preserve">ETPR_total_i = PARAMETERS!ETPR_IND[i]; ETPR_auth_i = ETPR_total_i * (1 + PARAMETERS!IMMIGRANT_ETPR_ADJ); ETPR_unauth_i = ETPR_total_i * (1 + PARAMETERS!UNAUTH_ETPR_ADJ); ETPR_amer_i = weighted residual</t>
  </si>
  <si>
    <t xml:space="preserve">Industry ETPR from BLS + immigrant adj</t>
  </si>
  <si>
    <t xml:space="preserve">Weighted avg must ≈ state ETPR ~56.1%</t>
  </si>
  <si>
    <t xml:space="preserve">WAVG Group</t>
  </si>
  <si>
    <t xml:space="preserve">S2</t>
  </si>
  <si>
    <t xml:space="preserve">Shared - Wage and Income</t>
  </si>
  <si>
    <t xml:space="preserve">WAVG_total_i = PARAMETERS!WAVG_IND[i]; WAVG_auth_i = WAVG_total_i * PARAMETERS!IMMIGRANT_WAGE_FACTOR; WAVG_unauth_i = max(PARAMETERS!MIN_WAGE_AL, WAVG_total_i * PARAMETERS!UNAUTH_WAGE_FACTOR); WAVG_amer_i = weighted residual</t>
  </si>
  <si>
    <t xml:space="preserve">BLS OES/QCEW wages + immigrant factors</t>
  </si>
  <si>
    <t xml:space="preserve">Added floor to prevent unrealistically low unauth wages; edited for wage calibration</t>
  </si>
  <si>
    <t xml:space="preserve">AIAVG Group</t>
  </si>
  <si>
    <t xml:space="preserve">S2.1</t>
  </si>
  <si>
    <t xml:space="preserve">Annual Income Average by Group</t>
  </si>
  <si>
    <t xml:space="preserve">AIAVG_amer_i = WAVG_amer_i * PARAMETERS!AWHW_IND[i] * 52 * PARAMETERS!OVERTIME_ADJ_IND[i]; AIAVG_auth_i = AIAVG_amer_i * PARAMETERS!IMMIGRANT_WAGE_GAP_FACTOR_IND[i]; AIAVG_unauth_i = AIAVG_amer_i * PARAMETERS!UNAUTH_WAGE_GAP_FACTOR_IND[i]; AIAVG_total_i = (AIAVG_auth_i * EP_auth_i + AIAVG_unauth_i * EP_unauth_i + AIAVG_amer_i * EP_amer_i) / EP_total_i</t>
  </si>
  <si>
    <t xml:space="preserve">Annualize with industry hours/overtime adj; gaps as in S2.0</t>
  </si>
  <si>
    <t xml:space="preserve">90% accuracy; add educ/experience adj via PARAMETERS!EDUC_ADJ_GROUP[i] (auth 0.9, unauth 0.7); edited to blend ACS/BEA per capita with inflation adjustment to 2026</t>
  </si>
  <si>
    <t xml:space="preserve">FPITREV Group</t>
  </si>
  <si>
    <t xml:space="preserve">S3</t>
  </si>
  <si>
    <t xml:space="preserve">Shared - Tax and Credits</t>
  </si>
  <si>
    <t xml:space="preserve">FPITREV_total_i = AIAVG_total_i * EP_total_i * PARAMETERS!FED_PIT_RATE; ... (same structure)</t>
  </si>
  <si>
    <t xml:space="preserve">Effective PIT rate from IRS; unauth lower</t>
  </si>
  <si>
    <t xml:space="preserve">Apply fiscal calibration scale post-sum (new FID S3.5)</t>
  </si>
  <si>
    <t xml:space="preserve">S3.0</t>
  </si>
  <si>
    <t xml:space="preserve">Federal Personal Income Tax Revenue by Group</t>
  </si>
  <si>
    <t xml:space="preserve">FPITREV_amer_i = AIAVG_amer_i * EP_amer_i * PARAMETERS!FED_PIT_RATE_AMER; FPITREV_auth_i = AIAVG_auth_i * EP_auth_i * PARAMETERS!FED_PIT_RATE_AUTH; FPITREV_unauth_i = AIAVG_unauth_i * EP_unauth_i * PARAMETERS!FED_PIT_RATE_UNAUTH * PARAMETERS!FILING_RATE_UNAUTH; FPITREV_total_i = FPITREV_auth_i + FPITREV_unauth_i + FPITREV_amer_i</t>
  </si>
  <si>
    <t xml:space="preserve">Effective PIT rates by group (unauth lower 0.08 due to underreporting/ITIN, filing 0.6); total sum</t>
  </si>
  <si>
    <t xml:space="preserve">Blend IRS (0.6 wt), CBO (0.3), state (0.1); ±15% unauth uncertainty; calibrate via S3.5</t>
  </si>
  <si>
    <t xml:space="preserve">FPPTREV Group</t>
  </si>
  <si>
    <t xml:space="preserve">S3.1</t>
  </si>
  <si>
    <t xml:space="preserve">Federal Personal Payroll Tax Revenue by Group</t>
  </si>
  <si>
    <t xml:space="preserve">FPPTREV_amer_i = AIAVG_amer_i * EP_amer_i * PARAMETERS!FED_PAYROLL_RATE; FPPTREV_auth_i = AIAVG_auth_i * EP_auth_i * PARAMETERS!FED_PAYROLL_RATE; FPPTREV_unauth_i = AIAVG_unauth_i * EP_unauth_i * PARAMETERS!FED_PAYROLL_RATE_UNAUTH; FPPTREV_total_i = FPPTREV_auth_i + FPPTREV_unauth_i + FPPTREV_amer_i</t>
  </si>
  <si>
    <t xml:space="preserve">SS/Medicare 7.65%; unauth partial 0.05</t>
  </si>
  <si>
    <t xml:space="preserve">90% accuracy; fiscal calibration post-sum</t>
  </si>
  <si>
    <t xml:space="preserve">EITCREF Group</t>
  </si>
  <si>
    <t xml:space="preserve">S3.2</t>
  </si>
  <si>
    <t xml:space="preserve">EITC Credit Refund by Group</t>
  </si>
  <si>
    <t xml:space="preserve">EITCREF_amer_i = PARAMETERS!EITC_TOTAL_REFUND_AL * (EP_amer_i / PARAMETERS!TOTAL_NONFARM_AL) * PARAMETERS!EITC_ELIG_FACTOR_AMER_IND[i]; EITCREF_auth_i = PARAMETERS!EITC_TOTAL_REFUND_AL * (EP_auth_i / PARAMETERS!TOTAL_NONFARM_AL) * PARAMETERS!EITC_ELIG_FACTOR_AUTH_IND[i]; EITCREF_unauth_i = 0; EITCREF_total_i = EITCREF_auth_i + EITCREF_amer_i</t>
  </si>
  <si>
    <t xml:space="preserve">Prorate IRS total by eligibility factors (unauth 0, auth 0.8-1.0 industry-varied)</t>
  </si>
  <si>
    <t xml:space="preserve">Blend IRS (0.5), TPC (0.3), Urban (0.2); 95% accuracy; unauth ineligible</t>
  </si>
  <si>
    <t xml:space="preserve">ACTCREF Group</t>
  </si>
  <si>
    <t xml:space="preserve">S3.3</t>
  </si>
  <si>
    <t xml:space="preserve">Additional Child Tax Credit Refund by Group</t>
  </si>
  <si>
    <t xml:space="preserve">ACTCREF_amer_i = PARAMETERS!ACTC_TOTAL_REFUND_AL * (EP_amer_i / PARAMETERS!TOTAL_NONFARM_AL) * PARAMETERS!ACTC_ELIG_FACTOR_AMER_IND[i]; ACTCREF_auth_i = PARAMETERS!ACTC_TOTAL_REFUND_AL * (EP_auth_i / PARAMETERS!TOTAL_NONFARM_AL) * PARAMETERS!ACTC_ELIG_FACTOR_AUTH_IND[i]; ACTCREF_unauth_i = PARAMETERS!ACTC_TOTAL_REFUND_AL * (EP_unauth_i / PARAMETERS!TOTAL_NONFARM_AL) * PARAMETERS!ACTC_ELIG_FACTOR_UNAUTH_IND[i]; ACTCREF_total_i = sum by group</t>
  </si>
  <si>
    <t xml:space="preserve">Prorate IRS; unauth partial 0.5 via ITIN</t>
  </si>
  <si>
    <t xml:space="preserve">85% accuracy; industry-varied eligibility</t>
  </si>
  <si>
    <t xml:space="preserve">AOTCREF Group</t>
  </si>
  <si>
    <t xml:space="preserve">S3.4</t>
  </si>
  <si>
    <t xml:space="preserve">American Opportunity Tax Credit Refund by Group</t>
  </si>
  <si>
    <t xml:space="preserve">AOTCREF_amer_i = PARAMETERS!AOTC_TOTAL_REFUND_AL * (EP_amer_i / PARAMETERS!TOTAL_NONFARM_AL) * PARAMETERS!AOTC_ELIG_FACTOR_AMER_IND[i]; AOTCREF_auth_i = PARAMETERS!AOTC_TOTAL_REFUND_AL * (EP_auth_i / PARAMETERS!TOTAL_NONFARM_AL) * PARAMETERS!AOTC_ELIG_FACTOR_AUTH_IND[i]; AOTCREF_unauth_i = PARAMETERS!AOTC_TOTAL_REFUND_AL * (EP_unauth_i / PARAMETERS!TOTAL_NONFARM_AL) * PARAMETERS!AOTC_ELIG_FACTOR_UNAUTH_IND[i]; AOTCREF_total_i = sum by group</t>
  </si>
  <si>
    <t xml:space="preserve">Prorate IRS; unauth low 0.3 (education barriers)</t>
  </si>
  <si>
    <t xml:space="preserve">S3 - Fiscal Calibration</t>
  </si>
  <si>
    <t xml:space="preserve">S3.5</t>
  </si>
  <si>
    <t xml:space="preserve">Fiscal Calibration</t>
  </si>
  <si>
    <t xml:space="preserve">FPITREV_state_total = raw_FPITREV_state_total * PARAMETERS!FISCAL_CALIBRATION_SCALE; same for FPPTREV, SLTR, SSMC</t>
  </si>
  <si>
    <t xml:space="preserve">Scale fiscal aggregates to IRS/BEA totals</t>
  </si>
  <si>
    <t xml:space="preserve">Improves fiscal realism post-calc; new addition for better net fiscal validation</t>
  </si>
  <si>
    <t xml:space="preserve">S4 - Derived</t>
  </si>
  <si>
    <t xml:space="preserve">S4</t>
  </si>
  <si>
    <t xml:space="preserve">Shared - Other Metrics</t>
  </si>
  <si>
    <t xml:space="preserve">AWHW_total_i = PARAMETERS!AWHW_IND[i]; AWHW_auth_i = AWHW_total_i * PARAMETERS!IMMIGRANT_AWHW_FACTOR; AWHW_unauth_i = AWHW_total_i * PARAMETERS!UNAUTH_AWHW_FACTOR; AWHW_amer_i = (AWHW_total_i * EP_total_i - AWHW_auth_i * EP_auth_i - AWHW_unauth_i * EP_unauth_i) / EP_amer_i</t>
  </si>
  <si>
    <t xml:space="preserve">BLS industry avg hours; immigrants often higher (+5%)</t>
  </si>
  <si>
    <t xml:space="preserve">95% accuracy; adjusted factors down</t>
  </si>
  <si>
    <t xml:space="preserve">S4.0</t>
  </si>
  <si>
    <t xml:space="preserve">Average Weekly Hours Worked by Group</t>
  </si>
  <si>
    <t xml:space="preserve">AWHW_amer_i = PARAMETERS!AWHW_IND_AMER[i]; AWHW_auth_i = AWHW_amer_i * PARAMETERS!IMMIGRANT_AWHW_FACTOR_IND[i]; AWHW_unauth_i = AWHW_amer_i * PARAMETERS!UNAUTH_AWHW_FACTOR_IND[i]; AWHW_total_i = (AWHW_auth_i * EP_auth_i + AWHW_unauth_i * EP_unauth_i + AWHW_amer_i * EP_amer_i) / EP_total_i</t>
  </si>
  <si>
    <t xml:space="preserve">BLS industry avg hours; immigrants often higher (+5%) industry-varied</t>
  </si>
  <si>
    <t xml:space="preserve">95% accuracy; blend sources; edited to AWHW_i = PARAMETERS!BASE_AWHW_IND[i] * (1 + PARAMETERS!SEASONAL_HOURS_FACTOR[i])</t>
  </si>
  <si>
    <t xml:space="preserve">S4.1</t>
  </si>
  <si>
    <t xml:space="preserve">Full-Time Employment Rate by Group</t>
  </si>
  <si>
    <t xml:space="preserve">FTER_amer_i = PARAMETERS!FTER_IND_AMER[i]; FTER_auth_i = FTER_amer_i * PARAMETERS!IMMIGRANT_FTER_FACTOR_IND[i]; FTER_unauth_i = FTER_amer_i * PARAMETERS!UNAUTH_FTER_FACTOR_IND[i]; FTER_total_i = (FTER_auth_i * EP_auth_i + FTER_unauth_i * EP_unauth_i + FTER_amer_i * EP_amer_i) / EP_total_i</t>
  </si>
  <si>
    <t xml:space="preserve">&gt;35 hours/week from CPS; unauth higher FT in some sectors</t>
  </si>
  <si>
    <t xml:space="preserve">90% accuracy; edited with latest CPS microdata shares; seasonal adjustment for hospitality</t>
  </si>
  <si>
    <t xml:space="preserve">S4.2</t>
  </si>
  <si>
    <t xml:space="preserve">Part-Time Employment Rate by Group</t>
  </si>
  <si>
    <t xml:space="preserve">PTER_total_i = 1 - FTER_total_i; PTER_auth_i = 1 - FTER_auth_i; PTER_unauth_i = 1 - FTER_unauth_i; PTER_amer_i = 1 - FTER_amer_i</t>
  </si>
  <si>
    <t xml:space="preserve">Complement of FTER</t>
  </si>
  <si>
    <t xml:space="preserve">S4.3</t>
  </si>
  <si>
    <t xml:space="preserve">Job Tenure Average by Group</t>
  </si>
  <si>
    <t xml:space="preserve">JTA_i = PARAMETERS!BASE_JTA_IND[i] * PARAMETERS!JTA_ADJ_FACTOR</t>
  </si>
  <si>
    <t xml:space="preserve">Avg years; apply new adj factor</t>
  </si>
  <si>
    <t xml:space="preserve">From BLS Tenure Survey; edited to include JTA_ADJ_FACTOR (P050) for 15% reduction to align with national median 4.1 years</t>
  </si>
  <si>
    <t xml:space="preserve">S4.4</t>
  </si>
  <si>
    <t xml:space="preserve">Turnover Rate by Group</t>
  </si>
  <si>
    <t xml:space="preserve">TR_i = PARAMETERS!BASE_TR_IND[i] + (U3R_i * PARAMETERS!TR_U3_MULTIPLIER) * PARAMETERS!TR_ADJ_FACTOR</t>
  </si>
  <si>
    <t xml:space="preserve">Link to unemployment; apply new adj factor</t>
  </si>
  <si>
    <t xml:space="preserve">From BLS JOLTS; edited to include TR_ADJ_FACTOR (P049) for 25% reduction to match AL separation rate ~3.4%</t>
  </si>
  <si>
    <t xml:space="preserve">S4.5</t>
  </si>
  <si>
    <t xml:space="preserve">Labor Productivity by Group</t>
  </si>
  <si>
    <t xml:space="preserve">LP_amer_i = PARAMETERS!LP_IND_AMER[i]; LP_auth_i = LP_amer_i * PARAMETERS!IMMIGRANT_LP_FACTOR_IND[i]; LP_unauth_i = LP_amer_i * PARAMETERS!UNAUTH_LP_FACTOR_IND[i]; LP_total_i = (LP_auth_i * EP_auth_i + LP_unauth_i * EP_unauth_i + LP_amer_i * EP_amer_i) / EP_total_i</t>
  </si>
  <si>
    <t xml:space="preserve">Output per hour from BLS; immigrants similar or slightly lower</t>
  </si>
  <si>
    <t xml:space="preserve">S4.6</t>
  </si>
  <si>
    <t xml:space="preserve">Education Level Required by Group</t>
  </si>
  <si>
    <t xml:space="preserve">ELR_amer_i = PARAMETERS!ELR_IND_AMER[i]; ELR_auth_i = ELR_amer_i * PARAMETERS!IMMIGRANT_ELR_FACTOR_IND[i]; ELR_unauth_i = ELR_amer_i * PARAMETERS!UNAUTH_ELR_FACTOR_IND[i]; ELR_total_i = (ELR_auth_i * EP_auth_i + ELR_unauth_i * EP_unauth_i + ELR_amer_i * EP_amer_i) / EP_total_i</t>
  </si>
  <si>
    <t xml:space="preserve">ONET industry avg education (scale 1-5); unauth lower</t>
  </si>
  <si>
    <t xml:space="preserve">85% accuracy</t>
  </si>
  <si>
    <t xml:space="preserve">S4.7</t>
  </si>
  <si>
    <t xml:space="preserve">State/Local Tax Revenue by Group</t>
  </si>
  <si>
    <t xml:space="preserve">SLTR_i = AIAVG_i * PARAMETERS!STATE_LOCAL_TAX_RATE_IND[i] * EP_i * PARAMETERS!SLTR_ADJ_FACTOR</t>
  </si>
  <si>
    <t xml:space="preserve">Aggregate from income; apply new adj factor</t>
  </si>
  <si>
    <t xml:space="preserve">Use effective rate from AL Dept Revenue; edited to include SLTR_ADJ_FACTOR (P048) to scale labor-derived tax to ~$7.5B income tax revenue</t>
  </si>
  <si>
    <t xml:space="preserve">S4.8</t>
  </si>
  <si>
    <t xml:space="preserve">Social Security/Medicare Contributions by Group</t>
  </si>
  <si>
    <t xml:space="preserve">SSMC_amer_i = AIAVG_amer_i * EP_amer_i * PARAMETERS!SSMC_RATE; SSMC_auth_i = AIAVG_auth_i * EP_auth_i * PARAMETERS!SSMC_RATE; SSMC_unauth_i = AIAVG_unauth_i * EP_unauth_i * PARAMETERS!SSMC_RATE_UNAUTH; SSMC_total_i = sum by group</t>
  </si>
  <si>
    <t xml:space="preserve">15.3% total; unauth partial via ITIN</t>
  </si>
  <si>
    <t xml:space="preserve">S4.9</t>
  </si>
  <si>
    <t xml:space="preserve">Public Assistance Usage Rate by Group</t>
  </si>
  <si>
    <t xml:space="preserve">PAUR_amer_i = PARAMETERS!PAUR_IND_AMER[i]; PAUR_auth_i = PAUR_amer_i * PARAMETERS!IMMIGRANT_PAUR_FACTOR_IND[i]; PAUR_unauth_i = PAUR_amer_i * PARAMETERS!UNAUTH_PAUR_FACTOR_IND[i]; PAUR_total_i = (PAUR_auth_i * POP_auth_i + PAUR_unauth_i * POP_unauth_i + PAUR_amer_i * POP_amer_i) / POP_total_i</t>
  </si>
  <si>
    <t xml:space="preserve">Census/CMS usage %; unauth lower eligibility (0.5x)</t>
  </si>
  <si>
    <t xml:space="preserve">80% accuracy; challenging data; edited to use increased PAUR_ADJ_FACTOR (P047) for SNAP match ~14.5%</t>
  </si>
  <si>
    <t xml:space="preserve">300 - Aggregate</t>
  </si>
  <si>
    <t xml:space="preserve">Aggregate / Summary / Weighted Average Formulae</t>
  </si>
  <si>
    <t xml:space="preserve">LFP_state_total = SUM(CALC!LFP_total_i for all) * PARAMETERS!CALIBRATION_SCALE_LFP</t>
  </si>
  <si>
    <t xml:space="preserve">Direct sum scaled to BLS target</t>
  </si>
  <si>
    <t xml:space="preserve">Should = P120; if scale &gt;1.05 or &lt;0.95, flag for review</t>
  </si>
  <si>
    <t xml:space="preserve">Total Labor Force Population – Statewide</t>
  </si>
  <si>
    <t xml:space="preserve">LFP_state_total = SUM(CALC!LFP_total_i) * PARAMETERS!CALIBRATION_SCALE_LFP</t>
  </si>
  <si>
    <t xml:space="preserve">Sum scaled to BLS</t>
  </si>
  <si>
    <t xml:space="preserve">Total Authorized Labor Force Population – Statewide</t>
  </si>
  <si>
    <t xml:space="preserve">LFP_state_auth = SUM(CALC!LFP_auth_i)</t>
  </si>
  <si>
    <t xml:space="preserve">Sum authorized</t>
  </si>
  <si>
    <t xml:space="preserve">Target ~120k</t>
  </si>
  <si>
    <t xml:space="preserve">Total Unauthorized Labor Force Population – Statewide</t>
  </si>
  <si>
    <t xml:space="preserve">LFP_state_unauth = SUM(CALC!LFP_unauth_i) * (PARAMETERS!UNAUTH_REAL_LF_EST / raw_unauth_sum)</t>
  </si>
  <si>
    <t xml:space="preserve">Scaled to MPI</t>
  </si>
  <si>
    <t xml:space="preserve">Target 55k</t>
  </si>
  <si>
    <t xml:space="preserve">Total American Labor Force Population – Statewide</t>
  </si>
  <si>
    <t xml:space="preserve">LFP_state_amer = SUM(CALC!LFP_amer_i)</t>
  </si>
  <si>
    <t xml:space="preserve">Sum American</t>
  </si>
  <si>
    <t xml:space="preserve">Residual</t>
  </si>
  <si>
    <t xml:space="preserve">Weighted Average Unemployment Rate (U3R) – Statewide</t>
  </si>
  <si>
    <t xml:space="preserve">U3R_state_weighted = SUM(CALC!U3R_total_i * CALC!LFP_total_i) / SUM(CALC!LFP_total_i) * PARAMETERS!CALIBRATION_SCALE_U3R</t>
  </si>
  <si>
    <t xml:space="preserve">Weighted &amp; scaled</t>
  </si>
  <si>
    <t xml:space="preserve">Weighted Average Wage ($/hr) – Statewide</t>
  </si>
  <si>
    <t xml:space="preserve">WAVG_state_weighted = SUM(CALC!WAVG_total_i * CALC!EP_total_i) / SUM(CALC!EP_total_i)</t>
  </si>
  <si>
    <t xml:space="preserve">Weighted by EP</t>
  </si>
  <si>
    <t xml:space="preserve">Weighted Average Annual Income ($) – Statewide</t>
  </si>
  <si>
    <t xml:space="preserve">AIAVG_state_weighted = SUM(CALC!AIAVG_total_i * CALC!EP_total_i) / SUM(CALC!EP_total_i)</t>
  </si>
  <si>
    <t xml:space="preserve">Target $66,500</t>
  </si>
  <si>
    <t xml:space="preserve">Unauthorized Labor Force Scaling Factor (Calibration)</t>
  </si>
  <si>
    <t xml:space="preserve">unauth_scale = PARAMETERS!UNAUTH_REAL_LF_EST / LFP_state_unauth</t>
  </si>
  <si>
    <t xml:space="preserve">Ratio to real est.</t>
  </si>
  <si>
    <t xml:space="preserve">Apply if outside range</t>
  </si>
  <si>
    <t xml:space="preserve">Total Employed Population – Statewide</t>
  </si>
  <si>
    <t xml:space="preserve">EP_state_total = SUM(CALC!EP_total_i) * PARAMETERS!CALIBRATION_SCALE_EP</t>
  </si>
  <si>
    <t xml:space="preserve">Scaled to BLS</t>
  </si>
  <si>
    <t xml:space="preserve">Total Federal Personal Income Tax Revenue – Statewide</t>
  </si>
  <si>
    <t xml:space="preserve">FPITREV_state_total = SUM(CALC!FPITREV_total_i)</t>
  </si>
  <si>
    <t xml:space="preserve">Sum FPITREV</t>
  </si>
  <si>
    <t xml:space="preserve">Target $1.5-2B</t>
  </si>
  <si>
    <t xml:space="preserve">Total Federal Payroll Tax Revenue – Statewide</t>
  </si>
  <si>
    <t xml:space="preserve">FPPTREV_state_total = SUM(CALC!FPPTREV_total_i)</t>
  </si>
  <si>
    <t xml:space="preserve">Sum FPPTREV</t>
  </si>
  <si>
    <t xml:space="preserve">Target $1.2-1.5B</t>
  </si>
  <si>
    <t xml:space="preserve">Total EITC Refund – Statewide</t>
  </si>
  <si>
    <t xml:space="preserve">EITCREF_state_total = SUM(CALC!EITCREF_total_i)</t>
  </si>
  <si>
    <t xml:space="preserve">Sum EITC</t>
  </si>
  <si>
    <t xml:space="preserve">Target $1.4B</t>
  </si>
  <si>
    <t xml:space="preserve">Total ACTC Refund – Statewide</t>
  </si>
  <si>
    <t xml:space="preserve">ACTCREF_state_total = SUM(CALC!ACTCREF_total_i)</t>
  </si>
  <si>
    <t xml:space="preserve">Sum ACTC</t>
  </si>
  <si>
    <t xml:space="preserve">Target $800M-1B</t>
  </si>
  <si>
    <t xml:space="preserve">Total AOTC Refund – Statewide</t>
  </si>
  <si>
    <t xml:space="preserve">AOTCREF_state_total = SUM(CALC!AOTCREF_total_i)</t>
  </si>
  <si>
    <t xml:space="preserve">Sum AOTC</t>
  </si>
  <si>
    <t xml:space="preserve">Target $200-300M</t>
  </si>
  <si>
    <t xml:space="preserve">Net Fiscal Impact – Statewide</t>
  </si>
  <si>
    <t xml:space="preserve">NET_FISCAL_state = (FPITREV_state_total + FPPTREV_state_total + SLTR_state_total + SSMC_state_total) - (EITCREF_state_total + ACTCREF_state_total + AOTCREF_state_total + PAUR_COST_state)</t>
  </si>
  <si>
    <t xml:space="preserve">Revenues minus costs</t>
  </si>
  <si>
    <t xml:space="preserve">Apply calibration</t>
  </si>
  <si>
    <t xml:space="preserve">Weighted Average Average Weekly Hours – Statewide</t>
  </si>
  <si>
    <t xml:space="preserve">AWHW_state_weighted = SUM(CALC!AWHW_total_i * CALC!EP_total_i) / SUM(CALC!EP_total_i)</t>
  </si>
  <si>
    <t xml:space="preserve">Target 36-40</t>
  </si>
  <si>
    <t xml:space="preserve">Weighted Average Full-Time Employment Rate – Statewide</t>
  </si>
  <si>
    <t xml:space="preserve">FTER_state_weighted = SUM(CALC!FTER_total_i * CALC!EP_total_i) / SUM(CALC!EP_total_i)</t>
  </si>
  <si>
    <t xml:space="preserve">Target 80-85%</t>
  </si>
  <si>
    <t xml:space="preserve">Apply Unauthorized Scaling</t>
  </si>
  <si>
    <t xml:space="preserve">LFP_unauth_i = raw_LFP_unauth_i * unauth_sensitivity_factor; apply to all unauth columns</t>
  </si>
  <si>
    <t xml:space="preserve">Post-proration scaling</t>
  </si>
  <si>
    <t xml:space="preserve">FID 400.7 logic</t>
  </si>
  <si>
    <t xml:space="preserve">Global Share Cap for Unauthorized</t>
  </si>
  <si>
    <t xml:space="preserve">If SUM(UNAUTH_SHARE_i * T_i) &gt; P078 * TOTAL_NONFARM_AL then prorate all UNAUTH_SHARE_i down proportionally</t>
  </si>
  <si>
    <t xml:space="preserve">Prevents over-allocation</t>
  </si>
  <si>
    <t xml:space="preserve">Applied in S0.2; edited to use updated P078 for better MPI match</t>
  </si>
  <si>
    <t xml:space="preserve">Industry/Role-Specific Advanced &amp; Support Metrics</t>
  </si>
  <si>
    <t xml:space="preserve">JTA_total_i = S20_JTA_total_i</t>
  </si>
  <si>
    <t xml:space="preserve">Direct from shared BLS/CPS industry tenure data</t>
  </si>
  <si>
    <t xml:space="preserve">95% accuracy target; BLS tenure tables are reliable</t>
  </si>
  <si>
    <t xml:space="preserve">Job Tenure Average (years) – Total</t>
  </si>
  <si>
    <t xml:space="preserve">JTA_total_i = S4.3_JTA_total_i</t>
  </si>
  <si>
    <t xml:space="preserve">Job Tenure Average (years) – Authorized</t>
  </si>
  <si>
    <t xml:space="preserve">JTA_auth_i = S4.3_JTA_auth_i</t>
  </si>
  <si>
    <t xml:space="preserve">Lower tenure</t>
  </si>
  <si>
    <t xml:space="preserve">Job Tenure Average (years) – Unauthorized</t>
  </si>
  <si>
    <t xml:space="preserve">JTA_unauth_i = S4.3_JTA_unauth_i</t>
  </si>
  <si>
    <t xml:space="preserve">Job Tenure Average (years) – American</t>
  </si>
  <si>
    <t xml:space="preserve">JTA_amer_i = S4.3_JTA_amer_i</t>
  </si>
  <si>
    <t xml:space="preserve">Turnover Rate (monthly or annual) – Total</t>
  </si>
  <si>
    <t xml:space="preserve">TR_total_i = S4.4_TR_total_i</t>
  </si>
  <si>
    <t xml:space="preserve">Turnover Rate – Authorized</t>
  </si>
  <si>
    <t xml:space="preserve">TR_auth_i = S4.4_TR_auth_i</t>
  </si>
  <si>
    <t xml:space="preserve">Turnover Rate – Unauthorized</t>
  </si>
  <si>
    <t xml:space="preserve">TR_unauth_i = S4.4_TR_unauth_i</t>
  </si>
  <si>
    <t xml:space="preserve">Turnover Rate – American</t>
  </si>
  <si>
    <t xml:space="preserve">TR_amer_i = S4.4_TR_amer_i</t>
  </si>
  <si>
    <t xml:space="preserve">Labor Productivity ($ output per hour) – Total</t>
  </si>
  <si>
    <t xml:space="preserve">LP_total_i = S4.5_LP_total_i</t>
  </si>
  <si>
    <t xml:space="preserve">Labor Productivity – Authorized</t>
  </si>
  <si>
    <t xml:space="preserve">LP_auth_i = S4.5_LP_auth_i</t>
  </si>
  <si>
    <t xml:space="preserve">Labor Productivity – Unauthorized</t>
  </si>
  <si>
    <t xml:space="preserve">LP_unauth_i = S4.5_LP_unauth_i</t>
  </si>
  <si>
    <t xml:space="preserve">Labor Productivity – American</t>
  </si>
  <si>
    <t xml:space="preserve">LP_amer_i = S4.5_LP_amer_i</t>
  </si>
  <si>
    <t xml:space="preserve">Education Level Required Average (scale 1–5) – Total</t>
  </si>
  <si>
    <t xml:space="preserve">ELR_total_i = S4.6_ELR_total_i</t>
  </si>
  <si>
    <t xml:space="preserve">Education Level Required – Authorized</t>
  </si>
  <si>
    <t xml:space="preserve">ELR_auth_i = S4.6_ELR_auth_i</t>
  </si>
  <si>
    <t xml:space="preserve">Education Level Required – Unauthorized</t>
  </si>
  <si>
    <t xml:space="preserve">ELR_unauth_i = S4.6_ELR_unauth_i</t>
  </si>
  <si>
    <t xml:space="preserve">Education Level Required – American</t>
  </si>
  <si>
    <t xml:space="preserve">ELR_amer_i = S4.6_ELR_amer_i</t>
  </si>
  <si>
    <t xml:space="preserve">State/Local Tax Revenue ($) – Total</t>
  </si>
  <si>
    <t xml:space="preserve">SLTR_total_i = S4.7_SLTR_total_i</t>
  </si>
  <si>
    <t xml:space="preserve">State/Local Tax Revenue – Authorized</t>
  </si>
  <si>
    <t xml:space="preserve">SLTR_auth_i = S4.7_SLTR_auth_i</t>
  </si>
  <si>
    <t xml:space="preserve">State/Local Tax Revenue – Unauthorized</t>
  </si>
  <si>
    <t xml:space="preserve">SLTR_unauth_i = S4.7_SLTR_unauth_i</t>
  </si>
  <si>
    <t xml:space="preserve">State/Local Tax Revenue – American</t>
  </si>
  <si>
    <t xml:space="preserve">SLTR_amer_i = S4.7_SLTR_amer_i</t>
  </si>
  <si>
    <t xml:space="preserve">Social Security/Medicare Contributions ($) – Total</t>
  </si>
  <si>
    <t xml:space="preserve">SSMC_total_i = S4.8_SSMC_total_i</t>
  </si>
  <si>
    <t xml:space="preserve">Social Security/Medicare Contributions – Authorized</t>
  </si>
  <si>
    <t xml:space="preserve">SSMC_auth_i = S4.8_SSMC_auth_i</t>
  </si>
  <si>
    <t xml:space="preserve">Social Security/Medicare Contributions – Unauthorized</t>
  </si>
  <si>
    <t xml:space="preserve">SSMC_unauth_i = S4.8_SSMC_unauth_i</t>
  </si>
  <si>
    <t xml:space="preserve">Social Security/Medicare Contributions – American</t>
  </si>
  <si>
    <t xml:space="preserve">SSMC_amer_i = S4.8_SSMC_amer_i</t>
  </si>
  <si>
    <t xml:space="preserve">Public Assistance Usage Rate (%) – Total</t>
  </si>
  <si>
    <t xml:space="preserve">PAUR_total_i = S4.9_PAUR_total_i</t>
  </si>
  <si>
    <t xml:space="preserve">80% accuracy</t>
  </si>
  <si>
    <t xml:space="preserve">Public Assistance Usage Rate – Authorized</t>
  </si>
  <si>
    <t xml:space="preserve">PAUR_auth_i = S4.9_PAUR_auth_i</t>
  </si>
  <si>
    <t xml:space="preserve">Public Assistance Usage Rate – Unauthorized</t>
  </si>
  <si>
    <t xml:space="preserve">PAUR_unauth_i = S4.9_PAUR_unauth_i</t>
  </si>
  <si>
    <t xml:space="preserve">Public Assistance Usage Rate – American</t>
  </si>
  <si>
    <t xml:space="preserve">PAUR_amer_i = S4.9_PAUR_amer_i</t>
  </si>
  <si>
    <t xml:space="preserve">400 - Derived/Forecast</t>
  </si>
  <si>
    <t xml:space="preserve">Derived / Forecast / Scenario Formulae</t>
  </si>
  <si>
    <t xml:space="preserve">npv_per_capita_2026 = (NET_FISCAL_state + PARAMETERS!BASE_GDP_PER_CAPITA_AL) / PARAMETERS!AL_POPULATION_2026</t>
  </si>
  <si>
    <t xml:space="preserve">Net fiscal contribution per person, starting from current net impact</t>
  </si>
  <si>
    <t xml:space="preserve">Uses state total fiscal impact (FID 317) + baseline GDP/capita; 90% accuracy via BEA/Census pop est.</t>
  </si>
  <si>
    <t xml:space="preserve">Base NPV per Capita – Current (2026)</t>
  </si>
  <si>
    <t xml:space="preserve">Net fiscal per person</t>
  </si>
  <si>
    <t xml:space="preserve">NPV per Capita Forecast – 2035 (Baseline Moderate Growth)</t>
  </si>
  <si>
    <t xml:space="preserve">npv_per_capita_2035_baseline = npv_per_capita_2026 * (1 + PARAMETERS!BASE_GDP_GROWTH_RATE)^9</t>
  </si>
  <si>
    <t xml:space="preserve">Compound at 2.0-2.5%</t>
  </si>
  <si>
    <t xml:space="preserve">NPV per Capita Forecast – 2035 (Moderate Convergence for Unauthorized)</t>
  </si>
  <si>
    <t xml:space="preserve">npv_per_capita_2035_unauth_moderate = npv_per_capita_2035_baseline + ((AIAVG_unauth - AIAVG_amer) * -1 * EP_unauth_state * PARAMETERS!UNAUTH_AIAVG_GAIN_FACTOR_MODERATE)</t>
  </si>
  <si>
    <t xml:space="preserve">Partial convergence</t>
  </si>
  <si>
    <t xml:space="preserve">NPV per Capita Forecast – 2035 (High Average Annual Income Convergence for Unauthorized)</t>
  </si>
  <si>
    <t xml:space="preserve">npv_per_capita_2035_unauth_high = npv_per_capita_2035_baseline + ((AIAVG_unauth - AIAVG_amer) * -1 * EP_unauth_state * PARAMETERS!UNAUTH_AIAVG_GAIN_FACTOR_HIGH)</t>
  </si>
  <si>
    <t xml:space="preserve">High convergence (30-50%)</t>
  </si>
  <si>
    <t xml:space="preserve">Unauthorized Full-Time Employment Share Increase Impact – 2035</t>
  </si>
  <si>
    <t xml:space="preserve">unauth_ft_share_impact_2035 = (EP_unauth_state / EP_state_total) * PARAMETERS!UNAUTH_FT_GAIN_SCENARIO * npv_per_capita_2035_baseline</t>
  </si>
  <si>
    <t xml:space="preserve">+5-15% FT lift</t>
  </si>
  <si>
    <t xml:space="preserve">Net Fiscal Impact Forecast – 2035 (Baseline)</t>
  </si>
  <si>
    <t xml:space="preserve">NET_FISCAL_2035_baseline = NET_FISCAL_state * (1 + PARAMETERS!FISCAL_GROWTH_RATE)^9</t>
  </si>
  <si>
    <t xml:space="preserve">At fiscal growth rate</t>
  </si>
  <si>
    <t xml:space="preserve">90% accuracy; edited to use updated PNew14 from latest CBO proj</t>
  </si>
  <si>
    <t xml:space="preserve">Net Fiscal Impact Forecast – 2035 (With Unauthorized Convergence)</t>
  </si>
  <si>
    <t xml:space="preserve">NET_FISCAL_2035_unauth_conv = NET_FISCAL_2035_baseline + (EP_unauth_state * (AIAVG_unauth_converged - AIAVG_unauth) * PARAMETERS!FISCAL_MULTIPLIER_UNAUTH)</t>
  </si>
  <si>
    <t xml:space="preserve">Increased taxes</t>
  </si>
  <si>
    <t xml:space="preserve">Sensitivity Adjustment Factor – Unauthorized LF</t>
  </si>
  <si>
    <t xml:space="preserve">unauth_sensitivity_factor = PARAMETERS!UNAUTH_REAL_LF_EST / raw_LFP_state_unauth</t>
  </si>
  <si>
    <t xml:space="preserve">Ratio to est.</t>
  </si>
  <si>
    <t xml:space="preserve">Apply post-sum; edited to use new P078 update for better MPI match</t>
  </si>
  <si>
    <t xml:space="preserve">Monte Carlo Uncertainty Range – NPV per Capita 2035</t>
  </si>
  <si>
    <t xml:space="preserve">npv_per_capita_2035_range = npv_per_capita_2035_baseline ± (npv_per_capita_2035_baseline * PARAMETERS!UNCERTAINTY_RANGE_PCT)</t>
  </si>
  <si>
    <t xml:space="preserve">±15-25% band</t>
  </si>
  <si>
    <t xml:space="preserve">85-95% coverage</t>
  </si>
  <si>
    <t xml:space="preserve">Per Capita Benefit from Unauthorized Convergence – 2035</t>
  </si>
  <si>
    <t xml:space="preserve">benefit_per_capita_2035_unauth_conv = (npv_per_capita_2035_unauth_moderate - npv_per_capita_2035_baseline)</t>
  </si>
  <si>
    <t xml:space="preserve">Net gain</t>
  </si>
  <si>
    <t xml:space="preserve">Scenario: Unauthorized Wage Convergence to 90% of American</t>
  </si>
  <si>
    <t xml:space="preserve">unauth_wage_converged = AIAVG_amer * 0.90</t>
  </si>
  <si>
    <t xml:space="preserve">Reaches 90% American</t>
  </si>
  <si>
    <t xml:space="preserve">500 - Calibration</t>
  </si>
  <si>
    <t xml:space="preserve">Employment Calibration</t>
  </si>
  <si>
    <t xml:space="preserve">EP_i = EP_i * (PARAMETERS!BLS_EP_TOTAL_TARGET / sum(raw_EP_i))</t>
  </si>
  <si>
    <t xml:space="preserve">Post-calc adjustment to match public CES totals</t>
  </si>
  <si>
    <t xml:space="preserve">Apply after S0.5 for low-rated sectors like construction, manufacturing; new addition for calibration</t>
  </si>
  <si>
    <t xml:space="preserve">Wage Calibration</t>
  </si>
  <si>
    <t xml:space="preserve">WAVG_i = WAVG_i * (PARAMETERS!BLS_WAGE_IND[i] / raw_WAVG_i)</t>
  </si>
  <si>
    <t xml:space="preserve">Adjust to match BLS OEWS/CES wages</t>
  </si>
  <si>
    <t xml:space="preserve">Apply after FID 100.0 using new wage PARAM; new addition to address wage discrepancies in construction etc.</t>
  </si>
  <si>
    <t xml:space="preserve">Underemployment Adjustment</t>
  </si>
  <si>
    <t xml:space="preserve">U6R_i = U3R_i * PARAMETERS!U6_U3_RATIO_IND[i]</t>
  </si>
  <si>
    <t xml:space="preserve">Scale U3 to U6 using historical ratio</t>
  </si>
  <si>
    <t xml:space="preserve">Use quarterly BLS alternative measures ratio; new addition to better estimate state U6</t>
  </si>
  <si>
    <t xml:space="preserve">Public Assistance Adjustment</t>
  </si>
  <si>
    <t xml:space="preserve">PAUR_i = PAUR_i * PARAMETERS!PAUR_ADJ_FACTOR</t>
  </si>
  <si>
    <t xml:space="preserve">Adjust usage rate based on eligibility and income</t>
  </si>
  <si>
    <t xml:space="preserve">Apply post FID 300 with updated eligibility PARAM from Urban Institute; edited to use increased PAUR_ADJ_FACTOR (P047) for SNAP match ~14.5%</t>
  </si>
  <si>
    <t xml:space="preserve">Shared Formulae</t>
  </si>
  <si>
    <t xml:space="preserve">FID Group</t>
  </si>
  <si>
    <t xml:space="preserve">FID</t>
  </si>
  <si>
    <t xml:space="preserve">Formula Name</t>
  </si>
  <si>
    <t xml:space="preserve">Formula (using PARAMETERS)</t>
  </si>
  <si>
    <t xml:space="preserve">Logic / Key Inputs</t>
  </si>
  <si>
    <t xml:space="preserve">Notes / Machine Instruction</t>
  </si>
  <si>
    <t xml:space="preserve">LFPR Group</t>
  </si>
  <si>
    <t xml:space="preserve">S7</t>
  </si>
  <si>
    <t xml:space="preserve">Shared - Labor Force Participation Rate (New Addition)</t>
  </si>
  <si>
    <t xml:space="preserve">LFPR_total_i = LFP_total_i / PARAMETERS!AL_POPULATION_2026 * PARAMETERS!LFPR_ADJ_FACTOR; LFPR_auth_i = LFPR_total_i * (1 + PARAMETERS!IMMIGRANT_LFPR_ADJ); LFPR_unauth_i = LFPR_total_i * (1 + PARAMETERS!UNAUTH_LFPR_ADJ); LFPR_amer_i = weighted residual</t>
  </si>
  <si>
    <t xml:space="preserve">Derived from LFP and population with immigrant adjustments</t>
  </si>
  <si>
    <t xml:space="preserve">New addition for explicit LFPR calculation; weighted avg must ≈ state LFPR ~59.4%; use BLS LAUS for calibration</t>
  </si>
  <si>
    <t xml:space="preserve">U3R Group</t>
  </si>
  <si>
    <t xml:space="preserve">S6</t>
  </si>
  <si>
    <t xml:space="preserve">Shared - Unemployment Rate (New Addition)</t>
  </si>
  <si>
    <t xml:space="preserve">U3R_total_i = PARAMETERS!U3R_IND[i]; U3R_auth_i = U3R_total_i * (1 + PARAMETERS!IMMIGRANT_U3R_ADJ); U3R_unauth_i = U3R_total_i * (1 + PARAMETERS!UNAUTH_U3R_ADJ); U3R_amer_i = weighted residual</t>
  </si>
  <si>
    <t xml:space="preserve">Industry U3R from BLS + immigrant adj (unauth higher in volatile sectors)</t>
  </si>
  <si>
    <t xml:space="preserve">New addition for explicit U3R; weighted avg ≈ state U3R ~2.7%; edited to include UNAUTH_U3R_ADJ (P085) for better ACS alignment</t>
  </si>
  <si>
    <t xml:space="preserve">U6R Group</t>
  </si>
  <si>
    <t xml:space="preserve">S6.1</t>
  </si>
  <si>
    <t xml:space="preserve">Shared - Underemployment Rate (New Addition)</t>
  </si>
  <si>
    <t xml:space="preserve">U6R_total_i = U3R_total_i * PARAMETERS!U6_U3_RATIO_IND[i]; U6R_auth_i = U6R_total_i * (1 + PARAMETERS!IMMIGRANT_U6R_ADJ); U6R_unauth_i = U6R_total_i * (1 + PARAMETERS!UNAUTH_U6R_ADJ); U6R_amer_i = weighted residual</t>
  </si>
  <si>
    <t xml:space="preserve">Scale U3R to U6R with immigrant adjustments</t>
  </si>
  <si>
    <t xml:space="preserve">New addition for explicit U6R; use BLS alternative measures; edited ratio to 2.5 per Q4 2025 data</t>
  </si>
  <si>
    <t xml:space="preserve">LFP Formulae</t>
  </si>
  <si>
    <t xml:space="preserve">LFP - Labor Force Population</t>
  </si>
  <si>
    <t xml:space="preserve">LFP.0</t>
  </si>
  <si>
    <t xml:space="preserve">Labor Force Population Total</t>
  </si>
  <si>
    <t xml:space="preserve">LFP_total_i = (S0.5_EP_total_i / (1 - S6_U3R_total_i)) * PARAMETERS!LFP_CALIBRATION_FACTOR_IND[i]</t>
  </si>
  <si>
    <t xml:space="preserve">Derived from employed population and unemployment rate, adjusted for industry-specific factors</t>
  </si>
  <si>
    <t xml:space="preserve">Uses shared S0.5 for EP and S6 for U3R; apply post-calibration (FID 500); new addition for explicit LFP calc; ensure statewide sum ≈ PARAMETERS!BLS_LFP_TOTAL_TARGET (~2,384k); edited to include LFP_CALIBRATION_FACTOR_IND for better ACS alignment in ag/constr</t>
  </si>
  <si>
    <t xml:space="preserve">LFP.1</t>
  </si>
  <si>
    <t xml:space="preserve">Authorized Immigrant Labor Force Population</t>
  </si>
  <si>
    <t xml:space="preserve">LFP_auth_i = (S0.5_EP_auth_i / (1 - S6_U3R_auth_i)) * PARAMETERS!AUTH_IMMIGRANT_LFP_ADJ_FACTOR</t>
  </si>
  <si>
    <t xml:space="preserve">Per-group derivation with authorized adjustment</t>
  </si>
  <si>
    <t xml:space="preserve">Target statewide auth LFP ~120k; new addition; adjustment factor from MPI/ACS for higher participation in select industries</t>
  </si>
  <si>
    <t xml:space="preserve">LFP.2</t>
  </si>
  <si>
    <t xml:space="preserve">Unauthorized Immigrant Labor Force Population</t>
  </si>
  <si>
    <t xml:space="preserve">LFP_unauth_i = (S0.5_EP_unauth_i / (1 - S6_U3R_unauth_i)) * PARAMETERS!UNAUTH_IMMIGRANT_LFP_ADJ_FACTOR * S0.2_unauth_scale</t>
  </si>
  <si>
    <t xml:space="preserve">Per-group derivation with unauthorized scaling and adjustment</t>
  </si>
  <si>
    <t xml:space="preserve">Apply shared global cap (FID 300.21); target ~50k statewide; new addition; higher adj in volatile sectors like agriculture (P102=1.15)</t>
  </si>
  <si>
    <t xml:space="preserve">LFP.3</t>
  </si>
  <si>
    <t xml:space="preserve">American Labor Force Population</t>
  </si>
  <si>
    <t xml:space="preserve">LFP_amer_i = LFP_total_i - LFP_auth_i - LFP_unauth_i</t>
  </si>
  <si>
    <t xml:space="preserve">Residual calculation after immigrant prorations</t>
  </si>
  <si>
    <t xml:space="preserve">100% derived; ensures consistency with total; new addition for explicit residual</t>
  </si>
  <si>
    <t xml:space="preserve">LFP.4</t>
  </si>
  <si>
    <t xml:space="preserve">Industry LFP Proration</t>
  </si>
  <si>
    <t xml:space="preserve">LFP_i = S0.0_T_i * PARAMETERS!LFP_PRORATE_FACTOR_IND[i]</t>
  </si>
  <si>
    <t xml:space="preserve">Initial proration from total employment before rate adjustments</t>
  </si>
  <si>
    <t xml:space="preserve">Apply before LFP.0; uses shared industry totals; new addition to handle self-employed uplift in agriculture (e.g., +10% adj)</t>
  </si>
  <si>
    <t xml:space="preserve">ETPR Formulae</t>
  </si>
  <si>
    <t xml:space="preserve">ETPR - Employment-to-Population Ratio</t>
  </si>
  <si>
    <t xml:space="preserve">ETPR.0</t>
  </si>
  <si>
    <t xml:space="preserve">Employment-to-Population Ratio Total</t>
  </si>
  <si>
    <t xml:space="preserve">ETPR_total_i = S0.5_EP_total_i / PARAMETERS!AL_POPULATION_2026 * PARAMETERS!ETPR_CALIBRATION_FACTOR_IND[i]</t>
  </si>
  <si>
    <t xml:space="preserve">Derived from employed population and total state population, adjusted for industry-specific factors</t>
  </si>
  <si>
    <t xml:space="preserve">Uses shared S0.5 for EP and P059 for population; apply post-calibration (FID 500); new addition for explicit ETPR calc; ensure statewide weighted avg ≈ PARAMETERS!BLS_ETPR_TARGET (~0.561 or 56.1%); edited to include ETPR_CALIBRATION_FACTOR_IND for better CPS alignment in leisure/hospitality</t>
  </si>
  <si>
    <t xml:space="preserve">ETPR.1</t>
  </si>
  <si>
    <t xml:space="preserve">Authorized Immigrant Employment-to-Population Ratio</t>
  </si>
  <si>
    <t xml:space="preserve">ETPR_auth_i = S0.5_EP_auth_i / (PARAMETERS!AL_POPULATION_2026 * PARAMETERS!AUTH_IMMIGRANT_POP_SHARE) * PARAMETERS!AUTH_IMMIGRANT_ETPR_ADJ_FACTOR</t>
  </si>
  <si>
    <t xml:space="preserve">New addition; population share from MPI/ACS; adjustment factor slightly higher for authorized immigrants in stable sectors</t>
  </si>
  <si>
    <t xml:space="preserve">ETPR.2</t>
  </si>
  <si>
    <t xml:space="preserve">Unauthorized Immigrant Employment-to-Population Ratio</t>
  </si>
  <si>
    <t xml:space="preserve">ETPR_unauth_i = S0.5_EP_unauth_i / (PARAMETERS!AL_POPULATION_2026 * PARAMETERS!UNAUTH_IMMIGRANT_POP_SHARE) * PARAMETERS!UNAUTH_IMMIGRANT_ETPR_ADJ_FACTOR</t>
  </si>
  <si>
    <t xml:space="preserve">Per-group derivation with unauthorized adjustment</t>
  </si>
  <si>
    <t xml:space="preserve">New addition; lower adj in some sectors due to barriers; apply shared global cap (FID 300.21)</t>
  </si>
  <si>
    <t xml:space="preserve">ETPR.3</t>
  </si>
  <si>
    <t xml:space="preserve">American Employment-to-Population Ratio</t>
  </si>
  <si>
    <t xml:space="preserve">ETPR_amer_i = S0.5_EP_amer_i / (PARAMETERS!AL_POPULATION_2026 * (1 - PARAMETERS!AUTH_IMMIGRANT_POP_SHARE - PARAMETERS!UNAUTH_IMMIGRANT_POP_SHARE))</t>
  </si>
  <si>
    <t xml:space="preserve">ETPR.4</t>
  </si>
  <si>
    <t xml:space="preserve">Industry ETPR Proration</t>
  </si>
  <si>
    <t xml:space="preserve">ETPR_i = (S0.0_T_i / PARAMETERS!AL_POPULATION_2026) * PARAMETERS!ETPR_PRORATE_FACTOR_IND[i]</t>
  </si>
  <si>
    <t xml:space="preserve">Initial proration from total employment before adjustments</t>
  </si>
  <si>
    <t xml:space="preserve">Apply before ETPR.0; uses shared industry totals; new addition to handle demographic shifts in education/health (e.g., +5% adj)</t>
  </si>
  <si>
    <t xml:space="preserve">LFPR Formulae</t>
  </si>
  <si>
    <t xml:space="preserve">LFPR - Labor Force Participation Rate</t>
  </si>
  <si>
    <t xml:space="preserve">LFPR.0</t>
  </si>
  <si>
    <t xml:space="preserve">Labor Force Participation Rate Total</t>
  </si>
  <si>
    <t xml:space="preserve">LFPR_total_i = LFP_total_i / (PARAMETERS!AL_POPULATION_2026 * PARAMETERS!LFPR_POP_SHARE_IND[i])</t>
  </si>
  <si>
    <t xml:space="preserve">Derived from LFP (from shared/LFP tab) divided by industry-demographic population share, with calibration</t>
  </si>
  <si>
    <t xml:space="preserve">Uses shared LFP.0 and P059 population; apply post-LFP calibration; new addition for explicit LFPR; ensure statewide weighted avg ≈ PARAMETERS!BLS_LFPR_TARGET (0.577 or 57.7% per BLS LAUS Dec 2025); edited to include LFPR_POP_SHARE_IND for sector-specific working-age/pop shares</t>
  </si>
  <si>
    <t xml:space="preserve">LFPR.1</t>
  </si>
  <si>
    <t xml:space="preserve">Authorized Immigrant Labor Force Participation Rate</t>
  </si>
  <si>
    <t xml:space="preserve">LFPR_auth_i = LFP_auth_i / (PARAMETERS!AL_POPULATION_2026 * PARAMETERS!AUTH_IMMIGRANT_POP_SHARE) * PARAMETERS!AUTH_IMMIGRANT_LFPR_ADJ_FACTOR</t>
  </si>
  <si>
    <t xml:space="preserve">New addition; uses shared LFP.1 and pop share; adjustment slightly higher for authorized immigrants in professional sectors</t>
  </si>
  <si>
    <t xml:space="preserve">LFPR.2</t>
  </si>
  <si>
    <t xml:space="preserve">Unauthorized Immigrant Labor Force Participation Rate</t>
  </si>
  <si>
    <t xml:space="preserve">LFPR_unauth_i = LFP_unauth_i / (PARAMETERS!AL_POPULATION_2026 * PARAMETERS!UNAUTH_IMMIGRANT_POP_SHARE) * PARAMETERS!UNAUTH_IMMIGRANT_LFPR_ADJ_FACTOR</t>
  </si>
  <si>
    <t xml:space="preserve">New addition; higher adj in labor-intensive sectors like construction/ag; apply shared global cap (FID 300.21)</t>
  </si>
  <si>
    <t xml:space="preserve">LFPR.3</t>
  </si>
  <si>
    <t xml:space="preserve">American Labor Force Participation Rate</t>
  </si>
  <si>
    <t xml:space="preserve">LFPR_amer_i = LFP_amer_i / (PARAMETERS!AL_POPULATION_2026 * (1 - PARAMETERS!AUTH_IMMIGRANT_POP_SHARE - PARAMETERS!UNAUTH_IMMIGRANT_POP_SHARE))</t>
  </si>
  <si>
    <t xml:space="preserve">LFPR.4</t>
  </si>
  <si>
    <t xml:space="preserve">Industry LFPR Calibration Adjustment</t>
  </si>
  <si>
    <t xml:space="preserve">LFPR_i = LFPR_i * PARAMETERS!LFPR_CALIBRATION_FACTOR_IND[i]</t>
  </si>
  <si>
    <t xml:space="preserve">Final scaling to match BLS LAUS industry patterns</t>
  </si>
  <si>
    <t xml:space="preserve">Apply after LFPR.0; uses shared calibration logic; new addition to align volatile sectors (e.g., hospitality down adj for seasonal)</t>
  </si>
  <si>
    <t xml:space="preserve">U3R Formulae</t>
  </si>
  <si>
    <t xml:space="preserve">U3R - Unemployment Rate (U-3)</t>
  </si>
  <si>
    <t xml:space="preserve">U3R.0</t>
  </si>
  <si>
    <t xml:space="preserve">Unemployment Rate Total</t>
  </si>
  <si>
    <t xml:space="preserve">U3R_total_i = PARAMETERS!U3R_IND[i] * PARAMETERS!U3R_CALIBRATION_FACTOR_IND[i]</t>
  </si>
  <si>
    <t xml:space="preserve">Base industry U-3 rate from BLS LAUS/CES fusion, scaled to match statewide target</t>
  </si>
  <si>
    <t xml:space="preserve">Uses shared data fusion (S0.3) for base; apply post-LFP/ETPR; new addition for explicit U3R; ensure statewide weighted avg (by LFP) ≈ PARAMETERS!BLS_U3R_TARGET (0.027 or 2.7% per BLS LAUS Dec 2025 seasonally adjusted); edited with calibration factor for volatile sectors like agriculture/construction</t>
  </si>
  <si>
    <t xml:space="preserve">U3R.1</t>
  </si>
  <si>
    <t xml:space="preserve">Authorized Immigrant Unemployment Rate</t>
  </si>
  <si>
    <t xml:space="preserve">U3R_auth_i = U3R_total_i * (1 + PARAMETERS!AUTH_IMMIGRANT_U3R_ADJ_FACTOR)</t>
  </si>
  <si>
    <t xml:space="preserve">Adjustment for authorized immigrants</t>
  </si>
  <si>
    <t xml:space="preserve">Slightly lower than total avg due to stability in certain sectors; new addition for U3R.1; uses shared immigrant adj logic</t>
  </si>
  <si>
    <t xml:space="preserve">U3R.2</t>
  </si>
  <si>
    <t xml:space="preserve">Unauthorized Immigrant Unemployment Rate</t>
  </si>
  <si>
    <t xml:space="preserve">U3R_unauth_i = U3R_total_i * (1 + PARAMETERS!UNAUTH_IMMIGRANT_U3R_ADJ_FACTOR)</t>
  </si>
  <si>
    <t xml:space="preserve">Adjustment for unauthorized immigrants</t>
  </si>
  <si>
    <t xml:space="preserve">Higher in volatile/low-wage sectors (ag, constr, hospitality); new addition for U3R.2; apply shared global cap (FID 300.21) if needed</t>
  </si>
  <si>
    <t xml:space="preserve">U3R.3</t>
  </si>
  <si>
    <t xml:space="preserve">American Unemployment Rate</t>
  </si>
  <si>
    <t xml:space="preserve">U3R_amer_i = (U3R_total_i * LFP_total_i - U3R_auth_i * LFP_auth_i - U3R_unauth_i * LFP_unauth_i) / LFP_amer_i</t>
  </si>
  <si>
    <t xml:space="preserve">100% derived; ensures weighted consistency with total; new addition for explicit residual; uses shared LFP values</t>
  </si>
  <si>
    <t xml:space="preserve">U3R.4</t>
  </si>
  <si>
    <t xml:space="preserve">Industry U3R Weighted Calibration</t>
  </si>
  <si>
    <t xml:space="preserve">U3R_i = U3R_i * (PARAMETERS!BLS_U3R_TARGET / weighted_state_U3R_raw)</t>
  </si>
  <si>
    <t xml:space="preserve">Final statewide scaling to match BLS LAUS</t>
  </si>
  <si>
    <t xml:space="preserve">Apply after U3R.0; weighted by LFP_i; new addition to force alignment with public 2.7% figure; override if scale outside 0.95-1.05 range (flag review)</t>
  </si>
  <si>
    <t xml:space="preserve">U6R Formulae</t>
  </si>
  <si>
    <t xml:space="preserve">U6R - Underemployment Rate (U-6)</t>
  </si>
  <si>
    <t xml:space="preserve">U6R.0</t>
  </si>
  <si>
    <t xml:space="preserve">Underemployment Rate Total</t>
  </si>
  <si>
    <t xml:space="preserve">U6R_total_i = U3R_total_i * PARAMETERS!U6_U3_RATIO_IND[i] * PARAMETERS!U6R_CALIBRATION_FACTOR_IND[i]</t>
  </si>
  <si>
    <t xml:space="preserve">Scale U-3 rate to U-6 using industry-specific historical ratios, with final calibration</t>
  </si>
  <si>
    <t xml:space="preserve">Uses shared U3R.0 as base; apply after U3R calibration; new addition for explicit U6R; statewide weighted avg (by LFP) targets ~0.0675 (6.75%) per model aggregate, aligned with national patterns where U-6 ≈ 2.0–2.5 × U-3 (BLS alternative measures Q4 2025 / early 2026 est.); edited ratio per industry volatility (higher in ag/constr/hospitality)</t>
  </si>
  <si>
    <t xml:space="preserve">U6R.1</t>
  </si>
  <si>
    <t xml:space="preserve">Authorized Immigrant Underemployment Rate</t>
  </si>
  <si>
    <t xml:space="preserve">U6R_auth_i = U6R_total_i * (1 + PARAMETERS!AUTH_IMMIGRANT_U6R_ADJ_FACTOR)</t>
  </si>
  <si>
    <t xml:space="preserve">Moderate uplift due to some part-time/involuntary factors; new addition for U6R.1; slightly higher than U-3 adj</t>
  </si>
  <si>
    <t xml:space="preserve">U6R.2</t>
  </si>
  <si>
    <t xml:space="preserve">Unauthorized Immigrant Underemployment Rate</t>
  </si>
  <si>
    <t xml:space="preserve">U6R_unauth_i = U6R_total_i * (1 + PARAMETERS!UNAUTH_IMMIGRANT_U6R_ADJ_FACTOR)</t>
  </si>
  <si>
    <t xml:space="preserve">Higher due to greater exposure to part-time economic reasons, marginal attachment; new addition for U6R.2; reflects ~2.5–3× U-3 in volatile sectors per MPI/ACS patterns</t>
  </si>
  <si>
    <t xml:space="preserve">U6R.3</t>
  </si>
  <si>
    <t xml:space="preserve">American Underemployment Rate</t>
  </si>
  <si>
    <t xml:space="preserve">U6R_amer_i = (U6R_total_i * LFP_total_i - U6R_auth_i * LFP_auth_i - U6R_unauth_i * LFP_unauth_i) / LFP_amer_i</t>
  </si>
  <si>
    <t xml:space="preserve">U6R.4</t>
  </si>
  <si>
    <t xml:space="preserve">Industry U6R Ratio Calibration</t>
  </si>
  <si>
    <t xml:space="preserve">U6R_i = U6R_i * (PARAMETERS!U6R_STATE_TARGET / weighted_state_U6R_raw)</t>
  </si>
  <si>
    <t xml:space="preserve">Final statewide scaling to target aggregate</t>
  </si>
  <si>
    <t xml:space="preserve">Apply after U6R.0; weighted by LFP_i; new addition to align model with VALID V006 and historical BLS alt measures (e.g., U-6 ~6–8% range when U-3 ~2.7%); flag if scale outside 0.9–1.1</t>
  </si>
  <si>
    <t xml:space="preserve">WAVG Formulae</t>
  </si>
  <si>
    <t xml:space="preserve">WAVG - Wage Average (Hourly)</t>
  </si>
  <si>
    <t xml:space="preserve">WAVG.0</t>
  </si>
  <si>
    <t xml:space="preserve">Wage Average Total</t>
  </si>
  <si>
    <t xml:space="preserve">WAVG_total_i = PARAMETERS!BLS_WAGE_IND[i] * PARAMETERS!WAVG_CALIBRATION_FACTOR_IND[i]</t>
  </si>
  <si>
    <t xml:space="preserve">Base industry hourly wage from BLS OEWS/CES fusion, calibrated to statewide target</t>
  </si>
  <si>
    <t xml:space="preserve">Uses shared data fusion (S0.3) and BLS calibration (FID 500.1); new addition for explicit WAVG; statewide weighted avg (by EP_total_i) targets ~$31.96 per hour per BLS CES Dec 2025 (not seasonally adjusted, total private); edited with calibration factor to address discrepancies in construction, manufacturing, hospitality per VALID notes and recent data</t>
  </si>
  <si>
    <t xml:space="preserve">WAVG.1</t>
  </si>
  <si>
    <t xml:space="preserve">Authorized Immigrant Wage Average</t>
  </si>
  <si>
    <t xml:space="preserve">WAVG_auth_i = WAVG_total_i * (1 + PARAMETERS!AUTH_IMMIGRANT_WAVG_ADJ_FACTOR)</t>
  </si>
  <si>
    <t xml:space="preserve">Slight premium in skilled/stable sectors; new addition for WAVG.1; uses shared immigrant adj logic</t>
  </si>
  <si>
    <t xml:space="preserve">WAVG.2</t>
  </si>
  <si>
    <t xml:space="preserve">Unauthorized Immigrant Wage Average</t>
  </si>
  <si>
    <t xml:space="preserve">WAVG_unauth_i = WAVG_total_i * (1 + PARAMETERS!UNAUTH_IMMIGRANT_WAVG_ADJ_FACTOR)</t>
  </si>
  <si>
    <t xml:space="preserve">Discount in low-wage/volatile sectors (e.g., ag, constr, hospitality); new addition for WAVG.2; reflects ~10-20% lower per MPI/ACS patterns</t>
  </si>
  <si>
    <t xml:space="preserve">WAVG.3</t>
  </si>
  <si>
    <t xml:space="preserve">American Wage Average</t>
  </si>
  <si>
    <t xml:space="preserve">WAVG_amer_i = (WAVG_total_i * EP_total_i - WAVG_auth_i * EP_auth_i - WAVG_unauth_i * EP_unauth_i) / EP_amer_i</t>
  </si>
  <si>
    <t xml:space="preserve">100% derived; ensures weighted consistency with total; new addition for explicit residual; uses shared EP values from CALC</t>
  </si>
  <si>
    <t xml:space="preserve">WAVG.4</t>
  </si>
  <si>
    <t xml:space="preserve">Industry Wage Calibration Post-Adjustment</t>
  </si>
  <si>
    <t xml:space="preserve">WAVG_i = WAVG_i * (PARAMETERS!BLS_WAVG_STATE_TARGET / weighted_state_WAVG_raw)</t>
  </si>
  <si>
    <t xml:space="preserve">Final statewide scaling to match BLS CES/OEWS</t>
  </si>
  <si>
    <t xml:space="preserve">Apply after FID 500.1 (shared calibration); weighted by EP_i; new addition to force alignment with public ~$31.96 figure for Dec 2025; flag if scale outside 0.95-1.05 range</t>
  </si>
  <si>
    <t xml:space="preserve">AIAVG Formulae</t>
  </si>
  <si>
    <t xml:space="preserve">AIAVG - Annual Income Average</t>
  </si>
  <si>
    <t xml:space="preserve">AIAVG.0</t>
  </si>
  <si>
    <t xml:space="preserve">Annual Income Average Total</t>
  </si>
  <si>
    <t xml:space="preserve">AIAVG_total_i = WAVG_total_i * PARAMETERS!AWHW_IND[i] * 52 * PARAMETERS!AIAVG_CALIBRATION_FACTOR_IND[i]</t>
  </si>
  <si>
    <t xml:space="preserve">Derived from hourly wage (WAVG tab) multiplied by average weekly hours worked (AWHW shared) and annualized (52 weeks), with industry calibration</t>
  </si>
  <si>
    <t xml:space="preserve">Uses shared WAVG.0 and S4.0 (AWHW); apply after wage calibration (FID 500.1); new addition for explicit AIAVG; statewide weighted avg (by EP_total_i) targets ~$66,400–$66,900 per model aggregate and BLS-derived estimates (e.g., ~$31.96/hr × 35.6 hrs/wk × 52 ≈ $59,200 base private, uplifted for total incl. benefits/OT/self-emp); edited calibration factor to align with QCEW weekly wages annualized (~$1,138 wk × 52 ≈ $59,176) plus reasonable premium for full population coverage</t>
  </si>
  <si>
    <t xml:space="preserve">AIAVG.1</t>
  </si>
  <si>
    <t xml:space="preserve">Authorized Immigrant Annual Income Average</t>
  </si>
  <si>
    <t xml:space="preserve">AIAVG_auth_i = WAVG_auth_i * PARAMETERS!AWHW_auth_i * 52 * PARAMETERS!AUTH_IMMIGRANT_AIAVG_ADJ_FACTOR</t>
  </si>
  <si>
    <t xml:space="preserve">Slight uplift for higher hours/stability in some sectors; new addition for AIAVG.1; uses shared immigrant AWHW logic</t>
  </si>
  <si>
    <t xml:space="preserve">AIAVG.2</t>
  </si>
  <si>
    <t xml:space="preserve">Unauthorized Immigrant Annual Income Average</t>
  </si>
  <si>
    <t xml:space="preserve">AIAVG_unauth_i = WAVG_unauth_i * PARAMETERS!AWHW_unauth_i * 52 * PARAMETERS!UNAUTH_IMMIGRANT_AIAVG_ADJ_FACTOR</t>
  </si>
  <si>
    <t xml:space="preserve">Lower due to wage discount and potential fewer hours; new addition for AIAVG.2; reflects ~10-20% overall lower annual earnings per MPI/ACS patterns</t>
  </si>
  <si>
    <t xml:space="preserve">AIAVG.3</t>
  </si>
  <si>
    <t xml:space="preserve">American Annual Income Average</t>
  </si>
  <si>
    <t xml:space="preserve">AIAVG_amer_i = (AIAVG_total_i * EP_total_i - AIAVG_auth_i * EP_auth_i - AIAVG_unauth_i * EP_unauth_i) / EP_amer_i</t>
  </si>
  <si>
    <t xml:space="preserve">AIAVG.4</t>
  </si>
  <si>
    <t xml:space="preserve">Industry Annual Income Calibration Post-Adjustment</t>
  </si>
  <si>
    <t xml:space="preserve">AIAVG_i = AIAVG_i * (PARAMETERS!AIAVG_STATE_TARGET / weighted_state_AIAVG_raw)</t>
  </si>
  <si>
    <t xml:space="preserve">Apply after WAVG calibration and AWHW blending; weighted by EP_i; new addition to align model with BLS/QCEW-derived annual estimates (~$59k–$66k range depending on private vs. total coverage); flag if scale outside 0.95-1.05 range</t>
  </si>
  <si>
    <t xml:space="preserve">FPITREV Formulae</t>
  </si>
  <si>
    <t xml:space="preserve">FPITREV - Federal Personal Income Tax Revenue</t>
  </si>
  <si>
    <t xml:space="preserve">FPITREV.0</t>
  </si>
  <si>
    <t xml:space="preserve">Federal Personal Income Tax Revenue Total</t>
  </si>
  <si>
    <t xml:space="preserve">FPITREV_total_i = AIAVG_total_i * EP_total_i * PARAMETERS!FED_PIT_RATE * PARAMETERS!FPITREV_FILING_RATE_IND[i] * PARAMETERS!FPITREV_CALIBRATION_FACTOR_IND[i]</t>
  </si>
  <si>
    <t xml:space="preserve">Annual income (from AIAVG tab) × employed persons × effective federal PIT rate × filing/compliance rate adjustment × final calibration factor</t>
  </si>
  <si>
    <t xml:space="preserve">Uses shared EP and AIAVG.0; apply after all income/wage calibrations; new addition for explicit FPITREV; statewide aggregate targets ~$1.858B (matches CALC ~$1.858B and reasonable proration of IRS AL estimates for 2025/2026); edited calibration factor to align with effective rates and VALID aggregates</t>
  </si>
  <si>
    <t xml:space="preserve">FPITREV.1</t>
  </si>
  <si>
    <t xml:space="preserve">Authorized Immigrant Federal Personal Income Tax Revenue</t>
  </si>
  <si>
    <t xml:space="preserve">FPITREV_auth_i = AIAVG_auth_i * EP_auth_i * PARAMETERS!FED_PIT_RATE_AUTH * PARAMETERS!FPITREV_FILING_RATE_AUTH</t>
  </si>
  <si>
    <t xml:space="preserve">Per-group derivation with authorized-specific rate and filing adjustment</t>
  </si>
  <si>
    <t xml:space="preserve">New addition for FPITREV.1; higher compliance assumed for authorized immigrants; uses shared AIAVG.1 and EP_auth_i</t>
  </si>
  <si>
    <t xml:space="preserve">FPITREV.2</t>
  </si>
  <si>
    <t xml:space="preserve">Unauthorized Immigrant Federal Personal Income Tax Revenue</t>
  </si>
  <si>
    <t xml:space="preserve">FPITREV_unauth_i = AIAVG_unauth_i * EP_unauth_i * PARAMETERS!FED_PIT_RATE_UNAUTH * PARAMETERS!FPITREV_FILING_RATE_UNAUTH</t>
  </si>
  <si>
    <t xml:space="preserve">Per-group derivation with unauthorized-specific lower rate and filing adjustment</t>
  </si>
  <si>
    <t xml:space="preserve">New addition for FPITREV.2; lower effective rate and partial compliance (ITIN filings) per IRS/CBO/MPI estimates; reflects CALC aggregate ~$45.2M</t>
  </si>
  <si>
    <t xml:space="preserve">FPITREV.3</t>
  </si>
  <si>
    <t xml:space="preserve">American Federal Personal Income Tax Revenue</t>
  </si>
  <si>
    <t xml:space="preserve">FPITREV_amer_i = (FPITREV_total_i - FPITREV_auth_i - FPITREV_unauth_i)</t>
  </si>
  <si>
    <t xml:space="preserve">100% derived; ensures consistency with total revenue; new addition for explicit residual; uses aggregated group values</t>
  </si>
  <si>
    <t xml:space="preserve">FPITREV.4</t>
  </si>
  <si>
    <t xml:space="preserve">Statewide FPITREV Aggregate Calibration</t>
  </si>
  <si>
    <t xml:space="preserve">FPITREV_i = FPITREV_i * (PARAMETERS!FPITREV_STATE_TARGET / sum_raw_FPITREV)</t>
  </si>
  <si>
    <t xml:space="preserve">Final scaling to match target statewide total</t>
  </si>
  <si>
    <t xml:space="preserve">Apply last; weighted implicitly via sum across industries; new addition to force alignment with IRS prorated / model-validated aggregate (~$1.858B); flag if scale outside 0.92–1.08 range (due to compliance uncertainty)</t>
  </si>
  <si>
    <t xml:space="preserve">FPPTREV Formulae</t>
  </si>
  <si>
    <t xml:space="preserve">FPPTREV - Federal Personal Payroll Tax Revenue</t>
  </si>
  <si>
    <t xml:space="preserve">FPPTREV.0</t>
  </si>
  <si>
    <t xml:space="preserve">Federal Personal Payroll Tax Revenue Total</t>
  </si>
  <si>
    <t xml:space="preserve">FPPTREV_total_i = AIAVG_total_i * EP_total_i * PARAMETERS!FED_PAYROLL_RATE * PARAMETERS!FPPTREV_CALIBRATION_FACTOR_IND[i]</t>
  </si>
  <si>
    <t xml:space="preserve">Annual income (from AIAVG tab) × employed persons × effective federal payroll tax rate (FICA employee share) × final calibration factor</t>
  </si>
  <si>
    <t xml:space="preserve">Uses shared EP and AIAVG.0; focuses on employee-side FICA (Social Security + Medicare) withheld from wages; apply after income/wage calibrations; new addition for explicit FPPTREV; statewide aggregate targets ~$1.858B (mirrors CALC aggregate and consistent with FPITREV scaling, reasonable proxy for AL employee FICA contributions based on ~$66.4k avg annual × ~2.317M employed × ~7.65% effective); edited calibration to align with national FICA patterns prorated to AL payroll base (~$153B estimated annual wages from BLS CES Dec 2025 avg $31.96/hr × 35.6 hrs/wk × 52 × 2.211M nonfarm)</t>
  </si>
  <si>
    <t xml:space="preserve">FPPTREV.1</t>
  </si>
  <si>
    <t xml:space="preserve">Authorized Immigrant Federal Personal Payroll Tax Revenue</t>
  </si>
  <si>
    <t xml:space="preserve">FPPTREV_auth_i = AIAVG_auth_i * EP_auth_i * PARAMETERS!FED_PAYROLL_RATE_AUTH</t>
  </si>
  <si>
    <t xml:space="preserve">Per-group derivation with authorized-specific rate</t>
  </si>
  <si>
    <t xml:space="preserve">New addition for FPPTREV.1; assumes full compliance on FICA for authorized workers; uses shared AIAVG.1 and EP_auth_i</t>
  </si>
  <si>
    <t xml:space="preserve">FPPTREV.2</t>
  </si>
  <si>
    <t xml:space="preserve">Unauthorized Immigrant Federal Personal Payroll Tax Revenue</t>
  </si>
  <si>
    <t xml:space="preserve">FPPTREV_unauth_i = AIAVG_unauth_i * EP_unauth_i * PARAMETERS!FED_PAYROLL_RATE_UNAUTH</t>
  </si>
  <si>
    <t xml:space="preserve">Per-group derivation with unauthorized-specific lower rate</t>
  </si>
  <si>
    <t xml:space="preserve">New addition for FPPTREV.2; partial compliance/withholding est. (e.g., via ITIN or underreporting); reflects CALC aggregate ~$45.2M; lower effective rate per CBO/MPI</t>
  </si>
  <si>
    <t xml:space="preserve">FPPTREV.3</t>
  </si>
  <si>
    <t xml:space="preserve">American Federal Personal Payroll Tax Revenue</t>
  </si>
  <si>
    <t xml:space="preserve">FPPTREV_amer_i = (FPPTREV_total_i - FPPTREV_auth_i - FPPTREV_unauth_i)</t>
  </si>
  <si>
    <t xml:space="preserve">FPPTREV.4</t>
  </si>
  <si>
    <t xml:space="preserve">Statewide FPPTREV Aggregate Calibration</t>
  </si>
  <si>
    <t xml:space="preserve">FPPTREV_i = FPPTREV_i * (PARAMETERS!FPPTREV_STATE_TARGET / sum_raw_FPPTREV)</t>
  </si>
  <si>
    <t xml:space="preserve">Apply last; weighted implicitly via sum across industries; new addition to force alignment with model-validated aggregate (~$1.858B, consistent with FPITREV and prorated FICA est.); flag if scale outside 0.92–1.08 range (due to compliance/employer match uncertainty)</t>
  </si>
  <si>
    <t xml:space="preserve">EITCREF Formulae</t>
  </si>
  <si>
    <t xml:space="preserve">EITCREF - Earned Income Tax Credit Refund</t>
  </si>
  <si>
    <t xml:space="preserve">EITCREF.0</t>
  </si>
  <si>
    <t xml:space="preserve">EITC Refund Total</t>
  </si>
  <si>
    <t xml:space="preserve">EITCREF_total_i = AIAVG_total_i * EP_total_i * PARAMETERS!EITC_ELIG_RATE_IND[i] * PARAMETERS!EITC_AVG_REFUND_PER_ELIG * PARAMETERS!EITCREF_CALIBRATION_FACTOR_IND[i]</t>
  </si>
  <si>
    <t xml:space="preserve">Annual income (AIAVG) × employed persons × industry-specific eligibility rate × average refund per eligible filer × calibration factor</t>
  </si>
  <si>
    <t xml:space="preserve">Uses shared EP and AIAVG.0; eligibility tied to low/moderate income thresholds; apply after income/tax calculations; new addition for explicit EITCREF; statewide aggregate targets ~$142M (matches CALC ~$142M and reasonable proration of IRS SOI EITC refunds to AL population/income share for 2025 tax year); edited calibration to align with IRS national EITC trends (~$70B total refunds, AL ~2% share)</t>
  </si>
  <si>
    <t xml:space="preserve">EITCREF.1</t>
  </si>
  <si>
    <t xml:space="preserve">Authorized Immigrant EITC Refund</t>
  </si>
  <si>
    <t xml:space="preserve">EITCREF_auth_i = AIAVG_auth_i * EP_auth_i * PARAMETERS!EITC_ELIG_RATE_AUTH * PARAMETERS!EITC_AVG_REFUND_PER_ELIG * PARAMETERS!EITCREF_CALIBRATION_FACTOR_AUTH</t>
  </si>
  <si>
    <t xml:space="preserve">Per-group derivation with authorized-specific eligibility rate</t>
  </si>
  <si>
    <t xml:space="preserve">New addition for EITCREF.1; assumes partial/full eligibility via SSN/ITIN; higher in low-wage sectors; uses shared AIAVG.1 and EP_auth_i</t>
  </si>
  <si>
    <t xml:space="preserve">EITCREF.2</t>
  </si>
  <si>
    <t xml:space="preserve">Unauthorized Immigrant EITC Refund</t>
  </si>
  <si>
    <t xml:space="preserve">EITCREF_unauth_i = 0 (or minimal if using ITIN-child-SSN combo)</t>
  </si>
  <si>
    <t xml:space="preserve">No/very limited EITC eligibility for unauthorized filers per current IRS rules</t>
  </si>
  <si>
    <t xml:space="preserve">New addition for EITCREF.2; conservative model assumption (CALC shows $0 across rows); real-world partial claims possible but excluded here for compliance with strict IRS policy (EITC requires valid SSN for claimant and qualifying children); flag if policy changes</t>
  </si>
  <si>
    <t xml:space="preserve">EITCREF.3</t>
  </si>
  <si>
    <t xml:space="preserve">American EITC Refund</t>
  </si>
  <si>
    <t xml:space="preserve">EITCREF_amer_i = EITCREF_total_i - EITCREF_auth_i - EITCREF_unauth_i</t>
  </si>
  <si>
    <t xml:space="preserve">100% derived; captures bulk of refunds to citizen filers; new addition for explicit residual; ensures aggregate consistency</t>
  </si>
  <si>
    <t xml:space="preserve">EITCREF.4</t>
  </si>
  <si>
    <t xml:space="preserve">Statewide EITCREF Aggregate Calibration</t>
  </si>
  <si>
    <t xml:space="preserve">EITCREF_i = EITCREF_i * (PARAMETERS!EITCREF_STATE_TARGET / sum_raw_EITCREF)</t>
  </si>
  <si>
    <t xml:space="preserve">Apply last; weighted implicitly via sum across industries; new addition to force alignment with IRS prorated / model-validated aggregate (~$142M); flag if scale outside 0.90–1.10 range (due to eligibility and refund amount uncertainty)</t>
  </si>
  <si>
    <t xml:space="preserve">ACTCREF Formulae</t>
  </si>
  <si>
    <t xml:space="preserve">ACTCREF - Additional Child Tax Credit Refund</t>
  </si>
  <si>
    <t xml:space="preserve">ACTCREF.0</t>
  </si>
  <si>
    <t xml:space="preserve">ACTC Refund Total</t>
  </si>
  <si>
    <t xml:space="preserve">ACTCREF_total_i = PARAMETERS!ACTC_ELIG_CHILDREN_IND[i] * PARAMETERS!ACTC_AVG_REFUND_PER_CHILD * PARAMETERS!ACTCREF_CALIBRATION_FACTOR_IND[i]</t>
  </si>
  <si>
    <t xml:space="preserve">Estimated number of eligible children in industry/worker group × average refundable ACTC per qualifying child × calibration factor</t>
  </si>
  <si>
    <t xml:space="preserve">Uses shared EP and low/moderate income proxies from AIAVG/WAVG for eligibility; apply after income/tax calcs; new addition for explicit ACTCREF; statewide aggregate targets ~$856M (matches CALC ~$856M; reasonable proration of national ACTC refunds to AL pop/income share, consistent with IRS trends and OBBB Act changes increasing CTC to $2,200/child with up to $1,700 refundable for 2025 tax year); edited calibration to align with ~$1,700 max per child and eligibility thresholds</t>
  </si>
  <si>
    <t xml:space="preserve">ACTCREF.1</t>
  </si>
  <si>
    <t xml:space="preserve">Authorized Immigrant ACTC Refund</t>
  </si>
  <si>
    <t xml:space="preserve">ACTCREF_auth_i = PARAMETERS!ACTC_ELIG_CHILDREN_AUTH_IND[i] * PARAMETERS!ACTC_AVG_REFUND_PER_CHILD * PARAMETERS!ACTCREF_CALIBRATION_FACTOR_AUTH</t>
  </si>
  <si>
    <t xml:space="preserve">Per-group derivation with authorized-specific child eligibility</t>
  </si>
  <si>
    <t xml:space="preserve">New addition for ACTCREF.1; partial eligibility via ITIN/SSN combos for children; higher in family-heavy low-wage sectors; uses shared group EP</t>
  </si>
  <si>
    <t xml:space="preserve">ACTCREF.2</t>
  </si>
  <si>
    <t xml:space="preserve">Unauthorized Immigrant ACTC Refund</t>
  </si>
  <si>
    <t xml:space="preserve">ACTCREF_unauth_i = 0 (conservative; or minimal if partial ITIN-child-SSN)</t>
  </si>
  <si>
    <t xml:space="preserve">Strict IRS rules limit ACTC for unauthorized filers (requires valid SSN for filer/qualifying children in many cases; conservative $0 per VALID V015 and current policy)</t>
  </si>
  <si>
    <t xml:space="preserve">New addition for ACTCREF.2; model assumes $0 across rows per CALC; partial claims possible (~50% factor via ITIN-child-SSN) but excluded for conservatism; flag if policy/estimates update (e.g., per Urban Institute ~$5–15M AL-wide potential)</t>
  </si>
  <si>
    <t xml:space="preserve">ACTCREF.3</t>
  </si>
  <si>
    <t xml:space="preserve">American ACTC Refund</t>
  </si>
  <si>
    <t xml:space="preserve">ACTCREF_amer_i = ACTCREF_total_i - ACTCREF_auth_i - ACTCREF_unauth_i</t>
  </si>
  <si>
    <t xml:space="preserve">ACTCREF.4</t>
  </si>
  <si>
    <t xml:space="preserve">Statewide ACTCREF Aggregate Calibration</t>
  </si>
  <si>
    <t xml:space="preserve">ACTCREF_i = ACTCREF_i * (PARAMETERS!ACTCREF_STATE_TARGET / sum_raw_ACTCREF)</t>
  </si>
  <si>
    <t xml:space="preserve">Apply last; weighted implicitly via sum across industries; new addition to force alignment with model-validated aggregate (~$856M, consistent with IRS prorated est. and OBBB $1,700 max refundable per child); flag if scale outside 0.90–1.10 range (due to eligibility/child count uncertainty)</t>
  </si>
  <si>
    <t xml:space="preserve">AOTCREF Formulae</t>
  </si>
  <si>
    <t xml:space="preserve">AOTCREF - American Opportunity Tax Credit Refund</t>
  </si>
  <si>
    <t xml:space="preserve">AOTCREF.0</t>
  </si>
  <si>
    <t xml:space="preserve">AOTC Refund Total</t>
  </si>
  <si>
    <t xml:space="preserve">AOTCREF_total_i = PARAMETERS!AOTC_ELIG_STUDENTS_IND[i] * PARAMETERS!AOTC_AVG_REFUND_PER_ELIG * PARAMETERS!AOTCREF_CALIBRATION_FACTOR_IND[i]</t>
  </si>
  <si>
    <t xml:space="preserve">Estimated number of eligible postsecondary students/claimants in industry/group × average refundable AOTC per eligible filer × calibration factor</t>
  </si>
  <si>
    <t xml:space="preserve">Uses shared EP and proxies from AIAVG/WAVG for young/adult learner demographics; apply after income/tax calcs; new addition for explicit AOTCREF; statewide aggregate targets ~$30M (recalibrated downward per VALID V014 suggestion from erroneous ~$252M in CALC to align with IRS prorated est. ~$20–$40M for AL; reflects max $1,000 refundable per student under current rules, ~$2,500 credit total); edited calibration to match realistic AL postsecondary participation and low/moderate income eligibility</t>
  </si>
  <si>
    <t xml:space="preserve">AOTCREF.1</t>
  </si>
  <si>
    <t xml:space="preserve">Authorized Immigrant AOTC Refund</t>
  </si>
  <si>
    <t xml:space="preserve">AOTCREF_auth_i = PARAMETERS!AOTC_ELIG_STUDENTS_AUTH_IND[i] * PARAMETERS!AOTC_AVG_REFUND_PER_ELIG * PARAMETERS!AOTCREF_CALIBRATION_FACTOR_AUTH</t>
  </si>
  <si>
    <t xml:space="preserve">Per-group derivation with authorized-specific student eligibility</t>
  </si>
  <si>
    <t xml:space="preserve">New addition for AOTCREF.1; partial eligibility possible via ITIN + education documentation; lower barriers than unauthorized; uses shared group EP</t>
  </si>
  <si>
    <t xml:space="preserve">AOTCREF.2</t>
  </si>
  <si>
    <t xml:space="preserve">Unauthorized Immigrant AOTC Refund</t>
  </si>
  <si>
    <t xml:space="preserve">AOTCREF_unauth_i = 0 (conservative; minimal even with ITIN)</t>
  </si>
  <si>
    <t xml:space="preserve">Strict practical barriers (documentation, fear of filing, ineligibility without valid SSN/ITIN combo for education credit); conservative $0 per model and VALID notes</t>
  </si>
  <si>
    <t xml:space="preserve">New addition for AOTCREF.2; model assumes $0 across rows; real-world claims rare/near-zero due to policy and compliance issues; flag if new estimates emerge</t>
  </si>
  <si>
    <t xml:space="preserve">AOTCREF.3</t>
  </si>
  <si>
    <t xml:space="preserve">American AOTC Refund</t>
  </si>
  <si>
    <t xml:space="preserve">AOTCREF_amer_i = AOTCREF_total_i - AOTCREF_auth_i - AOTCREF_unauth_i</t>
  </si>
  <si>
    <t xml:space="preserve">AOTCREF.4</t>
  </si>
  <si>
    <t xml:space="preserve">Statewide AOTCREF Aggregate Calibration</t>
  </si>
  <si>
    <t xml:space="preserve">AOTCREF_i = AOTCREF_i * (PARAMETERS!AOTCREF_STATE_TARGET / sum_raw_AOTCREF)</t>
  </si>
  <si>
    <t xml:space="preserve">Apply last; weighted implicitly via sum across industries; new addition to force alignment with IRS prorated / adjusted aggregate (~$30M per VALID V014 recommendation); flag if scale outside 0.85–1.15 range (due to high uncertainty in postsecondary low-income claims and documentation barriers)</t>
  </si>
  <si>
    <t xml:space="preserve">EP Formulae</t>
  </si>
  <si>
    <t xml:space="preserve">EP - Employed Population</t>
  </si>
  <si>
    <t xml:space="preserve">EP.0</t>
  </si>
  <si>
    <t xml:space="preserve">Employed Population Total</t>
  </si>
  <si>
    <t xml:space="preserve">EP_total_i = S0.0_T_i * (1 - S6_U3R_total_i) * PARAMETERS!EP_CALIBRATION_FACTOR_IND[i]</t>
  </si>
  <si>
    <t xml:space="preserve">Industry total employment (from shared S0.0) adjusted down by unemployment rate (shared U3R.0) and final industry calibration factor</t>
  </si>
  <si>
    <t xml:space="preserve">Uses shared base T_i (BLS CES + adjustments) and U3R; apply after shared calibration (FID 500); new addition for explicit EP; statewide sum targets ~2,317k (AL DOL Dec 2025 record high employed persons) or BLS CES nonfarm ~2,211k + uplift; edited calibration factor to match public sources (e.g., AL DOL 2,317,206 employed; BLS CES 2,221.3k nonfarm payroll Dec 2025)</t>
  </si>
  <si>
    <t xml:space="preserve">EP.1</t>
  </si>
  <si>
    <t xml:space="preserve">Authorized Immigrant Employed Population</t>
  </si>
  <si>
    <t xml:space="preserve">EP_auth_i = EP_total_i * PARAMETERS!AUTH_IMMIGRANT_EP_SHARE_IND[i] * PARAMETERS!AUTH_IMMIGRANT_ETPR_ADJ_FACTOR</t>
  </si>
  <si>
    <t xml:space="preserve">Proration from total with authorized share and ETPR uplift</t>
  </si>
  <si>
    <t xml:space="preserve">New addition for EP.1; share from MPI/ACS; slight premium in stable sectors; uses shared group logic</t>
  </si>
  <si>
    <t xml:space="preserve">EP.2</t>
  </si>
  <si>
    <t xml:space="preserve">Unauthorized Immigrant Employed Population</t>
  </si>
  <si>
    <t xml:space="preserve">EP_unauth_i = EP_total_i * PARAMETERS!UNAUTH_IMMIGRANT_EP_SHARE_IND[i] * PARAMETERS!UNAUTH_IMMIGRANT_ETPR_ADJ_FACTOR * S0.2_unauth_scale</t>
  </si>
  <si>
    <t xml:space="preserve">Proration from total with unauthorized share, ETPR adjustment, and global scaling</t>
  </si>
  <si>
    <t xml:space="preserve">New addition for EP.2; lower share overall; apply shared global cap (FID 300.21); higher in volatile sectors; aligns with ~50k unauthorized LF est. scaled by ETPR</t>
  </si>
  <si>
    <t xml:space="preserve">EP.3</t>
  </si>
  <si>
    <t xml:space="preserve">American Employed Population</t>
  </si>
  <si>
    <t xml:space="preserve">EP_amer_i = EP_total_i - EP_auth_i - EP_unauth_i</t>
  </si>
  <si>
    <t xml:space="preserve">100% derived; ensures consistency with total employed; new addition for explicit residual; uses aggregated group values</t>
  </si>
  <si>
    <t xml:space="preserve">EP.4</t>
  </si>
  <si>
    <t xml:space="preserve">Industry EP Final Calibration</t>
  </si>
  <si>
    <t xml:space="preserve">EP_i = EP_i * (PARAMETERS!EP_STATE_TARGET / sum_raw_EP)</t>
  </si>
  <si>
    <t xml:space="preserve">Final statewide scaling to match target total employed</t>
  </si>
  <si>
    <t xml:space="preserve">Apply last; weighted implicitly via sum across industries; new addition to force alignment with AL DOL record 2,317k or BLS CES 2,211k + reasonable self-emp/ag uplift; flag if scale outside 0.95–1.05 range</t>
  </si>
  <si>
    <t xml:space="preserve">AWHW Formulae</t>
  </si>
  <si>
    <t xml:space="preserve">AWHW - Average Weekly Hours Worked</t>
  </si>
  <si>
    <t xml:space="preserve">AWHW.0</t>
  </si>
  <si>
    <t xml:space="preserve">Average Weekly Hours Worked Total</t>
  </si>
  <si>
    <t xml:space="preserve">AWHW_total_i = PARAMETERS!BASE_AWHW_IND[i] * (1 + PARAMETERS!SEASONAL_HOURS_FACTOR_IND[i]) * PARAMETERS!AWHW_CALIBRATION_FACTOR_IND[i]</t>
  </si>
  <si>
    <t xml:space="preserve">Base industry weekly hours from BLS CES fusion, adjusted for seasonal patterns and final calibration</t>
  </si>
  <si>
    <t xml:space="preserve">Uses shared S0.3 data fusion for base (CES priority); apply after employment calibration (FID 500); new addition for explicit AWHW; statewide weighted avg (by EP_total_i) targets ~35.6–36.0 hours per private nonfarm (national CES ~34.3 in Jan 2026, AL similar per QCEW/CES patterns); edited calibration to align with AL private sector trends (e.g., manufacturing ~40–41 hrs, goods-producing ~39–40 hrs per recent BLS tables)</t>
  </si>
  <si>
    <t xml:space="preserve">AWHW.1</t>
  </si>
  <si>
    <t xml:space="preserve">Authorized Immigrant Average Weekly Hours</t>
  </si>
  <si>
    <t xml:space="preserve">AWHW_auth_i = AWHW_total_i * (1 + PARAMETERS!AUTH_IMMIGRANT_AWHW_ADJ_FACTOR)</t>
  </si>
  <si>
    <t xml:space="preserve">Slight uplift for full-time stability in professional/stable sectors; new addition for AWHW.1; uses shared immigrant adj logic</t>
  </si>
  <si>
    <t xml:space="preserve">AWHW.2</t>
  </si>
  <si>
    <t xml:space="preserve">Unauthorized Immigrant Average Weekly Hours</t>
  </si>
  <si>
    <t xml:space="preserve">AWHW_unauth_i = AWHW_total_i * (1 + PARAMETERS!UNAUTH_IMMIGRANT_AWHW_ADJ_FACTOR)</t>
  </si>
  <si>
    <t xml:space="preserve">Higher in labor-intensive/volatile sectors (ag, constr, hospitality) due to overtime/multiple jobs; new addition for AWHW.2; ~5–10% uplift per MPI/ACS patterns in low-wage industries</t>
  </si>
  <si>
    <t xml:space="preserve">AWHW.3</t>
  </si>
  <si>
    <t xml:space="preserve">American Average Weekly Hours</t>
  </si>
  <si>
    <t xml:space="preserve">AWHW_amer_i = (AWHW_total_i * EP_total_i - AWHW_auth_i * EP_auth_i - AWHW_unauth_i * EP_unauth_i) / EP_amer_i</t>
  </si>
  <si>
    <t xml:space="preserve">100% derived; ensures weighted consistency with total hours; new addition for explicit residual; uses shared EP values from CALC/EP tab</t>
  </si>
  <si>
    <t xml:space="preserve">AWHW.4</t>
  </si>
  <si>
    <t xml:space="preserve">Industry AWHW Final Calibration</t>
  </si>
  <si>
    <t xml:space="preserve">AWHW_i = AWHW_i * (PARAMETERS!AWHW_STATE_TARGET / weighted_state_AWHW_raw)</t>
  </si>
  <si>
    <t xml:space="preserve">Apply last; weighted by EP_i; new addition to align with BLS CES AL patterns (e.g., total private ~34–35 hrs national proxy, goods ~40 hrs); flag if scale outside 0.95–1.05 range</t>
  </si>
  <si>
    <t xml:space="preserve">FTER Formulae</t>
  </si>
  <si>
    <t xml:space="preserve">FTER - Full-Time Employment Rate</t>
  </si>
  <si>
    <t xml:space="preserve">FTER.0</t>
  </si>
  <si>
    <t xml:space="preserve">Full-Time Employment Rate Total</t>
  </si>
  <si>
    <t xml:space="preserve">FTER_total_i = 1 / (1 + exp(-PARAMETERS!FTER_LOGIT_BASE_IND[i] - PARAMETERS!AWHW_total_i * PARAMETERS!FTER_AWHW_SENSITIVITY)) * PARAMETERS!FTER_CALIBRATION_FACTOR_IND[i]</t>
  </si>
  <si>
    <t xml:space="preserve">Logistic transformation from base logit (industry typical full-time propensity) adjusted by AWHW (higher hours → higher full-time probability), then calibrated</t>
  </si>
  <si>
    <t xml:space="preserve">Uses shared AWHW.0 as key driver; sigmoid/logit form ensures 0-1 bounds and smooth sensitivity; new addition for explicit FTER; statewide weighted avg (by EP_total_i) targets ~0.825 (82.5%, aligned with national CPS Dec 2025/Jan 2026 ~82.5% full-time); edited calibration for AL goods-producing uplift (manufacturing/construction higher ~90–95% full-time)</t>
  </si>
  <si>
    <t xml:space="preserve">FTER.1</t>
  </si>
  <si>
    <t xml:space="preserve">Authorized Immigrant Full-Time Employment Rate</t>
  </si>
  <si>
    <t xml:space="preserve">FTER_auth_i = FTER_total_i * (1 + PARAMETERS!AUTH_IMMIGRANT_FTER_ADJ_FACTOR)</t>
  </si>
  <si>
    <t xml:space="preserve">Slight uplift for stability/full-time jobs in professional sectors; new addition for FTER.1; uses shared immigrant adj logic</t>
  </si>
  <si>
    <t xml:space="preserve">FTER.2</t>
  </si>
  <si>
    <t xml:space="preserve">Unauthorized Immigrant Full-Time Employment Rate</t>
  </si>
  <si>
    <t xml:space="preserve">FTER_unauth_i = FTER_total_i * (1 + PARAMETERS!UNAUTH_IMMIGRANT_FTER_ADJ_FACTOR)</t>
  </si>
  <si>
    <t xml:space="preserve">Higher full-time propensity in intensive sectors (ag, constr, hospitality) due to multiple jobs/overtime; new addition for FTER.2; ~5–15% uplift per MPI/ACS patterns in low-wage industries</t>
  </si>
  <si>
    <t xml:space="preserve">FTER.3</t>
  </si>
  <si>
    <t xml:space="preserve">American Full-Time Employment Rate</t>
  </si>
  <si>
    <t xml:space="preserve">FTER_amer_i = (FTER_total_i * EP_total_i - FTER_auth_i * EP_auth_i - FTER_unauth_i * EP_unauth_i) / EP_amer_i</t>
  </si>
  <si>
    <t xml:space="preserve">100% derived; ensures weighted consistency with total full-time rate; new addition for explicit residual; uses shared EP values from CALC/EP tab</t>
  </si>
  <si>
    <t xml:space="preserve">FTER.4</t>
  </si>
  <si>
    <t xml:space="preserve">Statewide FTER Aggregate Calibration</t>
  </si>
  <si>
    <t xml:space="preserve">FTER_i = FTER_i * (PARAMETERS!FTER_STATE_TARGET / weighted_state_FTER_raw)</t>
  </si>
  <si>
    <t xml:space="preserve">Apply last; weighted by EP_i; new addition to align with CPS national proxy ~82.5% full-time (Dec 2025/Jan 2026); flag if scale outside 0.95–1.05 range</t>
  </si>
  <si>
    <t xml:space="preserve">PTER Formulae</t>
  </si>
  <si>
    <t xml:space="preserve">PTER - Part-Time Employment Rate</t>
  </si>
  <si>
    <t xml:space="preserve">PTER.0</t>
  </si>
  <si>
    <t xml:space="preserve">Part-Time Employment Rate Total</t>
  </si>
  <si>
    <t xml:space="preserve">PTER_total_i = 1 - FTER_total_i</t>
  </si>
  <si>
    <t xml:space="preserve">Direct complement of Full-Time Employment Rate (FTER tab)</t>
  </si>
  <si>
    <t xml:space="preserve">Uses shared FTER.0; new addition for explicit PTER; statewide weighted avg (by EP_total_i) targets ~0.175 (17.5%, aligned with national CPS Dec 2025/Jan 2026 ~17.5% part-time); edited to inherit FTER calibration and sensitivity to AWHW (lower hours → higher part-time)</t>
  </si>
  <si>
    <t xml:space="preserve">PTER.1</t>
  </si>
  <si>
    <t xml:space="preserve">Authorized Immigrant Part-Time Employment Rate</t>
  </si>
  <si>
    <t xml:space="preserve">PTER_auth_i = 1 - FTER_auth_i</t>
  </si>
  <si>
    <t xml:space="preserve">Complement of authorized FTER</t>
  </si>
  <si>
    <t xml:space="preserve">New addition for PTER.1; slightly lower part-time than average due to stability; uses shared FTER.1</t>
  </si>
  <si>
    <t xml:space="preserve">PTER.2</t>
  </si>
  <si>
    <t xml:space="preserve">Unauthorized Immigrant Part-Time Employment Rate</t>
  </si>
  <si>
    <t xml:space="preserve">PTER_unauth_i = 1 - FTER_unauth_i</t>
  </si>
  <si>
    <t xml:space="preserve">Complement of unauthorized FTER</t>
  </si>
  <si>
    <t xml:space="preserve">New addition for PTER.2; lower part-time propensity in labor-intensive sectors (higher full-time due to overtime/multiple jobs); reflects MPI/ACS patterns</t>
  </si>
  <si>
    <t xml:space="preserve">PTER.3</t>
  </si>
  <si>
    <t xml:space="preserve">American Part-Time Employment Rate</t>
  </si>
  <si>
    <t xml:space="preserve">PTER_amer_i = 1 - FTER_amer_i</t>
  </si>
  <si>
    <t xml:space="preserve">Complement of American FTER</t>
  </si>
  <si>
    <t xml:space="preserve">100% derived; ensures weighted consistency with total part-time rate; new addition for explicit residual; uses shared FTER.3</t>
  </si>
  <si>
    <t xml:space="preserve">PTER.4</t>
  </si>
  <si>
    <t xml:space="preserve">Statewide PTER Aggregate Calibration</t>
  </si>
  <si>
    <t xml:space="preserve">PTER_i = PTER_i * (PARAMETERS!PTER_STATE_TARGET / weighted_state_PTER_raw)</t>
  </si>
  <si>
    <t xml:space="preserve">Apply last (after FTER calibration); weighted by EP_i; new addition to align with CPS national proxy ~17.5% part-time (Dec 2025/Jan 2026); flag if scale outside 0.95–1.05 range; primarily inherits FTER adjustments but allows independent override if needed</t>
  </si>
  <si>
    <t xml:space="preserve">JTA Formulae</t>
  </si>
  <si>
    <t xml:space="preserve">JTA - Job Tenure Average</t>
  </si>
  <si>
    <t xml:space="preserve">JTA.0</t>
  </si>
  <si>
    <t xml:space="preserve">Job Tenure Average Total</t>
  </si>
  <si>
    <t xml:space="preserve">JTA_total_i = PARAMETERS!BASE_JTA_IND[i] * PARAMETERS!JTA_CALIBRATION_FACTOR_IND[i] * (1 + PARAMETERS!TR_ADJ_FACTOR * (1 - PARAMETERS!TR_STATE_AVG))</t>
  </si>
  <si>
    <t xml:space="preserve">Base industry median tenure from BLS fusion, calibrated and adjusted downward by turnover rate (higher turnover → lower tenure)</t>
  </si>
  <si>
    <t xml:space="preserve">Uses shared S0.3 fusion (BLS priority) and TR adj; new addition for explicit JTA; statewide weighted avg (by EP_total_i) targets ~4.1 years (AL proxy: national 3.9 years Jan 2024 + slight uplift for AL lower unemployment/stable sectors per AL DOL 2.7% U-3); edited calibration per original P050 adj (decreased 15% to align with national median 4.1 years proxy); apply after employment calcs</t>
  </si>
  <si>
    <t xml:space="preserve">JTA.1</t>
  </si>
  <si>
    <t xml:space="preserve">Authorized Immigrant Job Tenure Average</t>
  </si>
  <si>
    <t xml:space="preserve">JTA_auth_i = JTA_total_i * (1 + PARAMETERS!AUTH_IMMIGRANT_JTA_ADJ_FACTOR)</t>
  </si>
  <si>
    <t xml:space="preserve">Slightly higher tenure due to stability/legal protections; new addition for JTA.1; uses shared immigrant adj logic</t>
  </si>
  <si>
    <t xml:space="preserve">JTA.2</t>
  </si>
  <si>
    <t xml:space="preserve">Unauthorized Immigrant Job Tenure Average</t>
  </si>
  <si>
    <t xml:space="preserve">JTA_unauth_i = JTA_total_i * (1 + PARAMETERS!UNAUTH_IMMIGRANT_JTA_ADJ_FACTOR)</t>
  </si>
  <si>
    <t xml:space="preserve">Lower tenure due to mobility, barriers, enforcement risks; new addition for JTA.2; ~20–30% shorter per MPI/ACS patterns in volatile sectors</t>
  </si>
  <si>
    <t xml:space="preserve">JTA.3</t>
  </si>
  <si>
    <t xml:space="preserve">American Job Tenure Average</t>
  </si>
  <si>
    <t xml:space="preserve">JTA_amer_i = (JTA_total_i * EP_total_i - JTA_auth_i * EP_auth_i - JTA_unauth_i * EP_unauth_i) / EP_amer_i</t>
  </si>
  <si>
    <t xml:space="preserve">100% derived; ensures weighted consistency with total average tenure; new addition for explicit residual; uses shared EP values from CALC/EP tab</t>
  </si>
  <si>
    <t xml:space="preserve">JTA.4</t>
  </si>
  <si>
    <t xml:space="preserve">Statewide JTA Aggregate Calibration</t>
  </si>
  <si>
    <t xml:space="preserve">JTA_i = JTA_i * (PARAMETERS!JTA_STATE_TARGET / weighted_state_JTA_raw)</t>
  </si>
  <si>
    <t xml:space="preserve">Apply last; weighted by EP_i; new addition to align with national BLS median 3.9 years (Jan 2024) + AL adjustment (~4.1 proxy given low U-3); flag if scale outside 0.90–1.10 range (high uncertainty due to biennial data and no state-specific release)</t>
  </si>
  <si>
    <t xml:space="preserve">TR Formulae</t>
  </si>
  <si>
    <t xml:space="preserve">TR - Turnover Rate (Monthly Separations Rate)</t>
  </si>
  <si>
    <t xml:space="preserve">TR.0</t>
  </si>
  <si>
    <t xml:space="preserve">Turnover Rate Total</t>
  </si>
  <si>
    <t xml:space="preserve">TR_total_i = PARAMETERS!BASE_TR_IND[i] * PARAMETERS!TR_CALIBRATION_FACTOR_IND[i] * PARAMETERS!TR_ADJ_FACTOR</t>
  </si>
  <si>
    <t xml:space="preserve">Base industry separations rate from BLS JOLTS fusion, calibrated and adjusted to statewide target</t>
  </si>
  <si>
    <t xml:space="preserve">Uses shared S0.3 data fusion (JOLTS priority for quits/layoffs); new addition for explicit TR; statewide weighted avg (by EP_total_i) targets ~0.034 (3.4% monthly, aligned with national Dec 2025 3.3% and AL Nov 2025 ~3.35% proxy); edited per original P049 (decreased 25% from prior ~6.8% CALC est. to match BLS JOLTS ~3.4% avg); apply after employment calcs; monthly rate (annualized would be higher but model uses monthly)</t>
  </si>
  <si>
    <t xml:space="preserve">TR.1</t>
  </si>
  <si>
    <t xml:space="preserve">Authorized Immigrant Turnover Rate</t>
  </si>
  <si>
    <t xml:space="preserve">TR_auth_i = TR_total_i * (1 + PARAMETERS!AUTH_IMMIGRANT_TR_ADJ_FACTOR)</t>
  </si>
  <si>
    <t xml:space="preserve">Slightly lower turnover due to stability/legal ties; new addition for TR.1; uses shared immigrant adj logic</t>
  </si>
  <si>
    <t xml:space="preserve">TR.2</t>
  </si>
  <si>
    <t xml:space="preserve">Unauthorized Immigrant Turnover Rate</t>
  </si>
  <si>
    <t xml:space="preserve">TR_unauth_i = TR_total_i * (1 + PARAMETERS!UNAUTH_IMMIGRANT_TR_ADJ_FACTOR)</t>
  </si>
  <si>
    <t xml:space="preserve">Higher turnover due to mobility, enforcement risks, job instability; new addition for TR.2; ~20–40% higher in volatile sectors per MPI/ACS patterns</t>
  </si>
  <si>
    <t xml:space="preserve">TR.3</t>
  </si>
  <si>
    <t xml:space="preserve">American Turnover Rate</t>
  </si>
  <si>
    <t xml:space="preserve">TR_amer_i = (TR_total_i * EP_total_i - TR_auth_i * EP_auth_i - TR_unauth_i * EP_unauth_i) / EP_amer_i</t>
  </si>
  <si>
    <t xml:space="preserve">100% derived; ensures weighted consistency with total turnover rate; new addition for explicit residual; uses shared EP values from CALC/EP tab</t>
  </si>
  <si>
    <t xml:space="preserve">TR.4</t>
  </si>
  <si>
    <t xml:space="preserve">Statewide TR Aggregate Calibration</t>
  </si>
  <si>
    <t xml:space="preserve">TR_i = TR_i * (PARAMETERS!TR_STATE_TARGET / weighted_state_TR_raw)</t>
  </si>
  <si>
    <t xml:space="preserve">Apply last; weighted by EP_i; new addition to align with BLS JOLTS AL proxy ~3.4% monthly (Nov 2025 separations 77k / ~2.3M employed); flag if scale outside 0.90–1.10 range (uncertainty from state data lag and national trends)</t>
  </si>
  <si>
    <t xml:space="preserve">LP Formulae</t>
  </si>
  <si>
    <t xml:space="preserve">LP - Labor Productivity</t>
  </si>
  <si>
    <t xml:space="preserve">LP.0</t>
  </si>
  <si>
    <t xml:space="preserve">Labor Productivity Total (Real Output per Hour)</t>
  </si>
  <si>
    <t xml:space="preserve">LP_total_i = PARAMETERS!REAL_OUTPUT_IND[i] / (EP_total_i * AWHW_total_i / 2080) * PARAMETERS!LP_CALIBRATION_FACTOR_IND[i]</t>
  </si>
  <si>
    <t xml:space="preserve">Real industry output (proxy from BEA GDP fusion) divided by total hours worked (EP × AWHW annualized to hours/year, 2080=40 hrs/wk × 52), calibrated</t>
  </si>
  <si>
    <t xml:space="preserve">Uses shared EP.0, AWHW.0, and BEA real GDP proxies; new addition for explicit LP; statewide weighted avg targets ~$72 real chained 2017 $/hour (proxy from BEA Q3 2025 real GDP ~$262B annualized / est. total hours ~3.6B); edited calibration to align with BLS state productivity 2024 change (+1.4%) and projected 2025–2026 growth ~1.5–1.7% (CBER est.); apply after employment/hours calcs</t>
  </si>
  <si>
    <t xml:space="preserve">LP.1</t>
  </si>
  <si>
    <t xml:space="preserve">Authorized Immigrant Labor Productivity</t>
  </si>
  <si>
    <t xml:space="preserve">LP_auth_i = PARAMETERS!REAL_OUTPUT_AUTH_IND[i] / (EP_auth_i * AWHW_auth_i / 2080) * PARAMETERS!AUTH_IMMIGRANT_LP_ADJ_FACTOR</t>
  </si>
  <si>
    <t xml:space="preserve">Per-group derivation with authorized-specific output and adjustment</t>
  </si>
  <si>
    <t xml:space="preserve">New addition for LP.1; slight premium assumed for stability/higher-skill roles; uses shared group EP/AWHW</t>
  </si>
  <si>
    <t xml:space="preserve">LP.2</t>
  </si>
  <si>
    <t xml:space="preserve">Unauthorized Immigrant Labor Productivity</t>
  </si>
  <si>
    <t xml:space="preserve">LP_unauth_i = PARAMETERS!REAL_OUTPUT_UNAUTH_IND[i] / (EP_unauth_i * AWHW_unauth_i / 2080) * PARAMETERS!UNAUTH_IMMIGRANT_LP_ADJ_FACTOR</t>
  </si>
  <si>
    <t xml:space="preserve">Per-group derivation with unauthorized-specific output and adjustment</t>
  </si>
  <si>
    <t xml:space="preserve">New addition for LP.2; lower due to concentration in lower-output sectors and barriers; reflects MPI/ACS patterns</t>
  </si>
  <si>
    <t xml:space="preserve">LP.3</t>
  </si>
  <si>
    <t xml:space="preserve">American Labor Productivity</t>
  </si>
  <si>
    <t xml:space="preserve">LP_amer_i = (LP_total_i * EP_total_i - LP_auth_i * EP_auth_i - LP_unauth_i * EP_unauth_i) / EP_amer_i</t>
  </si>
  <si>
    <t xml:space="preserve">100% derived; ensures weighted consistency with total productivity; new addition for explicit residual; uses shared EP values</t>
  </si>
  <si>
    <t xml:space="preserve">LP.4</t>
  </si>
  <si>
    <t xml:space="preserve">Statewide LP Aggregate Calibration</t>
  </si>
  <si>
    <t xml:space="preserve">LP_i = LP_i * (PARAMETERS!LP_STATE_TARGET / weighted_state_LP_raw)</t>
  </si>
  <si>
    <t xml:space="preserve">Apply last; weighted by EP_i or hours; new addition to align with BEA real GDP growth (~1.5% projected 2026) and BLS 2024 state change (+1.4%); flag if scale outside 0.90–1.10 range (high uncertainty from state-level output/hours fusion)</t>
  </si>
  <si>
    <t xml:space="preserve">ELR Formulae</t>
  </si>
  <si>
    <t xml:space="preserve">ELR - Education Level Required</t>
  </si>
  <si>
    <t xml:space="preserve">ELR.0</t>
  </si>
  <si>
    <t xml:space="preserve">Typical Education Level Required Total</t>
  </si>
  <si>
    <t xml:space="preserve">ELR_total_i = PARAMETERS!TYPICAL_EDU_IND[i] * PARAMETERS!ELR_CALIBRATION_FACTOR_IND[i]</t>
  </si>
  <si>
    <t xml:space="preserve">Base typical entry-level education code or category from BLS/O*NET fusion, calibrated for AL industry mix</t>
  </si>
  <si>
    <t xml:space="preserve">Uses shared S0.3 data fusion (OEWS/CPS priority for attainment by occupation/industry); new addition for explicit ELR; statewide weighted avg proxies ~ high school/associate dominant (~50–55% per AL ACS/CPS patterns), with bachelor's+ ~35–40%; edited calibration to reflect AL lower postsecondary attainment vs national (e.g., manufacturing/construction skew toward HS diploma); apply after employment calcs; output as categorical code (1=Less than HS, 2=HS diploma, 3=Some college/Assoc, 4=Bachelor's+, 5=Advanced degree) or % distribution</t>
  </si>
  <si>
    <t xml:space="preserve">ELR.1</t>
  </si>
  <si>
    <t xml:space="preserve">Authorized Immigrant Typical Education Level Required</t>
  </si>
  <si>
    <t xml:space="preserve">ELR_auth_i = ELR_total_i * (1 + PARAMETERS!AUTH_IMMIGRANT_ELR_ADJ_FACTOR)</t>
  </si>
  <si>
    <t xml:space="preserve">Slight uplift (higher credential share) due to skilled migration/selectivity; new addition for ELR.1; uses shared immigrant adj logic</t>
  </si>
  <si>
    <t xml:space="preserve">ELR.2</t>
  </si>
  <si>
    <t xml:space="preserve">Unauthorized Immigrant Typical Education Level Required</t>
  </si>
  <si>
    <t xml:space="preserve">ELR_unauth_i = ELR_total_i * (1 + PARAMETERS!UNAUTH_IMMIGRANT_ELR_ADJ_FACTOR)</t>
  </si>
  <si>
    <t xml:space="preserve">Downward skew (higher share less than HS/HS only) due to concentration in low-credential sectors; new addition for ELR.2; reflects MPI/ACS patterns</t>
  </si>
  <si>
    <t xml:space="preserve">ELR.3</t>
  </si>
  <si>
    <t xml:space="preserve">American Typical Education Level Required</t>
  </si>
  <si>
    <t xml:space="preserve">ELR_amer_i = (ELR_total_i * EP_total_i - ELR_auth_i * EP_auth_i - ELR_unauth_i * EP_unauth_i) / EP_amer_i</t>
  </si>
  <si>
    <t xml:space="preserve">100% derived; ensures weighted consistency with total typical education; new addition for explicit residual; uses shared EP values</t>
  </si>
  <si>
    <t xml:space="preserve">ELR.4</t>
  </si>
  <si>
    <t xml:space="preserve">Statewide ELR Aggregate Calibration</t>
  </si>
  <si>
    <t xml:space="preserve">ELR_i = ELR_i * (PARAMETERS!ELR_STATE_TARGET / weighted_state_ELR_raw)</t>
  </si>
  <si>
    <t xml:space="preserve">Final statewide scaling to target aggregate attainment proxy</t>
  </si>
  <si>
    <t xml:space="preserve">Apply last; weighted by EP_i; new addition to align with AL ACS/CPS attainment (e.g., ~35% bachelor's+ proxy vs national 44.5%); flag if scale outside 0.90–1.10 range (uncertainty from state-specific industry-occupation fusion)</t>
  </si>
  <si>
    <t xml:space="preserve">SLTR Formulae</t>
  </si>
  <si>
    <t xml:space="preserve">SLTR - State/Local Tax Revenue</t>
  </si>
  <si>
    <t xml:space="preserve">SLTR.0</t>
  </si>
  <si>
    <t xml:space="preserve">State/Local Tax Revenue Total</t>
  </si>
  <si>
    <t xml:space="preserve">SLTR_total_i = AIAVG_total_i * EP_total_i * PARAMETERS!STATE_LOCAL_TAX_RATE * PARAMETERS!SLTR_ADJ_FACTOR * PARAMETERS!SLTR_CALIBRATION_FACTOR_IND[i]</t>
  </si>
  <si>
    <t xml:space="preserve">Annual labor income (AIAVG × EP) × effective state/local tax rate (sales + income + property blend) × adjustment factor × industry calibration</t>
  </si>
  <si>
    <t xml:space="preserve">Uses shared AIAVG.0 and EP.0; rate blends sales (~4–9% combined), income (~3–5% effective), property; new addition for explicit SLTR; statewide aggregate targets ~$7.5B labor-derived (proxy from PARCA 2025 state collections ~$17.5B total, with income/sales dominant; original P048 adj to ~$7.5B income tax revenue match); edited calibration for industry variation (higher sales in retail/hosp, higher property in public/residential-heavy); apply after income calcs</t>
  </si>
  <si>
    <t xml:space="preserve">SLTR.1</t>
  </si>
  <si>
    <t xml:space="preserve">Authorized Immigrant State/Local Tax Revenue</t>
  </si>
  <si>
    <t xml:space="preserve">SLTR_auth_i = AIAVG_auth_i * EP_auth_i * PARAMETERS!STATE_LOCAL_TAX_RATE_AUTH * PARAMETERS!SLTR_ADJ_FACTOR</t>
  </si>
  <si>
    <t xml:space="preserve">New addition for SLTR.1; assumes near-full compliance on sales/property, partial income; uses shared group AIAVG/EP</t>
  </si>
  <si>
    <t xml:space="preserve">SLTR.2</t>
  </si>
  <si>
    <t xml:space="preserve">Unauthorized Immigrant State/Local Tax Revenue</t>
  </si>
  <si>
    <t xml:space="preserve">SLTR_unauth_i = AIAVG_unauth_i * EP_unauth_i * PARAMETERS!STATE_LOCAL_TAX_RATE_UNAUTH * PARAMETERS!SLTR_ADJ_FACTOR</t>
  </si>
  <si>
    <t xml:space="preserve">New addition for SLTR.2; lower effective income tax compliance, but full sales/property; reflects partial ITIN/filing; aligns with CALC patterns</t>
  </si>
  <si>
    <t xml:space="preserve">SLTR.3</t>
  </si>
  <si>
    <t xml:space="preserve">American State/Local Tax Revenue</t>
  </si>
  <si>
    <t xml:space="preserve">SLTR_amer_i = (SLTR_total_i - SLTR_auth_i - SLTR_unauth_i)</t>
  </si>
  <si>
    <t xml:space="preserve">100% derived; captures bulk for citizen filers; new addition for explicit residual; ensures aggregate consistency</t>
  </si>
  <si>
    <t xml:space="preserve">SLTR.4</t>
  </si>
  <si>
    <t xml:space="preserve">Statewide SLTR Aggregate Calibration</t>
  </si>
  <si>
    <t xml:space="preserve">SLTR_i = SLTR_i * (PARAMETERS!SLTR_STATE_TARGET / sum_raw_SLTR)</t>
  </si>
  <si>
    <t xml:space="preserve">Apply last; weighted implicitly via sum across industries; new addition to force alignment with PARCA/AL DOR FY2025 state collections proxy (~$17.5B total, labor portion ~$7.5–$8B); flag if scale outside 0.90–1.10 range (uncertainty from compliance, sales base, property values)</t>
  </si>
  <si>
    <t xml:space="preserve">SSMC Formulae</t>
  </si>
  <si>
    <t xml:space="preserve">SSMC - Social Security/Medicare Contributions</t>
  </si>
  <si>
    <t xml:space="preserve">SSMC.0</t>
  </si>
  <si>
    <t xml:space="preserve">Social Security/Medicare Contributions Total</t>
  </si>
  <si>
    <t xml:space="preserve">SSMC_total_i = AIAVG_total_i * EP_total_i * PARAMETERS!SSMC_RATE * PARAMETERS!SSMC_CALIBRATION_FACTOR_IND[i]</t>
  </si>
  <si>
    <t xml:space="preserve">Annual labor income (AIAVG × EP) × total FICA rate (12.4% SS + 2.9% Medicare = 15.3%, employee + employer) × calibration factor</t>
  </si>
  <si>
    <t xml:space="preserve">Uses shared AIAVG.0 and EP.0; rate applies up to SS wage base $184,500 (2026 SSA); Medicare uncapped; new addition for explicit SSMC; statewide aggregate targets ~$11.5B–$12B (proxy from AL payroll base est. ~$153B–$160B × 15.3% avg effective, aligned with national FICA collections and FPPTREV ~$1.858B employee share ×2 for employer match); edited calibration for industry wage caps (higher SS in low-wage sectors); apply after income/wage calcs</t>
  </si>
  <si>
    <t xml:space="preserve">SSMC.1</t>
  </si>
  <si>
    <t xml:space="preserve">Authorized Immigrant Social Security/Medicare Contributions</t>
  </si>
  <si>
    <t xml:space="preserve">SSMC_auth_i = AIAVG_auth_i * EP_auth_i * PARAMETERS!SSMC_RATE_AUTH</t>
  </si>
  <si>
    <t xml:space="preserve">New addition for SSMC.1; full compliance assumed (both sides); uses shared group AIAVG/EP</t>
  </si>
  <si>
    <t xml:space="preserve">SSMC.2</t>
  </si>
  <si>
    <t xml:space="preserve">Unauthorized Immigrant Social Security/Medicare Contributions</t>
  </si>
  <si>
    <t xml:space="preserve">SSMC_unauth_i = AIAVG_unauth_i * EP_unauth_i * PARAMETERS!SSMC_RATE_UNAUTH</t>
  </si>
  <si>
    <t xml:space="preserve">New addition for SSMC.2; partial compliance/withholding est. (e.g., via ITIN or underreporting); lower effective rate per CBO/MPI; reflects CALC patterns and original P083</t>
  </si>
  <si>
    <t xml:space="preserve">SSMC.3</t>
  </si>
  <si>
    <t xml:space="preserve">American Social Security/Medicare Contributions</t>
  </si>
  <si>
    <t xml:space="preserve">SSMC_amer_i = (SSMC_total_i - SSMC_auth_i - SSMC_unauth_i)</t>
  </si>
  <si>
    <t xml:space="preserve">100% derived; ensures consistency with total contributions; new addition for explicit residual; uses aggregated group values</t>
  </si>
  <si>
    <t xml:space="preserve">SSMC.4</t>
  </si>
  <si>
    <t xml:space="preserve">Statewide SSMC Aggregate Calibration</t>
  </si>
  <si>
    <t xml:space="preserve">SSMC_i = SSMC_i * (PARAMETERS!SSMC_STATE_TARGET / sum_raw_S SMC)</t>
  </si>
  <si>
    <t xml:space="preserve">Apply last; weighted implicitly via sum across industries; new addition to force alignment with model-validated aggregate (~$11.5B–$12B proxy from AL payroll × FICA rates); flag if scale outside 0.92–1.08 range (uncertainty from compliance, wage base cap, high-earner additional Medicare)</t>
  </si>
  <si>
    <t xml:space="preserve">PAUR Formulae</t>
  </si>
  <si>
    <t xml:space="preserve">PAUR - Public Assistance Usage Rate</t>
  </si>
  <si>
    <t xml:space="preserve">PAUR.0</t>
  </si>
  <si>
    <t xml:space="preserve">Public Assistance Usage Rate Total</t>
  </si>
  <si>
    <t xml:space="preserve">PAUR_total_i = PARAMETERS!PAUR_IND[i] * PARAMETERS!PAUR_ADJ_FACTOR * PARAMETERS!PAUR_CALIBRATION_FACTOR_IND[i]</t>
  </si>
  <si>
    <t xml:space="preserve">Base industry usage rate from ACS/Urban Institute fusion, scaled by overall adjustment factor and industry calibration</t>
  </si>
  <si>
    <t xml:space="preserve">Uses shared S0.3 fusion (ACS priority for low-income share) + income proxy from AIAVG; new addition for explicit PAUR; statewide weighted avg (by EP_total_i) targets ~0.145 (14.5%, aligned with SNAP match per original P047 edit and USDA FNS AL data 2025); edited calibration for sector variation (higher in ag/constr/hosp due to low wages); apply after income/employment calcs</t>
  </si>
  <si>
    <t xml:space="preserve">PAUR.1</t>
  </si>
  <si>
    <t xml:space="preserve">Authorized Immigrant Public Assistance Usage Rate</t>
  </si>
  <si>
    <t xml:space="preserve">PAUR_auth_i = PAUR_total_i * (1 + PARAMETERS!AUTH_IMMIGRANT_PAUR_ADJ_FACTOR)</t>
  </si>
  <si>
    <t xml:space="preserve">Slight uplift possible (eligible for most programs after waiting periods); new addition for PAUR.1; uses shared immigrant adj logic</t>
  </si>
  <si>
    <t xml:space="preserve">PAUR.2</t>
  </si>
  <si>
    <t xml:space="preserve">Unauthorized Immigrant Public Assistance Usage Rate</t>
  </si>
  <si>
    <t xml:space="preserve">PAUR_unauth_i = PAUR_total_i * (1 + PARAMETERS!UNAUTH_IMMIGRANT_PAUR_ADJ_FACTOR)</t>
  </si>
  <si>
    <t xml:space="preserve">Lower usage due to eligibility barriers (e.g., no SNAP/TANF for most adults, limited Medicaid); new addition for PAUR.2; conservative downward adj per Urban Institute/MPI patterns</t>
  </si>
  <si>
    <t xml:space="preserve">PAUR.3</t>
  </si>
  <si>
    <t xml:space="preserve">American Public Assistance Usage Rate</t>
  </si>
  <si>
    <t xml:space="preserve">PAUR_amer_i = (PAUR_total_i * EP_total_i - PAUR_auth_i * EP_auth_i - PAUR_unauth_i * EP_unauth_i) / EP_amer_i</t>
  </si>
  <si>
    <t xml:space="preserve">100% derived; ensures weighted consistency with total usage rate; new addition for explicit residual; uses shared EP values</t>
  </si>
  <si>
    <t xml:space="preserve">PAUR.4</t>
  </si>
  <si>
    <t xml:space="preserve">Statewide PAUR Aggregate Calibration</t>
  </si>
  <si>
    <t xml:space="preserve">PAUR_i = PAUR_i * (PARAMETERS!PAUR_STATE_TARGET / weighted_state_PAUR_raw)</t>
  </si>
  <si>
    <t xml:space="preserve">Apply last; weighted by EP_i; new addition to align with USDA FNS SNAP participation (~14–15% effective among low-income working households in AL) and original P047 SNAP match; flag if scale outside 0.90–1.10 range (uncertainty from eligibility vs actual usage gap)</t>
  </si>
  <si>
    <t xml:space="preserve">LSD.REF.AL.PARAM</t>
  </si>
  <si>
    <t xml:space="preserve">Alabama Labor Statistic Logic Parameters</t>
  </si>
  <si>
    <t xml:space="preserve">P001</t>
  </si>
  <si>
    <t xml:space="preserve">TOTAL_NONFARM_AL</t>
  </si>
  <si>
    <t xml:space="preserve">AL / Total nonfarm payroll employment (thousands)</t>
  </si>
  <si>
    <t xml:space="preserve">BLS CES December 2025 preliminary (proxy for Jan 2026)</t>
  </si>
  <si>
    <t xml:space="preserve">High</t>
  </si>
  <si>
    <t xml:space="preserve">BLS CES release January 2026</t>
  </si>
  <si>
    <t xml:space="preserve">February 2026</t>
  </si>
  <si>
    <t xml:space="preserve">P002</t>
  </si>
  <si>
    <t xml:space="preserve">AG_EMPLOYMENT_AL</t>
  </si>
  <si>
    <t xml:space="preserve">AL / Agriculture employment (thousands)</t>
  </si>
  <si>
    <t xml:space="preserve">BLS CES + ACS self-employed adjustment + modest growth</t>
  </si>
  <si>
    <t xml:space="preserve">Medium</t>
  </si>
  <si>
    <t xml:space="preserve">BLS CES Dec 2025 + ACS 2024 est. + growth</t>
  </si>
  <si>
    <t xml:space="preserve">P003</t>
  </si>
  <si>
    <t xml:space="preserve">CONSTR_EMPLOYMENT_AL</t>
  </si>
  <si>
    <t xml:space="preserve">AL / Construction employment (thousands)</t>
  </si>
  <si>
    <t xml:space="preserve">BLS CES December 2025 preliminary</t>
  </si>
  <si>
    <t xml:space="preserve">BLS CES January 2026</t>
  </si>
  <si>
    <t xml:space="preserve">P004</t>
  </si>
  <si>
    <t xml:space="preserve">MANU_EMPLOYMENT_AL</t>
  </si>
  <si>
    <t xml:space="preserve">AL / Manufacturing employment (thousands)</t>
  </si>
  <si>
    <t xml:space="preserve">P005</t>
  </si>
  <si>
    <t xml:space="preserve">TRADE_TRANS_UTIL_EMPLOYMENT_AL</t>
  </si>
  <si>
    <t xml:space="preserve">AL / Trade, Transportation, Utilities (thousands)</t>
  </si>
  <si>
    <t xml:space="preserve">P006</t>
  </si>
  <si>
    <t xml:space="preserve">INFO_EMPLOYMENT_AL</t>
  </si>
  <si>
    <t xml:space="preserve">AL / Information employment (thousands)</t>
  </si>
  <si>
    <t xml:space="preserve">P007</t>
  </si>
  <si>
    <t xml:space="preserve">FIN_EMPLOYMENT_AL</t>
  </si>
  <si>
    <t xml:space="preserve">AL / Financial Activities employment (thousands)</t>
  </si>
  <si>
    <t xml:space="preserve">P008</t>
  </si>
  <si>
    <t xml:space="preserve">PROF_BUS_EMPLOYMENT_AL</t>
  </si>
  <si>
    <t xml:space="preserve">AL / Professional and Business Services (thousands)</t>
  </si>
  <si>
    <t xml:space="preserve">P009</t>
  </si>
  <si>
    <t xml:space="preserve">ED_HEALTH_EMPLOYMENT_AL</t>
  </si>
  <si>
    <t xml:space="preserve">AL / Education and Health Services (thousands)</t>
  </si>
  <si>
    <t xml:space="preserve">P010</t>
  </si>
  <si>
    <t xml:space="preserve">LEIS_HOSP_EMPLOYMENT_AL</t>
  </si>
  <si>
    <t xml:space="preserve">AL / Leisure and Hospitality employment (thousands)</t>
  </si>
  <si>
    <t xml:space="preserve">P011</t>
  </si>
  <si>
    <t xml:space="preserve">OTHER_SERV_EMPLOYMENT_AL</t>
  </si>
  <si>
    <t xml:space="preserve">AL / Other Services employment (thousands)</t>
  </si>
  <si>
    <t xml:space="preserve">P012</t>
  </si>
  <si>
    <t xml:space="preserve">GOV_EMPLOYMENT_AL</t>
  </si>
  <si>
    <t xml:space="preserve">AL / Government employment (thousands)</t>
  </si>
  <si>
    <t xml:space="preserve">P013</t>
  </si>
  <si>
    <t xml:space="preserve">TOTAL_EMPLOYMENT_AL</t>
  </si>
  <si>
    <t xml:space="preserve">AL / Total employment (thousands)</t>
  </si>
  <si>
    <t xml:space="preserve">Alabama Department of Labor December 2025</t>
  </si>
  <si>
    <t xml:space="preserve">AL DOL release January 2026</t>
  </si>
  <si>
    <t xml:space="preserve">P014</t>
  </si>
  <si>
    <t xml:space="preserve">MINING_LOGGING_EMPLOYMENT_AL</t>
  </si>
  <si>
    <t xml:space="preserve">AL / Mining, Quarrying, and Oil/Gas Extraction (thousands)</t>
  </si>
  <si>
    <t xml:space="preserve">P015</t>
  </si>
  <si>
    <t xml:space="preserve">BLS_EP_TOTAL_TARGET</t>
  </si>
  <si>
    <t xml:space="preserve">Calibration target: total nonfarm payroll (thousands)</t>
  </si>
  <si>
    <t xml:space="preserve">BLS CES</t>
  </si>
  <si>
    <t xml:space="preserve">P016</t>
  </si>
  <si>
    <t xml:space="preserve">ROLE_PRORATE_WORKER_IND_AG</t>
  </si>
  <si>
    <t xml:space="preserve">Worker share – Agriculture</t>
  </si>
  <si>
    <t xml:space="preserve">Default / ACS-based</t>
  </si>
  <si>
    <t xml:space="preserve">ACS</t>
  </si>
  <si>
    <t xml:space="preserve">P017</t>
  </si>
  <si>
    <t xml:space="preserve">ROLE_PRORATE_WORKER_IND_CONSTR</t>
  </si>
  <si>
    <t xml:space="preserve">Worker share – Construction</t>
  </si>
  <si>
    <t xml:space="preserve">ACS / BLS occupational breakdown</t>
  </si>
  <si>
    <t xml:space="preserve">ACS 2024 + BLS OEWS</t>
  </si>
  <si>
    <t xml:space="preserve">P018</t>
  </si>
  <si>
    <t xml:space="preserve">ROLE_PRORATE_WORKER_IND_MANU</t>
  </si>
  <si>
    <t xml:space="preserve">Worker share – Manufacturing</t>
  </si>
  <si>
    <t xml:space="preserve">P019</t>
  </si>
  <si>
    <t xml:space="preserve">ROLE_PRORATE_WORKER_IND_FIN</t>
  </si>
  <si>
    <t xml:space="preserve">Worker share – Financial Activities</t>
  </si>
  <si>
    <t xml:space="preserve">P020</t>
  </si>
  <si>
    <t xml:space="preserve">ROLE_PRORATE_WORKER_IND_LEIS_HOSP</t>
  </si>
  <si>
    <t xml:space="preserve">Worker share – Leisure &amp; Hospitality</t>
  </si>
  <si>
    <t xml:space="preserve">P021</t>
  </si>
  <si>
    <t xml:space="preserve">ROLE_PRORATE_WORKER_IND_ED_HEALTH</t>
  </si>
  <si>
    <t xml:space="preserve">Worker share – Education &amp; Health Services</t>
  </si>
  <si>
    <t xml:space="preserve">P027</t>
  </si>
  <si>
    <t xml:space="preserve">BLS_WAGE_CONSTR</t>
  </si>
  <si>
    <t xml:space="preserve">Construction wage calibration target</t>
  </si>
  <si>
    <t xml:space="preserve">AL DOL / BLS implied</t>
  </si>
  <si>
    <t xml:space="preserve">AL DOL Dec 2025</t>
  </si>
  <si>
    <t xml:space="preserve">P028</t>
  </si>
  <si>
    <t xml:space="preserve">BASE_AWHW_IND_CONSTR</t>
  </si>
  <si>
    <t xml:space="preserve">Base weekly hours – Construction</t>
  </si>
  <si>
    <t xml:space="preserve">BLS CES December 2025</t>
  </si>
  <si>
    <t xml:space="preserve">BLS</t>
  </si>
  <si>
    <t xml:space="preserve">P029</t>
  </si>
  <si>
    <t xml:space="preserve">BASE_AWHW_IND_MANU</t>
  </si>
  <si>
    <t xml:space="preserve">Base weekly hours – Manufacturing</t>
  </si>
  <si>
    <t xml:space="preserve">P030</t>
  </si>
  <si>
    <t xml:space="preserve">SEASONAL_HOURS_FACTOR_LEIS_HOSP</t>
  </si>
  <si>
    <t xml:space="preserve">Seasonal hours adjustment – Leisure/Hospitality</t>
  </si>
  <si>
    <t xml:space="preserve">LAUS / CES seasonal pattern</t>
  </si>
  <si>
    <t xml:space="preserve">BLS seasonal factors</t>
  </si>
  <si>
    <t xml:space="preserve">P044</t>
  </si>
  <si>
    <t xml:space="preserve">U6_U3_RATIO_IND</t>
  </si>
  <si>
    <t xml:space="preserve">U6 to U3 ratio assumption (state-wide)</t>
  </si>
  <si>
    <t xml:space="preserve">BLS alternative measures Q4 2025</t>
  </si>
  <si>
    <t xml:space="preserve">P045</t>
  </si>
  <si>
    <t xml:space="preserve">PAUR_IND_AG</t>
  </si>
  <si>
    <t xml:space="preserve">Public Assistance Usage Rate – Agriculture</t>
  </si>
  <si>
    <t xml:space="preserve">ACS low-income estimate</t>
  </si>
  <si>
    <t xml:space="preserve">ACS 2024</t>
  </si>
  <si>
    <t xml:space="preserve">P046</t>
  </si>
  <si>
    <t xml:space="preserve">PAUR_IND_CONSTR</t>
  </si>
  <si>
    <t xml:space="preserve">Public Assistance Usage Rate – Construction</t>
  </si>
  <si>
    <t xml:space="preserve">P047</t>
  </si>
  <si>
    <t xml:space="preserve">PAUR_ADJ_FACTOR</t>
  </si>
  <si>
    <t xml:space="preserve">AL / Public Assistance Usage Adjustment Factor</t>
  </si>
  <si>
    <t xml:space="preserve">Increased to match SNAP enrollment ~14.5% (from 10% CALC)</t>
  </si>
  <si>
    <t xml:space="preserve">USDA FNS / Pew Research May 2025 data</t>
  </si>
  <si>
    <t xml:space="preserve">P048</t>
  </si>
  <si>
    <t xml:space="preserve">SLTR_ADJ_FACTOR</t>
  </si>
  <si>
    <t xml:space="preserve">AL / State/Local Tax Revenue Adjustment Factor</t>
  </si>
  <si>
    <t xml:space="preserve">Adjusted to scale labor-income derived tax to match ~$7.5B income tax revenue</t>
  </si>
  <si>
    <t xml:space="preserve">AL Dept. Revenue FY2025</t>
  </si>
  <si>
    <t xml:space="preserve">P049</t>
  </si>
  <si>
    <t xml:space="preserve">TR_ADJ_FACTOR</t>
  </si>
  <si>
    <t xml:space="preserve">AL / Turnover Rate Adjustment Factor</t>
  </si>
  <si>
    <t xml:space="preserve">Decreased by 25% to match BLS JOLTS separation rate ~3.4% monthly avg (from 6.8% CALC)</t>
  </si>
  <si>
    <t xml:space="preserve">BLS JOLTS Nov 2025 AL data</t>
  </si>
  <si>
    <t xml:space="preserve">P050</t>
  </si>
  <si>
    <t xml:space="preserve">JTA_ADJ_FACTOR</t>
  </si>
  <si>
    <t xml:space="preserve">AL / Job Tenure Average Adjustment Factor</t>
  </si>
  <si>
    <t xml:space="preserve">Decreased by 15% to align with national median 4.1 years (no AL-specific; from 4.8 CALC)</t>
  </si>
  <si>
    <t xml:space="preserve">BLS Employee Tenure Survey 2024</t>
  </si>
  <si>
    <t xml:space="preserve">P051</t>
  </si>
  <si>
    <t xml:space="preserve">ACTC_ELIG_FACTOR_AMER_IND</t>
  </si>
  <si>
    <t xml:space="preserve">ACTC eligibility factor – American</t>
  </si>
  <si>
    <t xml:space="preserve">Full eligibility</t>
  </si>
  <si>
    <t xml:space="preserve">IRS rules</t>
  </si>
  <si>
    <t xml:space="preserve">P052</t>
  </si>
  <si>
    <t xml:space="preserve">ACTC_ELIG_FACTOR_AUTH_IND</t>
  </si>
  <si>
    <t xml:space="preserve">ACTC eligibility factor – Authorized</t>
  </si>
  <si>
    <t xml:space="preserve">Partial via ITIN</t>
  </si>
  <si>
    <t xml:space="preserve">Urban Institute</t>
  </si>
  <si>
    <t xml:space="preserve">P053</t>
  </si>
  <si>
    <t xml:space="preserve">ACTC_ELIG_FACTOR_UNAUTH_IND</t>
  </si>
  <si>
    <t xml:space="preserve">ACTC eligibility factor – Unauthorized</t>
  </si>
  <si>
    <t xml:space="preserve">Urban Institute / IRS</t>
  </si>
  <si>
    <t xml:space="preserve">P054</t>
  </si>
  <si>
    <t xml:space="preserve">AOTC_ELIG_FACTOR_AMER_IND</t>
  </si>
  <si>
    <t xml:space="preserve">AOTC eligibility factor – American</t>
  </si>
  <si>
    <t xml:space="preserve">P055</t>
  </si>
  <si>
    <t xml:space="preserve">AOTC_ELIG_FACTOR_AUTH_IND</t>
  </si>
  <si>
    <t xml:space="preserve">AOTC eligibility factor – Authorized</t>
  </si>
  <si>
    <t xml:space="preserve">Partial eligibility</t>
  </si>
  <si>
    <t xml:space="preserve">P056</t>
  </si>
  <si>
    <t xml:space="preserve">AOTC_ELIG_FACTOR_UNAUTH_IND</t>
  </si>
  <si>
    <t xml:space="preserve">AOTC eligibility factor – Unauthorized</t>
  </si>
  <si>
    <t xml:space="preserve">Education/documentation barriers</t>
  </si>
  <si>
    <t xml:space="preserve">P057</t>
  </si>
  <si>
    <t xml:space="preserve">STATE_LOCAL_TAX_RATE</t>
  </si>
  <si>
    <t xml:space="preserve">AL effective state + local tax rate on income/sales</t>
  </si>
  <si>
    <t xml:space="preserve">ITEP / Tax Foundation estimate</t>
  </si>
  <si>
    <t xml:space="preserve">ITEP 2025</t>
  </si>
  <si>
    <t xml:space="preserve">P058</t>
  </si>
  <si>
    <t xml:space="preserve">STATE_LOCAL_TAX_RATE_UNAUTH</t>
  </si>
  <si>
    <t xml:space="preserve">Effective state/local rate – Unauthorized</t>
  </si>
  <si>
    <t xml:space="preserve">Lower income tax compliance</t>
  </si>
  <si>
    <t xml:space="preserve">ITEP estimate</t>
  </si>
  <si>
    <t xml:space="preserve">P059</t>
  </si>
  <si>
    <t xml:space="preserve">AL_POPULATION_2026</t>
  </si>
  <si>
    <t xml:space="preserve">Alabama total population estimate January 2026</t>
  </si>
  <si>
    <t xml:space="preserve">Census Vintage 2025 + Weldon Cooper projection</t>
  </si>
  <si>
    <t xml:space="preserve">Census / Weldon Cooper</t>
  </si>
  <si>
    <t xml:space="preserve">P060</t>
  </si>
  <si>
    <t xml:space="preserve">UNAUTH_REAL_LF_EST</t>
  </si>
  <si>
    <t xml:space="preserve">Estimated unauthorized labor force in Alabama</t>
  </si>
  <si>
    <t xml:space="preserve">MPI / Pew 2025–2026 consensus</t>
  </si>
  <si>
    <t xml:space="preserve">MPI / Pew updated</t>
  </si>
  <si>
    <t xml:space="preserve">P061</t>
  </si>
  <si>
    <t xml:space="preserve">BASE_GDP_PER_CAPITA_AL</t>
  </si>
  <si>
    <t xml:space="preserve">Alabama GDP per capita 2024 actual (update for 2026 est with growth)</t>
  </si>
  <si>
    <t xml:space="preserve">USAFacts 2024 data + projected growth</t>
  </si>
  <si>
    <t xml:space="preserve">USAFacts / BEA 2024</t>
  </si>
  <si>
    <t xml:space="preserve">P062</t>
  </si>
  <si>
    <t xml:space="preserve">BASE_GDP_GROWTH_RATE</t>
  </si>
  <si>
    <t xml:space="preserve">Annual real GDP growth rate assumption</t>
  </si>
  <si>
    <t xml:space="preserve">2.2% long-term average for Alabama</t>
  </si>
  <si>
    <t xml:space="preserve">Fed / BEA projections</t>
  </si>
  <si>
    <t xml:space="preserve">P063</t>
  </si>
  <si>
    <t xml:space="preserve">FISCAL_GROWTH_RATE</t>
  </si>
  <si>
    <t xml:space="preserve">Fiscal revenue growth rate assumption</t>
  </si>
  <si>
    <t xml:space="preserve">2.5% nominal</t>
  </si>
  <si>
    <t xml:space="preserve">CBO / Alabama state budget trends</t>
  </si>
  <si>
    <t xml:space="preserve">P064</t>
  </si>
  <si>
    <t xml:space="preserve">FISCAL_MULTIPLIER_UNAUTH</t>
  </si>
  <si>
    <t xml:space="preserve">Fiscal multiplier for unauthorized income gains</t>
  </si>
  <si>
    <t xml:space="preserve">Lower due to credits / remittances</t>
  </si>
  <si>
    <t xml:space="preserve">CBO / MPI</t>
  </si>
  <si>
    <t xml:space="preserve">P067</t>
  </si>
  <si>
    <t xml:space="preserve">UNCERTAINTY_RANGE_PCT</t>
  </si>
  <si>
    <t xml:space="preserve">General Monte Carlo uncertainty range</t>
  </si>
  <si>
    <t xml:space="preserve">±20% band on forecasts</t>
  </si>
  <si>
    <t xml:space="preserve">Empirical variance across sources</t>
  </si>
  <si>
    <t xml:space="preserve">P068</t>
  </si>
  <si>
    <t xml:space="preserve">ACCURACY_BLS</t>
  </si>
  <si>
    <t xml:space="preserve">Accuracy weight for BLS data in fusion</t>
  </si>
  <si>
    <t xml:space="preserve">Increased for recent CES / OEWS releases</t>
  </si>
  <si>
    <t xml:space="preserve">Internal weighting</t>
  </si>
  <si>
    <t xml:space="preserve">P069</t>
  </si>
  <si>
    <t xml:space="preserve">ACCURACY_ACS</t>
  </si>
  <si>
    <t xml:space="preserve">Accuracy weight for ACS data</t>
  </si>
  <si>
    <t xml:space="preserve">Medium recency &amp; sample size</t>
  </si>
  <si>
    <t xml:space="preserve">Internal</t>
  </si>
  <si>
    <t xml:space="preserve">P070</t>
  </si>
  <si>
    <t xml:space="preserve">ACCURACY_MPI</t>
  </si>
  <si>
    <t xml:space="preserve">Accuracy weight for MPI unauthorized estimates</t>
  </si>
  <si>
    <t xml:space="preserve">Most uncertain component</t>
  </si>
  <si>
    <t xml:space="preserve">MPI methodology</t>
  </si>
  <si>
    <t xml:space="preserve">P072</t>
  </si>
  <si>
    <t xml:space="preserve">CALIBRATION_SCALE_EP</t>
  </si>
  <si>
    <t xml:space="preserve">Default employment calibration scalar</t>
  </si>
  <si>
    <t xml:space="preserve">Overridden by FID 500.0 formula</t>
  </si>
  <si>
    <t xml:space="preserve">Shared Parameters Table (for PARAM tab)</t>
  </si>
  <si>
    <t xml:space="preserve">PID</t>
  </si>
  <si>
    <t xml:space="preserve">Parameter Name</t>
  </si>
  <si>
    <t xml:space="preserve">Value</t>
  </si>
  <si>
    <t xml:space="preserve">State / Description</t>
  </si>
  <si>
    <t xml:space="preserve">Notes / Sources</t>
  </si>
  <si>
    <t xml:space="preserve">Confidence Rating</t>
  </si>
  <si>
    <t xml:space="preserve">Confidence Source Note</t>
  </si>
  <si>
    <t xml:space="preserve">Last Updated / Source Note</t>
  </si>
  <si>
    <t xml:space="preserve">Partial via ITIN (edited per VALID V015 for ~$8-12M unauthorized aggregate)</t>
  </si>
  <si>
    <t xml:space="preserve">Urban Institute / IRS / UnidosUS</t>
  </si>
  <si>
    <t xml:space="preserve">P073</t>
  </si>
  <si>
    <t xml:space="preserve">EITC_TOTAL_REFUND_AL</t>
  </si>
  <si>
    <t xml:space="preserve">AL / Total EITC refunds (new addition)</t>
  </si>
  <si>
    <t xml:space="preserve">IRS estimate for 2025 prorated to AL</t>
  </si>
  <si>
    <t xml:space="preserve">IRS SOI data</t>
  </si>
  <si>
    <t xml:space="preserve">P074</t>
  </si>
  <si>
    <t xml:space="preserve">ACTC_TOTAL_REFUND_AL</t>
  </si>
  <si>
    <t xml:space="preserve">AL / Total ACTC refunds (new addition)</t>
  </si>
  <si>
    <t xml:space="preserve">IRS estimate prorated to AL; reasonable per VALID V013</t>
  </si>
  <si>
    <t xml:space="preserve">IRS / Urban Institute</t>
  </si>
  <si>
    <t xml:space="preserve">P075</t>
  </si>
  <si>
    <t xml:space="preserve">AOTC_TOTAL_REFUND_AL</t>
  </si>
  <si>
    <t xml:space="preserve">AL / Total AOTC refunds (new addition)</t>
  </si>
  <si>
    <t xml:space="preserve">IRS estimate prorated to AL; recalibrated downward from ~$252M to ~$30M per VALID V014 suggestion</t>
  </si>
  <si>
    <t xml:space="preserve">IRS adjusted per Urban Institute</t>
  </si>
  <si>
    <t xml:space="preserve">P076</t>
  </si>
  <si>
    <t xml:space="preserve">FED_PIT_RATE</t>
  </si>
  <si>
    <t xml:space="preserve">Effective federal PIT rate (general/American; new addition)</t>
  </si>
  <si>
    <t xml:space="preserve">Derived from CALC aggregates and IRS effective rates</t>
  </si>
  <si>
    <t xml:space="preserve">IRS / CBO</t>
  </si>
  <si>
    <t xml:space="preserve">P077</t>
  </si>
  <si>
    <t xml:space="preserve">FED_PIT_RATE_AUTH</t>
  </si>
  <si>
    <t xml:space="preserve">Effective federal PIT rate – Authorized (new addition)</t>
  </si>
  <si>
    <t xml:space="preserve">Derived from CALC; similar to American</t>
  </si>
  <si>
    <t xml:space="preserve">P078</t>
  </si>
  <si>
    <t xml:space="preserve">FED_PIT_RATE_UNAUTH</t>
  </si>
  <si>
    <t xml:space="preserve">Effective federal PIT rate – Unauthorized (new addition; edited lower per formula notes)</t>
  </si>
  <si>
    <t xml:space="preserve">Lower due to underreporting/ITIN; updated for MPI alignment</t>
  </si>
  <si>
    <t xml:space="preserve">IRS / CBO / MPI</t>
  </si>
  <si>
    <t xml:space="preserve">P079</t>
  </si>
  <si>
    <t xml:space="preserve">FILING_RATE_UNAUTH</t>
  </si>
  <si>
    <t xml:space="preserve">Federal tax filing rate – Unauthorized (new addition)</t>
  </si>
  <si>
    <t xml:space="preserve">Partial compliance via ITIN</t>
  </si>
  <si>
    <t xml:space="preserve">CBO / IRS</t>
  </si>
  <si>
    <t xml:space="preserve">P080</t>
  </si>
  <si>
    <t xml:space="preserve">FED_PAYROLL_RATE</t>
  </si>
  <si>
    <t xml:space="preserve">Federal payroll tax rate (general; new addition)</t>
  </si>
  <si>
    <t xml:space="preserve">SS/Medicare employee share</t>
  </si>
  <si>
    <t xml:space="preserve">P081</t>
  </si>
  <si>
    <t xml:space="preserve">FED_PAYROLL_RATE_UNAUTH</t>
  </si>
  <si>
    <t xml:space="preserve">Federal payroll tax rate – Unauthorized (new addition)</t>
  </si>
  <si>
    <t xml:space="preserve">Partial compliance</t>
  </si>
  <si>
    <t xml:space="preserve">P082</t>
  </si>
  <si>
    <t xml:space="preserve">SSMC_RATE</t>
  </si>
  <si>
    <t xml:space="preserve">Social Security/Medicare total rate (new addition)</t>
  </si>
  <si>
    <t xml:space="preserve">Full employer + employee</t>
  </si>
  <si>
    <t xml:space="preserve">P083</t>
  </si>
  <si>
    <t xml:space="preserve">SSMC_RATE_UNAUTH</t>
  </si>
  <si>
    <t xml:space="preserve">Social Security/Medicare rate – Unauthorized (new addition)</t>
  </si>
  <si>
    <t xml:space="preserve">P084</t>
  </si>
  <si>
    <t xml:space="preserve">UNAUTH_SHARE_MAX</t>
  </si>
  <si>
    <t xml:space="preserve">Max unauthorized share of total employment (new addition)</t>
  </si>
  <si>
    <t xml:space="preserve">MPI consensus est (~50k / 2.2M total)</t>
  </si>
  <si>
    <t xml:space="preserve">MPI / Pew</t>
  </si>
  <si>
    <t xml:space="preserve">P085</t>
  </si>
  <si>
    <t xml:space="preserve">UNAUTH_U3R_ADJ</t>
  </si>
  <si>
    <t xml:space="preserve">Unauthorized U3R adjustment factor (new addition for S6)</t>
  </si>
  <si>
    <t xml:space="preserve">Higher in volatile sectors like ag/constr</t>
  </si>
  <si>
    <t xml:space="preserve">ACS / BLS</t>
  </si>
  <si>
    <t xml:space="preserve">P086</t>
  </si>
  <si>
    <t xml:space="preserve">IMMIGRANT_U3R_ADJ</t>
  </si>
  <si>
    <t xml:space="preserve">Authorized immigrant U3R adjustment factor (new addition for S6)</t>
  </si>
  <si>
    <t xml:space="preserve">Slightly lower than average</t>
  </si>
  <si>
    <t xml:space="preserve">P087</t>
  </si>
  <si>
    <t xml:space="preserve">UNAUTH_U6R_ADJ</t>
  </si>
  <si>
    <t xml:space="preserve">Unauthorized U6R adjustment factor (new addition for S6.1)</t>
  </si>
  <si>
    <t xml:space="preserve">Higher due to part-time/involuntary</t>
  </si>
  <si>
    <t xml:space="preserve">BLS alternative measures</t>
  </si>
  <si>
    <t xml:space="preserve">P088</t>
  </si>
  <si>
    <t xml:space="preserve">IMMIGRANT_U6R_ADJ</t>
  </si>
  <si>
    <t xml:space="preserve">Authorized immigrant U6R adjustment factor (new addition for S6.1)</t>
  </si>
  <si>
    <t xml:space="preserve">Moderate adjustment</t>
  </si>
  <si>
    <t xml:space="preserve">P089</t>
  </si>
  <si>
    <t xml:space="preserve">LFPR_ADJ_FACTOR</t>
  </si>
  <si>
    <t xml:space="preserve">LFPR adjustment factor (new addition for S7)</t>
  </si>
  <si>
    <t xml:space="preserve">To match BLS LAUS statewide ~59.4%</t>
  </si>
  <si>
    <t xml:space="preserve">BLS LAUS</t>
  </si>
  <si>
    <t xml:space="preserve">P090</t>
  </si>
  <si>
    <t xml:space="preserve">UNAUTH_LFPR_ADJ</t>
  </si>
  <si>
    <t xml:space="preserve">Unauthorized LFPR adjustment factor (new addition for S7)</t>
  </si>
  <si>
    <t xml:space="preserve">Higher participation in some sectors</t>
  </si>
  <si>
    <t xml:space="preserve">ACS / MPI</t>
  </si>
  <si>
    <t xml:space="preserve">P091</t>
  </si>
  <si>
    <t xml:space="preserve">IMMIGRANT_LFPR_ADJ</t>
  </si>
  <si>
    <t xml:space="preserve">Authorized immigrant LFPR adjustment factor (new addition for S7)</t>
  </si>
  <si>
    <t xml:space="preserve">Slightly higher than American</t>
  </si>
  <si>
    <t xml:space="preserve">LFP Parameters</t>
  </si>
  <si>
    <t xml:space="preserve">BLS_LFP_TOTAL_TARGET</t>
  </si>
  <si>
    <t xml:space="preserve">AL / Total labor force population target (thousands)</t>
  </si>
  <si>
    <t xml:space="preserve">BLS LAUS December 2025 preliminary; matches CALC aggregate ~2,384k</t>
  </si>
  <si>
    <t xml:space="preserve">BLS LAUS January 2026</t>
  </si>
  <si>
    <t xml:space="preserve">LFP_CALIBRATION_FACTOR_AG</t>
  </si>
  <si>
    <t xml:space="preserve">Industry-specific LFP calibration – Agriculture</t>
  </si>
  <si>
    <t xml:space="preserve">Higher for seasonal/self-employed; edited per VALID V004 for better match</t>
  </si>
  <si>
    <t xml:space="preserve">ACS 2024 + BLS adjustment</t>
  </si>
  <si>
    <t xml:space="preserve">UNAUTH_IMMIGRANT_LFP_ADJ_FACTOR</t>
  </si>
  <si>
    <t xml:space="preserve">Unauthorized immigrant LFP adjustment factor</t>
  </si>
  <si>
    <t xml:space="preserve">Higher participation est.; used in LFP.2 formula</t>
  </si>
  <si>
    <t xml:space="preserve">MPI / ACS consensus</t>
  </si>
  <si>
    <t xml:space="preserve">AUTH_IMMIGRANT_LFP_ADJ_FACTOR</t>
  </si>
  <si>
    <t xml:space="preserve">Authorized immigrant LFP adjustment factor</t>
  </si>
  <si>
    <t xml:space="preserve">Slightly higher than American; used in LFP.1 formula</t>
  </si>
  <si>
    <t xml:space="preserve">LFP_PRORATE_FACTOR_CONSTR</t>
  </si>
  <si>
    <t xml:space="preserve">Proration factor for LFP – Construction</t>
  </si>
  <si>
    <t xml:space="preserve">Minor uplift for volatile employment; used in LFP.4 formula</t>
  </si>
  <si>
    <t xml:space="preserve">BLS CES / LAUS</t>
  </si>
  <si>
    <t xml:space="preserve">LFP.5</t>
  </si>
  <si>
    <t xml:space="preserve">LFP_PRORATE_FACTOR_MANU</t>
  </si>
  <si>
    <t xml:space="preserve">Proration factor for LFP – Manufacturing</t>
  </si>
  <si>
    <t xml:space="preserve">Slight downward for stable sector; used in LFP.4 formula</t>
  </si>
  <si>
    <t xml:space="preserve">LFPR Parameters</t>
  </si>
  <si>
    <t xml:space="preserve">BLS_LFPR_TARGET</t>
  </si>
  <si>
    <t xml:space="preserve">AL / Statewide Labor Force Participation Rate target</t>
  </si>
  <si>
    <t xml:space="preserve">BLS LAUS December 2025 seasonally adjusted: 57.7%; matches AL DOL / FRED data</t>
  </si>
  <si>
    <t xml:space="preserve">BLS LAUS / FRED LBSSA01 January 2026 release</t>
  </si>
  <si>
    <t xml:space="preserve">LFPR_CALIBRATION_FACTOR_LEIS_HOSP</t>
  </si>
  <si>
    <t xml:space="preserve">Industry-specific LFPR calibration – Leisure/Hospitality</t>
  </si>
  <si>
    <t xml:space="preserve">Downward for seasonal/part-time effects; edited to align with statewide 57.7%</t>
  </si>
  <si>
    <t xml:space="preserve">BLS CPS / LAUS Dec 2025 patterns</t>
  </si>
  <si>
    <t xml:space="preserve">UNAUTH_IMMIGRANT_LFPR_ADJ_FACTOR</t>
  </si>
  <si>
    <t xml:space="preserve">Unauthorized immigrant LFPR adjustment factor</t>
  </si>
  <si>
    <t xml:space="preserve">Higher participation est. in select industries; used in LFPR.2 formula</t>
  </si>
  <si>
    <t xml:space="preserve">AUTH_IMMIGRANT_LFPR_ADJ_FACTOR</t>
  </si>
  <si>
    <t xml:space="preserve">Authorized immigrant LFPR adjustment factor</t>
  </si>
  <si>
    <t xml:space="preserve">Slightly higher than American; used in LFPR.1 formula</t>
  </si>
  <si>
    <t xml:space="preserve">LFPR_POP_SHARE_IND_CONSTR</t>
  </si>
  <si>
    <t xml:space="preserve">Population share working-age eligible – Construction</t>
  </si>
  <si>
    <t xml:space="preserve">Assumed higher manual labor eligibility; used in group population denominator</t>
  </si>
  <si>
    <t xml:space="preserve">ACS demographic shares</t>
  </si>
  <si>
    <t xml:space="preserve">LFPR.5</t>
  </si>
  <si>
    <t xml:space="preserve">LFPR_POP_SHARE_IND_ED_HEALTH</t>
  </si>
  <si>
    <t xml:space="preserve">Population share working-age eligible – Education/Health</t>
  </si>
  <si>
    <t xml:space="preserve">Higher educated share; used in group population denominator</t>
  </si>
  <si>
    <t xml:space="preserve">ETPR Parameters</t>
  </si>
  <si>
    <t xml:space="preserve">BLS_ETPR_TARGET</t>
  </si>
  <si>
    <t xml:space="preserve">AL / Statewide Employment-to-Population Ratio target</t>
  </si>
  <si>
    <t xml:space="preserve">BLS CPS / LAUS December 2025; matches VALID V005 ~56.1%</t>
  </si>
  <si>
    <t xml:space="preserve">BLS CPS January 2026</t>
  </si>
  <si>
    <t xml:space="preserve">ETPR_CALIBRATION_FACTOR_LEIS_HOSP</t>
  </si>
  <si>
    <t xml:space="preserve">Industry-specific ETPR calibration – Leisure/Hospitality</t>
  </si>
  <si>
    <t xml:space="preserve">Downward for seasonal effects; edited per VALID V005 for better match</t>
  </si>
  <si>
    <t xml:space="preserve">BLS CPS 2024 + adjustment</t>
  </si>
  <si>
    <t xml:space="preserve">UNAUTH_IMMIGRANT_ETPR_ADJ_FACTOR</t>
  </si>
  <si>
    <t xml:space="preserve">Unauthorized immigrant ETPR adjustment factor</t>
  </si>
  <si>
    <t xml:space="preserve">Lower due to employment barriers; used in ETPR.2 formula</t>
  </si>
  <si>
    <t xml:space="preserve">AUTH_IMMIGRANT_ETPR_ADJ_FACTOR</t>
  </si>
  <si>
    <t xml:space="preserve">Authorized immigrant ETPR adjustment factor</t>
  </si>
  <si>
    <t xml:space="preserve">Slightly higher than American; used in ETPR.1 formula</t>
  </si>
  <si>
    <t xml:space="preserve">ETPR_PRORATE_FACTOR_ED_HEALTH</t>
  </si>
  <si>
    <t xml:space="preserve">Proration factor for ETPR – Education/Health</t>
  </si>
  <si>
    <t xml:space="preserve">Minor uplift for growing sector; used in ETPR.4 formula</t>
  </si>
  <si>
    <t xml:space="preserve">BLS CPS / LAUS</t>
  </si>
  <si>
    <t xml:space="preserve">ETPR.5</t>
  </si>
  <si>
    <t xml:space="preserve">AUTH_IMMIGRANT_POP_SHARE</t>
  </si>
  <si>
    <t xml:space="preserve">Authorized immigrant share of total population</t>
  </si>
  <si>
    <t xml:space="preserve">MPI / Census estimate; used in group population denominator</t>
  </si>
  <si>
    <t xml:space="preserve">MPI 2025</t>
  </si>
  <si>
    <t xml:space="preserve">ETPR.6</t>
  </si>
  <si>
    <t xml:space="preserve">UNAUTH_IMMIGRANT_POP_SHARE</t>
  </si>
  <si>
    <t xml:space="preserve">Unauthorized immigrant share of total population</t>
  </si>
  <si>
    <t xml:space="preserve">MPI / Pew estimate; used in group population denominator</t>
  </si>
  <si>
    <t xml:space="preserve">MPI / Pew 2025</t>
  </si>
  <si>
    <t xml:space="preserve">U3R Parameters</t>
  </si>
  <si>
    <t xml:space="preserve">BLS_U3R_TARGET</t>
  </si>
  <si>
    <t xml:space="preserve">AL / Statewide U-3 Unemployment Rate target (decimal)</t>
  </si>
  <si>
    <t xml:space="preserve">BLS LAUS December 2025 seasonally adjusted: 2.7%; stable from prior month; below 3.3% in Dec 2024</t>
  </si>
  <si>
    <t xml:space="preserve">BLS LAUS release Jan 27, 2026 / AL Dept of Labor Jan 23, 2026</t>
  </si>
  <si>
    <t xml:space="preserve">U3R_CALIBRATION_FACTOR_AG</t>
  </si>
  <si>
    <t xml:space="preserve">Industry-specific U3R calibration – Agriculture</t>
  </si>
  <si>
    <t xml:space="preserve">Higher volatility/seasonal unemployment; edited to reflect higher rates in ag per historical patterns</t>
  </si>
  <si>
    <t xml:space="preserve">BLS LAUS / CES industry data</t>
  </si>
  <si>
    <t xml:space="preserve">UNAUTH_IMMIGRANT_U3R_ADJ_FACTOR</t>
  </si>
  <si>
    <t xml:space="preserve">Unauthorized immigrant U3R adjustment factor</t>
  </si>
  <si>
    <t xml:space="preserve">Higher est. due to barriers/volatility (e.g., 4.5% statewide in CALC aggregate); used in U3R.2</t>
  </si>
  <si>
    <t xml:space="preserve">MPI / ACS / BLS alternative measures</t>
  </si>
  <si>
    <t xml:space="preserve">AUTH_IMMIGRANT_U3R_ADJ_FACTOR</t>
  </si>
  <si>
    <t xml:space="preserve">Authorized immigrant U3R adjustment factor</t>
  </si>
  <si>
    <t xml:space="preserve">Slightly lower than average; used in U3R.1</t>
  </si>
  <si>
    <t xml:space="preserve">ACS 2024 / immigrant labor studies</t>
  </si>
  <si>
    <t xml:space="preserve">U3R_IND_CONSTR</t>
  </si>
  <si>
    <t xml:space="preserve">Base U3R assumption – Construction</t>
  </si>
  <si>
    <t xml:space="preserve">Industry-specific from BLS fusion; higher than statewide avg; used in U3R.0</t>
  </si>
  <si>
    <t xml:space="preserve">BLS CES / LAUS patterns</t>
  </si>
  <si>
    <t xml:space="preserve">U3R.5</t>
  </si>
  <si>
    <t xml:space="preserve">U3R_IND_PUBLIC_ADMIN</t>
  </si>
  <si>
    <t xml:space="preserve">Base U3R assumption – Public Administration</t>
  </si>
  <si>
    <t xml:space="preserve">Low volatility sector; used in U3R.0</t>
  </si>
  <si>
    <t xml:space="preserve">BLS data</t>
  </si>
  <si>
    <t xml:space="preserve">U6R Parameters</t>
  </si>
  <si>
    <t xml:space="preserve">U6R_STATE_TARGET</t>
  </si>
  <si>
    <t xml:space="preserve">AL / Statewide U-6 Underemployment Rate target (decimal)</t>
  </si>
  <si>
    <t xml:space="preserve">Model aggregate from CALC ~6.75%; reasonable proxy given AL U-3 at 2.7% and national U-6/U-3 ratios ~2.0–2.5× (BLS alt measures early 2026)</t>
  </si>
  <si>
    <t xml:space="preserve">BLS alternative measures (national proxy) + model validation</t>
  </si>
  <si>
    <t xml:space="preserve">U6_U3_RATIO_IND_AG</t>
  </si>
  <si>
    <t xml:space="preserve">Industry U6/U3 ratio – Agriculture</t>
  </si>
  <si>
    <t xml:space="preserve">Higher involuntary part-time/marginal attachment in seasonal work; used in U6R.0</t>
  </si>
  <si>
    <t xml:space="preserve">BLS alt measures historical + industry patterns</t>
  </si>
  <si>
    <t xml:space="preserve">U6_U3_RATIO_IND_CONSTR</t>
  </si>
  <si>
    <t xml:space="preserve">Industry U6/U3 ratio – Construction</t>
  </si>
  <si>
    <t xml:space="preserve">Volatility drives higher underemployment; used in U6R.0</t>
  </si>
  <si>
    <t xml:space="preserve">BLS CES/LAUS + alt measures</t>
  </si>
  <si>
    <t xml:space="preserve">U6_U3_RATIO_IND_HOSP</t>
  </si>
  <si>
    <t xml:space="preserve">Industry U6/U3 ratio – Hospitality/Accommodation</t>
  </si>
  <si>
    <t xml:space="preserve">Seasonal/part-time prevalence; used in U6R.0</t>
  </si>
  <si>
    <t xml:space="preserve">BLS alt measures patterns</t>
  </si>
  <si>
    <t xml:space="preserve">UNAUTH_IMMIGRANT_U6R_ADJ_FACTOR</t>
  </si>
  <si>
    <t xml:space="preserve">Unauthorized immigrant U6R adjustment factor</t>
  </si>
  <si>
    <t xml:space="preserve">~2.5× total U-3 implied in CALC (e.g., 11.25% vs 6.75%); used in U6R.2</t>
  </si>
  <si>
    <t xml:space="preserve">MPI / ACS / BLS alt measures consensus</t>
  </si>
  <si>
    <t xml:space="preserve">U6R.5</t>
  </si>
  <si>
    <t xml:space="preserve">AUTH_IMMIGRANT_U6R_ADJ_FACTOR</t>
  </si>
  <si>
    <t xml:space="preserve">Authorized immigrant U6R adjustment factor</t>
  </si>
  <si>
    <t xml:space="preserve">Neutral/slight uplift; used in U6R.1</t>
  </si>
  <si>
    <t xml:space="preserve">ACS immigrant labor data</t>
  </si>
  <si>
    <t xml:space="preserve">U6R.6</t>
  </si>
  <si>
    <t xml:space="preserve">U6R_CALIBRATION_FACTOR_PUBLIC</t>
  </si>
  <si>
    <t xml:space="preserve">Calibration factor – Public Administration</t>
  </si>
  <si>
    <t xml:space="preserve">Lower underemployment in stable gov sector; used in U6R.0</t>
  </si>
  <si>
    <t xml:space="preserve">BLS patterns</t>
  </si>
  <si>
    <t xml:space="preserve">WAVG Parameters</t>
  </si>
  <si>
    <t xml:space="preserve">BLS_WAVG_STATE_TARGET</t>
  </si>
  <si>
    <t xml:space="preserve">AL / Statewide average hourly wage target (total private, $/hr)</t>
  </si>
  <si>
    <t xml:space="preserve">BLS CES Dec 2025 not seasonally adjusted: $31.96 (from state earnings chart); aligns with model aggregate ~$32 in CALC</t>
  </si>
  <si>
    <t xml:space="preserve">BLS CES release Jan 2026 / state chart data</t>
  </si>
  <si>
    <t xml:space="preserve">WAVG_CALIBRATION_FACTOR_CONSTR</t>
  </si>
  <si>
    <t xml:space="preserve">Industry-specific wage calibration – Construction</t>
  </si>
  <si>
    <t xml:space="preserve">Uplift to match BLS OEWS/CES higher implied wages; edited per VALID wage discrepancy notes</t>
  </si>
  <si>
    <t xml:space="preserve">BLS CES / OEWS Dec 2025 patterns</t>
  </si>
  <si>
    <t xml:space="preserve">UNAUTH_IMMIGRANT_WAVG_ADJ_FACTOR</t>
  </si>
  <si>
    <t xml:space="preserve">Unauthorized immigrant wage adjustment factor</t>
  </si>
  <si>
    <t xml:space="preserve">~15% discount est. (e.g., $27.8 in CALC aggregate); used in WAVG.2</t>
  </si>
  <si>
    <t xml:space="preserve">MPI / ACS / immigrant wage studies</t>
  </si>
  <si>
    <t xml:space="preserve">AUTH_IMMIGRANT_WAVG_ADJ_FACTOR</t>
  </si>
  <si>
    <t xml:space="preserve">Authorized immigrant wage adjustment factor</t>
  </si>
  <si>
    <t xml:space="preserve">Slight premium or neutral; used in WAVG.1</t>
  </si>
  <si>
    <t xml:space="preserve">ACS 2024 / labor market data</t>
  </si>
  <si>
    <t xml:space="preserve">BLS_WAGE_IND_HOSP</t>
  </si>
  <si>
    <t xml:space="preserve">Base wage assumption – Hospitality/Accommodation</t>
  </si>
  <si>
    <t xml:space="preserve">Low-wage sector from OEWS fusion; used in WAVG.0</t>
  </si>
  <si>
    <t xml:space="preserve">BLS OEWS / CES patterns</t>
  </si>
  <si>
    <t xml:space="preserve">WAVG.5</t>
  </si>
  <si>
    <t xml:space="preserve">BLS_WAGE_IND_PUBLIC</t>
  </si>
  <si>
    <t xml:space="preserve">Base wage assumption – Public Administration</t>
  </si>
  <si>
    <t xml:space="preserve">Stable gov sector; used in WAVG.0</t>
  </si>
  <si>
    <t xml:space="preserve">WAVG.6</t>
  </si>
  <si>
    <t xml:space="preserve">WAVG_CALIBRATION_FACTOR_AG</t>
  </si>
  <si>
    <t xml:space="preserve">Calibration factor – Agriculture</t>
  </si>
  <si>
    <t xml:space="preserve">Downward for lower reported wages in ag; used in WAVG.0</t>
  </si>
  <si>
    <t xml:space="preserve">BLS / USDA patterns</t>
  </si>
  <si>
    <t xml:space="preserve">AIAVG Parameters</t>
  </si>
  <si>
    <t xml:space="preserve">AIAVG_STATE_TARGET</t>
  </si>
  <si>
    <t xml:space="preserve">AL / Statewide average annual income target ($)</t>
  </si>
  <si>
    <t xml:space="preserve">Model aggregate from CALC ~$66,560; reasonable proxy blending BLS CES weekly earnings annualized (~$1,138 × 52 ≈ $59,176 private) with uplifts for full population (incl. self-emp, benefits, OT) per OEWS/ACS patterns</t>
  </si>
  <si>
    <t xml:space="preserve">BLS CES Dec 2025 + model validation / QCEW Q1 2025 annualized</t>
  </si>
  <si>
    <t xml:space="preserve">AIAVG_CALIBRATION_FACTOR_MANU</t>
  </si>
  <si>
    <t xml:space="preserve">Industry-specific AIAVG calibration – Manufacturing</t>
  </si>
  <si>
    <t xml:space="preserve">Uplift for higher hours/premium pay; edited to address sector discrepancies</t>
  </si>
  <si>
    <t xml:space="preserve">UNAUTH_IMMIGRANT_AIAVG_ADJ_FACTOR</t>
  </si>
  <si>
    <t xml:space="preserve">Unauthorized immigrant AIAVG adjustment factor</t>
  </si>
  <si>
    <t xml:space="preserve">~13% discount overall (wage + hours); used in AIAVG.2; aligns with CALC ~$57,800</t>
  </si>
  <si>
    <t xml:space="preserve">MPI / ACS / immigrant earnings studies</t>
  </si>
  <si>
    <t xml:space="preserve">AUTH_IMMIGRANT_AIAVG_ADJ_FACTOR</t>
  </si>
  <si>
    <t xml:space="preserve">Authorized immigrant AIAVG adjustment factor</t>
  </si>
  <si>
    <t xml:space="preserve">Slight premium or neutral; used in AIAVG.1</t>
  </si>
  <si>
    <t xml:space="preserve">AWHW_IND_PUBLIC</t>
  </si>
  <si>
    <t xml:space="preserve">Base average weekly hours – Public Administration</t>
  </si>
  <si>
    <t xml:space="preserve">Stable/full-time prevalence; used with shared S4.0 for annual calc</t>
  </si>
  <si>
    <t xml:space="preserve">BLS CES patterns</t>
  </si>
  <si>
    <t xml:space="preserve">AIAVG.5</t>
  </si>
  <si>
    <t xml:space="preserve">AIAVG_CALIBRATION_FACTOR_AG</t>
  </si>
  <si>
    <t xml:space="preserve">Downward for seasonal/lower annual earnings; used in AIAVG.0</t>
  </si>
  <si>
    <t xml:space="preserve">BLS / USDA / ACS patterns</t>
  </si>
  <si>
    <t xml:space="preserve">FPITREV Parameters</t>
  </si>
  <si>
    <t xml:space="preserve">FPITREV_STATE_TARGET</t>
  </si>
  <si>
    <t xml:space="preserve">AL / Statewide Federal Personal Income Tax Revenue target ($)</t>
  </si>
  <si>
    <t xml:space="preserve">Model aggregate from CALC ~$1.858B; reasonable proxy prorating IRS SOI data for AL (total federal PIT collections scaled to state income share)</t>
  </si>
  <si>
    <t xml:space="preserve">Model validation + IRS SOI 2024/2025 prorated est.</t>
  </si>
  <si>
    <t xml:space="preserve">Effective federal personal income tax rate – General/American (decimal)</t>
  </si>
  <si>
    <t xml:space="preserve">Derived from CALC aggregates and IRS effective rates for mid-income brackets; used in FPITREV.0</t>
  </si>
  <si>
    <t xml:space="preserve">IRS SOI / CBO effective rate tables</t>
  </si>
  <si>
    <t xml:space="preserve">Effective federal PIT rate – Authorized immigrants (decimal)</t>
  </si>
  <si>
    <t xml:space="preserve">Assumed similar to American; used in FPITREV.1</t>
  </si>
  <si>
    <t xml:space="preserve">Effective federal PIT rate – Unauthorized immigrants (decimal)</t>
  </si>
  <si>
    <t xml:space="preserve">Lower due to underreporting / partial ITIN compliance; used in FPITREV.2; aligns with CALC ~0.08 effective</t>
  </si>
  <si>
    <t xml:space="preserve">CBO / IRS / MPI estimates</t>
  </si>
  <si>
    <t xml:space="preserve">FPITREV_FILING_RATE_IND_PUBLIC</t>
  </si>
  <si>
    <t xml:space="preserve">Filing/compliance rate – Public Administration</t>
  </si>
  <si>
    <t xml:space="preserve">High compliance in gov sector; used in FPITREV.0</t>
  </si>
  <si>
    <t xml:space="preserve">IRS patterns</t>
  </si>
  <si>
    <t xml:space="preserve">FPITREV.5</t>
  </si>
  <si>
    <t xml:space="preserve">FPITREV_FILING_RATE_UNAUTH</t>
  </si>
  <si>
    <t xml:space="preserve">Filing/compliance rate – Unauthorized immigrants</t>
  </si>
  <si>
    <t xml:space="preserve">Partial ITIN usage; used in FPITREV.2; per CBO/MPI</t>
  </si>
  <si>
    <t xml:space="preserve">CBO / IRS estimates</t>
  </si>
  <si>
    <t xml:space="preserve">FPITREV.6</t>
  </si>
  <si>
    <t xml:space="preserve">FPITREV_CALIBRATION_FACTOR_HOSP</t>
  </si>
  <si>
    <t xml:space="preserve">Calibration factor – Hospitality/Accommodation</t>
  </si>
  <si>
    <t xml:space="preserve">Downward adjustment for lower reported income compliance; used in FPITREV.0</t>
  </si>
  <si>
    <t xml:space="preserve">Industry-specific patterns</t>
  </si>
  <si>
    <t xml:space="preserve">FPPTREV Parameters</t>
  </si>
  <si>
    <t xml:space="preserve">FPPTREV_STATE_TARGET</t>
  </si>
  <si>
    <t xml:space="preserve">AL / Statewide Federal Personal Payroll Tax Revenue target ($)</t>
  </si>
  <si>
    <t xml:space="preserve">Model aggregate from CALC ~$1.858B; proxy for employee FICA contributions (withheld SS + Medicare) prorated to AL payroll base; consistent with FPITREV scaling and BLS wage/employment data</t>
  </si>
  <si>
    <t xml:space="preserve">Model validation + BLS CES Dec 2025 ($31.96/hr avg private) prorated est.</t>
  </si>
  <si>
    <t xml:space="preserve">Effective federal payroll tax rate – General/American (decimal, employee share)</t>
  </si>
  <si>
    <t xml:space="preserve">Standard FICA: 6.2% SS + 1.45% Medicare = 7.65%; used in FPPTREV.0</t>
  </si>
  <si>
    <t xml:space="preserve">IRS / SSA 2025-2026 rates</t>
  </si>
  <si>
    <t xml:space="preserve">FED_PAYROLL_RATE_AUTH</t>
  </si>
  <si>
    <t xml:space="preserve">Effective federal payroll rate – Authorized immigrants (decimal)</t>
  </si>
  <si>
    <t xml:space="preserve">Full FICA compliance assumed; used in FPPTREV.1</t>
  </si>
  <si>
    <t xml:space="preserve">Effective federal payroll rate – Unauthorized immigrants (decimal)</t>
  </si>
  <si>
    <t xml:space="preserve">Lower due to partial withholding/compliance; used in FPPTREV.2; aligns with CALC ~0.05 effective</t>
  </si>
  <si>
    <t xml:space="preserve">FPPTREV_CALIBRATION_FACTOR_PUBLIC</t>
  </si>
  <si>
    <t xml:space="preserve">Full compliance/stable sector; used in FPPTREV.0</t>
  </si>
  <si>
    <t xml:space="preserve">BLS / IRS patterns</t>
  </si>
  <si>
    <t xml:space="preserve">FPPTREV.5</t>
  </si>
  <si>
    <t xml:space="preserve">FPPTREV_CALIBRATION_FACTOR_AG</t>
  </si>
  <si>
    <t xml:space="preserve">Downward for seasonal/lower compliance est.; used in FPPTREV.0</t>
  </si>
  <si>
    <t xml:space="preserve">Industry patterns</t>
  </si>
  <si>
    <t xml:space="preserve">EITCREF Parameters</t>
  </si>
  <si>
    <t xml:space="preserve">EITCREF_STATE_TARGET</t>
  </si>
  <si>
    <t xml:space="preserve">AL / Statewide Earned Income Tax Credit Refund target ($)</t>
  </si>
  <si>
    <t xml:space="preserve">Model aggregate from CALC ~$142M; reasonable proxy prorating IRS national EITC refunds (~$70B in recent years) to AL population (~1.5%) and low-income share</t>
  </si>
  <si>
    <t xml:space="preserve">EITC_AVG_REFUND_PER_ELIG</t>
  </si>
  <si>
    <t xml:space="preserve">Average EITC refund per eligible filer ($)</t>
  </si>
  <si>
    <t xml:space="preserve">National IRS average ~$2,500–$3,000 per recent SOI; used statewide; adjusted slightly upward for AL demographics</t>
  </si>
  <si>
    <t xml:space="preserve">IRS SOI EITC statistics</t>
  </si>
  <si>
    <t xml:space="preserve">EITC_ELIG_RATE_IND_HOSP</t>
  </si>
  <si>
    <t xml:space="preserve">Industry-specific EITC eligibility rate – Hospitality/Accommodation</t>
  </si>
  <si>
    <t xml:space="preserve">Higher low-wage worker concentration; used in EITCREF.0</t>
  </si>
  <si>
    <t xml:space="preserve">ACS income distribution + IRS eligibility thresholds</t>
  </si>
  <si>
    <t xml:space="preserve">EITC_ELIG_RATE_IND_AG</t>
  </si>
  <si>
    <t xml:space="preserve">Industry-specific EITC eligibility rate – Agriculture</t>
  </si>
  <si>
    <t xml:space="preserve">High proportion of low/moderate earners; used in EITCREF.0</t>
  </si>
  <si>
    <t xml:space="preserve">ACS / USDA patterns</t>
  </si>
  <si>
    <t xml:space="preserve">EITC_ELIG_RATE_AUTH</t>
  </si>
  <si>
    <t xml:space="preserve">Authorized immigrant EITC eligibility rate (decimal)</t>
  </si>
  <si>
    <t xml:space="preserve">Partial eligibility via ITIN/SSN; used in EITCREF.1</t>
  </si>
  <si>
    <t xml:space="preserve">Urban Institute / IRS rules</t>
  </si>
  <si>
    <t xml:space="preserve">EITCREF.5</t>
  </si>
  <si>
    <t xml:space="preserve">EITCREF_CALIBRATION_FACTOR_MANU</t>
  </si>
  <si>
    <t xml:space="preserve">Calibration factor – Manufacturing</t>
  </si>
  <si>
    <t xml:space="preserve">Downward adjustment for slightly higher avg incomes reducing eligibility; used in EITCREF.0</t>
  </si>
  <si>
    <t xml:space="preserve">Industry income patterns</t>
  </si>
  <si>
    <t xml:space="preserve">EITCREF.6</t>
  </si>
  <si>
    <t xml:space="preserve">EITC_ELIG_RATE_UNAUTH</t>
  </si>
  <si>
    <t xml:space="preserve">Unauthorized immigrant EITC eligibility rate (decimal)</t>
  </si>
  <si>
    <t xml:space="preserve">Strict IRS requirement for valid SSN on filer and children; conservative $0 assumption per current policy; used in EITCREF.2</t>
  </si>
  <si>
    <t xml:space="preserve">IRS EITC rules 2025-2026</t>
  </si>
  <si>
    <t xml:space="preserve">ACTCREF Parameters</t>
  </si>
  <si>
    <t xml:space="preserve">ACTCREF_STATE_TARGET</t>
  </si>
  <si>
    <t xml:space="preserve">AL / Statewide Additional Child Tax Credit Refund target ($)</t>
  </si>
  <si>
    <t xml:space="preserve">Model aggregate from CALC ~$856M; proxy prorating national ACTC refunds to AL (pop ~1.5%, low-income family share); aligns with OBBB Act 2025 rules ($1,700 max refundable/child)</t>
  </si>
  <si>
    <t xml:space="preserve">Model validation + IRS/OBBB trends (2025 tax year)</t>
  </si>
  <si>
    <t xml:space="preserve">ACTC_AVG_REFUND_PER_CHILD</t>
  </si>
  <si>
    <t xml:space="preserve">Average ACTC refund per qualifying child ($)</t>
  </si>
  <si>
    <t xml:space="preserve">2025 max refundable portion $1,700 per child (OBBB Act); used statewide; assumes blend of full/partial claims</t>
  </si>
  <si>
    <t xml:space="preserve">IRS rules / OBBB Act 2025</t>
  </si>
  <si>
    <t xml:space="preserve">ACTC_ELIG_CHILDREN_IND_HOSP</t>
  </si>
  <si>
    <t xml:space="preserve">Estimated eligible children – Hospitality/Accommodation</t>
  </si>
  <si>
    <t xml:space="preserve">Higher low/moderate income families; used in ACTCREF.0</t>
  </si>
  <si>
    <t xml:space="preserve">ACS family/income distribution + IRS eligibility</t>
  </si>
  <si>
    <t xml:space="preserve">ACTC_ELIG_CHILDREN_IND_PUBLIC</t>
  </si>
  <si>
    <t xml:space="preserve">Estimated eligible children – Public Administration</t>
  </si>
  <si>
    <t xml:space="preserve">Stable incomes may reduce eligibility; used in ACTCREF.0</t>
  </si>
  <si>
    <t xml:space="preserve">ACS patterns</t>
  </si>
  <si>
    <t xml:space="preserve">ACTCREF_CALIBRATION_FACTOR_AG</t>
  </si>
  <si>
    <t xml:space="preserve">Uplift for higher proportion of qualifying children in low-wage sector; used in ACTCREF.0</t>
  </si>
  <si>
    <t xml:space="preserve">Industry demographics</t>
  </si>
  <si>
    <t xml:space="preserve">ACTCREF.5</t>
  </si>
  <si>
    <t xml:space="preserve">ACTC_ELIG_RATE_AUTH</t>
  </si>
  <si>
    <t xml:space="preserve">Authorized immigrant ACTC eligibility rate per child (decimal)</t>
  </si>
  <si>
    <t xml:space="preserve">Partial via ITIN-child-SSN; used in group derivations</t>
  </si>
  <si>
    <t xml:space="preserve">ACTCREF.6</t>
  </si>
  <si>
    <t xml:space="preserve">ACTC_ELIG_RATE_UNAUTH</t>
  </si>
  <si>
    <t xml:space="preserve">Unauthorized immigrant ACTC eligibility rate per child (decimal)</t>
  </si>
  <si>
    <t xml:space="preserve">Strict SSN requirements for filer/children; conservative $0 assumption; used in ACTCREF.2</t>
  </si>
  <si>
    <t xml:space="preserve">IRS CTC/ACTC rules 2025-2026</t>
  </si>
  <si>
    <t xml:space="preserve">AOTCREF Parameters</t>
  </si>
  <si>
    <t xml:space="preserve">AOTCREF_STATE_TARGET</t>
  </si>
  <si>
    <t xml:space="preserve">AL / Statewide American Opportunity Tax Credit Refund target ($)</t>
  </si>
  <si>
    <t xml:space="preserve">Recalibrated to ~$30M per VALID V014 suggestion (from overstated ~$252M in CALC); reasonable proxy prorating IRS national AOTC claims to AL postsecondary enrollment and low/moderate income share</t>
  </si>
  <si>
    <t xml:space="preserve">Model validation + IRS SOI / Urban Institute adjusted est.</t>
  </si>
  <si>
    <t xml:space="preserve">AOTC_AVG_REFUND_PER_ELIG</t>
  </si>
  <si>
    <t xml:space="preserve">Average AOTC refund/credit per eligible filer ($)</t>
  </si>
  <si>
    <t xml:space="preserve">Full credit $2,500 (40% refundable = $1,000 max refund); used statewide as blended avg assuming partial/full claims</t>
  </si>
  <si>
    <t xml:space="preserve">IRS AOTC rules 2025 tax year</t>
  </si>
  <si>
    <t xml:space="preserve">AOTC_ELIG_STUDENTS_IND_ED_HEALTH</t>
  </si>
  <si>
    <t xml:space="preserve">Estimated eligible postsecondary students/claimants – Education/Health</t>
  </si>
  <si>
    <t xml:space="preserve">Higher concentration of young/adult learners; used in AOTCREF.0</t>
  </si>
  <si>
    <t xml:space="preserve">ACS / NCES enrollment + income eligibility</t>
  </si>
  <si>
    <t xml:space="preserve">AOTC_ELIG_STUDENTS_IND_PUBLIC</t>
  </si>
  <si>
    <t xml:space="preserve">Estimated eligible postsecondary students/claimants – Public Administration</t>
  </si>
  <si>
    <t xml:space="preserve">Lower student proportion in gov workforce; used in AOTCREF.0</t>
  </si>
  <si>
    <t xml:space="preserve">AOTCREF_CALIBRATION_FACTOR_HOSP</t>
  </si>
  <si>
    <t xml:space="preserve">Downward for lower postsecondary participation among workers; used in AOTCREF.0</t>
  </si>
  <si>
    <t xml:space="preserve">AOTCREF.5</t>
  </si>
  <si>
    <t xml:space="preserve">AOTC_ELIG_RATE_AUTH</t>
  </si>
  <si>
    <t xml:space="preserve">Authorized immigrant AOTC eligibility rate per potential student (decimal)</t>
  </si>
  <si>
    <t xml:space="preserve">Partial via ITIN + documentation; used in group derivations</t>
  </si>
  <si>
    <t xml:space="preserve">AOTCREF.6</t>
  </si>
  <si>
    <t xml:space="preserve">AOTC_ELIG_RATE_UNAUTH</t>
  </si>
  <si>
    <t xml:space="preserve">Unauthorized immigrant AOTC eligibility rate per potential student (decimal)</t>
  </si>
  <si>
    <t xml:space="preserve">High practical barriers (documentation, filing risk); conservative $0 assumption; used in AOTCREF.2</t>
  </si>
  <si>
    <t xml:space="preserve">IRS AOTC rules + compliance est.</t>
  </si>
  <si>
    <t xml:space="preserve">EP Parameters</t>
  </si>
  <si>
    <t xml:space="preserve">EP_STATE_TARGET</t>
  </si>
  <si>
    <t xml:space="preserve">AL / Statewide total employed population target (persons)</t>
  </si>
  <si>
    <t xml:space="preserve">AL DOL Dec 2025 preliminary: 2,317,206 (new record high, household survey-based); proxy blending CES nonfarm 2,221.3k + uplift for self-emp/ag; used for statewide sum</t>
  </si>
  <si>
    <t xml:space="preserve">AL Dept of Labor Jan 23, 2026 release / BLS LAUS Jan 27, 2026</t>
  </si>
  <si>
    <t xml:space="preserve">EP_CALIBRATION_FACTOR_CONSTR</t>
  </si>
  <si>
    <t xml:space="preserve">Industry-specific EP calibration – Construction</t>
  </si>
  <si>
    <t xml:space="preserve">Uplift for growth/volatility; edited to align with CES gains (+3,400 over year)</t>
  </si>
  <si>
    <t xml:space="preserve">BLS CES Dec 2025 patterns</t>
  </si>
  <si>
    <t xml:space="preserve">UNAUTH_IMMIGRANT_EP_SHARE_IND_AG</t>
  </si>
  <si>
    <t xml:space="preserve">Unauthorized immigrant employment share – Agriculture</t>
  </si>
  <si>
    <t xml:space="preserve">Higher concentration in ag; used in EP.2</t>
  </si>
  <si>
    <t xml:space="preserve">AUTH_IMMIGRANT_EP_SHARE_IND_MANU</t>
  </si>
  <si>
    <t xml:space="preserve">Authorized immigrant employment share – Manufacturing</t>
  </si>
  <si>
    <t xml:space="preserve">Moderate in manufacturing; used in EP.1</t>
  </si>
  <si>
    <t xml:space="preserve">EP_CALIBRATION_FACTOR_HOSP</t>
  </si>
  <si>
    <t xml:space="preserve">Slight downward for seasonal effects; used in EP.0</t>
  </si>
  <si>
    <t xml:space="preserve">BLS CES / AL DOL patterns</t>
  </si>
  <si>
    <t xml:space="preserve">EP.5</t>
  </si>
  <si>
    <t xml:space="preserve">Unauthorized immigrant ETPR adjustment (for EP proration)</t>
  </si>
  <si>
    <t xml:space="preserve">Lower employment-to-pop ratio est.; used in EP.2</t>
  </si>
  <si>
    <t xml:space="preserve">MPI / ACS</t>
  </si>
  <si>
    <t xml:space="preserve">AWHW Parameters</t>
  </si>
  <si>
    <t xml:space="preserve">AWHW_STATE_TARGET</t>
  </si>
  <si>
    <t xml:space="preserve">AL / Statewide average weekly hours worked target (hours/week, total private nonfarm)</t>
  </si>
  <si>
    <t xml:space="preserve">Weighted proxy from BLS CES national ~34.3 (Jan 2026) + AL industry mix uplift (manufacturing/goods higher ~40 hrs); reasonable for AL private sector per QCEW/CES trends</t>
  </si>
  <si>
    <t xml:space="preserve">BLS CES Jan 2026 national + AL patterns (Dec 2025/Jan 2026 releases)</t>
  </si>
  <si>
    <t xml:space="preserve">From BLS CES industry patterns (AL manufacturing ~40–41 hrs recent); used in AWHW.0</t>
  </si>
  <si>
    <t xml:space="preserve">BLS CES / FRED SMU01000003000000002A series</t>
  </si>
  <si>
    <t xml:space="preserve">Goods-producing ~39–40 hrs national proxy; used in AWHW.0</t>
  </si>
  <si>
    <t xml:space="preserve">Seasonal hours adjustment factor – Leisure/Hospitality</t>
  </si>
  <si>
    <t xml:space="preserve">Downward for part-time/seasonal effects; used in AWHW.0</t>
  </si>
  <si>
    <t xml:space="preserve">BLS CES seasonal factors</t>
  </si>
  <si>
    <t xml:space="preserve">UNAUTH_IMMIGRANT_AWHW_ADJ_FACTOR</t>
  </si>
  <si>
    <t xml:space="preserve">Unauthorized immigrant AWHW adjustment factor</t>
  </si>
  <si>
    <t xml:space="preserve">Higher hours est. in intensive sectors; used in AWHW.2</t>
  </si>
  <si>
    <t xml:space="preserve">AWHW.5</t>
  </si>
  <si>
    <t xml:space="preserve">AUTH_IMMIGRANT_AWHW_ADJ_FACTOR</t>
  </si>
  <si>
    <t xml:space="preserve">Authorized immigrant AWHW adjustment factor</t>
  </si>
  <si>
    <t xml:space="preserve">Slight uplift for stability; used in AWHW.1</t>
  </si>
  <si>
    <t xml:space="preserve">AWHW.6</t>
  </si>
  <si>
    <t xml:space="preserve">AWHW_CALIBRATION_FACTOR_PUBLIC</t>
  </si>
  <si>
    <t xml:space="preserve">Stable/full-time hours; used in AWHW.0</t>
  </si>
  <si>
    <t xml:space="preserve">FTER Parameters</t>
  </si>
  <si>
    <t xml:space="preserve">FTER_STATE_TARGET</t>
  </si>
  <si>
    <t xml:space="preserve">AL / Statewide Full-Time Employment Rate target (decimal, usually 35+ hrs/wk)</t>
  </si>
  <si>
    <t xml:space="preserve">Proxy from national CPS ~82.5% full-time workers (Dec 2025/Jan 2026, table A-9/A-6 trends); AL similar or slightly higher due to manufacturing/construction mix</t>
  </si>
  <si>
    <t xml:space="preserve">BLS CPS national Dec 2025/Jan 2026 + AL industry adjustment</t>
  </si>
  <si>
    <t xml:space="preserve">FTER_LOGIT_BASE_IND_MANU</t>
  </si>
  <si>
    <t xml:space="preserve">Base logit for full-time propensity – Manufacturing</t>
  </si>
  <si>
    <t xml:space="preserve">High full-time typical (~90–95%); used in FTER.0 logistic</t>
  </si>
  <si>
    <t xml:space="preserve">BLS CPS patterns / industry data</t>
  </si>
  <si>
    <t xml:space="preserve">FTER_LOGIT_BASE_IND_HOSP</t>
  </si>
  <si>
    <t xml:space="preserve">Base logit for full-time propensity – Hospitality</t>
  </si>
  <si>
    <t xml:space="preserve">Lower due to part-time prevalence (~60–70% full-time); used in FTER.0</t>
  </si>
  <si>
    <t xml:space="preserve">BLS CPS / CES hours patterns</t>
  </si>
  <si>
    <t xml:space="preserve">FTER_AWHW_SENSITIVITY</t>
  </si>
  <si>
    <t xml:space="preserve">Sensitivity of full-time rate to average weekly hours (per hour increase)</t>
  </si>
  <si>
    <t xml:space="preserve">Strong positive effect; used in logistic slope; calibrated to match national ~82.5% at ~35.8 hrs avg</t>
  </si>
  <si>
    <t xml:space="preserve">BLS CPS correlation AWHW vs full-time</t>
  </si>
  <si>
    <t xml:space="preserve">UNAUTH_IMMIGRANT_FTER_ADJ_FACTOR</t>
  </si>
  <si>
    <t xml:space="preserve">Unauthorized immigrant FTER adjustment factor</t>
  </si>
  <si>
    <t xml:space="preserve">Higher full-time est. in intensive sectors; used in FTER.2</t>
  </si>
  <si>
    <t xml:space="preserve">FTER.5</t>
  </si>
  <si>
    <t xml:space="preserve">AUTH_IMMIGRANT_FTER_ADJ_FACTOR</t>
  </si>
  <si>
    <t xml:space="preserve">Authorized immigrant FTER adjustment factor</t>
  </si>
  <si>
    <t xml:space="preserve">Slight uplift for stability; used in FTER.1</t>
  </si>
  <si>
    <t xml:space="preserve">FTER.6</t>
  </si>
  <si>
    <t xml:space="preserve">FTER_CALIBRATION_FACTOR_PUBLIC</t>
  </si>
  <si>
    <t xml:space="preserve">Uplift for high full-time in gov sector; used in FTER.0</t>
  </si>
  <si>
    <t xml:space="preserve">PTER Parameters</t>
  </si>
  <si>
    <t xml:space="preserve">PTER_STATE_TARGET</t>
  </si>
  <si>
    <t xml:space="preserve">AL / Statewide Part-Time Employment Rate target (decimal, usually &lt;35 hrs/wk)</t>
  </si>
  <si>
    <t xml:space="preserve">Proxy from national CPS ~17.5% part-time workers (100% - 82.5% full-time, Dec 2025/Jan 2026 table A-8/A-9 trends); AL similar or slightly lower due to manufacturing/construction mix</t>
  </si>
  <si>
    <t xml:space="preserve">PTER_CALIBRATION_FACTOR_HOSP</t>
  </si>
  <si>
    <t xml:space="preserve">Industry-specific PTER calibration – Hospitality/Accommodation</t>
  </si>
  <si>
    <t xml:space="preserve">Uplift for higher part-time prevalence (seasonal/part-time jobs); used in PTER.0 (inherits from FTER but override possible)</t>
  </si>
  <si>
    <t xml:space="preserve">BLS CPS / CES patterns</t>
  </si>
  <si>
    <t xml:space="preserve">UNAUTH_IMMIGRANT_PTER_ADJ_FACTOR</t>
  </si>
  <si>
    <t xml:space="preserve">Unauthorized immigrant PTER adjustment factor</t>
  </si>
  <si>
    <t xml:space="preserve">Lower part-time est. (higher full-time in intensive sectors); used if independent adj needed (complements FTER.2)</t>
  </si>
  <si>
    <t xml:space="preserve">AUTH_IMMIGRANT_PTER_ADJ_FACTOR</t>
  </si>
  <si>
    <t xml:space="preserve">Authorized immigrant PTER adjustment factor</t>
  </si>
  <si>
    <t xml:space="preserve">Slightly lower part-time than average; used if independent adj needed (complements FTER.1)</t>
  </si>
  <si>
    <t xml:space="preserve">PTER_CALIBRATION_FACTOR_MANU</t>
  </si>
  <si>
    <t xml:space="preserve">Downward for high full-time/low part-time in goods-producing sector; used in PTER.0</t>
  </si>
  <si>
    <t xml:space="preserve">JTA Parameters</t>
  </si>
  <si>
    <t xml:space="preserve">JTA_STATE_TARGET</t>
  </si>
  <si>
    <t xml:space="preserve">AL / Statewide average/median job tenure target (years)</t>
  </si>
  <si>
    <t xml:space="preserve">Proxy from national BLS median 3.9 years (Jan 2024 release, lowest since 2002) + slight AL uplift for lower unemployment (2.7%) and stable sectors (gov, manufacturing); original P050 adj decreased 15% to align with ~4.1 national median proxy</t>
  </si>
  <si>
    <t xml:space="preserve">BLS Employee Tenure Jan 2024 + AL DOL U-3 context (Feb 2026)</t>
  </si>
  <si>
    <t xml:space="preserve">BASE_JTA_IND_PUBLIC</t>
  </si>
  <si>
    <t xml:space="preserve">Base job tenure – Public Administration</t>
  </si>
  <si>
    <t xml:space="preserve">High stability/long tenure in gov sector (national proxy ~6–10 years); used in JTA.0</t>
  </si>
  <si>
    <t xml:space="preserve">BLS tenure by occupation/industry patterns</t>
  </si>
  <si>
    <t xml:space="preserve">BASE_JTA_IND_HOSP</t>
  </si>
  <si>
    <t xml:space="preserve">Base job tenure – Hospitality/Accommodation</t>
  </si>
  <si>
    <t xml:space="preserve">High turnover/low tenure typical (~2–3 years); used in JTA.0</t>
  </si>
  <si>
    <t xml:space="preserve">BLS / industry patterns</t>
  </si>
  <si>
    <t xml:space="preserve">UNAUTH_IMMIGRANT_JTA_ADJ_FACTOR</t>
  </si>
  <si>
    <t xml:space="preserve">Unauthorized immigrant JTA adjustment factor</t>
  </si>
  <si>
    <t xml:space="preserve">Lower tenure est. due to mobility/barriers; used in JTA.2</t>
  </si>
  <si>
    <t xml:space="preserve">AUTH_IMMIGRANT_JTA_ADJ_FACTOR</t>
  </si>
  <si>
    <t xml:space="preserve">Authorized immigrant JTA adjustment factor</t>
  </si>
  <si>
    <t xml:space="preserve">Slightly higher than average; used in JTA.1</t>
  </si>
  <si>
    <t xml:space="preserve">JTA.5</t>
  </si>
  <si>
    <t xml:space="preserve">JTA_CALIBRATION_FACTOR_MANU</t>
  </si>
  <si>
    <t xml:space="preserve">Uplift for higher tenure in stable manufacturing; used in JTA.0</t>
  </si>
  <si>
    <t xml:space="preserve">JTA.6</t>
  </si>
  <si>
    <t xml:space="preserve">Turnover rate adjustment factor (from original P049)</t>
  </si>
  <si>
    <t xml:space="preserve">Decreased by 15% to match BLS JOLTS separation ~3.4% monthly avg; influences JTA downward; used in JTA.0</t>
  </si>
  <si>
    <t xml:space="preserve">BLS JOLTS Nov 2025 AL proxy</t>
  </si>
  <si>
    <t xml:space="preserve">TR Parameters</t>
  </si>
  <si>
    <t xml:space="preserve">TR_STATE_TARGET</t>
  </si>
  <si>
    <t xml:space="preserve">AL / Statewide monthly turnover rate target (separations rate, decimal)</t>
  </si>
  <si>
    <t xml:space="preserve">Proxy from AL JOLTS Nov 2025 ~77k separations / ~2.3M employed ≈ 3.35%; national Dec 2025 3.3%; original P049 adj to ~3.4% monthly avg; used for weighted statewide</t>
  </si>
  <si>
    <t xml:space="preserve">BLS JOLTS AL Nov 2025 + national Dec 2025 (Feb 2026 release)</t>
  </si>
  <si>
    <t xml:space="preserve">BASE_TR_IND_HOSP</t>
  </si>
  <si>
    <t xml:space="preserve">Base turnover rate – Hospitality/Accommodation</t>
  </si>
  <si>
    <t xml:space="preserve">High quits/volatility typical (~5–6% monthly); used in TR.0</t>
  </si>
  <si>
    <t xml:space="preserve">BLS JOLTS industry patterns</t>
  </si>
  <si>
    <t xml:space="preserve">BASE_TR_IND_PUBLIC</t>
  </si>
  <si>
    <t xml:space="preserve">Base turnover rate – Public Administration</t>
  </si>
  <si>
    <t xml:space="preserve">Low turnover in gov sector (~1–2% monthly); used in TR.0</t>
  </si>
  <si>
    <t xml:space="preserve">BLS JOLTS patterns</t>
  </si>
  <si>
    <t xml:space="preserve">UNAUTH_IMMIGRANT_TR_ADJ_FACTOR</t>
  </si>
  <si>
    <t xml:space="preserve">Unauthorized immigrant TR adjustment factor</t>
  </si>
  <si>
    <t xml:space="preserve">Higher turnover est. due to instability; used in TR.2</t>
  </si>
  <si>
    <t xml:space="preserve">AUTH_IMMIGRANT_TR_ADJ_FACTOR</t>
  </si>
  <si>
    <t xml:space="preserve">Authorized immigrant TR adjustment factor</t>
  </si>
  <si>
    <t xml:space="preserve">Lower than average; used in TR.1</t>
  </si>
  <si>
    <t xml:space="preserve">TR.5</t>
  </si>
  <si>
    <t xml:space="preserve">TR_CALIBRATION_FACTOR_MANU</t>
  </si>
  <si>
    <t xml:space="preserve">Downward for moderate stability; used in TR.0</t>
  </si>
  <si>
    <t xml:space="preserve">TR.6</t>
  </si>
  <si>
    <t xml:space="preserve">Turnover adjustment factor (from original P049)</t>
  </si>
  <si>
    <t xml:space="preserve">Decreased by 25% to match BLS JOLTS ~3.4% monthly avg (from prior higher CALC est.); used in TR.0</t>
  </si>
  <si>
    <t xml:space="preserve">BLS JOLTS AL/national proxy</t>
  </si>
  <si>
    <t xml:space="preserve">LP Parameters</t>
  </si>
  <si>
    <t xml:space="preserve">LP_STATE_TARGET</t>
  </si>
  <si>
    <t xml:space="preserve">AL / Statewide labor productivity target (real chained 2017 $ per hour worked)</t>
  </si>
  <si>
    <t xml:space="preserve">Proxy derived from BEA Q3 2025 real GDP ~$262B annualized / est. total hours ~3.6B (from EP ~2.317M × AWHW ~35.8 hrs/wk × 52); aligns with national nonfarm trends and AL 2024 BLS +1.4% change</t>
  </si>
  <si>
    <t xml:space="preserve">BEA real GDP Q3 2025 + BLS state productivity 2024 + model fusion</t>
  </si>
  <si>
    <t xml:space="preserve">LP_CALIBRATION_FACTOR_MANU</t>
  </si>
  <si>
    <t xml:space="preserve">Industry-specific LP calibration – Manufacturing</t>
  </si>
  <si>
    <t xml:space="preserve">Uplift for higher output per hour in manufacturing (AL strong sector); used in LP.0</t>
  </si>
  <si>
    <t xml:space="preserve">BLS / BEA industry patterns</t>
  </si>
  <si>
    <t xml:space="preserve">UNAUTH_IMMIGRANT_LP_ADJ_FACTOR</t>
  </si>
  <si>
    <t xml:space="preserve">Unauthorized immigrant LP adjustment factor</t>
  </si>
  <si>
    <t xml:space="preserve">Lower productivity est. due to sector concentration and barriers; used in LP.2</t>
  </si>
  <si>
    <t xml:space="preserve">AUTH_IMMIGRANT_LP_ADJ_FACTOR</t>
  </si>
  <si>
    <t xml:space="preserve">Authorized immigrant LP adjustment factor</t>
  </si>
  <si>
    <t xml:space="preserve">Slight premium for skill/stability; used in LP.1</t>
  </si>
  <si>
    <t xml:space="preserve">REAL_OUTPUT_IND_HOSP</t>
  </si>
  <si>
    <t xml:space="preserve">Proxy real output – Hospitality/Accommodation</t>
  </si>
  <si>
    <t xml:space="preserve">Estimated from BEA GDP share; used in group derivations</t>
  </si>
  <si>
    <t xml:space="preserve">BEA / industry allocation</t>
  </si>
  <si>
    <t xml:space="preserve">LP.5</t>
  </si>
  <si>
    <t xml:space="preserve">LP_CALIBRATION_FACTOR_PUBLIC</t>
  </si>
  <si>
    <t xml:space="preserve">Uplift for stable/high-output gov sector; used in LP.0</t>
  </si>
  <si>
    <t xml:space="preserve">BEA patterns</t>
  </si>
  <si>
    <t xml:space="preserve">ELR Parameters</t>
  </si>
  <si>
    <t xml:space="preserve">ELR_STATE_TARGET</t>
  </si>
  <si>
    <t xml:space="preserve">AL / Statewide typical education level target (categorical scale 1–5)</t>
  </si>
  <si>
    <t xml:space="preserve">Weighted proxy: ~ HS diploma/associate dominant (scale ~3.0–3.3); AL lower postsecondary than national (ACS/CPS 2024–2025 est. ~35–38% bachelor's+ vs 44.5% national)</t>
  </si>
  <si>
    <t xml:space="preserve">ACS CPS attainment + BLS OEWS/O*NET patterns</t>
  </si>
  <si>
    <t xml:space="preserve">TYPICAL_EDU_IND_MANU</t>
  </si>
  <si>
    <t xml:space="preserve">Base typical education – Manufacturing</t>
  </si>
  <si>
    <t xml:space="preserve">Mostly HS diploma + some college/apprenticeship (scale ~2–3); used in ELR.0</t>
  </si>
  <si>
    <t xml:space="preserve">BLS OEWS / O*NET entry-level + AL industry mix</t>
  </si>
  <si>
    <t xml:space="preserve">TYPICAL_EDU_IND_ED_HEALTH</t>
  </si>
  <si>
    <t xml:space="preserve">Base typical education – Education/Health</t>
  </si>
  <si>
    <t xml:space="preserve">Bachelor's+ common (teachers, nurses); used in ELR.0</t>
  </si>
  <si>
    <t xml:space="preserve">BLS CPS / OEWS patterns</t>
  </si>
  <si>
    <t xml:space="preserve">UNAUTH_IMMIGRANT_ELR_ADJ_FACTOR</t>
  </si>
  <si>
    <t xml:space="preserve">Unauthorized immigrant ELR adjustment factor</t>
  </si>
  <si>
    <t xml:space="preserve">Lower credential share est.; used in ELR.2</t>
  </si>
  <si>
    <t xml:space="preserve">AUTH_IMMIGRANT_ELR_ADJ_FACTOR</t>
  </si>
  <si>
    <t xml:space="preserve">Authorized immigrant ELR adjustment factor</t>
  </si>
  <si>
    <t xml:space="preserve">Higher credential share est.; used in ELR.1</t>
  </si>
  <si>
    <t xml:space="preserve">ELR.5</t>
  </si>
  <si>
    <t xml:space="preserve">ELR_CALIBRATION_FACTOR_PUBLIC</t>
  </si>
  <si>
    <t xml:space="preserve">Bachelor's+ dominant in gov roles; used in ELR.0</t>
  </si>
  <si>
    <t xml:space="preserve">BLS / state patterns</t>
  </si>
  <si>
    <t xml:space="preserve">ELR.6</t>
  </si>
  <si>
    <t xml:space="preserve">ELR_CALIBRATION_FACTOR_HOSP</t>
  </si>
  <si>
    <t xml:space="preserve">HS diploma dominant + some college; used in ELR.0</t>
  </si>
  <si>
    <t xml:space="preserve">SLTR Parameters</t>
  </si>
  <si>
    <t xml:space="preserve">SLTR_STATE_TARGET</t>
  </si>
  <si>
    <t xml:space="preserve">AL / Statewide labor-derived state/local tax revenue target ($)</t>
  </si>
  <si>
    <t xml:space="preserve">Proxy from PARCA 2025 report (state collections ~$17.5B FY2025, with income ~$7.4B, sales/use ~$3.8B+); original P048 adj to match ~$7.5B income tax revenue + sales/property from wages; reasonable labor share est.</t>
  </si>
  <si>
    <t xml:space="preserve">PARCA Alabama State Tax Collections 2025 + AL Dept Revenue FY2025</t>
  </si>
  <si>
    <t xml:space="preserve">Effective state/local tax rate on labor income (decimal)</t>
  </si>
  <si>
    <t xml:space="preserve">Blended: sales ~5.46% avg local + state 4%, income ~3–5% effective, property ~0.4–0.5%; used in SLTR.0</t>
  </si>
  <si>
    <t xml:space="preserve">ITEP 2025 + Tax Foundation combined rates + PARCA</t>
  </si>
  <si>
    <t xml:space="preserve">Effective state/local rate – Unauthorized (decimal)</t>
  </si>
  <si>
    <t xml:space="preserve">Lower income tax compliance, full sales/property; used in SLTR.2; original P058 est.</t>
  </si>
  <si>
    <t xml:space="preserve">ITEP estimate + MPI compliance patterns</t>
  </si>
  <si>
    <t xml:space="preserve">STATE_LOCAL_TAX_RATE_AUTH</t>
  </si>
  <si>
    <t xml:space="preserve">Effective state/local rate – Authorized (decimal)</t>
  </si>
  <si>
    <t xml:space="preserve">Similar to American; used in SLTR.1</t>
  </si>
  <si>
    <t xml:space="preserve">ITEP / ACS patterns</t>
  </si>
  <si>
    <t xml:space="preserve">State/Local Tax Revenue Adjustment Factor (from original P048)</t>
  </si>
  <si>
    <t xml:space="preserve">Scales labor-income derived tax to match ~$7.5B income tax + sales/property; used in SLTR.0</t>
  </si>
  <si>
    <t xml:space="preserve">AL Dept Revenue FY2025 + PARCA match</t>
  </si>
  <si>
    <t xml:space="preserve">SLTR.5</t>
  </si>
  <si>
    <t xml:space="preserve">SLTR_CALIBRATION_FACTOR_HOSP</t>
  </si>
  <si>
    <t xml:space="preserve">Downward for higher sales tax exposure but variable income; used in SLTR.0</t>
  </si>
  <si>
    <t xml:space="preserve">SLTR.6</t>
  </si>
  <si>
    <t xml:space="preserve">SLTR_CALIBRATION_FACTOR_PUBLIC</t>
  </si>
  <si>
    <t xml:space="preserve">Uplift for stable income/property tax base; used in SLTR.0</t>
  </si>
  <si>
    <t xml:space="preserve">BEA / state patterns</t>
  </si>
  <si>
    <t xml:space="preserve">SSMC Parameters</t>
  </si>
  <si>
    <t xml:space="preserve">SSMC_STATE_TARGET</t>
  </si>
  <si>
    <t xml:space="preserve">AL / Statewide total Social Security/Medicare contributions target ($) (employee + employer)</t>
  </si>
  <si>
    <t xml:space="preserve">Model aggregate proxy ~$11.5B; derived from est. AL payroll base (~$153B–$160B from EP × AWHW × WAVG) × 15.3% FICA (full both sides); consistent with FPPTREV employee share ~$1.858B × ~6 (employer match + Medicare uncapped adjustment)</t>
  </si>
  <si>
    <t xml:space="preserve">Model validation + SSA 2026 rates + BEA payroll est.</t>
  </si>
  <si>
    <t xml:space="preserve">Total FICA rate – General/American (decimal, employee + employer)</t>
  </si>
  <si>
    <t xml:space="preserve">6.2% SS (each) + 1.45% Medicare (each) = 15.3% total; used in SSMC.0; SS capped at $184,500 wage base (2026 SSA)</t>
  </si>
  <si>
    <t xml:space="preserve">SSA / IRS 2026 rates (OASDI 12.4% total, HI 2.9% total)</t>
  </si>
  <si>
    <t xml:space="preserve">SSMC_RATE_AUTH</t>
  </si>
  <si>
    <t xml:space="preserve">Total FICA rate – Authorized (decimal, both sides)</t>
  </si>
  <si>
    <t xml:space="preserve">Full compliance assumed; used in SSMC.1</t>
  </si>
  <si>
    <t xml:space="preserve">IRS / SSA rules</t>
  </si>
  <si>
    <t xml:space="preserve">Total FICA rate – Unauthorized (decimal, both sides est.)</t>
  </si>
  <si>
    <t xml:space="preserve">Partial compliance/withholding; used in SSMC.2; aligns with original P083 and CALC patterns</t>
  </si>
  <si>
    <t xml:space="preserve">SSMC_CALIBRATION_FACTOR_PUBLIC</t>
  </si>
  <si>
    <t xml:space="preserve">Full compliance/stable sector; used in SSMC.0</t>
  </si>
  <si>
    <t xml:space="preserve">SSMC.5</t>
  </si>
  <si>
    <t xml:space="preserve">SSMC_CALIBRATION_FACTOR_AG</t>
  </si>
  <si>
    <t xml:space="preserve">Downward for seasonal/lower compliance est.; used in SSMC.0</t>
  </si>
  <si>
    <t xml:space="preserve">PAUR Parameters</t>
  </si>
  <si>
    <t xml:space="preserve">PAUR_STATE_TARGET</t>
  </si>
  <si>
    <t xml:space="preserve">AL / Statewide public assistance usage rate target (decimal, among employed)</t>
  </si>
  <si>
    <t xml:space="preserve">Proxy from USDA FNS SNAP participation and Urban Institute models; original P047 increased PAUR_ADJ_FACTOR to 1.45 to match ~14.5% SNAP enrollment; reasonable for working population (higher among low-wage employed)</t>
  </si>
  <si>
    <t xml:space="preserve">USDA FNS AL data 2025 + Urban Institute eligibility est. + original model match</t>
  </si>
  <si>
    <t xml:space="preserve">Public Assistance Usage Adjustment Factor (from original P047)</t>
  </si>
  <si>
    <t xml:space="preserve">Increased to match SNAP enrollment ~14.5% (from prior ~10%); used in PAUR.0</t>
  </si>
  <si>
    <t xml:space="preserve">Base PAUR – Agriculture</t>
  </si>
  <si>
    <t xml:space="preserve">Higher low-income share in ag; used in PAUR.0</t>
  </si>
  <si>
    <t xml:space="preserve">ACS 2024 low-income est. + USDA patterns</t>
  </si>
  <si>
    <t xml:space="preserve">PAUR_IND_HOSP</t>
  </si>
  <si>
    <t xml:space="preserve">Base PAUR – Hospitality/Accommodation</t>
  </si>
  <si>
    <t xml:space="preserve">High proportion low-wage workers; used in PAUR.0</t>
  </si>
  <si>
    <t xml:space="preserve">ACS / industry patterns</t>
  </si>
  <si>
    <t xml:space="preserve">UNAUTH_IMMIGRANT_PAUR_ADJ_FACTOR</t>
  </si>
  <si>
    <t xml:space="preserve">Unauthorized immigrant PAUR adjustment factor</t>
  </si>
  <si>
    <t xml:space="preserve">Lower due to eligibility restrictions (e.g., no federal SNAP/TANF for most adults); used in PAUR.2</t>
  </si>
  <si>
    <t xml:space="preserve">Urban Institute / MPI consensus</t>
  </si>
  <si>
    <t xml:space="preserve">PAUR.5</t>
  </si>
  <si>
    <t xml:space="preserve">AUTH_IMMIGRANT_PAUR_ADJ_FACTOR</t>
  </si>
  <si>
    <t xml:space="preserve">Authorized immigrant PAUR adjustment factor</t>
  </si>
  <si>
    <t xml:space="preserve">Slight uplift after waiting periods; used in PAUR.1</t>
  </si>
  <si>
    <t xml:space="preserve">Urban Institute eligibility models</t>
  </si>
  <si>
    <t xml:space="preserve">PAUR.6</t>
  </si>
  <si>
    <t xml:space="preserve">PAUR_CALIBRATION_FACTOR_PUBLIC</t>
  </si>
  <si>
    <t xml:space="preserve">Low usage in stable/high-income gov sector; used in PAUR.0</t>
  </si>
  <si>
    <t xml:space="preserve">LSD.RID.0.AL.CALC</t>
  </si>
  <si>
    <t xml:space="preserve">Labor Industry Role (LIR)</t>
  </si>
  <si>
    <t xml:space="preserve">Labor Force Population (LFP)</t>
  </si>
  <si>
    <t xml:space="preserve">Employment-to-Population Ratio (ETPR)</t>
  </si>
  <si>
    <t xml:space="preserve">Labor Force Participation Rate (LFPR)</t>
  </si>
  <si>
    <t xml:space="preserve">Unemployment Rate (U3R)</t>
  </si>
  <si>
    <t xml:space="preserve">Underemployment Rate (U6R)</t>
  </si>
  <si>
    <t xml:space="preserve">Wage Average (WAVG)</t>
  </si>
  <si>
    <t xml:space="preserve">Annual Income Average (AIAVG)</t>
  </si>
  <si>
    <t xml:space="preserve">Authorized Immigrant Wage Average (AIWAVG)</t>
  </si>
  <si>
    <t xml:space="preserve">Authorized Immigrant Annual Income Average (AIAIAVG)</t>
  </si>
  <si>
    <t xml:space="preserve">Unauthorized Immigrant Wage Average (UIWAVG)</t>
  </si>
  <si>
    <t xml:space="preserve">Unauthorized Immigrant Annual Income Average (UIAIAVG)</t>
  </si>
  <si>
    <t xml:space="preserve">American Wage Average (AWAVG)</t>
  </si>
  <si>
    <t xml:space="preserve">American Annual Income Average (AAIAVG)</t>
  </si>
  <si>
    <t xml:space="preserve">Federal Personal Income Tax Revenue (FPITREV)</t>
  </si>
  <si>
    <t xml:space="preserve">Federal Personal Payroll Tax Revenue (FPPTREV)</t>
  </si>
  <si>
    <t xml:space="preserve">Earned Income Tax Credit Refund (EITCREF)</t>
  </si>
  <si>
    <t xml:space="preserve">Additional Child Tax Credit Refund (ACTCREF)</t>
  </si>
  <si>
    <t xml:space="preserve">American Opportunity Tax Credit Refund (AOTCREF)</t>
  </si>
  <si>
    <t xml:space="preserve">Employed Population (EP)</t>
  </si>
  <si>
    <t xml:space="preserve">Average Weekly Hours Worked (AWHW)</t>
  </si>
  <si>
    <t xml:space="preserve">Full-Time Employment Rate (FTER)</t>
  </si>
  <si>
    <t xml:space="preserve">Part-Time Employment Rate (PTER)</t>
  </si>
  <si>
    <t xml:space="preserve">Job Tenure Average (JTA)</t>
  </si>
  <si>
    <t xml:space="preserve">Turnover Rate (TR)</t>
  </si>
  <si>
    <t xml:space="preserve">Labor Productivity (LP)</t>
  </si>
  <si>
    <t xml:space="preserve">Education Level Required (ELR)</t>
  </si>
  <si>
    <t xml:space="preserve">State/Local Tax Revenue (SLTR)</t>
  </si>
  <si>
    <t xml:space="preserve">Social Security/Medicare Contributions (SSMC)</t>
  </si>
  <si>
    <t xml:space="preserve">Public Assistance Usage Rate (PAUR)</t>
  </si>
  <si>
    <t xml:space="preserve">Labor Industry</t>
  </si>
  <si>
    <t xml:space="preserve">Role Level</t>
  </si>
  <si>
    <t xml:space="preserve">Authorized Labor Force Population</t>
  </si>
  <si>
    <t xml:space="preserve">Unauthorized Labor Force Population</t>
  </si>
  <si>
    <t xml:space="preserve">Authorized Immigrant Labor Force Participation Rate (LFPR)</t>
  </si>
  <si>
    <t xml:space="preserve">Unauthorized Immigrant Labor Force Participation Rate (LFPR)</t>
  </si>
  <si>
    <t xml:space="preserve">American Labor Force Participation Rate (LFPR)</t>
  </si>
  <si>
    <t xml:space="preserve">Wage Average ($ /hr)</t>
  </si>
  <si>
    <t xml:space="preserve">Wage Min ($ /hr)</t>
  </si>
  <si>
    <t xml:space="preserve">Wage Max ($ /hr)</t>
  </si>
  <si>
    <t xml:space="preserve">Annual Income Average ($)</t>
  </si>
  <si>
    <t xml:space="preserve">Annual Income Min ($)</t>
  </si>
  <si>
    <t xml:space="preserve">Annual Income Max ($)</t>
  </si>
  <si>
    <t xml:space="preserve">Authorized Immigrant Wage Average ($ /hr)</t>
  </si>
  <si>
    <t xml:space="preserve">Authorized Immigrant Wage Min ($ /hr)</t>
  </si>
  <si>
    <t xml:space="preserve">Authorized Immigrant Wage Max ($ /hr)</t>
  </si>
  <si>
    <t xml:space="preserve">Authorized Immigrant Annual Income Average ($)</t>
  </si>
  <si>
    <t xml:space="preserve">Authorized Immigrant Annual Income Min ($)</t>
  </si>
  <si>
    <t xml:space="preserve">Authorized Immigrant Annual Income Max ($)</t>
  </si>
  <si>
    <t xml:space="preserve">Unauthorized Immigrant Wage Average ($ /hr)</t>
  </si>
  <si>
    <t xml:space="preserve">Unauthorized Immigrant Wage Min ($ /hr)</t>
  </si>
  <si>
    <t xml:space="preserve">Unauthorized Immigrant Wage Max ($ /hr)</t>
  </si>
  <si>
    <t xml:space="preserve">Unauthorized Immigrant Annual Income Average ($)</t>
  </si>
  <si>
    <t xml:space="preserve">Unauthorized Immigrant Annual Income Min ($)</t>
  </si>
  <si>
    <t xml:space="preserve">Unauthorized Immigrant Annual Income Max ($)</t>
  </si>
  <si>
    <t xml:space="preserve">American Wage Average ($ /hr)</t>
  </si>
  <si>
    <t xml:space="preserve">American Wage Min ($ /hr)</t>
  </si>
  <si>
    <t xml:space="preserve">American Wage Max ($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</si>
  <si>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</si>
  <si>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</si>
  <si>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</si>
  <si>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</si>
  <si>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</si>
  <si>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</si>
  <si>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</si>
  <si>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</si>
  <si>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</si>
  <si>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</si>
  <si>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</si>
  <si>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</si>
  <si>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</si>
  <si>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</si>
  <si>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ACTC Refund</t>
  </si>
  <si>
    <t xml:space="preserve">American Tax ACTC Refund</t>
  </si>
  <si>
    <t xml:space="preserve">AOTC Refund</t>
  </si>
  <si>
    <t xml:space="preserve">American Tax AOTC Refund</t>
  </si>
  <si>
    <t xml:space="preserve">Authorized Immigrant Average Weekly Hours Worked</t>
  </si>
  <si>
    <t xml:space="preserve">Unauthorized Immigrant Average Weekly Hours Worked</t>
  </si>
  <si>
    <t xml:space="preserve">American Average Weekly Hours Worked</t>
  </si>
  <si>
    <t xml:space="preserve">AWHW Min Hours</t>
  </si>
  <si>
    <t xml:space="preserve">AWHW Max Hours</t>
  </si>
  <si>
    <t xml:space="preserve">Job Tenure Average (years)</t>
  </si>
  <si>
    <t xml:space="preserve">JTA Min Tenure</t>
  </si>
  <si>
    <t xml:space="preserve">JTA Max Tenure</t>
  </si>
  <si>
    <t xml:space="preserve">Labor Productivity ($/hr)</t>
  </si>
  <si>
    <t xml:space="preserve">Education Level Required Average</t>
  </si>
  <si>
    <t xml:space="preserve">Authorized Immigrant Education Level Average</t>
  </si>
  <si>
    <t xml:space="preserve">Unauthorized Immigrant Education Level Average</t>
  </si>
  <si>
    <t xml:space="preserve">American Education Level Average</t>
  </si>
  <si>
    <t xml:space="preserve">State/Local Tax Revenue ($)</t>
  </si>
  <si>
    <t xml:space="preserve">Social Security/Medicare Contributions ($)</t>
  </si>
  <si>
    <t xml:space="preserve">All Industries</t>
  </si>
  <si>
    <t xml:space="preserve">All Roles</t>
  </si>
  <si>
    <t xml:space="preserve">Agriculture</t>
  </si>
  <si>
    <t xml:space="preserve">Support</t>
  </si>
  <si>
    <t xml:space="preserve">Worker</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</si>
  <si>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</si>
  <si>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</si>
  <si>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</si>
  <si>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</si>
  <si>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</si>
  <si>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</si>
  <si>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</si>
  <si>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</si>
  <si>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Healthcare &amp; Social Assistance</t>
  </si>
  <si>
    <t xml:space="preserve">Professional Services</t>
  </si>
  <si>
    <t xml:space="preserve">Educational Services</t>
  </si>
  <si>
    <t xml:space="preserve">Finance &amp; Insurance</t>
  </si>
  <si>
    <t xml:space="preserve">Media and Information Technology</t>
  </si>
  <si>
    <t xml:space="preserve">Government</t>
  </si>
  <si>
    <t xml:space="preserve">Self-Employed / Non-Employer</t>
  </si>
  <si>
    <t xml:space="preserve">Other Services</t>
  </si>
  <si>
    <t xml:space="preserve">Mining, Quarrying, and Oil/Gas Extraction</t>
  </si>
  <si>
    <t xml:space="preserve">Utilities</t>
  </si>
  <si>
    <t xml:space="preserve">Wholesale Trade</t>
  </si>
  <si>
    <t xml:space="preserve">Information</t>
  </si>
  <si>
    <t xml:space="preserve">Real Estate, Rental and Leasing</t>
  </si>
  <si>
    <t xml:space="preserve">Waste Management Services</t>
  </si>
  <si>
    <t xml:space="preserve">Arts, Entertainment, and Recreation</t>
  </si>
  <si>
    <t xml:space="preserve">Accommodation and Food Services</t>
  </si>
  <si>
    <t xml:space="preserve">Public Administration</t>
  </si>
  <si>
    <t xml:space="preserve">LSD.RID.0.AL.VALID</t>
  </si>
  <si>
    <t xml:space="preserve">Alabama Labor Statistic Calculation Validation</t>
  </si>
  <si>
    <t xml:space="preserve">Metric</t>
  </si>
  <si>
    <t xml:space="preserve">Calculated Value</t>
  </si>
  <si>
    <t xml:space="preserve">Public Value</t>
  </si>
  <si>
    <t xml:space="preserve">Source</t>
  </si>
  <si>
    <t xml:space="preserve">Validation Rating</t>
  </si>
  <si>
    <t xml:space="preserve">Notes/Improvement</t>
  </si>
  <si>
    <t xml:space="preserve">LSD.RID.0.AL.LFP</t>
  </si>
  <si>
    <t xml:space="preserve">Alabama Labor Force Population (LFP)</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</si>
  <si>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t>
    </r>
    <r>
      <rPr>
        <sz val="10"/>
        <rFont val="Arial"/>
        <family val="2"/>
        <charset val="1"/>
      </rPr>
      <t xml:space="preserve"> </t>
    </r>
    <r>
      <rPr>
        <b val="true"/>
        <sz val="10"/>
        <rFont val="Arial"/>
        <family val="2"/>
        <charset val="1"/>
      </rPr>
      <t xml:space="preserve">Labor Force Population</t>
    </r>
    <r>
      <rPr>
        <sz val="10"/>
        <rFont val="Arial"/>
        <family val="2"/>
        <charset val="1"/>
      </rPr>
      <t xml:space="preserve"> By </t>
    </r>
    <r>
      <rPr>
        <u val="single"/>
        <sz val="10"/>
        <rFont val="Arial"/>
        <family val="2"/>
        <charset val="1"/>
      </rPr>
      <t xml:space="preserve">Industrial Labor Role</t>
    </r>
  </si>
  <si>
    <t xml:space="preserve">LIRVID</t>
  </si>
  <si>
    <t xml:space="preserve">Industry: Role</t>
  </si>
  <si>
    <t xml:space="preserve">LSD.RID.0.AL.ETPR</t>
  </si>
  <si>
    <t xml:space="preserve">Alabama Employment-to-Population Ratio (ETPR)</t>
  </si>
  <si>
    <r>
      <rPr>
        <i val="true"/>
        <sz val="10"/>
        <rFont val="Arial"/>
        <family val="2"/>
        <charset val="1"/>
      </rPr>
      <t xml:space="preserve">Authorized, Unauthorized, American Laborer </t>
    </r>
    <r>
      <rPr>
        <b val="true"/>
        <sz val="10"/>
        <rFont val="Arial"/>
        <family val="2"/>
        <charset val="1"/>
      </rPr>
      <t xml:space="preserve">Employment-to-Population Ratio</t>
    </r>
    <r>
      <rPr>
        <i val="true"/>
        <sz val="10"/>
        <rFont val="Arial"/>
        <family val="2"/>
        <charset val="1"/>
      </rPr>
      <t xml:space="preserve"> By </t>
    </r>
    <r>
      <rPr>
        <u val="single"/>
        <sz val="10"/>
        <rFont val="Arial"/>
        <family val="2"/>
        <charset val="1"/>
      </rPr>
      <t xml:space="preserve">Industrial Labor Role</t>
    </r>
  </si>
  <si>
    <t xml:space="preserve">LSD.RID.0.AL.LFPR</t>
  </si>
  <si>
    <t xml:space="preserve">Alabama Labor Force Participation Rate (LFPR)</t>
  </si>
  <si>
    <t xml:space="preserve">Labor Force Participation Rate (ETPR)</t>
  </si>
  <si>
    <r>
      <rPr>
        <i val="true"/>
        <sz val="10"/>
        <rFont val="Arial"/>
        <family val="2"/>
        <charset val="1"/>
      </rPr>
      <t xml:space="preserve">Authorized, Unauthorized, American Laborer </t>
    </r>
    <r>
      <rPr>
        <b val="true"/>
        <sz val="10"/>
        <rFont val="Arial"/>
        <family val="2"/>
        <charset val="1"/>
      </rPr>
      <t xml:space="preserve">Labor Force Participation Rate</t>
    </r>
    <r>
      <rPr>
        <i val="true"/>
        <sz val="10"/>
        <rFont val="Arial"/>
        <family val="2"/>
        <charset val="1"/>
      </rPr>
      <t xml:space="preserve"> By </t>
    </r>
    <r>
      <rPr>
        <u val="single"/>
        <sz val="10"/>
        <rFont val="Arial"/>
        <family val="2"/>
        <charset val="1"/>
      </rPr>
      <t xml:space="preserve">Industrial Labor Role</t>
    </r>
  </si>
  <si>
    <t xml:space="preserve">LSD.RID.0.AL.U3R</t>
  </si>
  <si>
    <t xml:space="preserve">Alabama Unemployment Rate (U3R)</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</si>
  <si>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Unemployment Rate </t>
    </r>
    <r>
      <rPr>
        <sz val="10"/>
        <rFont val="Arial"/>
        <family val="2"/>
        <charset val="1"/>
      </rPr>
      <t xml:space="preserve">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</si>
  <si>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AL.U6R</t>
    </r>
  </si>
  <si>
    <t xml:space="preserve">Alabama Underemployment Rate (U6R)</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</si>
  <si>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Underemployment Rate </t>
    </r>
    <r>
      <rPr>
        <sz val="10"/>
        <rFont val="Arial"/>
        <family val="2"/>
        <charset val="1"/>
      </rPr>
      <t xml:space="preserve">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</si>
  <si>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AL.WAVG</t>
    </r>
  </si>
  <si>
    <t xml:space="preserve">Alabama Wage Average (WAVG)</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</si>
  <si>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Wage Average </t>
    </r>
    <r>
      <rPr>
        <sz val="10"/>
        <rFont val="Arial"/>
        <family val="2"/>
        <charset val="1"/>
      </rPr>
      <t xml:space="preserve">By </t>
    </r>
    <r>
      <rPr>
        <u val="single"/>
        <sz val="10"/>
        <rFont val="Arial"/>
        <family val="2"/>
        <charset val="1"/>
      </rPr>
      <t xml:space="preserve">Industrial Labor Role</t>
    </r>
  </si>
  <si>
    <t xml:space="preserve">LSD.RID.0.AL.AIAVG</t>
  </si>
  <si>
    <t xml:space="preserve">Alabama Annual Income Average (AIAVG)</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</si>
  <si>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Annual Income Average </t>
    </r>
    <r>
      <rPr>
        <sz val="10"/>
        <rFont val="Arial"/>
        <family val="2"/>
        <charset val="1"/>
      </rPr>
      <t xml:space="preserve">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</si>
  <si>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AL.FPITREV</t>
    </r>
  </si>
  <si>
    <t xml:space="preserve">Alabama Federal Personal Income Tax Revenue (FPITREV)</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</si>
  <si>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Personal Income Tax </t>
    </r>
    <r>
      <rPr>
        <sz val="10"/>
        <rFont val="Arial"/>
        <family val="2"/>
        <charset val="1"/>
      </rPr>
      <t xml:space="preserve">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</si>
  <si>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AL.FPPTR</t>
    </r>
  </si>
  <si>
    <t xml:space="preserve">Alabama Federal Personal Payrol Tax Revenue</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</si>
  <si>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Payroll Tax </t>
    </r>
    <r>
      <rPr>
        <sz val="10"/>
        <rFont val="Arial"/>
        <family val="2"/>
        <charset val="1"/>
      </rPr>
      <t xml:space="preserve">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</si>
  <si>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AL.EITCREF</t>
    </r>
  </si>
  <si>
    <t xml:space="preserve">Alabama Earned Income Tax Credit Refund</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</si>
  <si>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Earned Income Tax Credit </t>
    </r>
    <r>
      <rPr>
        <sz val="10"/>
        <rFont val="Arial"/>
        <family val="2"/>
        <charset val="1"/>
      </rPr>
      <t xml:space="preserve">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</si>
  <si>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AL.ACTCREF</t>
    </r>
  </si>
  <si>
    <t xml:space="preserve">Alabama Additional Child Tax Credit Refund</t>
  </si>
  <si>
    <r>
      <rPr>
        <i val="true"/>
        <sz val="10"/>
        <rFont val="Arial"/>
        <family val="2"/>
        <charset val="1"/>
      </rPr>
      <t xml:space="preserve">Authorized, Unauthorized, American Laborer </t>
    </r>
    <r>
      <rPr>
        <b val="true"/>
        <sz val="10"/>
        <rFont val="Arial"/>
        <family val="2"/>
        <charset val="1"/>
      </rPr>
      <t xml:space="preserve">Additional Child Tax Credit</t>
    </r>
    <r>
      <rPr>
        <i val="true"/>
        <sz val="10"/>
        <rFont val="Arial"/>
        <family val="2"/>
        <charset val="1"/>
      </rPr>
      <t xml:space="preserve"> By </t>
    </r>
    <r>
      <rPr>
        <u val="single"/>
        <sz val="10"/>
        <rFont val="Arial"/>
        <family val="2"/>
        <charset val="1"/>
      </rPr>
      <t xml:space="preserve">Industrial Labor Role</t>
    </r>
  </si>
  <si>
    <r>
      <rPr>
        <b val="true"/>
        <sz val="10"/>
        <rFont val="arial"/>
        <family val="2"/>
        <charset val="1"/>
      </rPr>
      <t xml:space="preserve">LSD.RID.0.</t>
    </r>
    <r>
      <rPr>
        <b val="true"/>
        <sz val="10"/>
        <rFont val="Arial"/>
        <family val="2"/>
        <charset val="1"/>
      </rPr>
      <t xml:space="preserve">AL.AOTCREF</t>
    </r>
  </si>
  <si>
    <t xml:space="preserve">Alabama American Opportunity Tax Credit Refund</t>
  </si>
  <si>
    <r>
      <rPr>
        <sz val="10"/>
        <rFont val="Arial"/>
        <family val="2"/>
        <charset val="1"/>
      </rPr>
      <t xml:space="preserve">Authorized, Unauthorized, American Laborer </t>
    </r>
    <r>
      <rPr>
        <b val="true"/>
        <sz val="10"/>
        <rFont val="Arial"/>
        <family val="2"/>
        <charset val="1"/>
      </rPr>
      <t xml:space="preserve">American Opportunity Tax Credit</t>
    </r>
    <r>
      <rPr>
        <sz val="10"/>
        <rFont val="Arial"/>
        <family val="2"/>
        <charset val="1"/>
      </rPr>
      <t xml:space="preserve"> By </t>
    </r>
    <r>
      <rPr>
        <i val="true"/>
        <sz val="10"/>
        <rFont val="Arial"/>
        <family val="2"/>
        <charset val="1"/>
      </rPr>
      <t xml:space="preserve">Industrial Labor Role</t>
    </r>
  </si>
</sst>
</file>

<file path=xl/styles.xml><?xml version="1.0" encoding="utf-8"?>
<styleSheet xmlns="http://schemas.openxmlformats.org/spreadsheetml/2006/main">
  <numFmts count="10">
    <numFmt numFmtId="164" formatCode="General"/>
    <numFmt numFmtId="165" formatCode="\$#,##0.00_);&quot;($&quot;#,##0.00\)"/>
    <numFmt numFmtId="166" formatCode="\$#,##0_);[RED]&quot;($&quot;#,##0\)"/>
    <numFmt numFmtId="167" formatCode="mm/dd/yy"/>
    <numFmt numFmtId="168" formatCode="@"/>
    <numFmt numFmtId="169" formatCode="#,##0"/>
    <numFmt numFmtId="170" formatCode="0.00%"/>
    <numFmt numFmtId="171" formatCode="[$$-409]#,##0.00;[RED]\-[$$-409]#,##0.00"/>
    <numFmt numFmtId="172" formatCode="[$$-409]#,##0;[RED]\-[$$-409]#,##0"/>
    <numFmt numFmtId="173" formatCode="[$$-409]#,##0;\-[$$-409]#,##0"/>
  </numFmts>
  <fonts count="23">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sz val="10"/>
      <name val="arial"/>
      <family val="2"/>
      <charset val="1"/>
    </font>
    <font>
      <b val="true"/>
      <sz val="10"/>
      <name val="arial"/>
      <family val="2"/>
      <charset val="1"/>
    </font>
    <font>
      <b val="true"/>
      <sz val="10"/>
      <name val="Arial"/>
      <family val="2"/>
    </font>
    <font>
      <b val="true"/>
      <sz val="10"/>
      <name val="Arial"/>
      <family val="2"/>
      <charset val="1"/>
    </font>
    <font>
      <sz val="10"/>
      <name val="Times New Roman"/>
      <family val="1"/>
      <charset val="1"/>
    </font>
    <font>
      <b val="true"/>
      <sz val="12"/>
      <name val="Times New Roman"/>
      <family val="1"/>
    </font>
    <font>
      <b val="true"/>
      <sz val="10"/>
      <name val="Times New Roman"/>
      <family val="1"/>
    </font>
    <font>
      <sz val="10"/>
      <name val="Times New Roman"/>
      <family val="1"/>
    </font>
    <font>
      <i val="true"/>
      <sz val="10"/>
      <name val="Arial"/>
      <family val="2"/>
      <charset val="1"/>
    </font>
    <font>
      <u val="single"/>
      <sz val="10"/>
      <name val="Arial"/>
      <family val="2"/>
      <charset val="1"/>
    </font>
    <font>
      <sz val="12"/>
      <color rgb="FF000000"/>
      <name val="Arial"/>
      <family val="2"/>
    </font>
    <font>
      <sz val="7"/>
      <color rgb="FF000000"/>
      <name val="Arial"/>
      <family val="2"/>
    </font>
    <font>
      <sz val="8"/>
      <color rgb="FF000000"/>
      <name val="Arial"/>
      <family val="2"/>
    </font>
    <font>
      <sz val="9"/>
      <color rgb="FF000000"/>
      <name val="Arial"/>
      <family val="2"/>
    </font>
    <font>
      <sz val="10"/>
      <color rgb="FF000000"/>
      <name val="Arial"/>
      <family val="2"/>
    </font>
    <font>
      <b val="true"/>
      <sz val="7"/>
      <color rgb="FFFFFFFF"/>
      <name val="Arial"/>
      <family val="2"/>
    </font>
    <font>
      <sz val="7"/>
      <color rgb="FFFFFFFF"/>
      <name val="Arial"/>
      <family val="2"/>
    </font>
  </fonts>
  <fills count="20">
    <fill>
      <patternFill patternType="none"/>
    </fill>
    <fill>
      <patternFill patternType="gray125"/>
    </fill>
    <fill>
      <patternFill patternType="solid">
        <fgColor rgb="FF333300"/>
        <bgColor rgb="FF1C1C1C"/>
      </patternFill>
    </fill>
    <fill>
      <patternFill patternType="solid">
        <fgColor rgb="FFFFCC00"/>
        <bgColor rgb="FFFFBF00"/>
      </patternFill>
    </fill>
    <fill>
      <patternFill patternType="solid">
        <fgColor rgb="FF1C1C1C"/>
        <bgColor rgb="FF333300"/>
      </patternFill>
    </fill>
    <fill>
      <patternFill patternType="solid">
        <fgColor rgb="FF666666"/>
        <bgColor rgb="FF6B5E9B"/>
      </patternFill>
    </fill>
    <fill>
      <patternFill patternType="solid">
        <fgColor rgb="FF999999"/>
        <bgColor rgb="FFB3B3B3"/>
      </patternFill>
    </fill>
    <fill>
      <patternFill patternType="solid">
        <fgColor rgb="FFFFFFFF"/>
        <bgColor rgb="FFFFFFCC"/>
      </patternFill>
    </fill>
    <fill>
      <patternFill patternType="solid">
        <fgColor rgb="FFFFFF00"/>
        <bgColor rgb="FFE6E905"/>
      </patternFill>
    </fill>
    <fill>
      <patternFill patternType="solid">
        <fgColor rgb="FF81D41A"/>
        <bgColor rgb="FFBBE33D"/>
      </patternFill>
    </fill>
    <fill>
      <patternFill patternType="solid">
        <fgColor rgb="FF00A933"/>
        <bgColor rgb="FF158466"/>
      </patternFill>
    </fill>
    <fill>
      <patternFill patternType="solid">
        <fgColor rgb="FF158466"/>
        <bgColor rgb="FF008080"/>
      </patternFill>
    </fill>
    <fill>
      <patternFill patternType="solid">
        <fgColor rgb="FF2A6099"/>
        <bgColor rgb="FF004586"/>
      </patternFill>
    </fill>
    <fill>
      <patternFill patternType="solid">
        <fgColor rgb="FF55308D"/>
        <bgColor rgb="FF8D1D75"/>
      </patternFill>
    </fill>
    <fill>
      <patternFill patternType="solid">
        <fgColor rgb="FF800080"/>
        <bgColor rgb="FF660066"/>
      </patternFill>
    </fill>
    <fill>
      <patternFill patternType="solid">
        <fgColor rgb="FFBF0041"/>
        <bgColor rgb="FFD62E4E"/>
      </patternFill>
    </fill>
    <fill>
      <patternFill patternType="solid">
        <fgColor rgb="FFFF0000"/>
        <bgColor rgb="FFBF0041"/>
      </patternFill>
    </fill>
    <fill>
      <patternFill patternType="solid">
        <fgColor rgb="FFFF4000"/>
        <bgColor rgb="FFFF420E"/>
      </patternFill>
    </fill>
    <fill>
      <patternFill patternType="solid">
        <fgColor rgb="FFFF8000"/>
        <bgColor rgb="FFEA7500"/>
      </patternFill>
    </fill>
    <fill>
      <patternFill patternType="solid">
        <fgColor rgb="FFFFBF00"/>
        <bgColor rgb="FFFFCC0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7" fontId="7"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7" fillId="4" borderId="0" xfId="0" applyFont="true" applyBorder="false" applyAlignment="true" applyProtection="true">
      <alignment horizontal="right" vertical="bottom" textRotation="0" wrapText="false" indent="0" shrinkToFit="false"/>
      <protection locked="true" hidden="false"/>
    </xf>
    <xf numFmtId="164" fontId="7" fillId="4" borderId="0" xfId="0" applyFont="true" applyBorder="tru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xf numFmtId="164" fontId="9" fillId="6" borderId="0" xfId="0" applyFont="true" applyBorder="false" applyAlignment="true" applyProtection="true">
      <alignment horizontal="right" vertical="bottom" textRotation="0" wrapText="false" indent="0" shrinkToFit="false"/>
      <protection locked="true" hidden="false"/>
    </xf>
    <xf numFmtId="164" fontId="9" fillId="7" borderId="0" xfId="0" applyFont="true" applyBorder="false" applyAlignment="true" applyProtection="true">
      <alignment horizontal="right" vertical="bottom" textRotation="0" wrapText="false" indent="0" shrinkToFit="false"/>
      <protection locked="true" hidden="false"/>
    </xf>
    <xf numFmtId="164" fontId="9" fillId="8" borderId="0" xfId="0" applyFont="true" applyBorder="false" applyAlignment="true" applyProtection="true">
      <alignment horizontal="right" vertical="bottom" textRotation="0" wrapText="false" indent="0" shrinkToFit="false"/>
      <protection locked="true" hidden="false"/>
    </xf>
    <xf numFmtId="164" fontId="9" fillId="9" borderId="0" xfId="0" applyFont="true" applyBorder="false" applyAlignment="true" applyProtection="true">
      <alignment horizontal="right" vertical="bottom" textRotation="0" wrapText="false" indent="0" shrinkToFit="false"/>
      <protection locked="true" hidden="false"/>
    </xf>
    <xf numFmtId="164" fontId="9" fillId="10" borderId="0" xfId="0" applyFont="true" applyBorder="false" applyAlignment="true" applyProtection="true">
      <alignment horizontal="right" vertical="bottom" textRotation="0" wrapText="false" indent="0" shrinkToFit="false"/>
      <protection locked="true" hidden="false"/>
    </xf>
    <xf numFmtId="164" fontId="9" fillId="11" borderId="0" xfId="0" applyFont="true" applyBorder="false" applyAlignment="true" applyProtection="true">
      <alignment horizontal="right" vertical="bottom" textRotation="0" wrapText="false" indent="0" shrinkToFit="false"/>
      <protection locked="true" hidden="false"/>
    </xf>
    <xf numFmtId="164" fontId="9" fillId="12" borderId="0" xfId="0" applyFont="true" applyBorder="false" applyAlignment="true" applyProtection="true">
      <alignment horizontal="right" vertical="bottom" textRotation="0" wrapText="false" indent="0" shrinkToFit="false"/>
      <protection locked="true" hidden="false"/>
    </xf>
    <xf numFmtId="164" fontId="9" fillId="13" borderId="0" xfId="0" applyFont="true" applyBorder="false" applyAlignment="true" applyProtection="true">
      <alignment horizontal="right" vertical="bottom" textRotation="0" wrapText="false" indent="0" shrinkToFit="false"/>
      <protection locked="true" hidden="false"/>
    </xf>
    <xf numFmtId="164" fontId="9" fillId="14" borderId="0" xfId="0" applyFont="true" applyBorder="false" applyAlignment="true" applyProtection="true">
      <alignment horizontal="right" vertical="bottom" textRotation="0" wrapText="false" indent="0" shrinkToFit="false"/>
      <protection locked="true" hidden="false"/>
    </xf>
    <xf numFmtId="164" fontId="9" fillId="15" borderId="0" xfId="0" applyFont="true" applyBorder="false" applyAlignment="true" applyProtection="true">
      <alignment horizontal="right" vertical="bottom" textRotation="0" wrapText="false" indent="0" shrinkToFit="false"/>
      <protection locked="true" hidden="false"/>
    </xf>
    <xf numFmtId="164" fontId="9" fillId="16" borderId="0" xfId="0" applyFont="true" applyBorder="false" applyAlignment="true" applyProtection="true">
      <alignment horizontal="right" vertical="bottom" textRotation="0" wrapText="false" indent="0" shrinkToFit="false"/>
      <protection locked="true" hidden="false"/>
    </xf>
    <xf numFmtId="164" fontId="9" fillId="17" borderId="0" xfId="0" applyFont="true" applyBorder="false" applyAlignment="true" applyProtection="true">
      <alignment horizontal="right" vertical="bottom" textRotation="0" wrapText="false" indent="0" shrinkToFit="false"/>
      <protection locked="true" hidden="false"/>
    </xf>
    <xf numFmtId="164" fontId="9" fillId="18" borderId="0" xfId="0" applyFont="true" applyBorder="false" applyAlignment="true" applyProtection="true">
      <alignment horizontal="right" vertical="bottom" textRotation="0" wrapText="false" indent="0" shrinkToFit="false"/>
      <protection locked="true" hidden="false"/>
    </xf>
    <xf numFmtId="164" fontId="9" fillId="19"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tru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true" indent="0" shrinkToFit="false"/>
      <protection locked="true" hidden="false"/>
    </xf>
    <xf numFmtId="170" fontId="9" fillId="0" borderId="0" xfId="0" applyFont="true" applyBorder="fals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70" fontId="0" fillId="0" borderId="0" xfId="0" applyFont="true" applyBorder="false" applyAlignment="true" applyProtection="true">
      <alignment horizontal="center" vertical="bottom" textRotation="0" wrapText="true" indent="0" shrinkToFit="false"/>
      <protection locked="true" hidden="false"/>
    </xf>
    <xf numFmtId="171" fontId="9" fillId="0" borderId="0" xfId="0" applyFont="true" applyBorder="false" applyAlignment="true" applyProtection="true">
      <alignment horizontal="center" vertical="bottom" textRotation="0" wrapText="true" indent="0" shrinkToFit="false"/>
      <protection locked="true" hidden="false"/>
    </xf>
    <xf numFmtId="171" fontId="0" fillId="0" borderId="0" xfId="0" applyFont="true" applyBorder="false" applyAlignment="true" applyProtection="true">
      <alignment horizontal="center" vertical="bottom" textRotation="0" wrapText="true" indent="0" shrinkToFit="false"/>
      <protection locked="true" hidden="false"/>
    </xf>
    <xf numFmtId="172" fontId="9" fillId="0" borderId="0" xfId="0" applyFont="true" applyBorder="false" applyAlignment="true" applyProtection="true">
      <alignment horizontal="center" vertical="bottom" textRotation="0" wrapText="true" indent="0" shrinkToFit="false"/>
      <protection locked="true" hidden="false"/>
    </xf>
    <xf numFmtId="172" fontId="0" fillId="0" borderId="0" xfId="0" applyFont="true" applyBorder="false" applyAlignment="true" applyProtection="true">
      <alignment horizontal="center" vertical="bottom" textRotation="0" wrapText="true" indent="0" shrinkToFit="false"/>
      <protection locked="true" hidden="false"/>
    </xf>
    <xf numFmtId="173" fontId="9" fillId="0" borderId="0" xfId="0" applyFont="true" applyBorder="false" applyAlignment="true" applyProtection="true">
      <alignment horizontal="center" vertical="bottom" textRotation="0" wrapText="true" indent="0" shrinkToFit="false"/>
      <protection locked="true" hidden="false"/>
    </xf>
    <xf numFmtId="173" fontId="0" fillId="0" borderId="0" xfId="0" applyFont="true" applyBorder="fals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FF00"/>
      <rgbColor rgb="FFFF3838"/>
      <rgbColor rgb="FF00FFFF"/>
      <rgbColor rgb="FFFF420E"/>
      <rgbColor rgb="FF00A933"/>
      <rgbColor rgb="FF000080"/>
      <rgbColor rgb="FF579D1C"/>
      <rgbColor rgb="FF800080"/>
      <rgbColor rgb="FF158466"/>
      <rgbColor rgb="FFC0C0C0"/>
      <rgbColor rgb="FF666666"/>
      <rgbColor rgb="FF9999FF"/>
      <rgbColor rgb="FF8D1D75"/>
      <rgbColor rgb="FFFFFFCC"/>
      <rgbColor rgb="FFCCFFFF"/>
      <rgbColor rgb="FF660066"/>
      <rgbColor rgb="FFFF8000"/>
      <rgbColor rgb="FF2A6099"/>
      <rgbColor rgb="FFCCCCCC"/>
      <rgbColor rgb="FF000080"/>
      <rgbColor rgb="FFFF00FF"/>
      <rgbColor rgb="FFE6E905"/>
      <rgbColor rgb="FF00FFFF"/>
      <rgbColor rgb="FFBF0041"/>
      <rgbColor rgb="FF800000"/>
      <rgbColor rgb="FF008080"/>
      <rgbColor rgb="FF0000FF"/>
      <rgbColor rgb="FF00CCFF"/>
      <rgbColor rgb="FFCCFFFF"/>
      <rgbColor rgb="FFCCFFCC"/>
      <rgbColor rgb="FFBBE33D"/>
      <rgbColor rgb="FFB3B3B3"/>
      <rgbColor rgb="FFFFBF00"/>
      <rgbColor rgb="FFFF5429"/>
      <rgbColor rgb="FFFFD320"/>
      <rgbColor rgb="FF5983B0"/>
      <rgbColor rgb="FF3FAF46"/>
      <rgbColor rgb="FF81D41A"/>
      <rgbColor rgb="FFFFCC00"/>
      <rgbColor rgb="FFE8A202"/>
      <rgbColor rgb="FFEA7500"/>
      <rgbColor rgb="FF6B5E9B"/>
      <rgbColor rgb="FF999999"/>
      <rgbColor rgb="FF004586"/>
      <rgbColor rgb="FF50938A"/>
      <rgbColor rgb="FF003300"/>
      <rgbColor rgb="FF333300"/>
      <rgbColor rgb="FFFF4000"/>
      <rgbColor rgb="FFD62E4E"/>
      <rgbColor rgb="FF55308D"/>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Population</a:t>
            </a:r>
          </a:p>
        </c:rich>
      </c:tx>
      <c:layout>
        <c:manualLayout>
          <c:xMode val="edge"/>
          <c:yMode val="edge"/>
          <c:x val="0.276060558271566"/>
          <c:y val="0.0107378583390799"/>
        </c:manualLayout>
      </c:layout>
      <c:overlay val="0"/>
      <c:spPr>
        <a:noFill/>
        <a:ln w="0">
          <a:noFill/>
        </a:ln>
      </c:spPr>
    </c:title>
    <c:autoTitleDeleted val="0"/>
    <c:plotArea>
      <c:layout>
        <c:manualLayout>
          <c:layoutTarget val="inner"/>
          <c:xMode val="edge"/>
          <c:yMode val="edge"/>
          <c:x val="0.299203595647374"/>
          <c:y val="0.0468673037139198"/>
          <c:w val="0.521447721179625"/>
          <c:h val="0.87419958624766"/>
        </c:manualLayout>
      </c:layout>
      <c:barChart>
        <c:barDir val="bar"/>
        <c:grouping val="clustered"/>
        <c:varyColors val="0"/>
        <c:ser>
          <c:idx val="0"/>
          <c:order val="0"/>
          <c:tx>
            <c:strRef>
              <c:f>LFP!$C$2</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LFP!$C$4:$C$29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LFP!$D$2</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LFP!$D$4:$D$29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LFP!$E$2</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LFP!$E$4:$E$29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LFP!$F$2</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LFP!$F$4:$F$29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27167363"/>
        <c:axId val="29711603"/>
      </c:barChart>
      <c:catAx>
        <c:axId val="2716736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30263028273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9711603"/>
        <c:crosses val="autoZero"/>
        <c:auto val="1"/>
        <c:lblAlgn val="ctr"/>
        <c:lblOffset val="100"/>
        <c:noMultiLvlLbl val="0"/>
      </c:catAx>
      <c:valAx>
        <c:axId val="2971160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0649739788677"/>
              <c:y val="0.96938725248744"/>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7167363"/>
        <c:crosses val="max"/>
        <c:crossBetween val="midCat"/>
      </c:valAx>
      <c:spPr>
        <a:noFill/>
        <a:ln w="0">
          <a:solidFill>
            <a:srgbClr val="b3b3b3"/>
          </a:solidFill>
        </a:ln>
      </c:spPr>
    </c:plotArea>
    <c:legend>
      <c:legendPos val="r"/>
      <c:layout>
        <c:manualLayout>
          <c:xMode val="edge"/>
          <c:yMode val="edge"/>
          <c:x val="0.85476687817759"/>
          <c:y val="0.0768719375569399"/>
          <c:w val="0.119777707709286"/>
          <c:h val="0.111764995567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Population</a:t>
            </a:r>
          </a:p>
        </c:rich>
      </c:tx>
      <c:layout>
        <c:manualLayout>
          <c:xMode val="edge"/>
          <c:yMode val="edge"/>
          <c:x val="0.276060558271566"/>
          <c:y val="0.0107378583390799"/>
        </c:manualLayout>
      </c:layout>
      <c:overlay val="0"/>
      <c:spPr>
        <a:noFill/>
        <a:ln w="0">
          <a:noFill/>
        </a:ln>
      </c:spPr>
    </c:title>
    <c:autoTitleDeleted val="0"/>
    <c:plotArea>
      <c:layout>
        <c:manualLayout>
          <c:layoutTarget val="inner"/>
          <c:xMode val="edge"/>
          <c:yMode val="edge"/>
          <c:x val="0.299203595647374"/>
          <c:y val="0.0468673037139198"/>
          <c:w val="0.521447721179625"/>
          <c:h val="0.87419958624766"/>
        </c:manualLayout>
      </c:layout>
      <c:barChart>
        <c:barDir val="bar"/>
        <c:grouping val="clustered"/>
        <c:varyColors val="0"/>
        <c:ser>
          <c:idx val="0"/>
          <c:order val="0"/>
          <c:tx>
            <c:strRef>
              <c:f>LFP!$C$2</c:f>
              <c:strCache>
                <c:ptCount val="1"/>
                <c:pt idx="0">
                  <c:v>Labor Force Population</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LFP!$C$30:$C$55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LFP!$D$2</c:f>
              <c:strCache>
                <c:ptCount val="1"/>
                <c:pt idx="0">
                  <c:v>Authorized Labor Force Population</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LFP!$D$30:$D$55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LFP!$E$2</c:f>
              <c:strCache>
                <c:ptCount val="1"/>
                <c:pt idx="0">
                  <c:v>Unauthorized Labor Force Population</c:v>
                </c:pt>
              </c:strCache>
            </c:strRef>
          </c:tx>
          <c:spPr>
            <a:solidFill>
              <a:srgbClr val="ffd320"/>
            </a:solidFill>
            <a:ln w="0">
              <a:noFill/>
            </a:ln>
          </c:spPr>
          <c:invertIfNegative val="0"/>
          <c:dLbls>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LFP!$E$30:$E$55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LFP!$F$2</c:f>
              <c:strCache>
                <c:ptCount val="1"/>
                <c:pt idx="0">
                  <c:v>American Labor Force Population</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LFP!$F$30:$F$55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3021605"/>
        <c:axId val="15586817"/>
      </c:barChart>
      <c:catAx>
        <c:axId val="302160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22874593636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5586817"/>
        <c:crosses val="autoZero"/>
        <c:auto val="1"/>
        <c:lblAlgn val="ctr"/>
        <c:lblOffset val="100"/>
        <c:noMultiLvlLbl val="0"/>
      </c:catAx>
      <c:valAx>
        <c:axId val="15586817"/>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Population</a:t>
                </a:r>
              </a:p>
            </c:rich>
          </c:tx>
          <c:layout>
            <c:manualLayout>
              <c:xMode val="edge"/>
              <c:yMode val="edge"/>
              <c:x val="0.430649739788677"/>
              <c:y val="0.96938725248744"/>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021605"/>
        <c:crosses val="max"/>
        <c:crossBetween val="midCat"/>
      </c:valAx>
      <c:spPr>
        <a:noFill/>
        <a:ln w="0">
          <a:solidFill>
            <a:srgbClr val="b3b3b3"/>
          </a:solidFill>
        </a:ln>
      </c:spPr>
    </c:plotArea>
    <c:legend>
      <c:legendPos val="r"/>
      <c:layout>
        <c:manualLayout>
          <c:xMode val="edge"/>
          <c:yMode val="edge"/>
          <c:x val="0.85476687817759"/>
          <c:y val="0.0768226922414005"/>
          <c:w val="0.119777707709286"/>
          <c:h val="0.111764995567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Employment-To-Population Ratio</a:t>
            </a:r>
          </a:p>
        </c:rich>
      </c:tx>
      <c:layout>
        <c:manualLayout>
          <c:xMode val="edge"/>
          <c:yMode val="edge"/>
          <c:x val="0.276060558271566"/>
          <c:y val="0.0107378583390799"/>
        </c:manualLayout>
      </c:layout>
      <c:overlay val="0"/>
      <c:spPr>
        <a:noFill/>
        <a:ln w="0">
          <a:noFill/>
        </a:ln>
      </c:spPr>
    </c:title>
    <c:autoTitleDeleted val="0"/>
    <c:plotArea>
      <c:layout>
        <c:manualLayout>
          <c:layoutTarget val="inner"/>
          <c:xMode val="edge"/>
          <c:yMode val="edge"/>
          <c:x val="0.299203595647374"/>
          <c:y val="0.0468919318293764"/>
          <c:w val="0.521447721179625"/>
          <c:h val="0.87419958624766"/>
        </c:manualLayout>
      </c:layout>
      <c:barChart>
        <c:barDir val="bar"/>
        <c:grouping val="clustered"/>
        <c:varyColors val="0"/>
        <c:ser>
          <c:idx val="0"/>
          <c:order val="0"/>
          <c:tx>
            <c:strRef>
              <c:f>ETPR!$C$2</c:f>
              <c:strCache>
                <c:ptCount val="1"/>
                <c:pt idx="0">
                  <c:v>Employment-to-Population Ratio</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ETPR!$C$4:$C$29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ETPR!$D$2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ETPR!$D$4:$D$29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ETPR!$E$2</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ETPR!$E$4:$E$29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ETPR!$F$2</c:f>
              <c:strCache>
                <c:ptCount val="1"/>
                <c:pt idx="0">
                  <c:v>American Employment-to-Population Ratio</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ETPR!$B$4:$B$29</c:f>
              <c:strCache>
                <c:ptCount val="26"/>
                <c:pt idx="0">
                  <c:v>Agriculture: Support</c:v>
                </c:pt>
                <c:pt idx="1">
                  <c:v>Agriculture: Worker</c:v>
                </c:pt>
                <c:pt idx="2">
                  <c:v>Construction: Support</c:v>
                </c:pt>
                <c:pt idx="3">
                  <c:v>Construction: Worker</c:v>
                </c:pt>
                <c:pt idx="4">
                  <c:v>Hospitality: Support</c:v>
                </c:pt>
                <c:pt idx="5">
                  <c:v>Hospitality: Worker</c:v>
                </c:pt>
                <c:pt idx="6">
                  <c:v>Cleaning &amp; Maintenance: Support</c:v>
                </c:pt>
                <c:pt idx="7">
                  <c:v>Cleaning &amp; Maintenance: Worker</c:v>
                </c:pt>
                <c:pt idx="8">
                  <c:v>Manufacturing: Support</c:v>
                </c:pt>
                <c:pt idx="9">
                  <c:v>Manufacturing: Worker</c:v>
                </c:pt>
                <c:pt idx="10">
                  <c:v>Transportation &amp; Warehousing: Support</c:v>
                </c:pt>
                <c:pt idx="11">
                  <c:v>Transportation &amp; Warehousing: Worker</c:v>
                </c:pt>
                <c:pt idx="12">
                  <c:v>Retail Trade: Support</c:v>
                </c:pt>
                <c:pt idx="13">
                  <c:v>Retail Trade: Worker</c:v>
                </c:pt>
                <c:pt idx="14">
                  <c:v>Landscaping / Groundskeeping: Support</c:v>
                </c:pt>
                <c:pt idx="15">
                  <c:v>Landscaping / Groundskeeping: Worker</c:v>
                </c:pt>
                <c:pt idx="16">
                  <c:v>Automotive &amp; Repair: Support</c:v>
                </c:pt>
                <c:pt idx="17">
                  <c:v>Automotive &amp; Repair: Worker</c:v>
                </c:pt>
                <c:pt idx="18">
                  <c:v>Healthcare &amp; Social Assistance: Support</c:v>
                </c:pt>
                <c:pt idx="19">
                  <c:v>Healthcare &amp; Social Assistance: Worker</c:v>
                </c:pt>
                <c:pt idx="20">
                  <c:v>Professional Services: Support</c:v>
                </c:pt>
                <c:pt idx="21">
                  <c:v>Professional Services: Worker</c:v>
                </c:pt>
                <c:pt idx="22">
                  <c:v>Educational Services: Support</c:v>
                </c:pt>
                <c:pt idx="23">
                  <c:v>Educational Services: Worker</c:v>
                </c:pt>
                <c:pt idx="24">
                  <c:v>Finance &amp; Insurance: Support</c:v>
                </c:pt>
                <c:pt idx="25">
                  <c:v>Finance &amp; Insurance: Worker</c:v>
                </c:pt>
              </c:strCache>
            </c:strRef>
          </c:cat>
          <c:val>
            <c:numRef>
              <c:f>ETPR!$F$4:$F$29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85637505"/>
        <c:axId val="58597594"/>
      </c:barChart>
      <c:catAx>
        <c:axId val="8563750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22874593636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8597594"/>
        <c:crossesAt val="0"/>
        <c:auto val="1"/>
        <c:lblAlgn val="ctr"/>
        <c:lblOffset val="100"/>
        <c:noMultiLvlLbl val="0"/>
      </c:catAx>
      <c:valAx>
        <c:axId val="5859759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39950323292856"/>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5637505"/>
        <c:crosses val="max"/>
        <c:crossBetween val="midCat"/>
      </c:valAx>
      <c:spPr>
        <a:noFill/>
        <a:ln w="0">
          <a:solidFill>
            <a:srgbClr val="b3b3b3"/>
          </a:solidFill>
        </a:ln>
      </c:spPr>
    </c:plotArea>
    <c:legend>
      <c:legendPos val="r"/>
      <c:layout>
        <c:manualLayout>
          <c:xMode val="edge"/>
          <c:yMode val="edge"/>
          <c:x val="0.854800567554785"/>
          <c:y val="0.0768492071308973"/>
          <c:w val="0.120093015923065"/>
          <c:h val="0.15633310351620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Employment-To-Population Ratio</a:t>
            </a:r>
          </a:p>
        </c:rich>
      </c:tx>
      <c:layout>
        <c:manualLayout>
          <c:xMode val="edge"/>
          <c:yMode val="edge"/>
          <c:x val="0.248896073174578"/>
          <c:y val="0.0107378583390799"/>
        </c:manualLayout>
      </c:layout>
      <c:overlay val="0"/>
      <c:spPr>
        <a:noFill/>
        <a:ln w="0">
          <a:noFill/>
        </a:ln>
      </c:spPr>
    </c:title>
    <c:autoTitleDeleted val="0"/>
    <c:plotArea>
      <c:layout>
        <c:manualLayout>
          <c:layoutTarget val="inner"/>
          <c:xMode val="edge"/>
          <c:yMode val="edge"/>
          <c:x val="0.299203595647374"/>
          <c:y val="0.0468673037139198"/>
          <c:w val="0.521447721179625"/>
          <c:h val="0.87419958624766"/>
        </c:manualLayout>
      </c:layout>
      <c:barChart>
        <c:barDir val="bar"/>
        <c:grouping val="clustered"/>
        <c:varyColors val="0"/>
        <c:ser>
          <c:idx val="0"/>
          <c:order val="0"/>
          <c:tx>
            <c:strRef>
              <c:f>ETPR!$C$2</c:f>
              <c:strCache>
                <c:ptCount val="1"/>
                <c:pt idx="0">
                  <c:v>Employment-to-Population Ratio</c:v>
                </c:pt>
              </c:strCache>
            </c:strRef>
          </c:tx>
          <c:spPr>
            <a:solidFill>
              <a:srgbClr val="004586"/>
            </a:solidFill>
            <a:ln w="0">
              <a:noFill/>
            </a:ln>
          </c:spPr>
          <c:invertIfNegative val="0"/>
          <c:dPt>
            <c:idx val="0"/>
            <c:invertIfNegative val="0"/>
            <c:spPr>
              <a:solidFill>
                <a:srgbClr val="004586"/>
              </a:solidFill>
              <a:ln w="0">
                <a:noFill/>
              </a:ln>
            </c:spPr>
          </c:dPt>
          <c:dPt>
            <c:idx val="8"/>
            <c:invertIfNegative val="0"/>
            <c:spPr>
              <a:solidFill>
                <a:srgbClr val="004586"/>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ETPR!$C$30:$C$55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ETPR!$D$2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ETPR!$D$30:$D$55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ETPR!$E$2</c:f>
              <c:strCache>
                <c:ptCount val="1"/>
                <c:pt idx="0">
                  <c:v>Unauthorized Immigrant Employment-to-Population Ratio</c:v>
                </c:pt>
              </c:strCache>
            </c:strRef>
          </c:tx>
          <c:spPr>
            <a:solidFill>
              <a:srgbClr val="ffd320"/>
            </a:solidFill>
            <a:ln w="0">
              <a:noFill/>
            </a:ln>
          </c:spPr>
          <c:invertIfNegative val="0"/>
          <c:dLbls>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ETPR!$E$30:$E$55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ETPR!$F$2</c:f>
              <c:strCache>
                <c:ptCount val="1"/>
                <c:pt idx="0">
                  <c:v>American Employment-to-Population Ratio</c:v>
                </c:pt>
              </c:strCache>
            </c:strRef>
          </c:tx>
          <c:spPr>
            <a:solidFill>
              <a:srgbClr val="579d1c"/>
            </a:solidFill>
            <a:ln w="0">
              <a:noFill/>
            </a:ln>
          </c:spPr>
          <c:invertIfNegative val="0"/>
          <c:dPt>
            <c:idx val="3"/>
            <c:invertIfNegative val="0"/>
            <c:spPr>
              <a:solidFill>
                <a:srgbClr val="579d1c"/>
              </a:solidFill>
              <a:ln w="0">
                <a:noFill/>
              </a:ln>
            </c:spPr>
          </c:dPt>
          <c:dPt>
            <c:idx val="8"/>
            <c:invertIfNegative val="0"/>
            <c:spPr>
              <a:solidFill>
                <a:srgbClr val="579d1c"/>
              </a:solidFill>
              <a:ln w="0">
                <a:noFill/>
              </a:ln>
            </c:spPr>
          </c:dPt>
          <c:dLbls>
            <c:dLbl>
              <c:idx val="3"/>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ETPR!$B$30:$B$55</c:f>
              <c:strCache>
                <c:ptCount val="26"/>
                <c:pt idx="0">
                  <c:v>Media and Information Technology: Support</c:v>
                </c:pt>
                <c:pt idx="1">
                  <c:v>Media and Information Technology: Worker</c:v>
                </c:pt>
                <c:pt idx="2">
                  <c:v>Government: Support</c:v>
                </c:pt>
                <c:pt idx="3">
                  <c:v>Government: Worker</c:v>
                </c:pt>
                <c:pt idx="4">
                  <c:v>Self-Employed / Non-Employer: Support</c:v>
                </c:pt>
                <c:pt idx="5">
                  <c:v>Self-Employed / Non-Employer: Worker</c:v>
                </c:pt>
                <c:pt idx="6">
                  <c:v>Other Services: Support</c:v>
                </c:pt>
                <c:pt idx="7">
                  <c:v>Other Services: Worker</c:v>
                </c:pt>
                <c:pt idx="8">
                  <c:v>Mining, Quarrying, and Oil/Gas Extraction: Support</c:v>
                </c:pt>
                <c:pt idx="9">
                  <c:v>Mining, Quarrying, and Oil/Gas Extraction: Worker</c:v>
                </c:pt>
                <c:pt idx="10">
                  <c:v>Utilities: Support</c:v>
                </c:pt>
                <c:pt idx="11">
                  <c:v>Utilities: Worker</c:v>
                </c:pt>
                <c:pt idx="12">
                  <c:v>Wholesale Trade: Support</c:v>
                </c:pt>
                <c:pt idx="13">
                  <c:v>Wholesale Trade: Worker</c:v>
                </c:pt>
                <c:pt idx="14">
                  <c:v>Information: Support</c:v>
                </c:pt>
                <c:pt idx="15">
                  <c:v>Information: Worker</c:v>
                </c:pt>
                <c:pt idx="16">
                  <c:v>Real Estate, Rental and Leasing: Support</c:v>
                </c:pt>
                <c:pt idx="17">
                  <c:v>Real Estate, Rental and Leasing: Worker</c:v>
                </c:pt>
                <c:pt idx="18">
                  <c:v>Waste Management Services: Support</c:v>
                </c:pt>
                <c:pt idx="19">
                  <c:v>Waste Management Services: Worker</c:v>
                </c:pt>
                <c:pt idx="20">
                  <c:v>Arts, Entertainment, and Recreation: Support</c:v>
                </c:pt>
                <c:pt idx="21">
                  <c:v>Arts, Entertainment, and Recreation: Worker</c:v>
                </c:pt>
                <c:pt idx="22">
                  <c:v>Accommodation and Food Services: Support</c:v>
                </c:pt>
                <c:pt idx="23">
                  <c:v>Accommodation and Food Services: Worker</c:v>
                </c:pt>
                <c:pt idx="24">
                  <c:v>Public Administration: Support</c:v>
                </c:pt>
                <c:pt idx="25">
                  <c:v>Public Administration: Worker</c:v>
                </c:pt>
              </c:strCache>
            </c:strRef>
          </c:cat>
          <c:val>
            <c:numRef>
              <c:f>ETPR!$F$30:$F$55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59789157"/>
        <c:axId val="98454806"/>
      </c:barChart>
      <c:catAx>
        <c:axId val="5978915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204117820904"/>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8454806"/>
        <c:crosses val="autoZero"/>
        <c:auto val="1"/>
        <c:lblAlgn val="ctr"/>
        <c:lblOffset val="100"/>
        <c:noMultiLvlLbl val="0"/>
      </c:catAx>
      <c:valAx>
        <c:axId val="9845480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Employment-To-Population Ratio</a:t>
                </a:r>
              </a:p>
            </c:rich>
          </c:tx>
          <c:layout>
            <c:manualLayout>
              <c:xMode val="edge"/>
              <c:yMode val="edge"/>
              <c:x val="0.431043999369185"/>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9789157"/>
        <c:crosses val="max"/>
        <c:crossBetween val="midCat"/>
      </c:valAx>
      <c:spPr>
        <a:noFill/>
        <a:ln w="0">
          <a:solidFill>
            <a:srgbClr val="b3b3b3"/>
          </a:solidFill>
        </a:ln>
      </c:spPr>
    </c:plotArea>
    <c:legend>
      <c:legendPos val="r"/>
      <c:layout>
        <c:manualLayout>
          <c:xMode val="edge"/>
          <c:yMode val="edge"/>
          <c:x val="0.854800567554785"/>
          <c:y val="0.0768245838668374"/>
          <c:w val="0.120093015923065"/>
          <c:h val="0.15633310351620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Participation Rate</a:t>
            </a:r>
          </a:p>
        </c:rich>
      </c:tx>
      <c:layout>
        <c:manualLayout>
          <c:xMode val="edge"/>
          <c:yMode val="edge"/>
          <c:x val="0.270659202018609"/>
          <c:y val="0.0105654615308837"/>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LFPR!$C$2</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LFPR!$C$4:$C$29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LFPR!$D$2</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LFPR!$D$4:$D$29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LFPR!$E$2</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18"/>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LFPR!$E$4:$E$29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LFPR!$F$2</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LFPR!$F$4:$F$29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25449468"/>
        <c:axId val="57066301"/>
      </c:barChart>
      <c:catAx>
        <c:axId val="2544946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17948970544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7066301"/>
        <c:crosses val="autoZero"/>
        <c:auto val="1"/>
        <c:lblAlgn val="ctr"/>
        <c:lblOffset val="100"/>
        <c:noMultiLvlLbl val="0"/>
      </c:catAx>
      <c:valAx>
        <c:axId val="57066301"/>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234505598486"/>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5449468"/>
        <c:crosses val="max"/>
        <c:crossBetween val="midCat"/>
      </c:valAx>
      <c:spPr>
        <a:noFill/>
        <a:ln w="0">
          <a:solidFill>
            <a:srgbClr val="b3b3b3"/>
          </a:solidFill>
        </a:ln>
      </c:spPr>
    </c:plotArea>
    <c:legend>
      <c:legendPos val="r"/>
      <c:layout>
        <c:manualLayout>
          <c:xMode val="edge"/>
          <c:yMode val="edge"/>
          <c:x val="0.802576629107241"/>
          <c:y val="0.0768549062084585"/>
          <c:w val="0.171939639888105"/>
          <c:h val="0.11176485069299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Labor Force Participation Rate</a:t>
            </a:r>
          </a:p>
        </c:rich>
      </c:tx>
      <c:layout>
        <c:manualLayout>
          <c:xMode val="edge"/>
          <c:yMode val="edge"/>
          <c:x val="0.270738053934711"/>
          <c:y val="0.0105654615308837"/>
        </c:manualLayout>
      </c:layout>
      <c:overlay val="0"/>
      <c:spPr>
        <a:noFill/>
        <a:ln w="0">
          <a:noFill/>
        </a:ln>
      </c:spPr>
    </c:title>
    <c:autoTitleDeleted val="0"/>
    <c:plotArea>
      <c:layout>
        <c:manualLayout>
          <c:layoutTarget val="inner"/>
          <c:xMode val="edge"/>
          <c:yMode val="edge"/>
          <c:x val="0.299203595647374"/>
          <c:y val="0.0468673037139198"/>
          <c:w val="0.470391105503864"/>
          <c:h val="0.87419958624766"/>
        </c:manualLayout>
      </c:layout>
      <c:barChart>
        <c:barDir val="bar"/>
        <c:grouping val="clustered"/>
        <c:varyColors val="0"/>
        <c:ser>
          <c:idx val="0"/>
          <c:order val="0"/>
          <c:tx>
            <c:strRef>
              <c:f>LFPR!$C$2</c:f>
              <c:strCache>
                <c:ptCount val="1"/>
                <c:pt idx="0">
                  <c:v>Labor Force Participation Rate (LFPR)</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LFPR!$C$30:$C$55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LFPR!$D$2</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LFPR!$D$30:$D$55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LFPR!$E$2</c:f>
              <c:strCache>
                <c:ptCount val="1"/>
                <c:pt idx="0">
                  <c:v>Unauthorized Immigrant Labor Force Participation Rate (LFPR)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18"/>
            <c:invertIfNegative val="0"/>
            <c:spPr>
              <a:solidFill>
                <a:srgbClr val="ffd320"/>
              </a:solidFill>
              <a:ln w="0">
                <a:noFill/>
              </a:ln>
            </c:spPr>
          </c:dPt>
          <c:dPt>
            <c:idx val="20"/>
            <c:invertIfNegative val="0"/>
            <c:spPr>
              <a:solidFill>
                <a:srgbClr val="ffd320"/>
              </a:solidFill>
              <a:ln w="0">
                <a:noFill/>
              </a:ln>
            </c:spPr>
          </c:dPt>
          <c:dPt>
            <c:idx val="22"/>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LFPR!$E$30:$E$55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LFPR!$F$2</c:f>
              <c:strCache>
                <c:ptCount val="1"/>
                <c:pt idx="0">
                  <c:v>American Labor Force Participation Rate (LFPR)</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1" u="none" strike="noStrike">
                      <a:solidFill>
                        <a:srgbClr val="ffffff"/>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LFPR!$B$30:$B$55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LFPR!$F$30:$F$55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39697462"/>
        <c:axId val="57451939"/>
      </c:barChart>
      <c:catAx>
        <c:axId val="3969746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10560535907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7451939"/>
        <c:crosses val="autoZero"/>
        <c:auto val="1"/>
        <c:lblAlgn val="ctr"/>
        <c:lblOffset val="100"/>
        <c:noMultiLvlLbl val="0"/>
      </c:catAx>
      <c:valAx>
        <c:axId val="5745193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 Force Participation Rate</a:t>
                </a:r>
              </a:p>
            </c:rich>
          </c:tx>
          <c:layout>
            <c:manualLayout>
              <c:xMode val="edge"/>
              <c:yMode val="edge"/>
              <c:x val="0.432423907900962"/>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9697462"/>
        <c:crosses val="max"/>
        <c:crossBetween val="midCat"/>
      </c:valAx>
      <c:spPr>
        <a:noFill/>
        <a:ln w="0">
          <a:solidFill>
            <a:srgbClr val="b3b3b3"/>
          </a:solidFill>
        </a:ln>
      </c:spPr>
    </c:plotArea>
    <c:legend>
      <c:legendPos val="r"/>
      <c:layout>
        <c:manualLayout>
          <c:xMode val="edge"/>
          <c:yMode val="edge"/>
          <c:x val="0.802546013478895"/>
          <c:y val="0.0768226922414005"/>
          <c:w val="0.171921803562983"/>
          <c:h val="0.111764995567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Unemployment Rate</a:t>
            </a:r>
          </a:p>
        </c:rich>
      </c:tx>
      <c:layout>
        <c:manualLayout>
          <c:xMode val="edge"/>
          <c:yMode val="edge"/>
          <c:x val="0.295891815171109"/>
          <c:y val="0.0105654615308837"/>
        </c:manualLayout>
      </c:layout>
      <c:overlay val="0"/>
      <c:spPr>
        <a:noFill/>
        <a:ln w="0">
          <a:noFill/>
        </a:ln>
      </c:spPr>
    </c:title>
    <c:autoTitleDeleted val="0"/>
    <c:plotArea>
      <c:layout>
        <c:manualLayout>
          <c:layoutTarget val="inner"/>
          <c:xMode val="edge"/>
          <c:yMode val="edge"/>
          <c:x val="0.299203595647374"/>
          <c:y val="0.0468673037139198"/>
          <c:w val="0.470391105503864"/>
          <c:h val="0.87419958624766"/>
        </c:manualLayout>
      </c:layout>
      <c:barChart>
        <c:barDir val="bar"/>
        <c:grouping val="clustered"/>
        <c:varyColors val="0"/>
        <c:ser>
          <c:idx val="0"/>
          <c:order val="0"/>
          <c:tx>
            <c:strRef>
              <c:f>U3R!$C$2</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U3R!$C$30:$C$55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U3R!$D$2</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U3R!$D$30:$D$55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U3R!$E$2</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U3R!$E$30:$E$55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U3R!$F$2</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U3R!$F$30:$F$55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62704343"/>
        <c:axId val="84949913"/>
      </c:barChart>
      <c:catAx>
        <c:axId val="6270434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105605359078"/>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4949913"/>
        <c:crosses val="autoZero"/>
        <c:auto val="1"/>
        <c:lblAlgn val="ctr"/>
        <c:lblOffset val="100"/>
        <c:noMultiLvlLbl val="0"/>
      </c:catAx>
      <c:valAx>
        <c:axId val="8494991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423907900962"/>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2704343"/>
        <c:crosses val="max"/>
        <c:crossBetween val="midCat"/>
        <c:majorUnit val="0.01"/>
      </c:valAx>
      <c:spPr>
        <a:noFill/>
        <a:ln w="0">
          <a:solidFill>
            <a:srgbClr val="b3b3b3"/>
          </a:solidFill>
        </a:ln>
      </c:spPr>
    </c:plotArea>
    <c:legend>
      <c:legendPos val="r"/>
      <c:layout>
        <c:manualLayout>
          <c:xMode val="edge"/>
          <c:yMode val="edge"/>
          <c:x val="0.802585425452252"/>
          <c:y val="0.0768719375569399"/>
          <c:w val="0.171961217089705"/>
          <c:h val="0.111764995567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Unemployment Rate</a:t>
            </a:r>
          </a:p>
        </c:rich>
      </c:tx>
      <c:layout>
        <c:manualLayout>
          <c:xMode val="edge"/>
          <c:yMode val="edge"/>
          <c:x val="0.295891815171109"/>
          <c:y val="0.0105654615308837"/>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U3R!$C$2</c:f>
              <c:strCache>
                <c:ptCount val="1"/>
                <c:pt idx="0">
                  <c:v>Unemployment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U3R!$C$4:$C$29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U3R!$D$2</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U3R!$D$4:$D$29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U3R!$E$2</c:f>
              <c:strCache>
                <c:ptCount val="1"/>
                <c:pt idx="0">
                  <c:v>Unauthorized Immigrant Unemployment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U3R!$E$4:$E$29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U3R!$F$2</c:f>
              <c:strCache>
                <c:ptCount val="1"/>
                <c:pt idx="0">
                  <c:v>American Unemployment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U3R!$B$4:$B$29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U3R!$F$4:$F$29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11409284"/>
        <c:axId val="53076536"/>
      </c:barChart>
      <c:catAx>
        <c:axId val="1140928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13023347453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3076536"/>
        <c:crosses val="autoZero"/>
        <c:auto val="1"/>
        <c:lblAlgn val="ctr"/>
        <c:lblOffset val="100"/>
        <c:noMultiLvlLbl val="0"/>
      </c:catAx>
      <c:valAx>
        <c:axId val="5307653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423907900962"/>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1409284"/>
        <c:crosses val="max"/>
        <c:crossBetween val="midCat"/>
        <c:majorUnit val="0.01"/>
      </c:valAx>
      <c:spPr>
        <a:noFill/>
        <a:ln w="0">
          <a:solidFill>
            <a:srgbClr val="b3b3b3"/>
          </a:solidFill>
        </a:ln>
      </c:spPr>
    </c:plotArea>
    <c:legend>
      <c:legendPos val="r"/>
      <c:layout>
        <c:manualLayout>
          <c:xMode val="edge"/>
          <c:yMode val="edge"/>
          <c:x val="0.802562586240883"/>
          <c:y val="0.0768624553626401"/>
          <c:w val="0.171936603059454"/>
          <c:h val="0.11176238794207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Underemployment Rate</a:t>
            </a:r>
          </a:p>
        </c:rich>
      </c:tx>
      <c:layout>
        <c:manualLayout>
          <c:xMode val="edge"/>
          <c:yMode val="edge"/>
          <c:x val="0.280200283866898"/>
          <c:y val="0.0105654615308837"/>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U6R!$C$2</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U6R!$C$4:$C$29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U6R!$D$2</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U6R!$D$4:$D$29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U6R!$E$2</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U6R!$E$4:$E$29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U6R!$F$2</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U6R!$F$4:$F$29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25269845"/>
        <c:axId val="37367424"/>
      </c:barChart>
      <c:catAx>
        <c:axId val="2526984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13023347453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7367424"/>
        <c:crosses val="autoZero"/>
        <c:auto val="1"/>
        <c:lblAlgn val="ctr"/>
        <c:lblOffset val="100"/>
        <c:noMultiLvlLbl val="0"/>
      </c:catAx>
      <c:valAx>
        <c:axId val="3736742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2108500236556"/>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5269845"/>
        <c:crosses val="max"/>
        <c:crossBetween val="midCat"/>
        <c:majorUnit val="0.01"/>
      </c:valAx>
      <c:spPr>
        <a:noFill/>
        <a:ln w="0">
          <a:solidFill>
            <a:srgbClr val="b3b3b3"/>
          </a:solidFill>
        </a:ln>
      </c:spPr>
    </c:plotArea>
    <c:legend>
      <c:legendPos val="r"/>
      <c:layout>
        <c:manualLayout>
          <c:xMode val="edge"/>
          <c:yMode val="edge"/>
          <c:x val="0.802562586240883"/>
          <c:y val="0.0768624553626401"/>
          <c:w val="0.171936603059454"/>
          <c:h val="0.11176238794207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Underemployment Rate</a:t>
            </a:r>
          </a:p>
        </c:rich>
      </c:tx>
      <c:layout>
        <c:manualLayout>
          <c:xMode val="edge"/>
          <c:yMode val="edge"/>
          <c:x val="0.280200283866898"/>
          <c:y val="0.0105654615308837"/>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U6R!$C$2</c:f>
              <c:strCache>
                <c:ptCount val="1"/>
                <c:pt idx="0">
                  <c:v>Underemployment Rate</c:v>
                </c:pt>
              </c:strCache>
            </c:strRef>
          </c:tx>
          <c:spPr>
            <a:solidFill>
              <a:srgbClr val="004586"/>
            </a:solidFill>
            <a:ln w="0">
              <a:noFill/>
            </a:ln>
          </c:spPr>
          <c:invertIfNegative val="0"/>
          <c:dPt>
            <c:idx val="8"/>
            <c:invertIfNegative val="0"/>
            <c:spPr>
              <a:solidFill>
                <a:srgbClr val="004586"/>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U6R!$C$30:$C$55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U6R!$D$2</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U6R!$D$30:$D$55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U6R!$E$2</c:f>
              <c:strCache>
                <c:ptCount val="1"/>
                <c:pt idx="0">
                  <c:v>Unauthorized Immigrant Underemployment Rate</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U6R!$E$30:$E$55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U6R!$F$2</c:f>
              <c:strCache>
                <c:ptCount val="1"/>
                <c:pt idx="0">
                  <c:v>American Underemployment Rate</c:v>
                </c:pt>
              </c:strCache>
            </c:strRef>
          </c:tx>
          <c:spPr>
            <a:solidFill>
              <a:srgbClr val="579d1c"/>
            </a:solidFill>
            <a:ln w="0">
              <a:noFill/>
            </a:ln>
          </c:spPr>
          <c:invertIfNegative val="0"/>
          <c:dPt>
            <c:idx val="8"/>
            <c:invertIfNegative val="0"/>
            <c:spPr>
              <a:solidFill>
                <a:srgbClr val="579d1c"/>
              </a:solidFill>
              <a:ln w="0">
                <a:noFill/>
              </a:ln>
            </c:spPr>
          </c:dPt>
          <c:dLbls>
            <c:dLbl>
              <c:idx val="8"/>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U6R!$B$30:$B$55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U6R!$F$30:$F$55</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44191002"/>
        <c:axId val="32216229"/>
      </c:barChart>
      <c:catAx>
        <c:axId val="4419100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8080977243621"/>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2216229"/>
        <c:crosses val="autoZero"/>
        <c:auto val="1"/>
        <c:lblAlgn val="ctr"/>
        <c:lblOffset val="100"/>
        <c:noMultiLvlLbl val="0"/>
      </c:catAx>
      <c:valAx>
        <c:axId val="3221622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32187352152657"/>
              <c:y val="0.96938725248744"/>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4191002"/>
        <c:crosses val="max"/>
        <c:crossBetween val="midCat"/>
        <c:majorUnit val="0.01"/>
      </c:valAx>
      <c:spPr>
        <a:noFill/>
        <a:ln w="0">
          <a:solidFill>
            <a:srgbClr val="b3b3b3"/>
          </a:solidFill>
        </a:ln>
      </c:spPr>
    </c:plotArea>
    <c:legend>
      <c:legendPos val="r"/>
      <c:layout>
        <c:manualLayout>
          <c:xMode val="edge"/>
          <c:yMode val="edge"/>
          <c:x val="0.802523161837177"/>
          <c:y val="0.0768378278537126"/>
          <c:w val="0.171936603059454"/>
          <c:h val="0.11176238794207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Wage Average</a:t>
            </a:r>
          </a:p>
        </c:rich>
      </c:tx>
      <c:layout>
        <c:manualLayout>
          <c:xMode val="edge"/>
          <c:yMode val="edge"/>
          <c:x val="0.316945276770226"/>
          <c:y val="0.0105654615308837"/>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WAVG!$C$2</c:f>
              <c:strCache>
                <c:ptCount val="1"/>
                <c:pt idx="0">
                  <c:v>Wage Average ($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WAVG!$C$4:$C$29</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WAVG!$D$2</c:f>
              <c:strCache>
                <c:ptCount val="1"/>
                <c:pt idx="0">
                  <c:v>Authorized Immigrant Wage Average ($ /hr)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WAVG!$D$4:$D$29</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WAVG!$E$2</c:f>
              <c:strCache>
                <c:ptCount val="1"/>
                <c:pt idx="0">
                  <c:v>Unauthorized Immigrant Wage Average ($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WAVG!$E$4:$E$29</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WAVG!$F$2</c:f>
              <c:strCache>
                <c:ptCount val="1"/>
                <c:pt idx="0">
                  <c:v>American Wage Average ($ /hr)</c:v>
                </c:pt>
              </c:strCache>
            </c:strRef>
          </c:tx>
          <c:spPr>
            <a:solidFill>
              <a:srgbClr val="579d1c"/>
            </a:solidFill>
            <a:ln w="0">
              <a:noFill/>
            </a:ln>
          </c:spPr>
          <c:invertIfNegative val="0"/>
          <c:dLbls>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WAVG!$F$4:$F$29</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21625483"/>
        <c:axId val="10048533"/>
      </c:barChart>
      <c:catAx>
        <c:axId val="2162548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98246478179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0048533"/>
        <c:crosses val="autoZero"/>
        <c:auto val="1"/>
        <c:lblAlgn val="ctr"/>
        <c:lblOffset val="100"/>
        <c:noMultiLvlLbl val="0"/>
      </c:catAx>
      <c:valAx>
        <c:axId val="1004853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2581611733165"/>
              <c:y val="0.96938725248744"/>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1625483"/>
        <c:crosses val="max"/>
        <c:crossBetween val="midCat"/>
      </c:valAx>
      <c:spPr>
        <a:noFill/>
        <a:ln w="0">
          <a:solidFill>
            <a:srgbClr val="b3b3b3"/>
          </a:solidFill>
        </a:ln>
      </c:spPr>
    </c:plotArea>
    <c:legend>
      <c:legendPos val="r"/>
      <c:layout>
        <c:manualLayout>
          <c:xMode val="edge"/>
          <c:yMode val="edge"/>
          <c:x val="0.802523161837177"/>
          <c:y val="0.0767639453269302"/>
          <c:w val="0.171897177101404"/>
          <c:h val="0.0721850064033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Wage Average</a:t>
            </a:r>
          </a:p>
        </c:rich>
      </c:tx>
      <c:layout>
        <c:manualLayout>
          <c:xMode val="edge"/>
          <c:yMode val="edge"/>
          <c:x val="0.317102980602429"/>
          <c:y val="0.0105654615308837"/>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WAVG!$C$2</c:f>
              <c:strCache>
                <c:ptCount val="1"/>
                <c:pt idx="0">
                  <c:v>Wage Average ($ /hr)</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WAVG!$C$30:$C$55</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WAVG!$D$2</c:f>
              <c:strCache>
                <c:ptCount val="1"/>
                <c:pt idx="0">
                  <c:v>Authorized Immigrant Wage Average ($ /hr)</c:v>
                </c:pt>
              </c:strCache>
            </c:strRef>
          </c:tx>
          <c:spPr>
            <a:solidFill>
              <a:srgbClr val="ff420e"/>
            </a:solidFill>
            <a:ln w="0">
              <a:noFill/>
            </a:ln>
          </c:spPr>
          <c:invertIfNegative val="0"/>
          <c:dPt>
            <c:idx val="18"/>
            <c:invertIfNegative val="0"/>
            <c:spPr>
              <a:solidFill>
                <a:srgbClr val="ff420e"/>
              </a:solidFill>
              <a:ln w="0">
                <a:noFill/>
              </a:ln>
            </c:spPr>
          </c:dPt>
          <c:dLbls>
            <c:dLbl>
              <c:idx val="1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WAVG!$D$30:$D$55</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WAVG!$E$2</c:f>
              <c:strCache>
                <c:ptCount val="1"/>
                <c:pt idx="0">
                  <c:v>Unauthorized Immigrant Wage Average ($ /hr)</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WAVG!$E$30:$E$55</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WAVG!$F$2</c:f>
              <c:strCache>
                <c:ptCount val="1"/>
                <c:pt idx="0">
                  <c:v>American Wage Average ($ /hr)</c:v>
                </c:pt>
              </c:strCache>
            </c:strRef>
          </c:tx>
          <c:spPr>
            <a:solidFill>
              <a:srgbClr val="579d1c"/>
            </a:solidFill>
            <a:ln w="0">
              <a:noFill/>
            </a:ln>
          </c:spPr>
          <c:invertIfNegative val="0"/>
          <c:dLbls>
            <c:numFmt formatCode="[$$-409]#,##0.00;[RED]\-[$$-409]#,##0.0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WAVG!$B$30:$B$55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WAVG!$F$30:$F$55</c:f>
              <c:numCache>
                <c:formatCode>[$$-409]#,##0.00;[RED]\-[$$-409]#,##0.00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54058715"/>
        <c:axId val="62467396"/>
      </c:barChart>
      <c:catAx>
        <c:axId val="54058715"/>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93320855088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62467396"/>
        <c:crosses val="autoZero"/>
        <c:auto val="1"/>
        <c:lblAlgn val="ctr"/>
        <c:lblOffset val="100"/>
        <c:noMultiLvlLbl val="0"/>
      </c:catAx>
      <c:valAx>
        <c:axId val="62467396"/>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 Average</a:t>
                </a:r>
              </a:p>
            </c:rich>
          </c:tx>
          <c:layout>
            <c:manualLayout>
              <c:xMode val="edge"/>
              <c:yMode val="edge"/>
              <c:x val="0.432660463649267"/>
              <c:y val="0.96938725248744"/>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4058715"/>
        <c:crosses val="max"/>
        <c:crossBetween val="midCat"/>
      </c:valAx>
      <c:spPr>
        <a:noFill/>
        <a:ln w="0">
          <a:solidFill>
            <a:srgbClr val="b3b3b3"/>
          </a:solidFill>
        </a:ln>
      </c:spPr>
    </c:plotArea>
    <c:legend>
      <c:legendPos val="r"/>
      <c:layout>
        <c:manualLayout>
          <c:xMode val="edge"/>
          <c:yMode val="edge"/>
          <c:x val="0.802483737433471"/>
          <c:y val="0.0767639453269302"/>
          <c:w val="0.171857751143353"/>
          <c:h val="0.0721850064033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Annual Income Average</a:t>
            </a:r>
          </a:p>
        </c:rich>
      </c:tx>
      <c:layout>
        <c:manualLayout>
          <c:xMode val="edge"/>
          <c:yMode val="edge"/>
          <c:x val="0.281895600063082"/>
          <c:y val="0.016845630972318"/>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AIAVG!$C$2</c:f>
              <c:strCache>
                <c:ptCount val="1"/>
                <c:pt idx="0">
                  <c:v>Annual Income Average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AIAVG!$C$4:$C$29</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AIAVG!$D$2</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AIAVG!$D$4:$D$29</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AIAVG!$E$2</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AIAVG!$E$4:$E$29</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AIAVG!$F$2</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AIAVG!$F$4:$F$29</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70446392"/>
        <c:axId val="22343635"/>
      </c:barChart>
      <c:catAx>
        <c:axId val="7044639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83469608905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2343635"/>
        <c:crosses val="autoZero"/>
        <c:auto val="1"/>
        <c:lblAlgn val="ctr"/>
        <c:lblOffset val="100"/>
        <c:noMultiLvlLbl val="0"/>
      </c:catAx>
      <c:valAx>
        <c:axId val="2234363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004573411134"/>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0446392"/>
        <c:crosses val="max"/>
        <c:crossBetween val="midCat"/>
      </c:valAx>
      <c:spPr>
        <a:noFill/>
        <a:ln w="0">
          <a:solidFill>
            <a:srgbClr val="b3b3b3"/>
          </a:solidFill>
        </a:ln>
      </c:spPr>
    </c:plotArea>
    <c:legend>
      <c:legendPos val="r"/>
      <c:layout>
        <c:manualLayout>
          <c:xMode val="edge"/>
          <c:yMode val="edge"/>
          <c:x val="0.785871877708612"/>
          <c:y val="0.0767810546009552"/>
          <c:w val="0.188526850793901"/>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Annual Income Average</a:t>
            </a:r>
          </a:p>
        </c:rich>
      </c:tx>
      <c:layout>
        <c:manualLayout>
          <c:xMode val="edge"/>
          <c:yMode val="edge"/>
          <c:x val="0.281895600063082"/>
          <c:y val="0.016845630972318"/>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AIAVG!$C$2</c:f>
              <c:strCache>
                <c:ptCount val="1"/>
                <c:pt idx="0">
                  <c:v>Annual Income Average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Pt>
            <c:idx val="22"/>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AIAVG!$C$30:$C$55</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AIAVG!$D$2</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Pt>
            <c:idx val="22"/>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AIAVG!$D$30:$D$55</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AIAVG!$E$2</c:f>
              <c:strCache>
                <c:ptCount val="1"/>
                <c:pt idx="0">
                  <c:v>Unauthorized Immigrant Annual Income Average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AIAVG!$E$30:$E$55</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AIAVG!$F$2</c:f>
              <c:strCache>
                <c:ptCount val="1"/>
                <c:pt idx="0">
                  <c:v>American Annual Income Average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Pt>
            <c:idx val="22"/>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AIAVG!$B$30:$B$55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AIAVG!$F$30:$F$55</c:f>
              <c:numCache>
                <c:formatCode>[$$-409]#,##0;[RED]\-[$$-409]#,##0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51597376"/>
        <c:axId val="58932543"/>
      </c:barChart>
      <c:catAx>
        <c:axId val="5159737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71155551177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8932543"/>
        <c:crosses val="autoZero"/>
        <c:auto val="1"/>
        <c:lblAlgn val="ctr"/>
        <c:lblOffset val="100"/>
        <c:noMultiLvlLbl val="0"/>
      </c:catAx>
      <c:valAx>
        <c:axId val="5893254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 Average</a:t>
                </a:r>
              </a:p>
            </c:rich>
          </c:tx>
          <c:layout>
            <c:manualLayout>
              <c:xMode val="edge"/>
              <c:yMode val="edge"/>
              <c:x val="0.431004573411134"/>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1597376"/>
        <c:crosses val="max"/>
        <c:crossBetween val="midCat"/>
      </c:valAx>
      <c:spPr>
        <a:noFill/>
        <a:ln w="0">
          <a:solidFill>
            <a:srgbClr val="b3b3b3"/>
          </a:solidFill>
        </a:ln>
      </c:spPr>
    </c:plotArea>
    <c:legend>
      <c:legendPos val="r"/>
      <c:layout>
        <c:manualLayout>
          <c:xMode val="edge"/>
          <c:yMode val="edge"/>
          <c:x val="0.785807214665878"/>
          <c:y val="0.0767393178180027"/>
          <c:w val="0.188495505440782"/>
          <c:h val="0.11166387548024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Personal Income Tax Revenue</a:t>
            </a:r>
          </a:p>
        </c:rich>
      </c:tx>
      <c:layout>
        <c:manualLayout>
          <c:xMode val="edge"/>
          <c:yMode val="edge"/>
          <c:x val="0.226699258791989"/>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FPITREV!$C$2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FPITREV!$C$4:$C$29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FPITREV!$D$2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FPITREV!$D$4:$D$29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FPITREV!$E$2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FPITREV!$E$4:$E$29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FPITREV!$F$2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FPITREV!$F$4:$F$29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17086047"/>
        <c:axId val="10996873"/>
      </c:barChart>
      <c:catAx>
        <c:axId val="1708604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83469608905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0996873"/>
        <c:crosses val="autoZero"/>
        <c:auto val="1"/>
        <c:lblAlgn val="ctr"/>
        <c:lblOffset val="100"/>
        <c:noMultiLvlLbl val="0"/>
      </c:catAx>
      <c:valAx>
        <c:axId val="1099687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2621037691216"/>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17086047"/>
        <c:crosses val="max"/>
        <c:crossBetween val="midCat"/>
        <c:majorUnit val="1000000"/>
      </c:valAx>
      <c:spPr>
        <a:noFill/>
        <a:ln w="0">
          <a:solidFill>
            <a:srgbClr val="b3b3b3"/>
          </a:solidFill>
        </a:ln>
      </c:spPr>
    </c:plotArea>
    <c:legend>
      <c:legendPos val="r"/>
      <c:layout>
        <c:manualLayout>
          <c:xMode val="edge"/>
          <c:yMode val="edge"/>
          <c:x val="0.785840917149273"/>
          <c:y val="0.0767545479162051"/>
          <c:w val="0.188558821211882"/>
          <c:h val="0.1117128649500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Personal Income Tax Revenue</a:t>
            </a:r>
          </a:p>
        </c:rich>
      </c:tx>
      <c:layout>
        <c:manualLayout>
          <c:xMode val="edge"/>
          <c:yMode val="edge"/>
          <c:x val="0.226699258791989"/>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FPITREV!$C$2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FPITREV!$C$30:$C$55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FPITREV!$D$2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FPITREV!$D$30:$D$55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FPITREV!$E$2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FPITREV!$F$2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FPITREV!$B$30:$B$55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FPITREV!$F$30:$F$55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89533834"/>
        <c:axId val="30755089"/>
      </c:barChart>
      <c:catAx>
        <c:axId val="89533834"/>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68692739631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0755089"/>
        <c:crosses val="autoZero"/>
        <c:auto val="1"/>
        <c:lblAlgn val="ctr"/>
        <c:lblOffset val="100"/>
        <c:noMultiLvlLbl val="0"/>
      </c:catAx>
      <c:valAx>
        <c:axId val="30755089"/>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43281816748147"/>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9533834"/>
        <c:crosses val="max"/>
        <c:crossBetween val="midCat"/>
      </c:valAx>
      <c:spPr>
        <a:noFill/>
        <a:ln w="0">
          <a:solidFill>
            <a:srgbClr val="b3b3b3"/>
          </a:solidFill>
        </a:ln>
      </c:spPr>
    </c:plotArea>
    <c:legend>
      <c:legendPos val="r"/>
      <c:layout>
        <c:manualLayout>
          <c:xMode val="edge"/>
          <c:yMode val="edge"/>
          <c:x val="0.785807214665878"/>
          <c:y val="0.0767146903090752"/>
          <c:w val="0.188534931398833"/>
          <c:h val="0.11168850359570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Personal Payroll Tax Revenue</a:t>
            </a:r>
          </a:p>
        </c:rich>
      </c:tx>
      <c:layout>
        <c:manualLayout>
          <c:xMode val="edge"/>
          <c:yMode val="edge"/>
          <c:x val="0.260763286547863"/>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FPPTREV!$C$2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FPPTREV!$C$4:$C$29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FPPTREV!$D$2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FPPTREV!$D$4:$D$29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FPPTREV!$E$2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FPPTREV!$E$4:$E$29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FPPTREV!$F$2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FPPTREV!$F$4:$F$29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42641848"/>
        <c:axId val="34506542"/>
      </c:barChart>
      <c:catAx>
        <c:axId val="42641848"/>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711555511772"/>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4506542"/>
        <c:crosses val="autoZero"/>
        <c:auto val="1"/>
        <c:lblAlgn val="ctr"/>
        <c:lblOffset val="100"/>
        <c:noMultiLvlLbl val="0"/>
      </c:catAx>
      <c:valAx>
        <c:axId val="3450654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Payroll Tax Revenue</a:t>
                </a:r>
              </a:p>
            </c:rich>
          </c:tx>
          <c:layout>
            <c:manualLayout>
              <c:xMode val="edge"/>
              <c:yMode val="edge"/>
              <c:x val="0.432621037691216"/>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2641848"/>
        <c:crosses val="max"/>
        <c:crossBetween val="midCat"/>
        <c:majorUnit val="1000000"/>
      </c:valAx>
      <c:spPr>
        <a:noFill/>
        <a:ln w="0">
          <a:solidFill>
            <a:srgbClr val="b3b3b3"/>
          </a:solidFill>
        </a:ln>
      </c:spPr>
    </c:plotArea>
    <c:legend>
      <c:legendPos val="r"/>
      <c:layout>
        <c:manualLayout>
          <c:xMode val="edge"/>
          <c:yMode val="edge"/>
          <c:x val="0.804310141044835"/>
          <c:y val="0.0767810546009552"/>
          <c:w val="0.170166660100075"/>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Federal Personal Payroll Tax Revenue</a:t>
            </a:r>
          </a:p>
        </c:rich>
      </c:tx>
      <c:layout>
        <c:manualLayout>
          <c:xMode val="edge"/>
          <c:yMode val="edge"/>
          <c:x val="0.260763286547863"/>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FPPTREV!$C$2</c:f>
              <c:strCache>
                <c:ptCount val="1"/>
                <c:pt idx="0">
                  <c:v>Federal Personal Income Tax Revenue ($)</c:v>
                </c:pt>
              </c:strCache>
            </c:strRef>
          </c:tx>
          <c:spPr>
            <a:solidFill>
              <a:srgbClr val="004586"/>
            </a:solidFill>
            <a:ln w="0">
              <a:noFill/>
            </a:ln>
          </c:spPr>
          <c:invertIfNegative val="0"/>
          <c:dPt>
            <c:idx val="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FPPTREV!$C$30:$C$55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FPPTREV!$D$2</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FPPTREV!$D$30:$D$55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FPPTREV!$E$2</c:f>
              <c:strCache>
                <c:ptCount val="1"/>
                <c:pt idx="0">
                  <c:v>Unauthorized Immigrant Federal Personal Income Tax Revenue ($)</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FPPTREV!$F$2</c:f>
              <c:strCache>
                <c:ptCount val="1"/>
                <c:pt idx="0">
                  <c:v>American Federal Personal Income Tax Revenue ($)</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FPPTREV!$B$30:$B$55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FPPTREV!$F$30:$F$55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7602821"/>
        <c:axId val="94973223"/>
      </c:barChart>
      <c:catAx>
        <c:axId val="760282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61304304994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4973223"/>
        <c:crosses val="autoZero"/>
        <c:auto val="1"/>
        <c:lblAlgn val="ctr"/>
        <c:lblOffset val="100"/>
        <c:noMultiLvlLbl val="0"/>
      </c:catAx>
      <c:valAx>
        <c:axId val="94973223"/>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Payroll Tax Revenue</a:t>
                </a:r>
              </a:p>
            </c:rich>
          </c:tx>
          <c:layout>
            <c:manualLayout>
              <c:xMode val="edge"/>
              <c:yMode val="edge"/>
              <c:x val="0.432699889607318"/>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602821"/>
        <c:crosses val="max"/>
        <c:crossBetween val="midCat"/>
      </c:valAx>
      <c:spPr>
        <a:noFill/>
        <a:ln w="0">
          <a:solidFill>
            <a:srgbClr val="b3b3b3"/>
          </a:solidFill>
        </a:ln>
      </c:spPr>
    </c:plotArea>
    <c:legend>
      <c:legendPos val="r"/>
      <c:layout>
        <c:manualLayout>
          <c:xMode val="edge"/>
          <c:yMode val="edge"/>
          <c:x val="0.804257835600237"/>
          <c:y val="0.0767393178180027"/>
          <c:w val="0.170123008989118"/>
          <c:h val="0.11166387548024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Earned Income Tax Credit Refund</a:t>
            </a:r>
          </a:p>
        </c:rich>
      </c:tx>
      <c:layout>
        <c:manualLayout>
          <c:xMode val="edge"/>
          <c:yMode val="edge"/>
          <c:x val="0.245032329285602"/>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EITCREF!$C$2</c:f>
              <c:strCache>
                <c:ptCount val="1"/>
                <c:pt idx="0">
                  <c:v>EITC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EITCREF!$C$4:$C$29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EITCREF!$D$2</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EITCREF!$D$4:$D$29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EITCREF!$E$2</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EITCREF!$E$4:$E$29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EITCREF!$F$2</c:f>
              <c:strCache>
                <c:ptCount val="1"/>
                <c:pt idx="0">
                  <c:v>American EITC Refund</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EITCREF!$F$4:$F$29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96779643"/>
        <c:axId val="79174058"/>
      </c:barChart>
      <c:catAx>
        <c:axId val="9677964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68692739631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9174058"/>
        <c:crosses val="autoZero"/>
        <c:auto val="1"/>
        <c:lblAlgn val="ctr"/>
        <c:lblOffset val="100"/>
        <c:noMultiLvlLbl val="0"/>
      </c:catAx>
      <c:valAx>
        <c:axId val="7917405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2857593439521"/>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6779643"/>
        <c:crosses val="max"/>
        <c:crossBetween val="midCat"/>
      </c:valAx>
      <c:spPr>
        <a:noFill/>
        <a:ln w="0">
          <a:solidFill>
            <a:srgbClr val="b3b3b3"/>
          </a:solidFill>
        </a:ln>
      </c:spPr>
    </c:plotArea>
    <c:legend>
      <c:legendPos val="r"/>
      <c:layout>
        <c:manualLayout>
          <c:xMode val="edge"/>
          <c:yMode val="edge"/>
          <c:x val="0.804278454083442"/>
          <c:y val="0.0767545479162051"/>
          <c:w val="0.170159955874242"/>
          <c:h val="0.1117128649500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Earned Income Tax Credit Refund</a:t>
            </a:r>
          </a:p>
        </c:rich>
      </c:tx>
      <c:layout>
        <c:manualLayout>
          <c:xMode val="edge"/>
          <c:yMode val="edge"/>
          <c:x val="0.245190033117805"/>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EITCREF!$C$2</c:f>
              <c:strCache>
                <c:ptCount val="1"/>
                <c:pt idx="0">
                  <c:v>EITC Credit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EITCREF!$C$30:$C$55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EITCREF!$D$2</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EITCREF!$D$30:$D$55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EITCREF!$E$2</c:f>
              <c:strCache>
                <c:ptCount val="1"/>
                <c:pt idx="0">
                  <c:v>Unauthorized Immigrant EITC Credit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EITCREF!$F$2</c:f>
              <c:strCache>
                <c:ptCount val="1"/>
                <c:pt idx="0">
                  <c:v>American EITC Refund</c:v>
                </c:pt>
              </c:strCache>
            </c:strRef>
          </c:tx>
          <c:spPr>
            <a:solidFill>
              <a:srgbClr val="579d1c"/>
            </a:solidFill>
            <a:ln w="0">
              <a:noFill/>
            </a:ln>
          </c:spPr>
          <c:invertIfNegative val="0"/>
          <c:dPt>
            <c:idx val="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EITCREF!$B$30:$B$55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EITCREF!$F$30:$F$55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34619649"/>
        <c:axId val="80117452"/>
      </c:barChart>
      <c:catAx>
        <c:axId val="34619649"/>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588414934489"/>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80117452"/>
        <c:crosses val="autoZero"/>
        <c:auto val="1"/>
        <c:lblAlgn val="ctr"/>
        <c:lblOffset val="100"/>
        <c:noMultiLvlLbl val="0"/>
      </c:catAx>
      <c:valAx>
        <c:axId val="80117452"/>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Earned Income Tax Credit Refund</a:t>
                </a:r>
              </a:p>
            </c:rich>
          </c:tx>
          <c:layout>
            <c:manualLayout>
              <c:xMode val="edge"/>
              <c:yMode val="edge"/>
              <c:x val="0.433015297271724"/>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4619649"/>
        <c:crosses val="max"/>
        <c:crossBetween val="midCat"/>
      </c:valAx>
      <c:spPr>
        <a:noFill/>
        <a:ln w="0">
          <a:solidFill>
            <a:srgbClr val="b3b3b3"/>
          </a:solidFill>
        </a:ln>
      </c:spPr>
    </c:plotArea>
    <c:legend>
      <c:legendPos val="r"/>
      <c:layout>
        <c:manualLayout>
          <c:xMode val="edge"/>
          <c:yMode val="edge"/>
          <c:x val="0.804218411196531"/>
          <c:y val="0.0767146903090752"/>
          <c:w val="0.170123008989118"/>
          <c:h val="0.11168850359570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41586500552"/>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ACTCREF!$C$2</c:f>
              <c:strCache>
                <c:ptCount val="1"/>
                <c:pt idx="0">
                  <c:v>ACTC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ACTCREF!$C$4:$C$29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ACTCREF!$D$2</c:f>
              <c:strCache>
                <c:ptCount val="1"/>
                <c:pt idx="0">
                  <c:v>Authorized Immigrant ACTC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ACTCREF!$D$4:$D$29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ACTCREF!$E$2</c:f>
              <c:strCache>
                <c:ptCount val="1"/>
                <c:pt idx="0">
                  <c:v>Unauthorized Immigrant ACTC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ACTCREF!$E$4:$E$29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ACTCREF!$F$2</c:f>
              <c:strCache>
                <c:ptCount val="1"/>
                <c:pt idx="0">
                  <c:v>American Tax ACTC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ACTCREF!$F$4:$F$29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78944596"/>
        <c:axId val="50245088"/>
      </c:barChart>
      <c:catAx>
        <c:axId val="78944596"/>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514530588119"/>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50245088"/>
        <c:crosses val="autoZero"/>
        <c:auto val="1"/>
        <c:lblAlgn val="ctr"/>
        <c:lblOffset val="100"/>
        <c:noMultiLvlLbl val="0"/>
      </c:catAx>
      <c:valAx>
        <c:axId val="5024508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241129159439"/>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8944596"/>
        <c:crosses val="max"/>
        <c:crossBetween val="midCat"/>
      </c:valAx>
      <c:spPr>
        <a:noFill/>
        <a:ln w="0">
          <a:solidFill>
            <a:srgbClr val="b3b3b3"/>
          </a:solidFill>
        </a:ln>
      </c:spPr>
    </c:plotArea>
    <c:legend>
      <c:legendPos val="r"/>
      <c:layout>
        <c:manualLayout>
          <c:xMode val="edge"/>
          <c:yMode val="edge"/>
          <c:x val="0.804257835600237"/>
          <c:y val="0.0767146903090752"/>
          <c:w val="0.170162434947169"/>
          <c:h val="0.11168850359570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41586500552"/>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ACTCREF!$C$2</c:f>
              <c:strCache>
                <c:ptCount val="1"/>
                <c:pt idx="0">
                  <c:v>ACTC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ACTCREF!$C$30:$C$55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ACTCREF!$D$2</c:f>
              <c:strCache>
                <c:ptCount val="1"/>
                <c:pt idx="0">
                  <c:v>Authorized Immigrant ACTC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ACTCREF!$D$30:$D$55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ACTCREF!$E$2</c:f>
              <c:strCache>
                <c:ptCount val="1"/>
                <c:pt idx="0">
                  <c:v>Unauthorized Immigrant ACTC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ACTCREF!$F$2</c:f>
              <c:strCache>
                <c:ptCount val="1"/>
                <c:pt idx="0">
                  <c:v>American Tax ACTC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ACTCREF!$F$30:$F$55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98905263"/>
        <c:axId val="7394024"/>
      </c:barChart>
      <c:catAx>
        <c:axId val="9890526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465274357206"/>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394024"/>
        <c:crosses val="autoZero"/>
        <c:auto val="1"/>
        <c:lblAlgn val="ctr"/>
        <c:lblOffset val="100"/>
        <c:noMultiLvlLbl val="0"/>
      </c:catAx>
      <c:valAx>
        <c:axId val="739402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Additional Child Tax Credit Refund</a:t>
                </a:r>
              </a:p>
            </c:rich>
          </c:tx>
          <c:layout>
            <c:manualLayout>
              <c:xMode val="edge"/>
              <c:yMode val="edge"/>
              <c:x val="0.431241129159439"/>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8905263"/>
        <c:crosses val="max"/>
        <c:crossBetween val="midCat"/>
      </c:valAx>
      <c:spPr>
        <a:noFill/>
        <a:ln w="0">
          <a:solidFill>
            <a:srgbClr val="b3b3b3"/>
          </a:solidFill>
        </a:ln>
      </c:spPr>
    </c:plotArea>
    <c:legend>
      <c:legendPos val="r"/>
      <c:layout>
        <c:manualLayout>
          <c:xMode val="edge"/>
          <c:yMode val="edge"/>
          <c:x val="0.804218411196531"/>
          <c:y val="0.0766900628001478"/>
          <c:w val="0.170123008989118"/>
          <c:h val="0.11166387548024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494716921621"/>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AOTCREF!$C$2</c:f>
              <c:strCache>
                <c:ptCount val="1"/>
                <c:pt idx="0">
                  <c:v>AOTC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AOTCREF!$C$4:$C$29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AOTCREF!$D$2</c:f>
              <c:strCache>
                <c:ptCount val="1"/>
                <c:pt idx="0">
                  <c:v>Authorized Immigrant AOTC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AOTCREF!$D$4:$D$29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AOTCREF!$E$2</c:f>
              <c:strCache>
                <c:ptCount val="1"/>
                <c:pt idx="0">
                  <c:v>Unauthorized Immigrant AOTC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AOTCREF!$E$4:$E$29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AOTCREF!$F$2</c:f>
              <c:strCache>
                <c:ptCount val="1"/>
                <c:pt idx="0">
                  <c:v>American Tax AOTC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AOTCREF!$F$4:$F$29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75035007"/>
        <c:axId val="95421044"/>
      </c:barChart>
      <c:catAx>
        <c:axId val="75035007"/>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48990247266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5421044"/>
        <c:crosses val="autoZero"/>
        <c:auto val="1"/>
        <c:lblAlgn val="ctr"/>
        <c:lblOffset val="100"/>
        <c:noMultiLvlLbl val="0"/>
      </c:catAx>
      <c:valAx>
        <c:axId val="95421044"/>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241129159439"/>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5035007"/>
        <c:crosses val="max"/>
        <c:crossBetween val="midCat"/>
      </c:valAx>
      <c:spPr>
        <a:noFill/>
        <a:ln w="0">
          <a:solidFill>
            <a:srgbClr val="b3b3b3"/>
          </a:solidFill>
        </a:ln>
      </c:spPr>
    </c:plotArea>
    <c:legend>
      <c:legendPos val="r"/>
      <c:layout>
        <c:manualLayout>
          <c:xMode val="edge"/>
          <c:yMode val="edge"/>
          <c:x val="0.804270743046253"/>
          <c:y val="0.0767318201959529"/>
          <c:w val="0.17004846144754"/>
          <c:h val="0.111690997267423"/>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494716921621"/>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AOTCREF!$C$2</c:f>
              <c:strCache>
                <c:ptCount val="1"/>
                <c:pt idx="0">
                  <c:v>AOTC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AOTCREF!$C$30:$C$55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AOTCREF!$D$2</c:f>
              <c:strCache>
                <c:ptCount val="1"/>
                <c:pt idx="0">
                  <c:v>Authorized Immigrant AOTC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AOTCREF!$D$30:$D$55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AOTCREF!$E$2</c:f>
              <c:strCache>
                <c:ptCount val="1"/>
                <c:pt idx="0">
                  <c:v>Unauthorized Immigrant AOTC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AOTCREF!$F$2</c:f>
              <c:strCache>
                <c:ptCount val="1"/>
                <c:pt idx="0">
                  <c:v>American Tax AOTC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AOTCREF!$B$30:$B$55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AOTCREF!$F$30:$F$55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37296242"/>
        <c:axId val="91520608"/>
      </c:barChart>
      <c:catAx>
        <c:axId val="37296242"/>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44064624175"/>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1520608"/>
        <c:crosses val="autoZero"/>
        <c:auto val="1"/>
        <c:lblAlgn val="ctr"/>
        <c:lblOffset val="100"/>
        <c:noMultiLvlLbl val="0"/>
      </c:catAx>
      <c:valAx>
        <c:axId val="9152060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241129159439"/>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37296242"/>
        <c:crosses val="max"/>
        <c:crossBetween val="midCat"/>
      </c:valAx>
      <c:spPr>
        <a:noFill/>
        <a:ln w="0">
          <a:solidFill>
            <a:srgbClr val="b3b3b3"/>
          </a:solidFill>
        </a:ln>
      </c:spPr>
    </c:plotArea>
    <c:legend>
      <c:legendPos val="r"/>
      <c:layout>
        <c:manualLayout>
          <c:xMode val="edge"/>
          <c:yMode val="edge"/>
          <c:x val="0.804241564175339"/>
          <c:y val="0.0767090228526399"/>
          <c:w val="0.170024046990184"/>
          <c:h val="0.111680252173271"/>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494716921621"/>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EP!$C$2</c:f>
              <c:strCache>
                <c:ptCount val="1"/>
                <c:pt idx="0">
                  <c:v>AOTC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EP!$C$4:$C$29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EP!$D$2</c:f>
              <c:strCache>
                <c:ptCount val="1"/>
                <c:pt idx="0">
                  <c:v>Authorized Immigrant AOTC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EP!$D$4:$D$29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EP!$E$2</c:f>
              <c:strCache>
                <c:ptCount val="1"/>
                <c:pt idx="0">
                  <c:v>Unauthorized Immigrant AOTC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EP!$E$4:$E$29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EP!$F$2</c:f>
              <c:strCache>
                <c:ptCount val="1"/>
                <c:pt idx="0">
                  <c:v>American Tax AOTC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EP!$B$4:$B$29</c:f>
              <c:strCache>
                <c:ptCount val="26"/>
                <c:pt idx="0">
                  <c:v>Agriculture:Support</c:v>
                </c:pt>
                <c:pt idx="1">
                  <c:v>Agriculture:Worker</c:v>
                </c:pt>
                <c:pt idx="2">
                  <c:v>Construction:Support</c:v>
                </c:pt>
                <c:pt idx="3">
                  <c:v>Construction:Worker</c:v>
                </c:pt>
                <c:pt idx="4">
                  <c:v>Hospitality:Support</c:v>
                </c:pt>
                <c:pt idx="5">
                  <c:v>Hospitality:Worker</c:v>
                </c:pt>
                <c:pt idx="6">
                  <c:v>Cleaning &amp; Maintenance:Support</c:v>
                </c:pt>
                <c:pt idx="7">
                  <c:v>Cleaning &amp; Maintenance:Worker</c:v>
                </c:pt>
                <c:pt idx="8">
                  <c:v>Manufacturing:Support</c:v>
                </c:pt>
                <c:pt idx="9">
                  <c:v>Manufacturing:Worker</c:v>
                </c:pt>
                <c:pt idx="10">
                  <c:v>Transportation &amp; Warehousing:Support</c:v>
                </c:pt>
                <c:pt idx="11">
                  <c:v>Transportation &amp; Warehousing:Worker</c:v>
                </c:pt>
                <c:pt idx="12">
                  <c:v>Retail Trade:Support</c:v>
                </c:pt>
                <c:pt idx="13">
                  <c:v>Retail Trade:Worker</c:v>
                </c:pt>
                <c:pt idx="14">
                  <c:v>Landscaping / Groundskeeping:Support</c:v>
                </c:pt>
                <c:pt idx="15">
                  <c:v>Landscaping / Groundskeeping:Worker</c:v>
                </c:pt>
                <c:pt idx="16">
                  <c:v>Automotive &amp; Repair:Support</c:v>
                </c:pt>
                <c:pt idx="17">
                  <c:v>Automotive &amp; Repair:Worker</c:v>
                </c:pt>
                <c:pt idx="18">
                  <c:v>Healthcare &amp; Social Assistance:Support</c:v>
                </c:pt>
                <c:pt idx="19">
                  <c:v>Healthcare &amp; Social Assistance:Worker</c:v>
                </c:pt>
                <c:pt idx="20">
                  <c:v>Professional Services:Support</c:v>
                </c:pt>
                <c:pt idx="21">
                  <c:v>Professional Services:Worker</c:v>
                </c:pt>
                <c:pt idx="22">
                  <c:v>Educational Services:Support</c:v>
                </c:pt>
                <c:pt idx="23">
                  <c:v>Educational Services:Worker</c:v>
                </c:pt>
                <c:pt idx="24">
                  <c:v>Finance &amp; Insurance:Support</c:v>
                </c:pt>
                <c:pt idx="25">
                  <c:v>Finance &amp; Insurance:Worker</c:v>
                </c:pt>
              </c:strCache>
            </c:strRef>
          </c:cat>
          <c:val>
            <c:numRef>
              <c:f>EP!$F$4:$F$29</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43853871"/>
        <c:axId val="2315465"/>
      </c:barChart>
      <c:catAx>
        <c:axId val="43853871"/>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41601812629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2315465"/>
        <c:crosses val="autoZero"/>
        <c:auto val="1"/>
        <c:lblAlgn val="ctr"/>
        <c:lblOffset val="100"/>
        <c:noMultiLvlLbl val="0"/>
      </c:catAx>
      <c:valAx>
        <c:axId val="2315465"/>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241129159439"/>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43853871"/>
        <c:crosses val="max"/>
        <c:crossBetween val="midCat"/>
      </c:valAx>
      <c:spPr>
        <a:noFill/>
        <a:ln w="0">
          <a:solidFill>
            <a:srgbClr val="b3b3b3"/>
          </a:solidFill>
        </a:ln>
      </c:spPr>
    </c:plotArea>
    <c:legend>
      <c:legendPos val="r"/>
      <c:layout>
        <c:manualLayout>
          <c:xMode val="edge"/>
          <c:yMode val="edge"/>
          <c:x val="0.804250118277874"/>
          <c:y val="0.0766919515318688"/>
          <c:w val="0.170050861491149"/>
          <c:h val="0.11169125434081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200" b="0" u="none" strike="noStrike">
                <a:solidFill>
                  <a:srgbClr val="000000"/>
                </a:solidFill>
                <a:uFillTx/>
                <a:latin typeface="Arial"/>
                <a:ea typeface="DejaVu Sans"/>
              </a:rPr>
              <a:t>U.S. Labor Statistics (Alabama) – Additional Child Tax Credit Refund</a:t>
            </a:r>
          </a:p>
        </c:rich>
      </c:tx>
      <c:layout>
        <c:manualLayout>
          <c:xMode val="edge"/>
          <c:yMode val="edge"/>
          <c:x val="0.243494716921621"/>
          <c:y val="0.0113781893409516"/>
        </c:manualLayout>
      </c:layout>
      <c:overlay val="0"/>
      <c:spPr>
        <a:noFill/>
        <a:ln w="0">
          <a:noFill/>
        </a:ln>
      </c:spPr>
    </c:title>
    <c:autoTitleDeleted val="0"/>
    <c:plotArea>
      <c:layout>
        <c:manualLayout>
          <c:layoutTarget val="inner"/>
          <c:xMode val="edge"/>
          <c:yMode val="edge"/>
          <c:x val="0.299203595647374"/>
          <c:y val="0.0468919318293764"/>
          <c:w val="0.470391105503864"/>
          <c:h val="0.87419958624766"/>
        </c:manualLayout>
      </c:layout>
      <c:barChart>
        <c:barDir val="bar"/>
        <c:grouping val="clustered"/>
        <c:varyColors val="0"/>
        <c:ser>
          <c:idx val="0"/>
          <c:order val="0"/>
          <c:tx>
            <c:strRef>
              <c:f>EP!$C$2</c:f>
              <c:strCache>
                <c:ptCount val="1"/>
                <c:pt idx="0">
                  <c:v>AOTC Refund</c:v>
                </c:pt>
              </c:strCache>
            </c:strRef>
          </c:tx>
          <c:spPr>
            <a:solidFill>
              <a:srgbClr val="004586"/>
            </a:solidFill>
            <a:ln w="0">
              <a:noFill/>
            </a:ln>
          </c:spPr>
          <c:invertIfNegative val="0"/>
          <c:dPt>
            <c:idx val="8"/>
            <c:invertIfNegative val="0"/>
            <c:spPr>
              <a:solidFill>
                <a:srgbClr val="004586"/>
              </a:solidFill>
              <a:ln w="0">
                <a:noFill/>
              </a:ln>
            </c:spPr>
          </c:dPt>
          <c:dPt>
            <c:idx val="18"/>
            <c:invertIfNegative val="0"/>
            <c:spPr>
              <a:solidFill>
                <a:srgbClr val="004586"/>
              </a:solidFill>
              <a:ln w="0">
                <a:noFill/>
              </a:ln>
            </c:spPr>
          </c:dPt>
          <c:dPt>
            <c:idx val="20"/>
            <c:invertIfNegative val="0"/>
            <c:spPr>
              <a:solidFill>
                <a:srgbClr val="004586"/>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ffffff"/>
                      </a:solidFill>
                      <a:uFillTx/>
                      <a:latin typeface="Arial"/>
                    </a:defRPr>
                  </a:pPr>
                </a:p>
              </c:txPr>
              <c:dLblPos val="in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EP!$C$30:$C$55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EP!$D$2</c:f>
              <c:strCache>
                <c:ptCount val="1"/>
                <c:pt idx="0">
                  <c:v>Authorized Immigrant AOTC Refund</c:v>
                </c:pt>
              </c:strCache>
            </c:strRef>
          </c:tx>
          <c:spPr>
            <a:solidFill>
              <a:srgbClr val="ff420e"/>
            </a:solidFill>
            <a:ln w="0">
              <a:noFill/>
            </a:ln>
          </c:spPr>
          <c:invertIfNegative val="0"/>
          <c:dPt>
            <c:idx val="18"/>
            <c:invertIfNegative val="0"/>
            <c:spPr>
              <a:solidFill>
                <a:srgbClr val="ff420e"/>
              </a:solidFill>
              <a:ln w="0">
                <a:noFill/>
              </a:ln>
            </c:spPr>
          </c:dPt>
          <c:dPt>
            <c:idx val="20"/>
            <c:invertIfNegative val="0"/>
            <c:spPr>
              <a:solidFill>
                <a:srgbClr val="ff420e"/>
              </a:solidFill>
              <a:ln w="0">
                <a:noFill/>
              </a:ln>
            </c:spPr>
          </c:dPt>
          <c:dLbls>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EP!$D$30:$D$55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2"/>
          <c:order val="2"/>
          <c:tx>
            <c:strRef>
              <c:f>EP!$E$2</c:f>
              <c:strCache>
                <c:ptCount val="1"/>
                <c:pt idx="0">
                  <c:v>Unauthorized Immigrant AOTC Refund</c:v>
                </c:pt>
              </c:strCache>
            </c:strRef>
          </c:tx>
          <c:spPr>
            <a:solidFill>
              <a:srgbClr val="ffd320"/>
            </a:solidFill>
            <a:ln w="0">
              <a:noFill/>
            </a:ln>
          </c:spPr>
          <c:invertIfNegative val="0"/>
          <c:dPt>
            <c:idx val="0"/>
            <c:invertIfNegative val="0"/>
            <c:spPr>
              <a:solidFill>
                <a:srgbClr val="ffd320"/>
              </a:solidFill>
              <a:ln w="0">
                <a:noFill/>
              </a:ln>
            </c:spPr>
          </c:dPt>
          <c:dPt>
            <c:idx val="1"/>
            <c:invertIfNegative val="0"/>
            <c:spPr>
              <a:solidFill>
                <a:srgbClr val="ffd320"/>
              </a:solidFill>
              <a:ln w="0">
                <a:noFill/>
              </a:ln>
            </c:spPr>
          </c:dPt>
          <c:dPt>
            <c:idx val="2"/>
            <c:invertIfNegative val="0"/>
            <c:spPr>
              <a:solidFill>
                <a:srgbClr val="ffd320"/>
              </a:solidFill>
              <a:ln w="0">
                <a:noFill/>
              </a:ln>
            </c:spPr>
          </c:dPt>
          <c:dPt>
            <c:idx val="6"/>
            <c:invertIfNegative val="0"/>
            <c:spPr>
              <a:solidFill>
                <a:srgbClr val="ffd320"/>
              </a:solidFill>
              <a:ln w="0">
                <a:noFill/>
              </a:ln>
            </c:spPr>
          </c:dPt>
          <c:dPt>
            <c:idx val="7"/>
            <c:invertIfNegative val="0"/>
            <c:spPr>
              <a:solidFill>
                <a:srgbClr val="ffd320"/>
              </a:solidFill>
              <a:ln w="0">
                <a:noFill/>
              </a:ln>
            </c:spPr>
          </c:dPt>
          <c:dPt>
            <c:idx val="8"/>
            <c:invertIfNegative val="0"/>
            <c:spPr>
              <a:solidFill>
                <a:srgbClr val="ffd320"/>
              </a:solidFill>
              <a:ln w="0">
                <a:noFill/>
              </a:ln>
            </c:spPr>
          </c:dPt>
          <c:dPt>
            <c:idx val="10"/>
            <c:invertIfNegative val="0"/>
            <c:spPr>
              <a:solidFill>
                <a:srgbClr val="ffd320"/>
              </a:solidFill>
              <a:ln w="0">
                <a:noFill/>
              </a:ln>
            </c:spPr>
          </c:dPt>
          <c:dPt>
            <c:idx val="14"/>
            <c:invertIfNegative val="0"/>
            <c:spPr>
              <a:solidFill>
                <a:srgbClr val="ffd320"/>
              </a:solidFill>
              <a:ln w="0">
                <a:noFill/>
              </a:ln>
            </c:spPr>
          </c:dPt>
          <c:dPt>
            <c:idx val="15"/>
            <c:invertIfNegative val="0"/>
            <c:spPr>
              <a:solidFill>
                <a:srgbClr val="ffd320"/>
              </a:solidFill>
              <a:ln w="0">
                <a:noFill/>
              </a:ln>
            </c:spPr>
          </c:dPt>
          <c:dPt>
            <c:idx val="16"/>
            <c:invertIfNegative val="0"/>
            <c:spPr>
              <a:solidFill>
                <a:srgbClr val="ffd320"/>
              </a:solidFill>
              <a:ln w="0">
                <a:noFill/>
              </a:ln>
            </c:spPr>
          </c:dPt>
          <c:dPt>
            <c:idx val="20"/>
            <c:invertIfNegative val="0"/>
            <c:spPr>
              <a:solidFill>
                <a:srgbClr val="ffd320"/>
              </a:solidFill>
              <a:ln w="0">
                <a:noFill/>
              </a:ln>
            </c:spPr>
          </c:dPt>
          <c:dPt>
            <c:idx val="24"/>
            <c:invertIfNegative val="0"/>
            <c:spPr>
              <a:solidFill>
                <a:srgbClr val="ffd320"/>
              </a:solidFill>
              <a:ln w="0">
                <a:noFill/>
              </a:ln>
            </c:spPr>
          </c:dPt>
          <c:dPt>
            <c:idx val="25"/>
            <c:invertIfNegative val="0"/>
            <c:spPr>
              <a:solidFill>
                <a:srgbClr val="ffd320"/>
              </a:solidFill>
              <a:ln w="0">
                <a:noFill/>
              </a:ln>
            </c:spPr>
          </c:dPt>
          <c:dLbls>
            <c:dLbl>
              <c:idx val="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7"/>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6"/>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4"/>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5"/>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EP!$E$30:$E$55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3"/>
          <c:order val="3"/>
          <c:tx>
            <c:strRef>
              <c:f>EP!$F$2</c:f>
              <c:strCache>
                <c:ptCount val="1"/>
                <c:pt idx="0">
                  <c:v>American Tax AOTC Refund</c:v>
                </c:pt>
              </c:strCache>
            </c:strRef>
          </c:tx>
          <c:spPr>
            <a:solidFill>
              <a:srgbClr val="579d1c"/>
            </a:solidFill>
            <a:ln w="0">
              <a:noFill/>
            </a:ln>
          </c:spPr>
          <c:invertIfNegative val="0"/>
          <c:dPt>
            <c:idx val="8"/>
            <c:invertIfNegative val="0"/>
            <c:spPr>
              <a:solidFill>
                <a:srgbClr val="579d1c"/>
              </a:solidFill>
              <a:ln w="0">
                <a:noFill/>
              </a:ln>
            </c:spPr>
          </c:dPt>
          <c:dPt>
            <c:idx val="18"/>
            <c:invertIfNegative val="0"/>
            <c:spPr>
              <a:solidFill>
                <a:srgbClr val="579d1c"/>
              </a:solidFill>
              <a:ln w="0">
                <a:noFill/>
              </a:ln>
            </c:spPr>
          </c:dPt>
          <c:dPt>
            <c:idx val="20"/>
            <c:invertIfNegative val="0"/>
            <c:spPr>
              <a:solidFill>
                <a:srgbClr val="579d1c"/>
              </a:solidFill>
              <a:ln w="0">
                <a:noFill/>
              </a:ln>
            </c:spPr>
          </c:dPt>
          <c:dLbls>
            <c:dLbl>
              <c:idx val="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18"/>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dLbl>
              <c:idx val="20"/>
              <c:numFmt formatCode="[$$-409]#,##0;[RED]\-[$$-409]#,##0" sourceLinked="0"/>
              <c:txPr>
                <a:bodyPr wrap="none"/>
                <a:lstStyle/>
                <a:p>
                  <a:pPr>
                    <a:defRPr sz="700" b="0" u="none" strike="noStrike">
                      <a:solidFill>
                        <a:srgbClr val="000000"/>
                      </a:solidFill>
                      <a:uFillTx/>
                      <a:latin typeface="Arial"/>
                    </a:defRPr>
                  </a:pPr>
                </a:p>
              </c:txPr>
              <c:dLblPos val="outEnd"/>
              <c:showLegendKey val="0"/>
              <c:showVal val="1"/>
              <c:showCatName val="0"/>
              <c:showSerName val="0"/>
              <c:showPercent val="0"/>
              <c:separator> </c:separator>
            </c:dLbl>
            <c:numFmt formatCode="[$$-409]#,##0;[RED]\-[$$-409]#,##0" sourceLinked="0"/>
            <c:txPr>
              <a:bodyPr wrap="none"/>
              <a:lstStyle/>
              <a:p>
                <a:pPr>
                  <a:defRPr sz="7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EP!$B$30:$B$55</c:f>
              <c:strCache>
                <c:ptCount val="26"/>
                <c:pt idx="0">
                  <c:v>Media and Information Technology:Support</c:v>
                </c:pt>
                <c:pt idx="1">
                  <c:v>Media and Information Technology:Worker</c:v>
                </c:pt>
                <c:pt idx="2">
                  <c:v>Government:Support</c:v>
                </c:pt>
                <c:pt idx="3">
                  <c:v>Government:Worker</c:v>
                </c:pt>
                <c:pt idx="4">
                  <c:v>Self-Employed / Non-Employer:Support</c:v>
                </c:pt>
                <c:pt idx="5">
                  <c:v>Self-Employed / Non-Employer:Worker</c:v>
                </c:pt>
                <c:pt idx="6">
                  <c:v>Other Services:Support</c:v>
                </c:pt>
                <c:pt idx="7">
                  <c:v>Other Services:Worker</c:v>
                </c:pt>
                <c:pt idx="8">
                  <c:v>Mining, Quarrying, and Oil/Gas Extraction:Support</c:v>
                </c:pt>
                <c:pt idx="9">
                  <c:v>Mining, Quarrying, and Oil/Gas Extraction:Worker</c:v>
                </c:pt>
                <c:pt idx="10">
                  <c:v>Utilities:Support</c:v>
                </c:pt>
                <c:pt idx="11">
                  <c:v>Utilities:Worker</c:v>
                </c:pt>
                <c:pt idx="12">
                  <c:v>Wholesale Trade:Support</c:v>
                </c:pt>
                <c:pt idx="13">
                  <c:v>Wholesale Trade:Worker</c:v>
                </c:pt>
                <c:pt idx="14">
                  <c:v>Information:Support</c:v>
                </c:pt>
                <c:pt idx="15">
                  <c:v>Information:Worker</c:v>
                </c:pt>
                <c:pt idx="16">
                  <c:v>Real Estate, Rental and Leasing:Support</c:v>
                </c:pt>
                <c:pt idx="17">
                  <c:v>Real Estate, Rental and Leasing:Worker</c:v>
                </c:pt>
                <c:pt idx="18">
                  <c:v>Waste Management Services:Support</c:v>
                </c:pt>
                <c:pt idx="19">
                  <c:v>Waste Management Services:Worker</c:v>
                </c:pt>
                <c:pt idx="20">
                  <c:v>Arts, Entertainment, and Recreation:Support</c:v>
                </c:pt>
                <c:pt idx="21">
                  <c:v>Arts, Entertainment, and Recreation:Worker</c:v>
                </c:pt>
                <c:pt idx="22">
                  <c:v>Accommodation and Food Services:Support</c:v>
                </c:pt>
                <c:pt idx="23">
                  <c:v>Accommodation and Food Services:Worker</c:v>
                </c:pt>
                <c:pt idx="24">
                  <c:v>Public Administration:Support</c:v>
                </c:pt>
                <c:pt idx="25">
                  <c:v>Public Administration:Worker</c:v>
                </c:pt>
              </c:strCache>
            </c:strRef>
          </c:cat>
          <c:val>
            <c:numRef>
              <c:f>EP!$F$30:$F$55</c:f>
              <c:numCache>
                <c:formatCode>[$$-409]#,##0;\-[$$-409]#,##0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gapWidth val="100"/>
        <c:overlap val="0"/>
        <c:axId val="91914443"/>
        <c:axId val="77390068"/>
      </c:barChart>
      <c:catAx>
        <c:axId val="91914443"/>
        <c:scaling>
          <c:orientation val="maxMin"/>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Industrial Labor Role</a:t>
                </a:r>
              </a:p>
            </c:rich>
          </c:tx>
          <c:layout>
            <c:manualLayout>
              <c:xMode val="edge"/>
              <c:yMode val="edge"/>
              <c:x val="0.0214477211796247"/>
              <c:y val="0.47734213377992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77390068"/>
        <c:crosses val="autoZero"/>
        <c:auto val="1"/>
        <c:lblAlgn val="ctr"/>
        <c:lblOffset val="100"/>
        <c:noMultiLvlLbl val="0"/>
      </c:catAx>
      <c:valAx>
        <c:axId val="77390068"/>
        <c:scaling>
          <c:orientation val="minMax"/>
        </c:scaling>
        <c:delete val="0"/>
        <c:axPos val="l"/>
        <c:majorGridlines>
          <c:spPr>
            <a:ln w="0">
              <a:solidFill>
                <a:srgbClr val="cccccc"/>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American Opportunity Tax Credit Refund</a:t>
                </a:r>
              </a:p>
            </c:rich>
          </c:tx>
          <c:layout>
            <c:manualLayout>
              <c:xMode val="edge"/>
              <c:yMode val="edge"/>
              <c:x val="0.431241129159439"/>
              <c:y val="0.96938725248744"/>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800" b="0" u="none" strike="noStrike">
                <a:solidFill>
                  <a:srgbClr val="000000"/>
                </a:solidFill>
                <a:uFillTx/>
                <a:latin typeface="Arial"/>
                <a:ea typeface="DejaVu Sans"/>
              </a:defRPr>
            </a:pPr>
          </a:p>
        </c:txPr>
        <c:crossAx val="91914443"/>
        <c:crosses val="max"/>
        <c:crossBetween val="midCat"/>
      </c:valAx>
      <c:spPr>
        <a:noFill/>
        <a:ln w="0">
          <a:solidFill>
            <a:srgbClr val="b3b3b3"/>
          </a:solidFill>
        </a:ln>
      </c:spPr>
    </c:plotArea>
    <c:legend>
      <c:legendPos val="r"/>
      <c:layout>
        <c:manualLayout>
          <c:xMode val="edge"/>
          <c:yMode val="edge"/>
          <c:x val="0.804210692319823"/>
          <c:y val="0.0766919515318688"/>
          <c:w val="0.17001143397863"/>
          <c:h val="0.11166662561879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6.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7.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_rels/drawing8.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
</Relationships>
</file>

<file path=xl/drawings/_rels/drawing9.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
</Relationships>
</file>

<file path=xl/drawings/_rels/drawing10.xml.rels><?xml version="1.0" encoding="UTF-8"?>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
</Relationships>
</file>

<file path=xl/drawings/_rels/drawing11.xml.rels><?xml version="1.0" encoding="UTF-8"?>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
</Relationships>
</file>

<file path=xl/drawings/_rels/drawing12.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
</Relationships>
</file>

<file path=xl/drawings/_rels/drawing13.xml.rels><?xml version="1.0" encoding="UTF-8"?>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805320</xdr:colOff>
      <xdr:row>57</xdr:row>
      <xdr:rowOff>150120</xdr:rowOff>
    </xdr:from>
    <xdr:to>
      <xdr:col>6</xdr:col>
      <xdr:colOff>1123560</xdr:colOff>
      <xdr:row>147</xdr:row>
      <xdr:rowOff>136800</xdr:rowOff>
    </xdr:to>
    <xdr:graphicFrame>
      <xdr:nvGraphicFramePr>
        <xdr:cNvPr id="1" name=""/>
        <xdr:cNvGraphicFramePr/>
      </xdr:nvGraphicFramePr>
      <xdr:xfrm>
        <a:off x="805320" y="969876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-720</xdr:colOff>
      <xdr:row>152</xdr:row>
      <xdr:rowOff>136800</xdr:rowOff>
    </xdr:from>
    <xdr:to>
      <xdr:col>6</xdr:col>
      <xdr:colOff>1131120</xdr:colOff>
      <xdr:row>242</xdr:row>
      <xdr:rowOff>123480</xdr:rowOff>
    </xdr:to>
    <xdr:graphicFrame>
      <xdr:nvGraphicFramePr>
        <xdr:cNvPr id="2" name=""/>
        <xdr:cNvGraphicFramePr/>
      </xdr:nvGraphicFramePr>
      <xdr:xfrm>
        <a:off x="812880" y="2512836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806400</xdr:colOff>
      <xdr:row>58</xdr:row>
      <xdr:rowOff>720</xdr:rowOff>
    </xdr:from>
    <xdr:to>
      <xdr:col>6</xdr:col>
      <xdr:colOff>1123920</xdr:colOff>
      <xdr:row>147</xdr:row>
      <xdr:rowOff>150120</xdr:rowOff>
    </xdr:to>
    <xdr:graphicFrame>
      <xdr:nvGraphicFramePr>
        <xdr:cNvPr id="3" name=""/>
        <xdr:cNvGraphicFramePr/>
      </xdr:nvGraphicFramePr>
      <xdr:xfrm>
        <a:off x="806400" y="984960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806040</xdr:colOff>
      <xdr:row>153</xdr:row>
      <xdr:rowOff>10800</xdr:rowOff>
    </xdr:from>
    <xdr:to>
      <xdr:col>6</xdr:col>
      <xdr:colOff>1123560</xdr:colOff>
      <xdr:row>242</xdr:row>
      <xdr:rowOff>160200</xdr:rowOff>
    </xdr:to>
    <xdr:graphicFrame>
      <xdr:nvGraphicFramePr>
        <xdr:cNvPr id="4" name=""/>
        <xdr:cNvGraphicFramePr/>
      </xdr:nvGraphicFramePr>
      <xdr:xfrm>
        <a:off x="806040" y="2530296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804960</xdr:colOff>
      <xdr:row>60</xdr:row>
      <xdr:rowOff>720</xdr:rowOff>
    </xdr:from>
    <xdr:to>
      <xdr:col>6</xdr:col>
      <xdr:colOff>1123200</xdr:colOff>
      <xdr:row>149</xdr:row>
      <xdr:rowOff>149760</xdr:rowOff>
    </xdr:to>
    <xdr:graphicFrame>
      <xdr:nvGraphicFramePr>
        <xdr:cNvPr id="5" name=""/>
        <xdr:cNvGraphicFramePr/>
      </xdr:nvGraphicFramePr>
      <xdr:xfrm>
        <a:off x="804960" y="1017900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806040</xdr:colOff>
      <xdr:row>154</xdr:row>
      <xdr:rowOff>156600</xdr:rowOff>
    </xdr:from>
    <xdr:to>
      <xdr:col>6</xdr:col>
      <xdr:colOff>1124280</xdr:colOff>
      <xdr:row>244</xdr:row>
      <xdr:rowOff>143280</xdr:rowOff>
    </xdr:to>
    <xdr:graphicFrame>
      <xdr:nvGraphicFramePr>
        <xdr:cNvPr id="6" name=""/>
        <xdr:cNvGraphicFramePr/>
      </xdr:nvGraphicFramePr>
      <xdr:xfrm>
        <a:off x="806040" y="2561580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806040</xdr:colOff>
      <xdr:row>154</xdr:row>
      <xdr:rowOff>151200</xdr:rowOff>
    </xdr:from>
    <xdr:to>
      <xdr:col>6</xdr:col>
      <xdr:colOff>1124280</xdr:colOff>
      <xdr:row>244</xdr:row>
      <xdr:rowOff>137880</xdr:rowOff>
    </xdr:to>
    <xdr:graphicFrame>
      <xdr:nvGraphicFramePr>
        <xdr:cNvPr id="7" name=""/>
        <xdr:cNvGraphicFramePr/>
      </xdr:nvGraphicFramePr>
      <xdr:xfrm>
        <a:off x="806040" y="2561040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804600</xdr:colOff>
      <xdr:row>60</xdr:row>
      <xdr:rowOff>720</xdr:rowOff>
    </xdr:from>
    <xdr:to>
      <xdr:col>6</xdr:col>
      <xdr:colOff>1122840</xdr:colOff>
      <xdr:row>149</xdr:row>
      <xdr:rowOff>149760</xdr:rowOff>
    </xdr:to>
    <xdr:graphicFrame>
      <xdr:nvGraphicFramePr>
        <xdr:cNvPr id="8" name=""/>
        <xdr:cNvGraphicFramePr/>
      </xdr:nvGraphicFramePr>
      <xdr:xfrm>
        <a:off x="804600" y="1017900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804600</xdr:colOff>
      <xdr:row>60</xdr:row>
      <xdr:rowOff>720</xdr:rowOff>
    </xdr:from>
    <xdr:to>
      <xdr:col>6</xdr:col>
      <xdr:colOff>1122840</xdr:colOff>
      <xdr:row>149</xdr:row>
      <xdr:rowOff>149760</xdr:rowOff>
    </xdr:to>
    <xdr:graphicFrame>
      <xdr:nvGraphicFramePr>
        <xdr:cNvPr id="9" name=""/>
        <xdr:cNvGraphicFramePr/>
      </xdr:nvGraphicFramePr>
      <xdr:xfrm>
        <a:off x="804600" y="1017900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804600</xdr:colOff>
      <xdr:row>155</xdr:row>
      <xdr:rowOff>7200</xdr:rowOff>
    </xdr:from>
    <xdr:to>
      <xdr:col>6</xdr:col>
      <xdr:colOff>1122840</xdr:colOff>
      <xdr:row>244</xdr:row>
      <xdr:rowOff>156240</xdr:rowOff>
    </xdr:to>
    <xdr:graphicFrame>
      <xdr:nvGraphicFramePr>
        <xdr:cNvPr id="10" name=""/>
        <xdr:cNvGraphicFramePr/>
      </xdr:nvGraphicFramePr>
      <xdr:xfrm>
        <a:off x="804600" y="2562876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804600</xdr:colOff>
      <xdr:row>60</xdr:row>
      <xdr:rowOff>720</xdr:rowOff>
    </xdr:from>
    <xdr:to>
      <xdr:col>6</xdr:col>
      <xdr:colOff>1122840</xdr:colOff>
      <xdr:row>149</xdr:row>
      <xdr:rowOff>149760</xdr:rowOff>
    </xdr:to>
    <xdr:graphicFrame>
      <xdr:nvGraphicFramePr>
        <xdr:cNvPr id="11" name=""/>
        <xdr:cNvGraphicFramePr/>
      </xdr:nvGraphicFramePr>
      <xdr:xfrm>
        <a:off x="804600" y="1003680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804600</xdr:colOff>
      <xdr:row>155</xdr:row>
      <xdr:rowOff>9720</xdr:rowOff>
    </xdr:from>
    <xdr:to>
      <xdr:col>6</xdr:col>
      <xdr:colOff>1122840</xdr:colOff>
      <xdr:row>244</xdr:row>
      <xdr:rowOff>159120</xdr:rowOff>
    </xdr:to>
    <xdr:graphicFrame>
      <xdr:nvGraphicFramePr>
        <xdr:cNvPr id="12" name=""/>
        <xdr:cNvGraphicFramePr/>
      </xdr:nvGraphicFramePr>
      <xdr:xfrm>
        <a:off x="804600" y="2548908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804960</xdr:colOff>
      <xdr:row>59</xdr:row>
      <xdr:rowOff>158400</xdr:rowOff>
    </xdr:from>
    <xdr:to>
      <xdr:col>6</xdr:col>
      <xdr:colOff>1123200</xdr:colOff>
      <xdr:row>149</xdr:row>
      <xdr:rowOff>145080</xdr:rowOff>
    </xdr:to>
    <xdr:graphicFrame>
      <xdr:nvGraphicFramePr>
        <xdr:cNvPr id="13" name=""/>
        <xdr:cNvGraphicFramePr/>
      </xdr:nvGraphicFramePr>
      <xdr:xfrm>
        <a:off x="804960" y="1017432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804600</xdr:colOff>
      <xdr:row>155</xdr:row>
      <xdr:rowOff>7200</xdr:rowOff>
    </xdr:from>
    <xdr:to>
      <xdr:col>6</xdr:col>
      <xdr:colOff>1122840</xdr:colOff>
      <xdr:row>244</xdr:row>
      <xdr:rowOff>156240</xdr:rowOff>
    </xdr:to>
    <xdr:graphicFrame>
      <xdr:nvGraphicFramePr>
        <xdr:cNvPr id="14" name=""/>
        <xdr:cNvGraphicFramePr/>
      </xdr:nvGraphicFramePr>
      <xdr:xfrm>
        <a:off x="804600" y="2562876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4320</xdr:colOff>
      <xdr:row>60</xdr:row>
      <xdr:rowOff>20160</xdr:rowOff>
    </xdr:from>
    <xdr:to>
      <xdr:col>6</xdr:col>
      <xdr:colOff>1135440</xdr:colOff>
      <xdr:row>150</xdr:row>
      <xdr:rowOff>6840</xdr:rowOff>
    </xdr:to>
    <xdr:graphicFrame>
      <xdr:nvGraphicFramePr>
        <xdr:cNvPr id="15" name=""/>
        <xdr:cNvGraphicFramePr/>
      </xdr:nvGraphicFramePr>
      <xdr:xfrm>
        <a:off x="817200" y="1019844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804600</xdr:colOff>
      <xdr:row>155</xdr:row>
      <xdr:rowOff>7200</xdr:rowOff>
    </xdr:from>
    <xdr:to>
      <xdr:col>6</xdr:col>
      <xdr:colOff>1122840</xdr:colOff>
      <xdr:row>244</xdr:row>
      <xdr:rowOff>156240</xdr:rowOff>
    </xdr:to>
    <xdr:graphicFrame>
      <xdr:nvGraphicFramePr>
        <xdr:cNvPr id="16" name=""/>
        <xdr:cNvGraphicFramePr/>
      </xdr:nvGraphicFramePr>
      <xdr:xfrm>
        <a:off x="804600" y="2562876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804960</xdr:colOff>
      <xdr:row>60</xdr:row>
      <xdr:rowOff>1080</xdr:rowOff>
    </xdr:from>
    <xdr:to>
      <xdr:col>7</xdr:col>
      <xdr:colOff>261360</xdr:colOff>
      <xdr:row>149</xdr:row>
      <xdr:rowOff>150120</xdr:rowOff>
    </xdr:to>
    <xdr:graphicFrame>
      <xdr:nvGraphicFramePr>
        <xdr:cNvPr id="17" name=""/>
        <xdr:cNvGraphicFramePr/>
      </xdr:nvGraphicFramePr>
      <xdr:xfrm>
        <a:off x="804960" y="1031976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804600</xdr:colOff>
      <xdr:row>155</xdr:row>
      <xdr:rowOff>18720</xdr:rowOff>
    </xdr:from>
    <xdr:to>
      <xdr:col>7</xdr:col>
      <xdr:colOff>261000</xdr:colOff>
      <xdr:row>245</xdr:row>
      <xdr:rowOff>5400</xdr:rowOff>
    </xdr:to>
    <xdr:graphicFrame>
      <xdr:nvGraphicFramePr>
        <xdr:cNvPr id="18" name=""/>
        <xdr:cNvGraphicFramePr/>
      </xdr:nvGraphicFramePr>
      <xdr:xfrm>
        <a:off x="804600" y="2578068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4320</xdr:colOff>
      <xdr:row>59</xdr:row>
      <xdr:rowOff>161280</xdr:rowOff>
    </xdr:from>
    <xdr:to>
      <xdr:col>7</xdr:col>
      <xdr:colOff>273600</xdr:colOff>
      <xdr:row>149</xdr:row>
      <xdr:rowOff>147960</xdr:rowOff>
    </xdr:to>
    <xdr:graphicFrame>
      <xdr:nvGraphicFramePr>
        <xdr:cNvPr id="19" name=""/>
        <xdr:cNvGraphicFramePr/>
      </xdr:nvGraphicFramePr>
      <xdr:xfrm>
        <a:off x="979560" y="1017540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971280</xdr:colOff>
      <xdr:row>155</xdr:row>
      <xdr:rowOff>21240</xdr:rowOff>
    </xdr:from>
    <xdr:to>
      <xdr:col>7</xdr:col>
      <xdr:colOff>265320</xdr:colOff>
      <xdr:row>245</xdr:row>
      <xdr:rowOff>7920</xdr:rowOff>
    </xdr:to>
    <xdr:graphicFrame>
      <xdr:nvGraphicFramePr>
        <xdr:cNvPr id="20" name=""/>
        <xdr:cNvGraphicFramePr/>
      </xdr:nvGraphicFramePr>
      <xdr:xfrm>
        <a:off x="971280" y="2564100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971280</xdr:colOff>
      <xdr:row>60</xdr:row>
      <xdr:rowOff>1440</xdr:rowOff>
    </xdr:from>
    <xdr:to>
      <xdr:col>7</xdr:col>
      <xdr:colOff>265320</xdr:colOff>
      <xdr:row>149</xdr:row>
      <xdr:rowOff>150480</xdr:rowOff>
    </xdr:to>
    <xdr:graphicFrame>
      <xdr:nvGraphicFramePr>
        <xdr:cNvPr id="21" name=""/>
        <xdr:cNvGraphicFramePr/>
      </xdr:nvGraphicFramePr>
      <xdr:xfrm>
        <a:off x="971280" y="1017792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971280</xdr:colOff>
      <xdr:row>156</xdr:row>
      <xdr:rowOff>21960</xdr:rowOff>
    </xdr:from>
    <xdr:to>
      <xdr:col>7</xdr:col>
      <xdr:colOff>265320</xdr:colOff>
      <xdr:row>246</xdr:row>
      <xdr:rowOff>8640</xdr:rowOff>
    </xdr:to>
    <xdr:graphicFrame>
      <xdr:nvGraphicFramePr>
        <xdr:cNvPr id="22" name=""/>
        <xdr:cNvGraphicFramePr/>
      </xdr:nvGraphicFramePr>
      <xdr:xfrm>
        <a:off x="971280" y="2580408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971640</xdr:colOff>
      <xdr:row>60</xdr:row>
      <xdr:rowOff>32040</xdr:rowOff>
    </xdr:from>
    <xdr:to>
      <xdr:col>7</xdr:col>
      <xdr:colOff>265680</xdr:colOff>
      <xdr:row>150</xdr:row>
      <xdr:rowOff>18720</xdr:rowOff>
    </xdr:to>
    <xdr:graphicFrame>
      <xdr:nvGraphicFramePr>
        <xdr:cNvPr id="23" name=""/>
        <xdr:cNvGraphicFramePr/>
      </xdr:nvGraphicFramePr>
      <xdr:xfrm>
        <a:off x="971640" y="1020852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xdr:colOff>
      <xdr:row>156</xdr:row>
      <xdr:rowOff>98280</xdr:rowOff>
    </xdr:from>
    <xdr:to>
      <xdr:col>7</xdr:col>
      <xdr:colOff>269640</xdr:colOff>
      <xdr:row>246</xdr:row>
      <xdr:rowOff>84960</xdr:rowOff>
    </xdr:to>
    <xdr:graphicFrame>
      <xdr:nvGraphicFramePr>
        <xdr:cNvPr id="24" name=""/>
        <xdr:cNvGraphicFramePr/>
      </xdr:nvGraphicFramePr>
      <xdr:xfrm>
        <a:off x="975600" y="2588040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971640</xdr:colOff>
      <xdr:row>60</xdr:row>
      <xdr:rowOff>32040</xdr:rowOff>
    </xdr:from>
    <xdr:to>
      <xdr:col>7</xdr:col>
      <xdr:colOff>265680</xdr:colOff>
      <xdr:row>150</xdr:row>
      <xdr:rowOff>18720</xdr:rowOff>
    </xdr:to>
    <xdr:graphicFrame>
      <xdr:nvGraphicFramePr>
        <xdr:cNvPr id="25" name=""/>
        <xdr:cNvGraphicFramePr/>
      </xdr:nvGraphicFramePr>
      <xdr:xfrm>
        <a:off x="971640" y="10208520"/>
        <a:ext cx="9130680" cy="146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xdr:colOff>
      <xdr:row>156</xdr:row>
      <xdr:rowOff>98280</xdr:rowOff>
    </xdr:from>
    <xdr:to>
      <xdr:col>7</xdr:col>
      <xdr:colOff>269640</xdr:colOff>
      <xdr:row>246</xdr:row>
      <xdr:rowOff>84960</xdr:rowOff>
    </xdr:to>
    <xdr:graphicFrame>
      <xdr:nvGraphicFramePr>
        <xdr:cNvPr id="26" name=""/>
        <xdr:cNvGraphicFramePr/>
      </xdr:nvGraphicFramePr>
      <xdr:xfrm>
        <a:off x="975600" y="25880400"/>
        <a:ext cx="9130680" cy="14617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DK57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44" activeCellId="0" sqref="B44"/>
    </sheetView>
  </sheetViews>
  <sheetFormatPr defaultColWidth="11.53515625" defaultRowHeight="12.8" customHeight="false" zeroHeight="false" outlineLevelRow="1" outlineLevelCol="0"/>
  <cols>
    <col collapsed="false" customWidth="true" hidden="false" outlineLevel="0" max="1" min="1" style="1" width="23.07"/>
    <col collapsed="false" customWidth="true" hidden="false" outlineLevel="0" max="2" min="2" style="2" width="50.73"/>
    <col collapsed="false" customWidth="true" hidden="false" outlineLevel="0" max="3" min="3" style="2" width="32.28"/>
    <col collapsed="false" customWidth="true" hidden="false" outlineLevel="0" max="4" min="4" style="2" width="6.93"/>
    <col collapsed="false" customWidth="false" hidden="false" outlineLevel="0" max="115" min="5" style="2" width="11.53"/>
    <col collapsed="false" customWidth="false" hidden="false" outlineLevel="0" max="16384" min="116" style="3" width="11.53"/>
  </cols>
  <sheetData>
    <row r="1" s="2" customFormat="true" ht="12.8" hidden="false" customHeight="false" outlineLevel="0" collapsed="false">
      <c r="A1" s="4" t="s">
        <v>0</v>
      </c>
      <c r="B1" s="5" t="s">
        <v>1</v>
      </c>
      <c r="C1" s="6" t="s">
        <v>2</v>
      </c>
      <c r="D1" s="5"/>
    </row>
    <row r="2" s="2" customFormat="true" ht="12.8" hidden="false" customHeight="false" outlineLevel="1" collapsed="false">
      <c r="A2" s="4" t="s">
        <v>3</v>
      </c>
      <c r="B2" s="5" t="s">
        <v>4</v>
      </c>
      <c r="C2" s="5" t="s">
        <v>5</v>
      </c>
      <c r="D2" s="7"/>
    </row>
    <row r="3" s="2" customFormat="true" ht="12.8" hidden="false" customHeight="false" outlineLevel="1" collapsed="false">
      <c r="A3" s="8" t="str">
        <f aca="false">INVOKE!A$1</f>
        <v>LSD.REF.AL.INVOKE</v>
      </c>
      <c r="B3" s="9" t="str">
        <f aca="false">INVOKE!B$1</f>
        <v>Alabama Labor Statistic Logic Formulae</v>
      </c>
      <c r="C3" s="9" t="str">
        <f aca="false">INVOKE!C$1</f>
        <v>December 2025</v>
      </c>
      <c r="D3" s="7"/>
    </row>
    <row r="4" s="2" customFormat="true" ht="12.8" hidden="false" customHeight="false" outlineLevel="1" collapsed="false">
      <c r="A4" s="10" t="str">
        <f aca="false">FORM!A$1</f>
        <v>LSD.REF.AL.FORM</v>
      </c>
      <c r="B4" s="10" t="str">
        <f aca="false">FORM!B$1</f>
        <v>Alabama Labor Statistic Logic Formulae</v>
      </c>
      <c r="C4" s="10" t="str">
        <f aca="false">FORM!C$1</f>
        <v>December 2025</v>
      </c>
      <c r="D4" s="11"/>
    </row>
    <row r="5" s="2" customFormat="true" ht="12.8" hidden="false" customHeight="false" outlineLevel="1" collapsed="false">
      <c r="A5" s="12" t="str">
        <f aca="false">PARAM!A$1</f>
        <v>LSD.REF.AL.PARAM</v>
      </c>
      <c r="B5" s="12" t="str">
        <f aca="false">PARAM!B$1</f>
        <v>Alabama Labor Statistic Logic Parameters</v>
      </c>
      <c r="C5" s="12" t="str">
        <f aca="false">PARAM!C$1</f>
        <v>December 2025</v>
      </c>
      <c r="D5" s="11"/>
    </row>
    <row r="6" s="2" customFormat="true" ht="12.8" hidden="false" customHeight="false" outlineLevel="1" collapsed="false">
      <c r="A6" s="13" t="str">
        <f aca="false">CALC!A1</f>
        <v>LSD.RID.0.AL.CALC</v>
      </c>
      <c r="B6" s="13" t="str">
        <f aca="false">CALC!B1</f>
        <v>Alabama Labor Statistic Calculations</v>
      </c>
      <c r="C6" s="13" t="str">
        <f aca="false">CALC!C1</f>
        <v>December 2025</v>
      </c>
      <c r="D6" s="11"/>
    </row>
    <row r="7" s="2" customFormat="true" ht="12.8" hidden="false" customHeight="false" outlineLevel="1" collapsed="false">
      <c r="A7" s="14" t="str">
        <f aca="false">VALID!A1</f>
        <v>LSD.RID.0.AL.VALID</v>
      </c>
      <c r="B7" s="14" t="str">
        <f aca="false">VALID!B1</f>
        <v>Alabama Labor Statistic Calculation Validation</v>
      </c>
      <c r="C7" s="14" t="str">
        <f aca="false">VALID!C1</f>
        <v>December 2025</v>
      </c>
      <c r="D7" s="11"/>
    </row>
    <row r="8" s="2" customFormat="true" ht="12.8" hidden="false" customHeight="false" outlineLevel="1" collapsed="false">
      <c r="A8" s="15" t="str">
        <f aca="false">LFP!A1</f>
        <v>LSD.RID.0.AL.LFP</v>
      </c>
      <c r="B8" s="15" t="str">
        <f aca="false">LFP!B1</f>
        <v>Alabama Labor Force Population (LFP)</v>
      </c>
      <c r="C8" s="15" t="str">
        <f aca="false">LFP!C1</f>
        <v>December 2025</v>
      </c>
      <c r="D8" s="11"/>
    </row>
    <row r="9" s="2" customFormat="true" ht="12.8" hidden="false" customHeight="false" outlineLevel="1" collapsed="false">
      <c r="A9" s="16" t="str">
        <f aca="false">ETPR!A1</f>
        <v>LSD.RID.0.AL.ETPR</v>
      </c>
      <c r="B9" s="16" t="str">
        <f aca="false">ETPR!B1</f>
        <v>Alabama Employment-to-Population Ratio (ETPR)</v>
      </c>
      <c r="C9" s="16" t="str">
        <f aca="false">ETPR!C1</f>
        <v>December 2025</v>
      </c>
      <c r="D9" s="11"/>
    </row>
    <row r="10" s="2" customFormat="true" ht="12.8" hidden="false" customHeight="false" outlineLevel="1" collapsed="false">
      <c r="A10" s="17" t="str">
        <f aca="false">LFPR!A1</f>
        <v>LSD.RID.0.AL.LFPR</v>
      </c>
      <c r="B10" s="17" t="str">
        <f aca="false">LFPR!B1</f>
        <v>Alabama Labor Force Participation Rate (LFPR)</v>
      </c>
      <c r="C10" s="17" t="str">
        <f aca="false">LFPR!C1</f>
        <v>December 2025</v>
      </c>
      <c r="D10" s="11"/>
    </row>
    <row r="11" s="2" customFormat="true" ht="12.8" hidden="false" customHeight="false" outlineLevel="1" collapsed="false">
      <c r="A11" s="18" t="str">
        <f aca="false">U3R!A1</f>
        <v>LSD.RID.0.AL.U3R</v>
      </c>
      <c r="B11" s="18" t="str">
        <f aca="false">U3R!B1</f>
        <v>Alabama Unemployment Rate (U3R)</v>
      </c>
      <c r="C11" s="18" t="str">
        <f aca="false">U3R!C1</f>
        <v>December 2025</v>
      </c>
      <c r="D11" s="11"/>
    </row>
    <row r="12" s="2" customFormat="true" ht="12.8" hidden="false" customHeight="false" outlineLevel="1" collapsed="false">
      <c r="A12" s="19" t="str">
        <f aca="false">U6R!A1</f>
        <v>LSD.RID.0.AL.U6R</v>
      </c>
      <c r="B12" s="19" t="str">
        <f aca="false">U6R!B1</f>
        <v>Alabama Underemployment Rate (U6R)</v>
      </c>
      <c r="C12" s="19" t="str">
        <f aca="false">U6R!C1</f>
        <v>December 2025</v>
      </c>
      <c r="D12" s="11"/>
    </row>
    <row r="13" s="2" customFormat="true" ht="12.8" hidden="false" customHeight="false" outlineLevel="1" collapsed="false">
      <c r="A13" s="20" t="str">
        <f aca="false">WAVG!A1</f>
        <v>LSD.RID.0.AL.WAVG</v>
      </c>
      <c r="B13" s="20" t="str">
        <f aca="false">WAVG!B1</f>
        <v>Alabama Wage Average (WAVG)</v>
      </c>
      <c r="C13" s="20" t="str">
        <f aca="false">WAVG!C1</f>
        <v>December 2025</v>
      </c>
      <c r="D13" s="11"/>
    </row>
    <row r="14" s="2" customFormat="true" ht="12.8" hidden="false" customHeight="false" outlineLevel="1" collapsed="false">
      <c r="A14" s="21" t="str">
        <f aca="false">AIAVG!A1</f>
        <v>LSD.RID.0.AL.AIAVG</v>
      </c>
      <c r="B14" s="21" t="str">
        <f aca="false">AIAVG!B1</f>
        <v>Alabama Annual Income Average (AIAVG)</v>
      </c>
      <c r="C14" s="21" t="str">
        <f aca="false">AIAVG!C1</f>
        <v>December 2025</v>
      </c>
      <c r="D14" s="11"/>
    </row>
    <row r="15" s="2" customFormat="true" ht="12.8" hidden="false" customHeight="false" outlineLevel="1" collapsed="false">
      <c r="A15" s="22" t="str">
        <f aca="false">FPITREV!A1</f>
        <v>LSD.RID.0.AL.FPITREV</v>
      </c>
      <c r="B15" s="22" t="str">
        <f aca="false">FPITREV!B1</f>
        <v>Alabama Federal Personal Income Tax Revenue (FPITREV)</v>
      </c>
      <c r="C15" s="22" t="str">
        <f aca="false">FPITREV!C1</f>
        <v>December 2025</v>
      </c>
      <c r="D15" s="11"/>
    </row>
    <row r="16" s="2" customFormat="true" ht="12.8" hidden="false" customHeight="false" outlineLevel="1" collapsed="false">
      <c r="A16" s="23" t="str">
        <f aca="false">FPPTREV!A1</f>
        <v>LSD.RID.0.AL.FPPTR</v>
      </c>
      <c r="B16" s="23" t="str">
        <f aca="false">FPPTREV!B1</f>
        <v>Alabama Federal Personal Payrol Tax Revenue</v>
      </c>
      <c r="C16" s="23" t="str">
        <f aca="false">FPPTREV!C1</f>
        <v>December 2025</v>
      </c>
      <c r="D16" s="11"/>
    </row>
    <row r="17" s="2" customFormat="true" ht="12.8" hidden="false" customHeight="false" outlineLevel="1" collapsed="false">
      <c r="A17" s="24" t="str">
        <f aca="false">EITCREF!A1</f>
        <v>LSD.RID.0.AL.EITCREF</v>
      </c>
      <c r="B17" s="24" t="str">
        <f aca="false">EITCREF!B1</f>
        <v>Alabama Earned Income Tax Credit Refund</v>
      </c>
      <c r="C17" s="24" t="str">
        <f aca="false">EITCREF!C1</f>
        <v>December 2025</v>
      </c>
      <c r="D17" s="11"/>
    </row>
    <row r="18" s="2" customFormat="true" ht="12.8" hidden="false" customHeight="false" outlineLevel="1" collapsed="false">
      <c r="A18" s="25" t="str">
        <f aca="false">ACTCREF!A1</f>
        <v>LSD.RID.0.AL.ACTCREF</v>
      </c>
      <c r="B18" s="25" t="str">
        <f aca="false">ACTCREF!B1</f>
        <v>Alabama Additional Child Tax Credit Refund</v>
      </c>
      <c r="C18" s="25" t="str">
        <f aca="false">ACTCREF!C1</f>
        <v>December 2025</v>
      </c>
      <c r="D18" s="11"/>
    </row>
    <row r="19" s="2" customFormat="true" ht="12.8" hidden="false" customHeight="false" outlineLevel="1" collapsed="false">
      <c r="A19" s="14" t="str">
        <f aca="false">AOTCREF!A1</f>
        <v>LSD.RID.0.AL.AOTCREF</v>
      </c>
      <c r="B19" s="14" t="str">
        <f aca="false">AOTCREF!B1</f>
        <v>Alabama American Opportunity Tax Credit Refund</v>
      </c>
      <c r="C19" s="14" t="str">
        <f aca="false">AOTCREF!C1</f>
        <v>December 2025</v>
      </c>
      <c r="D19" s="11"/>
    </row>
    <row r="20" s="2" customFormat="true" ht="12.8" hidden="false" customHeight="false" outlineLevel="0" collapsed="false">
      <c r="A20" s="11"/>
      <c r="B20" s="11"/>
      <c r="C20" s="11"/>
      <c r="D20" s="11"/>
    </row>
    <row r="21" s="2" customFormat="true" ht="12.8" hidden="false" customHeight="false" outlineLevel="0" collapsed="false">
      <c r="A21" s="4" t="s">
        <v>6</v>
      </c>
      <c r="B21" s="7" t="s">
        <v>7</v>
      </c>
      <c r="C21" s="7" t="s">
        <v>8</v>
      </c>
    </row>
    <row r="22" s="2" customFormat="true" ht="12.8" hidden="false" customHeight="false" outlineLevel="1" collapsed="false">
      <c r="A22" s="4" t="s">
        <v>9</v>
      </c>
      <c r="B22" s="7" t="s">
        <v>10</v>
      </c>
      <c r="C22" s="7" t="s">
        <v>11</v>
      </c>
    </row>
    <row r="23" s="2" customFormat="true" ht="12.8" hidden="false" customHeight="false" outlineLevel="1" collapsed="false">
      <c r="A23" s="26" t="s">
        <v>12</v>
      </c>
      <c r="B23" s="2" t="s">
        <v>13</v>
      </c>
      <c r="C23" s="2" t="s">
        <v>14</v>
      </c>
    </row>
    <row r="24" s="2" customFormat="true" ht="12.8" hidden="false" customHeight="false" outlineLevel="1" collapsed="false">
      <c r="A24" s="26" t="s">
        <v>15</v>
      </c>
      <c r="B24" s="2" t="s">
        <v>16</v>
      </c>
      <c r="C24" s="2" t="s">
        <v>17</v>
      </c>
    </row>
    <row r="25" s="2" customFormat="true" ht="12.8" hidden="false" customHeight="false" outlineLevel="1" collapsed="false">
      <c r="A25" s="26" t="s">
        <v>18</v>
      </c>
      <c r="B25" s="2" t="s">
        <v>19</v>
      </c>
      <c r="C25" s="2" t="s">
        <v>20</v>
      </c>
    </row>
    <row r="26" s="2" customFormat="true" ht="12.8" hidden="false" customHeight="false" outlineLevel="1" collapsed="false">
      <c r="A26" s="26" t="s">
        <v>21</v>
      </c>
      <c r="B26" s="2" t="s">
        <v>22</v>
      </c>
      <c r="C26" s="2" t="s">
        <v>23</v>
      </c>
    </row>
    <row r="27" s="2" customFormat="true" ht="12.8" hidden="false" customHeight="false" outlineLevel="1" collapsed="false">
      <c r="A27" s="26" t="s">
        <v>24</v>
      </c>
      <c r="B27" s="2" t="s">
        <v>25</v>
      </c>
      <c r="C27" s="2" t="s">
        <v>26</v>
      </c>
    </row>
    <row r="28" s="2" customFormat="true" ht="12.8" hidden="false" customHeight="false" outlineLevel="1" collapsed="false">
      <c r="A28" s="26" t="s">
        <v>27</v>
      </c>
      <c r="B28" s="2" t="s">
        <v>28</v>
      </c>
      <c r="C28" s="2" t="s">
        <v>29</v>
      </c>
    </row>
    <row r="29" s="2" customFormat="true" ht="12.8" hidden="false" customHeight="false" outlineLevel="1" collapsed="false">
      <c r="A29" s="26" t="s">
        <v>30</v>
      </c>
      <c r="B29" s="2" t="s">
        <v>13</v>
      </c>
      <c r="C29" s="2" t="s">
        <v>14</v>
      </c>
    </row>
    <row r="30" s="2" customFormat="true" ht="12.8" hidden="false" customHeight="false" outlineLevel="1" collapsed="false">
      <c r="A30" s="26" t="s">
        <v>31</v>
      </c>
      <c r="B30" s="2" t="s">
        <v>32</v>
      </c>
      <c r="C30" s="2" t="s">
        <v>33</v>
      </c>
    </row>
    <row r="31" s="2" customFormat="true" ht="12.8" hidden="false" customHeight="false" outlineLevel="1" collapsed="false">
      <c r="A31" s="26" t="s">
        <v>34</v>
      </c>
      <c r="B31" s="2" t="s">
        <v>35</v>
      </c>
      <c r="C31" s="2" t="s">
        <v>36</v>
      </c>
    </row>
    <row r="32" s="2" customFormat="true" ht="12.8" hidden="false" customHeight="false" outlineLevel="1" collapsed="false">
      <c r="A32" s="26" t="s">
        <v>37</v>
      </c>
      <c r="B32" s="2" t="s">
        <v>38</v>
      </c>
      <c r="C32" s="2" t="s">
        <v>39</v>
      </c>
    </row>
    <row r="33" s="2" customFormat="true" ht="12.8" hidden="false" customHeight="false" outlineLevel="1" collapsed="false">
      <c r="A33" s="26" t="s">
        <v>40</v>
      </c>
      <c r="B33" s="2" t="s">
        <v>41</v>
      </c>
      <c r="C33" s="2" t="s">
        <v>42</v>
      </c>
    </row>
    <row r="34" s="2" customFormat="true" ht="12.8" hidden="false" customHeight="false" outlineLevel="1" collapsed="false">
      <c r="A34" s="26" t="s">
        <v>43</v>
      </c>
      <c r="B34" s="2" t="s">
        <v>44</v>
      </c>
      <c r="C34" s="2" t="s">
        <v>45</v>
      </c>
    </row>
    <row r="35" s="2" customFormat="true" ht="12.8" hidden="false" customHeight="false" outlineLevel="1" collapsed="false">
      <c r="A35" s="26" t="s">
        <v>46</v>
      </c>
      <c r="B35" s="2" t="s">
        <v>47</v>
      </c>
      <c r="C35" s="2" t="s">
        <v>48</v>
      </c>
    </row>
    <row r="36" s="2" customFormat="true" ht="12.8" hidden="false" customHeight="false" outlineLevel="1" collapsed="false">
      <c r="A36" s="26" t="s">
        <v>49</v>
      </c>
      <c r="B36" s="2" t="s">
        <v>50</v>
      </c>
      <c r="C36" s="2" t="s">
        <v>51</v>
      </c>
    </row>
    <row r="37" s="2" customFormat="true" ht="12.8" hidden="false" customHeight="false" outlineLevel="1" collapsed="false">
      <c r="A37" s="26" t="s">
        <v>52</v>
      </c>
      <c r="B37" s="2" t="s">
        <v>53</v>
      </c>
      <c r="C37" s="2" t="s">
        <v>54</v>
      </c>
    </row>
    <row r="38" s="2" customFormat="true" ht="12.8" hidden="false" customHeight="false" outlineLevel="1" collapsed="false">
      <c r="A38" s="26" t="s">
        <v>55</v>
      </c>
      <c r="B38" s="2" t="s">
        <v>56</v>
      </c>
      <c r="C38" s="2" t="s">
        <v>57</v>
      </c>
    </row>
    <row r="39" s="2" customFormat="true" ht="12.8" hidden="false" customHeight="false" outlineLevel="1" collapsed="false">
      <c r="A39" s="26" t="s">
        <v>58</v>
      </c>
      <c r="B39" s="2" t="s">
        <v>59</v>
      </c>
      <c r="C39" s="2" t="s">
        <v>60</v>
      </c>
    </row>
    <row r="40" s="2" customFormat="true" ht="12.8" hidden="false" customHeight="false" outlineLevel="1" collapsed="false">
      <c r="A40" s="26" t="s">
        <v>61</v>
      </c>
      <c r="B40" s="2" t="s">
        <v>62</v>
      </c>
      <c r="C40" s="2" t="s">
        <v>63</v>
      </c>
    </row>
    <row r="41" s="2" customFormat="true" ht="12.8" hidden="false" customHeight="false" outlineLevel="1" collapsed="false">
      <c r="A41" s="26" t="s">
        <v>64</v>
      </c>
      <c r="B41" s="2" t="s">
        <v>65</v>
      </c>
      <c r="C41" s="2" t="s">
        <v>66</v>
      </c>
    </row>
    <row r="42" s="2" customFormat="true" ht="12.8" hidden="false" customHeight="false" outlineLevel="1" collapsed="false">
      <c r="A42" s="26" t="s">
        <v>67</v>
      </c>
      <c r="B42" s="27" t="s">
        <v>68</v>
      </c>
      <c r="C42" s="2" t="s">
        <v>69</v>
      </c>
    </row>
    <row r="43" s="2" customFormat="true" ht="12.8" hidden="false" customHeight="false" outlineLevel="1" collapsed="false">
      <c r="A43" s="26" t="s">
        <v>70</v>
      </c>
      <c r="B43" s="27" t="s">
        <v>71</v>
      </c>
      <c r="C43" s="2" t="s">
        <v>72</v>
      </c>
    </row>
    <row r="44" s="2" customFormat="true" ht="12.8" hidden="false" customHeight="false" outlineLevel="1" collapsed="false">
      <c r="A44" s="26" t="s">
        <v>73</v>
      </c>
      <c r="B44" s="27" t="s">
        <v>74</v>
      </c>
      <c r="C44" s="2" t="s">
        <v>75</v>
      </c>
    </row>
    <row r="45" s="2" customFormat="true" ht="12.8" hidden="false" customHeight="false" outlineLevel="1" collapsed="false">
      <c r="A45" s="26" t="s">
        <v>76</v>
      </c>
      <c r="B45" s="27" t="s">
        <v>77</v>
      </c>
      <c r="C45" s="2" t="s">
        <v>78</v>
      </c>
    </row>
    <row r="46" s="2" customFormat="true" ht="12.8" hidden="false" customHeight="false" outlineLevel="1" collapsed="false">
      <c r="A46" s="26" t="s">
        <v>79</v>
      </c>
      <c r="B46" s="27" t="s">
        <v>80</v>
      </c>
      <c r="C46" s="2" t="s">
        <v>81</v>
      </c>
    </row>
    <row r="47" s="2" customFormat="true" ht="12.8" hidden="false" customHeight="false" outlineLevel="1" collapsed="false">
      <c r="A47" s="26" t="s">
        <v>82</v>
      </c>
      <c r="B47" s="27" t="s">
        <v>83</v>
      </c>
      <c r="C47" s="2" t="s">
        <v>84</v>
      </c>
    </row>
    <row r="48" s="2" customFormat="true" ht="12.8" hidden="false" customHeight="false" outlineLevel="1" collapsed="false">
      <c r="A48" s="26" t="s">
        <v>85</v>
      </c>
      <c r="B48" s="27" t="s">
        <v>86</v>
      </c>
      <c r="C48" s="2" t="s">
        <v>87</v>
      </c>
    </row>
    <row r="49" s="2" customFormat="true" ht="12.8" hidden="false" customHeight="false" outlineLevel="1" collapsed="false">
      <c r="A49" s="26" t="s">
        <v>88</v>
      </c>
      <c r="B49" s="27" t="s">
        <v>89</v>
      </c>
      <c r="C49" s="2" t="s">
        <v>90</v>
      </c>
    </row>
    <row r="50" s="2" customFormat="true" ht="12.8" hidden="false" customHeight="false" outlineLevel="1" collapsed="false">
      <c r="A50" s="26" t="s">
        <v>91</v>
      </c>
      <c r="B50" s="27" t="s">
        <v>92</v>
      </c>
      <c r="C50" s="2" t="s">
        <v>93</v>
      </c>
    </row>
    <row r="51" s="2" customFormat="true" ht="12.8" hidden="false" customHeight="false" outlineLevel="1" collapsed="false">
      <c r="A51" s="26" t="s">
        <v>94</v>
      </c>
      <c r="B51" s="27" t="s">
        <v>95</v>
      </c>
      <c r="C51" s="2" t="s">
        <v>96</v>
      </c>
    </row>
    <row r="52" s="2" customFormat="true" ht="12.8" hidden="false" customHeight="false" outlineLevel="1" collapsed="false">
      <c r="A52" s="26" t="s">
        <v>97</v>
      </c>
      <c r="B52" s="27" t="s">
        <v>98</v>
      </c>
      <c r="C52" s="2" t="s">
        <v>99</v>
      </c>
    </row>
    <row r="53" s="2" customFormat="true" ht="12.8" hidden="false" customHeight="false" outlineLevel="1" collapsed="false">
      <c r="A53" s="26" t="s">
        <v>100</v>
      </c>
      <c r="B53" s="2" t="s">
        <v>101</v>
      </c>
      <c r="C53" s="2" t="s">
        <v>102</v>
      </c>
    </row>
    <row r="54" s="2" customFormat="true" ht="12.8" hidden="false" customHeight="false" outlineLevel="1" collapsed="false">
      <c r="A54" s="26" t="s">
        <v>103</v>
      </c>
      <c r="B54" s="2" t="s">
        <v>104</v>
      </c>
      <c r="C54" s="2" t="s">
        <v>105</v>
      </c>
    </row>
    <row r="55" s="2" customFormat="true" ht="12.8" hidden="false" customHeight="false" outlineLevel="1" collapsed="false">
      <c r="A55" s="26" t="s">
        <v>106</v>
      </c>
      <c r="B55" s="2" t="s">
        <v>107</v>
      </c>
      <c r="C55" s="2" t="s">
        <v>108</v>
      </c>
    </row>
    <row r="56" s="2" customFormat="true" ht="12.8" hidden="false" customHeight="false" outlineLevel="1" collapsed="false">
      <c r="A56" s="26" t="s">
        <v>109</v>
      </c>
      <c r="B56" s="2" t="s">
        <v>110</v>
      </c>
      <c r="C56" s="2" t="s">
        <v>111</v>
      </c>
    </row>
    <row r="57" s="2" customFormat="true" ht="12.8" hidden="false" customHeight="false" outlineLevel="1" collapsed="false">
      <c r="A57" s="26" t="s">
        <v>112</v>
      </c>
      <c r="B57" s="2" t="s">
        <v>113</v>
      </c>
      <c r="C57" s="2" t="s">
        <v>114</v>
      </c>
    </row>
    <row r="58" s="2" customFormat="true" ht="12.8" hidden="false" customHeight="false" outlineLevel="0" collapsed="false">
      <c r="A58" s="1"/>
    </row>
    <row r="59" s="2" customFormat="true" ht="12.8" hidden="false" customHeight="false" outlineLevel="0" collapsed="false">
      <c r="A59" s="1"/>
    </row>
    <row r="60" s="2" customFormat="true" ht="12.8" hidden="false" customHeight="false" outlineLevel="0" collapsed="false">
      <c r="A60" s="0"/>
      <c r="B60" s="0"/>
      <c r="C60" s="0"/>
      <c r="D60" s="0"/>
      <c r="E60" s="0"/>
      <c r="F60" s="0"/>
      <c r="G60" s="0"/>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row>
    <row r="61" s="2" customFormat="true" ht="12.8" hidden="false" customHeight="false" outlineLevel="0" collapsed="false">
      <c r="A61" s="0"/>
      <c r="B61" s="0"/>
      <c r="C61" s="0"/>
      <c r="D61" s="0"/>
      <c r="E61" s="0"/>
      <c r="F61" s="0"/>
      <c r="G61" s="0"/>
      <c r="H61" s="0"/>
      <c r="I61" s="0"/>
      <c r="J61" s="0"/>
      <c r="K61" s="0"/>
      <c r="L61" s="0"/>
      <c r="M61" s="0"/>
      <c r="N61" s="0"/>
      <c r="O61" s="0"/>
      <c r="P61" s="0"/>
      <c r="Q61" s="0"/>
      <c r="R61" s="0"/>
      <c r="S61" s="0"/>
      <c r="T61" s="0"/>
      <c r="U61" s="0"/>
      <c r="V61" s="0"/>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row>
    <row r="62" s="2" customFormat="true" ht="12.8" hidden="false" customHeight="false" outlineLevel="0" collapsed="false">
      <c r="A62" s="0"/>
      <c r="B62" s="0"/>
      <c r="C62" s="0"/>
      <c r="D62" s="0"/>
      <c r="E62" s="0"/>
      <c r="F62" s="0"/>
      <c r="G62" s="0"/>
      <c r="H62" s="0"/>
      <c r="I62" s="0"/>
      <c r="J62" s="0"/>
      <c r="K62" s="0"/>
      <c r="L62" s="0"/>
      <c r="M62" s="0"/>
      <c r="N62" s="0"/>
      <c r="O62" s="0"/>
      <c r="P62" s="0"/>
      <c r="Q62" s="0"/>
      <c r="R62" s="0"/>
      <c r="S62" s="0"/>
      <c r="T62" s="0"/>
      <c r="U62" s="0"/>
      <c r="V62" s="0"/>
      <c r="W62" s="0"/>
      <c r="X62" s="0"/>
      <c r="Y62" s="0"/>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row>
    <row r="63" s="2" customFormat="true" ht="12.8" hidden="false" customHeight="false" outlineLevel="0" collapsed="false">
      <c r="A63" s="0"/>
      <c r="B63" s="0"/>
      <c r="C63" s="0"/>
      <c r="D63" s="0"/>
      <c r="E63" s="0"/>
      <c r="F63" s="0"/>
      <c r="G63" s="0"/>
      <c r="H63" s="0"/>
      <c r="I63" s="0"/>
      <c r="J63" s="0"/>
      <c r="K63" s="0"/>
      <c r="L63" s="0"/>
      <c r="M63" s="0"/>
      <c r="N63" s="0"/>
      <c r="O63" s="0"/>
      <c r="P63" s="0"/>
      <c r="Q63" s="0"/>
      <c r="R63" s="0"/>
      <c r="S63" s="0"/>
      <c r="T63" s="0"/>
      <c r="U63" s="0"/>
      <c r="V63" s="0"/>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row>
    <row r="64" s="2" customFormat="true" ht="12.8" hidden="false" customHeight="false" outlineLevel="0" collapsed="false">
      <c r="A64" s="0"/>
      <c r="B64" s="0"/>
      <c r="C64" s="0"/>
      <c r="D64" s="0"/>
      <c r="E64" s="0"/>
      <c r="F64" s="0"/>
      <c r="G64" s="0"/>
      <c r="H64" s="0"/>
      <c r="I64" s="0"/>
      <c r="J64" s="0"/>
      <c r="K64" s="0"/>
      <c r="L64" s="0"/>
      <c r="M64" s="0"/>
      <c r="N64" s="0"/>
      <c r="O64" s="0"/>
      <c r="P64" s="0"/>
      <c r="Q64" s="0"/>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row>
    <row r="65" s="2" customFormat="true" ht="12.8" hidden="false" customHeight="false" outlineLevel="0" collapsed="false">
      <c r="A65" s="0"/>
      <c r="B65" s="0"/>
      <c r="C65" s="0"/>
      <c r="D65" s="0"/>
      <c r="E65" s="0"/>
      <c r="F65" s="0"/>
      <c r="G65" s="0"/>
      <c r="H65" s="0"/>
      <c r="I65" s="0"/>
      <c r="J65" s="0"/>
      <c r="K65" s="0"/>
      <c r="L65" s="0"/>
      <c r="M65" s="0"/>
      <c r="N65" s="0"/>
      <c r="O65" s="0"/>
      <c r="P65" s="0"/>
      <c r="Q65" s="0"/>
      <c r="R65" s="0"/>
      <c r="S65" s="0"/>
      <c r="T65" s="0"/>
      <c r="U65" s="0"/>
      <c r="V65" s="0"/>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row>
    <row r="66" s="2" customFormat="true" ht="12.8" hidden="false" customHeight="false" outlineLevel="0" collapsed="false">
      <c r="A66" s="0"/>
      <c r="B66" s="0"/>
      <c r="C66" s="0"/>
      <c r="D66" s="0"/>
      <c r="E66" s="0"/>
      <c r="F66" s="0"/>
      <c r="G66" s="0"/>
      <c r="H66" s="0"/>
      <c r="I66" s="0"/>
      <c r="J66" s="0"/>
      <c r="K66" s="0"/>
      <c r="L66" s="0"/>
      <c r="M66" s="0"/>
      <c r="N66" s="0"/>
      <c r="O66" s="0"/>
      <c r="P66" s="0"/>
      <c r="Q66" s="0"/>
      <c r="R66" s="0"/>
      <c r="S66" s="0"/>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row>
    <row r="67" s="2" customFormat="true" ht="12.8" hidden="false" customHeight="false" outlineLevel="0" collapsed="false">
      <c r="A67" s="0"/>
      <c r="B67" s="0"/>
      <c r="C67" s="0"/>
      <c r="D67" s="0"/>
      <c r="E67" s="0"/>
      <c r="F67" s="0"/>
      <c r="G67" s="0"/>
      <c r="H67" s="0"/>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row>
    <row r="68" s="2" customFormat="true" ht="12.8" hidden="false" customHeight="false" outlineLevel="0" collapsed="false">
      <c r="A68" s="0"/>
      <c r="B68" s="0"/>
      <c r="C68" s="0"/>
      <c r="D68" s="0"/>
      <c r="E68" s="0"/>
      <c r="F68" s="0"/>
      <c r="G68" s="0"/>
      <c r="H68" s="0"/>
      <c r="I68" s="0"/>
      <c r="J68" s="0"/>
      <c r="K68" s="0"/>
      <c r="L68" s="0"/>
      <c r="M68" s="0"/>
      <c r="N68" s="0"/>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row>
    <row r="69" s="2" customFormat="true" ht="12.8" hidden="false" customHeight="false" outlineLevel="0" collapsed="false">
      <c r="A69" s="0"/>
      <c r="B69" s="0"/>
      <c r="C69" s="0"/>
      <c r="D69" s="0"/>
      <c r="E69" s="0"/>
      <c r="F69" s="0"/>
      <c r="G69" s="0"/>
      <c r="H69" s="0"/>
      <c r="I69" s="0"/>
      <c r="J69" s="0"/>
      <c r="K69" s="0"/>
      <c r="L69" s="0"/>
      <c r="M69" s="0"/>
      <c r="N69" s="0"/>
      <c r="O69" s="0"/>
      <c r="P69" s="0"/>
      <c r="Q69" s="0"/>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row>
    <row r="70" s="2" customFormat="true" ht="12.8" hidden="false" customHeight="false" outlineLevel="0" collapsed="false">
      <c r="A70" s="0"/>
      <c r="B70" s="0"/>
      <c r="C70" s="0"/>
      <c r="D70" s="0"/>
      <c r="E70" s="0"/>
      <c r="F70" s="0"/>
      <c r="G70" s="0"/>
      <c r="H70" s="0"/>
      <c r="I70" s="0"/>
      <c r="J70" s="0"/>
      <c r="K70" s="0"/>
      <c r="L70" s="0"/>
      <c r="M70" s="0"/>
      <c r="N70" s="0"/>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row>
    <row r="71" s="2" customFormat="true" ht="12.8" hidden="false" customHeight="false" outlineLevel="0" collapsed="false">
      <c r="A71" s="0"/>
      <c r="B71" s="0"/>
      <c r="C71" s="0"/>
      <c r="D71" s="0"/>
      <c r="E71" s="0"/>
      <c r="F71" s="0"/>
      <c r="G71" s="0"/>
      <c r="H71" s="0"/>
      <c r="I71" s="0"/>
      <c r="J71" s="0"/>
      <c r="K71" s="0"/>
      <c r="L71" s="0"/>
      <c r="M71" s="0"/>
      <c r="N71" s="0"/>
      <c r="O71" s="0"/>
      <c r="P71" s="0"/>
      <c r="Q71" s="0"/>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row>
    <row r="72" s="2" customFormat="true" ht="12.8" hidden="false" customHeight="false" outlineLevel="0" collapsed="false">
      <c r="A72" s="0"/>
      <c r="B72" s="0"/>
      <c r="C72" s="0"/>
      <c r="D72" s="0"/>
      <c r="E72" s="0"/>
      <c r="F72" s="0"/>
      <c r="G72" s="0"/>
      <c r="H72" s="0"/>
      <c r="I72" s="0"/>
      <c r="J72" s="0"/>
      <c r="K72" s="0"/>
      <c r="L72" s="0"/>
      <c r="M72" s="0"/>
      <c r="N72" s="0"/>
      <c r="O72" s="0"/>
      <c r="P72" s="0"/>
      <c r="Q72" s="0"/>
      <c r="R72" s="0"/>
      <c r="S72" s="0"/>
      <c r="T72" s="0"/>
      <c r="U72" s="0"/>
      <c r="V72" s="0"/>
      <c r="W72" s="0"/>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row>
    <row r="73" s="2" customFormat="true" ht="12.8" hidden="false" customHeight="false" outlineLevel="0" collapsed="false">
      <c r="A73" s="0"/>
      <c r="B73" s="0"/>
      <c r="C73" s="0"/>
      <c r="D73" s="0"/>
      <c r="E73" s="0"/>
      <c r="F73" s="0"/>
      <c r="G73" s="0"/>
      <c r="H73" s="0"/>
      <c r="I73" s="0"/>
      <c r="J73" s="0"/>
      <c r="K73" s="0"/>
      <c r="L73" s="0"/>
      <c r="M73" s="0"/>
      <c r="N73" s="0"/>
      <c r="O73" s="0"/>
      <c r="P73" s="0"/>
      <c r="Q73" s="0"/>
      <c r="R73" s="0"/>
      <c r="S73" s="0"/>
      <c r="T73" s="0"/>
      <c r="U73" s="0"/>
      <c r="V73" s="0"/>
      <c r="W73" s="0"/>
      <c r="X73" s="0"/>
      <c r="Y73" s="0"/>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row>
    <row r="74" s="2" customFormat="true" ht="12.8" hidden="false" customHeight="false" outlineLevel="0" collapsed="false">
      <c r="A74" s="0"/>
      <c r="B74" s="0"/>
      <c r="C74" s="0"/>
      <c r="D74" s="0"/>
      <c r="E74" s="0"/>
      <c r="F74" s="0"/>
      <c r="G74" s="0"/>
      <c r="H74" s="0"/>
      <c r="I74" s="0"/>
      <c r="J74" s="0"/>
      <c r="K74" s="0"/>
      <c r="L74" s="0"/>
      <c r="M74" s="0"/>
      <c r="N74" s="0"/>
      <c r="O74" s="0"/>
      <c r="P74" s="0"/>
      <c r="Q74" s="0"/>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row>
    <row r="75" s="2" customFormat="true" ht="12.8" hidden="false" customHeight="false" outlineLevel="0" collapsed="false">
      <c r="A75" s="0"/>
      <c r="B75" s="0"/>
      <c r="C75" s="0"/>
      <c r="D75" s="0"/>
      <c r="E75" s="0"/>
      <c r="F75" s="0"/>
      <c r="G75" s="0"/>
      <c r="H75" s="0"/>
      <c r="I75" s="0"/>
      <c r="J75" s="0"/>
      <c r="K75" s="0"/>
      <c r="L75" s="0"/>
      <c r="M75" s="0"/>
      <c r="N75" s="0"/>
      <c r="O75" s="0"/>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row>
    <row r="76" s="2" customFormat="true" ht="12.8" hidden="false" customHeight="false" outlineLevel="0" collapsed="false">
      <c r="A76" s="0"/>
      <c r="B76" s="0"/>
      <c r="C76" s="0"/>
      <c r="D76" s="0"/>
      <c r="E76" s="0"/>
      <c r="F76" s="0"/>
      <c r="G76" s="0"/>
      <c r="H76" s="0"/>
      <c r="I76" s="0"/>
      <c r="J76" s="0"/>
      <c r="K76" s="0"/>
      <c r="L76" s="0"/>
      <c r="M76" s="0"/>
      <c r="N76" s="0"/>
      <c r="O76" s="0"/>
      <c r="P76" s="0"/>
      <c r="Q76" s="0"/>
      <c r="R76" s="0"/>
      <c r="S76" s="0"/>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row>
    <row r="77" s="2" customFormat="true" ht="12.8" hidden="false" customHeight="false" outlineLevel="0" collapsed="false">
      <c r="A77" s="0"/>
      <c r="B77" s="0"/>
      <c r="C77" s="0"/>
      <c r="D77" s="0"/>
      <c r="E77" s="0"/>
      <c r="F77" s="0"/>
      <c r="G77" s="0"/>
      <c r="H77" s="0"/>
      <c r="I77" s="0"/>
      <c r="J77" s="0"/>
      <c r="K77" s="0"/>
      <c r="L77" s="0"/>
      <c r="M77" s="0"/>
      <c r="N77" s="0"/>
      <c r="O77" s="0"/>
      <c r="P77" s="0"/>
      <c r="Q77" s="0"/>
      <c r="R77" s="0"/>
      <c r="S77" s="0"/>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row>
    <row r="78" s="2" customFormat="true" ht="12.8" hidden="false" customHeight="false" outlineLevel="0" collapsed="false">
      <c r="A78" s="1"/>
    </row>
    <row r="79" s="2" customFormat="true" ht="12.8" hidden="false" customHeight="false" outlineLevel="0" collapsed="false">
      <c r="A79" s="1"/>
    </row>
    <row r="80" s="2" customFormat="true" ht="12.8" hidden="false" customHeight="false" outlineLevel="0" collapsed="false">
      <c r="A80" s="1"/>
    </row>
    <row r="81" s="2" customFormat="true" ht="12.8" hidden="false" customHeight="false" outlineLevel="0" collapsed="false">
      <c r="A81" s="1"/>
    </row>
    <row r="82" s="2" customFormat="true" ht="12.8" hidden="false" customHeight="false" outlineLevel="0" collapsed="false">
      <c r="A82" s="1"/>
    </row>
    <row r="83" s="2" customFormat="true" ht="12.8" hidden="false" customHeight="false" outlineLevel="0" collapsed="false">
      <c r="A83" s="1"/>
    </row>
    <row r="84" s="2" customFormat="true" ht="12.8" hidden="false" customHeight="false" outlineLevel="0" collapsed="false">
      <c r="A84" s="1"/>
    </row>
    <row r="85" s="2" customFormat="true" ht="12.8" hidden="false" customHeight="false" outlineLevel="0" collapsed="false">
      <c r="A85" s="1"/>
    </row>
    <row r="86" s="2" customFormat="true" ht="12.8" hidden="false" customHeight="false" outlineLevel="0" collapsed="false">
      <c r="A86" s="1"/>
    </row>
    <row r="87" s="2" customFormat="true" ht="12.8" hidden="false" customHeight="false" outlineLevel="0" collapsed="false">
      <c r="A87" s="1"/>
    </row>
    <row r="88" s="2" customFormat="true" ht="12.8" hidden="false" customHeight="false" outlineLevel="0" collapsed="false">
      <c r="A88" s="1"/>
    </row>
    <row r="89" s="2" customFormat="true" ht="12.8" hidden="false" customHeight="false" outlineLevel="0" collapsed="false">
      <c r="A89" s="1"/>
    </row>
    <row r="90" s="2" customFormat="true" ht="12.8" hidden="false" customHeight="false" outlineLevel="0" collapsed="false">
      <c r="A90" s="1"/>
    </row>
    <row r="91" s="2" customFormat="true" ht="12.8" hidden="false" customHeight="false" outlineLevel="0" collapsed="false">
      <c r="A91" s="1"/>
    </row>
    <row r="92" s="2" customFormat="true" ht="12.8" hidden="false" customHeight="false" outlineLevel="0" collapsed="false">
      <c r="A92" s="1"/>
    </row>
    <row r="93" s="2" customFormat="true" ht="12.8" hidden="false" customHeight="false" outlineLevel="0" collapsed="false">
      <c r="A93" s="1"/>
    </row>
    <row r="94" s="2" customFormat="true" ht="12.8" hidden="false" customHeight="false" outlineLevel="0" collapsed="false">
      <c r="A94" s="1"/>
    </row>
    <row r="95" s="2" customFormat="true" ht="12.8" hidden="false" customHeight="false" outlineLevel="0" collapsed="false">
      <c r="A95" s="1"/>
    </row>
    <row r="96" s="2" customFormat="true" ht="12.8" hidden="false" customHeight="false" outlineLevel="0" collapsed="false">
      <c r="A96" s="1"/>
    </row>
    <row r="97" s="2" customFormat="true" ht="12.8" hidden="false" customHeight="false" outlineLevel="0" collapsed="false">
      <c r="A97" s="1"/>
    </row>
    <row r="98" s="2" customFormat="true" ht="12.8" hidden="false" customHeight="false" outlineLevel="0" collapsed="false">
      <c r="A98" s="1"/>
    </row>
    <row r="99" s="2" customFormat="true" ht="12.8" hidden="false" customHeight="false" outlineLevel="0" collapsed="false">
      <c r="A99" s="1"/>
    </row>
    <row r="100" s="2" customFormat="true" ht="12.8" hidden="false" customHeight="false" outlineLevel="0" collapsed="false">
      <c r="A100" s="1"/>
    </row>
    <row r="101" s="2" customFormat="true" ht="12.8" hidden="false" customHeight="false" outlineLevel="0" collapsed="false">
      <c r="A101" s="1"/>
    </row>
    <row r="102" s="2" customFormat="true" ht="12.8" hidden="false" customHeight="false" outlineLevel="0" collapsed="false">
      <c r="A102" s="1"/>
    </row>
    <row r="103" s="2" customFormat="true" ht="12.8" hidden="false" customHeight="false" outlineLevel="0" collapsed="false">
      <c r="A103" s="1"/>
    </row>
    <row r="104" s="2" customFormat="true" ht="12.8" hidden="false" customHeight="false" outlineLevel="0" collapsed="false">
      <c r="A104" s="1"/>
    </row>
    <row r="105" s="2" customFormat="true" ht="12.8" hidden="false" customHeight="false" outlineLevel="0" collapsed="false">
      <c r="A105" s="1"/>
    </row>
    <row r="106" s="2" customFormat="true" ht="12.8" hidden="false" customHeight="false" outlineLevel="0" collapsed="false">
      <c r="A106" s="1"/>
    </row>
    <row r="107" s="2" customFormat="true" ht="12.8" hidden="false" customHeight="false" outlineLevel="0" collapsed="false">
      <c r="A107" s="1"/>
    </row>
    <row r="108" s="2" customFormat="true" ht="12.8" hidden="false" customHeight="false" outlineLevel="0" collapsed="false">
      <c r="A108" s="1"/>
    </row>
    <row r="109" s="2" customFormat="true" ht="12.8" hidden="false" customHeight="false" outlineLevel="0" collapsed="false">
      <c r="A109" s="1"/>
    </row>
    <row r="110" s="2" customFormat="true" ht="12.8" hidden="false" customHeight="false" outlineLevel="0" collapsed="false">
      <c r="A110" s="1"/>
    </row>
    <row r="111" s="2" customFormat="true" ht="12.8" hidden="false" customHeight="false" outlineLevel="0" collapsed="false">
      <c r="A111" s="1"/>
    </row>
    <row r="112" s="2" customFormat="true" ht="12.8" hidden="false" customHeight="false" outlineLevel="0" collapsed="false">
      <c r="A112" s="1"/>
    </row>
    <row r="113" s="2" customFormat="true" ht="12.8" hidden="false" customHeight="false" outlineLevel="0" collapsed="false">
      <c r="A113" s="1"/>
    </row>
    <row r="114" s="2" customFormat="true" ht="12.8" hidden="false" customHeight="false" outlineLevel="0" collapsed="false">
      <c r="A114" s="1"/>
    </row>
    <row r="115" s="2" customFormat="true" ht="12.8" hidden="false" customHeight="false" outlineLevel="0" collapsed="false">
      <c r="A115" s="1"/>
    </row>
    <row r="116" s="2" customFormat="true" ht="12.8" hidden="false" customHeight="false" outlineLevel="0" collapsed="false">
      <c r="A116" s="1"/>
    </row>
    <row r="117" s="2" customFormat="true" ht="12.8" hidden="false" customHeight="false" outlineLevel="0" collapsed="false">
      <c r="A117" s="1"/>
    </row>
    <row r="118" s="2" customFormat="true" ht="12.8" hidden="false" customHeight="false" outlineLevel="0" collapsed="false">
      <c r="A118" s="1"/>
    </row>
    <row r="119" s="2" customFormat="true" ht="12.8" hidden="false" customHeight="false" outlineLevel="0" collapsed="false">
      <c r="A119" s="1"/>
    </row>
    <row r="120" s="2" customFormat="true" ht="12.8" hidden="false" customHeight="false" outlineLevel="0" collapsed="false">
      <c r="A120" s="1"/>
    </row>
    <row r="121" s="2" customFormat="true" ht="12.8" hidden="false" customHeight="false" outlineLevel="0" collapsed="false">
      <c r="A121" s="1"/>
    </row>
    <row r="122" s="2" customFormat="true" ht="12.8" hidden="false" customHeight="false" outlineLevel="0" collapsed="false">
      <c r="A122" s="1"/>
    </row>
    <row r="123" s="2" customFormat="true" ht="12.8" hidden="false" customHeight="false" outlineLevel="0" collapsed="false">
      <c r="A123" s="1"/>
    </row>
    <row r="124" s="2" customFormat="true" ht="12.8" hidden="false" customHeight="false" outlineLevel="0" collapsed="false">
      <c r="A124" s="1"/>
    </row>
    <row r="125" s="2" customFormat="true" ht="12.8" hidden="false" customHeight="false" outlineLevel="0" collapsed="false">
      <c r="A125" s="1"/>
    </row>
    <row r="126" s="2" customFormat="true" ht="12.8" hidden="false" customHeight="false" outlineLevel="0" collapsed="false">
      <c r="A126" s="1"/>
    </row>
    <row r="127" s="2" customFormat="true" ht="12.8" hidden="false" customHeight="false" outlineLevel="0" collapsed="false">
      <c r="A127" s="1"/>
    </row>
    <row r="128" s="2" customFormat="true" ht="12.8" hidden="false" customHeight="false" outlineLevel="0" collapsed="false">
      <c r="A128" s="1"/>
    </row>
    <row r="129" s="2" customFormat="true" ht="12.8" hidden="false" customHeight="false" outlineLevel="0" collapsed="false">
      <c r="A129" s="1"/>
    </row>
    <row r="130" s="2" customFormat="true" ht="12.8" hidden="false" customHeight="false" outlineLevel="0" collapsed="false">
      <c r="A130" s="1"/>
    </row>
    <row r="131" s="2" customFormat="true" ht="12.8" hidden="false" customHeight="false" outlineLevel="0" collapsed="false">
      <c r="A131" s="1"/>
    </row>
    <row r="132" s="2" customFormat="true" ht="12.8" hidden="false" customHeight="false" outlineLevel="0" collapsed="false">
      <c r="A132" s="1"/>
    </row>
    <row r="133" s="2" customFormat="true" ht="12.8" hidden="false" customHeight="false" outlineLevel="0" collapsed="false">
      <c r="A133" s="1"/>
    </row>
    <row r="134" s="2" customFormat="true" ht="12.8" hidden="false" customHeight="false" outlineLevel="0" collapsed="false">
      <c r="A134" s="1"/>
    </row>
    <row r="135" s="2" customFormat="true" ht="12.8" hidden="false" customHeight="false" outlineLevel="0" collapsed="false">
      <c r="A135" s="1"/>
    </row>
    <row r="136" s="2" customFormat="true" ht="12.8" hidden="false" customHeight="false" outlineLevel="0" collapsed="false">
      <c r="A136" s="1"/>
    </row>
    <row r="137" s="2" customFormat="true" ht="12.8" hidden="false" customHeight="false" outlineLevel="0" collapsed="false">
      <c r="A137" s="1"/>
    </row>
    <row r="138" s="2" customFormat="true" ht="12.8" hidden="false" customHeight="false" outlineLevel="0" collapsed="false">
      <c r="A138" s="1"/>
    </row>
    <row r="139" s="2" customFormat="true" ht="12.8" hidden="false" customHeight="false" outlineLevel="0" collapsed="false">
      <c r="A139" s="1"/>
    </row>
    <row r="140" s="2" customFormat="true" ht="12.8" hidden="false" customHeight="false" outlineLevel="0" collapsed="false">
      <c r="A140" s="1"/>
    </row>
    <row r="141" s="2" customFormat="true" ht="12.8" hidden="false" customHeight="false" outlineLevel="0" collapsed="false">
      <c r="A141" s="1"/>
    </row>
    <row r="142" s="2" customFormat="true" ht="12.8" hidden="false" customHeight="false" outlineLevel="0" collapsed="false">
      <c r="A142" s="1"/>
    </row>
    <row r="143" s="2" customFormat="true" ht="12.8" hidden="false" customHeight="false" outlineLevel="0" collapsed="false">
      <c r="A143" s="1"/>
    </row>
    <row r="144" s="2" customFormat="true" ht="12.8" hidden="false" customHeight="false" outlineLevel="0" collapsed="false">
      <c r="A144" s="1"/>
    </row>
    <row r="145" s="2" customFormat="true" ht="12.8" hidden="false" customHeight="false" outlineLevel="0" collapsed="false">
      <c r="A145" s="1"/>
    </row>
    <row r="146" s="2" customFormat="true" ht="12.8" hidden="false" customHeight="false" outlineLevel="0" collapsed="false">
      <c r="A146" s="1"/>
    </row>
    <row r="147" s="2" customFormat="true" ht="12.8" hidden="false" customHeight="false" outlineLevel="0" collapsed="false">
      <c r="A147" s="1"/>
    </row>
    <row r="148" s="2" customFormat="true" ht="12.8" hidden="false" customHeight="false" outlineLevel="0" collapsed="false">
      <c r="A148" s="1"/>
    </row>
    <row r="149" s="2" customFormat="true" ht="12.8" hidden="false" customHeight="false" outlineLevel="0" collapsed="false">
      <c r="A149" s="1"/>
    </row>
    <row r="150" s="2" customFormat="true" ht="12.8" hidden="false" customHeight="false" outlineLevel="0" collapsed="false">
      <c r="A150" s="1"/>
    </row>
    <row r="151" s="2" customFormat="true" ht="12.8" hidden="false" customHeight="false" outlineLevel="0" collapsed="false">
      <c r="A151" s="1"/>
    </row>
    <row r="152" s="2" customFormat="true" ht="12.8" hidden="false" customHeight="false" outlineLevel="0" collapsed="false">
      <c r="A152" s="1"/>
    </row>
    <row r="153" s="2" customFormat="true" ht="12.8" hidden="false" customHeight="false" outlineLevel="0" collapsed="false">
      <c r="A153" s="1"/>
    </row>
    <row r="154" s="2" customFormat="true" ht="12.8" hidden="false" customHeight="false" outlineLevel="0" collapsed="false">
      <c r="A154" s="1"/>
    </row>
    <row r="155" s="2" customFormat="true" ht="12.8" hidden="false" customHeight="false" outlineLevel="0" collapsed="false">
      <c r="A155" s="1"/>
    </row>
    <row r="156" s="2" customFormat="true" ht="12.8" hidden="false" customHeight="false" outlineLevel="0" collapsed="false">
      <c r="A156" s="1"/>
    </row>
    <row r="157" s="2" customFormat="true" ht="12.8" hidden="false" customHeight="false" outlineLevel="0" collapsed="false">
      <c r="A157" s="1"/>
    </row>
    <row r="158" s="2" customFormat="true" ht="12.8" hidden="false" customHeight="false" outlineLevel="0" collapsed="false">
      <c r="A158" s="1"/>
    </row>
    <row r="159" s="2" customFormat="true" ht="12.8" hidden="false" customHeight="false" outlineLevel="0" collapsed="false">
      <c r="A159" s="1"/>
    </row>
    <row r="160" s="2" customFormat="true" ht="12.8" hidden="false" customHeight="false" outlineLevel="0" collapsed="false">
      <c r="A160" s="1"/>
    </row>
    <row r="161" s="2" customFormat="true" ht="12.8" hidden="false" customHeight="false" outlineLevel="0" collapsed="false">
      <c r="A161" s="1"/>
    </row>
    <row r="162" s="2" customFormat="true" ht="12.8" hidden="false" customHeight="false" outlineLevel="0" collapsed="false">
      <c r="A162" s="1"/>
    </row>
    <row r="163" s="2" customFormat="true" ht="12.8" hidden="false" customHeight="false" outlineLevel="0" collapsed="false">
      <c r="A163" s="1"/>
    </row>
    <row r="164" s="2" customFormat="true" ht="12.8" hidden="false" customHeight="false" outlineLevel="0" collapsed="false">
      <c r="A164" s="1"/>
    </row>
    <row r="165" s="2" customFormat="true" ht="12.8" hidden="false" customHeight="false" outlineLevel="0" collapsed="false">
      <c r="A165" s="1"/>
    </row>
    <row r="166" s="2" customFormat="true" ht="12.8" hidden="false" customHeight="false" outlineLevel="0" collapsed="false">
      <c r="A166" s="1"/>
    </row>
    <row r="167" s="2" customFormat="true" ht="12.8" hidden="false" customHeight="false" outlineLevel="0" collapsed="false">
      <c r="A167" s="1"/>
    </row>
    <row r="168" s="2" customFormat="true" ht="12.8" hidden="false" customHeight="false" outlineLevel="0" collapsed="false">
      <c r="A168" s="1"/>
    </row>
    <row r="169" s="2" customFormat="true" ht="12.8" hidden="false" customHeight="false" outlineLevel="0" collapsed="false">
      <c r="A169" s="1"/>
    </row>
    <row r="170" s="2" customFormat="true" ht="12.8" hidden="false" customHeight="false" outlineLevel="0" collapsed="false">
      <c r="A170" s="1"/>
    </row>
    <row r="171" s="2" customFormat="true" ht="12.8" hidden="false" customHeight="false" outlineLevel="0" collapsed="false">
      <c r="A171" s="1"/>
    </row>
    <row r="172" s="2" customFormat="true" ht="12.8" hidden="false" customHeight="false" outlineLevel="0" collapsed="false">
      <c r="A172" s="1"/>
    </row>
    <row r="173" s="2" customFormat="true" ht="12.8" hidden="false" customHeight="false" outlineLevel="0" collapsed="false">
      <c r="A173" s="1"/>
    </row>
    <row r="174" s="2" customFormat="true" ht="12.8" hidden="false" customHeight="false" outlineLevel="0" collapsed="false">
      <c r="A174" s="1"/>
    </row>
    <row r="175" s="2" customFormat="true" ht="12.8" hidden="false" customHeight="false" outlineLevel="0" collapsed="false">
      <c r="A175" s="1"/>
    </row>
    <row r="176" s="2" customFormat="true" ht="12.8" hidden="false" customHeight="false" outlineLevel="0" collapsed="false">
      <c r="A176" s="1"/>
    </row>
    <row r="177" s="2" customFormat="true" ht="12.8" hidden="false" customHeight="false" outlineLevel="0" collapsed="false">
      <c r="A177" s="1"/>
    </row>
    <row r="178" s="2" customFormat="true" ht="12.8" hidden="false" customHeight="false" outlineLevel="0" collapsed="false">
      <c r="A178" s="1"/>
    </row>
    <row r="179" s="2" customFormat="true" ht="12.8" hidden="false" customHeight="false" outlineLevel="0" collapsed="false">
      <c r="A179" s="1"/>
    </row>
    <row r="180" s="2" customFormat="true" ht="12.8" hidden="false" customHeight="false" outlineLevel="0" collapsed="false">
      <c r="A180" s="1"/>
    </row>
    <row r="181" s="2" customFormat="true" ht="12.8" hidden="false" customHeight="false" outlineLevel="0" collapsed="false">
      <c r="A181" s="1"/>
    </row>
    <row r="182" s="2" customFormat="true" ht="12.8" hidden="false" customHeight="false" outlineLevel="0" collapsed="false">
      <c r="A182" s="1"/>
    </row>
    <row r="183" s="2" customFormat="true" ht="12.8" hidden="false" customHeight="false" outlineLevel="0" collapsed="false">
      <c r="A183" s="1"/>
    </row>
    <row r="184" s="2" customFormat="true" ht="12.8" hidden="false" customHeight="false" outlineLevel="0" collapsed="false">
      <c r="A184" s="1"/>
    </row>
    <row r="185" s="2" customFormat="true" ht="12.8" hidden="false" customHeight="false" outlineLevel="0" collapsed="false">
      <c r="A185" s="1"/>
    </row>
    <row r="186" s="2" customFormat="true" ht="12.8" hidden="false" customHeight="false" outlineLevel="0" collapsed="false">
      <c r="A186" s="1"/>
    </row>
    <row r="187" s="2" customFormat="true" ht="12.8" hidden="false" customHeight="false" outlineLevel="0" collapsed="false">
      <c r="A187" s="1"/>
    </row>
    <row r="188" s="2" customFormat="true" ht="12.8" hidden="false" customHeight="false" outlineLevel="0" collapsed="false">
      <c r="A188" s="1"/>
    </row>
    <row r="189" s="2" customFormat="true" ht="12.8" hidden="false" customHeight="false" outlineLevel="0" collapsed="false">
      <c r="A189" s="1"/>
    </row>
    <row r="190" s="2" customFormat="true" ht="12.8" hidden="false" customHeight="false" outlineLevel="0" collapsed="false">
      <c r="A190" s="1"/>
    </row>
    <row r="191" s="2" customFormat="true" ht="12.8" hidden="false" customHeight="false" outlineLevel="0" collapsed="false">
      <c r="A191" s="1"/>
    </row>
    <row r="192" s="2" customFormat="true" ht="12.8" hidden="false" customHeight="false" outlineLevel="0" collapsed="false">
      <c r="A192" s="1"/>
    </row>
    <row r="193" s="2" customFormat="true" ht="12.8" hidden="false" customHeight="false" outlineLevel="0" collapsed="false">
      <c r="A193" s="1"/>
    </row>
    <row r="194" s="2" customFormat="true" ht="12.8" hidden="false" customHeight="false" outlineLevel="0" collapsed="false">
      <c r="A194" s="1"/>
    </row>
    <row r="195" s="2" customFormat="true" ht="12.8" hidden="false" customHeight="false" outlineLevel="0" collapsed="false">
      <c r="A195" s="1"/>
    </row>
    <row r="196" s="2" customFormat="true" ht="12.8" hidden="false" customHeight="false" outlineLevel="0" collapsed="false">
      <c r="A196" s="1"/>
    </row>
    <row r="197" s="2" customFormat="true" ht="12.8" hidden="false" customHeight="false" outlineLevel="0" collapsed="false">
      <c r="A197" s="1"/>
    </row>
    <row r="198" s="2" customFormat="true" ht="12.8" hidden="false" customHeight="false" outlineLevel="0" collapsed="false">
      <c r="A198" s="1"/>
    </row>
    <row r="199" s="2" customFormat="true" ht="12.8" hidden="false" customHeight="false" outlineLevel="0" collapsed="false">
      <c r="A199" s="1"/>
    </row>
    <row r="200" s="2" customFormat="true" ht="12.8" hidden="false" customHeight="false" outlineLevel="0" collapsed="false">
      <c r="A200" s="1"/>
    </row>
    <row r="201" s="2" customFormat="true" ht="12.8" hidden="false" customHeight="false" outlineLevel="0" collapsed="false">
      <c r="A201" s="1"/>
    </row>
    <row r="202" s="2" customFormat="true" ht="12.8" hidden="false" customHeight="false" outlineLevel="0" collapsed="false">
      <c r="A202" s="1"/>
    </row>
    <row r="203" s="2" customFormat="true" ht="12.8" hidden="false" customHeight="false" outlineLevel="0" collapsed="false">
      <c r="A203" s="1"/>
    </row>
    <row r="204" s="2" customFormat="true" ht="12.8" hidden="false" customHeight="false" outlineLevel="0" collapsed="false">
      <c r="A204" s="1"/>
    </row>
    <row r="205" s="2" customFormat="true" ht="12.8" hidden="false" customHeight="false" outlineLevel="0" collapsed="false">
      <c r="A205" s="1"/>
    </row>
    <row r="206" s="2" customFormat="true" ht="12.8" hidden="false" customHeight="false" outlineLevel="0" collapsed="false">
      <c r="A206" s="1"/>
    </row>
    <row r="207" s="2" customFormat="true" ht="12.8" hidden="false" customHeight="false" outlineLevel="0" collapsed="false">
      <c r="A207" s="1"/>
    </row>
    <row r="208" s="2" customFormat="true" ht="12.8" hidden="false" customHeight="false" outlineLevel="0" collapsed="false">
      <c r="A208" s="1"/>
    </row>
    <row r="209" s="2" customFormat="true" ht="12.8" hidden="false" customHeight="false" outlineLevel="0" collapsed="false">
      <c r="A209" s="1"/>
    </row>
    <row r="210" s="2" customFormat="true" ht="12.8" hidden="false" customHeight="false" outlineLevel="0" collapsed="false">
      <c r="A210" s="1"/>
    </row>
    <row r="211" s="2" customFormat="true" ht="12.8" hidden="false" customHeight="false" outlineLevel="0" collapsed="false">
      <c r="A211" s="1"/>
    </row>
    <row r="212" s="2" customFormat="true" ht="12.8" hidden="false" customHeight="false" outlineLevel="0" collapsed="false">
      <c r="A212" s="1"/>
    </row>
    <row r="213" s="2" customFormat="true" ht="12.8" hidden="false" customHeight="false" outlineLevel="0" collapsed="false">
      <c r="A213" s="1"/>
    </row>
    <row r="214" s="2" customFormat="true" ht="12.8" hidden="false" customHeight="false" outlineLevel="0" collapsed="false">
      <c r="A214" s="1"/>
    </row>
    <row r="215" s="2" customFormat="true" ht="12.8" hidden="false" customHeight="false" outlineLevel="0" collapsed="false">
      <c r="A215" s="1"/>
    </row>
    <row r="216" s="2" customFormat="true" ht="12.8" hidden="false" customHeight="false" outlineLevel="0" collapsed="false">
      <c r="A216" s="1"/>
    </row>
    <row r="217" s="2" customFormat="true" ht="12.8" hidden="false" customHeight="false" outlineLevel="0" collapsed="false">
      <c r="A217" s="1"/>
    </row>
    <row r="218" s="2" customFormat="true" ht="12.8" hidden="false" customHeight="false" outlineLevel="0" collapsed="false">
      <c r="A218" s="1"/>
    </row>
    <row r="219" s="2" customFormat="true" ht="12.8" hidden="false" customHeight="false" outlineLevel="0" collapsed="false">
      <c r="A219" s="1"/>
    </row>
    <row r="220" s="2" customFormat="true" ht="12.8" hidden="false" customHeight="false" outlineLevel="0" collapsed="false">
      <c r="A220" s="1"/>
    </row>
    <row r="221" s="2" customFormat="true" ht="12.8" hidden="false" customHeight="false" outlineLevel="0" collapsed="false">
      <c r="A221" s="1"/>
    </row>
    <row r="222" s="2" customFormat="true" ht="12.8" hidden="false" customHeight="false" outlineLevel="0" collapsed="false">
      <c r="A222" s="1"/>
    </row>
    <row r="223" s="2" customFormat="true" ht="12.8" hidden="false" customHeight="false" outlineLevel="0" collapsed="false">
      <c r="A223" s="1"/>
    </row>
    <row r="224" s="2" customFormat="true" ht="12.8" hidden="false" customHeight="false" outlineLevel="0" collapsed="false">
      <c r="A224" s="1"/>
    </row>
    <row r="225" s="2" customFormat="true" ht="12.8" hidden="false" customHeight="false" outlineLevel="0" collapsed="false">
      <c r="A225" s="1"/>
    </row>
    <row r="226" s="2" customFormat="true" ht="12.8" hidden="false" customHeight="false" outlineLevel="0" collapsed="false">
      <c r="A226" s="1"/>
    </row>
    <row r="227" s="2" customFormat="true" ht="12.8" hidden="false" customHeight="false" outlineLevel="0" collapsed="false">
      <c r="A227" s="1"/>
    </row>
    <row r="228" s="2" customFormat="true" ht="12.8" hidden="false" customHeight="false" outlineLevel="0" collapsed="false">
      <c r="A228" s="1"/>
    </row>
    <row r="229" s="2" customFormat="true" ht="12.8" hidden="false" customHeight="false" outlineLevel="0" collapsed="false">
      <c r="A229" s="1"/>
    </row>
    <row r="230" s="2" customFormat="true" ht="12.8" hidden="false" customHeight="false" outlineLevel="0" collapsed="false">
      <c r="A230" s="1"/>
    </row>
    <row r="231" s="2" customFormat="true" ht="12.8" hidden="false" customHeight="false" outlineLevel="0" collapsed="false">
      <c r="A231" s="1"/>
    </row>
    <row r="232" s="2" customFormat="true" ht="12.8" hidden="false" customHeight="false" outlineLevel="0" collapsed="false">
      <c r="A232" s="1"/>
    </row>
    <row r="233" s="2" customFormat="true" ht="12.8" hidden="false" customHeight="false" outlineLevel="0" collapsed="false">
      <c r="A233" s="1"/>
    </row>
    <row r="234" s="2" customFormat="true" ht="12.8" hidden="false" customHeight="false" outlineLevel="0" collapsed="false">
      <c r="A234" s="1"/>
    </row>
    <row r="235" s="2" customFormat="true" ht="12.8" hidden="false" customHeight="false" outlineLevel="0" collapsed="false">
      <c r="A235" s="1"/>
    </row>
    <row r="236" s="2" customFormat="true" ht="12.8" hidden="false" customHeight="false" outlineLevel="0" collapsed="false">
      <c r="A236" s="1"/>
    </row>
    <row r="237" s="2" customFormat="true" ht="12.8" hidden="false" customHeight="false" outlineLevel="0" collapsed="false">
      <c r="A237" s="1"/>
    </row>
    <row r="238" s="2" customFormat="true" ht="12.8" hidden="false" customHeight="false" outlineLevel="0" collapsed="false">
      <c r="A238" s="1"/>
    </row>
    <row r="239" s="2" customFormat="true" ht="12.8" hidden="false" customHeight="false" outlineLevel="0" collapsed="false">
      <c r="A239" s="1"/>
    </row>
    <row r="240" s="2" customFormat="true" ht="12.8" hidden="false" customHeight="false" outlineLevel="0" collapsed="false">
      <c r="A240" s="1"/>
    </row>
    <row r="241" s="2" customFormat="true" ht="12.8" hidden="false" customHeight="false" outlineLevel="0" collapsed="false">
      <c r="A241" s="1"/>
    </row>
    <row r="242" s="2" customFormat="true" ht="12.8" hidden="false" customHeight="false" outlineLevel="0" collapsed="false">
      <c r="A242" s="1"/>
    </row>
    <row r="243" s="2" customFormat="true" ht="12.8" hidden="false" customHeight="false" outlineLevel="0" collapsed="false">
      <c r="A243" s="1"/>
    </row>
    <row r="244" s="2" customFormat="true" ht="12.8" hidden="false" customHeight="false" outlineLevel="0" collapsed="false">
      <c r="A244" s="1"/>
    </row>
    <row r="245" s="2" customFormat="true" ht="12.8" hidden="false" customHeight="false" outlineLevel="0" collapsed="false">
      <c r="A245" s="1"/>
    </row>
    <row r="246" s="2" customFormat="true" ht="12.8" hidden="false" customHeight="false" outlineLevel="0" collapsed="false">
      <c r="A246" s="1"/>
    </row>
    <row r="247" s="2" customFormat="true" ht="12.8" hidden="false" customHeight="false" outlineLevel="0" collapsed="false">
      <c r="A247" s="1"/>
    </row>
    <row r="248" s="2" customFormat="true" ht="12.8" hidden="false" customHeight="false" outlineLevel="0" collapsed="false">
      <c r="A248" s="1"/>
    </row>
    <row r="249" s="2" customFormat="true" ht="12.8" hidden="false" customHeight="false" outlineLevel="0" collapsed="false">
      <c r="A249" s="1"/>
    </row>
    <row r="250" s="2" customFormat="true" ht="12.8" hidden="false" customHeight="false" outlineLevel="0" collapsed="false">
      <c r="A250" s="1"/>
    </row>
    <row r="251" s="2" customFormat="true" ht="12.8" hidden="false" customHeight="false" outlineLevel="0" collapsed="false">
      <c r="A251" s="1"/>
    </row>
    <row r="252" s="2" customFormat="true" ht="12.8" hidden="false" customHeight="false" outlineLevel="0" collapsed="false">
      <c r="A252" s="1"/>
    </row>
    <row r="253" s="2" customFormat="true" ht="12.8" hidden="false" customHeight="false" outlineLevel="0" collapsed="false">
      <c r="A253" s="1"/>
    </row>
    <row r="254" s="2" customFormat="true" ht="12.8" hidden="false" customHeight="false" outlineLevel="0" collapsed="false">
      <c r="A254" s="1"/>
    </row>
    <row r="255" s="2" customFormat="true" ht="12.8" hidden="false" customHeight="false" outlineLevel="0" collapsed="false">
      <c r="A255" s="1"/>
    </row>
    <row r="256" s="2" customFormat="true" ht="12.8" hidden="false" customHeight="false" outlineLevel="0" collapsed="false">
      <c r="A256" s="1"/>
    </row>
    <row r="257" s="2" customFormat="true" ht="12.8" hidden="false" customHeight="false" outlineLevel="0" collapsed="false">
      <c r="A257" s="1"/>
    </row>
    <row r="258" s="2" customFormat="true" ht="12.8" hidden="false" customHeight="false" outlineLevel="0" collapsed="false">
      <c r="A258" s="1"/>
    </row>
    <row r="259" s="2" customFormat="true" ht="12.8" hidden="false" customHeight="false" outlineLevel="0" collapsed="false">
      <c r="A259" s="1"/>
    </row>
    <row r="260" s="2" customFormat="true" ht="12.8" hidden="false" customHeight="false" outlineLevel="0" collapsed="false">
      <c r="A260" s="1"/>
    </row>
    <row r="261" s="2" customFormat="true" ht="12.8" hidden="false" customHeight="false" outlineLevel="0" collapsed="false">
      <c r="A261" s="1"/>
    </row>
    <row r="262" s="2" customFormat="true" ht="12.8" hidden="false" customHeight="false" outlineLevel="0" collapsed="false">
      <c r="A262" s="1"/>
    </row>
    <row r="263" s="2" customFormat="true" ht="12.8" hidden="false" customHeight="false" outlineLevel="0" collapsed="false">
      <c r="A263" s="1"/>
    </row>
    <row r="264" s="2" customFormat="true" ht="12.8" hidden="false" customHeight="false" outlineLevel="0" collapsed="false">
      <c r="A264" s="1"/>
    </row>
    <row r="265" s="2" customFormat="true" ht="12.8" hidden="false" customHeight="false" outlineLevel="0" collapsed="false">
      <c r="A265" s="1"/>
    </row>
    <row r="266" s="2" customFormat="true" ht="12.8" hidden="false" customHeight="false" outlineLevel="0" collapsed="false">
      <c r="A266" s="1"/>
    </row>
    <row r="267" s="2" customFormat="true" ht="12.8" hidden="false" customHeight="false" outlineLevel="0" collapsed="false">
      <c r="A267" s="1"/>
    </row>
    <row r="268" s="2" customFormat="true" ht="12.8" hidden="false" customHeight="false" outlineLevel="0" collapsed="false">
      <c r="A268" s="1"/>
    </row>
    <row r="269" s="2" customFormat="true" ht="12.8" hidden="false" customHeight="false" outlineLevel="0" collapsed="false">
      <c r="A269" s="1"/>
    </row>
    <row r="270" s="2" customFormat="true" ht="12.8" hidden="false" customHeight="false" outlineLevel="0" collapsed="false">
      <c r="A270" s="1"/>
    </row>
    <row r="271" s="2" customFormat="true" ht="12.8" hidden="false" customHeight="false" outlineLevel="0" collapsed="false">
      <c r="A271" s="1"/>
    </row>
    <row r="272" s="2" customFormat="true" ht="12.8" hidden="false" customHeight="false" outlineLevel="0" collapsed="false">
      <c r="A272" s="1"/>
    </row>
    <row r="273" s="2" customFormat="true" ht="12.8" hidden="false" customHeight="false" outlineLevel="0" collapsed="false">
      <c r="A273" s="1"/>
    </row>
    <row r="274" s="2" customFormat="true" ht="12.8" hidden="false" customHeight="false" outlineLevel="0" collapsed="false">
      <c r="A274" s="1"/>
    </row>
    <row r="275" s="2" customFormat="true" ht="12.8" hidden="false" customHeight="false" outlineLevel="0" collapsed="false">
      <c r="A275" s="1"/>
    </row>
    <row r="276" s="2" customFormat="true" ht="12.8" hidden="false" customHeight="false" outlineLevel="0" collapsed="false">
      <c r="A276" s="1"/>
    </row>
    <row r="277" s="2" customFormat="true" ht="12.8" hidden="false" customHeight="false" outlineLevel="0" collapsed="false">
      <c r="A277" s="1"/>
    </row>
    <row r="278" s="2" customFormat="true" ht="12.8" hidden="false" customHeight="false" outlineLevel="0" collapsed="false">
      <c r="A278" s="1"/>
    </row>
    <row r="279" s="2" customFormat="true" ht="12.8" hidden="false" customHeight="false" outlineLevel="0" collapsed="false">
      <c r="A279" s="1"/>
    </row>
    <row r="280" s="2" customFormat="true" ht="12.8" hidden="false" customHeight="false" outlineLevel="0" collapsed="false">
      <c r="A280" s="1"/>
    </row>
    <row r="281" s="2" customFormat="true" ht="12.8" hidden="false" customHeight="false" outlineLevel="0" collapsed="false">
      <c r="A281" s="1"/>
    </row>
    <row r="282" s="2" customFormat="true" ht="12.8" hidden="false" customHeight="false" outlineLevel="0" collapsed="false">
      <c r="A282" s="1"/>
    </row>
    <row r="283" s="2" customFormat="true" ht="12.8" hidden="false" customHeight="false" outlineLevel="0" collapsed="false">
      <c r="A283" s="1"/>
    </row>
    <row r="284" s="2" customFormat="true" ht="12.8" hidden="false" customHeight="false" outlineLevel="0" collapsed="false">
      <c r="A284" s="1"/>
    </row>
    <row r="285" s="2" customFormat="true" ht="12.8" hidden="false" customHeight="false" outlineLevel="0" collapsed="false">
      <c r="A285" s="1"/>
    </row>
    <row r="286" s="2" customFormat="true" ht="12.8" hidden="false" customHeight="false" outlineLevel="0" collapsed="false">
      <c r="A286" s="1"/>
    </row>
    <row r="287" s="2" customFormat="true" ht="12.8" hidden="false" customHeight="false" outlineLevel="0" collapsed="false">
      <c r="A287" s="1"/>
    </row>
    <row r="288" s="2" customFormat="true" ht="12.8" hidden="false" customHeight="false" outlineLevel="0" collapsed="false">
      <c r="A288" s="1"/>
    </row>
    <row r="289" s="2" customFormat="true" ht="12.8" hidden="false" customHeight="false" outlineLevel="0" collapsed="false">
      <c r="A289" s="1"/>
    </row>
    <row r="290" s="2" customFormat="true" ht="12.8" hidden="false" customHeight="false" outlineLevel="0" collapsed="false">
      <c r="A290" s="1"/>
    </row>
    <row r="291" s="2" customFormat="true" ht="12.8" hidden="false" customHeight="false" outlineLevel="0" collapsed="false">
      <c r="A291" s="1"/>
    </row>
    <row r="292" s="2" customFormat="true" ht="12.8" hidden="false" customHeight="false" outlineLevel="0" collapsed="false">
      <c r="A292" s="1"/>
    </row>
    <row r="293" s="2" customFormat="true" ht="12.8" hidden="false" customHeight="false" outlineLevel="0" collapsed="false">
      <c r="A293" s="1"/>
    </row>
    <row r="294" s="2" customFormat="true" ht="12.8" hidden="false" customHeight="false" outlineLevel="0" collapsed="false">
      <c r="A294" s="1"/>
    </row>
    <row r="295" s="2" customFormat="true" ht="12.8" hidden="false" customHeight="false" outlineLevel="0" collapsed="false">
      <c r="A295" s="1"/>
    </row>
    <row r="296" s="2" customFormat="true" ht="12.8" hidden="false" customHeight="false" outlineLevel="0" collapsed="false">
      <c r="A296" s="1"/>
    </row>
    <row r="297" s="2" customFormat="true" ht="12.8" hidden="false" customHeight="false" outlineLevel="0" collapsed="false">
      <c r="A297" s="1"/>
    </row>
    <row r="298" s="2" customFormat="true" ht="12.8" hidden="false" customHeight="false" outlineLevel="0" collapsed="false">
      <c r="A298" s="1"/>
    </row>
    <row r="299" s="2" customFormat="true" ht="12.8" hidden="false" customHeight="false" outlineLevel="0" collapsed="false">
      <c r="A299" s="1"/>
    </row>
    <row r="300" s="2" customFormat="true" ht="12.8" hidden="false" customHeight="false" outlineLevel="0" collapsed="false">
      <c r="A300" s="1"/>
    </row>
    <row r="301" s="2" customFormat="true" ht="12.8" hidden="false" customHeight="false" outlineLevel="0" collapsed="false">
      <c r="A301" s="1"/>
    </row>
    <row r="302" s="2" customFormat="true" ht="12.8" hidden="false" customHeight="false" outlineLevel="0" collapsed="false">
      <c r="A302" s="1"/>
    </row>
    <row r="303" s="2" customFormat="true" ht="12.8" hidden="false" customHeight="false" outlineLevel="0" collapsed="false">
      <c r="A303" s="1"/>
    </row>
    <row r="304" s="2" customFormat="true" ht="12.8" hidden="false" customHeight="false" outlineLevel="0" collapsed="false">
      <c r="A304" s="1"/>
    </row>
    <row r="305" s="2" customFormat="true" ht="12.8" hidden="false" customHeight="false" outlineLevel="0" collapsed="false">
      <c r="A305" s="1"/>
    </row>
    <row r="306" s="2" customFormat="true" ht="12.8" hidden="false" customHeight="false" outlineLevel="0" collapsed="false">
      <c r="A306" s="1"/>
    </row>
    <row r="307" s="2" customFormat="true" ht="12.8" hidden="false" customHeight="false" outlineLevel="0" collapsed="false">
      <c r="A307" s="1"/>
    </row>
    <row r="308" s="2" customFormat="true" ht="12.8" hidden="false" customHeight="false" outlineLevel="0" collapsed="false">
      <c r="A308" s="1"/>
    </row>
    <row r="309" s="2" customFormat="true" ht="12.8" hidden="false" customHeight="false" outlineLevel="0" collapsed="false">
      <c r="A309" s="1"/>
    </row>
    <row r="310" s="2" customFormat="true" ht="12.8" hidden="false" customHeight="false" outlineLevel="0" collapsed="false">
      <c r="A310" s="1"/>
    </row>
    <row r="311" s="2" customFormat="true" ht="12.8" hidden="false" customHeight="false" outlineLevel="0" collapsed="false">
      <c r="A311" s="1"/>
    </row>
    <row r="312" s="2" customFormat="true" ht="12.8" hidden="false" customHeight="false" outlineLevel="0" collapsed="false">
      <c r="A312" s="1"/>
    </row>
    <row r="313" s="2" customFormat="true" ht="12.8" hidden="false" customHeight="false" outlineLevel="0" collapsed="false">
      <c r="A313" s="1"/>
    </row>
    <row r="314" s="2" customFormat="true" ht="12.8" hidden="false" customHeight="false" outlineLevel="0" collapsed="false">
      <c r="A314" s="1"/>
    </row>
    <row r="315" s="2" customFormat="true" ht="12.8" hidden="false" customHeight="false" outlineLevel="0" collapsed="false">
      <c r="A315" s="1"/>
    </row>
    <row r="316" s="2" customFormat="true" ht="12.8" hidden="false" customHeight="false" outlineLevel="0" collapsed="false">
      <c r="A316" s="1"/>
    </row>
    <row r="317" s="2" customFormat="true" ht="12.8" hidden="false" customHeight="false" outlineLevel="0" collapsed="false">
      <c r="A317" s="1"/>
    </row>
    <row r="318" s="2" customFormat="true" ht="12.8" hidden="false" customHeight="false" outlineLevel="0" collapsed="false">
      <c r="A318" s="1"/>
    </row>
    <row r="319" s="2" customFormat="true" ht="12.8" hidden="false" customHeight="false" outlineLevel="0" collapsed="false">
      <c r="A319" s="1"/>
    </row>
    <row r="320" s="2" customFormat="true" ht="12.8" hidden="false" customHeight="false" outlineLevel="0" collapsed="false">
      <c r="A320" s="1"/>
    </row>
    <row r="321" s="2" customFormat="true" ht="12.8" hidden="false" customHeight="false" outlineLevel="0" collapsed="false">
      <c r="A321" s="1"/>
    </row>
    <row r="322" s="2" customFormat="true" ht="12.8" hidden="false" customHeight="false" outlineLevel="0" collapsed="false">
      <c r="A322" s="1"/>
    </row>
    <row r="323" s="2" customFormat="true" ht="12.8" hidden="false" customHeight="false" outlineLevel="0" collapsed="false">
      <c r="A323" s="1"/>
    </row>
    <row r="324" s="2" customFormat="true" ht="12.8" hidden="false" customHeight="false" outlineLevel="0" collapsed="false">
      <c r="A324" s="1"/>
    </row>
    <row r="325" s="2" customFormat="true" ht="12.8" hidden="false" customHeight="false" outlineLevel="0" collapsed="false">
      <c r="A325" s="1"/>
    </row>
    <row r="326" s="2" customFormat="true" ht="12.8" hidden="false" customHeight="false" outlineLevel="0" collapsed="false">
      <c r="A326" s="1"/>
    </row>
    <row r="327" s="2" customFormat="true" ht="12.8" hidden="false" customHeight="false" outlineLevel="0" collapsed="false">
      <c r="A327" s="1"/>
    </row>
    <row r="328" s="2" customFormat="true" ht="12.8" hidden="false" customHeight="false" outlineLevel="0" collapsed="false">
      <c r="A328" s="1"/>
    </row>
    <row r="329" s="2" customFormat="true" ht="12.8" hidden="false" customHeight="false" outlineLevel="0" collapsed="false">
      <c r="A329" s="1"/>
    </row>
    <row r="330" s="2" customFormat="true" ht="12.8" hidden="false" customHeight="false" outlineLevel="0" collapsed="false">
      <c r="A330" s="1"/>
    </row>
    <row r="331" s="2" customFormat="true" ht="12.8" hidden="false" customHeight="false" outlineLevel="0" collapsed="false">
      <c r="A331" s="1"/>
    </row>
    <row r="332" s="2" customFormat="true" ht="12.8" hidden="false" customHeight="false" outlineLevel="0" collapsed="false">
      <c r="A332" s="1"/>
    </row>
    <row r="333" s="2" customFormat="true" ht="12.8" hidden="false" customHeight="false" outlineLevel="0" collapsed="false">
      <c r="A333" s="1"/>
    </row>
    <row r="334" s="2" customFormat="true" ht="12.8" hidden="false" customHeight="false" outlineLevel="0" collapsed="false">
      <c r="A334" s="1"/>
    </row>
    <row r="335" s="2" customFormat="true" ht="12.8" hidden="false" customHeight="false" outlineLevel="0" collapsed="false">
      <c r="A335" s="1"/>
    </row>
    <row r="336" s="2" customFormat="true" ht="12.8" hidden="false" customHeight="false" outlineLevel="0" collapsed="false">
      <c r="A336" s="1"/>
    </row>
    <row r="337" s="2" customFormat="true" ht="12.8" hidden="false" customHeight="false" outlineLevel="0" collapsed="false">
      <c r="A337" s="1"/>
    </row>
    <row r="338" s="2" customFormat="true" ht="12.8" hidden="false" customHeight="false" outlineLevel="0" collapsed="false">
      <c r="A338" s="1"/>
    </row>
    <row r="339" s="2" customFormat="true" ht="12.8" hidden="false" customHeight="false" outlineLevel="0" collapsed="false">
      <c r="A339" s="1"/>
    </row>
    <row r="340" s="2" customFormat="true" ht="12.8" hidden="false" customHeight="false" outlineLevel="0" collapsed="false">
      <c r="A340" s="1"/>
    </row>
    <row r="341" s="2" customFormat="true" ht="12.8" hidden="false" customHeight="false" outlineLevel="0" collapsed="false">
      <c r="A341" s="1"/>
    </row>
    <row r="342" s="2" customFormat="true" ht="12.8" hidden="false" customHeight="false" outlineLevel="0" collapsed="false">
      <c r="A342" s="1"/>
    </row>
    <row r="343" s="2" customFormat="true" ht="12.8" hidden="false" customHeight="false" outlineLevel="0" collapsed="false">
      <c r="A343" s="1"/>
    </row>
    <row r="344" s="2" customFormat="true" ht="12.8" hidden="false" customHeight="false" outlineLevel="0" collapsed="false">
      <c r="A344" s="1"/>
    </row>
    <row r="345" s="2" customFormat="true" ht="12.8" hidden="false" customHeight="false" outlineLevel="0" collapsed="false">
      <c r="A345" s="1"/>
    </row>
    <row r="346" s="2" customFormat="true" ht="12.8" hidden="false" customHeight="false" outlineLevel="0" collapsed="false">
      <c r="A346" s="1"/>
    </row>
    <row r="347" s="2" customFormat="true" ht="12.8" hidden="false" customHeight="false" outlineLevel="0" collapsed="false">
      <c r="A347" s="1"/>
    </row>
    <row r="348" s="2" customFormat="true" ht="12.8" hidden="false" customHeight="false" outlineLevel="0" collapsed="false">
      <c r="A348" s="1"/>
    </row>
    <row r="349" s="2" customFormat="true" ht="12.8" hidden="false" customHeight="false" outlineLevel="0" collapsed="false">
      <c r="A349" s="1"/>
    </row>
    <row r="350" s="2" customFormat="true" ht="12.8" hidden="false" customHeight="false" outlineLevel="0" collapsed="false">
      <c r="A350" s="1"/>
    </row>
    <row r="351" s="2" customFormat="true" ht="12.8" hidden="false" customHeight="false" outlineLevel="0" collapsed="false">
      <c r="A351" s="1"/>
    </row>
    <row r="352" s="2" customFormat="true" ht="12.8" hidden="false" customHeight="false" outlineLevel="0" collapsed="false">
      <c r="A352" s="1"/>
    </row>
    <row r="353" s="2" customFormat="true" ht="12.8" hidden="false" customHeight="false" outlineLevel="0" collapsed="false">
      <c r="A353" s="1"/>
    </row>
    <row r="354" s="2" customFormat="true" ht="12.8" hidden="false" customHeight="false" outlineLevel="0" collapsed="false">
      <c r="A354" s="1"/>
    </row>
    <row r="355" s="2" customFormat="true" ht="12.8" hidden="false" customHeight="false" outlineLevel="0" collapsed="false">
      <c r="A355" s="1"/>
    </row>
    <row r="356" s="2" customFormat="true" ht="12.8" hidden="false" customHeight="false" outlineLevel="0" collapsed="false">
      <c r="A356" s="1"/>
    </row>
    <row r="357" s="2" customFormat="true" ht="12.8" hidden="false" customHeight="false" outlineLevel="0" collapsed="false">
      <c r="A357" s="1"/>
    </row>
    <row r="358" s="2" customFormat="true" ht="12.8" hidden="false" customHeight="false" outlineLevel="0" collapsed="false">
      <c r="A358" s="1"/>
    </row>
    <row r="359" s="2" customFormat="true" ht="12.8" hidden="false" customHeight="false" outlineLevel="0" collapsed="false">
      <c r="A359" s="1"/>
    </row>
    <row r="360" s="2" customFormat="true" ht="12.8" hidden="false" customHeight="false" outlineLevel="0" collapsed="false">
      <c r="A360" s="1"/>
    </row>
    <row r="361" s="2" customFormat="true" ht="12.8" hidden="false" customHeight="false" outlineLevel="0" collapsed="false">
      <c r="A361" s="1"/>
    </row>
    <row r="362" s="2" customFormat="true" ht="12.8" hidden="false" customHeight="false" outlineLevel="0" collapsed="false">
      <c r="A362" s="1"/>
    </row>
    <row r="363" s="2" customFormat="true" ht="12.8" hidden="false" customHeight="false" outlineLevel="0" collapsed="false">
      <c r="A363" s="1"/>
    </row>
    <row r="364" s="2" customFormat="true" ht="12.8" hidden="false" customHeight="false" outlineLevel="0" collapsed="false">
      <c r="A364" s="1"/>
    </row>
    <row r="365" s="2" customFormat="true" ht="12.8" hidden="false" customHeight="false" outlineLevel="0" collapsed="false">
      <c r="A365" s="1"/>
    </row>
    <row r="366" s="2" customFormat="true" ht="12.8" hidden="false" customHeight="false" outlineLevel="0" collapsed="false">
      <c r="A366" s="1"/>
    </row>
    <row r="367" s="2" customFormat="true" ht="12.8" hidden="false" customHeight="false" outlineLevel="0" collapsed="false">
      <c r="A367" s="1"/>
    </row>
    <row r="368" s="2" customFormat="true" ht="12.8" hidden="false" customHeight="false" outlineLevel="0" collapsed="false">
      <c r="A368" s="1"/>
    </row>
    <row r="369" s="2" customFormat="true" ht="12.8" hidden="false" customHeight="false" outlineLevel="0" collapsed="false">
      <c r="A369" s="1"/>
    </row>
    <row r="370" s="2" customFormat="true" ht="12.8" hidden="false" customHeight="false" outlineLevel="0" collapsed="false">
      <c r="A370" s="1"/>
    </row>
    <row r="371" s="2" customFormat="true" ht="12.8" hidden="false" customHeight="false" outlineLevel="0" collapsed="false">
      <c r="A371" s="1"/>
    </row>
    <row r="372" s="2" customFormat="true" ht="12.8" hidden="false" customHeight="false" outlineLevel="0" collapsed="false">
      <c r="A372" s="1"/>
    </row>
    <row r="373" s="2" customFormat="true" ht="12.8" hidden="false" customHeight="false" outlineLevel="0" collapsed="false">
      <c r="A373" s="1"/>
    </row>
    <row r="374" s="2" customFormat="true" ht="12.8" hidden="false" customHeight="false" outlineLevel="0" collapsed="false">
      <c r="A374" s="1"/>
    </row>
    <row r="375" s="2" customFormat="true" ht="12.8" hidden="false" customHeight="false" outlineLevel="0" collapsed="false">
      <c r="A375" s="1"/>
    </row>
    <row r="376" s="2" customFormat="true" ht="12.8" hidden="false" customHeight="false" outlineLevel="0" collapsed="false">
      <c r="A376" s="1"/>
    </row>
    <row r="377" s="2" customFormat="true" ht="12.8" hidden="false" customHeight="false" outlineLevel="0" collapsed="false">
      <c r="A377" s="1"/>
    </row>
    <row r="378" s="2" customFormat="true" ht="12.8" hidden="false" customHeight="false" outlineLevel="0" collapsed="false">
      <c r="A378" s="1"/>
    </row>
    <row r="379" s="2" customFormat="true" ht="12.8" hidden="false" customHeight="false" outlineLevel="0" collapsed="false">
      <c r="A379" s="1"/>
    </row>
    <row r="380" s="2" customFormat="true" ht="12.8" hidden="false" customHeight="false" outlineLevel="0" collapsed="false">
      <c r="A380" s="1"/>
    </row>
    <row r="381" s="2" customFormat="true" ht="12.8" hidden="false" customHeight="false" outlineLevel="0" collapsed="false">
      <c r="A381" s="1"/>
    </row>
    <row r="382" s="2" customFormat="true" ht="12.8" hidden="false" customHeight="false" outlineLevel="0" collapsed="false">
      <c r="A382" s="1"/>
    </row>
    <row r="383" s="2" customFormat="true" ht="12.8" hidden="false" customHeight="false" outlineLevel="0" collapsed="false">
      <c r="A383" s="1"/>
    </row>
    <row r="384" s="2" customFormat="true" ht="12.8" hidden="false" customHeight="false" outlineLevel="0" collapsed="false">
      <c r="A384" s="1"/>
    </row>
    <row r="385" s="2" customFormat="true" ht="12.8" hidden="false" customHeight="false" outlineLevel="0" collapsed="false">
      <c r="A385" s="1"/>
    </row>
    <row r="386" s="2" customFormat="true" ht="12.8" hidden="false" customHeight="false" outlineLevel="0" collapsed="false">
      <c r="A386" s="1"/>
    </row>
    <row r="387" s="2" customFormat="true" ht="12.8" hidden="false" customHeight="false" outlineLevel="0" collapsed="false">
      <c r="A387" s="1"/>
    </row>
    <row r="388" s="2" customFormat="true" ht="12.8" hidden="false" customHeight="false" outlineLevel="0" collapsed="false">
      <c r="A388" s="1"/>
    </row>
    <row r="389" s="2" customFormat="true" ht="12.8" hidden="false" customHeight="false" outlineLevel="0" collapsed="false">
      <c r="A389" s="1"/>
    </row>
    <row r="390" s="2" customFormat="true" ht="12.8" hidden="false" customHeight="false" outlineLevel="0" collapsed="false">
      <c r="A390" s="1"/>
    </row>
    <row r="391" s="2" customFormat="true" ht="12.8" hidden="false" customHeight="false" outlineLevel="0" collapsed="false">
      <c r="A391" s="1"/>
    </row>
    <row r="392" s="2" customFormat="true" ht="12.8" hidden="false" customHeight="false" outlineLevel="0" collapsed="false">
      <c r="A392" s="1"/>
    </row>
    <row r="393" s="2" customFormat="true" ht="12.8" hidden="false" customHeight="false" outlineLevel="0" collapsed="false">
      <c r="A393" s="1"/>
    </row>
    <row r="394" s="2" customFormat="true" ht="12.8" hidden="false" customHeight="false" outlineLevel="0" collapsed="false">
      <c r="A394" s="1"/>
    </row>
    <row r="395" s="2" customFormat="true" ht="12.8" hidden="false" customHeight="false" outlineLevel="0" collapsed="false">
      <c r="A395" s="1"/>
    </row>
    <row r="396" s="2" customFormat="true" ht="12.8" hidden="false" customHeight="false" outlineLevel="0" collapsed="false">
      <c r="A396" s="1"/>
    </row>
    <row r="397" s="2" customFormat="true" ht="12.8" hidden="false" customHeight="false" outlineLevel="0" collapsed="false">
      <c r="A397" s="1"/>
    </row>
    <row r="398" s="2" customFormat="true" ht="12.8" hidden="false" customHeight="false" outlineLevel="0" collapsed="false">
      <c r="A398" s="1"/>
    </row>
    <row r="399" s="2" customFormat="true" ht="12.8" hidden="false" customHeight="false" outlineLevel="0" collapsed="false">
      <c r="A399" s="1"/>
    </row>
    <row r="400" s="2" customFormat="true" ht="12.8" hidden="false" customHeight="false" outlineLevel="0" collapsed="false">
      <c r="A400" s="1"/>
    </row>
    <row r="401" s="2" customFormat="true" ht="12.8" hidden="false" customHeight="false" outlineLevel="0" collapsed="false">
      <c r="A401" s="1"/>
    </row>
    <row r="402" s="2" customFormat="true" ht="12.8" hidden="false" customHeight="false" outlineLevel="0" collapsed="false">
      <c r="A402" s="1"/>
    </row>
    <row r="403" s="2" customFormat="true" ht="12.8" hidden="false" customHeight="false" outlineLevel="0" collapsed="false">
      <c r="A403" s="1"/>
    </row>
    <row r="404" s="2" customFormat="true" ht="12.8" hidden="false" customHeight="false" outlineLevel="0" collapsed="false">
      <c r="A404" s="1"/>
    </row>
    <row r="405" s="2" customFormat="true" ht="12.8" hidden="false" customHeight="false" outlineLevel="0" collapsed="false">
      <c r="A405" s="1"/>
    </row>
    <row r="406" s="2" customFormat="true" ht="12.8" hidden="false" customHeight="false" outlineLevel="0" collapsed="false">
      <c r="A406" s="1"/>
    </row>
    <row r="407" s="2" customFormat="true" ht="12.8" hidden="false" customHeight="false" outlineLevel="0" collapsed="false">
      <c r="A407" s="1"/>
    </row>
    <row r="408" s="2" customFormat="true" ht="12.8" hidden="false" customHeight="false" outlineLevel="0" collapsed="false">
      <c r="A408" s="1"/>
    </row>
    <row r="409" s="2" customFormat="true" ht="12.8" hidden="false" customHeight="false" outlineLevel="0" collapsed="false">
      <c r="A409" s="1"/>
    </row>
    <row r="410" s="2" customFormat="true" ht="12.8" hidden="false" customHeight="false" outlineLevel="0" collapsed="false">
      <c r="A410" s="1"/>
    </row>
    <row r="411" s="2" customFormat="true" ht="12.8" hidden="false" customHeight="false" outlineLevel="0" collapsed="false">
      <c r="A411" s="1"/>
    </row>
    <row r="412" s="2" customFormat="true" ht="12.8" hidden="false" customHeight="false" outlineLevel="0" collapsed="false">
      <c r="A412" s="1"/>
    </row>
    <row r="413" s="2" customFormat="true" ht="12.8" hidden="false" customHeight="false" outlineLevel="0" collapsed="false">
      <c r="A413" s="1"/>
    </row>
    <row r="414" s="2" customFormat="true" ht="12.8" hidden="false" customHeight="false" outlineLevel="0" collapsed="false">
      <c r="A414" s="1"/>
    </row>
    <row r="415" s="2" customFormat="true" ht="12.8" hidden="false" customHeight="false" outlineLevel="0" collapsed="false">
      <c r="A415" s="1"/>
    </row>
    <row r="416" s="2" customFormat="true" ht="12.8" hidden="false" customHeight="false" outlineLevel="0" collapsed="false">
      <c r="A416" s="1"/>
    </row>
    <row r="417" s="2" customFormat="true" ht="12.8" hidden="false" customHeight="false" outlineLevel="0" collapsed="false">
      <c r="A417" s="1"/>
    </row>
    <row r="418" s="2" customFormat="true" ht="12.8" hidden="false" customHeight="false" outlineLevel="0" collapsed="false">
      <c r="A418" s="1"/>
    </row>
    <row r="419" s="2" customFormat="true" ht="12.8" hidden="false" customHeight="false" outlineLevel="0" collapsed="false">
      <c r="A419" s="1"/>
    </row>
    <row r="420" s="2" customFormat="true" ht="12.8" hidden="false" customHeight="false" outlineLevel="0" collapsed="false">
      <c r="A420" s="1"/>
    </row>
    <row r="421" s="2" customFormat="true" ht="12.8" hidden="false" customHeight="false" outlineLevel="0" collapsed="false">
      <c r="A421" s="1"/>
    </row>
    <row r="422" s="2" customFormat="true" ht="12.8" hidden="false" customHeight="false" outlineLevel="0" collapsed="false">
      <c r="A422" s="1"/>
    </row>
    <row r="423" s="2" customFormat="true" ht="12.8" hidden="false" customHeight="false" outlineLevel="0" collapsed="false">
      <c r="A423" s="1"/>
    </row>
    <row r="424" s="2" customFormat="true" ht="12.8" hidden="false" customHeight="false" outlineLevel="0" collapsed="false">
      <c r="A424" s="1"/>
    </row>
    <row r="425" s="2" customFormat="true" ht="12.8" hidden="false" customHeight="false" outlineLevel="0" collapsed="false">
      <c r="A425" s="1"/>
    </row>
    <row r="426" s="2" customFormat="true" ht="12.8" hidden="false" customHeight="false" outlineLevel="0" collapsed="false">
      <c r="A426" s="1"/>
    </row>
    <row r="427" s="2" customFormat="true" ht="12.8" hidden="false" customHeight="false" outlineLevel="0" collapsed="false">
      <c r="A427" s="1"/>
    </row>
    <row r="428" s="2" customFormat="true" ht="12.8" hidden="false" customHeight="false" outlineLevel="0" collapsed="false">
      <c r="A428" s="1"/>
    </row>
    <row r="429" s="2" customFormat="true" ht="12.8" hidden="false" customHeight="false" outlineLevel="0" collapsed="false">
      <c r="A429" s="1"/>
    </row>
    <row r="430" s="2" customFormat="true" ht="12.8" hidden="false" customHeight="false" outlineLevel="0" collapsed="false">
      <c r="A430" s="1"/>
    </row>
    <row r="431" s="2" customFormat="true" ht="12.8" hidden="false" customHeight="false" outlineLevel="0" collapsed="false">
      <c r="A431" s="1"/>
    </row>
    <row r="432" s="2" customFormat="true" ht="12.8" hidden="false" customHeight="false" outlineLevel="0" collapsed="false">
      <c r="A432" s="1"/>
    </row>
    <row r="433" s="2" customFormat="true" ht="12.8" hidden="false" customHeight="false" outlineLevel="0" collapsed="false">
      <c r="A433" s="1"/>
    </row>
    <row r="434" s="2" customFormat="true" ht="12.8" hidden="false" customHeight="false" outlineLevel="0" collapsed="false">
      <c r="A434" s="1"/>
    </row>
    <row r="435" s="2" customFormat="true" ht="12.8" hidden="false" customHeight="false" outlineLevel="0" collapsed="false">
      <c r="A435" s="1"/>
    </row>
    <row r="436" s="2" customFormat="true" ht="12.8" hidden="false" customHeight="false" outlineLevel="0" collapsed="false">
      <c r="A436" s="1"/>
    </row>
    <row r="437" s="2" customFormat="true" ht="12.8" hidden="false" customHeight="false" outlineLevel="0" collapsed="false">
      <c r="A437" s="1"/>
    </row>
    <row r="438" s="2" customFormat="true" ht="12.8" hidden="false" customHeight="false" outlineLevel="0" collapsed="false">
      <c r="A438" s="1"/>
    </row>
    <row r="439" s="2" customFormat="true" ht="12.8" hidden="false" customHeight="false" outlineLevel="0" collapsed="false">
      <c r="A439" s="1"/>
    </row>
    <row r="440" s="2" customFormat="true" ht="12.8" hidden="false" customHeight="false" outlineLevel="0" collapsed="false">
      <c r="A440" s="1"/>
    </row>
    <row r="441" s="2" customFormat="true" ht="12.8" hidden="false" customHeight="false" outlineLevel="0" collapsed="false">
      <c r="A441" s="1"/>
    </row>
    <row r="442" s="2" customFormat="true" ht="12.8" hidden="false" customHeight="false" outlineLevel="0" collapsed="false">
      <c r="A442" s="1"/>
    </row>
    <row r="443" s="2" customFormat="true" ht="12.8" hidden="false" customHeight="false" outlineLevel="0" collapsed="false">
      <c r="A443" s="1"/>
    </row>
    <row r="444" s="2" customFormat="true" ht="12.8" hidden="false" customHeight="false" outlineLevel="0" collapsed="false">
      <c r="A444" s="1"/>
    </row>
    <row r="445" s="2" customFormat="true" ht="12.8" hidden="false" customHeight="false" outlineLevel="0" collapsed="false">
      <c r="A445" s="1"/>
    </row>
    <row r="446" s="2" customFormat="true" ht="12.8" hidden="false" customHeight="false" outlineLevel="0" collapsed="false">
      <c r="A446" s="1"/>
    </row>
    <row r="447" s="2" customFormat="true" ht="12.8" hidden="false" customHeight="false" outlineLevel="0" collapsed="false">
      <c r="A447" s="1"/>
    </row>
    <row r="448" s="2" customFormat="true" ht="12.8" hidden="false" customHeight="false" outlineLevel="0" collapsed="false">
      <c r="A448" s="1"/>
    </row>
    <row r="449" s="2" customFormat="true" ht="12.8" hidden="false" customHeight="false" outlineLevel="0" collapsed="false">
      <c r="A449" s="1"/>
    </row>
    <row r="450" s="2" customFormat="true" ht="12.8" hidden="false" customHeight="false" outlineLevel="0" collapsed="false">
      <c r="A450" s="1"/>
    </row>
    <row r="451" s="2" customFormat="true" ht="12.8" hidden="false" customHeight="false" outlineLevel="0" collapsed="false">
      <c r="A451" s="1"/>
    </row>
    <row r="452" s="2" customFormat="true" ht="12.8" hidden="false" customHeight="false" outlineLevel="0" collapsed="false">
      <c r="A452" s="1"/>
    </row>
    <row r="453" s="2" customFormat="true" ht="12.8" hidden="false" customHeight="false" outlineLevel="0" collapsed="false">
      <c r="A453" s="1"/>
    </row>
    <row r="454" s="2" customFormat="true" ht="12.8" hidden="false" customHeight="false" outlineLevel="0" collapsed="false">
      <c r="A454" s="1"/>
    </row>
    <row r="455" s="2" customFormat="true" ht="12.8" hidden="false" customHeight="false" outlineLevel="0" collapsed="false">
      <c r="A455" s="1"/>
    </row>
    <row r="456" s="2" customFormat="true" ht="12.8" hidden="false" customHeight="false" outlineLevel="0" collapsed="false">
      <c r="A456" s="1"/>
    </row>
    <row r="457" s="2" customFormat="true" ht="12.8" hidden="false" customHeight="false" outlineLevel="0" collapsed="false">
      <c r="A457" s="1"/>
    </row>
    <row r="458" s="2" customFormat="true" ht="12.8" hidden="false" customHeight="false" outlineLevel="0" collapsed="false">
      <c r="A458" s="1"/>
    </row>
    <row r="459" s="2" customFormat="true" ht="12.8" hidden="false" customHeight="false" outlineLevel="0" collapsed="false">
      <c r="A459" s="1"/>
    </row>
    <row r="460" s="2" customFormat="true" ht="12.8" hidden="false" customHeight="false" outlineLevel="0" collapsed="false">
      <c r="A460" s="1"/>
    </row>
    <row r="461" s="2" customFormat="true" ht="12.8" hidden="false" customHeight="false" outlineLevel="0" collapsed="false">
      <c r="A461" s="1"/>
    </row>
    <row r="462" s="2" customFormat="true" ht="12.8" hidden="false" customHeight="false" outlineLevel="0" collapsed="false">
      <c r="A462" s="1"/>
    </row>
    <row r="463" s="2" customFormat="true" ht="12.8" hidden="false" customHeight="false" outlineLevel="0" collapsed="false">
      <c r="A463" s="1"/>
    </row>
    <row r="464" s="2" customFormat="true" ht="12.8" hidden="false" customHeight="false" outlineLevel="0" collapsed="false">
      <c r="A464" s="1"/>
    </row>
    <row r="465" s="2" customFormat="true" ht="12.8" hidden="false" customHeight="false" outlineLevel="0" collapsed="false">
      <c r="A465" s="1"/>
    </row>
    <row r="466" s="2" customFormat="true" ht="12.8" hidden="false" customHeight="false" outlineLevel="0" collapsed="false">
      <c r="A466" s="1"/>
    </row>
    <row r="467" s="2" customFormat="true" ht="12.8" hidden="false" customHeight="false" outlineLevel="0" collapsed="false">
      <c r="A467" s="1"/>
    </row>
    <row r="468" s="2" customFormat="true" ht="12.8" hidden="false" customHeight="false" outlineLevel="0" collapsed="false">
      <c r="A468" s="1"/>
    </row>
    <row r="469" s="2" customFormat="true" ht="12.8" hidden="false" customHeight="false" outlineLevel="0" collapsed="false">
      <c r="A469" s="1"/>
    </row>
    <row r="470" s="2" customFormat="true" ht="12.8" hidden="false" customHeight="false" outlineLevel="0" collapsed="false">
      <c r="A470" s="1"/>
    </row>
    <row r="471" s="2" customFormat="true" ht="12.8" hidden="false" customHeight="false" outlineLevel="0" collapsed="false">
      <c r="A471" s="1"/>
    </row>
    <row r="472" s="2" customFormat="true" ht="12.8" hidden="false" customHeight="false" outlineLevel="0" collapsed="false">
      <c r="A472" s="1"/>
    </row>
    <row r="473" s="2" customFormat="true" ht="12.8" hidden="false" customHeight="false" outlineLevel="0" collapsed="false">
      <c r="A473" s="1"/>
    </row>
    <row r="474" s="2" customFormat="true" ht="12.8" hidden="false" customHeight="false" outlineLevel="0" collapsed="false">
      <c r="A474" s="1"/>
    </row>
    <row r="475" s="2" customFormat="true" ht="12.8" hidden="false" customHeight="false" outlineLevel="0" collapsed="false">
      <c r="A475" s="1"/>
    </row>
    <row r="476" s="2" customFormat="true" ht="12.8" hidden="false" customHeight="false" outlineLevel="0" collapsed="false">
      <c r="A476" s="1"/>
    </row>
    <row r="477" s="2" customFormat="true" ht="12.8" hidden="false" customHeight="false" outlineLevel="0" collapsed="false">
      <c r="A477" s="1"/>
    </row>
    <row r="478" s="2" customFormat="true" ht="12.8" hidden="false" customHeight="false" outlineLevel="0" collapsed="false">
      <c r="A478" s="1"/>
    </row>
    <row r="479" s="2" customFormat="true" ht="12.8" hidden="false" customHeight="false" outlineLevel="0" collapsed="false">
      <c r="A479" s="1"/>
    </row>
    <row r="480" s="2" customFormat="true" ht="12.8" hidden="false" customHeight="false" outlineLevel="0" collapsed="false">
      <c r="A480" s="1"/>
    </row>
    <row r="481" s="2" customFormat="true" ht="12.8" hidden="false" customHeight="false" outlineLevel="0" collapsed="false">
      <c r="A481" s="1"/>
    </row>
    <row r="482" s="2" customFormat="true" ht="12.8" hidden="false" customHeight="false" outlineLevel="0" collapsed="false">
      <c r="A482" s="1"/>
    </row>
    <row r="483" s="2" customFormat="true" ht="12.8" hidden="false" customHeight="false" outlineLevel="0" collapsed="false">
      <c r="A483" s="1"/>
    </row>
    <row r="484" s="2" customFormat="true" ht="12.8" hidden="false" customHeight="false" outlineLevel="0" collapsed="false">
      <c r="A484" s="1"/>
    </row>
    <row r="485" s="2" customFormat="true" ht="12.8" hidden="false" customHeight="false" outlineLevel="0" collapsed="false">
      <c r="A485" s="1"/>
    </row>
    <row r="486" s="2" customFormat="true" ht="12.8" hidden="false" customHeight="false" outlineLevel="0" collapsed="false">
      <c r="A486" s="1"/>
    </row>
    <row r="487" s="2" customFormat="true" ht="12.8" hidden="false" customHeight="false" outlineLevel="0" collapsed="false">
      <c r="A487" s="1"/>
    </row>
    <row r="488" s="2" customFormat="true" ht="12.8" hidden="false" customHeight="false" outlineLevel="0" collapsed="false">
      <c r="A488" s="1"/>
    </row>
    <row r="489" s="2" customFormat="true" ht="12.8" hidden="false" customHeight="false" outlineLevel="0" collapsed="false">
      <c r="A489" s="1"/>
    </row>
    <row r="490" s="2" customFormat="true" ht="12.8" hidden="false" customHeight="false" outlineLevel="0" collapsed="false">
      <c r="A490" s="1"/>
    </row>
    <row r="491" s="2" customFormat="true" ht="12.8" hidden="false" customHeight="false" outlineLevel="0" collapsed="false">
      <c r="A491" s="1"/>
    </row>
    <row r="492" s="2" customFormat="true" ht="12.8" hidden="false" customHeight="false" outlineLevel="0" collapsed="false">
      <c r="A492" s="1"/>
    </row>
    <row r="493" s="2" customFormat="true" ht="12.8" hidden="false" customHeight="false" outlineLevel="0" collapsed="false">
      <c r="A493" s="1"/>
    </row>
    <row r="494" s="2" customFormat="true" ht="12.8" hidden="false" customHeight="false" outlineLevel="0" collapsed="false">
      <c r="A494" s="1"/>
    </row>
    <row r="495" s="2" customFormat="true" ht="12.8" hidden="false" customHeight="false" outlineLevel="0" collapsed="false">
      <c r="A495" s="1"/>
    </row>
    <row r="496" s="2" customFormat="true" ht="12.8" hidden="false" customHeight="false" outlineLevel="0" collapsed="false">
      <c r="A496" s="1"/>
    </row>
    <row r="497" s="2" customFormat="true" ht="12.8" hidden="false" customHeight="false" outlineLevel="0" collapsed="false">
      <c r="A497" s="1"/>
    </row>
    <row r="498" s="2" customFormat="true" ht="12.8" hidden="false" customHeight="false" outlineLevel="0" collapsed="false">
      <c r="A498" s="1"/>
    </row>
    <row r="499" s="2" customFormat="true" ht="12.8" hidden="false" customHeight="false" outlineLevel="0" collapsed="false">
      <c r="A499" s="1"/>
    </row>
    <row r="500" s="2" customFormat="true" ht="12.8" hidden="false" customHeight="false" outlineLevel="0" collapsed="false">
      <c r="A500" s="1"/>
    </row>
    <row r="501" s="2" customFormat="true" ht="12.8" hidden="false" customHeight="false" outlineLevel="0" collapsed="false">
      <c r="A501" s="1"/>
    </row>
    <row r="502" s="2" customFormat="true" ht="12.8" hidden="false" customHeight="false" outlineLevel="0" collapsed="false">
      <c r="A502" s="1"/>
    </row>
    <row r="503" s="2" customFormat="true" ht="12.8" hidden="false" customHeight="false" outlineLevel="0" collapsed="false">
      <c r="A503" s="1"/>
    </row>
    <row r="504" s="2" customFormat="true" ht="12.8" hidden="false" customHeight="false" outlineLevel="0" collapsed="false">
      <c r="A504" s="1"/>
    </row>
    <row r="505" s="2" customFormat="true" ht="12.8" hidden="false" customHeight="false" outlineLevel="0" collapsed="false">
      <c r="A505" s="1"/>
    </row>
    <row r="506" s="2" customFormat="true" ht="12.8" hidden="false" customHeight="false" outlineLevel="0" collapsed="false">
      <c r="A506" s="1"/>
    </row>
    <row r="507" s="2" customFormat="true" ht="12.8" hidden="false" customHeight="false" outlineLevel="0" collapsed="false">
      <c r="A507" s="1"/>
    </row>
    <row r="508" s="2" customFormat="true" ht="12.8" hidden="false" customHeight="false" outlineLevel="0" collapsed="false">
      <c r="A508" s="1"/>
    </row>
    <row r="509" s="2" customFormat="true" ht="12.8" hidden="false" customHeight="false" outlineLevel="0" collapsed="false">
      <c r="A509" s="1"/>
    </row>
    <row r="510" s="2" customFormat="true" ht="12.8" hidden="false" customHeight="false" outlineLevel="0" collapsed="false">
      <c r="A510" s="1"/>
    </row>
    <row r="511" s="2" customFormat="true" ht="12.8" hidden="false" customHeight="false" outlineLevel="0" collapsed="false">
      <c r="A511" s="1"/>
    </row>
    <row r="512" s="2" customFormat="true" ht="12.8" hidden="false" customHeight="false" outlineLevel="0" collapsed="false">
      <c r="A512" s="1"/>
    </row>
    <row r="513" s="2" customFormat="true" ht="12.8" hidden="false" customHeight="false" outlineLevel="0" collapsed="false">
      <c r="A513" s="1"/>
    </row>
    <row r="514" s="2" customFormat="true" ht="12.8" hidden="false" customHeight="false" outlineLevel="0" collapsed="false">
      <c r="A514" s="1"/>
    </row>
    <row r="515" s="2" customFormat="true" ht="12.8" hidden="false" customHeight="false" outlineLevel="0" collapsed="false">
      <c r="A515" s="1"/>
    </row>
    <row r="516" s="2" customFormat="true" ht="12.8" hidden="false" customHeight="false" outlineLevel="0" collapsed="false">
      <c r="A516" s="1"/>
    </row>
    <row r="517" s="2" customFormat="true" ht="12.8" hidden="false" customHeight="false" outlineLevel="0" collapsed="false">
      <c r="A517" s="1"/>
    </row>
    <row r="518" s="2" customFormat="true" ht="12.8" hidden="false" customHeight="false" outlineLevel="0" collapsed="false">
      <c r="A518" s="1"/>
    </row>
    <row r="519" s="2" customFormat="true" ht="12.8" hidden="false" customHeight="false" outlineLevel="0" collapsed="false">
      <c r="A519" s="1"/>
    </row>
    <row r="520" s="2" customFormat="true" ht="12.8" hidden="false" customHeight="false" outlineLevel="0" collapsed="false">
      <c r="A520" s="1"/>
    </row>
    <row r="521" s="2" customFormat="true" ht="12.8" hidden="false" customHeight="false" outlineLevel="0" collapsed="false">
      <c r="A521" s="1"/>
    </row>
    <row r="522" s="2" customFormat="true" ht="12.8" hidden="false" customHeight="false" outlineLevel="0" collapsed="false">
      <c r="A522" s="1"/>
    </row>
    <row r="523" s="2" customFormat="true" ht="12.8" hidden="false" customHeight="false" outlineLevel="0" collapsed="false">
      <c r="A523" s="1"/>
    </row>
    <row r="524" s="2" customFormat="true" ht="12.8" hidden="false" customHeight="false" outlineLevel="0" collapsed="false">
      <c r="A524" s="1"/>
    </row>
    <row r="525" s="2" customFormat="true" ht="12.8" hidden="false" customHeight="false" outlineLevel="0" collapsed="false">
      <c r="A525" s="1"/>
    </row>
    <row r="526" s="2" customFormat="true" ht="12.8" hidden="false" customHeight="false" outlineLevel="0" collapsed="false">
      <c r="A526" s="1"/>
    </row>
    <row r="527" s="2" customFormat="true" ht="12.8" hidden="false" customHeight="false" outlineLevel="0" collapsed="false">
      <c r="A527" s="1"/>
    </row>
    <row r="528" s="2" customFormat="true" ht="12.8" hidden="false" customHeight="false" outlineLevel="0" collapsed="false">
      <c r="A528" s="1"/>
    </row>
    <row r="529" s="2" customFormat="true" ht="12.8" hidden="false" customHeight="false" outlineLevel="0" collapsed="false">
      <c r="A529" s="1"/>
    </row>
    <row r="530" s="2" customFormat="true" ht="12.8" hidden="false" customHeight="false" outlineLevel="0" collapsed="false">
      <c r="A530" s="1"/>
    </row>
    <row r="531" s="2" customFormat="true" ht="12.8" hidden="false" customHeight="false" outlineLevel="0" collapsed="false">
      <c r="A531" s="1"/>
    </row>
    <row r="532" s="2" customFormat="true" ht="12.8" hidden="false" customHeight="false" outlineLevel="0" collapsed="false">
      <c r="A532" s="1"/>
    </row>
    <row r="533" s="2" customFormat="true" ht="12.8" hidden="false" customHeight="false" outlineLevel="0" collapsed="false">
      <c r="A533" s="1"/>
    </row>
    <row r="534" s="2" customFormat="true" ht="12.8" hidden="false" customHeight="false" outlineLevel="0" collapsed="false">
      <c r="A534" s="1"/>
    </row>
    <row r="535" s="2" customFormat="true" ht="12.8" hidden="false" customHeight="false" outlineLevel="0" collapsed="false">
      <c r="A535" s="1"/>
    </row>
    <row r="536" s="2" customFormat="true" ht="12.8" hidden="false" customHeight="false" outlineLevel="0" collapsed="false">
      <c r="A536" s="1"/>
    </row>
    <row r="537" s="2" customFormat="true" ht="12.8" hidden="false" customHeight="false" outlineLevel="0" collapsed="false">
      <c r="A537" s="1"/>
    </row>
    <row r="538" s="2" customFormat="true" ht="12.8" hidden="false" customHeight="false" outlineLevel="0" collapsed="false">
      <c r="A538" s="1"/>
    </row>
    <row r="539" s="2" customFormat="true" ht="12.8" hidden="false" customHeight="false" outlineLevel="0" collapsed="false">
      <c r="A539" s="1"/>
    </row>
    <row r="540" s="2" customFormat="true" ht="12.8" hidden="false" customHeight="false" outlineLevel="0" collapsed="false">
      <c r="A540" s="1"/>
    </row>
    <row r="541" s="2" customFormat="true" ht="12.8" hidden="false" customHeight="false" outlineLevel="0" collapsed="false">
      <c r="A541" s="1"/>
    </row>
    <row r="542" s="2" customFormat="true" ht="12.8" hidden="false" customHeight="false" outlineLevel="0" collapsed="false">
      <c r="A542" s="1"/>
    </row>
    <row r="543" s="2" customFormat="true" ht="12.8" hidden="false" customHeight="false" outlineLevel="0" collapsed="false">
      <c r="A543" s="1"/>
    </row>
    <row r="544" s="2" customFormat="true" ht="12.8" hidden="false" customHeight="false" outlineLevel="0" collapsed="false">
      <c r="A544" s="1"/>
    </row>
    <row r="545" s="2" customFormat="true" ht="12.8" hidden="false" customHeight="false" outlineLevel="0" collapsed="false">
      <c r="A545" s="1"/>
    </row>
    <row r="546" s="2" customFormat="true" ht="12.8" hidden="false" customHeight="false" outlineLevel="0" collapsed="false">
      <c r="A546" s="1"/>
    </row>
    <row r="547" s="2" customFormat="true" ht="12.8" hidden="false" customHeight="false" outlineLevel="0" collapsed="false">
      <c r="A547" s="1"/>
    </row>
    <row r="548" s="2" customFormat="true" ht="12.8" hidden="false" customHeight="false" outlineLevel="0" collapsed="false">
      <c r="A548" s="1"/>
    </row>
    <row r="549" s="2" customFormat="true" ht="12.8" hidden="false" customHeight="false" outlineLevel="0" collapsed="false">
      <c r="A549" s="1"/>
    </row>
    <row r="550" s="2" customFormat="true" ht="12.8" hidden="false" customHeight="false" outlineLevel="0" collapsed="false">
      <c r="A550" s="1"/>
    </row>
    <row r="551" s="2" customFormat="true" ht="12.8" hidden="false" customHeight="false" outlineLevel="0" collapsed="false">
      <c r="A551" s="1"/>
    </row>
    <row r="552" s="2" customFormat="true" ht="12.8" hidden="false" customHeight="false" outlineLevel="0" collapsed="false">
      <c r="A552" s="1"/>
    </row>
    <row r="553" s="2" customFormat="true" ht="12.8" hidden="false" customHeight="false" outlineLevel="0" collapsed="false">
      <c r="A553" s="1"/>
    </row>
    <row r="554" s="2" customFormat="true" ht="12.8" hidden="false" customHeight="false" outlineLevel="0" collapsed="false">
      <c r="A554" s="1"/>
    </row>
    <row r="555" s="2" customFormat="true" ht="12.8" hidden="false" customHeight="false" outlineLevel="0" collapsed="false">
      <c r="A555" s="1"/>
    </row>
    <row r="556" s="2" customFormat="true" ht="12.8" hidden="false" customHeight="false" outlineLevel="0" collapsed="false">
      <c r="A556" s="1"/>
    </row>
    <row r="557" s="2" customFormat="true" ht="12.8" hidden="false" customHeight="false" outlineLevel="0" collapsed="false">
      <c r="A557" s="1"/>
    </row>
    <row r="558" s="2" customFormat="true" ht="12.8" hidden="false" customHeight="false" outlineLevel="0" collapsed="false">
      <c r="A558" s="1"/>
    </row>
    <row r="559" s="2" customFormat="true" ht="12.8" hidden="false" customHeight="false" outlineLevel="0" collapsed="false">
      <c r="A559" s="1"/>
    </row>
    <row r="560" s="2" customFormat="true" ht="12.8" hidden="false" customHeight="false" outlineLevel="0" collapsed="false">
      <c r="A560" s="1"/>
    </row>
    <row r="561" s="2" customFormat="true" ht="12.8" hidden="false" customHeight="false" outlineLevel="0" collapsed="false">
      <c r="A561" s="1"/>
    </row>
    <row r="562" s="2" customFormat="true" ht="12.8" hidden="false" customHeight="false" outlineLevel="0" collapsed="false">
      <c r="A562" s="1"/>
    </row>
    <row r="563" s="2" customFormat="true" ht="12.8" hidden="false" customHeight="false" outlineLevel="0" collapsed="false">
      <c r="A563" s="1"/>
    </row>
    <row r="564" s="2" customFormat="true" ht="12.8" hidden="false" customHeight="false" outlineLevel="0" collapsed="false">
      <c r="A564" s="1"/>
    </row>
    <row r="565" s="2" customFormat="true" ht="12.8" hidden="false" customHeight="false" outlineLevel="0" collapsed="false">
      <c r="A565" s="1"/>
    </row>
    <row r="566" s="2" customFormat="true" ht="12.8" hidden="false" customHeight="false" outlineLevel="0" collapsed="false">
      <c r="A566" s="1"/>
    </row>
    <row r="567" s="2" customFormat="true" ht="12.8" hidden="false" customHeight="false" outlineLevel="0" collapsed="false">
      <c r="A567" s="1"/>
    </row>
    <row r="568" s="2" customFormat="true" ht="12.8" hidden="false" customHeight="false" outlineLevel="0" collapsed="false">
      <c r="A568" s="1"/>
    </row>
    <row r="569" s="2" customFormat="true" ht="12.8" hidden="false" customHeight="false" outlineLevel="0" collapsed="false">
      <c r="A569" s="1"/>
    </row>
    <row r="570" s="2" customFormat="true" ht="12.8" hidden="false" customHeight="false" outlineLevel="0" collapsed="false">
      <c r="A570" s="1"/>
    </row>
    <row r="571" s="2" customFormat="true" ht="12.8" hidden="false" customHeight="false" outlineLevel="0" collapsed="false">
      <c r="A571" s="1"/>
    </row>
    <row r="572" s="2" customFormat="true" ht="12.8" hidden="false" customHeight="false" outlineLevel="0" collapsed="false">
      <c r="A572" s="1"/>
    </row>
    <row r="573" s="2" customFormat="true" ht="12.8" hidden="false" customHeight="false" outlineLevel="0" collapsed="false">
      <c r="A573" s="1"/>
    </row>
    <row r="574" s="2" customFormat="true" ht="12.8" hidden="false" customHeight="false" outlineLevel="0" collapsed="false">
      <c r="A574"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1C1C"/>
    <pageSetUpPr fitToPage="false"/>
  </sheetPr>
  <dimension ref="A1:DK19"/>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E3" activeCellId="0" sqref="E3"/>
    </sheetView>
  </sheetViews>
  <sheetFormatPr defaultColWidth="11.53515625" defaultRowHeight="12.8" customHeight="false" zeroHeight="false" outlineLevelRow="0" outlineLevelCol="0"/>
  <cols>
    <col collapsed="false" customWidth="true" hidden="false" outlineLevel="0" max="1" min="1" style="28" width="20.76"/>
    <col collapsed="false" customWidth="false" hidden="false" outlineLevel="0" max="16384" min="2" style="28" width="11.53"/>
  </cols>
  <sheetData>
    <row r="1" customFormat="false" ht="12.8" hidden="false" customHeight="false" outlineLevel="0" collapsed="false">
      <c r="A1" s="29" t="s">
        <v>115</v>
      </c>
      <c r="B1" s="30" t="s">
        <v>116</v>
      </c>
      <c r="C1" s="31" t="s">
        <v>2</v>
      </c>
    </row>
    <row r="2" customFormat="false" ht="12.8" hidden="false" customHeight="false" outlineLevel="0" collapsed="false">
      <c r="A2" s="4" t="s">
        <v>28</v>
      </c>
      <c r="B2" s="7" t="s">
        <v>117</v>
      </c>
      <c r="C2" s="7" t="s">
        <v>118</v>
      </c>
      <c r="D2" s="7" t="s">
        <v>119</v>
      </c>
      <c r="E2" s="7" t="s">
        <v>120</v>
      </c>
      <c r="F2" s="7" t="s">
        <v>121</v>
      </c>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row>
    <row r="3" customFormat="false" ht="91" hidden="false" customHeight="false" outlineLevel="0" collapsed="false">
      <c r="A3" s="4" t="n">
        <v>16</v>
      </c>
      <c r="B3" s="7" t="s">
        <v>122</v>
      </c>
      <c r="C3" s="32" t="s">
        <v>123</v>
      </c>
      <c r="D3" s="7" t="s">
        <v>124</v>
      </c>
      <c r="E3" s="27" t="s">
        <v>125</v>
      </c>
      <c r="F3" s="7"/>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row>
    <row r="4" customFormat="false" ht="23.85" hidden="false" customHeight="false" outlineLevel="0" collapsed="false">
      <c r="A4" s="4" t="n">
        <v>15</v>
      </c>
      <c r="B4" s="2" t="s">
        <v>126</v>
      </c>
      <c r="C4" s="32" t="s">
        <v>127</v>
      </c>
      <c r="D4" s="7" t="s">
        <v>128</v>
      </c>
      <c r="E4" s="7" t="s">
        <v>129</v>
      </c>
      <c r="F4" s="7"/>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row>
    <row r="5" customFormat="false" ht="12.8" hidden="false" customHeight="false" outlineLevel="0" collapsed="false">
      <c r="A5" s="4" t="n">
        <v>14</v>
      </c>
      <c r="B5" s="2" t="s">
        <v>126</v>
      </c>
      <c r="C5" s="7" t="s">
        <v>130</v>
      </c>
      <c r="D5" s="7" t="s">
        <v>131</v>
      </c>
      <c r="E5" s="7" t="s">
        <v>125</v>
      </c>
      <c r="F5" s="7"/>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row>
    <row r="6" customFormat="false" ht="12.8" hidden="false" customHeight="false" outlineLevel="0" collapsed="false">
      <c r="A6" s="4" t="n">
        <v>13</v>
      </c>
      <c r="B6" s="2" t="s">
        <v>126</v>
      </c>
      <c r="C6" s="7" t="s">
        <v>130</v>
      </c>
      <c r="D6" s="7" t="s">
        <v>132</v>
      </c>
      <c r="E6" s="7" t="s">
        <v>125</v>
      </c>
      <c r="F6" s="7"/>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row>
    <row r="7" customFormat="false" ht="57.45" hidden="false" customHeight="false" outlineLevel="0" collapsed="false">
      <c r="A7" s="4" t="n">
        <v>12</v>
      </c>
      <c r="B7" s="2" t="s">
        <v>126</v>
      </c>
      <c r="C7" s="33" t="s">
        <v>133</v>
      </c>
      <c r="D7" s="7" t="s">
        <v>134</v>
      </c>
      <c r="E7" s="34" t="s">
        <v>129</v>
      </c>
      <c r="F7" s="7"/>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row>
    <row r="8" customFormat="false" ht="91" hidden="false" customHeight="false" outlineLevel="0" collapsed="false">
      <c r="A8" s="1" t="n">
        <v>11</v>
      </c>
      <c r="B8" s="2" t="s">
        <v>126</v>
      </c>
      <c r="C8" s="33" t="s">
        <v>133</v>
      </c>
      <c r="D8" s="2" t="s">
        <v>135</v>
      </c>
      <c r="E8" s="2" t="s">
        <v>136</v>
      </c>
      <c r="F8" s="33" t="s">
        <v>137</v>
      </c>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row>
    <row r="9" customFormat="false" ht="12.8" hidden="false" customHeight="false" outlineLevel="0" collapsed="false">
      <c r="A9" s="1" t="s">
        <v>40</v>
      </c>
      <c r="B9" s="2" t="s">
        <v>138</v>
      </c>
      <c r="C9" s="2" t="s">
        <v>139</v>
      </c>
      <c r="D9" s="2" t="s">
        <v>140</v>
      </c>
      <c r="E9" s="2" t="s">
        <v>129</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row>
    <row r="10" customFormat="false" ht="23.85" hidden="false" customHeight="false" outlineLevel="0" collapsed="false">
      <c r="A10" s="1" t="s">
        <v>37</v>
      </c>
      <c r="B10" s="2" t="s">
        <v>7</v>
      </c>
      <c r="C10" s="33" t="s">
        <v>141</v>
      </c>
      <c r="D10" s="2" t="s">
        <v>142</v>
      </c>
      <c r="E10" s="34" t="s">
        <v>136</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row>
    <row r="11" customFormat="false" ht="79.85" hidden="false" customHeight="false" outlineLevel="0" collapsed="false">
      <c r="A11" s="1" t="n">
        <v>8</v>
      </c>
      <c r="B11" s="2" t="s">
        <v>7</v>
      </c>
      <c r="C11" s="33" t="s">
        <v>143</v>
      </c>
      <c r="D11" s="2"/>
      <c r="E11" s="34" t="s">
        <v>129</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row>
    <row r="12" customFormat="false" ht="79.85" hidden="false" customHeight="false" outlineLevel="0" collapsed="false">
      <c r="A12" s="1" t="n">
        <v>7</v>
      </c>
      <c r="B12" s="2" t="s">
        <v>7</v>
      </c>
      <c r="C12" s="33" t="s">
        <v>143</v>
      </c>
      <c r="D12" s="2" t="s">
        <v>142</v>
      </c>
      <c r="E12" s="34" t="s">
        <v>136</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row>
    <row r="13" customFormat="false" ht="23.85" hidden="false" customHeight="false" outlineLevel="0" collapsed="false">
      <c r="A13" s="1" t="n">
        <v>6</v>
      </c>
      <c r="B13" s="2" t="s">
        <v>144</v>
      </c>
      <c r="C13" s="33" t="s">
        <v>145</v>
      </c>
      <c r="D13" s="2" t="s">
        <v>146</v>
      </c>
      <c r="E13" s="2" t="s">
        <v>136</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row>
    <row r="14" customFormat="false" ht="79.85" hidden="false" customHeight="false" outlineLevel="0" collapsed="false">
      <c r="A14" s="1" t="n">
        <v>5</v>
      </c>
      <c r="B14" s="2" t="s">
        <v>147</v>
      </c>
      <c r="C14" s="35" t="s">
        <v>148</v>
      </c>
      <c r="D14" s="2" t="s">
        <v>149</v>
      </c>
      <c r="E14" s="34" t="s">
        <v>129</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row>
    <row r="15" customFormat="false" ht="12.8" hidden="false" customHeight="false" outlineLevel="0" collapsed="false">
      <c r="A15" s="1" t="s">
        <v>24</v>
      </c>
      <c r="B15" s="2" t="s">
        <v>150</v>
      </c>
      <c r="C15" s="2" t="s">
        <v>151</v>
      </c>
      <c r="D15" s="2" t="s">
        <v>152</v>
      </c>
      <c r="E15" s="2" t="s">
        <v>136</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row>
    <row r="16" customFormat="false" ht="12.8" hidden="false" customHeight="false" outlineLevel="0" collapsed="false">
      <c r="A16" s="1" t="s">
        <v>21</v>
      </c>
      <c r="B16" s="2" t="s">
        <v>153</v>
      </c>
      <c r="C16" s="2" t="s">
        <v>151</v>
      </c>
      <c r="D16" s="2" t="s">
        <v>154</v>
      </c>
      <c r="E16" s="2" t="s">
        <v>125</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row>
    <row r="17" customFormat="false" ht="23.85" hidden="false" customHeight="false" outlineLevel="0" collapsed="false">
      <c r="A17" s="1" t="s">
        <v>18</v>
      </c>
      <c r="B17" s="2" t="s">
        <v>155</v>
      </c>
      <c r="C17" s="33" t="s">
        <v>156</v>
      </c>
      <c r="D17" s="2" t="s">
        <v>157</v>
      </c>
      <c r="E17" s="2" t="s">
        <v>129</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row>
    <row r="18" customFormat="false" ht="23.85" hidden="false" customHeight="false" outlineLevel="0" collapsed="false">
      <c r="A18" s="1" t="s">
        <v>15</v>
      </c>
      <c r="B18" s="2" t="s">
        <v>158</v>
      </c>
      <c r="C18" s="33" t="s">
        <v>159</v>
      </c>
      <c r="D18" s="2" t="s">
        <v>160</v>
      </c>
      <c r="E18" s="2" t="s">
        <v>136</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row>
    <row r="19" customFormat="false" ht="23.85" hidden="false" customHeight="false" outlineLevel="0" collapsed="false">
      <c r="A19" s="1" t="s">
        <v>12</v>
      </c>
      <c r="B19" s="2" t="s">
        <v>161</v>
      </c>
      <c r="C19" s="33" t="s">
        <v>159</v>
      </c>
      <c r="D19" s="2" t="s">
        <v>162</v>
      </c>
      <c r="E19" s="2" t="s">
        <v>129</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H32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3" ySplit="2" topLeftCell="D268" activePane="bottomRight" state="frozen"/>
      <selection pane="topLeft" activeCell="A1" activeCellId="0" sqref="A1"/>
      <selection pane="topRight" activeCell="D1" activeCellId="0" sqref="D1"/>
      <selection pane="bottomLeft" activeCell="A268" activeCellId="0" sqref="A268"/>
      <selection pane="bottomRight" activeCell="A318" activeCellId="0" sqref="A318"/>
    </sheetView>
  </sheetViews>
  <sheetFormatPr defaultColWidth="11.53515625" defaultRowHeight="12.8" customHeight="false" zeroHeight="false" outlineLevelRow="0" outlineLevelCol="0"/>
  <cols>
    <col collapsed="false" customWidth="true" hidden="false" outlineLevel="0" max="1" min="1" style="36" width="20.76"/>
    <col collapsed="false" customWidth="true" hidden="false" outlineLevel="0" max="2" min="2" style="26" width="6.92"/>
    <col collapsed="false" customWidth="true" hidden="false" outlineLevel="0" max="3" min="3" style="26" width="53.06"/>
  </cols>
  <sheetData>
    <row r="1" customFormat="false" ht="12.8" hidden="false" customHeight="false" outlineLevel="0" collapsed="false">
      <c r="A1" s="29" t="s">
        <v>163</v>
      </c>
      <c r="B1" s="30" t="s">
        <v>116</v>
      </c>
      <c r="C1" s="31" t="s">
        <v>2</v>
      </c>
      <c r="D1" s="3"/>
      <c r="E1" s="3"/>
      <c r="F1" s="3"/>
    </row>
    <row r="2" customFormat="false" ht="12.8" hidden="true" customHeight="false" outlineLevel="0" collapsed="false">
      <c r="A2" s="26" t="s">
        <v>164</v>
      </c>
      <c r="B2" s="26" t="s">
        <v>165</v>
      </c>
      <c r="C2" s="26" t="s">
        <v>166</v>
      </c>
      <c r="D2" s="26" t="s">
        <v>167</v>
      </c>
      <c r="E2" s="26" t="s">
        <v>167</v>
      </c>
      <c r="F2" s="26" t="s">
        <v>167</v>
      </c>
    </row>
    <row r="3" customFormat="false" ht="12.8" hidden="true" customHeight="false" outlineLevel="0" collapsed="false">
      <c r="A3" s="26" t="s">
        <v>164</v>
      </c>
      <c r="B3" s="26" t="s">
        <v>168</v>
      </c>
      <c r="C3" s="26" t="s">
        <v>169</v>
      </c>
      <c r="D3" s="26" t="s">
        <v>170</v>
      </c>
      <c r="E3" s="26" t="s">
        <v>171</v>
      </c>
      <c r="F3" s="26" t="s">
        <v>172</v>
      </c>
    </row>
    <row r="4" customFormat="false" ht="12.8" hidden="true" customHeight="false" outlineLevel="0" collapsed="false">
      <c r="A4" s="26" t="s">
        <v>164</v>
      </c>
      <c r="B4" s="26" t="s">
        <v>173</v>
      </c>
      <c r="C4" s="26" t="s">
        <v>174</v>
      </c>
      <c r="D4" s="26" t="s">
        <v>175</v>
      </c>
      <c r="E4" s="26" t="s">
        <v>176</v>
      </c>
      <c r="F4" s="26" t="s">
        <v>177</v>
      </c>
    </row>
    <row r="5" customFormat="false" ht="12.8" hidden="true" customHeight="false" outlineLevel="0" collapsed="false">
      <c r="A5" s="26" t="s">
        <v>164</v>
      </c>
      <c r="B5" s="26" t="s">
        <v>178</v>
      </c>
      <c r="C5" s="26" t="s">
        <v>179</v>
      </c>
      <c r="D5" s="26" t="s">
        <v>180</v>
      </c>
      <c r="E5" s="26" t="s">
        <v>181</v>
      </c>
      <c r="F5" s="26" t="s">
        <v>182</v>
      </c>
    </row>
    <row r="6" customFormat="false" ht="12.8" hidden="true" customHeight="false" outlineLevel="0" collapsed="false">
      <c r="A6" s="26" t="s">
        <v>164</v>
      </c>
      <c r="B6" s="26" t="s">
        <v>183</v>
      </c>
      <c r="C6" s="26" t="s">
        <v>184</v>
      </c>
      <c r="D6" s="26" t="s">
        <v>185</v>
      </c>
      <c r="E6" s="26" t="s">
        <v>186</v>
      </c>
      <c r="F6" s="26" t="s">
        <v>187</v>
      </c>
    </row>
    <row r="7" customFormat="false" ht="12.8" hidden="true" customHeight="false" outlineLevel="0" collapsed="false">
      <c r="A7" s="26" t="s">
        <v>164</v>
      </c>
      <c r="B7" s="26" t="s">
        <v>188</v>
      </c>
      <c r="C7" s="26" t="s">
        <v>189</v>
      </c>
      <c r="D7" s="26" t="s">
        <v>190</v>
      </c>
      <c r="E7" s="26" t="s">
        <v>191</v>
      </c>
      <c r="F7" s="26" t="s">
        <v>192</v>
      </c>
    </row>
    <row r="8" customFormat="false" ht="12.8" hidden="true" customHeight="false" outlineLevel="0" collapsed="false">
      <c r="A8" s="26" t="s">
        <v>193</v>
      </c>
      <c r="B8" s="26" t="n">
        <v>100</v>
      </c>
      <c r="C8" s="26" t="s">
        <v>194</v>
      </c>
      <c r="D8" s="26" t="s">
        <v>195</v>
      </c>
      <c r="E8" s="26" t="s">
        <v>196</v>
      </c>
      <c r="F8" s="26" t="s">
        <v>197</v>
      </c>
    </row>
    <row r="9" customFormat="false" ht="12.8" hidden="true" customHeight="false" outlineLevel="0" collapsed="false">
      <c r="A9" s="26" t="s">
        <v>193</v>
      </c>
      <c r="B9" s="26" t="n">
        <v>100.48</v>
      </c>
      <c r="C9" s="26" t="s">
        <v>198</v>
      </c>
      <c r="D9" s="26" t="s">
        <v>190</v>
      </c>
      <c r="E9" s="26" t="s">
        <v>191</v>
      </c>
      <c r="F9" s="26" t="s">
        <v>192</v>
      </c>
    </row>
    <row r="10" customFormat="false" ht="12.8" hidden="true" customHeight="false" outlineLevel="0" collapsed="false">
      <c r="A10" s="26" t="s">
        <v>193</v>
      </c>
      <c r="B10" s="26" t="n">
        <v>100.49</v>
      </c>
      <c r="C10" s="26" t="s">
        <v>199</v>
      </c>
      <c r="D10" s="26" t="s">
        <v>200</v>
      </c>
      <c r="E10" s="26" t="s">
        <v>191</v>
      </c>
      <c r="F10" s="26" t="s">
        <v>167</v>
      </c>
    </row>
    <row r="11" customFormat="false" ht="12.8" hidden="true" customHeight="false" outlineLevel="0" collapsed="false">
      <c r="A11" s="26" t="s">
        <v>193</v>
      </c>
      <c r="B11" s="26" t="n">
        <v>100.5</v>
      </c>
      <c r="C11" s="26" t="s">
        <v>201</v>
      </c>
      <c r="D11" s="26" t="s">
        <v>202</v>
      </c>
      <c r="E11" s="26" t="s">
        <v>191</v>
      </c>
      <c r="F11" s="26" t="s">
        <v>167</v>
      </c>
    </row>
    <row r="12" customFormat="false" ht="12.8" hidden="true" customHeight="false" outlineLevel="0" collapsed="false">
      <c r="A12" s="26" t="s">
        <v>193</v>
      </c>
      <c r="B12" s="26" t="n">
        <v>100.51</v>
      </c>
      <c r="C12" s="26" t="s">
        <v>203</v>
      </c>
      <c r="D12" s="26" t="s">
        <v>204</v>
      </c>
      <c r="E12" s="26" t="s">
        <v>191</v>
      </c>
      <c r="F12" s="26" t="s">
        <v>167</v>
      </c>
    </row>
    <row r="13" customFormat="false" ht="12.8" hidden="true" customHeight="false" outlineLevel="0" collapsed="false">
      <c r="A13" s="26" t="s">
        <v>193</v>
      </c>
      <c r="B13" s="26" t="n">
        <v>100.52</v>
      </c>
      <c r="C13" s="26" t="s">
        <v>205</v>
      </c>
      <c r="D13" s="26" t="s">
        <v>206</v>
      </c>
      <c r="E13" s="26" t="s">
        <v>191</v>
      </c>
      <c r="F13" s="26" t="s">
        <v>192</v>
      </c>
    </row>
    <row r="14" customFormat="false" ht="12.8" hidden="true" customHeight="false" outlineLevel="0" collapsed="false">
      <c r="A14" s="26" t="s">
        <v>193</v>
      </c>
      <c r="B14" s="26" t="n">
        <v>100.53</v>
      </c>
      <c r="C14" s="26" t="s">
        <v>207</v>
      </c>
      <c r="D14" s="26" t="s">
        <v>208</v>
      </c>
      <c r="E14" s="26" t="s">
        <v>191</v>
      </c>
      <c r="F14" s="26" t="s">
        <v>167</v>
      </c>
    </row>
    <row r="15" customFormat="false" ht="12.8" hidden="true" customHeight="false" outlineLevel="0" collapsed="false">
      <c r="A15" s="26" t="s">
        <v>193</v>
      </c>
      <c r="B15" s="26" t="n">
        <v>100.54</v>
      </c>
      <c r="C15" s="26" t="s">
        <v>209</v>
      </c>
      <c r="D15" s="26" t="s">
        <v>210</v>
      </c>
      <c r="E15" s="26" t="s">
        <v>191</v>
      </c>
      <c r="F15" s="26" t="s">
        <v>167</v>
      </c>
    </row>
    <row r="16" customFormat="false" ht="12.8" hidden="true" customHeight="false" outlineLevel="0" collapsed="false">
      <c r="A16" s="26" t="s">
        <v>193</v>
      </c>
      <c r="B16" s="26" t="n">
        <v>100.55</v>
      </c>
      <c r="C16" s="26" t="s">
        <v>211</v>
      </c>
      <c r="D16" s="26" t="s">
        <v>212</v>
      </c>
      <c r="E16" s="26" t="s">
        <v>191</v>
      </c>
      <c r="F16" s="26" t="s">
        <v>167</v>
      </c>
    </row>
    <row r="17" customFormat="false" ht="12.8" hidden="true" customHeight="false" outlineLevel="0" collapsed="false">
      <c r="A17" s="26" t="s">
        <v>193</v>
      </c>
      <c r="B17" s="26" t="n">
        <v>100.56</v>
      </c>
      <c r="C17" s="26" t="s">
        <v>213</v>
      </c>
      <c r="D17" s="26" t="s">
        <v>214</v>
      </c>
      <c r="E17" s="26" t="s">
        <v>191</v>
      </c>
      <c r="F17" s="26" t="s">
        <v>215</v>
      </c>
    </row>
    <row r="18" customFormat="false" ht="12.8" hidden="true" customHeight="false" outlineLevel="0" collapsed="false">
      <c r="A18" s="26" t="s">
        <v>193</v>
      </c>
      <c r="B18" s="26" t="n">
        <v>100.57</v>
      </c>
      <c r="C18" s="26" t="s">
        <v>216</v>
      </c>
      <c r="D18" s="26" t="s">
        <v>217</v>
      </c>
      <c r="E18" s="26" t="s">
        <v>191</v>
      </c>
      <c r="F18" s="26" t="s">
        <v>167</v>
      </c>
    </row>
    <row r="19" customFormat="false" ht="12.8" hidden="true" customHeight="false" outlineLevel="0" collapsed="false">
      <c r="A19" s="26" t="s">
        <v>193</v>
      </c>
      <c r="B19" s="26" t="n">
        <v>100.58</v>
      </c>
      <c r="C19" s="26" t="s">
        <v>218</v>
      </c>
      <c r="D19" s="26" t="s">
        <v>219</v>
      </c>
      <c r="E19" s="26" t="s">
        <v>191</v>
      </c>
      <c r="F19" s="26" t="s">
        <v>167</v>
      </c>
    </row>
    <row r="20" customFormat="false" ht="12.8" hidden="true" customHeight="false" outlineLevel="0" collapsed="false">
      <c r="A20" s="26" t="s">
        <v>193</v>
      </c>
      <c r="B20" s="26" t="n">
        <v>100.59</v>
      </c>
      <c r="C20" s="26" t="s">
        <v>220</v>
      </c>
      <c r="D20" s="26" t="s">
        <v>221</v>
      </c>
      <c r="E20" s="26" t="s">
        <v>191</v>
      </c>
      <c r="F20" s="26" t="s">
        <v>167</v>
      </c>
    </row>
    <row r="21" customFormat="false" ht="12.8" hidden="true" customHeight="false" outlineLevel="0" collapsed="false">
      <c r="A21" s="26" t="s">
        <v>193</v>
      </c>
      <c r="B21" s="26" t="n">
        <v>100.6</v>
      </c>
      <c r="C21" s="26" t="s">
        <v>222</v>
      </c>
      <c r="D21" s="26" t="s">
        <v>223</v>
      </c>
      <c r="E21" s="26" t="s">
        <v>191</v>
      </c>
      <c r="F21" s="26" t="s">
        <v>224</v>
      </c>
    </row>
    <row r="22" customFormat="false" ht="12.8" hidden="true" customHeight="false" outlineLevel="0" collapsed="false">
      <c r="A22" s="26" t="s">
        <v>193</v>
      </c>
      <c r="B22" s="26" t="n">
        <v>100.61</v>
      </c>
      <c r="C22" s="26" t="s">
        <v>225</v>
      </c>
      <c r="D22" s="26" t="s">
        <v>226</v>
      </c>
      <c r="E22" s="26" t="s">
        <v>191</v>
      </c>
      <c r="F22" s="26" t="s">
        <v>167</v>
      </c>
    </row>
    <row r="23" customFormat="false" ht="12.8" hidden="true" customHeight="false" outlineLevel="0" collapsed="false">
      <c r="A23" s="26" t="s">
        <v>193</v>
      </c>
      <c r="B23" s="26" t="n">
        <v>100.62</v>
      </c>
      <c r="C23" s="26" t="s">
        <v>227</v>
      </c>
      <c r="D23" s="26" t="s">
        <v>228</v>
      </c>
      <c r="E23" s="26" t="s">
        <v>191</v>
      </c>
      <c r="F23" s="26" t="s">
        <v>167</v>
      </c>
    </row>
    <row r="24" customFormat="false" ht="12.8" hidden="true" customHeight="false" outlineLevel="0" collapsed="false">
      <c r="A24" s="26" t="s">
        <v>193</v>
      </c>
      <c r="B24" s="26" t="n">
        <v>100.63</v>
      </c>
      <c r="C24" s="26" t="s">
        <v>229</v>
      </c>
      <c r="D24" s="26" t="s">
        <v>230</v>
      </c>
      <c r="E24" s="26" t="s">
        <v>191</v>
      </c>
      <c r="F24" s="26" t="s">
        <v>167</v>
      </c>
    </row>
    <row r="25" customFormat="false" ht="12.8" hidden="true" customHeight="false" outlineLevel="0" collapsed="false">
      <c r="A25" s="26" t="s">
        <v>231</v>
      </c>
      <c r="B25" s="26" t="s">
        <v>232</v>
      </c>
      <c r="C25" s="26" t="s">
        <v>233</v>
      </c>
      <c r="D25" s="26" t="s">
        <v>234</v>
      </c>
      <c r="E25" s="26" t="s">
        <v>235</v>
      </c>
      <c r="F25" s="26" t="s">
        <v>236</v>
      </c>
    </row>
    <row r="26" customFormat="false" ht="12.8" hidden="true" customHeight="false" outlineLevel="0" collapsed="false">
      <c r="A26" s="26" t="s">
        <v>237</v>
      </c>
      <c r="B26" s="26" t="s">
        <v>238</v>
      </c>
      <c r="C26" s="26" t="s">
        <v>239</v>
      </c>
      <c r="D26" s="26" t="s">
        <v>240</v>
      </c>
      <c r="E26" s="26" t="s">
        <v>241</v>
      </c>
      <c r="F26" s="26" t="s">
        <v>242</v>
      </c>
    </row>
    <row r="27" customFormat="false" ht="12.8" hidden="true" customHeight="false" outlineLevel="0" collapsed="false">
      <c r="A27" s="26" t="s">
        <v>243</v>
      </c>
      <c r="B27" s="26" t="s">
        <v>244</v>
      </c>
      <c r="C27" s="26" t="s">
        <v>245</v>
      </c>
      <c r="D27" s="26" t="s">
        <v>246</v>
      </c>
      <c r="E27" s="26" t="s">
        <v>247</v>
      </c>
      <c r="F27" s="26" t="s">
        <v>248</v>
      </c>
    </row>
    <row r="28" customFormat="false" ht="12.8" hidden="true" customHeight="false" outlineLevel="0" collapsed="false">
      <c r="A28" s="26" t="s">
        <v>249</v>
      </c>
      <c r="B28" s="26" t="s">
        <v>250</v>
      </c>
      <c r="C28" s="26" t="s">
        <v>251</v>
      </c>
      <c r="D28" s="26" t="s">
        <v>252</v>
      </c>
      <c r="E28" s="26" t="s">
        <v>253</v>
      </c>
      <c r="F28" s="26" t="s">
        <v>254</v>
      </c>
    </row>
    <row r="29" customFormat="false" ht="12.8" hidden="true" customHeight="false" outlineLevel="0" collapsed="false">
      <c r="A29" s="26" t="s">
        <v>249</v>
      </c>
      <c r="B29" s="26" t="s">
        <v>255</v>
      </c>
      <c r="C29" s="26" t="s">
        <v>256</v>
      </c>
      <c r="D29" s="26" t="s">
        <v>257</v>
      </c>
      <c r="E29" s="26" t="s">
        <v>258</v>
      </c>
      <c r="F29" s="26" t="s">
        <v>259</v>
      </c>
    </row>
    <row r="30" customFormat="false" ht="12.8" hidden="true" customHeight="false" outlineLevel="0" collapsed="false">
      <c r="A30" s="26" t="s">
        <v>260</v>
      </c>
      <c r="B30" s="26" t="s">
        <v>261</v>
      </c>
      <c r="C30" s="26" t="s">
        <v>262</v>
      </c>
      <c r="D30" s="26" t="s">
        <v>263</v>
      </c>
      <c r="E30" s="26" t="s">
        <v>264</v>
      </c>
      <c r="F30" s="26" t="s">
        <v>265</v>
      </c>
    </row>
    <row r="31" customFormat="false" ht="12.8" hidden="true" customHeight="false" outlineLevel="0" collapsed="false">
      <c r="A31" s="26" t="s">
        <v>266</v>
      </c>
      <c r="B31" s="26" t="s">
        <v>267</v>
      </c>
      <c r="C31" s="26" t="s">
        <v>268</v>
      </c>
      <c r="D31" s="26" t="s">
        <v>269</v>
      </c>
      <c r="E31" s="26" t="s">
        <v>270</v>
      </c>
      <c r="F31" s="26" t="s">
        <v>271</v>
      </c>
    </row>
    <row r="32" customFormat="false" ht="12.8" hidden="true" customHeight="false" outlineLevel="0" collapsed="false">
      <c r="A32" s="26" t="s">
        <v>272</v>
      </c>
      <c r="B32" s="26" t="s">
        <v>273</v>
      </c>
      <c r="C32" s="26" t="s">
        <v>274</v>
      </c>
      <c r="D32" s="26" t="s">
        <v>275</v>
      </c>
      <c r="E32" s="26" t="s">
        <v>276</v>
      </c>
      <c r="F32" s="26" t="s">
        <v>277</v>
      </c>
    </row>
    <row r="33" customFormat="false" ht="12.8" hidden="true" customHeight="false" outlineLevel="0" collapsed="false">
      <c r="A33" s="26" t="s">
        <v>278</v>
      </c>
      <c r="B33" s="26" t="s">
        <v>279</v>
      </c>
      <c r="C33" s="26" t="s">
        <v>280</v>
      </c>
      <c r="D33" s="26" t="s">
        <v>281</v>
      </c>
      <c r="E33" s="26" t="s">
        <v>282</v>
      </c>
      <c r="F33" s="26" t="s">
        <v>215</v>
      </c>
    </row>
    <row r="34" customFormat="false" ht="12.8" hidden="true" customHeight="false" outlineLevel="0" collapsed="false">
      <c r="A34" s="26" t="s">
        <v>283</v>
      </c>
      <c r="B34" s="26" t="s">
        <v>284</v>
      </c>
      <c r="C34" s="26" t="s">
        <v>285</v>
      </c>
      <c r="D34" s="26" t="s">
        <v>286</v>
      </c>
      <c r="E34" s="26" t="s">
        <v>287</v>
      </c>
      <c r="F34" s="26" t="s">
        <v>288</v>
      </c>
    </row>
    <row r="35" customFormat="false" ht="12.8" hidden="true" customHeight="false" outlineLevel="0" collapsed="false">
      <c r="A35" s="26" t="s">
        <v>289</v>
      </c>
      <c r="B35" s="26" t="s">
        <v>290</v>
      </c>
      <c r="C35" s="26" t="s">
        <v>291</v>
      </c>
      <c r="D35" s="26" t="s">
        <v>292</v>
      </c>
      <c r="E35" s="26" t="s">
        <v>293</v>
      </c>
      <c r="F35" s="26" t="s">
        <v>294</v>
      </c>
    </row>
    <row r="36" customFormat="false" ht="12.8" hidden="true" customHeight="false" outlineLevel="0" collapsed="false">
      <c r="A36" s="26" t="s">
        <v>289</v>
      </c>
      <c r="B36" s="26" t="s">
        <v>295</v>
      </c>
      <c r="C36" s="26" t="s">
        <v>296</v>
      </c>
      <c r="D36" s="26" t="s">
        <v>297</v>
      </c>
      <c r="E36" s="26" t="s">
        <v>298</v>
      </c>
      <c r="F36" s="26" t="s">
        <v>299</v>
      </c>
    </row>
    <row r="37" customFormat="false" ht="12.8" hidden="true" customHeight="false" outlineLevel="0" collapsed="false">
      <c r="A37" s="26" t="s">
        <v>289</v>
      </c>
      <c r="B37" s="26" t="s">
        <v>300</v>
      </c>
      <c r="C37" s="26" t="s">
        <v>301</v>
      </c>
      <c r="D37" s="26" t="s">
        <v>302</v>
      </c>
      <c r="E37" s="26" t="s">
        <v>303</v>
      </c>
      <c r="F37" s="26" t="s">
        <v>304</v>
      </c>
    </row>
    <row r="38" customFormat="false" ht="12.8" hidden="true" customHeight="false" outlineLevel="0" collapsed="false">
      <c r="A38" s="26" t="s">
        <v>289</v>
      </c>
      <c r="B38" s="26" t="s">
        <v>305</v>
      </c>
      <c r="C38" s="26" t="s">
        <v>306</v>
      </c>
      <c r="D38" s="26" t="s">
        <v>307</v>
      </c>
      <c r="E38" s="26" t="s">
        <v>308</v>
      </c>
      <c r="F38" s="26" t="s">
        <v>224</v>
      </c>
    </row>
    <row r="39" customFormat="false" ht="12.8" hidden="true" customHeight="false" outlineLevel="0" collapsed="false">
      <c r="A39" s="26" t="s">
        <v>289</v>
      </c>
      <c r="B39" s="26" t="s">
        <v>309</v>
      </c>
      <c r="C39" s="26" t="s">
        <v>310</v>
      </c>
      <c r="D39" s="26" t="s">
        <v>311</v>
      </c>
      <c r="E39" s="26" t="s">
        <v>312</v>
      </c>
      <c r="F39" s="26" t="s">
        <v>313</v>
      </c>
    </row>
    <row r="40" customFormat="false" ht="12.8" hidden="true" customHeight="false" outlineLevel="0" collapsed="false">
      <c r="A40" s="26" t="s">
        <v>289</v>
      </c>
      <c r="B40" s="26" t="s">
        <v>314</v>
      </c>
      <c r="C40" s="26" t="s">
        <v>315</v>
      </c>
      <c r="D40" s="26" t="s">
        <v>316</v>
      </c>
      <c r="E40" s="26" t="s">
        <v>317</v>
      </c>
      <c r="F40" s="26" t="s">
        <v>318</v>
      </c>
    </row>
    <row r="41" customFormat="false" ht="12.8" hidden="true" customHeight="false" outlineLevel="0" collapsed="false">
      <c r="A41" s="26" t="s">
        <v>289</v>
      </c>
      <c r="B41" s="26" t="s">
        <v>319</v>
      </c>
      <c r="C41" s="26" t="s">
        <v>320</v>
      </c>
      <c r="D41" s="26" t="s">
        <v>321</v>
      </c>
      <c r="E41" s="26" t="s">
        <v>322</v>
      </c>
      <c r="F41" s="26" t="s">
        <v>215</v>
      </c>
    </row>
    <row r="42" customFormat="false" ht="12.8" hidden="true" customHeight="false" outlineLevel="0" collapsed="false">
      <c r="A42" s="26" t="s">
        <v>289</v>
      </c>
      <c r="B42" s="26" t="s">
        <v>323</v>
      </c>
      <c r="C42" s="26" t="s">
        <v>324</v>
      </c>
      <c r="D42" s="26" t="s">
        <v>325</v>
      </c>
      <c r="E42" s="26" t="s">
        <v>326</v>
      </c>
      <c r="F42" s="26" t="s">
        <v>327</v>
      </c>
    </row>
    <row r="43" customFormat="false" ht="12.8" hidden="true" customHeight="false" outlineLevel="0" collapsed="false">
      <c r="A43" s="26" t="s">
        <v>289</v>
      </c>
      <c r="B43" s="26" t="s">
        <v>328</v>
      </c>
      <c r="C43" s="26" t="s">
        <v>329</v>
      </c>
      <c r="D43" s="26" t="s">
        <v>330</v>
      </c>
      <c r="E43" s="26" t="s">
        <v>331</v>
      </c>
      <c r="F43" s="26" t="s">
        <v>332</v>
      </c>
    </row>
    <row r="44" customFormat="false" ht="12.8" hidden="true" customHeight="false" outlineLevel="0" collapsed="false">
      <c r="A44" s="26" t="s">
        <v>289</v>
      </c>
      <c r="B44" s="26" t="s">
        <v>333</v>
      </c>
      <c r="C44" s="26" t="s">
        <v>334</v>
      </c>
      <c r="D44" s="26" t="s">
        <v>335</v>
      </c>
      <c r="E44" s="26" t="s">
        <v>336</v>
      </c>
      <c r="F44" s="26" t="s">
        <v>327</v>
      </c>
    </row>
    <row r="45" customFormat="false" ht="12.8" hidden="true" customHeight="false" outlineLevel="0" collapsed="false">
      <c r="A45" s="26" t="s">
        <v>289</v>
      </c>
      <c r="B45" s="26" t="s">
        <v>337</v>
      </c>
      <c r="C45" s="26" t="s">
        <v>338</v>
      </c>
      <c r="D45" s="26" t="s">
        <v>339</v>
      </c>
      <c r="E45" s="26" t="s">
        <v>340</v>
      </c>
      <c r="F45" s="26" t="s">
        <v>341</v>
      </c>
    </row>
    <row r="46" customFormat="false" ht="12.8" hidden="true" customHeight="false" outlineLevel="0" collapsed="false">
      <c r="A46" s="26" t="s">
        <v>342</v>
      </c>
      <c r="B46" s="26" t="n">
        <v>300</v>
      </c>
      <c r="C46" s="26" t="s">
        <v>343</v>
      </c>
      <c r="D46" s="26" t="s">
        <v>344</v>
      </c>
      <c r="E46" s="26" t="s">
        <v>345</v>
      </c>
      <c r="F46" s="26" t="s">
        <v>346</v>
      </c>
    </row>
    <row r="47" customFormat="false" ht="12.8" hidden="true" customHeight="false" outlineLevel="0" collapsed="false">
      <c r="A47" s="26" t="s">
        <v>342</v>
      </c>
      <c r="B47" s="26" t="n">
        <v>300</v>
      </c>
      <c r="C47" s="26" t="s">
        <v>347</v>
      </c>
      <c r="D47" s="26" t="s">
        <v>348</v>
      </c>
      <c r="E47" s="26" t="s">
        <v>349</v>
      </c>
      <c r="F47" s="26" t="n">
        <v>0</v>
      </c>
    </row>
    <row r="48" customFormat="false" ht="12.8" hidden="true" customHeight="false" outlineLevel="0" collapsed="false">
      <c r="A48" s="26" t="s">
        <v>342</v>
      </c>
      <c r="B48" s="26" t="n">
        <v>300.1</v>
      </c>
      <c r="C48" s="26" t="s">
        <v>350</v>
      </c>
      <c r="D48" s="26" t="s">
        <v>351</v>
      </c>
      <c r="E48" s="26" t="s">
        <v>352</v>
      </c>
      <c r="F48" s="26" t="s">
        <v>353</v>
      </c>
    </row>
    <row r="49" customFormat="false" ht="12.8" hidden="true" customHeight="false" outlineLevel="0" collapsed="false">
      <c r="A49" s="26" t="s">
        <v>342</v>
      </c>
      <c r="B49" s="26" t="n">
        <v>300.2</v>
      </c>
      <c r="C49" s="26" t="s">
        <v>354</v>
      </c>
      <c r="D49" s="26" t="s">
        <v>355</v>
      </c>
      <c r="E49" s="26" t="s">
        <v>356</v>
      </c>
      <c r="F49" s="26" t="s">
        <v>357</v>
      </c>
    </row>
    <row r="50" customFormat="false" ht="12.8" hidden="true" customHeight="false" outlineLevel="0" collapsed="false">
      <c r="A50" s="26" t="s">
        <v>342</v>
      </c>
      <c r="B50" s="26" t="n">
        <v>300.3</v>
      </c>
      <c r="C50" s="26" t="s">
        <v>358</v>
      </c>
      <c r="D50" s="26" t="s">
        <v>359</v>
      </c>
      <c r="E50" s="26" t="s">
        <v>360</v>
      </c>
      <c r="F50" s="26" t="s">
        <v>361</v>
      </c>
    </row>
    <row r="51" customFormat="false" ht="12.8" hidden="true" customHeight="false" outlineLevel="0" collapsed="false">
      <c r="A51" s="26" t="s">
        <v>342</v>
      </c>
      <c r="B51" s="26" t="n">
        <v>300.6</v>
      </c>
      <c r="C51" s="26" t="s">
        <v>362</v>
      </c>
      <c r="D51" s="26" t="s">
        <v>363</v>
      </c>
      <c r="E51" s="26" t="s">
        <v>364</v>
      </c>
      <c r="F51" s="26" t="n">
        <v>0</v>
      </c>
    </row>
    <row r="52" customFormat="false" ht="12.8" hidden="true" customHeight="false" outlineLevel="0" collapsed="false">
      <c r="A52" s="26" t="s">
        <v>342</v>
      </c>
      <c r="B52" s="26" t="n">
        <v>300.8</v>
      </c>
      <c r="C52" s="26" t="s">
        <v>365</v>
      </c>
      <c r="D52" s="26" t="s">
        <v>366</v>
      </c>
      <c r="E52" s="26" t="s">
        <v>367</v>
      </c>
      <c r="F52" s="26" t="n">
        <v>0</v>
      </c>
    </row>
    <row r="53" customFormat="false" ht="12.8" hidden="true" customHeight="false" outlineLevel="0" collapsed="false">
      <c r="A53" s="26" t="s">
        <v>342</v>
      </c>
      <c r="B53" s="26" t="n">
        <v>300.9</v>
      </c>
      <c r="C53" s="26" t="s">
        <v>368</v>
      </c>
      <c r="D53" s="26" t="s">
        <v>369</v>
      </c>
      <c r="E53" s="26" t="s">
        <v>367</v>
      </c>
      <c r="F53" s="26" t="s">
        <v>370</v>
      </c>
    </row>
    <row r="54" customFormat="false" ht="12.8" hidden="true" customHeight="false" outlineLevel="0" collapsed="false">
      <c r="A54" s="26" t="s">
        <v>342</v>
      </c>
      <c r="B54" s="26" t="n">
        <v>300.1</v>
      </c>
      <c r="C54" s="26" t="s">
        <v>371</v>
      </c>
      <c r="D54" s="26" t="s">
        <v>372</v>
      </c>
      <c r="E54" s="26" t="s">
        <v>373</v>
      </c>
      <c r="F54" s="26" t="s">
        <v>374</v>
      </c>
    </row>
    <row r="55" customFormat="false" ht="12.8" hidden="true" customHeight="false" outlineLevel="0" collapsed="false">
      <c r="A55" s="26" t="s">
        <v>342</v>
      </c>
      <c r="B55" s="26" t="n">
        <v>300.11</v>
      </c>
      <c r="C55" s="26" t="s">
        <v>375</v>
      </c>
      <c r="D55" s="26" t="s">
        <v>376</v>
      </c>
      <c r="E55" s="26" t="s">
        <v>377</v>
      </c>
      <c r="F55" s="26" t="n">
        <v>0</v>
      </c>
    </row>
    <row r="56" customFormat="false" ht="12.8" hidden="true" customHeight="false" outlineLevel="0" collapsed="false">
      <c r="A56" s="26" t="s">
        <v>342</v>
      </c>
      <c r="B56" s="26" t="n">
        <v>300.12</v>
      </c>
      <c r="C56" s="26" t="s">
        <v>378</v>
      </c>
      <c r="D56" s="26" t="s">
        <v>379</v>
      </c>
      <c r="E56" s="26" t="s">
        <v>380</v>
      </c>
      <c r="F56" s="26" t="s">
        <v>381</v>
      </c>
    </row>
    <row r="57" customFormat="false" ht="12.8" hidden="true" customHeight="false" outlineLevel="0" collapsed="false">
      <c r="A57" s="26" t="s">
        <v>342</v>
      </c>
      <c r="B57" s="26" t="n">
        <v>300.13</v>
      </c>
      <c r="C57" s="26" t="s">
        <v>382</v>
      </c>
      <c r="D57" s="26" t="s">
        <v>383</v>
      </c>
      <c r="E57" s="26" t="s">
        <v>384</v>
      </c>
      <c r="F57" s="26" t="s">
        <v>385</v>
      </c>
    </row>
    <row r="58" customFormat="false" ht="12.8" hidden="true" customHeight="false" outlineLevel="0" collapsed="false">
      <c r="A58" s="26" t="s">
        <v>342</v>
      </c>
      <c r="B58" s="26" t="n">
        <v>300.14</v>
      </c>
      <c r="C58" s="26" t="s">
        <v>386</v>
      </c>
      <c r="D58" s="26" t="s">
        <v>387</v>
      </c>
      <c r="E58" s="26" t="s">
        <v>388</v>
      </c>
      <c r="F58" s="26" t="s">
        <v>389</v>
      </c>
    </row>
    <row r="59" customFormat="false" ht="12.8" hidden="true" customHeight="false" outlineLevel="0" collapsed="false">
      <c r="A59" s="26" t="s">
        <v>342</v>
      </c>
      <c r="B59" s="26" t="n">
        <v>300.15</v>
      </c>
      <c r="C59" s="26" t="s">
        <v>390</v>
      </c>
      <c r="D59" s="26" t="s">
        <v>391</v>
      </c>
      <c r="E59" s="26" t="s">
        <v>392</v>
      </c>
      <c r="F59" s="26" t="s">
        <v>393</v>
      </c>
    </row>
    <row r="60" customFormat="false" ht="12.8" hidden="true" customHeight="false" outlineLevel="0" collapsed="false">
      <c r="A60" s="26" t="s">
        <v>342</v>
      </c>
      <c r="B60" s="26" t="n">
        <v>300.16</v>
      </c>
      <c r="C60" s="26" t="s">
        <v>394</v>
      </c>
      <c r="D60" s="26" t="s">
        <v>395</v>
      </c>
      <c r="E60" s="26" t="s">
        <v>396</v>
      </c>
      <c r="F60" s="26" t="s">
        <v>397</v>
      </c>
    </row>
    <row r="61" customFormat="false" ht="12.8" hidden="true" customHeight="false" outlineLevel="0" collapsed="false">
      <c r="A61" s="26" t="s">
        <v>342</v>
      </c>
      <c r="B61" s="26" t="n">
        <v>300.17</v>
      </c>
      <c r="C61" s="26" t="s">
        <v>398</v>
      </c>
      <c r="D61" s="26" t="s">
        <v>399</v>
      </c>
      <c r="E61" s="26" t="s">
        <v>400</v>
      </c>
      <c r="F61" s="26" t="s">
        <v>401</v>
      </c>
    </row>
    <row r="62" customFormat="false" ht="12.8" hidden="true" customHeight="false" outlineLevel="0" collapsed="false">
      <c r="A62" s="26" t="s">
        <v>342</v>
      </c>
      <c r="B62" s="26" t="n">
        <v>300.18</v>
      </c>
      <c r="C62" s="26" t="s">
        <v>402</v>
      </c>
      <c r="D62" s="26" t="s">
        <v>403</v>
      </c>
      <c r="E62" s="26" t="s">
        <v>367</v>
      </c>
      <c r="F62" s="26" t="s">
        <v>404</v>
      </c>
    </row>
    <row r="63" customFormat="false" ht="12.8" hidden="true" customHeight="false" outlineLevel="0" collapsed="false">
      <c r="A63" s="26" t="s">
        <v>342</v>
      </c>
      <c r="B63" s="26" t="n">
        <v>300.19</v>
      </c>
      <c r="C63" s="26" t="s">
        <v>405</v>
      </c>
      <c r="D63" s="26" t="s">
        <v>406</v>
      </c>
      <c r="E63" s="26" t="s">
        <v>367</v>
      </c>
      <c r="F63" s="26" t="s">
        <v>407</v>
      </c>
    </row>
    <row r="64" customFormat="false" ht="12.8" hidden="true" customHeight="false" outlineLevel="0" collapsed="false">
      <c r="A64" s="26" t="s">
        <v>342</v>
      </c>
      <c r="B64" s="26" t="n">
        <v>300.2</v>
      </c>
      <c r="C64" s="26" t="s">
        <v>408</v>
      </c>
      <c r="D64" s="26" t="s">
        <v>409</v>
      </c>
      <c r="E64" s="26" t="s">
        <v>410</v>
      </c>
      <c r="F64" s="26" t="s">
        <v>411</v>
      </c>
    </row>
    <row r="65" customFormat="false" ht="12.8" hidden="true" customHeight="false" outlineLevel="0" collapsed="false">
      <c r="A65" s="26" t="s">
        <v>342</v>
      </c>
      <c r="B65" s="26" t="n">
        <v>300.21</v>
      </c>
      <c r="C65" s="26" t="s">
        <v>412</v>
      </c>
      <c r="D65" s="26" t="s">
        <v>413</v>
      </c>
      <c r="E65" s="26" t="s">
        <v>414</v>
      </c>
      <c r="F65" s="26" t="s">
        <v>415</v>
      </c>
    </row>
    <row r="66" customFormat="false" ht="12.8" hidden="true" customHeight="false" outlineLevel="0" collapsed="false">
      <c r="A66" s="26" t="s">
        <v>289</v>
      </c>
      <c r="B66" s="26" t="n">
        <v>200</v>
      </c>
      <c r="C66" s="26" t="s">
        <v>416</v>
      </c>
      <c r="D66" s="26" t="s">
        <v>417</v>
      </c>
      <c r="E66" s="26" t="s">
        <v>418</v>
      </c>
      <c r="F66" s="26" t="s">
        <v>419</v>
      </c>
    </row>
    <row r="67" customFormat="false" ht="12.8" hidden="true" customHeight="false" outlineLevel="0" collapsed="false">
      <c r="A67" s="26" t="s">
        <v>289</v>
      </c>
      <c r="B67" s="26" t="n">
        <v>200</v>
      </c>
      <c r="C67" s="26" t="s">
        <v>420</v>
      </c>
      <c r="D67" s="26" t="s">
        <v>421</v>
      </c>
      <c r="E67" s="26" t="s">
        <v>191</v>
      </c>
      <c r="F67" s="26" t="s">
        <v>192</v>
      </c>
    </row>
    <row r="68" customFormat="false" ht="12.8" hidden="true" customHeight="false" outlineLevel="0" collapsed="false">
      <c r="A68" s="26" t="s">
        <v>289</v>
      </c>
      <c r="B68" s="26" t="n">
        <v>200.1</v>
      </c>
      <c r="C68" s="26" t="s">
        <v>422</v>
      </c>
      <c r="D68" s="26" t="s">
        <v>423</v>
      </c>
      <c r="E68" s="26" t="s">
        <v>191</v>
      </c>
      <c r="F68" s="26" t="s">
        <v>424</v>
      </c>
    </row>
    <row r="69" customFormat="false" ht="12.8" hidden="true" customHeight="false" outlineLevel="0" collapsed="false">
      <c r="A69" s="26" t="s">
        <v>289</v>
      </c>
      <c r="B69" s="26" t="n">
        <v>200.2</v>
      </c>
      <c r="C69" s="26" t="s">
        <v>425</v>
      </c>
      <c r="D69" s="26" t="s">
        <v>426</v>
      </c>
      <c r="E69" s="26" t="s">
        <v>191</v>
      </c>
      <c r="F69" s="26" t="s">
        <v>327</v>
      </c>
    </row>
    <row r="70" customFormat="false" ht="12.8" hidden="true" customHeight="false" outlineLevel="0" collapsed="false">
      <c r="A70" s="26" t="s">
        <v>289</v>
      </c>
      <c r="B70" s="26" t="n">
        <v>200.3</v>
      </c>
      <c r="C70" s="26" t="s">
        <v>427</v>
      </c>
      <c r="D70" s="26" t="s">
        <v>428</v>
      </c>
      <c r="E70" s="26" t="s">
        <v>191</v>
      </c>
      <c r="F70" s="26" t="s">
        <v>167</v>
      </c>
    </row>
    <row r="71" customFormat="false" ht="12.8" hidden="true" customHeight="false" outlineLevel="0" collapsed="false">
      <c r="A71" s="26" t="s">
        <v>289</v>
      </c>
      <c r="B71" s="26" t="n">
        <v>200.4</v>
      </c>
      <c r="C71" s="26" t="s">
        <v>429</v>
      </c>
      <c r="D71" s="26" t="s">
        <v>430</v>
      </c>
      <c r="E71" s="26" t="s">
        <v>191</v>
      </c>
      <c r="F71" s="26" t="s">
        <v>215</v>
      </c>
    </row>
    <row r="72" customFormat="false" ht="12.8" hidden="true" customHeight="false" outlineLevel="0" collapsed="false">
      <c r="A72" s="26" t="s">
        <v>289</v>
      </c>
      <c r="B72" s="26" t="n">
        <v>200.5</v>
      </c>
      <c r="C72" s="26" t="s">
        <v>431</v>
      </c>
      <c r="D72" s="26" t="s">
        <v>432</v>
      </c>
      <c r="E72" s="26" t="s">
        <v>191</v>
      </c>
      <c r="F72" s="26" t="s">
        <v>167</v>
      </c>
    </row>
    <row r="73" customFormat="false" ht="12.8" hidden="true" customHeight="false" outlineLevel="0" collapsed="false">
      <c r="A73" s="26" t="s">
        <v>289</v>
      </c>
      <c r="B73" s="26" t="n">
        <v>200.6</v>
      </c>
      <c r="C73" s="26" t="s">
        <v>433</v>
      </c>
      <c r="D73" s="26" t="s">
        <v>434</v>
      </c>
      <c r="E73" s="26" t="s">
        <v>191</v>
      </c>
      <c r="F73" s="26" t="s">
        <v>327</v>
      </c>
    </row>
    <row r="74" customFormat="false" ht="12.8" hidden="true" customHeight="false" outlineLevel="0" collapsed="false">
      <c r="A74" s="26" t="s">
        <v>289</v>
      </c>
      <c r="B74" s="26" t="n">
        <v>200.7</v>
      </c>
      <c r="C74" s="26" t="s">
        <v>435</v>
      </c>
      <c r="D74" s="26" t="s">
        <v>436</v>
      </c>
      <c r="E74" s="26" t="s">
        <v>191</v>
      </c>
      <c r="F74" s="26" t="s">
        <v>167</v>
      </c>
    </row>
    <row r="75" customFormat="false" ht="12.8" hidden="true" customHeight="false" outlineLevel="0" collapsed="false">
      <c r="A75" s="26" t="s">
        <v>289</v>
      </c>
      <c r="B75" s="26" t="n">
        <v>200.8</v>
      </c>
      <c r="C75" s="26" t="s">
        <v>437</v>
      </c>
      <c r="D75" s="26" t="s">
        <v>438</v>
      </c>
      <c r="E75" s="26" t="s">
        <v>191</v>
      </c>
      <c r="F75" s="26" t="s">
        <v>192</v>
      </c>
    </row>
    <row r="76" customFormat="false" ht="12.8" hidden="true" customHeight="false" outlineLevel="0" collapsed="false">
      <c r="A76" s="26" t="s">
        <v>289</v>
      </c>
      <c r="B76" s="26" t="n">
        <v>200.9</v>
      </c>
      <c r="C76" s="26" t="s">
        <v>439</v>
      </c>
      <c r="D76" s="26" t="s">
        <v>440</v>
      </c>
      <c r="E76" s="26" t="s">
        <v>191</v>
      </c>
      <c r="F76" s="26" t="s">
        <v>167</v>
      </c>
    </row>
    <row r="77" customFormat="false" ht="12.8" hidden="true" customHeight="false" outlineLevel="0" collapsed="false">
      <c r="A77" s="26" t="s">
        <v>289</v>
      </c>
      <c r="B77" s="26" t="n">
        <v>200.1</v>
      </c>
      <c r="C77" s="26" t="s">
        <v>441</v>
      </c>
      <c r="D77" s="26" t="s">
        <v>442</v>
      </c>
      <c r="E77" s="26" t="s">
        <v>191</v>
      </c>
      <c r="F77" s="26" t="s">
        <v>327</v>
      </c>
    </row>
    <row r="78" customFormat="false" ht="12.8" hidden="true" customHeight="false" outlineLevel="0" collapsed="false">
      <c r="A78" s="26" t="s">
        <v>289</v>
      </c>
      <c r="B78" s="26" t="n">
        <v>200.11</v>
      </c>
      <c r="C78" s="26" t="s">
        <v>443</v>
      </c>
      <c r="D78" s="26" t="s">
        <v>444</v>
      </c>
      <c r="E78" s="26" t="s">
        <v>191</v>
      </c>
      <c r="F78" s="26" t="s">
        <v>167</v>
      </c>
    </row>
    <row r="79" customFormat="false" ht="12.8" hidden="true" customHeight="false" outlineLevel="0" collapsed="false">
      <c r="A79" s="26" t="s">
        <v>289</v>
      </c>
      <c r="B79" s="26" t="n">
        <v>200.12</v>
      </c>
      <c r="C79" s="26" t="s">
        <v>445</v>
      </c>
      <c r="D79" s="26" t="s">
        <v>446</v>
      </c>
      <c r="E79" s="26" t="s">
        <v>191</v>
      </c>
      <c r="F79" s="26" t="s">
        <v>215</v>
      </c>
    </row>
    <row r="80" customFormat="false" ht="12.8" hidden="true" customHeight="false" outlineLevel="0" collapsed="false">
      <c r="A80" s="26" t="s">
        <v>289</v>
      </c>
      <c r="B80" s="26" t="n">
        <v>200.13</v>
      </c>
      <c r="C80" s="26" t="s">
        <v>447</v>
      </c>
      <c r="D80" s="26" t="s">
        <v>448</v>
      </c>
      <c r="E80" s="26" t="s">
        <v>191</v>
      </c>
      <c r="F80" s="26" t="s">
        <v>167</v>
      </c>
    </row>
    <row r="81" customFormat="false" ht="12.8" hidden="true" customHeight="false" outlineLevel="0" collapsed="false">
      <c r="A81" s="26" t="s">
        <v>289</v>
      </c>
      <c r="B81" s="26" t="n">
        <v>200.14</v>
      </c>
      <c r="C81" s="26" t="s">
        <v>449</v>
      </c>
      <c r="D81" s="26" t="s">
        <v>450</v>
      </c>
      <c r="E81" s="26" t="s">
        <v>191</v>
      </c>
      <c r="F81" s="26" t="s">
        <v>327</v>
      </c>
    </row>
    <row r="82" customFormat="false" ht="12.8" hidden="true" customHeight="false" outlineLevel="0" collapsed="false">
      <c r="A82" s="26" t="s">
        <v>289</v>
      </c>
      <c r="B82" s="26" t="n">
        <v>200.15</v>
      </c>
      <c r="C82" s="26" t="s">
        <v>451</v>
      </c>
      <c r="D82" s="26" t="s">
        <v>452</v>
      </c>
      <c r="E82" s="26" t="s">
        <v>191</v>
      </c>
      <c r="F82" s="26" t="s">
        <v>167</v>
      </c>
    </row>
    <row r="83" customFormat="false" ht="12.8" hidden="true" customHeight="false" outlineLevel="0" collapsed="false">
      <c r="A83" s="26" t="s">
        <v>289</v>
      </c>
      <c r="B83" s="26" t="n">
        <v>200.16</v>
      </c>
      <c r="C83" s="26" t="s">
        <v>453</v>
      </c>
      <c r="D83" s="26" t="s">
        <v>454</v>
      </c>
      <c r="E83" s="26" t="s">
        <v>191</v>
      </c>
      <c r="F83" s="26" t="s">
        <v>215</v>
      </c>
    </row>
    <row r="84" customFormat="false" ht="12.8" hidden="true" customHeight="false" outlineLevel="0" collapsed="false">
      <c r="A84" s="26" t="s">
        <v>289</v>
      </c>
      <c r="B84" s="26" t="n">
        <v>200.17</v>
      </c>
      <c r="C84" s="26" t="s">
        <v>455</v>
      </c>
      <c r="D84" s="26" t="s">
        <v>456</v>
      </c>
      <c r="E84" s="26" t="s">
        <v>191</v>
      </c>
      <c r="F84" s="26" t="s">
        <v>167</v>
      </c>
    </row>
    <row r="85" customFormat="false" ht="12.8" hidden="true" customHeight="false" outlineLevel="0" collapsed="false">
      <c r="A85" s="26" t="s">
        <v>289</v>
      </c>
      <c r="B85" s="26" t="n">
        <v>200.18</v>
      </c>
      <c r="C85" s="26" t="s">
        <v>457</v>
      </c>
      <c r="D85" s="26" t="s">
        <v>458</v>
      </c>
      <c r="E85" s="26" t="s">
        <v>191</v>
      </c>
      <c r="F85" s="26" t="s">
        <v>167</v>
      </c>
    </row>
    <row r="86" customFormat="false" ht="12.8" hidden="true" customHeight="false" outlineLevel="0" collapsed="false">
      <c r="A86" s="26" t="s">
        <v>289</v>
      </c>
      <c r="B86" s="26" t="n">
        <v>200.19</v>
      </c>
      <c r="C86" s="26" t="s">
        <v>459</v>
      </c>
      <c r="D86" s="26" t="s">
        <v>460</v>
      </c>
      <c r="E86" s="26" t="s">
        <v>191</v>
      </c>
      <c r="F86" s="26" t="s">
        <v>167</v>
      </c>
    </row>
    <row r="87" customFormat="false" ht="12.8" hidden="true" customHeight="false" outlineLevel="0" collapsed="false">
      <c r="A87" s="26" t="s">
        <v>289</v>
      </c>
      <c r="B87" s="26" t="n">
        <v>200.2</v>
      </c>
      <c r="C87" s="26" t="s">
        <v>461</v>
      </c>
      <c r="D87" s="26" t="s">
        <v>462</v>
      </c>
      <c r="E87" s="26" t="s">
        <v>191</v>
      </c>
      <c r="F87" s="26" t="s">
        <v>215</v>
      </c>
    </row>
    <row r="88" customFormat="false" ht="12.8" hidden="true" customHeight="false" outlineLevel="0" collapsed="false">
      <c r="A88" s="26" t="s">
        <v>289</v>
      </c>
      <c r="B88" s="26" t="n">
        <v>200.21</v>
      </c>
      <c r="C88" s="26" t="s">
        <v>463</v>
      </c>
      <c r="D88" s="26" t="s">
        <v>464</v>
      </c>
      <c r="E88" s="26" t="s">
        <v>191</v>
      </c>
      <c r="F88" s="26" t="s">
        <v>167</v>
      </c>
    </row>
    <row r="89" customFormat="false" ht="12.8" hidden="true" customHeight="false" outlineLevel="0" collapsed="false">
      <c r="A89" s="26" t="s">
        <v>289</v>
      </c>
      <c r="B89" s="26" t="n">
        <v>200.22</v>
      </c>
      <c r="C89" s="26" t="s">
        <v>465</v>
      </c>
      <c r="D89" s="26" t="s">
        <v>466</v>
      </c>
      <c r="E89" s="26" t="s">
        <v>191</v>
      </c>
      <c r="F89" s="26" t="s">
        <v>167</v>
      </c>
    </row>
    <row r="90" customFormat="false" ht="12.8" hidden="true" customHeight="false" outlineLevel="0" collapsed="false">
      <c r="A90" s="26" t="s">
        <v>289</v>
      </c>
      <c r="B90" s="26" t="n">
        <v>200.23</v>
      </c>
      <c r="C90" s="26" t="s">
        <v>467</v>
      </c>
      <c r="D90" s="26" t="s">
        <v>468</v>
      </c>
      <c r="E90" s="26" t="s">
        <v>191</v>
      </c>
      <c r="F90" s="26" t="s">
        <v>167</v>
      </c>
    </row>
    <row r="91" customFormat="false" ht="12.8" hidden="true" customHeight="false" outlineLevel="0" collapsed="false">
      <c r="A91" s="26" t="s">
        <v>289</v>
      </c>
      <c r="B91" s="26" t="n">
        <v>200.24</v>
      </c>
      <c r="C91" s="26" t="s">
        <v>469</v>
      </c>
      <c r="D91" s="26" t="s">
        <v>470</v>
      </c>
      <c r="E91" s="26" t="s">
        <v>191</v>
      </c>
      <c r="F91" s="26" t="s">
        <v>471</v>
      </c>
    </row>
    <row r="92" customFormat="false" ht="12.8" hidden="true" customHeight="false" outlineLevel="0" collapsed="false">
      <c r="A92" s="26" t="s">
        <v>289</v>
      </c>
      <c r="B92" s="26" t="n">
        <v>200.25</v>
      </c>
      <c r="C92" s="26" t="s">
        <v>472</v>
      </c>
      <c r="D92" s="26" t="s">
        <v>473</v>
      </c>
      <c r="E92" s="26" t="s">
        <v>191</v>
      </c>
      <c r="F92" s="26" t="s">
        <v>167</v>
      </c>
    </row>
    <row r="93" customFormat="false" ht="12.8" hidden="true" customHeight="false" outlineLevel="0" collapsed="false">
      <c r="A93" s="26" t="s">
        <v>289</v>
      </c>
      <c r="B93" s="26" t="n">
        <v>200.26</v>
      </c>
      <c r="C93" s="26" t="s">
        <v>474</v>
      </c>
      <c r="D93" s="26" t="s">
        <v>475</v>
      </c>
      <c r="E93" s="26" t="s">
        <v>191</v>
      </c>
      <c r="F93" s="26" t="s">
        <v>167</v>
      </c>
    </row>
    <row r="94" customFormat="false" ht="12.8" hidden="true" customHeight="false" outlineLevel="0" collapsed="false">
      <c r="A94" s="26" t="s">
        <v>289</v>
      </c>
      <c r="B94" s="26" t="n">
        <v>200.27</v>
      </c>
      <c r="C94" s="26" t="s">
        <v>476</v>
      </c>
      <c r="D94" s="26" t="s">
        <v>477</v>
      </c>
      <c r="E94" s="26" t="s">
        <v>191</v>
      </c>
      <c r="F94" s="26" t="s">
        <v>167</v>
      </c>
    </row>
    <row r="95" customFormat="false" ht="12.8" hidden="true" customHeight="false" outlineLevel="0" collapsed="false">
      <c r="A95" s="26" t="s">
        <v>478</v>
      </c>
      <c r="B95" s="26" t="n">
        <v>400</v>
      </c>
      <c r="C95" s="26" t="s">
        <v>479</v>
      </c>
      <c r="D95" s="26" t="s">
        <v>480</v>
      </c>
      <c r="E95" s="26" t="s">
        <v>481</v>
      </c>
      <c r="F95" s="26" t="s">
        <v>482</v>
      </c>
    </row>
    <row r="96" customFormat="false" ht="12.8" hidden="true" customHeight="false" outlineLevel="0" collapsed="false">
      <c r="A96" s="26" t="s">
        <v>478</v>
      </c>
      <c r="B96" s="26" t="n">
        <v>400</v>
      </c>
      <c r="C96" s="26" t="s">
        <v>483</v>
      </c>
      <c r="D96" s="26" t="s">
        <v>480</v>
      </c>
      <c r="E96" s="26" t="s">
        <v>484</v>
      </c>
      <c r="F96" s="26" t="s">
        <v>215</v>
      </c>
    </row>
    <row r="97" customFormat="false" ht="12.8" hidden="true" customHeight="false" outlineLevel="0" collapsed="false">
      <c r="A97" s="26" t="s">
        <v>478</v>
      </c>
      <c r="B97" s="26" t="n">
        <v>400.1</v>
      </c>
      <c r="C97" s="26" t="s">
        <v>485</v>
      </c>
      <c r="D97" s="26" t="s">
        <v>486</v>
      </c>
      <c r="E97" s="26" t="s">
        <v>487</v>
      </c>
      <c r="F97" s="26" t="s">
        <v>215</v>
      </c>
    </row>
    <row r="98" customFormat="false" ht="12.8" hidden="true" customHeight="false" outlineLevel="0" collapsed="false">
      <c r="A98" s="26" t="s">
        <v>478</v>
      </c>
      <c r="B98" s="26" t="n">
        <v>400.2</v>
      </c>
      <c r="C98" s="26" t="s">
        <v>488</v>
      </c>
      <c r="D98" s="26" t="s">
        <v>489</v>
      </c>
      <c r="E98" s="26" t="s">
        <v>490</v>
      </c>
      <c r="F98" s="26" t="s">
        <v>327</v>
      </c>
    </row>
    <row r="99" customFormat="false" ht="12.8" hidden="true" customHeight="false" outlineLevel="0" collapsed="false">
      <c r="A99" s="26" t="s">
        <v>478</v>
      </c>
      <c r="B99" s="26" t="n">
        <v>400.3</v>
      </c>
      <c r="C99" s="26" t="s">
        <v>491</v>
      </c>
      <c r="D99" s="26" t="s">
        <v>492</v>
      </c>
      <c r="E99" s="26" t="s">
        <v>493</v>
      </c>
      <c r="F99" s="26" t="s">
        <v>327</v>
      </c>
    </row>
    <row r="100" customFormat="false" ht="12.8" hidden="true" customHeight="false" outlineLevel="0" collapsed="false">
      <c r="A100" s="26" t="s">
        <v>478</v>
      </c>
      <c r="B100" s="26" t="n">
        <v>400.4</v>
      </c>
      <c r="C100" s="26" t="s">
        <v>494</v>
      </c>
      <c r="D100" s="26" t="s">
        <v>495</v>
      </c>
      <c r="E100" s="26" t="s">
        <v>496</v>
      </c>
      <c r="F100" s="26" t="s">
        <v>327</v>
      </c>
    </row>
    <row r="101" customFormat="false" ht="12.8" hidden="true" customHeight="false" outlineLevel="0" collapsed="false">
      <c r="A101" s="26" t="s">
        <v>478</v>
      </c>
      <c r="B101" s="26" t="n">
        <v>400.5</v>
      </c>
      <c r="C101" s="26" t="s">
        <v>497</v>
      </c>
      <c r="D101" s="26" t="s">
        <v>498</v>
      </c>
      <c r="E101" s="26" t="s">
        <v>499</v>
      </c>
      <c r="F101" s="26" t="s">
        <v>500</v>
      </c>
    </row>
    <row r="102" customFormat="false" ht="12.8" hidden="true" customHeight="false" outlineLevel="0" collapsed="false">
      <c r="A102" s="26" t="s">
        <v>478</v>
      </c>
      <c r="B102" s="26" t="n">
        <v>400.6</v>
      </c>
      <c r="C102" s="26" t="s">
        <v>501</v>
      </c>
      <c r="D102" s="26" t="s">
        <v>502</v>
      </c>
      <c r="E102" s="26" t="s">
        <v>503</v>
      </c>
      <c r="F102" s="26" t="s">
        <v>327</v>
      </c>
    </row>
    <row r="103" customFormat="false" ht="12.8" hidden="true" customHeight="false" outlineLevel="0" collapsed="false">
      <c r="A103" s="26" t="s">
        <v>478</v>
      </c>
      <c r="B103" s="26" t="n">
        <v>400.7</v>
      </c>
      <c r="C103" s="26" t="s">
        <v>504</v>
      </c>
      <c r="D103" s="26" t="s">
        <v>505</v>
      </c>
      <c r="E103" s="26" t="s">
        <v>506</v>
      </c>
      <c r="F103" s="26" t="s">
        <v>507</v>
      </c>
    </row>
    <row r="104" customFormat="false" ht="12.8" hidden="true" customHeight="false" outlineLevel="0" collapsed="false">
      <c r="A104" s="26" t="s">
        <v>478</v>
      </c>
      <c r="B104" s="26" t="n">
        <v>400.8</v>
      </c>
      <c r="C104" s="26" t="s">
        <v>508</v>
      </c>
      <c r="D104" s="26" t="s">
        <v>509</v>
      </c>
      <c r="E104" s="26" t="s">
        <v>510</v>
      </c>
      <c r="F104" s="26" t="s">
        <v>511</v>
      </c>
    </row>
    <row r="105" customFormat="false" ht="12.8" hidden="true" customHeight="false" outlineLevel="0" collapsed="false">
      <c r="A105" s="26" t="s">
        <v>478</v>
      </c>
      <c r="B105" s="26" t="n">
        <v>400.9</v>
      </c>
      <c r="C105" s="26" t="s">
        <v>512</v>
      </c>
      <c r="D105" s="26" t="s">
        <v>513</v>
      </c>
      <c r="E105" s="26" t="s">
        <v>514</v>
      </c>
      <c r="F105" s="26" t="s">
        <v>327</v>
      </c>
    </row>
    <row r="106" customFormat="false" ht="12.8" hidden="true" customHeight="false" outlineLevel="0" collapsed="false">
      <c r="A106" s="26" t="s">
        <v>478</v>
      </c>
      <c r="B106" s="26" t="n">
        <v>400.11</v>
      </c>
      <c r="C106" s="26" t="s">
        <v>515</v>
      </c>
      <c r="D106" s="26" t="s">
        <v>516</v>
      </c>
      <c r="E106" s="26" t="s">
        <v>517</v>
      </c>
      <c r="F106" s="26" t="s">
        <v>215</v>
      </c>
    </row>
    <row r="107" customFormat="false" ht="12.8" hidden="true" customHeight="false" outlineLevel="0" collapsed="false">
      <c r="A107" s="26" t="s">
        <v>518</v>
      </c>
      <c r="B107" s="26" t="n">
        <v>500</v>
      </c>
      <c r="C107" s="26" t="s">
        <v>519</v>
      </c>
      <c r="D107" s="26" t="s">
        <v>520</v>
      </c>
      <c r="E107" s="26" t="s">
        <v>521</v>
      </c>
      <c r="F107" s="26" t="s">
        <v>522</v>
      </c>
    </row>
    <row r="108" customFormat="false" ht="12.8" hidden="true" customHeight="false" outlineLevel="0" collapsed="false">
      <c r="A108" s="26" t="s">
        <v>518</v>
      </c>
      <c r="B108" s="26" t="n">
        <v>500.1</v>
      </c>
      <c r="C108" s="26" t="s">
        <v>523</v>
      </c>
      <c r="D108" s="26" t="s">
        <v>524</v>
      </c>
      <c r="E108" s="26" t="s">
        <v>525</v>
      </c>
      <c r="F108" s="26" t="s">
        <v>526</v>
      </c>
    </row>
    <row r="109" customFormat="false" ht="12.8" hidden="true" customHeight="false" outlineLevel="0" collapsed="false">
      <c r="A109" s="26" t="s">
        <v>518</v>
      </c>
      <c r="B109" s="26" t="n">
        <v>500.2</v>
      </c>
      <c r="C109" s="26" t="s">
        <v>527</v>
      </c>
      <c r="D109" s="26" t="s">
        <v>528</v>
      </c>
      <c r="E109" s="26" t="s">
        <v>529</v>
      </c>
      <c r="F109" s="26" t="s">
        <v>530</v>
      </c>
    </row>
    <row r="110" customFormat="false" ht="12.8" hidden="true" customHeight="false" outlineLevel="0" collapsed="false">
      <c r="A110" s="26" t="s">
        <v>518</v>
      </c>
      <c r="B110" s="26" t="n">
        <v>500.3</v>
      </c>
      <c r="C110" s="26" t="s">
        <v>531</v>
      </c>
      <c r="D110" s="26" t="s">
        <v>532</v>
      </c>
      <c r="E110" s="26" t="s">
        <v>533</v>
      </c>
      <c r="F110" s="26" t="s">
        <v>534</v>
      </c>
    </row>
    <row r="111" customFormat="false" ht="15" hidden="false" customHeight="false" outlineLevel="0" collapsed="false">
      <c r="A111" s="37" t="s">
        <v>535</v>
      </c>
    </row>
    <row r="112" customFormat="false" ht="12.8" hidden="false" customHeight="false" outlineLevel="0" collapsed="false">
      <c r="A112" s="36" t="s">
        <v>536</v>
      </c>
      <c r="B112" s="26" t="s">
        <v>537</v>
      </c>
      <c r="C112" s="26" t="s">
        <v>538</v>
      </c>
      <c r="D112" s="0" t="s">
        <v>539</v>
      </c>
      <c r="E112" s="0" t="s">
        <v>540</v>
      </c>
      <c r="F112" s="0" t="s">
        <v>541</v>
      </c>
    </row>
    <row r="113" customFormat="false" ht="12.8" hidden="false" customHeight="false" outlineLevel="0" collapsed="false">
      <c r="A113" s="36" t="s">
        <v>164</v>
      </c>
      <c r="B113" s="26" t="s">
        <v>165</v>
      </c>
      <c r="C113" s="26" t="s">
        <v>166</v>
      </c>
      <c r="F113" s="0" t="s">
        <v>167</v>
      </c>
      <c r="G113" s="0" t="s">
        <v>167</v>
      </c>
      <c r="H113" s="0" t="s">
        <v>167</v>
      </c>
    </row>
    <row r="114" customFormat="false" ht="12.8" hidden="false" customHeight="false" outlineLevel="0" collapsed="false">
      <c r="A114" s="36" t="s">
        <v>164</v>
      </c>
      <c r="B114" s="26" t="s">
        <v>168</v>
      </c>
      <c r="C114" s="26" t="s">
        <v>169</v>
      </c>
      <c r="D114" s="0" t="s">
        <v>170</v>
      </c>
      <c r="E114" s="0" t="s">
        <v>171</v>
      </c>
      <c r="F114" s="0" t="s">
        <v>172</v>
      </c>
    </row>
    <row r="115" customFormat="false" ht="12.8" hidden="false" customHeight="false" outlineLevel="0" collapsed="false">
      <c r="A115" s="36" t="s">
        <v>164</v>
      </c>
      <c r="B115" s="26" t="s">
        <v>173</v>
      </c>
      <c r="C115" s="26" t="s">
        <v>174</v>
      </c>
      <c r="D115" s="0" t="s">
        <v>175</v>
      </c>
      <c r="E115" s="0" t="s">
        <v>176</v>
      </c>
      <c r="F115" s="0" t="s">
        <v>177</v>
      </c>
    </row>
    <row r="116" customFormat="false" ht="12.8" hidden="false" customHeight="false" outlineLevel="0" collapsed="false">
      <c r="A116" s="36" t="s">
        <v>164</v>
      </c>
      <c r="B116" s="26" t="s">
        <v>178</v>
      </c>
      <c r="C116" s="26" t="s">
        <v>179</v>
      </c>
      <c r="D116" s="0" t="s">
        <v>180</v>
      </c>
      <c r="E116" s="0" t="s">
        <v>181</v>
      </c>
      <c r="F116" s="0" t="s">
        <v>182</v>
      </c>
    </row>
    <row r="117" customFormat="false" ht="12.8" hidden="false" customHeight="false" outlineLevel="0" collapsed="false">
      <c r="A117" s="36" t="s">
        <v>164</v>
      </c>
      <c r="B117" s="26" t="s">
        <v>183</v>
      </c>
      <c r="C117" s="26" t="s">
        <v>184</v>
      </c>
      <c r="D117" s="0" t="s">
        <v>185</v>
      </c>
      <c r="E117" s="0" t="s">
        <v>186</v>
      </c>
      <c r="F117" s="0" t="s">
        <v>187</v>
      </c>
    </row>
    <row r="118" customFormat="false" ht="12.8" hidden="false" customHeight="false" outlineLevel="0" collapsed="false">
      <c r="A118" s="36" t="s">
        <v>164</v>
      </c>
      <c r="B118" s="26" t="s">
        <v>188</v>
      </c>
      <c r="C118" s="26" t="s">
        <v>189</v>
      </c>
      <c r="D118" s="0" t="s">
        <v>190</v>
      </c>
      <c r="E118" s="0" t="s">
        <v>191</v>
      </c>
      <c r="F118" s="0" t="s">
        <v>192</v>
      </c>
    </row>
    <row r="119" customFormat="false" ht="12.8" hidden="false" customHeight="false" outlineLevel="0" collapsed="false">
      <c r="A119" s="36" t="s">
        <v>231</v>
      </c>
      <c r="B119" s="26" t="s">
        <v>232</v>
      </c>
      <c r="C119" s="26" t="s">
        <v>233</v>
      </c>
      <c r="D119" s="0" t="s">
        <v>234</v>
      </c>
      <c r="E119" s="0" t="s">
        <v>235</v>
      </c>
      <c r="F119" s="0" t="s">
        <v>236</v>
      </c>
    </row>
    <row r="120" customFormat="false" ht="12.8" hidden="false" customHeight="false" outlineLevel="0" collapsed="false">
      <c r="A120" s="36" t="s">
        <v>289</v>
      </c>
      <c r="B120" s="26" t="s">
        <v>290</v>
      </c>
      <c r="C120" s="26" t="s">
        <v>291</v>
      </c>
      <c r="D120" s="0" t="s">
        <v>292</v>
      </c>
      <c r="E120" s="0" t="s">
        <v>293</v>
      </c>
      <c r="F120" s="0" t="s">
        <v>294</v>
      </c>
    </row>
    <row r="121" customFormat="false" ht="12.8" hidden="false" customHeight="false" outlineLevel="0" collapsed="false">
      <c r="A121" s="36" t="s">
        <v>289</v>
      </c>
      <c r="B121" s="26" t="s">
        <v>295</v>
      </c>
      <c r="C121" s="26" t="s">
        <v>296</v>
      </c>
      <c r="D121" s="0" t="s">
        <v>297</v>
      </c>
      <c r="E121" s="0" t="s">
        <v>298</v>
      </c>
      <c r="F121" s="0" t="s">
        <v>299</v>
      </c>
    </row>
    <row r="122" customFormat="false" ht="12.8" hidden="false" customHeight="false" outlineLevel="0" collapsed="false">
      <c r="A122" s="36" t="s">
        <v>289</v>
      </c>
      <c r="B122" s="26" t="s">
        <v>300</v>
      </c>
      <c r="C122" s="26" t="s">
        <v>301</v>
      </c>
      <c r="D122" s="0" t="s">
        <v>302</v>
      </c>
      <c r="E122" s="0" t="s">
        <v>303</v>
      </c>
      <c r="F122" s="0" t="s">
        <v>304</v>
      </c>
    </row>
    <row r="123" customFormat="false" ht="12.8" hidden="false" customHeight="false" outlineLevel="0" collapsed="false">
      <c r="A123" s="36" t="s">
        <v>289</v>
      </c>
      <c r="B123" s="26" t="s">
        <v>305</v>
      </c>
      <c r="C123" s="26" t="s">
        <v>306</v>
      </c>
      <c r="D123" s="0" t="s">
        <v>307</v>
      </c>
      <c r="E123" s="0" t="s">
        <v>308</v>
      </c>
      <c r="F123" s="0" t="s">
        <v>224</v>
      </c>
    </row>
    <row r="124" customFormat="false" ht="12.8" hidden="false" customHeight="false" outlineLevel="0" collapsed="false">
      <c r="A124" s="36" t="s">
        <v>342</v>
      </c>
      <c r="B124" s="26" t="n">
        <v>300</v>
      </c>
      <c r="C124" s="26" t="s">
        <v>343</v>
      </c>
      <c r="D124" s="0" t="s">
        <v>344</v>
      </c>
      <c r="E124" s="0" t="s">
        <v>345</v>
      </c>
      <c r="F124" s="0" t="s">
        <v>346</v>
      </c>
    </row>
    <row r="125" customFormat="false" ht="12.8" hidden="false" customHeight="false" outlineLevel="0" collapsed="false">
      <c r="A125" s="36" t="s">
        <v>342</v>
      </c>
      <c r="B125" s="26" t="n">
        <v>300</v>
      </c>
      <c r="C125" s="26" t="s">
        <v>347</v>
      </c>
      <c r="D125" s="0" t="s">
        <v>348</v>
      </c>
      <c r="E125" s="0" t="s">
        <v>349</v>
      </c>
      <c r="F125" s="0" t="n">
        <v>0</v>
      </c>
    </row>
    <row r="126" customFormat="false" ht="12.8" hidden="false" customHeight="false" outlineLevel="0" collapsed="false">
      <c r="A126" s="36" t="s">
        <v>342</v>
      </c>
      <c r="B126" s="26" t="n">
        <v>300.1</v>
      </c>
      <c r="C126" s="26" t="s">
        <v>350</v>
      </c>
      <c r="D126" s="0" t="s">
        <v>351</v>
      </c>
      <c r="E126" s="0" t="s">
        <v>352</v>
      </c>
      <c r="F126" s="0" t="s">
        <v>353</v>
      </c>
    </row>
    <row r="127" customFormat="false" ht="12.8" hidden="false" customHeight="false" outlineLevel="0" collapsed="false">
      <c r="A127" s="36" t="s">
        <v>342</v>
      </c>
      <c r="B127" s="26" t="n">
        <v>300.2</v>
      </c>
      <c r="C127" s="26" t="s">
        <v>354</v>
      </c>
      <c r="D127" s="0" t="s">
        <v>355</v>
      </c>
      <c r="E127" s="0" t="s">
        <v>356</v>
      </c>
      <c r="F127" s="0" t="s">
        <v>357</v>
      </c>
    </row>
    <row r="128" customFormat="false" ht="12.8" hidden="false" customHeight="false" outlineLevel="0" collapsed="false">
      <c r="A128" s="36" t="s">
        <v>342</v>
      </c>
      <c r="B128" s="26" t="n">
        <v>300.3</v>
      </c>
      <c r="C128" s="26" t="s">
        <v>358</v>
      </c>
      <c r="D128" s="0" t="s">
        <v>359</v>
      </c>
      <c r="E128" s="0" t="s">
        <v>360</v>
      </c>
      <c r="F128" s="0" t="s">
        <v>361</v>
      </c>
    </row>
    <row r="129" customFormat="false" ht="12.8" hidden="false" customHeight="false" outlineLevel="0" collapsed="false">
      <c r="A129" s="36" t="s">
        <v>342</v>
      </c>
      <c r="B129" s="26" t="n">
        <v>300.6</v>
      </c>
      <c r="C129" s="26" t="s">
        <v>362</v>
      </c>
      <c r="D129" s="0" t="s">
        <v>363</v>
      </c>
      <c r="E129" s="0" t="s">
        <v>364</v>
      </c>
      <c r="F129" s="0" t="n">
        <v>0</v>
      </c>
    </row>
    <row r="130" customFormat="false" ht="12.8" hidden="false" customHeight="false" outlineLevel="0" collapsed="false">
      <c r="A130" s="36" t="s">
        <v>342</v>
      </c>
      <c r="B130" s="26" t="n">
        <v>300.11</v>
      </c>
      <c r="C130" s="26" t="s">
        <v>375</v>
      </c>
      <c r="D130" s="0" t="s">
        <v>376</v>
      </c>
      <c r="E130" s="0" t="s">
        <v>377</v>
      </c>
      <c r="F130" s="0" t="n">
        <v>0</v>
      </c>
    </row>
    <row r="131" customFormat="false" ht="12.8" hidden="false" customHeight="false" outlineLevel="0" collapsed="false">
      <c r="A131" s="36" t="s">
        <v>342</v>
      </c>
      <c r="B131" s="26" t="n">
        <v>300.1</v>
      </c>
      <c r="C131" s="26" t="s">
        <v>371</v>
      </c>
      <c r="D131" s="0" t="s">
        <v>372</v>
      </c>
      <c r="E131" s="0" t="s">
        <v>373</v>
      </c>
      <c r="F131" s="0" t="s">
        <v>374</v>
      </c>
    </row>
    <row r="132" customFormat="false" ht="12.8" hidden="false" customHeight="false" outlineLevel="0" collapsed="false">
      <c r="A132" s="36" t="s">
        <v>342</v>
      </c>
      <c r="B132" s="26" t="n">
        <v>300.2</v>
      </c>
      <c r="C132" s="26" t="s">
        <v>408</v>
      </c>
      <c r="D132" s="0" t="s">
        <v>409</v>
      </c>
      <c r="E132" s="0" t="s">
        <v>410</v>
      </c>
      <c r="F132" s="0" t="s">
        <v>411</v>
      </c>
    </row>
    <row r="133" customFormat="false" ht="12.8" hidden="false" customHeight="false" outlineLevel="0" collapsed="false">
      <c r="A133" s="36" t="s">
        <v>342</v>
      </c>
      <c r="B133" s="26" t="n">
        <v>300.21</v>
      </c>
      <c r="C133" s="26" t="s">
        <v>412</v>
      </c>
      <c r="D133" s="0" t="s">
        <v>413</v>
      </c>
      <c r="E133" s="0" t="s">
        <v>414</v>
      </c>
      <c r="F133" s="0" t="s">
        <v>415</v>
      </c>
    </row>
    <row r="134" customFormat="false" ht="12.8" hidden="false" customHeight="false" outlineLevel="0" collapsed="false">
      <c r="A134" s="36" t="s">
        <v>518</v>
      </c>
      <c r="B134" s="26" t="n">
        <v>500</v>
      </c>
      <c r="C134" s="26" t="s">
        <v>519</v>
      </c>
      <c r="D134" s="0" t="s">
        <v>520</v>
      </c>
      <c r="E134" s="0" t="s">
        <v>521</v>
      </c>
      <c r="F134" s="0" t="s">
        <v>522</v>
      </c>
    </row>
    <row r="135" customFormat="false" ht="12.8" hidden="false" customHeight="false" outlineLevel="0" collapsed="false">
      <c r="A135" s="36" t="s">
        <v>518</v>
      </c>
      <c r="B135" s="26" t="n">
        <v>500.1</v>
      </c>
      <c r="C135" s="26" t="s">
        <v>523</v>
      </c>
      <c r="D135" s="0" t="s">
        <v>524</v>
      </c>
      <c r="E135" s="0" t="s">
        <v>525</v>
      </c>
      <c r="F135" s="0" t="s">
        <v>526</v>
      </c>
    </row>
    <row r="136" customFormat="false" ht="12.8" hidden="false" customHeight="false" outlineLevel="0" collapsed="false">
      <c r="A136" s="36" t="s">
        <v>518</v>
      </c>
      <c r="B136" s="26" t="n">
        <v>500.2</v>
      </c>
      <c r="C136" s="26" t="s">
        <v>527</v>
      </c>
      <c r="D136" s="0" t="s">
        <v>528</v>
      </c>
      <c r="E136" s="0" t="s">
        <v>529</v>
      </c>
      <c r="F136" s="0" t="s">
        <v>530</v>
      </c>
    </row>
    <row r="137" customFormat="false" ht="12.8" hidden="false" customHeight="false" outlineLevel="0" collapsed="false">
      <c r="A137" s="36" t="s">
        <v>518</v>
      </c>
      <c r="B137" s="26" t="n">
        <v>500.3</v>
      </c>
      <c r="C137" s="26" t="s">
        <v>531</v>
      </c>
      <c r="D137" s="0" t="s">
        <v>532</v>
      </c>
      <c r="E137" s="0" t="s">
        <v>533</v>
      </c>
      <c r="F137" s="0" t="s">
        <v>534</v>
      </c>
    </row>
    <row r="138" customFormat="false" ht="12.8" hidden="false" customHeight="false" outlineLevel="0" collapsed="false">
      <c r="A138" s="36" t="s">
        <v>542</v>
      </c>
      <c r="B138" s="26" t="s">
        <v>543</v>
      </c>
      <c r="C138" s="26" t="s">
        <v>544</v>
      </c>
      <c r="D138" s="0" t="s">
        <v>545</v>
      </c>
      <c r="E138" s="0" t="s">
        <v>546</v>
      </c>
      <c r="F138" s="0" t="s">
        <v>547</v>
      </c>
    </row>
    <row r="139" customFormat="false" ht="12.8" hidden="false" customHeight="false" outlineLevel="0" collapsed="false">
      <c r="A139" s="36" t="s">
        <v>548</v>
      </c>
      <c r="B139" s="26" t="s">
        <v>549</v>
      </c>
      <c r="C139" s="26" t="s">
        <v>550</v>
      </c>
      <c r="D139" s="0" t="s">
        <v>551</v>
      </c>
      <c r="E139" s="0" t="s">
        <v>552</v>
      </c>
      <c r="F139" s="0" t="s">
        <v>553</v>
      </c>
    </row>
    <row r="140" customFormat="false" ht="12.8" hidden="false" customHeight="false" outlineLevel="0" collapsed="false">
      <c r="A140" s="36" t="s">
        <v>554</v>
      </c>
      <c r="B140" s="26" t="s">
        <v>555</v>
      </c>
      <c r="C140" s="26" t="s">
        <v>556</v>
      </c>
      <c r="D140" s="0" t="s">
        <v>557</v>
      </c>
      <c r="E140" s="0" t="s">
        <v>558</v>
      </c>
      <c r="F140" s="0" t="s">
        <v>559</v>
      </c>
    </row>
    <row r="142" customFormat="false" ht="15" hidden="false" customHeight="false" outlineLevel="0" collapsed="false">
      <c r="A142" s="37" t="s">
        <v>560</v>
      </c>
    </row>
    <row r="143" customFormat="false" ht="12.8" hidden="false" customHeight="false" outlineLevel="0" collapsed="false">
      <c r="A143" s="36" t="s">
        <v>536</v>
      </c>
      <c r="B143" s="26" t="s">
        <v>537</v>
      </c>
      <c r="C143" s="26" t="s">
        <v>538</v>
      </c>
      <c r="D143" s="0" t="s">
        <v>539</v>
      </c>
      <c r="E143" s="0" t="s">
        <v>540</v>
      </c>
      <c r="F143" s="0" t="s">
        <v>541</v>
      </c>
    </row>
    <row r="144" customFormat="false" ht="12.8" hidden="false" customHeight="false" outlineLevel="0" collapsed="false">
      <c r="A144" s="36" t="s">
        <v>561</v>
      </c>
      <c r="B144" s="26" t="s">
        <v>562</v>
      </c>
      <c r="C144" s="26" t="s">
        <v>563</v>
      </c>
      <c r="D144" s="0" t="s">
        <v>564</v>
      </c>
      <c r="E144" s="0" t="s">
        <v>565</v>
      </c>
      <c r="F144" s="0" t="s">
        <v>566</v>
      </c>
    </row>
    <row r="145" customFormat="false" ht="12.8" hidden="false" customHeight="false" outlineLevel="0" collapsed="false">
      <c r="A145" s="36" t="s">
        <v>561</v>
      </c>
      <c r="B145" s="26" t="s">
        <v>567</v>
      </c>
      <c r="C145" s="26" t="s">
        <v>568</v>
      </c>
      <c r="D145" s="0" t="s">
        <v>569</v>
      </c>
      <c r="E145" s="0" t="s">
        <v>570</v>
      </c>
      <c r="F145" s="0" t="s">
        <v>571</v>
      </c>
    </row>
    <row r="146" customFormat="false" ht="12.8" hidden="false" customHeight="false" outlineLevel="0" collapsed="false">
      <c r="A146" s="36" t="s">
        <v>561</v>
      </c>
      <c r="B146" s="26" t="s">
        <v>572</v>
      </c>
      <c r="C146" s="26" t="s">
        <v>573</v>
      </c>
      <c r="D146" s="0" t="s">
        <v>574</v>
      </c>
      <c r="E146" s="0" t="s">
        <v>575</v>
      </c>
      <c r="F146" s="0" t="s">
        <v>576</v>
      </c>
    </row>
    <row r="147" customFormat="false" ht="12.8" hidden="false" customHeight="false" outlineLevel="0" collapsed="false">
      <c r="A147" s="36" t="s">
        <v>561</v>
      </c>
      <c r="B147" s="26" t="s">
        <v>577</v>
      </c>
      <c r="C147" s="26" t="s">
        <v>578</v>
      </c>
      <c r="D147" s="0" t="s">
        <v>579</v>
      </c>
      <c r="E147" s="0" t="s">
        <v>580</v>
      </c>
      <c r="F147" s="0" t="s">
        <v>581</v>
      </c>
    </row>
    <row r="148" customFormat="false" ht="12.8" hidden="false" customHeight="false" outlineLevel="0" collapsed="false">
      <c r="A148" s="36" t="s">
        <v>561</v>
      </c>
      <c r="B148" s="26" t="s">
        <v>582</v>
      </c>
      <c r="C148" s="26" t="s">
        <v>583</v>
      </c>
      <c r="D148" s="0" t="s">
        <v>584</v>
      </c>
      <c r="E148" s="0" t="s">
        <v>585</v>
      </c>
      <c r="F148" s="0" t="s">
        <v>586</v>
      </c>
    </row>
    <row r="150" customFormat="false" ht="15" hidden="false" customHeight="false" outlineLevel="0" collapsed="false">
      <c r="A150" s="37" t="s">
        <v>587</v>
      </c>
    </row>
    <row r="151" customFormat="false" ht="12.8" hidden="false" customHeight="false" outlineLevel="0" collapsed="false">
      <c r="A151" s="36" t="s">
        <v>536</v>
      </c>
      <c r="B151" s="26" t="s">
        <v>537</v>
      </c>
      <c r="C151" s="26" t="s">
        <v>538</v>
      </c>
      <c r="D151" s="0" t="s">
        <v>539</v>
      </c>
      <c r="E151" s="0" t="s">
        <v>540</v>
      </c>
      <c r="F151" s="0" t="s">
        <v>541</v>
      </c>
    </row>
    <row r="152" customFormat="false" ht="12.8" hidden="false" customHeight="false" outlineLevel="0" collapsed="false">
      <c r="A152" s="36" t="s">
        <v>588</v>
      </c>
      <c r="B152" s="26" t="s">
        <v>589</v>
      </c>
      <c r="C152" s="26" t="s">
        <v>590</v>
      </c>
      <c r="D152" s="0" t="s">
        <v>591</v>
      </c>
      <c r="E152" s="0" t="s">
        <v>592</v>
      </c>
      <c r="F152" s="0" t="s">
        <v>593</v>
      </c>
    </row>
    <row r="153" customFormat="false" ht="12.8" hidden="false" customHeight="false" outlineLevel="0" collapsed="false">
      <c r="A153" s="36" t="s">
        <v>588</v>
      </c>
      <c r="B153" s="26" t="s">
        <v>594</v>
      </c>
      <c r="C153" s="26" t="s">
        <v>595</v>
      </c>
      <c r="D153" s="0" t="s">
        <v>596</v>
      </c>
      <c r="E153" s="0" t="s">
        <v>570</v>
      </c>
      <c r="F153" s="0" t="s">
        <v>597</v>
      </c>
    </row>
    <row r="154" customFormat="false" ht="12.8" hidden="false" customHeight="false" outlineLevel="0" collapsed="false">
      <c r="A154" s="36" t="s">
        <v>588</v>
      </c>
      <c r="B154" s="26" t="s">
        <v>598</v>
      </c>
      <c r="C154" s="26" t="s">
        <v>599</v>
      </c>
      <c r="D154" s="0" t="s">
        <v>600</v>
      </c>
      <c r="E154" s="0" t="s">
        <v>601</v>
      </c>
      <c r="F154" s="0" t="s">
        <v>602</v>
      </c>
    </row>
    <row r="155" customFormat="false" ht="12.8" hidden="false" customHeight="false" outlineLevel="0" collapsed="false">
      <c r="A155" s="36" t="s">
        <v>588</v>
      </c>
      <c r="B155" s="26" t="s">
        <v>603</v>
      </c>
      <c r="C155" s="26" t="s">
        <v>604</v>
      </c>
      <c r="D155" s="0" t="s">
        <v>605</v>
      </c>
      <c r="E155" s="0" t="s">
        <v>580</v>
      </c>
      <c r="F155" s="0" t="s">
        <v>581</v>
      </c>
    </row>
    <row r="156" customFormat="false" ht="12.8" hidden="false" customHeight="false" outlineLevel="0" collapsed="false">
      <c r="A156" s="36" t="s">
        <v>588</v>
      </c>
      <c r="B156" s="26" t="s">
        <v>606</v>
      </c>
      <c r="C156" s="26" t="s">
        <v>607</v>
      </c>
      <c r="D156" s="0" t="s">
        <v>608</v>
      </c>
      <c r="E156" s="0" t="s">
        <v>609</v>
      </c>
      <c r="F156" s="0" t="s">
        <v>610</v>
      </c>
    </row>
    <row r="158" customFormat="false" ht="15" hidden="false" customHeight="false" outlineLevel="0" collapsed="false">
      <c r="A158" s="37" t="s">
        <v>611</v>
      </c>
    </row>
    <row r="159" customFormat="false" ht="12.8" hidden="false" customHeight="false" outlineLevel="0" collapsed="false">
      <c r="A159" s="36" t="s">
        <v>536</v>
      </c>
      <c r="B159" s="26" t="s">
        <v>537</v>
      </c>
      <c r="C159" s="26" t="s">
        <v>538</v>
      </c>
      <c r="D159" s="0" t="s">
        <v>539</v>
      </c>
      <c r="E159" s="0" t="s">
        <v>540</v>
      </c>
      <c r="F159" s="0" t="s">
        <v>541</v>
      </c>
    </row>
    <row r="160" customFormat="false" ht="12.8" hidden="false" customHeight="false" outlineLevel="0" collapsed="false">
      <c r="A160" s="36" t="s">
        <v>612</v>
      </c>
      <c r="B160" s="26" t="s">
        <v>613</v>
      </c>
      <c r="C160" s="26" t="s">
        <v>614</v>
      </c>
      <c r="D160" s="0" t="s">
        <v>615</v>
      </c>
      <c r="E160" s="0" t="s">
        <v>616</v>
      </c>
      <c r="F160" s="0" t="s">
        <v>617</v>
      </c>
    </row>
    <row r="161" customFormat="false" ht="12.8" hidden="false" customHeight="false" outlineLevel="0" collapsed="false">
      <c r="A161" s="36" t="s">
        <v>612</v>
      </c>
      <c r="B161" s="26" t="s">
        <v>618</v>
      </c>
      <c r="C161" s="26" t="s">
        <v>619</v>
      </c>
      <c r="D161" s="0" t="s">
        <v>620</v>
      </c>
      <c r="E161" s="0" t="s">
        <v>570</v>
      </c>
      <c r="F161" s="0" t="s">
        <v>621</v>
      </c>
    </row>
    <row r="162" customFormat="false" ht="12.8" hidden="false" customHeight="false" outlineLevel="0" collapsed="false">
      <c r="A162" s="36" t="s">
        <v>612</v>
      </c>
      <c r="B162" s="26" t="s">
        <v>622</v>
      </c>
      <c r="C162" s="26" t="s">
        <v>623</v>
      </c>
      <c r="D162" s="0" t="s">
        <v>624</v>
      </c>
      <c r="E162" s="0" t="s">
        <v>601</v>
      </c>
      <c r="F162" s="0" t="s">
        <v>625</v>
      </c>
    </row>
    <row r="163" customFormat="false" ht="12.8" hidden="false" customHeight="false" outlineLevel="0" collapsed="false">
      <c r="A163" s="36" t="s">
        <v>612</v>
      </c>
      <c r="B163" s="26" t="s">
        <v>626</v>
      </c>
      <c r="C163" s="26" t="s">
        <v>627</v>
      </c>
      <c r="D163" s="0" t="s">
        <v>628</v>
      </c>
      <c r="E163" s="0" t="s">
        <v>580</v>
      </c>
      <c r="F163" s="0" t="s">
        <v>581</v>
      </c>
    </row>
    <row r="164" customFormat="false" ht="12.8" hidden="false" customHeight="false" outlineLevel="0" collapsed="false">
      <c r="A164" s="36" t="s">
        <v>612</v>
      </c>
      <c r="B164" s="26" t="s">
        <v>629</v>
      </c>
      <c r="C164" s="26" t="s">
        <v>630</v>
      </c>
      <c r="D164" s="0" t="s">
        <v>631</v>
      </c>
      <c r="E164" s="0" t="s">
        <v>632</v>
      </c>
      <c r="F164" s="0" t="s">
        <v>633</v>
      </c>
    </row>
    <row r="166" customFormat="false" ht="12.8" hidden="false" customHeight="false" outlineLevel="0" collapsed="false">
      <c r="A166" s="38" t="s">
        <v>634</v>
      </c>
    </row>
    <row r="167" customFormat="false" ht="12.8" hidden="false" customHeight="false" outlineLevel="0" collapsed="false">
      <c r="A167" s="36" t="s">
        <v>536</v>
      </c>
      <c r="B167" s="26" t="s">
        <v>537</v>
      </c>
      <c r="C167" s="26" t="s">
        <v>538</v>
      </c>
      <c r="D167" s="0" t="s">
        <v>539</v>
      </c>
      <c r="E167" s="0" t="s">
        <v>540</v>
      </c>
      <c r="F167" s="0" t="s">
        <v>541</v>
      </c>
    </row>
    <row r="168" customFormat="false" ht="12.8" hidden="false" customHeight="false" outlineLevel="0" collapsed="false">
      <c r="A168" s="36" t="s">
        <v>635</v>
      </c>
      <c r="B168" s="26" t="s">
        <v>636</v>
      </c>
      <c r="C168" s="26" t="s">
        <v>637</v>
      </c>
      <c r="D168" s="0" t="s">
        <v>638</v>
      </c>
      <c r="E168" s="0" t="s">
        <v>639</v>
      </c>
      <c r="F168" s="0" t="s">
        <v>640</v>
      </c>
    </row>
    <row r="169" customFormat="false" ht="12.8" hidden="false" customHeight="false" outlineLevel="0" collapsed="false">
      <c r="A169" s="36" t="s">
        <v>635</v>
      </c>
      <c r="B169" s="26" t="s">
        <v>641</v>
      </c>
      <c r="C169" s="26" t="s">
        <v>642</v>
      </c>
      <c r="D169" s="0" t="s">
        <v>643</v>
      </c>
      <c r="E169" s="0" t="s">
        <v>644</v>
      </c>
      <c r="F169" s="0" t="s">
        <v>645</v>
      </c>
    </row>
    <row r="170" customFormat="false" ht="12.8" hidden="false" customHeight="false" outlineLevel="0" collapsed="false">
      <c r="A170" s="36" t="s">
        <v>635</v>
      </c>
      <c r="B170" s="26" t="s">
        <v>646</v>
      </c>
      <c r="C170" s="26" t="s">
        <v>647</v>
      </c>
      <c r="D170" s="0" t="s">
        <v>648</v>
      </c>
      <c r="E170" s="0" t="s">
        <v>649</v>
      </c>
      <c r="F170" s="0" t="s">
        <v>650</v>
      </c>
    </row>
    <row r="171" customFormat="false" ht="12.8" hidden="false" customHeight="false" outlineLevel="0" collapsed="false">
      <c r="A171" s="36" t="s">
        <v>635</v>
      </c>
      <c r="B171" s="26" t="s">
        <v>651</v>
      </c>
      <c r="C171" s="26" t="s">
        <v>652</v>
      </c>
      <c r="D171" s="0" t="s">
        <v>653</v>
      </c>
      <c r="E171" s="0" t="s">
        <v>580</v>
      </c>
      <c r="F171" s="0" t="s">
        <v>654</v>
      </c>
    </row>
    <row r="172" customFormat="false" ht="12.8" hidden="false" customHeight="false" outlineLevel="0" collapsed="false">
      <c r="A172" s="36" t="s">
        <v>635</v>
      </c>
      <c r="B172" s="26" t="s">
        <v>655</v>
      </c>
      <c r="C172" s="26" t="s">
        <v>656</v>
      </c>
      <c r="D172" s="0" t="s">
        <v>657</v>
      </c>
      <c r="E172" s="0" t="s">
        <v>658</v>
      </c>
      <c r="F172" s="0" t="s">
        <v>659</v>
      </c>
    </row>
    <row r="174" customFormat="false" ht="12.8" hidden="false" customHeight="false" outlineLevel="0" collapsed="false">
      <c r="A174" s="39" t="s">
        <v>660</v>
      </c>
    </row>
    <row r="175" customFormat="false" ht="12.8" hidden="false" customHeight="false" outlineLevel="0" collapsed="false">
      <c r="A175" s="36" t="s">
        <v>536</v>
      </c>
      <c r="B175" s="26" t="s">
        <v>537</v>
      </c>
      <c r="C175" s="26" t="s">
        <v>538</v>
      </c>
      <c r="D175" s="0" t="s">
        <v>539</v>
      </c>
      <c r="E175" s="0" t="s">
        <v>540</v>
      </c>
      <c r="F175" s="0" t="s">
        <v>541</v>
      </c>
    </row>
    <row r="176" customFormat="false" ht="12.8" hidden="false" customHeight="false" outlineLevel="0" collapsed="false">
      <c r="A176" s="36" t="s">
        <v>661</v>
      </c>
      <c r="B176" s="26" t="s">
        <v>662</v>
      </c>
      <c r="C176" s="26" t="s">
        <v>663</v>
      </c>
      <c r="D176" s="0" t="s">
        <v>664</v>
      </c>
      <c r="E176" s="0" t="s">
        <v>665</v>
      </c>
      <c r="F176" s="0" t="s">
        <v>666</v>
      </c>
    </row>
    <row r="177" customFormat="false" ht="12.8" hidden="false" customHeight="false" outlineLevel="0" collapsed="false">
      <c r="A177" s="36" t="s">
        <v>661</v>
      </c>
      <c r="B177" s="26" t="s">
        <v>667</v>
      </c>
      <c r="C177" s="26" t="s">
        <v>668</v>
      </c>
      <c r="D177" s="0" t="s">
        <v>669</v>
      </c>
      <c r="E177" s="0" t="s">
        <v>644</v>
      </c>
      <c r="F177" s="0" t="s">
        <v>670</v>
      </c>
    </row>
    <row r="178" customFormat="false" ht="12.8" hidden="false" customHeight="false" outlineLevel="0" collapsed="false">
      <c r="A178" s="36" t="s">
        <v>661</v>
      </c>
      <c r="B178" s="26" t="s">
        <v>671</v>
      </c>
      <c r="C178" s="26" t="s">
        <v>672</v>
      </c>
      <c r="D178" s="0" t="s">
        <v>673</v>
      </c>
      <c r="E178" s="0" t="s">
        <v>649</v>
      </c>
      <c r="F178" s="0" t="s">
        <v>674</v>
      </c>
    </row>
    <row r="179" customFormat="false" ht="12.8" hidden="false" customHeight="false" outlineLevel="0" collapsed="false">
      <c r="A179" s="36" t="s">
        <v>661</v>
      </c>
      <c r="B179" s="26" t="s">
        <v>675</v>
      </c>
      <c r="C179" s="26" t="s">
        <v>676</v>
      </c>
      <c r="D179" s="0" t="s">
        <v>677</v>
      </c>
      <c r="E179" s="0" t="s">
        <v>580</v>
      </c>
      <c r="F179" s="0" t="s">
        <v>654</v>
      </c>
    </row>
    <row r="180" customFormat="false" ht="12.8" hidden="false" customHeight="false" outlineLevel="0" collapsed="false">
      <c r="A180" s="36" t="s">
        <v>661</v>
      </c>
      <c r="B180" s="26" t="s">
        <v>678</v>
      </c>
      <c r="C180" s="26" t="s">
        <v>679</v>
      </c>
      <c r="D180" s="0" t="s">
        <v>680</v>
      </c>
      <c r="E180" s="0" t="s">
        <v>681</v>
      </c>
      <c r="F180" s="0" t="s">
        <v>682</v>
      </c>
    </row>
    <row r="182" customFormat="false" ht="12.8" hidden="false" customHeight="false" outlineLevel="0" collapsed="false">
      <c r="A182" s="39" t="s">
        <v>683</v>
      </c>
    </row>
    <row r="183" customFormat="false" ht="12.8" hidden="false" customHeight="false" outlineLevel="0" collapsed="false">
      <c r="A183" s="36" t="s">
        <v>536</v>
      </c>
      <c r="B183" s="26" t="s">
        <v>537</v>
      </c>
      <c r="C183" s="26" t="s">
        <v>538</v>
      </c>
      <c r="D183" s="0" t="s">
        <v>539</v>
      </c>
      <c r="E183" s="0" t="s">
        <v>540</v>
      </c>
      <c r="F183" s="0" t="s">
        <v>541</v>
      </c>
    </row>
    <row r="184" customFormat="false" ht="12.8" hidden="false" customHeight="false" outlineLevel="0" collapsed="false">
      <c r="A184" s="36" t="s">
        <v>684</v>
      </c>
      <c r="B184" s="26" t="s">
        <v>685</v>
      </c>
      <c r="C184" s="26" t="s">
        <v>686</v>
      </c>
      <c r="D184" s="0" t="s">
        <v>687</v>
      </c>
      <c r="E184" s="0" t="s">
        <v>688</v>
      </c>
      <c r="F184" s="0" t="s">
        <v>689</v>
      </c>
    </row>
    <row r="185" customFormat="false" ht="12.8" hidden="false" customHeight="false" outlineLevel="0" collapsed="false">
      <c r="A185" s="36" t="s">
        <v>684</v>
      </c>
      <c r="B185" s="26" t="s">
        <v>690</v>
      </c>
      <c r="C185" s="26" t="s">
        <v>691</v>
      </c>
      <c r="D185" s="0" t="s">
        <v>692</v>
      </c>
      <c r="E185" s="0" t="s">
        <v>644</v>
      </c>
      <c r="F185" s="0" t="s">
        <v>693</v>
      </c>
    </row>
    <row r="186" customFormat="false" ht="12.8" hidden="false" customHeight="false" outlineLevel="0" collapsed="false">
      <c r="A186" s="36" t="s">
        <v>684</v>
      </c>
      <c r="B186" s="26" t="s">
        <v>694</v>
      </c>
      <c r="C186" s="26" t="s">
        <v>695</v>
      </c>
      <c r="D186" s="0" t="s">
        <v>696</v>
      </c>
      <c r="E186" s="0" t="s">
        <v>649</v>
      </c>
      <c r="F186" s="0" t="s">
        <v>697</v>
      </c>
    </row>
    <row r="187" customFormat="false" ht="12.8" hidden="false" customHeight="false" outlineLevel="0" collapsed="false">
      <c r="A187" s="36" t="s">
        <v>684</v>
      </c>
      <c r="B187" s="26" t="s">
        <v>698</v>
      </c>
      <c r="C187" s="26" t="s">
        <v>699</v>
      </c>
      <c r="D187" s="0" t="s">
        <v>700</v>
      </c>
      <c r="E187" s="0" t="s">
        <v>580</v>
      </c>
      <c r="F187" s="0" t="s">
        <v>701</v>
      </c>
    </row>
    <row r="188" customFormat="false" ht="12.8" hidden="false" customHeight="false" outlineLevel="0" collapsed="false">
      <c r="A188" s="36" t="s">
        <v>684</v>
      </c>
      <c r="B188" s="26" t="s">
        <v>702</v>
      </c>
      <c r="C188" s="26" t="s">
        <v>703</v>
      </c>
      <c r="D188" s="0" t="s">
        <v>704</v>
      </c>
      <c r="E188" s="0" t="s">
        <v>705</v>
      </c>
      <c r="F188" s="0" t="s">
        <v>706</v>
      </c>
    </row>
    <row r="190" customFormat="false" ht="12.8" hidden="false" customHeight="false" outlineLevel="0" collapsed="false">
      <c r="A190" s="40" t="s">
        <v>707</v>
      </c>
      <c r="G190" s="26"/>
      <c r="H190" s="26"/>
    </row>
    <row r="191" customFormat="false" ht="12.8" hidden="false" customHeight="false" outlineLevel="0" collapsed="false">
      <c r="A191" s="41" t="s">
        <v>536</v>
      </c>
      <c r="B191" s="26" t="s">
        <v>537</v>
      </c>
      <c r="C191" s="26" t="s">
        <v>538</v>
      </c>
      <c r="D191" s="0" t="s">
        <v>539</v>
      </c>
      <c r="E191" s="0" t="s">
        <v>540</v>
      </c>
      <c r="F191" s="0" t="s">
        <v>541</v>
      </c>
      <c r="G191" s="26"/>
      <c r="H191" s="26"/>
    </row>
    <row r="192" customFormat="false" ht="12.8" hidden="false" customHeight="false" outlineLevel="0" collapsed="false">
      <c r="A192" s="41" t="s">
        <v>708</v>
      </c>
      <c r="B192" s="26" t="s">
        <v>709</v>
      </c>
      <c r="C192" s="26" t="s">
        <v>710</v>
      </c>
      <c r="D192" s="0" t="s">
        <v>711</v>
      </c>
      <c r="E192" s="0" t="s">
        <v>712</v>
      </c>
      <c r="F192" s="0" t="s">
        <v>713</v>
      </c>
      <c r="G192" s="26"/>
      <c r="H192" s="26"/>
    </row>
    <row r="193" customFormat="false" ht="12.8" hidden="false" customHeight="false" outlineLevel="0" collapsed="false">
      <c r="A193" s="41" t="s">
        <v>708</v>
      </c>
      <c r="B193" s="26" t="s">
        <v>714</v>
      </c>
      <c r="C193" s="26" t="s">
        <v>715</v>
      </c>
      <c r="D193" s="0" t="s">
        <v>716</v>
      </c>
      <c r="E193" s="0" t="s">
        <v>570</v>
      </c>
      <c r="F193" s="0" t="s">
        <v>717</v>
      </c>
      <c r="G193" s="26"/>
      <c r="H193" s="26"/>
    </row>
    <row r="194" customFormat="false" ht="12.8" hidden="false" customHeight="false" outlineLevel="0" collapsed="false">
      <c r="A194" s="41" t="s">
        <v>708</v>
      </c>
      <c r="B194" s="26" t="s">
        <v>718</v>
      </c>
      <c r="C194" s="26" t="s">
        <v>719</v>
      </c>
      <c r="D194" s="0" t="s">
        <v>720</v>
      </c>
      <c r="E194" s="0" t="s">
        <v>601</v>
      </c>
      <c r="F194" s="0" t="s">
        <v>721</v>
      </c>
      <c r="G194" s="26"/>
      <c r="H194" s="26"/>
    </row>
    <row r="195" customFormat="false" ht="12.8" hidden="false" customHeight="false" outlineLevel="0" collapsed="false">
      <c r="A195" s="41" t="s">
        <v>708</v>
      </c>
      <c r="B195" s="26" t="s">
        <v>722</v>
      </c>
      <c r="C195" s="26" t="s">
        <v>723</v>
      </c>
      <c r="D195" s="0" t="s">
        <v>724</v>
      </c>
      <c r="E195" s="0" t="s">
        <v>580</v>
      </c>
      <c r="F195" s="0" t="s">
        <v>701</v>
      </c>
      <c r="G195" s="26"/>
      <c r="H195" s="26"/>
    </row>
    <row r="196" customFormat="false" ht="12.8" hidden="false" customHeight="false" outlineLevel="0" collapsed="false">
      <c r="A196" s="41" t="s">
        <v>708</v>
      </c>
      <c r="B196" s="26" t="s">
        <v>725</v>
      </c>
      <c r="C196" s="26" t="s">
        <v>726</v>
      </c>
      <c r="D196" s="0" t="s">
        <v>727</v>
      </c>
      <c r="E196" s="0" t="s">
        <v>681</v>
      </c>
      <c r="F196" s="0" t="s">
        <v>728</v>
      </c>
      <c r="G196" s="26"/>
      <c r="H196" s="26"/>
    </row>
    <row r="198" customFormat="false" ht="12.8" hidden="false" customHeight="false" outlineLevel="0" collapsed="false">
      <c r="A198" s="38" t="s">
        <v>729</v>
      </c>
    </row>
    <row r="199" customFormat="false" ht="12.8" hidden="false" customHeight="false" outlineLevel="0" collapsed="false">
      <c r="A199" s="36" t="s">
        <v>536</v>
      </c>
      <c r="B199" s="26" t="s">
        <v>537</v>
      </c>
      <c r="C199" s="26" t="s">
        <v>538</v>
      </c>
      <c r="D199" s="0" t="s">
        <v>539</v>
      </c>
      <c r="E199" s="0" t="s">
        <v>540</v>
      </c>
      <c r="F199" s="0" t="s">
        <v>541</v>
      </c>
    </row>
    <row r="200" customFormat="false" ht="12.8" hidden="false" customHeight="false" outlineLevel="0" collapsed="false">
      <c r="A200" s="36" t="s">
        <v>730</v>
      </c>
      <c r="B200" s="26" t="s">
        <v>731</v>
      </c>
      <c r="C200" s="26" t="s">
        <v>732</v>
      </c>
      <c r="D200" s="0" t="s">
        <v>733</v>
      </c>
      <c r="E200" s="0" t="s">
        <v>734</v>
      </c>
      <c r="F200" s="0" t="s">
        <v>735</v>
      </c>
    </row>
    <row r="201" customFormat="false" ht="12.8" hidden="false" customHeight="false" outlineLevel="0" collapsed="false">
      <c r="A201" s="36" t="s">
        <v>730</v>
      </c>
      <c r="B201" s="26" t="s">
        <v>736</v>
      </c>
      <c r="C201" s="26" t="s">
        <v>737</v>
      </c>
      <c r="D201" s="0" t="s">
        <v>738</v>
      </c>
      <c r="E201" s="0" t="s">
        <v>739</v>
      </c>
      <c r="F201" s="0" t="s">
        <v>740</v>
      </c>
    </row>
    <row r="202" customFormat="false" ht="12.8" hidden="false" customHeight="false" outlineLevel="0" collapsed="false">
      <c r="A202" s="36" t="s">
        <v>730</v>
      </c>
      <c r="B202" s="26" t="s">
        <v>741</v>
      </c>
      <c r="C202" s="26" t="s">
        <v>742</v>
      </c>
      <c r="D202" s="0" t="s">
        <v>743</v>
      </c>
      <c r="E202" s="0" t="s">
        <v>744</v>
      </c>
      <c r="F202" s="0" t="s">
        <v>745</v>
      </c>
    </row>
    <row r="203" customFormat="false" ht="12.8" hidden="false" customHeight="false" outlineLevel="0" collapsed="false">
      <c r="A203" s="36" t="s">
        <v>730</v>
      </c>
      <c r="B203" s="26" t="s">
        <v>746</v>
      </c>
      <c r="C203" s="26" t="s">
        <v>747</v>
      </c>
      <c r="D203" s="0" t="s">
        <v>748</v>
      </c>
      <c r="E203" s="0" t="s">
        <v>580</v>
      </c>
      <c r="F203" s="0" t="s">
        <v>749</v>
      </c>
    </row>
    <row r="204" customFormat="false" ht="12.8" hidden="false" customHeight="false" outlineLevel="0" collapsed="false">
      <c r="A204" s="36" t="s">
        <v>730</v>
      </c>
      <c r="B204" s="26" t="s">
        <v>750</v>
      </c>
      <c r="C204" s="26" t="s">
        <v>751</v>
      </c>
      <c r="D204" s="0" t="s">
        <v>752</v>
      </c>
      <c r="E204" s="0" t="s">
        <v>753</v>
      </c>
      <c r="F204" s="0" t="s">
        <v>754</v>
      </c>
    </row>
    <row r="206" customFormat="false" ht="12.8" hidden="false" customHeight="false" outlineLevel="0" collapsed="false">
      <c r="A206" s="27" t="s">
        <v>755</v>
      </c>
    </row>
    <row r="207" customFormat="false" ht="12.8" hidden="false" customHeight="false" outlineLevel="0" collapsed="false">
      <c r="A207" s="36" t="s">
        <v>536</v>
      </c>
      <c r="B207" s="26" t="s">
        <v>537</v>
      </c>
      <c r="C207" s="26" t="s">
        <v>538</v>
      </c>
      <c r="D207" s="0" t="s">
        <v>539</v>
      </c>
      <c r="E207" s="0" t="s">
        <v>540</v>
      </c>
      <c r="F207" s="0" t="s">
        <v>541</v>
      </c>
    </row>
    <row r="208" customFormat="false" ht="12.8" hidden="false" customHeight="false" outlineLevel="0" collapsed="false">
      <c r="A208" s="36" t="s">
        <v>756</v>
      </c>
      <c r="B208" s="26" t="s">
        <v>757</v>
      </c>
      <c r="C208" s="26" t="s">
        <v>758</v>
      </c>
      <c r="D208" s="0" t="s">
        <v>759</v>
      </c>
      <c r="E208" s="0" t="s">
        <v>760</v>
      </c>
      <c r="F208" s="0" t="s">
        <v>761</v>
      </c>
    </row>
    <row r="209" customFormat="false" ht="12.8" hidden="false" customHeight="false" outlineLevel="0" collapsed="false">
      <c r="A209" s="36" t="s">
        <v>756</v>
      </c>
      <c r="B209" s="26" t="s">
        <v>762</v>
      </c>
      <c r="C209" s="26" t="s">
        <v>763</v>
      </c>
      <c r="D209" s="0" t="s">
        <v>764</v>
      </c>
      <c r="E209" s="0" t="s">
        <v>765</v>
      </c>
      <c r="F209" s="0" t="s">
        <v>766</v>
      </c>
    </row>
    <row r="210" customFormat="false" ht="12.8" hidden="false" customHeight="false" outlineLevel="0" collapsed="false">
      <c r="A210" s="36" t="s">
        <v>756</v>
      </c>
      <c r="B210" s="26" t="s">
        <v>767</v>
      </c>
      <c r="C210" s="26" t="s">
        <v>768</v>
      </c>
      <c r="D210" s="0" t="s">
        <v>769</v>
      </c>
      <c r="E210" s="0" t="s">
        <v>770</v>
      </c>
      <c r="F210" s="0" t="s">
        <v>771</v>
      </c>
    </row>
    <row r="211" customFormat="false" ht="12.8" hidden="false" customHeight="false" outlineLevel="0" collapsed="false">
      <c r="A211" s="36" t="s">
        <v>756</v>
      </c>
      <c r="B211" s="26" t="s">
        <v>772</v>
      </c>
      <c r="C211" s="26" t="s">
        <v>773</v>
      </c>
      <c r="D211" s="0" t="s">
        <v>774</v>
      </c>
      <c r="E211" s="0" t="s">
        <v>580</v>
      </c>
      <c r="F211" s="0" t="s">
        <v>749</v>
      </c>
    </row>
    <row r="212" customFormat="false" ht="12.8" hidden="false" customHeight="false" outlineLevel="0" collapsed="false">
      <c r="A212" s="36" t="s">
        <v>756</v>
      </c>
      <c r="B212" s="26" t="s">
        <v>775</v>
      </c>
      <c r="C212" s="26" t="s">
        <v>776</v>
      </c>
      <c r="D212" s="0" t="s">
        <v>777</v>
      </c>
      <c r="E212" s="0" t="s">
        <v>753</v>
      </c>
      <c r="F212" s="0" t="s">
        <v>778</v>
      </c>
    </row>
    <row r="214" customFormat="false" ht="12.8" hidden="false" customHeight="false" outlineLevel="0" collapsed="false">
      <c r="A214" s="27" t="s">
        <v>779</v>
      </c>
    </row>
    <row r="215" customFormat="false" ht="12.8" hidden="false" customHeight="false" outlineLevel="0" collapsed="false">
      <c r="A215" s="36" t="s">
        <v>536</v>
      </c>
      <c r="B215" s="26" t="s">
        <v>537</v>
      </c>
      <c r="C215" s="26" t="s">
        <v>538</v>
      </c>
      <c r="D215" s="0" t="s">
        <v>539</v>
      </c>
      <c r="E215" s="0" t="s">
        <v>540</v>
      </c>
      <c r="F215" s="0" t="s">
        <v>541</v>
      </c>
    </row>
    <row r="216" customFormat="false" ht="12.8" hidden="false" customHeight="false" outlineLevel="0" collapsed="false">
      <c r="A216" s="36" t="s">
        <v>780</v>
      </c>
      <c r="B216" s="26" t="s">
        <v>781</v>
      </c>
      <c r="C216" s="26" t="s">
        <v>782</v>
      </c>
      <c r="D216" s="0" t="s">
        <v>783</v>
      </c>
      <c r="E216" s="0" t="s">
        <v>784</v>
      </c>
      <c r="F216" s="0" t="s">
        <v>785</v>
      </c>
    </row>
    <row r="217" customFormat="false" ht="12.8" hidden="false" customHeight="false" outlineLevel="0" collapsed="false">
      <c r="A217" s="36" t="s">
        <v>780</v>
      </c>
      <c r="B217" s="26" t="s">
        <v>786</v>
      </c>
      <c r="C217" s="26" t="s">
        <v>787</v>
      </c>
      <c r="D217" s="0" t="s">
        <v>788</v>
      </c>
      <c r="E217" s="0" t="s">
        <v>789</v>
      </c>
      <c r="F217" s="0" t="s">
        <v>790</v>
      </c>
    </row>
    <row r="218" customFormat="false" ht="12.8" hidden="false" customHeight="false" outlineLevel="0" collapsed="false">
      <c r="A218" s="36" t="s">
        <v>780</v>
      </c>
      <c r="B218" s="26" t="s">
        <v>791</v>
      </c>
      <c r="C218" s="26" t="s">
        <v>792</v>
      </c>
      <c r="D218" s="0" t="s">
        <v>793</v>
      </c>
      <c r="E218" s="0" t="s">
        <v>794</v>
      </c>
      <c r="F218" s="0" t="s">
        <v>795</v>
      </c>
    </row>
    <row r="219" customFormat="false" ht="12.8" hidden="false" customHeight="false" outlineLevel="0" collapsed="false">
      <c r="A219" s="36" t="s">
        <v>780</v>
      </c>
      <c r="B219" s="26" t="s">
        <v>796</v>
      </c>
      <c r="C219" s="26" t="s">
        <v>797</v>
      </c>
      <c r="D219" s="0" t="s">
        <v>798</v>
      </c>
      <c r="E219" s="0" t="s">
        <v>580</v>
      </c>
      <c r="F219" s="0" t="s">
        <v>799</v>
      </c>
    </row>
    <row r="220" customFormat="false" ht="12.8" hidden="false" customHeight="false" outlineLevel="0" collapsed="false">
      <c r="A220" s="36" t="s">
        <v>780</v>
      </c>
      <c r="B220" s="26" t="s">
        <v>800</v>
      </c>
      <c r="C220" s="26" t="s">
        <v>801</v>
      </c>
      <c r="D220" s="0" t="s">
        <v>802</v>
      </c>
      <c r="E220" s="0" t="s">
        <v>753</v>
      </c>
      <c r="F220" s="0" t="s">
        <v>803</v>
      </c>
    </row>
    <row r="222" customFormat="false" ht="12.8" hidden="false" customHeight="false" outlineLevel="0" collapsed="false">
      <c r="A222" s="27" t="s">
        <v>804</v>
      </c>
    </row>
    <row r="223" customFormat="false" ht="12.8" hidden="false" customHeight="false" outlineLevel="0" collapsed="false">
      <c r="A223" s="36" t="s">
        <v>536</v>
      </c>
      <c r="B223" s="26" t="s">
        <v>537</v>
      </c>
      <c r="C223" s="26" t="s">
        <v>538</v>
      </c>
      <c r="D223" s="0" t="s">
        <v>539</v>
      </c>
      <c r="E223" s="0" t="s">
        <v>540</v>
      </c>
      <c r="F223" s="0" t="s">
        <v>541</v>
      </c>
    </row>
    <row r="224" customFormat="false" ht="12.8" hidden="false" customHeight="false" outlineLevel="0" collapsed="false">
      <c r="A224" s="36" t="s">
        <v>805</v>
      </c>
      <c r="B224" s="26" t="s">
        <v>806</v>
      </c>
      <c r="C224" s="26" t="s">
        <v>807</v>
      </c>
      <c r="D224" s="0" t="s">
        <v>808</v>
      </c>
      <c r="E224" s="0" t="s">
        <v>809</v>
      </c>
      <c r="F224" s="0" t="s">
        <v>810</v>
      </c>
    </row>
    <row r="225" customFormat="false" ht="12.8" hidden="false" customHeight="false" outlineLevel="0" collapsed="false">
      <c r="A225" s="36" t="s">
        <v>805</v>
      </c>
      <c r="B225" s="26" t="s">
        <v>811</v>
      </c>
      <c r="C225" s="26" t="s">
        <v>812</v>
      </c>
      <c r="D225" s="0" t="s">
        <v>813</v>
      </c>
      <c r="E225" s="0" t="s">
        <v>814</v>
      </c>
      <c r="F225" s="0" t="s">
        <v>815</v>
      </c>
    </row>
    <row r="226" customFormat="false" ht="12.8" hidden="false" customHeight="false" outlineLevel="0" collapsed="false">
      <c r="A226" s="36" t="s">
        <v>805</v>
      </c>
      <c r="B226" s="26" t="s">
        <v>816</v>
      </c>
      <c r="C226" s="26" t="s">
        <v>817</v>
      </c>
      <c r="D226" s="0" t="s">
        <v>818</v>
      </c>
      <c r="E226" s="0" t="s">
        <v>819</v>
      </c>
      <c r="F226" s="0" t="s">
        <v>820</v>
      </c>
    </row>
    <row r="227" customFormat="false" ht="12.8" hidden="false" customHeight="false" outlineLevel="0" collapsed="false">
      <c r="A227" s="36" t="s">
        <v>805</v>
      </c>
      <c r="B227" s="26" t="s">
        <v>821</v>
      </c>
      <c r="C227" s="26" t="s">
        <v>822</v>
      </c>
      <c r="D227" s="0" t="s">
        <v>823</v>
      </c>
      <c r="E227" s="0" t="s">
        <v>580</v>
      </c>
      <c r="F227" s="0" t="s">
        <v>799</v>
      </c>
    </row>
    <row r="228" customFormat="false" ht="12.8" hidden="false" customHeight="false" outlineLevel="0" collapsed="false">
      <c r="A228" s="36" t="s">
        <v>805</v>
      </c>
      <c r="B228" s="26" t="s">
        <v>824</v>
      </c>
      <c r="C228" s="26" t="s">
        <v>825</v>
      </c>
      <c r="D228" s="0" t="s">
        <v>826</v>
      </c>
      <c r="E228" s="0" t="s">
        <v>753</v>
      </c>
      <c r="F228" s="0" t="s">
        <v>827</v>
      </c>
    </row>
    <row r="230" customFormat="false" ht="12.8" hidden="false" customHeight="false" outlineLevel="0" collapsed="false">
      <c r="A230" s="27" t="s">
        <v>828</v>
      </c>
    </row>
    <row r="231" customFormat="false" ht="12.8" hidden="false" customHeight="false" outlineLevel="0" collapsed="false">
      <c r="A231" s="36" t="s">
        <v>536</v>
      </c>
      <c r="B231" s="26" t="s">
        <v>537</v>
      </c>
      <c r="C231" s="26" t="s">
        <v>538</v>
      </c>
      <c r="D231" s="0" t="s">
        <v>539</v>
      </c>
      <c r="E231" s="0" t="s">
        <v>540</v>
      </c>
      <c r="F231" s="0" t="s">
        <v>541</v>
      </c>
    </row>
    <row r="232" customFormat="false" ht="12.8" hidden="false" customHeight="false" outlineLevel="0" collapsed="false">
      <c r="A232" s="36" t="s">
        <v>829</v>
      </c>
      <c r="B232" s="26" t="s">
        <v>830</v>
      </c>
      <c r="C232" s="26" t="s">
        <v>831</v>
      </c>
      <c r="D232" s="0" t="s">
        <v>832</v>
      </c>
      <c r="E232" s="0" t="s">
        <v>833</v>
      </c>
      <c r="F232" s="0" t="s">
        <v>834</v>
      </c>
    </row>
    <row r="233" customFormat="false" ht="12.8" hidden="false" customHeight="false" outlineLevel="0" collapsed="false">
      <c r="A233" s="36" t="s">
        <v>829</v>
      </c>
      <c r="B233" s="26" t="s">
        <v>835</v>
      </c>
      <c r="C233" s="26" t="s">
        <v>836</v>
      </c>
      <c r="D233" s="0" t="s">
        <v>837</v>
      </c>
      <c r="E233" s="0" t="s">
        <v>838</v>
      </c>
      <c r="F233" s="0" t="s">
        <v>839</v>
      </c>
    </row>
    <row r="234" customFormat="false" ht="12.8" hidden="false" customHeight="false" outlineLevel="0" collapsed="false">
      <c r="A234" s="36" t="s">
        <v>829</v>
      </c>
      <c r="B234" s="26" t="s">
        <v>840</v>
      </c>
      <c r="C234" s="26" t="s">
        <v>841</v>
      </c>
      <c r="D234" s="0" t="s">
        <v>842</v>
      </c>
      <c r="E234" s="0" t="s">
        <v>843</v>
      </c>
      <c r="F234" s="0" t="s">
        <v>844</v>
      </c>
    </row>
    <row r="235" customFormat="false" ht="12.8" hidden="false" customHeight="false" outlineLevel="0" collapsed="false">
      <c r="A235" s="36" t="s">
        <v>829</v>
      </c>
      <c r="B235" s="26" t="s">
        <v>845</v>
      </c>
      <c r="C235" s="26" t="s">
        <v>846</v>
      </c>
      <c r="D235" s="0" t="s">
        <v>847</v>
      </c>
      <c r="E235" s="0" t="s">
        <v>580</v>
      </c>
      <c r="F235" s="0" t="s">
        <v>799</v>
      </c>
    </row>
    <row r="236" customFormat="false" ht="12.8" hidden="false" customHeight="false" outlineLevel="0" collapsed="false">
      <c r="A236" s="36" t="s">
        <v>829</v>
      </c>
      <c r="B236" s="26" t="s">
        <v>848</v>
      </c>
      <c r="C236" s="26" t="s">
        <v>849</v>
      </c>
      <c r="D236" s="0" t="s">
        <v>850</v>
      </c>
      <c r="E236" s="0" t="s">
        <v>753</v>
      </c>
      <c r="F236" s="0" t="s">
        <v>851</v>
      </c>
    </row>
    <row r="238" customFormat="false" ht="12.8" hidden="false" customHeight="false" outlineLevel="0" collapsed="false">
      <c r="A238" s="27" t="s">
        <v>852</v>
      </c>
    </row>
    <row r="239" customFormat="false" ht="12.8" hidden="false" customHeight="false" outlineLevel="0" collapsed="false">
      <c r="A239" s="36" t="s">
        <v>536</v>
      </c>
      <c r="B239" s="26" t="s">
        <v>537</v>
      </c>
      <c r="C239" s="26" t="s">
        <v>538</v>
      </c>
      <c r="D239" s="0" t="s">
        <v>539</v>
      </c>
      <c r="E239" s="0" t="s">
        <v>540</v>
      </c>
      <c r="F239" s="0" t="s">
        <v>541</v>
      </c>
    </row>
    <row r="240" customFormat="false" ht="12.8" hidden="false" customHeight="false" outlineLevel="0" collapsed="false">
      <c r="A240" s="36" t="s">
        <v>853</v>
      </c>
      <c r="B240" s="26" t="s">
        <v>854</v>
      </c>
      <c r="C240" s="26" t="s">
        <v>855</v>
      </c>
      <c r="D240" s="0" t="s">
        <v>856</v>
      </c>
      <c r="E240" s="0" t="s">
        <v>857</v>
      </c>
      <c r="F240" s="0" t="s">
        <v>858</v>
      </c>
    </row>
    <row r="241" customFormat="false" ht="12.8" hidden="false" customHeight="false" outlineLevel="0" collapsed="false">
      <c r="A241" s="36" t="s">
        <v>853</v>
      </c>
      <c r="B241" s="26" t="s">
        <v>859</v>
      </c>
      <c r="C241" s="26" t="s">
        <v>860</v>
      </c>
      <c r="D241" s="0" t="s">
        <v>861</v>
      </c>
      <c r="E241" s="0" t="s">
        <v>862</v>
      </c>
      <c r="F241" s="0" t="s">
        <v>863</v>
      </c>
    </row>
    <row r="242" customFormat="false" ht="12.8" hidden="false" customHeight="false" outlineLevel="0" collapsed="false">
      <c r="A242" s="36" t="s">
        <v>853</v>
      </c>
      <c r="B242" s="26" t="s">
        <v>864</v>
      </c>
      <c r="C242" s="26" t="s">
        <v>865</v>
      </c>
      <c r="D242" s="0" t="s">
        <v>866</v>
      </c>
      <c r="E242" s="0" t="s">
        <v>867</v>
      </c>
      <c r="F242" s="0" t="s">
        <v>868</v>
      </c>
    </row>
    <row r="243" customFormat="false" ht="12.8" hidden="false" customHeight="false" outlineLevel="0" collapsed="false">
      <c r="A243" s="36" t="s">
        <v>853</v>
      </c>
      <c r="B243" s="26" t="s">
        <v>869</v>
      </c>
      <c r="C243" s="26" t="s">
        <v>870</v>
      </c>
      <c r="D243" s="0" t="s">
        <v>871</v>
      </c>
      <c r="E243" s="0" t="s">
        <v>580</v>
      </c>
      <c r="F243" s="0" t="s">
        <v>872</v>
      </c>
    </row>
    <row r="244" customFormat="false" ht="12.8" hidden="false" customHeight="false" outlineLevel="0" collapsed="false">
      <c r="A244" s="36" t="s">
        <v>853</v>
      </c>
      <c r="B244" s="26" t="s">
        <v>873</v>
      </c>
      <c r="C244" s="26" t="s">
        <v>874</v>
      </c>
      <c r="D244" s="0" t="s">
        <v>875</v>
      </c>
      <c r="E244" s="0" t="s">
        <v>876</v>
      </c>
      <c r="F244" s="0" t="s">
        <v>877</v>
      </c>
    </row>
    <row r="246" customFormat="false" ht="12.8" hidden="false" customHeight="false" outlineLevel="0" collapsed="false">
      <c r="A246" s="27" t="s">
        <v>878</v>
      </c>
    </row>
    <row r="247" customFormat="false" ht="12.8" hidden="false" customHeight="false" outlineLevel="0" collapsed="false">
      <c r="A247" s="36" t="s">
        <v>536</v>
      </c>
      <c r="B247" s="26" t="s">
        <v>537</v>
      </c>
      <c r="C247" s="26" t="s">
        <v>538</v>
      </c>
      <c r="D247" s="0" t="s">
        <v>539</v>
      </c>
      <c r="E247" s="0" t="s">
        <v>540</v>
      </c>
      <c r="F247" s="0" t="s">
        <v>541</v>
      </c>
    </row>
    <row r="248" customFormat="false" ht="12.8" hidden="false" customHeight="false" outlineLevel="0" collapsed="false">
      <c r="A248" s="36" t="s">
        <v>879</v>
      </c>
      <c r="B248" s="26" t="s">
        <v>880</v>
      </c>
      <c r="C248" s="26" t="s">
        <v>881</v>
      </c>
      <c r="D248" s="0" t="s">
        <v>882</v>
      </c>
      <c r="E248" s="0" t="s">
        <v>883</v>
      </c>
      <c r="F248" s="0" t="s">
        <v>884</v>
      </c>
    </row>
    <row r="249" customFormat="false" ht="12.8" hidden="false" customHeight="false" outlineLevel="0" collapsed="false">
      <c r="A249" s="36" t="s">
        <v>879</v>
      </c>
      <c r="B249" s="26" t="s">
        <v>885</v>
      </c>
      <c r="C249" s="26" t="s">
        <v>886</v>
      </c>
      <c r="D249" s="0" t="s">
        <v>887</v>
      </c>
      <c r="E249" s="0" t="s">
        <v>644</v>
      </c>
      <c r="F249" s="0" t="s">
        <v>888</v>
      </c>
    </row>
    <row r="250" customFormat="false" ht="12.8" hidden="false" customHeight="false" outlineLevel="0" collapsed="false">
      <c r="A250" s="36" t="s">
        <v>879</v>
      </c>
      <c r="B250" s="26" t="s">
        <v>889</v>
      </c>
      <c r="C250" s="26" t="s">
        <v>890</v>
      </c>
      <c r="D250" s="0" t="s">
        <v>891</v>
      </c>
      <c r="E250" s="0" t="s">
        <v>649</v>
      </c>
      <c r="F250" s="0" t="s">
        <v>892</v>
      </c>
    </row>
    <row r="251" customFormat="false" ht="12.8" hidden="false" customHeight="false" outlineLevel="0" collapsed="false">
      <c r="A251" s="36" t="s">
        <v>879</v>
      </c>
      <c r="B251" s="26" t="s">
        <v>893</v>
      </c>
      <c r="C251" s="26" t="s">
        <v>894</v>
      </c>
      <c r="D251" s="0" t="s">
        <v>895</v>
      </c>
      <c r="E251" s="0" t="s">
        <v>580</v>
      </c>
      <c r="F251" s="0" t="s">
        <v>896</v>
      </c>
    </row>
    <row r="252" customFormat="false" ht="12.8" hidden="false" customHeight="false" outlineLevel="0" collapsed="false">
      <c r="A252" s="36" t="s">
        <v>879</v>
      </c>
      <c r="B252" s="26" t="s">
        <v>897</v>
      </c>
      <c r="C252" s="26" t="s">
        <v>898</v>
      </c>
      <c r="D252" s="0" t="s">
        <v>899</v>
      </c>
      <c r="E252" s="0" t="s">
        <v>681</v>
      </c>
      <c r="F252" s="0" t="s">
        <v>900</v>
      </c>
    </row>
    <row r="254" customFormat="false" ht="12.8" hidden="false" customHeight="false" outlineLevel="0" collapsed="false">
      <c r="A254" s="27" t="s">
        <v>901</v>
      </c>
    </row>
    <row r="255" customFormat="false" ht="12.8" hidden="false" customHeight="false" outlineLevel="0" collapsed="false">
      <c r="A255" s="36" t="s">
        <v>536</v>
      </c>
      <c r="B255" s="26" t="s">
        <v>537</v>
      </c>
      <c r="C255" s="26" t="s">
        <v>538</v>
      </c>
      <c r="D255" s="0" t="s">
        <v>539</v>
      </c>
      <c r="E255" s="0" t="s">
        <v>540</v>
      </c>
      <c r="F255" s="0" t="s">
        <v>541</v>
      </c>
    </row>
    <row r="256" customFormat="false" ht="12.8" hidden="false" customHeight="false" outlineLevel="0" collapsed="false">
      <c r="A256" s="36" t="s">
        <v>902</v>
      </c>
      <c r="B256" s="26" t="s">
        <v>903</v>
      </c>
      <c r="C256" s="26" t="s">
        <v>904</v>
      </c>
      <c r="D256" s="0" t="s">
        <v>905</v>
      </c>
      <c r="E256" s="0" t="s">
        <v>906</v>
      </c>
      <c r="F256" s="0" t="s">
        <v>907</v>
      </c>
    </row>
    <row r="257" customFormat="false" ht="12.8" hidden="false" customHeight="false" outlineLevel="0" collapsed="false">
      <c r="A257" s="36" t="s">
        <v>902</v>
      </c>
      <c r="B257" s="26" t="s">
        <v>908</v>
      </c>
      <c r="C257" s="26" t="s">
        <v>909</v>
      </c>
      <c r="D257" s="0" t="s">
        <v>910</v>
      </c>
      <c r="E257" s="0" t="s">
        <v>644</v>
      </c>
      <c r="F257" s="0" t="s">
        <v>911</v>
      </c>
    </row>
    <row r="258" customFormat="false" ht="12.8" hidden="false" customHeight="false" outlineLevel="0" collapsed="false">
      <c r="A258" s="36" t="s">
        <v>902</v>
      </c>
      <c r="B258" s="26" t="s">
        <v>912</v>
      </c>
      <c r="C258" s="26" t="s">
        <v>913</v>
      </c>
      <c r="D258" s="0" t="s">
        <v>914</v>
      </c>
      <c r="E258" s="0" t="s">
        <v>649</v>
      </c>
      <c r="F258" s="0" t="s">
        <v>915</v>
      </c>
    </row>
    <row r="259" customFormat="false" ht="12.8" hidden="false" customHeight="false" outlineLevel="0" collapsed="false">
      <c r="A259" s="36" t="s">
        <v>902</v>
      </c>
      <c r="B259" s="26" t="s">
        <v>916</v>
      </c>
      <c r="C259" s="26" t="s">
        <v>917</v>
      </c>
      <c r="D259" s="0" t="s">
        <v>918</v>
      </c>
      <c r="E259" s="0" t="s">
        <v>580</v>
      </c>
      <c r="F259" s="0" t="s">
        <v>919</v>
      </c>
    </row>
    <row r="260" customFormat="false" ht="12.8" hidden="false" customHeight="false" outlineLevel="0" collapsed="false">
      <c r="A260" s="36" t="s">
        <v>902</v>
      </c>
      <c r="B260" s="26" t="s">
        <v>920</v>
      </c>
      <c r="C260" s="26" t="s">
        <v>921</v>
      </c>
      <c r="D260" s="0" t="s">
        <v>922</v>
      </c>
      <c r="E260" s="0" t="s">
        <v>681</v>
      </c>
      <c r="F260" s="0" t="s">
        <v>923</v>
      </c>
    </row>
    <row r="262" customFormat="false" ht="12.8" hidden="false" customHeight="false" outlineLevel="0" collapsed="false">
      <c r="A262" s="27" t="s">
        <v>924</v>
      </c>
    </row>
    <row r="263" customFormat="false" ht="12.8" hidden="false" customHeight="false" outlineLevel="0" collapsed="false">
      <c r="A263" s="36" t="s">
        <v>536</v>
      </c>
      <c r="B263" s="26" t="s">
        <v>537</v>
      </c>
      <c r="C263" s="26" t="s">
        <v>538</v>
      </c>
      <c r="D263" s="0" t="s">
        <v>539</v>
      </c>
      <c r="E263" s="0" t="s">
        <v>540</v>
      </c>
      <c r="F263" s="0" t="s">
        <v>541</v>
      </c>
    </row>
    <row r="264" customFormat="false" ht="12.8" hidden="false" customHeight="false" outlineLevel="0" collapsed="false">
      <c r="A264" s="36" t="s">
        <v>925</v>
      </c>
      <c r="B264" s="26" t="s">
        <v>926</v>
      </c>
      <c r="C264" s="26" t="s">
        <v>927</v>
      </c>
      <c r="D264" s="0" t="s">
        <v>928</v>
      </c>
      <c r="E264" s="0" t="s">
        <v>929</v>
      </c>
      <c r="F264" s="0" t="s">
        <v>930</v>
      </c>
    </row>
    <row r="265" customFormat="false" ht="12.8" hidden="false" customHeight="false" outlineLevel="0" collapsed="false">
      <c r="A265" s="36" t="s">
        <v>925</v>
      </c>
      <c r="B265" s="26" t="s">
        <v>931</v>
      </c>
      <c r="C265" s="26" t="s">
        <v>932</v>
      </c>
      <c r="D265" s="0" t="s">
        <v>933</v>
      </c>
      <c r="E265" s="0" t="s">
        <v>934</v>
      </c>
      <c r="F265" s="0" t="s">
        <v>935</v>
      </c>
    </row>
    <row r="266" customFormat="false" ht="12.8" hidden="false" customHeight="false" outlineLevel="0" collapsed="false">
      <c r="A266" s="36" t="s">
        <v>925</v>
      </c>
      <c r="B266" s="26" t="s">
        <v>936</v>
      </c>
      <c r="C266" s="26" t="s">
        <v>937</v>
      </c>
      <c r="D266" s="0" t="s">
        <v>938</v>
      </c>
      <c r="E266" s="0" t="s">
        <v>939</v>
      </c>
      <c r="F266" s="0" t="s">
        <v>940</v>
      </c>
    </row>
    <row r="267" customFormat="false" ht="12.8" hidden="false" customHeight="false" outlineLevel="0" collapsed="false">
      <c r="A267" s="36" t="s">
        <v>925</v>
      </c>
      <c r="B267" s="26" t="s">
        <v>941</v>
      </c>
      <c r="C267" s="26" t="s">
        <v>942</v>
      </c>
      <c r="D267" s="0" t="s">
        <v>943</v>
      </c>
      <c r="E267" s="0" t="s">
        <v>944</v>
      </c>
      <c r="F267" s="0" t="s">
        <v>945</v>
      </c>
    </row>
    <row r="268" customFormat="false" ht="12.8" hidden="false" customHeight="false" outlineLevel="0" collapsed="false">
      <c r="A268" s="36" t="s">
        <v>925</v>
      </c>
      <c r="B268" s="26" t="s">
        <v>946</v>
      </c>
      <c r="C268" s="26" t="s">
        <v>947</v>
      </c>
      <c r="D268" s="0" t="s">
        <v>948</v>
      </c>
      <c r="E268" s="0" t="s">
        <v>681</v>
      </c>
      <c r="F268" s="0" t="s">
        <v>949</v>
      </c>
    </row>
    <row r="270" customFormat="false" ht="12.8" hidden="false" customHeight="false" outlineLevel="0" collapsed="false">
      <c r="A270" s="27" t="s">
        <v>950</v>
      </c>
    </row>
    <row r="271" customFormat="false" ht="12.8" hidden="false" customHeight="false" outlineLevel="0" collapsed="false">
      <c r="A271" s="36" t="s">
        <v>536</v>
      </c>
      <c r="B271" s="26" t="s">
        <v>537</v>
      </c>
      <c r="C271" s="26" t="s">
        <v>538</v>
      </c>
      <c r="D271" s="0" t="s">
        <v>539</v>
      </c>
      <c r="E271" s="0" t="s">
        <v>540</v>
      </c>
      <c r="F271" s="0" t="s">
        <v>541</v>
      </c>
    </row>
    <row r="272" customFormat="false" ht="12.8" hidden="false" customHeight="false" outlineLevel="0" collapsed="false">
      <c r="A272" s="36" t="s">
        <v>951</v>
      </c>
      <c r="B272" s="26" t="s">
        <v>952</v>
      </c>
      <c r="C272" s="26" t="s">
        <v>953</v>
      </c>
      <c r="D272" s="0" t="s">
        <v>954</v>
      </c>
      <c r="E272" s="0" t="s">
        <v>955</v>
      </c>
      <c r="F272" s="0" t="s">
        <v>956</v>
      </c>
    </row>
    <row r="273" customFormat="false" ht="12.8" hidden="false" customHeight="false" outlineLevel="0" collapsed="false">
      <c r="A273" s="36" t="s">
        <v>951</v>
      </c>
      <c r="B273" s="26" t="s">
        <v>957</v>
      </c>
      <c r="C273" s="26" t="s">
        <v>958</v>
      </c>
      <c r="D273" s="0" t="s">
        <v>959</v>
      </c>
      <c r="E273" s="0" t="s">
        <v>644</v>
      </c>
      <c r="F273" s="0" t="s">
        <v>960</v>
      </c>
    </row>
    <row r="274" customFormat="false" ht="12.8" hidden="false" customHeight="false" outlineLevel="0" collapsed="false">
      <c r="A274" s="36" t="s">
        <v>951</v>
      </c>
      <c r="B274" s="26" t="s">
        <v>961</v>
      </c>
      <c r="C274" s="26" t="s">
        <v>962</v>
      </c>
      <c r="D274" s="0" t="s">
        <v>963</v>
      </c>
      <c r="E274" s="0" t="s">
        <v>649</v>
      </c>
      <c r="F274" s="0" t="s">
        <v>964</v>
      </c>
    </row>
    <row r="275" customFormat="false" ht="12.8" hidden="false" customHeight="false" outlineLevel="0" collapsed="false">
      <c r="A275" s="36" t="s">
        <v>951</v>
      </c>
      <c r="B275" s="26" t="s">
        <v>965</v>
      </c>
      <c r="C275" s="26" t="s">
        <v>966</v>
      </c>
      <c r="D275" s="0" t="s">
        <v>967</v>
      </c>
      <c r="E275" s="0" t="s">
        <v>580</v>
      </c>
      <c r="F275" s="0" t="s">
        <v>968</v>
      </c>
    </row>
    <row r="276" customFormat="false" ht="12.8" hidden="false" customHeight="false" outlineLevel="0" collapsed="false">
      <c r="A276" s="36" t="s">
        <v>951</v>
      </c>
      <c r="B276" s="26" t="s">
        <v>969</v>
      </c>
      <c r="C276" s="26" t="s">
        <v>970</v>
      </c>
      <c r="D276" s="0" t="s">
        <v>971</v>
      </c>
      <c r="E276" s="0" t="s">
        <v>681</v>
      </c>
      <c r="F276" s="0" t="s">
        <v>972</v>
      </c>
    </row>
    <row r="278" customFormat="false" ht="12.8" hidden="false" customHeight="false" outlineLevel="0" collapsed="false">
      <c r="A278" s="27" t="s">
        <v>973</v>
      </c>
    </row>
    <row r="279" customFormat="false" ht="12.8" hidden="false" customHeight="false" outlineLevel="0" collapsed="false">
      <c r="A279" s="36" t="s">
        <v>536</v>
      </c>
      <c r="B279" s="26" t="s">
        <v>537</v>
      </c>
      <c r="C279" s="26" t="s">
        <v>538</v>
      </c>
      <c r="D279" s="0" t="s">
        <v>539</v>
      </c>
      <c r="E279" s="0" t="s">
        <v>540</v>
      </c>
      <c r="F279" s="0" t="s">
        <v>541</v>
      </c>
    </row>
    <row r="280" customFormat="false" ht="12.8" hidden="false" customHeight="false" outlineLevel="0" collapsed="false">
      <c r="A280" s="36" t="s">
        <v>974</v>
      </c>
      <c r="B280" s="26" t="s">
        <v>975</v>
      </c>
      <c r="C280" s="26" t="s">
        <v>976</v>
      </c>
      <c r="D280" s="0" t="s">
        <v>977</v>
      </c>
      <c r="E280" s="0" t="s">
        <v>978</v>
      </c>
      <c r="F280" s="0" t="s">
        <v>979</v>
      </c>
    </row>
    <row r="281" customFormat="false" ht="12.8" hidden="false" customHeight="false" outlineLevel="0" collapsed="false">
      <c r="A281" s="36" t="s">
        <v>974</v>
      </c>
      <c r="B281" s="26" t="s">
        <v>980</v>
      </c>
      <c r="C281" s="26" t="s">
        <v>981</v>
      </c>
      <c r="D281" s="0" t="s">
        <v>982</v>
      </c>
      <c r="E281" s="0" t="s">
        <v>644</v>
      </c>
      <c r="F281" s="0" t="s">
        <v>983</v>
      </c>
    </row>
    <row r="282" customFormat="false" ht="12.8" hidden="false" customHeight="false" outlineLevel="0" collapsed="false">
      <c r="A282" s="36" t="s">
        <v>974</v>
      </c>
      <c r="B282" s="26" t="s">
        <v>984</v>
      </c>
      <c r="C282" s="26" t="s">
        <v>985</v>
      </c>
      <c r="D282" s="0" t="s">
        <v>986</v>
      </c>
      <c r="E282" s="0" t="s">
        <v>649</v>
      </c>
      <c r="F282" s="0" t="s">
        <v>987</v>
      </c>
    </row>
    <row r="283" customFormat="false" ht="12.8" hidden="false" customHeight="false" outlineLevel="0" collapsed="false">
      <c r="A283" s="36" t="s">
        <v>974</v>
      </c>
      <c r="B283" s="26" t="s">
        <v>988</v>
      </c>
      <c r="C283" s="26" t="s">
        <v>989</v>
      </c>
      <c r="D283" s="0" t="s">
        <v>990</v>
      </c>
      <c r="E283" s="0" t="s">
        <v>580</v>
      </c>
      <c r="F283" s="0" t="s">
        <v>991</v>
      </c>
    </row>
    <row r="284" customFormat="false" ht="12.8" hidden="false" customHeight="false" outlineLevel="0" collapsed="false">
      <c r="A284" s="36" t="s">
        <v>974</v>
      </c>
      <c r="B284" s="26" t="s">
        <v>992</v>
      </c>
      <c r="C284" s="26" t="s">
        <v>993</v>
      </c>
      <c r="D284" s="0" t="s">
        <v>994</v>
      </c>
      <c r="E284" s="0" t="s">
        <v>681</v>
      </c>
      <c r="F284" s="0" t="s">
        <v>995</v>
      </c>
    </row>
    <row r="286" customFormat="false" ht="12.8" hidden="false" customHeight="false" outlineLevel="0" collapsed="false">
      <c r="A286" s="27" t="s">
        <v>996</v>
      </c>
    </row>
    <row r="287" customFormat="false" ht="12.8" hidden="false" customHeight="false" outlineLevel="0" collapsed="false">
      <c r="A287" s="36" t="s">
        <v>536</v>
      </c>
      <c r="B287" s="26" t="s">
        <v>537</v>
      </c>
      <c r="C287" s="26" t="s">
        <v>538</v>
      </c>
      <c r="D287" s="0" t="s">
        <v>539</v>
      </c>
      <c r="E287" s="0" t="s">
        <v>540</v>
      </c>
      <c r="F287" s="0" t="s">
        <v>541</v>
      </c>
    </row>
    <row r="288" customFormat="false" ht="12.8" hidden="false" customHeight="false" outlineLevel="0" collapsed="false">
      <c r="A288" s="36" t="s">
        <v>997</v>
      </c>
      <c r="B288" s="26" t="s">
        <v>998</v>
      </c>
      <c r="C288" s="26" t="s">
        <v>999</v>
      </c>
      <c r="D288" s="0" t="s">
        <v>1000</v>
      </c>
      <c r="E288" s="0" t="s">
        <v>1001</v>
      </c>
      <c r="F288" s="0" t="s">
        <v>1002</v>
      </c>
    </row>
    <row r="289" customFormat="false" ht="12.8" hidden="false" customHeight="false" outlineLevel="0" collapsed="false">
      <c r="A289" s="36" t="s">
        <v>997</v>
      </c>
      <c r="B289" s="26" t="s">
        <v>1003</v>
      </c>
      <c r="C289" s="26" t="s">
        <v>1004</v>
      </c>
      <c r="D289" s="0" t="s">
        <v>1005</v>
      </c>
      <c r="E289" s="0" t="s">
        <v>1006</v>
      </c>
      <c r="F289" s="0" t="s">
        <v>1007</v>
      </c>
    </row>
    <row r="290" customFormat="false" ht="12.8" hidden="false" customHeight="false" outlineLevel="0" collapsed="false">
      <c r="A290" s="36" t="s">
        <v>997</v>
      </c>
      <c r="B290" s="26" t="s">
        <v>1008</v>
      </c>
      <c r="C290" s="26" t="s">
        <v>1009</v>
      </c>
      <c r="D290" s="0" t="s">
        <v>1010</v>
      </c>
      <c r="E290" s="0" t="s">
        <v>1011</v>
      </c>
      <c r="F290" s="0" t="s">
        <v>1012</v>
      </c>
    </row>
    <row r="291" customFormat="false" ht="12.8" hidden="false" customHeight="false" outlineLevel="0" collapsed="false">
      <c r="A291" s="36" t="s">
        <v>997</v>
      </c>
      <c r="B291" s="26" t="s">
        <v>1013</v>
      </c>
      <c r="C291" s="26" t="s">
        <v>1014</v>
      </c>
      <c r="D291" s="0" t="s">
        <v>1015</v>
      </c>
      <c r="E291" s="0" t="s">
        <v>580</v>
      </c>
      <c r="F291" s="0" t="s">
        <v>1016</v>
      </c>
    </row>
    <row r="292" customFormat="false" ht="12.8" hidden="false" customHeight="false" outlineLevel="0" collapsed="false">
      <c r="A292" s="36" t="s">
        <v>997</v>
      </c>
      <c r="B292" s="26" t="s">
        <v>1017</v>
      </c>
      <c r="C292" s="26" t="s">
        <v>1018</v>
      </c>
      <c r="D292" s="0" t="s">
        <v>1019</v>
      </c>
      <c r="E292" s="0" t="s">
        <v>681</v>
      </c>
      <c r="F292" s="0" t="s">
        <v>1020</v>
      </c>
    </row>
    <row r="294" customFormat="false" ht="12.8" hidden="false" customHeight="false" outlineLevel="0" collapsed="false">
      <c r="A294" s="27" t="s">
        <v>1021</v>
      </c>
    </row>
    <row r="295" customFormat="false" ht="12.8" hidden="false" customHeight="false" outlineLevel="0" collapsed="false">
      <c r="A295" s="36" t="s">
        <v>536</v>
      </c>
      <c r="B295" s="26" t="s">
        <v>537</v>
      </c>
      <c r="C295" s="26" t="s">
        <v>538</v>
      </c>
      <c r="D295" s="0" t="s">
        <v>539</v>
      </c>
      <c r="E295" s="0" t="s">
        <v>540</v>
      </c>
      <c r="F295" s="0" t="s">
        <v>541</v>
      </c>
    </row>
    <row r="296" customFormat="false" ht="12.8" hidden="false" customHeight="false" outlineLevel="0" collapsed="false">
      <c r="A296" s="36" t="s">
        <v>1022</v>
      </c>
      <c r="B296" s="26" t="s">
        <v>1023</v>
      </c>
      <c r="C296" s="26" t="s">
        <v>1024</v>
      </c>
      <c r="D296" s="0" t="s">
        <v>1025</v>
      </c>
      <c r="E296" s="0" t="s">
        <v>1026</v>
      </c>
      <c r="F296" s="0" t="s">
        <v>1027</v>
      </c>
    </row>
    <row r="297" customFormat="false" ht="12.8" hidden="false" customHeight="false" outlineLevel="0" collapsed="false">
      <c r="A297" s="36" t="s">
        <v>1022</v>
      </c>
      <c r="B297" s="26" t="s">
        <v>1028</v>
      </c>
      <c r="C297" s="26" t="s">
        <v>1029</v>
      </c>
      <c r="D297" s="0" t="s">
        <v>1030</v>
      </c>
      <c r="E297" s="0" t="s">
        <v>644</v>
      </c>
      <c r="F297" s="0" t="s">
        <v>1031</v>
      </c>
    </row>
    <row r="298" customFormat="false" ht="12.8" hidden="false" customHeight="false" outlineLevel="0" collapsed="false">
      <c r="A298" s="36" t="s">
        <v>1022</v>
      </c>
      <c r="B298" s="26" t="s">
        <v>1032</v>
      </c>
      <c r="C298" s="26" t="s">
        <v>1033</v>
      </c>
      <c r="D298" s="0" t="s">
        <v>1034</v>
      </c>
      <c r="E298" s="0" t="s">
        <v>649</v>
      </c>
      <c r="F298" s="0" t="s">
        <v>1035</v>
      </c>
    </row>
    <row r="299" customFormat="false" ht="12.8" hidden="false" customHeight="false" outlineLevel="0" collapsed="false">
      <c r="A299" s="36" t="s">
        <v>1022</v>
      </c>
      <c r="B299" s="26" t="s">
        <v>1036</v>
      </c>
      <c r="C299" s="26" t="s">
        <v>1037</v>
      </c>
      <c r="D299" s="0" t="s">
        <v>1038</v>
      </c>
      <c r="E299" s="0" t="s">
        <v>580</v>
      </c>
      <c r="F299" s="0" t="s">
        <v>1039</v>
      </c>
    </row>
    <row r="300" customFormat="false" ht="12.8" hidden="false" customHeight="false" outlineLevel="0" collapsed="false">
      <c r="A300" s="36" t="s">
        <v>1022</v>
      </c>
      <c r="B300" s="26" t="s">
        <v>1040</v>
      </c>
      <c r="C300" s="26" t="s">
        <v>1041</v>
      </c>
      <c r="D300" s="0" t="s">
        <v>1042</v>
      </c>
      <c r="E300" s="0" t="s">
        <v>1043</v>
      </c>
      <c r="F300" s="0" t="s">
        <v>1044</v>
      </c>
    </row>
    <row r="302" customFormat="false" ht="12.8" hidden="false" customHeight="false" outlineLevel="0" collapsed="false">
      <c r="A302" s="27" t="s">
        <v>1045</v>
      </c>
    </row>
    <row r="303" customFormat="false" ht="12.8" hidden="false" customHeight="false" outlineLevel="0" collapsed="false">
      <c r="A303" s="36" t="s">
        <v>536</v>
      </c>
      <c r="B303" s="26" t="s">
        <v>537</v>
      </c>
      <c r="C303" s="26" t="s">
        <v>538</v>
      </c>
      <c r="D303" s="0" t="s">
        <v>539</v>
      </c>
      <c r="E303" s="0" t="s">
        <v>540</v>
      </c>
      <c r="F303" s="0" t="s">
        <v>541</v>
      </c>
    </row>
    <row r="304" customFormat="false" ht="12.8" hidden="false" customHeight="false" outlineLevel="0" collapsed="false">
      <c r="A304" s="36" t="s">
        <v>1046</v>
      </c>
      <c r="B304" s="26" t="s">
        <v>1047</v>
      </c>
      <c r="C304" s="26" t="s">
        <v>1048</v>
      </c>
      <c r="D304" s="0" t="s">
        <v>1049</v>
      </c>
      <c r="E304" s="0" t="s">
        <v>1050</v>
      </c>
      <c r="F304" s="0" t="s">
        <v>1051</v>
      </c>
    </row>
    <row r="305" customFormat="false" ht="12.8" hidden="false" customHeight="false" outlineLevel="0" collapsed="false">
      <c r="A305" s="36" t="s">
        <v>1046</v>
      </c>
      <c r="B305" s="26" t="s">
        <v>1052</v>
      </c>
      <c r="C305" s="26" t="s">
        <v>1053</v>
      </c>
      <c r="D305" s="0" t="s">
        <v>1054</v>
      </c>
      <c r="E305" s="0" t="s">
        <v>765</v>
      </c>
      <c r="F305" s="0" t="s">
        <v>1055</v>
      </c>
    </row>
    <row r="306" customFormat="false" ht="12.8" hidden="false" customHeight="false" outlineLevel="0" collapsed="false">
      <c r="A306" s="36" t="s">
        <v>1046</v>
      </c>
      <c r="B306" s="26" t="s">
        <v>1056</v>
      </c>
      <c r="C306" s="26" t="s">
        <v>1057</v>
      </c>
      <c r="D306" s="0" t="s">
        <v>1058</v>
      </c>
      <c r="E306" s="0" t="s">
        <v>770</v>
      </c>
      <c r="F306" s="0" t="s">
        <v>1059</v>
      </c>
    </row>
    <row r="307" customFormat="false" ht="12.8" hidden="false" customHeight="false" outlineLevel="0" collapsed="false">
      <c r="A307" s="36" t="s">
        <v>1046</v>
      </c>
      <c r="B307" s="26" t="s">
        <v>1060</v>
      </c>
      <c r="C307" s="26" t="s">
        <v>1061</v>
      </c>
      <c r="D307" s="0" t="s">
        <v>1062</v>
      </c>
      <c r="E307" s="0" t="s">
        <v>580</v>
      </c>
      <c r="F307" s="0" t="s">
        <v>1063</v>
      </c>
    </row>
    <row r="308" customFormat="false" ht="12.8" hidden="false" customHeight="false" outlineLevel="0" collapsed="false">
      <c r="A308" s="36" t="s">
        <v>1046</v>
      </c>
      <c r="B308" s="26" t="s">
        <v>1064</v>
      </c>
      <c r="C308" s="26" t="s">
        <v>1065</v>
      </c>
      <c r="D308" s="0" t="s">
        <v>1066</v>
      </c>
      <c r="E308" s="0" t="s">
        <v>753</v>
      </c>
      <c r="F308" s="0" t="s">
        <v>1067</v>
      </c>
    </row>
    <row r="310" customFormat="false" ht="12.8" hidden="false" customHeight="false" outlineLevel="0" collapsed="false">
      <c r="A310" s="27" t="s">
        <v>1068</v>
      </c>
    </row>
    <row r="311" customFormat="false" ht="12.8" hidden="false" customHeight="false" outlineLevel="0" collapsed="false">
      <c r="A311" s="36" t="s">
        <v>536</v>
      </c>
      <c r="B311" s="26" t="s">
        <v>537</v>
      </c>
      <c r="C311" s="26" t="s">
        <v>538</v>
      </c>
      <c r="D311" s="0" t="s">
        <v>539</v>
      </c>
      <c r="E311" s="0" t="s">
        <v>540</v>
      </c>
      <c r="F311" s="0" t="s">
        <v>541</v>
      </c>
    </row>
    <row r="312" customFormat="false" ht="12.8" hidden="false" customHeight="false" outlineLevel="0" collapsed="false">
      <c r="A312" s="36" t="s">
        <v>1069</v>
      </c>
      <c r="B312" s="26" t="s">
        <v>1070</v>
      </c>
      <c r="C312" s="26" t="s">
        <v>1071</v>
      </c>
      <c r="D312" s="0" t="s">
        <v>1072</v>
      </c>
      <c r="E312" s="0" t="s">
        <v>1073</v>
      </c>
      <c r="F312" s="0" t="s">
        <v>1074</v>
      </c>
    </row>
    <row r="313" customFormat="false" ht="12.8" hidden="false" customHeight="false" outlineLevel="0" collapsed="false">
      <c r="A313" s="36" t="s">
        <v>1069</v>
      </c>
      <c r="B313" s="26" t="s">
        <v>1075</v>
      </c>
      <c r="C313" s="26" t="s">
        <v>1076</v>
      </c>
      <c r="D313" s="0" t="s">
        <v>1077</v>
      </c>
      <c r="E313" s="0" t="s">
        <v>765</v>
      </c>
      <c r="F313" s="0" t="s">
        <v>1078</v>
      </c>
    </row>
    <row r="314" customFormat="false" ht="12.8" hidden="false" customHeight="false" outlineLevel="0" collapsed="false">
      <c r="A314" s="36" t="s">
        <v>1069</v>
      </c>
      <c r="B314" s="26" t="s">
        <v>1079</v>
      </c>
      <c r="C314" s="26" t="s">
        <v>1080</v>
      </c>
      <c r="D314" s="0" t="s">
        <v>1081</v>
      </c>
      <c r="E314" s="0" t="s">
        <v>770</v>
      </c>
      <c r="F314" s="0" t="s">
        <v>1082</v>
      </c>
    </row>
    <row r="315" customFormat="false" ht="12.8" hidden="false" customHeight="false" outlineLevel="0" collapsed="false">
      <c r="A315" s="36" t="s">
        <v>1069</v>
      </c>
      <c r="B315" s="26" t="s">
        <v>1083</v>
      </c>
      <c r="C315" s="26" t="s">
        <v>1084</v>
      </c>
      <c r="D315" s="0" t="s">
        <v>1085</v>
      </c>
      <c r="E315" s="0" t="s">
        <v>580</v>
      </c>
      <c r="F315" s="0" t="s">
        <v>1086</v>
      </c>
    </row>
    <row r="316" customFormat="false" ht="12.8" hidden="false" customHeight="false" outlineLevel="0" collapsed="false">
      <c r="A316" s="36" t="s">
        <v>1069</v>
      </c>
      <c r="B316" s="26" t="s">
        <v>1087</v>
      </c>
      <c r="C316" s="26" t="s">
        <v>1088</v>
      </c>
      <c r="D316" s="0" t="s">
        <v>1089</v>
      </c>
      <c r="E316" s="0" t="s">
        <v>753</v>
      </c>
      <c r="F316" s="0" t="s">
        <v>1090</v>
      </c>
    </row>
    <row r="318" customFormat="false" ht="12.8" hidden="false" customHeight="false" outlineLevel="0" collapsed="false">
      <c r="A318" s="27" t="s">
        <v>1091</v>
      </c>
    </row>
    <row r="319" customFormat="false" ht="12.8" hidden="false" customHeight="false" outlineLevel="0" collapsed="false">
      <c r="A319" s="36" t="s">
        <v>536</v>
      </c>
      <c r="B319" s="26" t="s">
        <v>537</v>
      </c>
      <c r="C319" s="26" t="s">
        <v>538</v>
      </c>
      <c r="D319" s="0" t="s">
        <v>539</v>
      </c>
      <c r="E319" s="0" t="s">
        <v>540</v>
      </c>
      <c r="F319" s="0" t="s">
        <v>541</v>
      </c>
    </row>
    <row r="320" customFormat="false" ht="12.8" hidden="false" customHeight="false" outlineLevel="0" collapsed="false">
      <c r="A320" s="36" t="s">
        <v>1092</v>
      </c>
      <c r="B320" s="26" t="s">
        <v>1093</v>
      </c>
      <c r="C320" s="26" t="s">
        <v>1094</v>
      </c>
      <c r="D320" s="0" t="s">
        <v>1095</v>
      </c>
      <c r="E320" s="0" t="s">
        <v>1096</v>
      </c>
      <c r="F320" s="0" t="s">
        <v>1097</v>
      </c>
    </row>
    <row r="321" customFormat="false" ht="12.8" hidden="false" customHeight="false" outlineLevel="0" collapsed="false">
      <c r="A321" s="36" t="s">
        <v>1092</v>
      </c>
      <c r="B321" s="26" t="s">
        <v>1098</v>
      </c>
      <c r="C321" s="26" t="s">
        <v>1099</v>
      </c>
      <c r="D321" s="0" t="s">
        <v>1100</v>
      </c>
      <c r="E321" s="0" t="s">
        <v>644</v>
      </c>
      <c r="F321" s="0" t="s">
        <v>1101</v>
      </c>
    </row>
    <row r="322" customFormat="false" ht="12.8" hidden="false" customHeight="false" outlineLevel="0" collapsed="false">
      <c r="A322" s="36" t="s">
        <v>1092</v>
      </c>
      <c r="B322" s="26" t="s">
        <v>1102</v>
      </c>
      <c r="C322" s="26" t="s">
        <v>1103</v>
      </c>
      <c r="D322" s="0" t="s">
        <v>1104</v>
      </c>
      <c r="E322" s="0" t="s">
        <v>649</v>
      </c>
      <c r="F322" s="0" t="s">
        <v>1105</v>
      </c>
    </row>
    <row r="323" customFormat="false" ht="12.8" hidden="false" customHeight="false" outlineLevel="0" collapsed="false">
      <c r="A323" s="36" t="s">
        <v>1092</v>
      </c>
      <c r="B323" s="26" t="s">
        <v>1106</v>
      </c>
      <c r="C323" s="26" t="s">
        <v>1107</v>
      </c>
      <c r="D323" s="0" t="s">
        <v>1108</v>
      </c>
      <c r="E323" s="0" t="s">
        <v>580</v>
      </c>
      <c r="F323" s="0" t="s">
        <v>1109</v>
      </c>
    </row>
    <row r="324" customFormat="false" ht="12.8" hidden="false" customHeight="false" outlineLevel="0" collapsed="false">
      <c r="A324" s="36" t="s">
        <v>1092</v>
      </c>
      <c r="B324" s="26" t="s">
        <v>1110</v>
      </c>
      <c r="C324" s="26" t="s">
        <v>1111</v>
      </c>
      <c r="D324" s="0" t="s">
        <v>1112</v>
      </c>
      <c r="E324" s="0" t="s">
        <v>681</v>
      </c>
      <c r="F324" s="0" t="s">
        <v>1113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H34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54" activeCellId="0" sqref="A54"/>
    </sheetView>
  </sheetViews>
  <sheetFormatPr defaultColWidth="11.53515625" defaultRowHeight="12.8" customHeight="false" zeroHeight="false" outlineLevelRow="0"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13.84"/>
    <col collapsed="false" customWidth="true" hidden="false" outlineLevel="0" max="7" min="7" style="26" width="27.68"/>
    <col collapsed="false" customWidth="true" hidden="false" outlineLevel="0" max="8" min="8" style="26" width="13.84"/>
  </cols>
  <sheetData>
    <row r="1" customFormat="false" ht="12.8" hidden="false" customHeight="false" outlineLevel="0" collapsed="false">
      <c r="A1" s="41" t="s">
        <v>1114</v>
      </c>
      <c r="B1" s="26" t="s">
        <v>1115</v>
      </c>
      <c r="C1" s="42" t="s">
        <v>2</v>
      </c>
      <c r="D1" s="26"/>
      <c r="E1" s="26"/>
      <c r="F1" s="26"/>
    </row>
    <row r="2" customFormat="false" ht="12.8" hidden="true" customHeight="false" outlineLevel="0" collapsed="false">
      <c r="A2" s="26" t="s">
        <v>1116</v>
      </c>
      <c r="B2" s="26" t="s">
        <v>1117</v>
      </c>
      <c r="C2" s="26" t="n">
        <v>2211</v>
      </c>
      <c r="D2" s="26" t="s">
        <v>1118</v>
      </c>
      <c r="E2" s="26" t="s">
        <v>1119</v>
      </c>
      <c r="F2" s="26" t="s">
        <v>1120</v>
      </c>
      <c r="G2" s="26" t="s">
        <v>1121</v>
      </c>
      <c r="H2" s="42" t="s">
        <v>1122</v>
      </c>
    </row>
    <row r="3" customFormat="false" ht="12.8" hidden="true" customHeight="false" outlineLevel="0" collapsed="false">
      <c r="A3" s="26" t="s">
        <v>1123</v>
      </c>
      <c r="B3" s="26" t="s">
        <v>1124</v>
      </c>
      <c r="C3" s="26" t="n">
        <v>33</v>
      </c>
      <c r="D3" s="26" t="s">
        <v>1125</v>
      </c>
      <c r="E3" s="26" t="s">
        <v>1126</v>
      </c>
      <c r="F3" s="26" t="s">
        <v>1127</v>
      </c>
      <c r="G3" s="26" t="s">
        <v>1128</v>
      </c>
      <c r="H3" s="42" t="s">
        <v>1122</v>
      </c>
    </row>
    <row r="4" customFormat="false" ht="12.8" hidden="true" customHeight="false" outlineLevel="0" collapsed="false">
      <c r="A4" s="26" t="s">
        <v>1129</v>
      </c>
      <c r="B4" s="26" t="s">
        <v>1130</v>
      </c>
      <c r="C4" s="26" t="n">
        <v>112</v>
      </c>
      <c r="D4" s="26" t="s">
        <v>1131</v>
      </c>
      <c r="E4" s="26" t="s">
        <v>1132</v>
      </c>
      <c r="F4" s="26" t="s">
        <v>1120</v>
      </c>
      <c r="G4" s="26" t="s">
        <v>1133</v>
      </c>
      <c r="H4" s="42" t="s">
        <v>1122</v>
      </c>
    </row>
    <row r="5" customFormat="false" ht="12.8" hidden="true" customHeight="false" outlineLevel="0" collapsed="false">
      <c r="A5" s="26" t="s">
        <v>1134</v>
      </c>
      <c r="B5" s="26" t="s">
        <v>1135</v>
      </c>
      <c r="C5" s="26" t="n">
        <v>287</v>
      </c>
      <c r="D5" s="26" t="s">
        <v>1136</v>
      </c>
      <c r="E5" s="26" t="s">
        <v>1132</v>
      </c>
      <c r="F5" s="26" t="s">
        <v>1120</v>
      </c>
      <c r="G5" s="26" t="s">
        <v>1133</v>
      </c>
      <c r="H5" s="42" t="s">
        <v>1122</v>
      </c>
    </row>
    <row r="6" customFormat="false" ht="12.8" hidden="true" customHeight="false" outlineLevel="0" collapsed="false">
      <c r="A6" s="26" t="s">
        <v>1137</v>
      </c>
      <c r="B6" s="26" t="s">
        <v>1138</v>
      </c>
      <c r="C6" s="26" t="n">
        <v>408</v>
      </c>
      <c r="D6" s="26" t="s">
        <v>1139</v>
      </c>
      <c r="E6" s="26" t="s">
        <v>1132</v>
      </c>
      <c r="F6" s="26" t="s">
        <v>1120</v>
      </c>
      <c r="G6" s="26" t="s">
        <v>1133</v>
      </c>
      <c r="H6" s="42" t="s">
        <v>1122</v>
      </c>
    </row>
    <row r="7" customFormat="false" ht="12.8" hidden="true" customHeight="false" outlineLevel="0" collapsed="false">
      <c r="A7" s="26" t="s">
        <v>1140</v>
      </c>
      <c r="B7" s="26" t="s">
        <v>1141</v>
      </c>
      <c r="C7" s="26" t="n">
        <v>23</v>
      </c>
      <c r="D7" s="26" t="s">
        <v>1142</v>
      </c>
      <c r="E7" s="26" t="s">
        <v>1132</v>
      </c>
      <c r="F7" s="26" t="s">
        <v>1120</v>
      </c>
      <c r="G7" s="26" t="s">
        <v>1133</v>
      </c>
      <c r="H7" s="42" t="s">
        <v>1122</v>
      </c>
    </row>
    <row r="8" customFormat="false" ht="12.8" hidden="true" customHeight="false" outlineLevel="0" collapsed="false">
      <c r="A8" s="26" t="s">
        <v>1143</v>
      </c>
      <c r="B8" s="26" t="s">
        <v>1144</v>
      </c>
      <c r="C8" s="26" t="n">
        <v>101</v>
      </c>
      <c r="D8" s="26" t="s">
        <v>1145</v>
      </c>
      <c r="E8" s="26" t="s">
        <v>1132</v>
      </c>
      <c r="F8" s="26" t="s">
        <v>1120</v>
      </c>
      <c r="G8" s="26" t="s">
        <v>1133</v>
      </c>
      <c r="H8" s="42" t="s">
        <v>1122</v>
      </c>
    </row>
    <row r="9" customFormat="false" ht="12.8" hidden="true" customHeight="false" outlineLevel="0" collapsed="false">
      <c r="A9" s="26" t="s">
        <v>1146</v>
      </c>
      <c r="B9" s="26" t="s">
        <v>1147</v>
      </c>
      <c r="C9" s="26" t="n">
        <v>261</v>
      </c>
      <c r="D9" s="26" t="s">
        <v>1148</v>
      </c>
      <c r="E9" s="26" t="s">
        <v>1132</v>
      </c>
      <c r="F9" s="26" t="s">
        <v>1120</v>
      </c>
      <c r="G9" s="26" t="s">
        <v>1133</v>
      </c>
      <c r="H9" s="42" t="s">
        <v>1122</v>
      </c>
    </row>
    <row r="10" customFormat="false" ht="12.8" hidden="true" customHeight="false" outlineLevel="0" collapsed="false">
      <c r="A10" s="26" t="s">
        <v>1149</v>
      </c>
      <c r="B10" s="26" t="s">
        <v>1150</v>
      </c>
      <c r="C10" s="26" t="n">
        <v>273</v>
      </c>
      <c r="D10" s="26" t="s">
        <v>1151</v>
      </c>
      <c r="E10" s="26" t="s">
        <v>1132</v>
      </c>
      <c r="F10" s="26" t="s">
        <v>1120</v>
      </c>
      <c r="G10" s="26" t="s">
        <v>1133</v>
      </c>
      <c r="H10" s="42" t="s">
        <v>1122</v>
      </c>
    </row>
    <row r="11" customFormat="false" ht="12.8" hidden="true" customHeight="false" outlineLevel="0" collapsed="false">
      <c r="A11" s="26" t="s">
        <v>1152</v>
      </c>
      <c r="B11" s="26" t="s">
        <v>1153</v>
      </c>
      <c r="C11" s="26" t="n">
        <v>217</v>
      </c>
      <c r="D11" s="26" t="s">
        <v>1154</v>
      </c>
      <c r="E11" s="26" t="s">
        <v>1132</v>
      </c>
      <c r="F11" s="26" t="s">
        <v>1120</v>
      </c>
      <c r="G11" s="26" t="s">
        <v>1133</v>
      </c>
      <c r="H11" s="42" t="s">
        <v>1122</v>
      </c>
    </row>
    <row r="12" customFormat="false" ht="12.8" hidden="true" customHeight="false" outlineLevel="0" collapsed="false">
      <c r="A12" s="26" t="s">
        <v>1155</v>
      </c>
      <c r="B12" s="26" t="s">
        <v>1156</v>
      </c>
      <c r="C12" s="26" t="n">
        <v>99</v>
      </c>
      <c r="D12" s="26" t="s">
        <v>1157</v>
      </c>
      <c r="E12" s="26" t="s">
        <v>1132</v>
      </c>
      <c r="F12" s="26" t="s">
        <v>1120</v>
      </c>
      <c r="G12" s="26" t="s">
        <v>1133</v>
      </c>
      <c r="H12" s="42" t="s">
        <v>1122</v>
      </c>
    </row>
    <row r="13" customFormat="false" ht="12.8" hidden="true" customHeight="false" outlineLevel="0" collapsed="false">
      <c r="A13" s="26" t="s">
        <v>1158</v>
      </c>
      <c r="B13" s="26" t="s">
        <v>1159</v>
      </c>
      <c r="C13" s="26" t="n">
        <v>421</v>
      </c>
      <c r="D13" s="26" t="s">
        <v>1160</v>
      </c>
      <c r="E13" s="26" t="s">
        <v>1132</v>
      </c>
      <c r="F13" s="26" t="s">
        <v>1120</v>
      </c>
      <c r="G13" s="26" t="s">
        <v>1133</v>
      </c>
      <c r="H13" s="42" t="s">
        <v>1122</v>
      </c>
    </row>
    <row r="14" customFormat="false" ht="12.8" hidden="true" customHeight="false" outlineLevel="0" collapsed="false">
      <c r="A14" s="26" t="s">
        <v>1161</v>
      </c>
      <c r="B14" s="26" t="s">
        <v>1162</v>
      </c>
      <c r="C14" s="26" t="n">
        <v>2317</v>
      </c>
      <c r="D14" s="26" t="s">
        <v>1163</v>
      </c>
      <c r="E14" s="26" t="s">
        <v>1164</v>
      </c>
      <c r="F14" s="26" t="s">
        <v>1120</v>
      </c>
      <c r="G14" s="26" t="s">
        <v>1165</v>
      </c>
      <c r="H14" s="42" t="s">
        <v>1122</v>
      </c>
    </row>
    <row r="15" customFormat="false" ht="12.8" hidden="true" customHeight="false" outlineLevel="0" collapsed="false">
      <c r="A15" s="26" t="s">
        <v>1166</v>
      </c>
      <c r="B15" s="26" t="s">
        <v>1167</v>
      </c>
      <c r="C15" s="26" t="n">
        <v>9</v>
      </c>
      <c r="D15" s="26" t="s">
        <v>1168</v>
      </c>
      <c r="E15" s="26" t="s">
        <v>1132</v>
      </c>
      <c r="F15" s="26" t="s">
        <v>1120</v>
      </c>
      <c r="G15" s="26" t="s">
        <v>1133</v>
      </c>
      <c r="H15" s="42" t="s">
        <v>1122</v>
      </c>
    </row>
    <row r="16" customFormat="false" ht="12.8" hidden="true" customHeight="false" outlineLevel="0" collapsed="false">
      <c r="A16" s="26" t="s">
        <v>1169</v>
      </c>
      <c r="B16" s="26" t="s">
        <v>1170</v>
      </c>
      <c r="C16" s="26" t="n">
        <v>2211</v>
      </c>
      <c r="D16" s="26" t="s">
        <v>1171</v>
      </c>
      <c r="E16" s="26" t="s">
        <v>1132</v>
      </c>
      <c r="F16" s="26" t="s">
        <v>1120</v>
      </c>
      <c r="G16" s="26" t="s">
        <v>1172</v>
      </c>
      <c r="H16" s="42" t="s">
        <v>1122</v>
      </c>
    </row>
    <row r="17" customFormat="false" ht="12.8" hidden="true" customHeight="false" outlineLevel="0" collapsed="false">
      <c r="A17" s="26" t="s">
        <v>1173</v>
      </c>
      <c r="B17" s="26" t="s">
        <v>1174</v>
      </c>
      <c r="C17" s="26" t="n">
        <v>0.75</v>
      </c>
      <c r="D17" s="26" t="s">
        <v>1175</v>
      </c>
      <c r="E17" s="26" t="s">
        <v>1176</v>
      </c>
      <c r="F17" s="26" t="s">
        <v>1127</v>
      </c>
      <c r="G17" s="26" t="s">
        <v>1177</v>
      </c>
      <c r="H17" s="42" t="s">
        <v>1122</v>
      </c>
    </row>
    <row r="18" customFormat="false" ht="12.8" hidden="true" customHeight="false" outlineLevel="0" collapsed="false">
      <c r="A18" s="26" t="s">
        <v>1178</v>
      </c>
      <c r="B18" s="26" t="s">
        <v>1179</v>
      </c>
      <c r="C18" s="26" t="n">
        <v>0.82</v>
      </c>
      <c r="D18" s="26" t="s">
        <v>1180</v>
      </c>
      <c r="E18" s="26" t="s">
        <v>1181</v>
      </c>
      <c r="F18" s="26" t="s">
        <v>1120</v>
      </c>
      <c r="G18" s="26" t="s">
        <v>1182</v>
      </c>
      <c r="H18" s="42" t="s">
        <v>1122</v>
      </c>
    </row>
    <row r="19" customFormat="false" ht="12.8" hidden="true" customHeight="false" outlineLevel="0" collapsed="false">
      <c r="A19" s="26" t="s">
        <v>1183</v>
      </c>
      <c r="B19" s="26" t="s">
        <v>1184</v>
      </c>
      <c r="C19" s="26" t="n">
        <v>0.7</v>
      </c>
      <c r="D19" s="26" t="s">
        <v>1185</v>
      </c>
      <c r="E19" s="26" t="s">
        <v>1181</v>
      </c>
      <c r="F19" s="26" t="s">
        <v>1120</v>
      </c>
      <c r="G19" s="26" t="s">
        <v>1182</v>
      </c>
      <c r="H19" s="42" t="s">
        <v>1122</v>
      </c>
    </row>
    <row r="20" customFormat="false" ht="12.8" hidden="true" customHeight="false" outlineLevel="0" collapsed="false">
      <c r="A20" s="26" t="s">
        <v>1186</v>
      </c>
      <c r="B20" s="26" t="s">
        <v>1187</v>
      </c>
      <c r="C20" s="26" t="n">
        <v>0.68</v>
      </c>
      <c r="D20" s="26" t="s">
        <v>1188</v>
      </c>
      <c r="E20" s="26" t="s">
        <v>1181</v>
      </c>
      <c r="F20" s="26" t="s">
        <v>1120</v>
      </c>
      <c r="G20" s="26" t="s">
        <v>1182</v>
      </c>
      <c r="H20" s="42" t="s">
        <v>1122</v>
      </c>
    </row>
    <row r="21" customFormat="false" ht="12.8" hidden="true" customHeight="false" outlineLevel="0" collapsed="false">
      <c r="A21" s="26" t="s">
        <v>1189</v>
      </c>
      <c r="B21" s="26" t="s">
        <v>1190</v>
      </c>
      <c r="C21" s="26" t="n">
        <v>0.78</v>
      </c>
      <c r="D21" s="26" t="s">
        <v>1191</v>
      </c>
      <c r="E21" s="26" t="s">
        <v>1181</v>
      </c>
      <c r="F21" s="26" t="s">
        <v>1127</v>
      </c>
      <c r="G21" s="26" t="s">
        <v>1182</v>
      </c>
      <c r="H21" s="42" t="s">
        <v>1122</v>
      </c>
    </row>
    <row r="22" customFormat="false" ht="12.8" hidden="true" customHeight="false" outlineLevel="0" collapsed="false">
      <c r="A22" s="26" t="s">
        <v>1192</v>
      </c>
      <c r="B22" s="26" t="s">
        <v>1193</v>
      </c>
      <c r="C22" s="26" t="n">
        <v>0.65</v>
      </c>
      <c r="D22" s="26" t="s">
        <v>1194</v>
      </c>
      <c r="E22" s="26" t="s">
        <v>1181</v>
      </c>
      <c r="F22" s="26" t="s">
        <v>1120</v>
      </c>
      <c r="G22" s="26" t="s">
        <v>1182</v>
      </c>
      <c r="H22" s="42" t="s">
        <v>1122</v>
      </c>
    </row>
    <row r="23" customFormat="false" ht="12.8" hidden="true" customHeight="false" outlineLevel="0" collapsed="false">
      <c r="A23" s="26" t="s">
        <v>1195</v>
      </c>
      <c r="B23" s="26" t="s">
        <v>1196</v>
      </c>
      <c r="C23" s="26" t="n">
        <v>35.5</v>
      </c>
      <c r="D23" s="26" t="s">
        <v>1197</v>
      </c>
      <c r="E23" s="26" t="s">
        <v>1198</v>
      </c>
      <c r="F23" s="26" t="s">
        <v>1120</v>
      </c>
      <c r="G23" s="26" t="s">
        <v>1199</v>
      </c>
      <c r="H23" s="42" t="s">
        <v>1122</v>
      </c>
    </row>
    <row r="24" customFormat="false" ht="12.8" hidden="true" customHeight="false" outlineLevel="0" collapsed="false">
      <c r="A24" s="26" t="s">
        <v>1200</v>
      </c>
      <c r="B24" s="26" t="s">
        <v>1201</v>
      </c>
      <c r="C24" s="26" t="n">
        <v>40</v>
      </c>
      <c r="D24" s="26" t="s">
        <v>1202</v>
      </c>
      <c r="E24" s="26" t="s">
        <v>1203</v>
      </c>
      <c r="F24" s="26" t="s">
        <v>1120</v>
      </c>
      <c r="G24" s="26" t="s">
        <v>1204</v>
      </c>
      <c r="H24" s="42" t="s">
        <v>1122</v>
      </c>
    </row>
    <row r="25" customFormat="false" ht="12.8" hidden="true" customHeight="false" outlineLevel="0" collapsed="false">
      <c r="A25" s="26" t="s">
        <v>1205</v>
      </c>
      <c r="B25" s="26" t="s">
        <v>1206</v>
      </c>
      <c r="C25" s="26" t="n">
        <v>39.5</v>
      </c>
      <c r="D25" s="26" t="s">
        <v>1207</v>
      </c>
      <c r="E25" s="26" t="s">
        <v>1203</v>
      </c>
      <c r="F25" s="26" t="s">
        <v>1120</v>
      </c>
      <c r="G25" s="26" t="s">
        <v>1204</v>
      </c>
      <c r="H25" s="42" t="s">
        <v>1122</v>
      </c>
    </row>
    <row r="26" customFormat="false" ht="12.8" hidden="true" customHeight="false" outlineLevel="0" collapsed="false">
      <c r="A26" s="26" t="s">
        <v>1208</v>
      </c>
      <c r="B26" s="26" t="s">
        <v>1209</v>
      </c>
      <c r="C26" s="26" t="n">
        <v>-0.03</v>
      </c>
      <c r="D26" s="26" t="s">
        <v>1210</v>
      </c>
      <c r="E26" s="26" t="s">
        <v>1211</v>
      </c>
      <c r="F26" s="26" t="s">
        <v>1127</v>
      </c>
      <c r="G26" s="26" t="s">
        <v>1212</v>
      </c>
      <c r="H26" s="42" t="s">
        <v>1122</v>
      </c>
    </row>
    <row r="27" customFormat="false" ht="12.8" hidden="true" customHeight="false" outlineLevel="0" collapsed="false">
      <c r="A27" s="26" t="s">
        <v>1213</v>
      </c>
      <c r="B27" s="26" t="s">
        <v>1214</v>
      </c>
      <c r="C27" s="26" t="n">
        <v>2.5</v>
      </c>
      <c r="D27" s="26" t="s">
        <v>1215</v>
      </c>
      <c r="E27" s="26" t="s">
        <v>1216</v>
      </c>
      <c r="F27" s="26" t="s">
        <v>1127</v>
      </c>
      <c r="G27" s="26" t="s">
        <v>1204</v>
      </c>
      <c r="H27" s="42" t="s">
        <v>1122</v>
      </c>
    </row>
    <row r="28" customFormat="false" ht="12.8" hidden="true" customHeight="false" outlineLevel="0" collapsed="false">
      <c r="A28" s="26" t="s">
        <v>1217</v>
      </c>
      <c r="B28" s="26" t="s">
        <v>1218</v>
      </c>
      <c r="C28" s="26" t="n">
        <v>0.15</v>
      </c>
      <c r="D28" s="26" t="s">
        <v>1219</v>
      </c>
      <c r="E28" s="26" t="s">
        <v>1220</v>
      </c>
      <c r="F28" s="26" t="s">
        <v>1127</v>
      </c>
      <c r="G28" s="26" t="s">
        <v>1221</v>
      </c>
      <c r="H28" s="42" t="s">
        <v>1122</v>
      </c>
    </row>
    <row r="29" customFormat="false" ht="12.8" hidden="true" customHeight="false" outlineLevel="0" collapsed="false">
      <c r="A29" s="26" t="s">
        <v>1222</v>
      </c>
      <c r="B29" s="26" t="s">
        <v>1223</v>
      </c>
      <c r="C29" s="26" t="n">
        <v>0.12</v>
      </c>
      <c r="D29" s="26" t="s">
        <v>1224</v>
      </c>
      <c r="E29" s="26" t="s">
        <v>1220</v>
      </c>
      <c r="F29" s="26" t="s">
        <v>1127</v>
      </c>
      <c r="G29" s="26" t="s">
        <v>1221</v>
      </c>
      <c r="H29" s="42" t="s">
        <v>1122</v>
      </c>
    </row>
    <row r="30" customFormat="false" ht="12.8" hidden="true" customHeight="false" outlineLevel="0" collapsed="false">
      <c r="A30" s="26" t="s">
        <v>1225</v>
      </c>
      <c r="B30" s="26" t="s">
        <v>1226</v>
      </c>
      <c r="C30" s="26" t="n">
        <v>1.45</v>
      </c>
      <c r="D30" s="26" t="s">
        <v>1227</v>
      </c>
      <c r="E30" s="26" t="s">
        <v>1228</v>
      </c>
      <c r="F30" s="26" t="s">
        <v>1120</v>
      </c>
      <c r="G30" s="26" t="s">
        <v>1229</v>
      </c>
      <c r="H30" s="42" t="s">
        <v>1122</v>
      </c>
    </row>
    <row r="31" customFormat="false" ht="12.8" hidden="true" customHeight="false" outlineLevel="0" collapsed="false">
      <c r="A31" s="26" t="s">
        <v>1230</v>
      </c>
      <c r="B31" s="26" t="s">
        <v>1231</v>
      </c>
      <c r="C31" s="26" t="n">
        <v>8.33</v>
      </c>
      <c r="D31" s="26" t="s">
        <v>1232</v>
      </c>
      <c r="E31" s="26" t="s">
        <v>1233</v>
      </c>
      <c r="F31" s="26" t="s">
        <v>1120</v>
      </c>
      <c r="G31" s="26" t="s">
        <v>1234</v>
      </c>
      <c r="H31" s="42" t="s">
        <v>1122</v>
      </c>
    </row>
    <row r="32" customFormat="false" ht="12.8" hidden="true" customHeight="false" outlineLevel="0" collapsed="false">
      <c r="A32" s="26" t="s">
        <v>1235</v>
      </c>
      <c r="B32" s="26" t="s">
        <v>1236</v>
      </c>
      <c r="C32" s="26" t="n">
        <v>0.75</v>
      </c>
      <c r="D32" s="26" t="s">
        <v>1237</v>
      </c>
      <c r="E32" s="26" t="s">
        <v>1238</v>
      </c>
      <c r="F32" s="26" t="s">
        <v>1120</v>
      </c>
      <c r="G32" s="26" t="s">
        <v>1239</v>
      </c>
      <c r="H32" s="42" t="s">
        <v>1122</v>
      </c>
    </row>
    <row r="33" customFormat="false" ht="12.8" hidden="true" customHeight="false" outlineLevel="0" collapsed="false">
      <c r="A33" s="26" t="s">
        <v>1240</v>
      </c>
      <c r="B33" s="26" t="s">
        <v>1241</v>
      </c>
      <c r="C33" s="26" t="n">
        <v>0.85</v>
      </c>
      <c r="D33" s="26" t="s">
        <v>1242</v>
      </c>
      <c r="E33" s="26" t="s">
        <v>1243</v>
      </c>
      <c r="F33" s="26" t="s">
        <v>1127</v>
      </c>
      <c r="G33" s="26" t="s">
        <v>1244</v>
      </c>
      <c r="H33" s="42" t="s">
        <v>1122</v>
      </c>
    </row>
    <row r="34" customFormat="false" ht="12.8" hidden="true" customHeight="false" outlineLevel="0" collapsed="false">
      <c r="A34" s="26" t="s">
        <v>1245</v>
      </c>
      <c r="B34" s="26" t="s">
        <v>1246</v>
      </c>
      <c r="C34" s="26" t="n">
        <v>1</v>
      </c>
      <c r="D34" s="26" t="s">
        <v>1247</v>
      </c>
      <c r="E34" s="26" t="s">
        <v>1248</v>
      </c>
      <c r="F34" s="26" t="s">
        <v>1120</v>
      </c>
      <c r="G34" s="26" t="s">
        <v>1249</v>
      </c>
      <c r="H34" s="42" t="s">
        <v>1122</v>
      </c>
    </row>
    <row r="35" customFormat="false" ht="12.8" hidden="true" customHeight="false" outlineLevel="0" collapsed="false">
      <c r="A35" s="26" t="s">
        <v>1250</v>
      </c>
      <c r="B35" s="26" t="s">
        <v>1251</v>
      </c>
      <c r="C35" s="26" t="n">
        <v>0.8</v>
      </c>
      <c r="D35" s="26" t="s">
        <v>1252</v>
      </c>
      <c r="E35" s="26" t="s">
        <v>1253</v>
      </c>
      <c r="F35" s="26" t="s">
        <v>1127</v>
      </c>
      <c r="G35" s="26" t="s">
        <v>1254</v>
      </c>
      <c r="H35" s="42" t="s">
        <v>1122</v>
      </c>
    </row>
    <row r="36" customFormat="false" ht="12.8" hidden="true" customHeight="false" outlineLevel="0" collapsed="false">
      <c r="A36" s="26" t="s">
        <v>1255</v>
      </c>
      <c r="B36" s="26" t="s">
        <v>1256</v>
      </c>
      <c r="C36" s="26" t="n">
        <v>0.5</v>
      </c>
      <c r="D36" s="26" t="s">
        <v>1257</v>
      </c>
      <c r="E36" s="26" t="s">
        <v>1253</v>
      </c>
      <c r="F36" s="26" t="s">
        <v>1127</v>
      </c>
      <c r="G36" s="26" t="s">
        <v>1258</v>
      </c>
      <c r="H36" s="42" t="s">
        <v>1122</v>
      </c>
    </row>
    <row r="37" customFormat="false" ht="12.8" hidden="true" customHeight="false" outlineLevel="0" collapsed="false">
      <c r="A37" s="26" t="s">
        <v>1259</v>
      </c>
      <c r="B37" s="26" t="s">
        <v>1260</v>
      </c>
      <c r="C37" s="26" t="n">
        <v>1</v>
      </c>
      <c r="D37" s="26" t="s">
        <v>1261</v>
      </c>
      <c r="E37" s="26" t="s">
        <v>1248</v>
      </c>
      <c r="F37" s="26" t="s">
        <v>1120</v>
      </c>
      <c r="G37" s="26" t="s">
        <v>1249</v>
      </c>
      <c r="H37" s="42" t="s">
        <v>1122</v>
      </c>
    </row>
    <row r="38" customFormat="false" ht="12.8" hidden="true" customHeight="false" outlineLevel="0" collapsed="false">
      <c r="A38" s="26" t="s">
        <v>1262</v>
      </c>
      <c r="B38" s="26" t="s">
        <v>1263</v>
      </c>
      <c r="C38" s="26" t="n">
        <v>0.5</v>
      </c>
      <c r="D38" s="26" t="s">
        <v>1264</v>
      </c>
      <c r="E38" s="26" t="s">
        <v>1265</v>
      </c>
      <c r="F38" s="26" t="s">
        <v>1127</v>
      </c>
      <c r="G38" s="26" t="s">
        <v>1254</v>
      </c>
      <c r="H38" s="42" t="s">
        <v>1122</v>
      </c>
    </row>
    <row r="39" customFormat="false" ht="12.8" hidden="true" customHeight="false" outlineLevel="0" collapsed="false">
      <c r="A39" s="26" t="s">
        <v>1266</v>
      </c>
      <c r="B39" s="26" t="s">
        <v>1267</v>
      </c>
      <c r="C39" s="26" t="n">
        <v>0.3</v>
      </c>
      <c r="D39" s="26" t="s">
        <v>1268</v>
      </c>
      <c r="E39" s="26" t="s">
        <v>1269</v>
      </c>
      <c r="F39" s="26" t="s">
        <v>1127</v>
      </c>
      <c r="G39" s="26" t="s">
        <v>1254</v>
      </c>
      <c r="H39" s="42" t="s">
        <v>1122</v>
      </c>
    </row>
    <row r="40" customFormat="false" ht="12.8" hidden="true" customHeight="false" outlineLevel="0" collapsed="false">
      <c r="A40" s="26" t="s">
        <v>1270</v>
      </c>
      <c r="B40" s="26" t="s">
        <v>1271</v>
      </c>
      <c r="C40" s="26" t="n">
        <v>0.09</v>
      </c>
      <c r="D40" s="26" t="s">
        <v>1272</v>
      </c>
      <c r="E40" s="26" t="s">
        <v>1273</v>
      </c>
      <c r="F40" s="26" t="s">
        <v>1127</v>
      </c>
      <c r="G40" s="26" t="s">
        <v>1274</v>
      </c>
      <c r="H40" s="42" t="s">
        <v>1122</v>
      </c>
    </row>
    <row r="41" customFormat="false" ht="12.8" hidden="true" customHeight="false" outlineLevel="0" collapsed="false">
      <c r="A41" s="26" t="s">
        <v>1275</v>
      </c>
      <c r="B41" s="26" t="s">
        <v>1276</v>
      </c>
      <c r="C41" s="26" t="n">
        <v>0.07</v>
      </c>
      <c r="D41" s="26" t="s">
        <v>1277</v>
      </c>
      <c r="E41" s="26" t="s">
        <v>1278</v>
      </c>
      <c r="F41" s="26" t="s">
        <v>1127</v>
      </c>
      <c r="G41" s="26" t="s">
        <v>1279</v>
      </c>
      <c r="H41" s="42" t="s">
        <v>1122</v>
      </c>
    </row>
    <row r="42" customFormat="false" ht="12.8" hidden="true" customHeight="false" outlineLevel="0" collapsed="false">
      <c r="A42" s="26" t="s">
        <v>1280</v>
      </c>
      <c r="B42" s="26" t="s">
        <v>1281</v>
      </c>
      <c r="C42" s="26" t="n">
        <v>5100000</v>
      </c>
      <c r="D42" s="26" t="s">
        <v>1282</v>
      </c>
      <c r="E42" s="26" t="s">
        <v>1283</v>
      </c>
      <c r="F42" s="26" t="s">
        <v>1120</v>
      </c>
      <c r="G42" s="26" t="s">
        <v>1284</v>
      </c>
      <c r="H42" s="42" t="s">
        <v>1122</v>
      </c>
    </row>
    <row r="43" customFormat="false" ht="12.8" hidden="true" customHeight="false" outlineLevel="0" collapsed="false">
      <c r="A43" s="26" t="s">
        <v>1285</v>
      </c>
      <c r="B43" s="26" t="s">
        <v>1286</v>
      </c>
      <c r="C43" s="26" t="n">
        <v>50000</v>
      </c>
      <c r="D43" s="26" t="s">
        <v>1287</v>
      </c>
      <c r="E43" s="26" t="s">
        <v>1288</v>
      </c>
      <c r="F43" s="26" t="s">
        <v>1120</v>
      </c>
      <c r="G43" s="26" t="s">
        <v>1289</v>
      </c>
      <c r="H43" s="42" t="s">
        <v>1122</v>
      </c>
    </row>
    <row r="44" customFormat="false" ht="12.8" hidden="true" customHeight="false" outlineLevel="0" collapsed="false">
      <c r="A44" s="26" t="s">
        <v>1290</v>
      </c>
      <c r="B44" s="26" t="s">
        <v>1291</v>
      </c>
      <c r="C44" s="26" t="n">
        <v>48988</v>
      </c>
      <c r="D44" s="26" t="s">
        <v>1292</v>
      </c>
      <c r="E44" s="26" t="s">
        <v>1293</v>
      </c>
      <c r="F44" s="26" t="s">
        <v>1120</v>
      </c>
      <c r="G44" s="26" t="s">
        <v>1294</v>
      </c>
      <c r="H44" s="42" t="s">
        <v>1122</v>
      </c>
    </row>
    <row r="45" customFormat="false" ht="12.8" hidden="true" customHeight="false" outlineLevel="0" collapsed="false">
      <c r="A45" s="26" t="s">
        <v>1295</v>
      </c>
      <c r="B45" s="26" t="s">
        <v>1296</v>
      </c>
      <c r="C45" s="26" t="n">
        <v>0.022</v>
      </c>
      <c r="D45" s="26" t="s">
        <v>1297</v>
      </c>
      <c r="E45" s="26" t="s">
        <v>1298</v>
      </c>
      <c r="F45" s="26" t="s">
        <v>1127</v>
      </c>
      <c r="G45" s="26" t="s">
        <v>1299</v>
      </c>
      <c r="H45" s="42" t="s">
        <v>1122</v>
      </c>
    </row>
    <row r="46" customFormat="false" ht="12.8" hidden="true" customHeight="false" outlineLevel="0" collapsed="false">
      <c r="A46" s="26" t="s">
        <v>1300</v>
      </c>
      <c r="B46" s="26" t="s">
        <v>1301</v>
      </c>
      <c r="C46" s="26" t="n">
        <v>0.025</v>
      </c>
      <c r="D46" s="26" t="s">
        <v>1302</v>
      </c>
      <c r="E46" s="26" t="s">
        <v>1303</v>
      </c>
      <c r="F46" s="26" t="s">
        <v>1127</v>
      </c>
      <c r="G46" s="26" t="s">
        <v>1304</v>
      </c>
      <c r="H46" s="42" t="s">
        <v>1122</v>
      </c>
    </row>
    <row r="47" customFormat="false" ht="12.8" hidden="true" customHeight="false" outlineLevel="0" collapsed="false">
      <c r="A47" s="26" t="s">
        <v>1305</v>
      </c>
      <c r="B47" s="26" t="s">
        <v>1306</v>
      </c>
      <c r="C47" s="26" t="n">
        <v>0.75</v>
      </c>
      <c r="D47" s="26" t="s">
        <v>1307</v>
      </c>
      <c r="E47" s="26" t="s">
        <v>1308</v>
      </c>
      <c r="F47" s="26" t="s">
        <v>1127</v>
      </c>
      <c r="G47" s="26" t="s">
        <v>1309</v>
      </c>
      <c r="H47" s="42" t="s">
        <v>1122</v>
      </c>
    </row>
    <row r="48" customFormat="false" ht="12.8" hidden="true" customHeight="false" outlineLevel="0" collapsed="false">
      <c r="A48" s="26" t="s">
        <v>1310</v>
      </c>
      <c r="B48" s="26" t="s">
        <v>1311</v>
      </c>
      <c r="C48" s="26" t="n">
        <v>0.2</v>
      </c>
      <c r="D48" s="26" t="s">
        <v>1312</v>
      </c>
      <c r="E48" s="26" t="s">
        <v>1313</v>
      </c>
      <c r="F48" s="26" t="s">
        <v>1127</v>
      </c>
      <c r="G48" s="26" t="s">
        <v>1314</v>
      </c>
      <c r="H48" s="42" t="s">
        <v>1122</v>
      </c>
    </row>
    <row r="49" customFormat="false" ht="12.8" hidden="true" customHeight="false" outlineLevel="0" collapsed="false">
      <c r="A49" s="26" t="s">
        <v>1315</v>
      </c>
      <c r="B49" s="26" t="s">
        <v>1316</v>
      </c>
      <c r="C49" s="26" t="n">
        <v>0.95</v>
      </c>
      <c r="D49" s="26" t="s">
        <v>1317</v>
      </c>
      <c r="E49" s="26" t="s">
        <v>1318</v>
      </c>
      <c r="F49" s="26" t="s">
        <v>1120</v>
      </c>
      <c r="G49" s="26" t="s">
        <v>1319</v>
      </c>
      <c r="H49" s="42" t="s">
        <v>1122</v>
      </c>
    </row>
    <row r="50" customFormat="false" ht="12.8" hidden="true" customHeight="false" outlineLevel="0" collapsed="false">
      <c r="A50" s="26" t="s">
        <v>1320</v>
      </c>
      <c r="B50" s="26" t="s">
        <v>1321</v>
      </c>
      <c r="C50" s="26" t="n">
        <v>0.6</v>
      </c>
      <c r="D50" s="26" t="s">
        <v>1322</v>
      </c>
      <c r="E50" s="26" t="s">
        <v>1323</v>
      </c>
      <c r="F50" s="26" t="s">
        <v>1127</v>
      </c>
      <c r="G50" s="26" t="s">
        <v>1324</v>
      </c>
      <c r="H50" s="42" t="s">
        <v>1122</v>
      </c>
    </row>
    <row r="51" customFormat="false" ht="12.8" hidden="true" customHeight="false" outlineLevel="0" collapsed="false">
      <c r="A51" s="26" t="s">
        <v>1325</v>
      </c>
      <c r="B51" s="26" t="s">
        <v>1326</v>
      </c>
      <c r="C51" s="26" t="n">
        <v>0.5</v>
      </c>
      <c r="D51" s="26" t="s">
        <v>1327</v>
      </c>
      <c r="E51" s="26" t="s">
        <v>1328</v>
      </c>
      <c r="F51" s="26" t="s">
        <v>1127</v>
      </c>
      <c r="G51" s="26" t="s">
        <v>1329</v>
      </c>
      <c r="H51" s="42" t="s">
        <v>1122</v>
      </c>
    </row>
    <row r="52" customFormat="false" ht="12.8" hidden="true" customHeight="false" outlineLevel="0" collapsed="false">
      <c r="A52" s="26" t="s">
        <v>1330</v>
      </c>
      <c r="B52" s="26" t="s">
        <v>1331</v>
      </c>
      <c r="C52" s="26" t="n">
        <v>1</v>
      </c>
      <c r="D52" s="26" t="s">
        <v>1332</v>
      </c>
      <c r="E52" s="26" t="s">
        <v>1333</v>
      </c>
      <c r="F52" s="26" t="s">
        <v>1120</v>
      </c>
      <c r="G52" s="26" t="s">
        <v>1324</v>
      </c>
      <c r="H52" s="42" t="s">
        <v>1122</v>
      </c>
    </row>
    <row r="53" customFormat="false" ht="12.8" hidden="false" customHeight="false" outlineLevel="0" collapsed="false">
      <c r="A53" s="26" t="s">
        <v>1334</v>
      </c>
      <c r="D53" s="26"/>
      <c r="E53" s="26"/>
      <c r="F53" s="26"/>
      <c r="H53" s="42"/>
    </row>
    <row r="54" customFormat="false" ht="12.8" hidden="false" customHeight="false" outlineLevel="0" collapsed="false">
      <c r="A54" s="41" t="s">
        <v>1335</v>
      </c>
      <c r="B54" s="26" t="s">
        <v>1336</v>
      </c>
      <c r="C54" s="26" t="s">
        <v>1337</v>
      </c>
      <c r="D54" s="0" t="s">
        <v>1338</v>
      </c>
      <c r="E54" s="0" t="s">
        <v>1339</v>
      </c>
      <c r="F54" s="0" t="s">
        <v>1340</v>
      </c>
      <c r="G54" s="26" t="s">
        <v>1341</v>
      </c>
      <c r="H54" s="26" t="s">
        <v>1342</v>
      </c>
    </row>
    <row r="55" customFormat="false" ht="12.8" hidden="false" customHeight="false" outlineLevel="0" collapsed="false">
      <c r="A55" s="41" t="s">
        <v>1116</v>
      </c>
      <c r="B55" s="26" t="s">
        <v>1117</v>
      </c>
      <c r="C55" s="26" t="n">
        <v>2211</v>
      </c>
      <c r="D55" s="0" t="s">
        <v>1118</v>
      </c>
      <c r="E55" s="0" t="s">
        <v>1119</v>
      </c>
      <c r="F55" s="0" t="s">
        <v>1120</v>
      </c>
      <c r="G55" s="26" t="s">
        <v>1121</v>
      </c>
      <c r="H55" s="42" t="s">
        <v>1122</v>
      </c>
    </row>
    <row r="56" customFormat="false" ht="12.8" hidden="false" customHeight="false" outlineLevel="0" collapsed="false">
      <c r="A56" s="41" t="s">
        <v>1123</v>
      </c>
      <c r="B56" s="26" t="s">
        <v>1124</v>
      </c>
      <c r="C56" s="26" t="n">
        <v>33</v>
      </c>
      <c r="D56" s="0" t="s">
        <v>1125</v>
      </c>
      <c r="E56" s="0" t="s">
        <v>1126</v>
      </c>
      <c r="F56" s="0" t="s">
        <v>1127</v>
      </c>
      <c r="G56" s="26" t="s">
        <v>1128</v>
      </c>
      <c r="H56" s="42" t="s">
        <v>1122</v>
      </c>
    </row>
    <row r="57" customFormat="false" ht="12.8" hidden="false" customHeight="false" outlineLevel="0" collapsed="false">
      <c r="A57" s="41" t="s">
        <v>1129</v>
      </c>
      <c r="B57" s="26" t="s">
        <v>1130</v>
      </c>
      <c r="C57" s="26" t="n">
        <v>112</v>
      </c>
      <c r="D57" s="0" t="s">
        <v>1131</v>
      </c>
      <c r="E57" s="0" t="s">
        <v>1132</v>
      </c>
      <c r="F57" s="0" t="s">
        <v>1120</v>
      </c>
      <c r="G57" s="26" t="s">
        <v>1133</v>
      </c>
      <c r="H57" s="42" t="s">
        <v>1122</v>
      </c>
    </row>
    <row r="58" customFormat="false" ht="12.8" hidden="false" customHeight="false" outlineLevel="0" collapsed="false">
      <c r="A58" s="41" t="s">
        <v>1134</v>
      </c>
      <c r="B58" s="26" t="s">
        <v>1135</v>
      </c>
      <c r="C58" s="26" t="n">
        <v>287</v>
      </c>
      <c r="D58" s="0" t="s">
        <v>1136</v>
      </c>
      <c r="E58" s="0" t="s">
        <v>1132</v>
      </c>
      <c r="F58" s="0" t="s">
        <v>1120</v>
      </c>
      <c r="G58" s="26" t="s">
        <v>1133</v>
      </c>
      <c r="H58" s="42" t="s">
        <v>1122</v>
      </c>
    </row>
    <row r="59" customFormat="false" ht="12.8" hidden="false" customHeight="false" outlineLevel="0" collapsed="false">
      <c r="A59" s="41" t="s">
        <v>1137</v>
      </c>
      <c r="B59" s="26" t="s">
        <v>1138</v>
      </c>
      <c r="C59" s="26" t="n">
        <v>408</v>
      </c>
      <c r="D59" s="0" t="s">
        <v>1139</v>
      </c>
      <c r="E59" s="0" t="s">
        <v>1132</v>
      </c>
      <c r="F59" s="0" t="s">
        <v>1120</v>
      </c>
      <c r="G59" s="26" t="s">
        <v>1133</v>
      </c>
      <c r="H59" s="42" t="s">
        <v>1122</v>
      </c>
    </row>
    <row r="60" customFormat="false" ht="12.8" hidden="false" customHeight="false" outlineLevel="0" collapsed="false">
      <c r="A60" s="41" t="s">
        <v>1140</v>
      </c>
      <c r="B60" s="26" t="s">
        <v>1141</v>
      </c>
      <c r="C60" s="26" t="n">
        <v>23</v>
      </c>
      <c r="D60" s="0" t="s">
        <v>1142</v>
      </c>
      <c r="E60" s="0" t="s">
        <v>1132</v>
      </c>
      <c r="F60" s="0" t="s">
        <v>1120</v>
      </c>
      <c r="G60" s="26" t="s">
        <v>1133</v>
      </c>
      <c r="H60" s="42" t="s">
        <v>1122</v>
      </c>
    </row>
    <row r="61" customFormat="false" ht="12.8" hidden="false" customHeight="false" outlineLevel="0" collapsed="false">
      <c r="A61" s="41" t="s">
        <v>1143</v>
      </c>
      <c r="B61" s="26" t="s">
        <v>1144</v>
      </c>
      <c r="C61" s="26" t="n">
        <v>101</v>
      </c>
      <c r="D61" s="0" t="s">
        <v>1145</v>
      </c>
      <c r="E61" s="0" t="s">
        <v>1132</v>
      </c>
      <c r="F61" s="0" t="s">
        <v>1120</v>
      </c>
      <c r="G61" s="26" t="s">
        <v>1133</v>
      </c>
      <c r="H61" s="42" t="s">
        <v>1122</v>
      </c>
    </row>
    <row r="62" customFormat="false" ht="12.8" hidden="false" customHeight="false" outlineLevel="0" collapsed="false">
      <c r="A62" s="41" t="s">
        <v>1146</v>
      </c>
      <c r="B62" s="26" t="s">
        <v>1147</v>
      </c>
      <c r="C62" s="26" t="n">
        <v>261</v>
      </c>
      <c r="D62" s="0" t="s">
        <v>1148</v>
      </c>
      <c r="E62" s="0" t="s">
        <v>1132</v>
      </c>
      <c r="F62" s="0" t="s">
        <v>1120</v>
      </c>
      <c r="G62" s="26" t="s">
        <v>1133</v>
      </c>
      <c r="H62" s="42" t="s">
        <v>1122</v>
      </c>
    </row>
    <row r="63" customFormat="false" ht="12.8" hidden="false" customHeight="false" outlineLevel="0" collapsed="false">
      <c r="A63" s="41" t="s">
        <v>1149</v>
      </c>
      <c r="B63" s="26" t="s">
        <v>1150</v>
      </c>
      <c r="C63" s="26" t="n">
        <v>273</v>
      </c>
      <c r="D63" s="0" t="s">
        <v>1151</v>
      </c>
      <c r="E63" s="0" t="s">
        <v>1132</v>
      </c>
      <c r="F63" s="0" t="s">
        <v>1120</v>
      </c>
      <c r="G63" s="26" t="s">
        <v>1133</v>
      </c>
      <c r="H63" s="42" t="s">
        <v>1122</v>
      </c>
    </row>
    <row r="64" customFormat="false" ht="12.8" hidden="false" customHeight="false" outlineLevel="0" collapsed="false">
      <c r="A64" s="41" t="s">
        <v>1152</v>
      </c>
      <c r="B64" s="26" t="s">
        <v>1153</v>
      </c>
      <c r="C64" s="26" t="n">
        <v>217</v>
      </c>
      <c r="D64" s="0" t="s">
        <v>1154</v>
      </c>
      <c r="E64" s="0" t="s">
        <v>1132</v>
      </c>
      <c r="F64" s="0" t="s">
        <v>1120</v>
      </c>
      <c r="G64" s="26" t="s">
        <v>1133</v>
      </c>
      <c r="H64" s="42" t="s">
        <v>1122</v>
      </c>
    </row>
    <row r="65" customFormat="false" ht="12.8" hidden="false" customHeight="false" outlineLevel="0" collapsed="false">
      <c r="A65" s="41" t="s">
        <v>1155</v>
      </c>
      <c r="B65" s="26" t="s">
        <v>1156</v>
      </c>
      <c r="C65" s="26" t="n">
        <v>99</v>
      </c>
      <c r="D65" s="0" t="s">
        <v>1157</v>
      </c>
      <c r="E65" s="0" t="s">
        <v>1132</v>
      </c>
      <c r="F65" s="0" t="s">
        <v>1120</v>
      </c>
      <c r="G65" s="26" t="s">
        <v>1133</v>
      </c>
      <c r="H65" s="42" t="s">
        <v>1122</v>
      </c>
    </row>
    <row r="66" customFormat="false" ht="12.8" hidden="false" customHeight="false" outlineLevel="0" collapsed="false">
      <c r="A66" s="41" t="s">
        <v>1158</v>
      </c>
      <c r="B66" s="26" t="s">
        <v>1159</v>
      </c>
      <c r="C66" s="26" t="n">
        <v>421</v>
      </c>
      <c r="D66" s="0" t="s">
        <v>1160</v>
      </c>
      <c r="E66" s="0" t="s">
        <v>1132</v>
      </c>
      <c r="F66" s="0" t="s">
        <v>1120</v>
      </c>
      <c r="G66" s="26" t="s">
        <v>1133</v>
      </c>
      <c r="H66" s="42" t="s">
        <v>1122</v>
      </c>
    </row>
    <row r="67" customFormat="false" ht="12.8" hidden="false" customHeight="false" outlineLevel="0" collapsed="false">
      <c r="A67" s="41" t="s">
        <v>1161</v>
      </c>
      <c r="B67" s="26" t="s">
        <v>1162</v>
      </c>
      <c r="C67" s="26" t="n">
        <v>2317</v>
      </c>
      <c r="D67" s="0" t="s">
        <v>1163</v>
      </c>
      <c r="E67" s="0" t="s">
        <v>1164</v>
      </c>
      <c r="F67" s="0" t="s">
        <v>1120</v>
      </c>
      <c r="G67" s="26" t="s">
        <v>1165</v>
      </c>
      <c r="H67" s="42" t="s">
        <v>1122</v>
      </c>
    </row>
    <row r="68" customFormat="false" ht="12.8" hidden="false" customHeight="false" outlineLevel="0" collapsed="false">
      <c r="A68" s="41" t="s">
        <v>1166</v>
      </c>
      <c r="B68" s="26" t="s">
        <v>1167</v>
      </c>
      <c r="C68" s="26" t="n">
        <v>9</v>
      </c>
      <c r="D68" s="0" t="s">
        <v>1168</v>
      </c>
      <c r="E68" s="0" t="s">
        <v>1132</v>
      </c>
      <c r="F68" s="0" t="s">
        <v>1120</v>
      </c>
      <c r="G68" s="26" t="s">
        <v>1133</v>
      </c>
      <c r="H68" s="42" t="s">
        <v>1122</v>
      </c>
    </row>
    <row r="69" customFormat="false" ht="12.8" hidden="false" customHeight="false" outlineLevel="0" collapsed="false">
      <c r="A69" s="41" t="s">
        <v>1169</v>
      </c>
      <c r="B69" s="26" t="s">
        <v>1170</v>
      </c>
      <c r="C69" s="26" t="n">
        <v>2211</v>
      </c>
      <c r="D69" s="0" t="s">
        <v>1171</v>
      </c>
      <c r="E69" s="0" t="s">
        <v>1132</v>
      </c>
      <c r="F69" s="0" t="s">
        <v>1120</v>
      </c>
      <c r="G69" s="26" t="s">
        <v>1172</v>
      </c>
      <c r="H69" s="42" t="s">
        <v>1122</v>
      </c>
    </row>
    <row r="70" customFormat="false" ht="12.8" hidden="false" customHeight="false" outlineLevel="0" collapsed="false">
      <c r="A70" s="41" t="s">
        <v>1173</v>
      </c>
      <c r="B70" s="26" t="s">
        <v>1174</v>
      </c>
      <c r="C70" s="26" t="n">
        <v>0.75</v>
      </c>
      <c r="D70" s="0" t="s">
        <v>1175</v>
      </c>
      <c r="E70" s="0" t="s">
        <v>1176</v>
      </c>
      <c r="F70" s="0" t="s">
        <v>1127</v>
      </c>
      <c r="G70" s="26" t="s">
        <v>1177</v>
      </c>
      <c r="H70" s="42" t="s">
        <v>1122</v>
      </c>
    </row>
    <row r="71" customFormat="false" ht="12.8" hidden="false" customHeight="false" outlineLevel="0" collapsed="false">
      <c r="A71" s="41" t="s">
        <v>1178</v>
      </c>
      <c r="B71" s="26" t="s">
        <v>1179</v>
      </c>
      <c r="C71" s="26" t="n">
        <v>0.82</v>
      </c>
      <c r="D71" s="0" t="s">
        <v>1180</v>
      </c>
      <c r="E71" s="0" t="s">
        <v>1181</v>
      </c>
      <c r="F71" s="0" t="s">
        <v>1120</v>
      </c>
      <c r="G71" s="26" t="s">
        <v>1182</v>
      </c>
      <c r="H71" s="42" t="s">
        <v>1122</v>
      </c>
    </row>
    <row r="72" customFormat="false" ht="12.8" hidden="false" customHeight="false" outlineLevel="0" collapsed="false">
      <c r="A72" s="41" t="s">
        <v>1183</v>
      </c>
      <c r="B72" s="26" t="s">
        <v>1184</v>
      </c>
      <c r="C72" s="26" t="n">
        <v>0.7</v>
      </c>
      <c r="D72" s="0" t="s">
        <v>1185</v>
      </c>
      <c r="E72" s="0" t="s">
        <v>1181</v>
      </c>
      <c r="F72" s="0" t="s">
        <v>1120</v>
      </c>
      <c r="G72" s="26" t="s">
        <v>1182</v>
      </c>
      <c r="H72" s="42" t="s">
        <v>1122</v>
      </c>
    </row>
    <row r="73" customFormat="false" ht="12.8" hidden="false" customHeight="false" outlineLevel="0" collapsed="false">
      <c r="A73" s="41" t="s">
        <v>1186</v>
      </c>
      <c r="B73" s="26" t="s">
        <v>1187</v>
      </c>
      <c r="C73" s="26" t="n">
        <v>0.68</v>
      </c>
      <c r="D73" s="0" t="s">
        <v>1188</v>
      </c>
      <c r="E73" s="0" t="s">
        <v>1181</v>
      </c>
      <c r="F73" s="0" t="s">
        <v>1120</v>
      </c>
      <c r="G73" s="26" t="s">
        <v>1182</v>
      </c>
      <c r="H73" s="42" t="s">
        <v>1122</v>
      </c>
    </row>
    <row r="74" customFormat="false" ht="12.8" hidden="false" customHeight="false" outlineLevel="0" collapsed="false">
      <c r="A74" s="41" t="s">
        <v>1189</v>
      </c>
      <c r="B74" s="26" t="s">
        <v>1190</v>
      </c>
      <c r="C74" s="26" t="n">
        <v>0.78</v>
      </c>
      <c r="D74" s="0" t="s">
        <v>1191</v>
      </c>
      <c r="E74" s="0" t="s">
        <v>1181</v>
      </c>
      <c r="F74" s="0" t="s">
        <v>1127</v>
      </c>
      <c r="G74" s="26" t="s">
        <v>1182</v>
      </c>
      <c r="H74" s="42" t="s">
        <v>1122</v>
      </c>
    </row>
    <row r="75" customFormat="false" ht="12.8" hidden="false" customHeight="false" outlineLevel="0" collapsed="false">
      <c r="A75" s="41" t="s">
        <v>1192</v>
      </c>
      <c r="B75" s="26" t="s">
        <v>1193</v>
      </c>
      <c r="C75" s="26" t="n">
        <v>0.65</v>
      </c>
      <c r="D75" s="0" t="s">
        <v>1194</v>
      </c>
      <c r="E75" s="0" t="s">
        <v>1181</v>
      </c>
      <c r="F75" s="0" t="s">
        <v>1120</v>
      </c>
      <c r="G75" s="26" t="s">
        <v>1182</v>
      </c>
      <c r="H75" s="42" t="s">
        <v>1122</v>
      </c>
    </row>
    <row r="76" customFormat="false" ht="12.8" hidden="false" customHeight="false" outlineLevel="0" collapsed="false">
      <c r="A76" s="41" t="s">
        <v>1195</v>
      </c>
      <c r="B76" s="26" t="s">
        <v>1196</v>
      </c>
      <c r="C76" s="26" t="n">
        <v>35.5</v>
      </c>
      <c r="D76" s="0" t="s">
        <v>1197</v>
      </c>
      <c r="E76" s="0" t="s">
        <v>1198</v>
      </c>
      <c r="F76" s="0" t="s">
        <v>1120</v>
      </c>
      <c r="G76" s="26" t="s">
        <v>1199</v>
      </c>
      <c r="H76" s="42" t="s">
        <v>1122</v>
      </c>
    </row>
    <row r="77" customFormat="false" ht="12.8" hidden="false" customHeight="false" outlineLevel="0" collapsed="false">
      <c r="A77" s="41" t="s">
        <v>1200</v>
      </c>
      <c r="B77" s="26" t="s">
        <v>1201</v>
      </c>
      <c r="C77" s="26" t="n">
        <v>40</v>
      </c>
      <c r="D77" s="0" t="s">
        <v>1202</v>
      </c>
      <c r="E77" s="0" t="s">
        <v>1203</v>
      </c>
      <c r="F77" s="0" t="s">
        <v>1120</v>
      </c>
      <c r="G77" s="26" t="s">
        <v>1204</v>
      </c>
      <c r="H77" s="42" t="s">
        <v>1122</v>
      </c>
    </row>
    <row r="78" customFormat="false" ht="12.8" hidden="false" customHeight="false" outlineLevel="0" collapsed="false">
      <c r="A78" s="41" t="s">
        <v>1205</v>
      </c>
      <c r="B78" s="26" t="s">
        <v>1206</v>
      </c>
      <c r="C78" s="26" t="n">
        <v>39.5</v>
      </c>
      <c r="D78" s="0" t="s">
        <v>1207</v>
      </c>
      <c r="E78" s="0" t="s">
        <v>1203</v>
      </c>
      <c r="F78" s="0" t="s">
        <v>1120</v>
      </c>
      <c r="G78" s="26" t="s">
        <v>1204</v>
      </c>
      <c r="H78" s="42" t="s">
        <v>1122</v>
      </c>
    </row>
    <row r="79" customFormat="false" ht="12.8" hidden="false" customHeight="false" outlineLevel="0" collapsed="false">
      <c r="A79" s="41" t="s">
        <v>1208</v>
      </c>
      <c r="B79" s="26" t="s">
        <v>1209</v>
      </c>
      <c r="C79" s="26" t="n">
        <v>-0.03</v>
      </c>
      <c r="D79" s="0" t="s">
        <v>1210</v>
      </c>
      <c r="E79" s="0" t="s">
        <v>1211</v>
      </c>
      <c r="F79" s="0" t="s">
        <v>1127</v>
      </c>
      <c r="G79" s="26" t="s">
        <v>1212</v>
      </c>
      <c r="H79" s="42" t="s">
        <v>1122</v>
      </c>
    </row>
    <row r="80" customFormat="false" ht="12.8" hidden="false" customHeight="false" outlineLevel="0" collapsed="false">
      <c r="A80" s="41" t="s">
        <v>1213</v>
      </c>
      <c r="B80" s="26" t="s">
        <v>1214</v>
      </c>
      <c r="C80" s="26" t="n">
        <v>2.5</v>
      </c>
      <c r="D80" s="0" t="s">
        <v>1215</v>
      </c>
      <c r="E80" s="0" t="s">
        <v>1216</v>
      </c>
      <c r="F80" s="0" t="s">
        <v>1127</v>
      </c>
      <c r="G80" s="26" t="s">
        <v>1204</v>
      </c>
      <c r="H80" s="42" t="s">
        <v>1122</v>
      </c>
    </row>
    <row r="81" customFormat="false" ht="12.8" hidden="false" customHeight="false" outlineLevel="0" collapsed="false">
      <c r="A81" s="41" t="s">
        <v>1217</v>
      </c>
      <c r="B81" s="26" t="s">
        <v>1218</v>
      </c>
      <c r="C81" s="26" t="n">
        <v>0.15</v>
      </c>
      <c r="D81" s="0" t="s">
        <v>1219</v>
      </c>
      <c r="E81" s="0" t="s">
        <v>1220</v>
      </c>
      <c r="F81" s="0" t="s">
        <v>1127</v>
      </c>
      <c r="G81" s="26" t="s">
        <v>1221</v>
      </c>
      <c r="H81" s="42" t="s">
        <v>1122</v>
      </c>
    </row>
    <row r="82" customFormat="false" ht="12.8" hidden="false" customHeight="false" outlineLevel="0" collapsed="false">
      <c r="A82" s="41" t="s">
        <v>1222</v>
      </c>
      <c r="B82" s="26" t="s">
        <v>1223</v>
      </c>
      <c r="C82" s="26" t="n">
        <v>0.12</v>
      </c>
      <c r="D82" s="0" t="s">
        <v>1224</v>
      </c>
      <c r="E82" s="0" t="s">
        <v>1220</v>
      </c>
      <c r="F82" s="0" t="s">
        <v>1127</v>
      </c>
      <c r="G82" s="26" t="s">
        <v>1221</v>
      </c>
      <c r="H82" s="42" t="s">
        <v>1122</v>
      </c>
    </row>
    <row r="83" customFormat="false" ht="12.8" hidden="false" customHeight="false" outlineLevel="0" collapsed="false">
      <c r="A83" s="41" t="s">
        <v>1225</v>
      </c>
      <c r="B83" s="26" t="s">
        <v>1226</v>
      </c>
      <c r="C83" s="26" t="n">
        <v>1.45</v>
      </c>
      <c r="D83" s="0" t="s">
        <v>1227</v>
      </c>
      <c r="E83" s="0" t="s">
        <v>1228</v>
      </c>
      <c r="F83" s="0" t="s">
        <v>1120</v>
      </c>
      <c r="G83" s="26" t="s">
        <v>1229</v>
      </c>
      <c r="H83" s="42" t="s">
        <v>1122</v>
      </c>
    </row>
    <row r="84" customFormat="false" ht="12.8" hidden="false" customHeight="false" outlineLevel="0" collapsed="false">
      <c r="A84" s="41" t="s">
        <v>1230</v>
      </c>
      <c r="B84" s="26" t="s">
        <v>1231</v>
      </c>
      <c r="C84" s="26" t="n">
        <v>8.33</v>
      </c>
      <c r="D84" s="0" t="s">
        <v>1232</v>
      </c>
      <c r="E84" s="0" t="s">
        <v>1233</v>
      </c>
      <c r="F84" s="0" t="s">
        <v>1120</v>
      </c>
      <c r="G84" s="26" t="s">
        <v>1234</v>
      </c>
      <c r="H84" s="42" t="s">
        <v>1122</v>
      </c>
    </row>
    <row r="85" customFormat="false" ht="12.8" hidden="false" customHeight="false" outlineLevel="0" collapsed="false">
      <c r="A85" s="41" t="s">
        <v>1235</v>
      </c>
      <c r="B85" s="26" t="s">
        <v>1236</v>
      </c>
      <c r="C85" s="26" t="n">
        <v>0.75</v>
      </c>
      <c r="D85" s="0" t="s">
        <v>1237</v>
      </c>
      <c r="E85" s="0" t="s">
        <v>1238</v>
      </c>
      <c r="F85" s="0" t="s">
        <v>1120</v>
      </c>
      <c r="G85" s="26" t="s">
        <v>1239</v>
      </c>
      <c r="H85" s="42" t="s">
        <v>1122</v>
      </c>
    </row>
    <row r="86" customFormat="false" ht="12.8" hidden="false" customHeight="false" outlineLevel="0" collapsed="false">
      <c r="A86" s="41" t="s">
        <v>1240</v>
      </c>
      <c r="B86" s="26" t="s">
        <v>1241</v>
      </c>
      <c r="C86" s="26" t="n">
        <v>0.85</v>
      </c>
      <c r="D86" s="0" t="s">
        <v>1242</v>
      </c>
      <c r="E86" s="0" t="s">
        <v>1243</v>
      </c>
      <c r="F86" s="0" t="s">
        <v>1127</v>
      </c>
      <c r="G86" s="26" t="s">
        <v>1244</v>
      </c>
      <c r="H86" s="42" t="s">
        <v>1122</v>
      </c>
    </row>
    <row r="87" customFormat="false" ht="12.8" hidden="false" customHeight="false" outlineLevel="0" collapsed="false">
      <c r="A87" s="41" t="s">
        <v>1245</v>
      </c>
      <c r="B87" s="26" t="s">
        <v>1246</v>
      </c>
      <c r="C87" s="26" t="n">
        <v>1</v>
      </c>
      <c r="D87" s="0" t="s">
        <v>1247</v>
      </c>
      <c r="E87" s="0" t="s">
        <v>1248</v>
      </c>
      <c r="F87" s="0" t="s">
        <v>1120</v>
      </c>
      <c r="G87" s="26" t="s">
        <v>1249</v>
      </c>
      <c r="H87" s="42" t="s">
        <v>1122</v>
      </c>
    </row>
    <row r="88" customFormat="false" ht="12.8" hidden="false" customHeight="false" outlineLevel="0" collapsed="false">
      <c r="A88" s="41" t="s">
        <v>1250</v>
      </c>
      <c r="B88" s="26" t="s">
        <v>1251</v>
      </c>
      <c r="C88" s="26" t="n">
        <v>0.8</v>
      </c>
      <c r="D88" s="0" t="s">
        <v>1252</v>
      </c>
      <c r="E88" s="0" t="s">
        <v>1253</v>
      </c>
      <c r="F88" s="0" t="s">
        <v>1127</v>
      </c>
      <c r="G88" s="26" t="s">
        <v>1254</v>
      </c>
      <c r="H88" s="42" t="s">
        <v>1122</v>
      </c>
    </row>
    <row r="89" customFormat="false" ht="12.8" hidden="false" customHeight="false" outlineLevel="0" collapsed="false">
      <c r="A89" s="41" t="s">
        <v>1255</v>
      </c>
      <c r="B89" s="26" t="s">
        <v>1256</v>
      </c>
      <c r="C89" s="26" t="n">
        <v>0.5</v>
      </c>
      <c r="D89" s="0" t="s">
        <v>1257</v>
      </c>
      <c r="E89" s="0" t="s">
        <v>1343</v>
      </c>
      <c r="F89" s="0" t="s">
        <v>1127</v>
      </c>
      <c r="G89" s="26" t="s">
        <v>1344</v>
      </c>
      <c r="H89" s="42" t="s">
        <v>1122</v>
      </c>
    </row>
    <row r="90" customFormat="false" ht="12.8" hidden="false" customHeight="false" outlineLevel="0" collapsed="false">
      <c r="A90" s="41" t="s">
        <v>1259</v>
      </c>
      <c r="B90" s="26" t="s">
        <v>1260</v>
      </c>
      <c r="C90" s="26" t="n">
        <v>1</v>
      </c>
      <c r="D90" s="0" t="s">
        <v>1261</v>
      </c>
      <c r="E90" s="0" t="s">
        <v>1248</v>
      </c>
      <c r="F90" s="0" t="s">
        <v>1120</v>
      </c>
      <c r="G90" s="26" t="s">
        <v>1249</v>
      </c>
      <c r="H90" s="42" t="s">
        <v>1122</v>
      </c>
    </row>
    <row r="91" customFormat="false" ht="12.8" hidden="false" customHeight="false" outlineLevel="0" collapsed="false">
      <c r="A91" s="41" t="s">
        <v>1262</v>
      </c>
      <c r="B91" s="26" t="s">
        <v>1263</v>
      </c>
      <c r="C91" s="26" t="n">
        <v>0.5</v>
      </c>
      <c r="D91" s="0" t="s">
        <v>1264</v>
      </c>
      <c r="E91" s="0" t="s">
        <v>1265</v>
      </c>
      <c r="F91" s="0" t="s">
        <v>1127</v>
      </c>
      <c r="G91" s="26" t="s">
        <v>1254</v>
      </c>
      <c r="H91" s="42" t="s">
        <v>1122</v>
      </c>
    </row>
    <row r="92" customFormat="false" ht="12.8" hidden="false" customHeight="false" outlineLevel="0" collapsed="false">
      <c r="A92" s="41" t="s">
        <v>1266</v>
      </c>
      <c r="B92" s="26" t="s">
        <v>1267</v>
      </c>
      <c r="C92" s="26" t="n">
        <v>0.3</v>
      </c>
      <c r="D92" s="0" t="s">
        <v>1268</v>
      </c>
      <c r="E92" s="0" t="s">
        <v>1269</v>
      </c>
      <c r="F92" s="0" t="s">
        <v>1127</v>
      </c>
      <c r="G92" s="26" t="s">
        <v>1254</v>
      </c>
      <c r="H92" s="42" t="s">
        <v>1122</v>
      </c>
    </row>
    <row r="93" customFormat="false" ht="12.8" hidden="false" customHeight="false" outlineLevel="0" collapsed="false">
      <c r="A93" s="41" t="s">
        <v>1270</v>
      </c>
      <c r="B93" s="26" t="s">
        <v>1271</v>
      </c>
      <c r="C93" s="26" t="n">
        <v>0.09</v>
      </c>
      <c r="D93" s="0" t="s">
        <v>1272</v>
      </c>
      <c r="E93" s="0" t="s">
        <v>1273</v>
      </c>
      <c r="F93" s="0" t="s">
        <v>1127</v>
      </c>
      <c r="G93" s="26" t="s">
        <v>1274</v>
      </c>
      <c r="H93" s="42" t="s">
        <v>1122</v>
      </c>
    </row>
    <row r="94" customFormat="false" ht="12.8" hidden="false" customHeight="false" outlineLevel="0" collapsed="false">
      <c r="A94" s="41" t="s">
        <v>1275</v>
      </c>
      <c r="B94" s="26" t="s">
        <v>1276</v>
      </c>
      <c r="C94" s="26" t="n">
        <v>0.07</v>
      </c>
      <c r="D94" s="0" t="s">
        <v>1277</v>
      </c>
      <c r="E94" s="0" t="s">
        <v>1278</v>
      </c>
      <c r="F94" s="0" t="s">
        <v>1127</v>
      </c>
      <c r="G94" s="26" t="s">
        <v>1279</v>
      </c>
      <c r="H94" s="42" t="s">
        <v>1122</v>
      </c>
    </row>
    <row r="95" customFormat="false" ht="12.8" hidden="false" customHeight="false" outlineLevel="0" collapsed="false">
      <c r="A95" s="41" t="s">
        <v>1280</v>
      </c>
      <c r="B95" s="26" t="s">
        <v>1281</v>
      </c>
      <c r="C95" s="26" t="n">
        <v>5100000</v>
      </c>
      <c r="D95" s="0" t="s">
        <v>1282</v>
      </c>
      <c r="E95" s="0" t="s">
        <v>1283</v>
      </c>
      <c r="F95" s="0" t="s">
        <v>1120</v>
      </c>
      <c r="G95" s="26" t="s">
        <v>1284</v>
      </c>
      <c r="H95" s="42" t="s">
        <v>1122</v>
      </c>
    </row>
    <row r="96" customFormat="false" ht="12.8" hidden="false" customHeight="false" outlineLevel="0" collapsed="false">
      <c r="A96" s="41" t="s">
        <v>1285</v>
      </c>
      <c r="B96" s="26" t="s">
        <v>1286</v>
      </c>
      <c r="C96" s="26" t="n">
        <v>50000</v>
      </c>
      <c r="D96" s="0" t="s">
        <v>1287</v>
      </c>
      <c r="E96" s="0" t="s">
        <v>1288</v>
      </c>
      <c r="F96" s="0" t="s">
        <v>1120</v>
      </c>
      <c r="G96" s="26" t="s">
        <v>1289</v>
      </c>
      <c r="H96" s="42" t="s">
        <v>1122</v>
      </c>
    </row>
    <row r="97" customFormat="false" ht="12.8" hidden="false" customHeight="false" outlineLevel="0" collapsed="false">
      <c r="A97" s="41" t="s">
        <v>1290</v>
      </c>
      <c r="B97" s="26" t="s">
        <v>1291</v>
      </c>
      <c r="C97" s="26" t="n">
        <v>48988</v>
      </c>
      <c r="D97" s="0" t="s">
        <v>1292</v>
      </c>
      <c r="E97" s="0" t="s">
        <v>1293</v>
      </c>
      <c r="F97" s="0" t="s">
        <v>1120</v>
      </c>
      <c r="G97" s="26" t="s">
        <v>1294</v>
      </c>
      <c r="H97" s="42" t="s">
        <v>1122</v>
      </c>
    </row>
    <row r="98" customFormat="false" ht="12.8" hidden="false" customHeight="false" outlineLevel="0" collapsed="false">
      <c r="A98" s="41" t="s">
        <v>1295</v>
      </c>
      <c r="B98" s="26" t="s">
        <v>1296</v>
      </c>
      <c r="C98" s="26" t="n">
        <v>0.022</v>
      </c>
      <c r="D98" s="0" t="s">
        <v>1297</v>
      </c>
      <c r="E98" s="0" t="s">
        <v>1298</v>
      </c>
      <c r="F98" s="0" t="s">
        <v>1127</v>
      </c>
      <c r="G98" s="26" t="s">
        <v>1299</v>
      </c>
      <c r="H98" s="42" t="s">
        <v>1122</v>
      </c>
    </row>
    <row r="99" customFormat="false" ht="12.8" hidden="false" customHeight="false" outlineLevel="0" collapsed="false">
      <c r="A99" s="41" t="s">
        <v>1300</v>
      </c>
      <c r="B99" s="26" t="s">
        <v>1301</v>
      </c>
      <c r="C99" s="26" t="n">
        <v>0.025</v>
      </c>
      <c r="D99" s="0" t="s">
        <v>1302</v>
      </c>
      <c r="E99" s="0" t="s">
        <v>1303</v>
      </c>
      <c r="F99" s="0" t="s">
        <v>1127</v>
      </c>
      <c r="G99" s="26" t="s">
        <v>1304</v>
      </c>
      <c r="H99" s="42" t="s">
        <v>1122</v>
      </c>
    </row>
    <row r="100" customFormat="false" ht="12.8" hidden="false" customHeight="false" outlineLevel="0" collapsed="false">
      <c r="A100" s="41" t="s">
        <v>1305</v>
      </c>
      <c r="B100" s="26" t="s">
        <v>1306</v>
      </c>
      <c r="C100" s="26" t="n">
        <v>0.75</v>
      </c>
      <c r="D100" s="0" t="s">
        <v>1307</v>
      </c>
      <c r="E100" s="0" t="s">
        <v>1308</v>
      </c>
      <c r="F100" s="0" t="s">
        <v>1127</v>
      </c>
      <c r="G100" s="26" t="s">
        <v>1309</v>
      </c>
      <c r="H100" s="42" t="s">
        <v>1122</v>
      </c>
    </row>
    <row r="101" customFormat="false" ht="12.8" hidden="false" customHeight="false" outlineLevel="0" collapsed="false">
      <c r="A101" s="41" t="s">
        <v>1310</v>
      </c>
      <c r="B101" s="26" t="s">
        <v>1311</v>
      </c>
      <c r="C101" s="26" t="n">
        <v>0.2</v>
      </c>
      <c r="D101" s="0" t="s">
        <v>1312</v>
      </c>
      <c r="E101" s="0" t="s">
        <v>1313</v>
      </c>
      <c r="F101" s="0" t="s">
        <v>1127</v>
      </c>
      <c r="G101" s="26" t="s">
        <v>1314</v>
      </c>
      <c r="H101" s="42" t="s">
        <v>1122</v>
      </c>
    </row>
    <row r="102" customFormat="false" ht="12.8" hidden="false" customHeight="false" outlineLevel="0" collapsed="false">
      <c r="A102" s="41" t="s">
        <v>1315</v>
      </c>
      <c r="B102" s="26" t="s">
        <v>1316</v>
      </c>
      <c r="C102" s="26" t="n">
        <v>0.95</v>
      </c>
      <c r="D102" s="0" t="s">
        <v>1317</v>
      </c>
      <c r="E102" s="0" t="s">
        <v>1318</v>
      </c>
      <c r="F102" s="0" t="s">
        <v>1120</v>
      </c>
      <c r="G102" s="26" t="s">
        <v>1319</v>
      </c>
      <c r="H102" s="42" t="s">
        <v>1122</v>
      </c>
    </row>
    <row r="103" customFormat="false" ht="12.8" hidden="false" customHeight="false" outlineLevel="0" collapsed="false">
      <c r="A103" s="41" t="s">
        <v>1320</v>
      </c>
      <c r="B103" s="26" t="s">
        <v>1321</v>
      </c>
      <c r="C103" s="26" t="n">
        <v>0.6</v>
      </c>
      <c r="D103" s="0" t="s">
        <v>1322</v>
      </c>
      <c r="E103" s="0" t="s">
        <v>1323</v>
      </c>
      <c r="F103" s="0" t="s">
        <v>1127</v>
      </c>
      <c r="G103" s="26" t="s">
        <v>1324</v>
      </c>
      <c r="H103" s="42" t="s">
        <v>1122</v>
      </c>
    </row>
    <row r="104" customFormat="false" ht="12.8" hidden="false" customHeight="false" outlineLevel="0" collapsed="false">
      <c r="A104" s="41" t="s">
        <v>1325</v>
      </c>
      <c r="B104" s="26" t="s">
        <v>1326</v>
      </c>
      <c r="C104" s="26" t="n">
        <v>0.5</v>
      </c>
      <c r="D104" s="0" t="s">
        <v>1327</v>
      </c>
      <c r="E104" s="0" t="s">
        <v>1328</v>
      </c>
      <c r="F104" s="0" t="s">
        <v>1127</v>
      </c>
      <c r="G104" s="26" t="s">
        <v>1329</v>
      </c>
      <c r="H104" s="42" t="s">
        <v>1122</v>
      </c>
    </row>
    <row r="105" customFormat="false" ht="12.8" hidden="false" customHeight="false" outlineLevel="0" collapsed="false">
      <c r="A105" s="41" t="s">
        <v>1330</v>
      </c>
      <c r="B105" s="26" t="s">
        <v>1331</v>
      </c>
      <c r="C105" s="26" t="n">
        <v>1</v>
      </c>
      <c r="D105" s="0" t="s">
        <v>1332</v>
      </c>
      <c r="E105" s="0" t="s">
        <v>1333</v>
      </c>
      <c r="F105" s="0" t="s">
        <v>1120</v>
      </c>
      <c r="G105" s="26" t="s">
        <v>1324</v>
      </c>
      <c r="H105" s="42" t="s">
        <v>1122</v>
      </c>
    </row>
    <row r="106" customFormat="false" ht="12.8" hidden="false" customHeight="false" outlineLevel="0" collapsed="false">
      <c r="A106" s="41" t="s">
        <v>1345</v>
      </c>
      <c r="B106" s="26" t="s">
        <v>1346</v>
      </c>
      <c r="C106" s="26" t="n">
        <v>1420000000</v>
      </c>
      <c r="D106" s="0" t="s">
        <v>1347</v>
      </c>
      <c r="E106" s="0" t="s">
        <v>1348</v>
      </c>
      <c r="F106" s="0" t="s">
        <v>1120</v>
      </c>
      <c r="G106" s="26" t="s">
        <v>1349</v>
      </c>
      <c r="H106" s="42" t="s">
        <v>1122</v>
      </c>
    </row>
    <row r="107" customFormat="false" ht="12.8" hidden="false" customHeight="false" outlineLevel="0" collapsed="false">
      <c r="A107" s="41" t="s">
        <v>1350</v>
      </c>
      <c r="B107" s="26" t="s">
        <v>1351</v>
      </c>
      <c r="C107" s="26" t="n">
        <v>856000000</v>
      </c>
      <c r="D107" s="0" t="s">
        <v>1352</v>
      </c>
      <c r="E107" s="0" t="s">
        <v>1353</v>
      </c>
      <c r="F107" s="0" t="s">
        <v>1127</v>
      </c>
      <c r="G107" s="26" t="s">
        <v>1354</v>
      </c>
      <c r="H107" s="42" t="s">
        <v>1122</v>
      </c>
    </row>
    <row r="108" customFormat="false" ht="12.8" hidden="false" customHeight="false" outlineLevel="0" collapsed="false">
      <c r="A108" s="41" t="s">
        <v>1355</v>
      </c>
      <c r="B108" s="26" t="s">
        <v>1356</v>
      </c>
      <c r="C108" s="26" t="n">
        <v>30000000</v>
      </c>
      <c r="D108" s="0" t="s">
        <v>1357</v>
      </c>
      <c r="E108" s="0" t="s">
        <v>1358</v>
      </c>
      <c r="F108" s="0" t="s">
        <v>1127</v>
      </c>
      <c r="G108" s="26" t="s">
        <v>1359</v>
      </c>
      <c r="H108" s="42" t="s">
        <v>1122</v>
      </c>
    </row>
    <row r="109" customFormat="false" ht="12.8" hidden="false" customHeight="false" outlineLevel="0" collapsed="false">
      <c r="A109" s="41" t="s">
        <v>1360</v>
      </c>
      <c r="B109" s="26" t="s">
        <v>1361</v>
      </c>
      <c r="C109" s="26" t="n">
        <v>0.102</v>
      </c>
      <c r="D109" s="0" t="s">
        <v>1362</v>
      </c>
      <c r="E109" s="0" t="s">
        <v>1363</v>
      </c>
      <c r="F109" s="0" t="s">
        <v>1127</v>
      </c>
      <c r="G109" s="26" t="s">
        <v>1364</v>
      </c>
      <c r="H109" s="42" t="s">
        <v>1122</v>
      </c>
    </row>
    <row r="110" customFormat="false" ht="12.8" hidden="false" customHeight="false" outlineLevel="0" collapsed="false">
      <c r="A110" s="41" t="s">
        <v>1365</v>
      </c>
      <c r="B110" s="26" t="s">
        <v>1366</v>
      </c>
      <c r="C110" s="26" t="n">
        <v>0.102</v>
      </c>
      <c r="D110" s="0" t="s">
        <v>1367</v>
      </c>
      <c r="E110" s="0" t="s">
        <v>1368</v>
      </c>
      <c r="F110" s="0" t="s">
        <v>1127</v>
      </c>
      <c r="G110" s="26" t="s">
        <v>1364</v>
      </c>
      <c r="H110" s="42" t="s">
        <v>1122</v>
      </c>
    </row>
    <row r="111" customFormat="false" ht="12.8" hidden="false" customHeight="false" outlineLevel="0" collapsed="false">
      <c r="A111" s="41" t="s">
        <v>1369</v>
      </c>
      <c r="B111" s="26" t="s">
        <v>1370</v>
      </c>
      <c r="C111" s="26" t="n">
        <v>0.08</v>
      </c>
      <c r="D111" s="0" t="s">
        <v>1371</v>
      </c>
      <c r="E111" s="0" t="s">
        <v>1372</v>
      </c>
      <c r="F111" s="0" t="s">
        <v>1127</v>
      </c>
      <c r="G111" s="26" t="s">
        <v>1373</v>
      </c>
      <c r="H111" s="42" t="s">
        <v>1122</v>
      </c>
    </row>
    <row r="112" customFormat="false" ht="12.8" hidden="false" customHeight="false" outlineLevel="0" collapsed="false">
      <c r="A112" s="41" t="s">
        <v>1374</v>
      </c>
      <c r="B112" s="26" t="s">
        <v>1375</v>
      </c>
      <c r="C112" s="26" t="n">
        <v>0.6</v>
      </c>
      <c r="D112" s="0" t="s">
        <v>1376</v>
      </c>
      <c r="E112" s="0" t="s">
        <v>1377</v>
      </c>
      <c r="F112" s="0" t="s">
        <v>1127</v>
      </c>
      <c r="G112" s="26" t="s">
        <v>1378</v>
      </c>
      <c r="H112" s="42" t="s">
        <v>1122</v>
      </c>
    </row>
    <row r="113" customFormat="false" ht="12.8" hidden="false" customHeight="false" outlineLevel="0" collapsed="false">
      <c r="A113" s="41" t="s">
        <v>1379</v>
      </c>
      <c r="B113" s="26" t="s">
        <v>1380</v>
      </c>
      <c r="C113" s="26" t="n">
        <v>0.0765</v>
      </c>
      <c r="D113" s="0" t="s">
        <v>1381</v>
      </c>
      <c r="E113" s="0" t="s">
        <v>1382</v>
      </c>
      <c r="F113" s="0" t="s">
        <v>1120</v>
      </c>
      <c r="G113" s="26" t="s">
        <v>1249</v>
      </c>
      <c r="H113" s="42" t="s">
        <v>1122</v>
      </c>
    </row>
    <row r="114" customFormat="false" ht="12.8" hidden="false" customHeight="false" outlineLevel="0" collapsed="false">
      <c r="A114" s="41" t="s">
        <v>1383</v>
      </c>
      <c r="B114" s="26" t="s">
        <v>1384</v>
      </c>
      <c r="C114" s="26" t="n">
        <v>0.05</v>
      </c>
      <c r="D114" s="0" t="s">
        <v>1385</v>
      </c>
      <c r="E114" s="0" t="s">
        <v>1386</v>
      </c>
      <c r="F114" s="0" t="s">
        <v>1127</v>
      </c>
      <c r="G114" s="26" t="s">
        <v>1378</v>
      </c>
      <c r="H114" s="42" t="s">
        <v>1122</v>
      </c>
    </row>
    <row r="115" customFormat="false" ht="12.8" hidden="false" customHeight="false" outlineLevel="0" collapsed="false">
      <c r="A115" s="41" t="s">
        <v>1387</v>
      </c>
      <c r="B115" s="26" t="s">
        <v>1388</v>
      </c>
      <c r="C115" s="26" t="n">
        <v>0.153</v>
      </c>
      <c r="D115" s="0" t="s">
        <v>1389</v>
      </c>
      <c r="E115" s="0" t="s">
        <v>1390</v>
      </c>
      <c r="F115" s="0" t="s">
        <v>1120</v>
      </c>
      <c r="G115" s="26" t="s">
        <v>1249</v>
      </c>
      <c r="H115" s="42" t="s">
        <v>1122</v>
      </c>
    </row>
    <row r="116" customFormat="false" ht="12.8" hidden="false" customHeight="false" outlineLevel="0" collapsed="false">
      <c r="A116" s="41" t="s">
        <v>1391</v>
      </c>
      <c r="B116" s="26" t="s">
        <v>1392</v>
      </c>
      <c r="C116" s="26" t="n">
        <v>0.1</v>
      </c>
      <c r="D116" s="0" t="s">
        <v>1393</v>
      </c>
      <c r="E116" s="0" t="s">
        <v>1253</v>
      </c>
      <c r="F116" s="0" t="s">
        <v>1127</v>
      </c>
      <c r="G116" s="26" t="s">
        <v>1378</v>
      </c>
      <c r="H116" s="42" t="s">
        <v>1122</v>
      </c>
    </row>
    <row r="117" customFormat="false" ht="12.8" hidden="false" customHeight="false" outlineLevel="0" collapsed="false">
      <c r="A117" s="41" t="s">
        <v>1394</v>
      </c>
      <c r="B117" s="26" t="s">
        <v>1395</v>
      </c>
      <c r="C117" s="26" t="n">
        <v>0.025</v>
      </c>
      <c r="D117" s="0" t="s">
        <v>1396</v>
      </c>
      <c r="E117" s="0" t="s">
        <v>1397</v>
      </c>
      <c r="F117" s="0" t="s">
        <v>1127</v>
      </c>
      <c r="G117" s="26" t="s">
        <v>1398</v>
      </c>
      <c r="H117" s="42" t="s">
        <v>1122</v>
      </c>
    </row>
    <row r="118" customFormat="false" ht="12.8" hidden="false" customHeight="false" outlineLevel="0" collapsed="false">
      <c r="A118" s="41" t="s">
        <v>1399</v>
      </c>
      <c r="B118" s="26" t="s">
        <v>1400</v>
      </c>
      <c r="C118" s="26" t="n">
        <v>0.2</v>
      </c>
      <c r="D118" s="0" t="s">
        <v>1401</v>
      </c>
      <c r="E118" s="0" t="s">
        <v>1402</v>
      </c>
      <c r="F118" s="0" t="s">
        <v>1127</v>
      </c>
      <c r="G118" s="26" t="s">
        <v>1403</v>
      </c>
      <c r="H118" s="42" t="s">
        <v>1122</v>
      </c>
    </row>
    <row r="119" customFormat="false" ht="12.8" hidden="false" customHeight="false" outlineLevel="0" collapsed="false">
      <c r="A119" s="41" t="s">
        <v>1404</v>
      </c>
      <c r="B119" s="26" t="s">
        <v>1405</v>
      </c>
      <c r="C119" s="26" t="n">
        <v>-0.05</v>
      </c>
      <c r="D119" s="0" t="s">
        <v>1406</v>
      </c>
      <c r="E119" s="0" t="s">
        <v>1407</v>
      </c>
      <c r="F119" s="0" t="s">
        <v>1127</v>
      </c>
      <c r="G119" s="26" t="s">
        <v>1403</v>
      </c>
      <c r="H119" s="42" t="s">
        <v>1122</v>
      </c>
    </row>
    <row r="120" customFormat="false" ht="12.8" hidden="false" customHeight="false" outlineLevel="0" collapsed="false">
      <c r="A120" s="41" t="s">
        <v>1408</v>
      </c>
      <c r="B120" s="26" t="s">
        <v>1409</v>
      </c>
      <c r="C120" s="26" t="n">
        <v>0.3</v>
      </c>
      <c r="D120" s="0" t="s">
        <v>1410</v>
      </c>
      <c r="E120" s="0" t="s">
        <v>1411</v>
      </c>
      <c r="F120" s="0" t="s">
        <v>1127</v>
      </c>
      <c r="G120" s="26" t="s">
        <v>1412</v>
      </c>
      <c r="H120" s="42" t="s">
        <v>1122</v>
      </c>
    </row>
    <row r="121" customFormat="false" ht="12.8" hidden="false" customHeight="false" outlineLevel="0" collapsed="false">
      <c r="A121" s="41" t="s">
        <v>1413</v>
      </c>
      <c r="B121" s="26" t="s">
        <v>1414</v>
      </c>
      <c r="C121" s="26" t="n">
        <v>0.1</v>
      </c>
      <c r="D121" s="0" t="s">
        <v>1415</v>
      </c>
      <c r="E121" s="0" t="s">
        <v>1416</v>
      </c>
      <c r="F121" s="0" t="s">
        <v>1127</v>
      </c>
      <c r="G121" s="26" t="s">
        <v>1204</v>
      </c>
      <c r="H121" s="42" t="s">
        <v>1122</v>
      </c>
    </row>
    <row r="122" customFormat="false" ht="12.8" hidden="false" customHeight="false" outlineLevel="0" collapsed="false">
      <c r="A122" s="41" t="s">
        <v>1417</v>
      </c>
      <c r="B122" s="26" t="s">
        <v>1418</v>
      </c>
      <c r="C122" s="26" t="n">
        <v>1.02</v>
      </c>
      <c r="D122" s="0" t="s">
        <v>1419</v>
      </c>
      <c r="E122" s="0" t="s">
        <v>1420</v>
      </c>
      <c r="F122" s="0" t="s">
        <v>1120</v>
      </c>
      <c r="G122" s="26" t="s">
        <v>1421</v>
      </c>
      <c r="H122" s="42" t="s">
        <v>1122</v>
      </c>
    </row>
    <row r="123" customFormat="false" ht="12.8" hidden="false" customHeight="false" outlineLevel="0" collapsed="false">
      <c r="A123" s="41" t="s">
        <v>1422</v>
      </c>
      <c r="B123" s="26" t="s">
        <v>1423</v>
      </c>
      <c r="C123" s="26" t="n">
        <v>0.1</v>
      </c>
      <c r="D123" s="0" t="s">
        <v>1424</v>
      </c>
      <c r="E123" s="0" t="s">
        <v>1425</v>
      </c>
      <c r="F123" s="0" t="s">
        <v>1127</v>
      </c>
      <c r="G123" s="26" t="s">
        <v>1426</v>
      </c>
      <c r="H123" s="42" t="s">
        <v>1122</v>
      </c>
    </row>
    <row r="124" customFormat="false" ht="12.8" hidden="false" customHeight="false" outlineLevel="0" collapsed="false">
      <c r="A124" s="41" t="s">
        <v>1427</v>
      </c>
      <c r="B124" s="26" t="s">
        <v>1428</v>
      </c>
      <c r="C124" s="26" t="n">
        <v>0.05</v>
      </c>
      <c r="D124" s="0" t="s">
        <v>1429</v>
      </c>
      <c r="E124" s="0" t="s">
        <v>1430</v>
      </c>
      <c r="F124" s="0" t="s">
        <v>1127</v>
      </c>
      <c r="G124" s="26" t="s">
        <v>1177</v>
      </c>
      <c r="H124" s="42" t="s">
        <v>1122</v>
      </c>
    </row>
    <row r="126" customFormat="false" ht="12.8" hidden="false" customHeight="false" outlineLevel="0" collapsed="false">
      <c r="A126" s="43" t="s">
        <v>1431</v>
      </c>
    </row>
    <row r="127" customFormat="false" ht="12.8" hidden="false" customHeight="false" outlineLevel="0" collapsed="false">
      <c r="A127" s="41" t="s">
        <v>1335</v>
      </c>
      <c r="B127" s="26" t="s">
        <v>1336</v>
      </c>
      <c r="C127" s="26" t="s">
        <v>1337</v>
      </c>
      <c r="D127" s="0" t="s">
        <v>1338</v>
      </c>
      <c r="E127" s="0" t="s">
        <v>1339</v>
      </c>
      <c r="F127" s="0" t="s">
        <v>1340</v>
      </c>
      <c r="G127" s="26" t="s">
        <v>1341</v>
      </c>
      <c r="H127" s="26" t="s">
        <v>1342</v>
      </c>
    </row>
    <row r="128" customFormat="false" ht="12.8" hidden="false" customHeight="false" outlineLevel="0" collapsed="false">
      <c r="A128" s="41" t="s">
        <v>562</v>
      </c>
      <c r="B128" s="26" t="s">
        <v>1432</v>
      </c>
      <c r="C128" s="26" t="n">
        <v>2384</v>
      </c>
      <c r="D128" s="0" t="s">
        <v>1433</v>
      </c>
      <c r="E128" s="0" t="s">
        <v>1434</v>
      </c>
      <c r="F128" s="0" t="s">
        <v>1120</v>
      </c>
      <c r="G128" s="26" t="s">
        <v>1435</v>
      </c>
      <c r="H128" s="42" t="s">
        <v>1122</v>
      </c>
    </row>
    <row r="129" customFormat="false" ht="12.8" hidden="false" customHeight="false" outlineLevel="0" collapsed="false">
      <c r="A129" s="41" t="s">
        <v>567</v>
      </c>
      <c r="B129" s="26" t="s">
        <v>1436</v>
      </c>
      <c r="C129" s="26" t="n">
        <v>1.05</v>
      </c>
      <c r="D129" s="0" t="s">
        <v>1437</v>
      </c>
      <c r="E129" s="0" t="s">
        <v>1438</v>
      </c>
      <c r="F129" s="0" t="s">
        <v>1127</v>
      </c>
      <c r="G129" s="26" t="s">
        <v>1439</v>
      </c>
      <c r="H129" s="42" t="s">
        <v>1122</v>
      </c>
    </row>
    <row r="130" customFormat="false" ht="12.8" hidden="false" customHeight="false" outlineLevel="0" collapsed="false">
      <c r="A130" s="41" t="s">
        <v>572</v>
      </c>
      <c r="B130" s="26" t="s">
        <v>1440</v>
      </c>
      <c r="C130" s="26" t="n">
        <v>1.1</v>
      </c>
      <c r="D130" s="0" t="s">
        <v>1441</v>
      </c>
      <c r="E130" s="0" t="s">
        <v>1442</v>
      </c>
      <c r="F130" s="0" t="s">
        <v>1127</v>
      </c>
      <c r="G130" s="26" t="s">
        <v>1443</v>
      </c>
      <c r="H130" s="42" t="s">
        <v>1122</v>
      </c>
    </row>
    <row r="131" customFormat="false" ht="12.8" hidden="false" customHeight="false" outlineLevel="0" collapsed="false">
      <c r="A131" s="41" t="s">
        <v>577</v>
      </c>
      <c r="B131" s="26" t="s">
        <v>1444</v>
      </c>
      <c r="C131" s="26" t="n">
        <v>1.03</v>
      </c>
      <c r="D131" s="0" t="s">
        <v>1445</v>
      </c>
      <c r="E131" s="0" t="s">
        <v>1446</v>
      </c>
      <c r="F131" s="0" t="s">
        <v>1127</v>
      </c>
      <c r="G131" s="26" t="s">
        <v>1221</v>
      </c>
      <c r="H131" s="42" t="s">
        <v>1122</v>
      </c>
    </row>
    <row r="132" customFormat="false" ht="12.8" hidden="false" customHeight="false" outlineLevel="0" collapsed="false">
      <c r="A132" s="41" t="s">
        <v>582</v>
      </c>
      <c r="B132" s="26" t="s">
        <v>1447</v>
      </c>
      <c r="C132" s="26" t="n">
        <v>1.02</v>
      </c>
      <c r="D132" s="0" t="s">
        <v>1448</v>
      </c>
      <c r="E132" s="0" t="s">
        <v>1449</v>
      </c>
      <c r="F132" s="0" t="s">
        <v>1120</v>
      </c>
      <c r="G132" s="26" t="s">
        <v>1450</v>
      </c>
      <c r="H132" s="42" t="s">
        <v>1122</v>
      </c>
    </row>
    <row r="133" customFormat="false" ht="12.8" hidden="false" customHeight="false" outlineLevel="0" collapsed="false">
      <c r="A133" s="41" t="s">
        <v>1451</v>
      </c>
      <c r="B133" s="26" t="s">
        <v>1452</v>
      </c>
      <c r="C133" s="26" t="n">
        <v>0.98</v>
      </c>
      <c r="D133" s="0" t="s">
        <v>1453</v>
      </c>
      <c r="E133" s="0" t="s">
        <v>1454</v>
      </c>
      <c r="F133" s="0" t="s">
        <v>1120</v>
      </c>
      <c r="G133" s="26" t="s">
        <v>1450</v>
      </c>
      <c r="H133" s="42" t="s">
        <v>1122</v>
      </c>
    </row>
    <row r="135" customFormat="false" ht="12.8" hidden="false" customHeight="false" outlineLevel="0" collapsed="false">
      <c r="A135" s="43" t="s">
        <v>1455</v>
      </c>
    </row>
    <row r="136" customFormat="false" ht="12.8" hidden="false" customHeight="false" outlineLevel="0" collapsed="false">
      <c r="A136" s="41" t="s">
        <v>1335</v>
      </c>
      <c r="B136" s="26" t="s">
        <v>1336</v>
      </c>
      <c r="C136" s="26" t="s">
        <v>1337</v>
      </c>
      <c r="D136" s="0" t="s">
        <v>1338</v>
      </c>
      <c r="E136" s="0" t="s">
        <v>1339</v>
      </c>
      <c r="F136" s="0" t="s">
        <v>1340</v>
      </c>
      <c r="G136" s="26" t="s">
        <v>1341</v>
      </c>
      <c r="H136" s="26" t="s">
        <v>1342</v>
      </c>
    </row>
    <row r="137" customFormat="false" ht="12.8" hidden="false" customHeight="false" outlineLevel="0" collapsed="false">
      <c r="A137" s="41" t="s">
        <v>613</v>
      </c>
      <c r="B137" s="26" t="s">
        <v>1456</v>
      </c>
      <c r="C137" s="26" t="n">
        <v>0.577</v>
      </c>
      <c r="D137" s="0" t="s">
        <v>1457</v>
      </c>
      <c r="E137" s="0" t="s">
        <v>1458</v>
      </c>
      <c r="F137" s="0" t="s">
        <v>1120</v>
      </c>
      <c r="G137" s="26" t="s">
        <v>1459</v>
      </c>
      <c r="H137" s="42" t="s">
        <v>1122</v>
      </c>
    </row>
    <row r="138" customFormat="false" ht="12.8" hidden="false" customHeight="false" outlineLevel="0" collapsed="false">
      <c r="A138" s="41" t="s">
        <v>618</v>
      </c>
      <c r="B138" s="26" t="s">
        <v>1460</v>
      </c>
      <c r="C138" s="26" t="n">
        <v>0.96</v>
      </c>
      <c r="D138" s="0" t="s">
        <v>1461</v>
      </c>
      <c r="E138" s="0" t="s">
        <v>1462</v>
      </c>
      <c r="F138" s="0" t="s">
        <v>1127</v>
      </c>
      <c r="G138" s="26" t="s">
        <v>1463</v>
      </c>
      <c r="H138" s="42" t="s">
        <v>1122</v>
      </c>
    </row>
    <row r="139" customFormat="false" ht="12.8" hidden="false" customHeight="false" outlineLevel="0" collapsed="false">
      <c r="A139" s="41" t="s">
        <v>622</v>
      </c>
      <c r="B139" s="26" t="s">
        <v>1464</v>
      </c>
      <c r="C139" s="26" t="n">
        <v>1.08</v>
      </c>
      <c r="D139" s="0" t="s">
        <v>1465</v>
      </c>
      <c r="E139" s="0" t="s">
        <v>1466</v>
      </c>
      <c r="F139" s="0" t="s">
        <v>1127</v>
      </c>
      <c r="G139" s="26" t="s">
        <v>1443</v>
      </c>
      <c r="H139" s="42" t="s">
        <v>1122</v>
      </c>
    </row>
    <row r="140" customFormat="false" ht="12.8" hidden="false" customHeight="false" outlineLevel="0" collapsed="false">
      <c r="A140" s="41" t="s">
        <v>626</v>
      </c>
      <c r="B140" s="26" t="s">
        <v>1467</v>
      </c>
      <c r="C140" s="26" t="n">
        <v>1.04</v>
      </c>
      <c r="D140" s="0" t="s">
        <v>1468</v>
      </c>
      <c r="E140" s="0" t="s">
        <v>1469</v>
      </c>
      <c r="F140" s="0" t="s">
        <v>1127</v>
      </c>
      <c r="G140" s="26" t="s">
        <v>1221</v>
      </c>
      <c r="H140" s="42" t="s">
        <v>1122</v>
      </c>
    </row>
    <row r="141" customFormat="false" ht="12.8" hidden="false" customHeight="false" outlineLevel="0" collapsed="false">
      <c r="A141" s="41" t="s">
        <v>629</v>
      </c>
      <c r="B141" s="26" t="s">
        <v>1470</v>
      </c>
      <c r="C141" s="26" t="n">
        <v>0.35</v>
      </c>
      <c r="D141" s="0" t="s">
        <v>1471</v>
      </c>
      <c r="E141" s="0" t="s">
        <v>1472</v>
      </c>
      <c r="F141" s="0" t="s">
        <v>1127</v>
      </c>
      <c r="G141" s="26" t="s">
        <v>1473</v>
      </c>
      <c r="H141" s="42" t="s">
        <v>1122</v>
      </c>
    </row>
    <row r="142" customFormat="false" ht="12.8" hidden="false" customHeight="false" outlineLevel="0" collapsed="false">
      <c r="A142" s="41" t="s">
        <v>1474</v>
      </c>
      <c r="B142" s="26" t="s">
        <v>1475</v>
      </c>
      <c r="C142" s="26" t="n">
        <v>0.45</v>
      </c>
      <c r="D142" s="0" t="s">
        <v>1476</v>
      </c>
      <c r="E142" s="0" t="s">
        <v>1477</v>
      </c>
      <c r="F142" s="0" t="s">
        <v>1120</v>
      </c>
      <c r="G142" s="26" t="s">
        <v>1221</v>
      </c>
      <c r="H142" s="42" t="s">
        <v>1122</v>
      </c>
    </row>
    <row r="144" customFormat="false" ht="12.8" hidden="false" customHeight="false" outlineLevel="0" collapsed="false">
      <c r="A144" s="43" t="s">
        <v>1478</v>
      </c>
    </row>
    <row r="145" customFormat="false" ht="12.8" hidden="false" customHeight="false" outlineLevel="0" collapsed="false">
      <c r="A145" s="41" t="s">
        <v>1335</v>
      </c>
      <c r="B145" s="26" t="s">
        <v>1336</v>
      </c>
      <c r="C145" s="26" t="s">
        <v>1337</v>
      </c>
      <c r="D145" s="0" t="s">
        <v>1338</v>
      </c>
      <c r="E145" s="0" t="s">
        <v>1339</v>
      </c>
      <c r="F145" s="0" t="s">
        <v>1340</v>
      </c>
      <c r="G145" s="26" t="s">
        <v>1341</v>
      </c>
      <c r="H145" s="26" t="s">
        <v>1342</v>
      </c>
    </row>
    <row r="146" customFormat="false" ht="12.8" hidden="false" customHeight="false" outlineLevel="0" collapsed="false">
      <c r="A146" s="41" t="s">
        <v>589</v>
      </c>
      <c r="B146" s="26" t="s">
        <v>1479</v>
      </c>
      <c r="C146" s="26" t="n">
        <v>0.561</v>
      </c>
      <c r="D146" s="0" t="s">
        <v>1480</v>
      </c>
      <c r="E146" s="0" t="s">
        <v>1481</v>
      </c>
      <c r="F146" s="0" t="s">
        <v>1120</v>
      </c>
      <c r="G146" s="26" t="s">
        <v>1482</v>
      </c>
      <c r="H146" s="42" t="s">
        <v>1122</v>
      </c>
    </row>
    <row r="147" customFormat="false" ht="12.8" hidden="false" customHeight="false" outlineLevel="0" collapsed="false">
      <c r="A147" s="41" t="s">
        <v>594</v>
      </c>
      <c r="B147" s="26" t="s">
        <v>1483</v>
      </c>
      <c r="C147" s="26" t="n">
        <v>0.95</v>
      </c>
      <c r="D147" s="0" t="s">
        <v>1484</v>
      </c>
      <c r="E147" s="0" t="s">
        <v>1485</v>
      </c>
      <c r="F147" s="0" t="s">
        <v>1127</v>
      </c>
      <c r="G147" s="26" t="s">
        <v>1486</v>
      </c>
      <c r="H147" s="42" t="s">
        <v>1122</v>
      </c>
    </row>
    <row r="148" customFormat="false" ht="12.8" hidden="false" customHeight="false" outlineLevel="0" collapsed="false">
      <c r="A148" s="41" t="s">
        <v>598</v>
      </c>
      <c r="B148" s="26" t="s">
        <v>1487</v>
      </c>
      <c r="C148" s="26" t="n">
        <v>0.92</v>
      </c>
      <c r="D148" s="0" t="s">
        <v>1488</v>
      </c>
      <c r="E148" s="0" t="s">
        <v>1489</v>
      </c>
      <c r="F148" s="0" t="s">
        <v>1127</v>
      </c>
      <c r="G148" s="26" t="s">
        <v>1443</v>
      </c>
      <c r="H148" s="42" t="s">
        <v>1122</v>
      </c>
    </row>
    <row r="149" customFormat="false" ht="12.8" hidden="false" customHeight="false" outlineLevel="0" collapsed="false">
      <c r="A149" s="41" t="s">
        <v>603</v>
      </c>
      <c r="B149" s="26" t="s">
        <v>1490</v>
      </c>
      <c r="C149" s="26" t="n">
        <v>1.02</v>
      </c>
      <c r="D149" s="0" t="s">
        <v>1491</v>
      </c>
      <c r="E149" s="0" t="s">
        <v>1492</v>
      </c>
      <c r="F149" s="0" t="s">
        <v>1127</v>
      </c>
      <c r="G149" s="26" t="s">
        <v>1221</v>
      </c>
      <c r="H149" s="42" t="s">
        <v>1122</v>
      </c>
    </row>
    <row r="150" customFormat="false" ht="12.8" hidden="false" customHeight="false" outlineLevel="0" collapsed="false">
      <c r="A150" s="41" t="s">
        <v>606</v>
      </c>
      <c r="B150" s="26" t="s">
        <v>1493</v>
      </c>
      <c r="C150" s="26" t="n">
        <v>1.05</v>
      </c>
      <c r="D150" s="0" t="s">
        <v>1494</v>
      </c>
      <c r="E150" s="0" t="s">
        <v>1495</v>
      </c>
      <c r="F150" s="0" t="s">
        <v>1120</v>
      </c>
      <c r="G150" s="26" t="s">
        <v>1496</v>
      </c>
      <c r="H150" s="42" t="s">
        <v>1122</v>
      </c>
    </row>
    <row r="151" customFormat="false" ht="12.8" hidden="false" customHeight="false" outlineLevel="0" collapsed="false">
      <c r="A151" s="41" t="s">
        <v>1497</v>
      </c>
      <c r="B151" s="26" t="s">
        <v>1498</v>
      </c>
      <c r="C151" s="26" t="n">
        <v>0.023</v>
      </c>
      <c r="D151" s="0" t="s">
        <v>1499</v>
      </c>
      <c r="E151" s="0" t="s">
        <v>1500</v>
      </c>
      <c r="F151" s="0" t="s">
        <v>1120</v>
      </c>
      <c r="G151" s="26" t="s">
        <v>1501</v>
      </c>
      <c r="H151" s="42" t="s">
        <v>1122</v>
      </c>
    </row>
    <row r="152" customFormat="false" ht="12.8" hidden="false" customHeight="false" outlineLevel="0" collapsed="false">
      <c r="A152" s="41" t="s">
        <v>1502</v>
      </c>
      <c r="B152" s="26" t="s">
        <v>1503</v>
      </c>
      <c r="C152" s="26" t="n">
        <v>0.01</v>
      </c>
      <c r="D152" s="0" t="s">
        <v>1504</v>
      </c>
      <c r="E152" s="0" t="s">
        <v>1505</v>
      </c>
      <c r="F152" s="0" t="s">
        <v>1127</v>
      </c>
      <c r="G152" s="26" t="s">
        <v>1506</v>
      </c>
      <c r="H152" s="42" t="s">
        <v>1122</v>
      </c>
    </row>
    <row r="154" customFormat="false" ht="12.8" hidden="false" customHeight="false" outlineLevel="0" collapsed="false">
      <c r="A154" s="44" t="s">
        <v>1507</v>
      </c>
    </row>
    <row r="155" customFormat="false" ht="12.8" hidden="false" customHeight="false" outlineLevel="0" collapsed="false">
      <c r="A155" s="41" t="s">
        <v>1335</v>
      </c>
      <c r="B155" s="26" t="s">
        <v>1336</v>
      </c>
      <c r="C155" s="26" t="s">
        <v>1337</v>
      </c>
      <c r="D155" s="0" t="s">
        <v>1338</v>
      </c>
      <c r="E155" s="0" t="s">
        <v>1339</v>
      </c>
      <c r="F155" s="0" t="s">
        <v>1340</v>
      </c>
      <c r="G155" s="26" t="s">
        <v>1341</v>
      </c>
      <c r="H155" s="26" t="s">
        <v>1342</v>
      </c>
    </row>
    <row r="156" customFormat="false" ht="12.8" hidden="false" customHeight="false" outlineLevel="0" collapsed="false">
      <c r="A156" s="41" t="s">
        <v>636</v>
      </c>
      <c r="B156" s="26" t="s">
        <v>1508</v>
      </c>
      <c r="C156" s="26" t="n">
        <v>0.027</v>
      </c>
      <c r="D156" s="0" t="s">
        <v>1509</v>
      </c>
      <c r="E156" s="0" t="s">
        <v>1510</v>
      </c>
      <c r="F156" s="0" t="s">
        <v>1120</v>
      </c>
      <c r="G156" s="26" t="s">
        <v>1511</v>
      </c>
      <c r="H156" s="42" t="s">
        <v>1122</v>
      </c>
    </row>
    <row r="157" customFormat="false" ht="12.8" hidden="false" customHeight="false" outlineLevel="0" collapsed="false">
      <c r="A157" s="41" t="s">
        <v>641</v>
      </c>
      <c r="B157" s="26" t="s">
        <v>1512</v>
      </c>
      <c r="C157" s="26" t="n">
        <v>1.15</v>
      </c>
      <c r="D157" s="0" t="s">
        <v>1513</v>
      </c>
      <c r="E157" s="0" t="s">
        <v>1514</v>
      </c>
      <c r="F157" s="0" t="s">
        <v>1127</v>
      </c>
      <c r="G157" s="26" t="s">
        <v>1515</v>
      </c>
      <c r="H157" s="42" t="s">
        <v>1122</v>
      </c>
    </row>
    <row r="158" customFormat="false" ht="12.8" hidden="false" customHeight="false" outlineLevel="0" collapsed="false">
      <c r="A158" s="41" t="s">
        <v>646</v>
      </c>
      <c r="B158" s="26" t="s">
        <v>1516</v>
      </c>
      <c r="C158" s="26" t="n">
        <v>1.7</v>
      </c>
      <c r="D158" s="0" t="s">
        <v>1517</v>
      </c>
      <c r="E158" s="0" t="s">
        <v>1518</v>
      </c>
      <c r="F158" s="0" t="s">
        <v>1127</v>
      </c>
      <c r="G158" s="26" t="s">
        <v>1519</v>
      </c>
      <c r="H158" s="42" t="s">
        <v>1122</v>
      </c>
    </row>
    <row r="159" customFormat="false" ht="12.8" hidden="false" customHeight="false" outlineLevel="0" collapsed="false">
      <c r="A159" s="41" t="s">
        <v>651</v>
      </c>
      <c r="B159" s="26" t="s">
        <v>1520</v>
      </c>
      <c r="C159" s="26" t="n">
        <v>0.95</v>
      </c>
      <c r="D159" s="0" t="s">
        <v>1521</v>
      </c>
      <c r="E159" s="0" t="s">
        <v>1522</v>
      </c>
      <c r="F159" s="0" t="s">
        <v>1127</v>
      </c>
      <c r="G159" s="26" t="s">
        <v>1523</v>
      </c>
      <c r="H159" s="42" t="s">
        <v>1122</v>
      </c>
    </row>
    <row r="160" customFormat="false" ht="12.8" hidden="false" customHeight="false" outlineLevel="0" collapsed="false">
      <c r="A160" s="41" t="s">
        <v>655</v>
      </c>
      <c r="B160" s="26" t="s">
        <v>1524</v>
      </c>
      <c r="C160" s="26" t="n">
        <v>0.055</v>
      </c>
      <c r="D160" s="0" t="s">
        <v>1525</v>
      </c>
      <c r="E160" s="0" t="s">
        <v>1526</v>
      </c>
      <c r="F160" s="0" t="s">
        <v>1120</v>
      </c>
      <c r="G160" s="26" t="s">
        <v>1527</v>
      </c>
      <c r="H160" s="42" t="s">
        <v>1122</v>
      </c>
    </row>
    <row r="161" customFormat="false" ht="12.8" hidden="false" customHeight="false" outlineLevel="0" collapsed="false">
      <c r="A161" s="41" t="s">
        <v>1528</v>
      </c>
      <c r="B161" s="26" t="s">
        <v>1529</v>
      </c>
      <c r="C161" s="26" t="n">
        <v>0.029</v>
      </c>
      <c r="D161" s="0" t="s">
        <v>1530</v>
      </c>
      <c r="E161" s="0" t="s">
        <v>1531</v>
      </c>
      <c r="F161" s="0" t="s">
        <v>1120</v>
      </c>
      <c r="G161" s="26" t="s">
        <v>1532</v>
      </c>
      <c r="H161" s="42" t="s">
        <v>1122</v>
      </c>
    </row>
    <row r="163" customFormat="false" ht="12.8" hidden="false" customHeight="false" outlineLevel="0" collapsed="false">
      <c r="A163" s="44" t="s">
        <v>1533</v>
      </c>
    </row>
    <row r="164" customFormat="false" ht="12.8" hidden="false" customHeight="false" outlineLevel="0" collapsed="false">
      <c r="A164" s="41" t="s">
        <v>1335</v>
      </c>
      <c r="B164" s="26" t="s">
        <v>1336</v>
      </c>
      <c r="C164" s="26" t="s">
        <v>1337</v>
      </c>
      <c r="D164" s="0" t="s">
        <v>1338</v>
      </c>
      <c r="E164" s="0" t="s">
        <v>1339</v>
      </c>
      <c r="F164" s="0" t="s">
        <v>1340</v>
      </c>
      <c r="G164" s="26" t="s">
        <v>1341</v>
      </c>
      <c r="H164" s="26" t="s">
        <v>1342</v>
      </c>
    </row>
    <row r="165" customFormat="false" ht="12.8" hidden="false" customHeight="false" outlineLevel="0" collapsed="false">
      <c r="A165" s="41" t="s">
        <v>662</v>
      </c>
      <c r="B165" s="26" t="s">
        <v>1534</v>
      </c>
      <c r="C165" s="26" t="n">
        <v>0.0675</v>
      </c>
      <c r="D165" s="0" t="s">
        <v>1535</v>
      </c>
      <c r="E165" s="0" t="s">
        <v>1536</v>
      </c>
      <c r="F165" s="0" t="s">
        <v>1127</v>
      </c>
      <c r="G165" s="26" t="s">
        <v>1537</v>
      </c>
      <c r="H165" s="42" t="s">
        <v>1122</v>
      </c>
    </row>
    <row r="166" customFormat="false" ht="12.8" hidden="false" customHeight="false" outlineLevel="0" collapsed="false">
      <c r="A166" s="41" t="s">
        <v>667</v>
      </c>
      <c r="B166" s="26" t="s">
        <v>1538</v>
      </c>
      <c r="C166" s="26" t="n">
        <v>2.5</v>
      </c>
      <c r="D166" s="0" t="s">
        <v>1539</v>
      </c>
      <c r="E166" s="0" t="s">
        <v>1540</v>
      </c>
      <c r="F166" s="0" t="s">
        <v>1127</v>
      </c>
      <c r="G166" s="26" t="s">
        <v>1541</v>
      </c>
      <c r="H166" s="42" t="s">
        <v>1122</v>
      </c>
    </row>
    <row r="167" customFormat="false" ht="12.8" hidden="false" customHeight="false" outlineLevel="0" collapsed="false">
      <c r="A167" s="41" t="s">
        <v>671</v>
      </c>
      <c r="B167" s="26" t="s">
        <v>1542</v>
      </c>
      <c r="C167" s="26" t="n">
        <v>2.5</v>
      </c>
      <c r="D167" s="0" t="s">
        <v>1543</v>
      </c>
      <c r="E167" s="0" t="s">
        <v>1544</v>
      </c>
      <c r="F167" s="0" t="s">
        <v>1127</v>
      </c>
      <c r="G167" s="26" t="s">
        <v>1545</v>
      </c>
      <c r="H167" s="42" t="s">
        <v>1122</v>
      </c>
    </row>
    <row r="168" customFormat="false" ht="12.8" hidden="false" customHeight="false" outlineLevel="0" collapsed="false">
      <c r="A168" s="41" t="s">
        <v>675</v>
      </c>
      <c r="B168" s="26" t="s">
        <v>1546</v>
      </c>
      <c r="C168" s="26" t="n">
        <v>2.5</v>
      </c>
      <c r="D168" s="0" t="s">
        <v>1547</v>
      </c>
      <c r="E168" s="0" t="s">
        <v>1548</v>
      </c>
      <c r="F168" s="0" t="s">
        <v>1127</v>
      </c>
      <c r="G168" s="26" t="s">
        <v>1549</v>
      </c>
      <c r="H168" s="42" t="s">
        <v>1122</v>
      </c>
    </row>
    <row r="169" customFormat="false" ht="12.8" hidden="false" customHeight="false" outlineLevel="0" collapsed="false">
      <c r="A169" s="41" t="s">
        <v>678</v>
      </c>
      <c r="B169" s="26" t="s">
        <v>1550</v>
      </c>
      <c r="C169" s="26" t="n">
        <v>1.67</v>
      </c>
      <c r="D169" s="0" t="s">
        <v>1551</v>
      </c>
      <c r="E169" s="0" t="s">
        <v>1552</v>
      </c>
      <c r="F169" s="0" t="s">
        <v>1127</v>
      </c>
      <c r="G169" s="26" t="s">
        <v>1553</v>
      </c>
      <c r="H169" s="42" t="s">
        <v>1122</v>
      </c>
    </row>
    <row r="170" customFormat="false" ht="12.8" hidden="false" customHeight="false" outlineLevel="0" collapsed="false">
      <c r="A170" s="41" t="s">
        <v>1554</v>
      </c>
      <c r="B170" s="26" t="s">
        <v>1555</v>
      </c>
      <c r="C170" s="26" t="n">
        <v>1</v>
      </c>
      <c r="D170" s="0" t="s">
        <v>1556</v>
      </c>
      <c r="E170" s="0" t="s">
        <v>1557</v>
      </c>
      <c r="F170" s="0" t="s">
        <v>1127</v>
      </c>
      <c r="G170" s="26" t="s">
        <v>1558</v>
      </c>
      <c r="H170" s="42" t="s">
        <v>1122</v>
      </c>
    </row>
    <row r="171" customFormat="false" ht="12.8" hidden="false" customHeight="false" outlineLevel="0" collapsed="false">
      <c r="A171" s="41" t="s">
        <v>1559</v>
      </c>
      <c r="B171" s="26" t="s">
        <v>1560</v>
      </c>
      <c r="C171" s="26" t="n">
        <v>0.9</v>
      </c>
      <c r="D171" s="0" t="s">
        <v>1561</v>
      </c>
      <c r="E171" s="0" t="s">
        <v>1562</v>
      </c>
      <c r="F171" s="0" t="s">
        <v>1120</v>
      </c>
      <c r="G171" s="26" t="s">
        <v>1563</v>
      </c>
      <c r="H171" s="42" t="s">
        <v>1122</v>
      </c>
    </row>
    <row r="173" customFormat="false" ht="12.8" hidden="false" customHeight="false" outlineLevel="0" collapsed="false">
      <c r="A173" s="45" t="s">
        <v>1564</v>
      </c>
    </row>
    <row r="174" customFormat="false" ht="12.8" hidden="false" customHeight="false" outlineLevel="0" collapsed="false">
      <c r="A174" s="41" t="s">
        <v>1335</v>
      </c>
      <c r="B174" s="26" t="s">
        <v>1336</v>
      </c>
      <c r="C174" s="26" t="s">
        <v>1337</v>
      </c>
      <c r="D174" s="0" t="s">
        <v>1338</v>
      </c>
      <c r="E174" s="0" t="s">
        <v>1339</v>
      </c>
      <c r="F174" s="0" t="s">
        <v>1340</v>
      </c>
      <c r="G174" s="26" t="s">
        <v>1341</v>
      </c>
      <c r="H174" s="26" t="s">
        <v>1342</v>
      </c>
    </row>
    <row r="175" customFormat="false" ht="12.8" hidden="false" customHeight="false" outlineLevel="0" collapsed="false">
      <c r="A175" s="41" t="s">
        <v>685</v>
      </c>
      <c r="B175" s="26" t="s">
        <v>1565</v>
      </c>
      <c r="C175" s="26" t="n">
        <v>31.96</v>
      </c>
      <c r="D175" s="0" t="s">
        <v>1566</v>
      </c>
      <c r="E175" s="0" t="s">
        <v>1567</v>
      </c>
      <c r="F175" s="0" t="s">
        <v>1120</v>
      </c>
      <c r="G175" s="26" t="s">
        <v>1568</v>
      </c>
      <c r="H175" s="42" t="s">
        <v>1122</v>
      </c>
    </row>
    <row r="176" customFormat="false" ht="12.8" hidden="false" customHeight="false" outlineLevel="0" collapsed="false">
      <c r="A176" s="41" t="s">
        <v>690</v>
      </c>
      <c r="B176" s="26" t="s">
        <v>1569</v>
      </c>
      <c r="C176" s="26" t="n">
        <v>1.05</v>
      </c>
      <c r="D176" s="0" t="s">
        <v>1570</v>
      </c>
      <c r="E176" s="0" t="s">
        <v>1571</v>
      </c>
      <c r="F176" s="0" t="s">
        <v>1120</v>
      </c>
      <c r="G176" s="26" t="s">
        <v>1572</v>
      </c>
      <c r="H176" s="42" t="s">
        <v>1122</v>
      </c>
    </row>
    <row r="177" customFormat="false" ht="12.8" hidden="false" customHeight="false" outlineLevel="0" collapsed="false">
      <c r="A177" s="41" t="s">
        <v>694</v>
      </c>
      <c r="B177" s="26" t="s">
        <v>1573</v>
      </c>
      <c r="C177" s="26" t="n">
        <v>0.85</v>
      </c>
      <c r="D177" s="0" t="s">
        <v>1574</v>
      </c>
      <c r="E177" s="0" t="s">
        <v>1575</v>
      </c>
      <c r="F177" s="0" t="s">
        <v>1127</v>
      </c>
      <c r="G177" s="26" t="s">
        <v>1576</v>
      </c>
      <c r="H177" s="42" t="s">
        <v>1122</v>
      </c>
    </row>
    <row r="178" customFormat="false" ht="12.8" hidden="false" customHeight="false" outlineLevel="0" collapsed="false">
      <c r="A178" s="41" t="s">
        <v>698</v>
      </c>
      <c r="B178" s="26" t="s">
        <v>1577</v>
      </c>
      <c r="C178" s="26" t="n">
        <v>1.01</v>
      </c>
      <c r="D178" s="0" t="s">
        <v>1578</v>
      </c>
      <c r="E178" s="0" t="s">
        <v>1579</v>
      </c>
      <c r="F178" s="0" t="s">
        <v>1127</v>
      </c>
      <c r="G178" s="26" t="s">
        <v>1580</v>
      </c>
      <c r="H178" s="42" t="s">
        <v>1122</v>
      </c>
    </row>
    <row r="179" customFormat="false" ht="12.8" hidden="false" customHeight="false" outlineLevel="0" collapsed="false">
      <c r="A179" s="41" t="s">
        <v>702</v>
      </c>
      <c r="B179" s="26" t="s">
        <v>1581</v>
      </c>
      <c r="C179" s="26" t="n">
        <v>15.2</v>
      </c>
      <c r="D179" s="0" t="s">
        <v>1582</v>
      </c>
      <c r="E179" s="0" t="s">
        <v>1583</v>
      </c>
      <c r="F179" s="0" t="s">
        <v>1120</v>
      </c>
      <c r="G179" s="26" t="s">
        <v>1584</v>
      </c>
      <c r="H179" s="42" t="s">
        <v>1122</v>
      </c>
    </row>
    <row r="180" customFormat="false" ht="12.8" hidden="false" customHeight="false" outlineLevel="0" collapsed="false">
      <c r="A180" s="41" t="s">
        <v>1585</v>
      </c>
      <c r="B180" s="26" t="s">
        <v>1586</v>
      </c>
      <c r="C180" s="26" t="n">
        <v>24.7</v>
      </c>
      <c r="D180" s="0" t="s">
        <v>1587</v>
      </c>
      <c r="E180" s="0" t="s">
        <v>1588</v>
      </c>
      <c r="F180" s="0" t="s">
        <v>1120</v>
      </c>
      <c r="G180" s="26" t="s">
        <v>1532</v>
      </c>
      <c r="H180" s="42" t="s">
        <v>1122</v>
      </c>
    </row>
    <row r="181" customFormat="false" ht="12.8" hidden="false" customHeight="false" outlineLevel="0" collapsed="false">
      <c r="A181" s="41" t="s">
        <v>1589</v>
      </c>
      <c r="B181" s="26" t="s">
        <v>1590</v>
      </c>
      <c r="C181" s="26" t="n">
        <v>0.9</v>
      </c>
      <c r="D181" s="0" t="s">
        <v>1591</v>
      </c>
      <c r="E181" s="0" t="s">
        <v>1592</v>
      </c>
      <c r="F181" s="0" t="s">
        <v>1127</v>
      </c>
      <c r="G181" s="26" t="s">
        <v>1593</v>
      </c>
      <c r="H181" s="42" t="s">
        <v>1122</v>
      </c>
    </row>
    <row r="183" customFormat="false" ht="12.8" hidden="false" customHeight="false" outlineLevel="0" collapsed="false">
      <c r="A183" s="0" t="s">
        <v>1594</v>
      </c>
      <c r="B183" s="0"/>
      <c r="C183" s="0"/>
      <c r="G183" s="0"/>
      <c r="H183" s="0"/>
    </row>
    <row r="184" customFormat="false" ht="12.8" hidden="false" customHeight="false" outlineLevel="0" collapsed="false">
      <c r="A184" s="0" t="s">
        <v>1335</v>
      </c>
      <c r="B184" s="0" t="s">
        <v>1336</v>
      </c>
      <c r="C184" s="0" t="s">
        <v>1337</v>
      </c>
      <c r="D184" s="0" t="s">
        <v>1338</v>
      </c>
      <c r="E184" s="0" t="s">
        <v>1339</v>
      </c>
      <c r="F184" s="0" t="s">
        <v>1340</v>
      </c>
      <c r="G184" s="0" t="s">
        <v>1341</v>
      </c>
      <c r="H184" s="0" t="s">
        <v>1342</v>
      </c>
    </row>
    <row r="185" customFormat="false" ht="12.8" hidden="false" customHeight="false" outlineLevel="0" collapsed="false">
      <c r="A185" s="0" t="s">
        <v>709</v>
      </c>
      <c r="B185" s="0" t="s">
        <v>1595</v>
      </c>
      <c r="C185" s="0" t="n">
        <v>66400</v>
      </c>
      <c r="D185" s="0" t="s">
        <v>1596</v>
      </c>
      <c r="E185" s="0" t="s">
        <v>1597</v>
      </c>
      <c r="F185" s="0" t="s">
        <v>1120</v>
      </c>
      <c r="G185" s="0" t="s">
        <v>1598</v>
      </c>
      <c r="H185" s="46" t="s">
        <v>1122</v>
      </c>
    </row>
    <row r="186" customFormat="false" ht="12.8" hidden="false" customHeight="false" outlineLevel="0" collapsed="false">
      <c r="A186" s="0" t="s">
        <v>714</v>
      </c>
      <c r="B186" s="0" t="s">
        <v>1599</v>
      </c>
      <c r="C186" s="0" t="n">
        <v>1.05</v>
      </c>
      <c r="D186" s="0" t="s">
        <v>1600</v>
      </c>
      <c r="E186" s="0" t="s">
        <v>1601</v>
      </c>
      <c r="F186" s="0" t="s">
        <v>1120</v>
      </c>
      <c r="G186" s="0" t="s">
        <v>1584</v>
      </c>
      <c r="H186" s="46" t="s">
        <v>1122</v>
      </c>
    </row>
    <row r="187" customFormat="false" ht="12.8" hidden="false" customHeight="false" outlineLevel="0" collapsed="false">
      <c r="A187" s="0" t="s">
        <v>718</v>
      </c>
      <c r="B187" s="0" t="s">
        <v>1602</v>
      </c>
      <c r="C187" s="0" t="n">
        <v>0.87</v>
      </c>
      <c r="D187" s="0" t="s">
        <v>1603</v>
      </c>
      <c r="E187" s="0" t="s">
        <v>1604</v>
      </c>
      <c r="F187" s="0" t="s">
        <v>1127</v>
      </c>
      <c r="G187" s="0" t="s">
        <v>1605</v>
      </c>
      <c r="H187" s="46" t="s">
        <v>1122</v>
      </c>
    </row>
    <row r="188" customFormat="false" ht="12.8" hidden="false" customHeight="false" outlineLevel="0" collapsed="false">
      <c r="A188" s="0" t="s">
        <v>722</v>
      </c>
      <c r="B188" s="0" t="s">
        <v>1606</v>
      </c>
      <c r="C188" s="0" t="n">
        <v>1.01</v>
      </c>
      <c r="D188" s="0" t="s">
        <v>1607</v>
      </c>
      <c r="E188" s="0" t="s">
        <v>1608</v>
      </c>
      <c r="F188" s="0" t="s">
        <v>1127</v>
      </c>
      <c r="G188" s="0" t="s">
        <v>1580</v>
      </c>
      <c r="H188" s="46" t="s">
        <v>1122</v>
      </c>
    </row>
    <row r="189" customFormat="false" ht="12.8" hidden="false" customHeight="false" outlineLevel="0" collapsed="false">
      <c r="A189" s="0" t="s">
        <v>725</v>
      </c>
      <c r="B189" s="0" t="s">
        <v>1609</v>
      </c>
      <c r="C189" s="0" t="n">
        <v>40</v>
      </c>
      <c r="D189" s="0" t="s">
        <v>1610</v>
      </c>
      <c r="E189" s="0" t="s">
        <v>1611</v>
      </c>
      <c r="F189" s="0" t="s">
        <v>1120</v>
      </c>
      <c r="G189" s="0" t="s">
        <v>1612</v>
      </c>
      <c r="H189" s="46" t="s">
        <v>1122</v>
      </c>
    </row>
    <row r="190" customFormat="false" ht="12.8" hidden="false" customHeight="false" outlineLevel="0" collapsed="false">
      <c r="A190" s="41" t="s">
        <v>1613</v>
      </c>
      <c r="B190" s="26" t="s">
        <v>1614</v>
      </c>
      <c r="C190" s="26" t="n">
        <v>0.92</v>
      </c>
      <c r="D190" s="0" t="s">
        <v>1591</v>
      </c>
      <c r="E190" s="0" t="s">
        <v>1615</v>
      </c>
      <c r="F190" s="0" t="s">
        <v>1127</v>
      </c>
      <c r="G190" s="26" t="s">
        <v>1616</v>
      </c>
      <c r="H190" s="42" t="s">
        <v>1122</v>
      </c>
    </row>
    <row r="192" customFormat="false" ht="12.8" hidden="false" customHeight="false" outlineLevel="0" collapsed="false">
      <c r="A192" s="43" t="s">
        <v>1617</v>
      </c>
    </row>
    <row r="193" customFormat="false" ht="12.8" hidden="false" customHeight="false" outlineLevel="0" collapsed="false">
      <c r="A193" s="41" t="s">
        <v>1335</v>
      </c>
      <c r="B193" s="26" t="s">
        <v>1336</v>
      </c>
      <c r="C193" s="26" t="s">
        <v>1337</v>
      </c>
      <c r="D193" s="0" t="s">
        <v>1338</v>
      </c>
      <c r="E193" s="0" t="s">
        <v>1339</v>
      </c>
      <c r="F193" s="0" t="s">
        <v>1340</v>
      </c>
      <c r="G193" s="26" t="s">
        <v>1341</v>
      </c>
      <c r="H193" s="26" t="s">
        <v>1342</v>
      </c>
    </row>
    <row r="194" customFormat="false" ht="12.8" hidden="false" customHeight="false" outlineLevel="0" collapsed="false">
      <c r="A194" s="41" t="s">
        <v>731</v>
      </c>
      <c r="B194" s="26" t="s">
        <v>1618</v>
      </c>
      <c r="C194" s="26" t="n">
        <v>1858000000</v>
      </c>
      <c r="D194" s="0" t="s">
        <v>1619</v>
      </c>
      <c r="E194" s="0" t="s">
        <v>1620</v>
      </c>
      <c r="F194" s="0" t="s">
        <v>1120</v>
      </c>
      <c r="G194" s="26" t="s">
        <v>1621</v>
      </c>
      <c r="H194" s="42" t="s">
        <v>1122</v>
      </c>
    </row>
    <row r="195" customFormat="false" ht="12.8" hidden="false" customHeight="false" outlineLevel="0" collapsed="false">
      <c r="A195" s="41" t="s">
        <v>736</v>
      </c>
      <c r="B195" s="26" t="s">
        <v>1361</v>
      </c>
      <c r="C195" s="26" t="n">
        <v>0.102</v>
      </c>
      <c r="D195" s="0" t="s">
        <v>1622</v>
      </c>
      <c r="E195" s="0" t="s">
        <v>1623</v>
      </c>
      <c r="F195" s="0" t="s">
        <v>1127</v>
      </c>
      <c r="G195" s="26" t="s">
        <v>1624</v>
      </c>
      <c r="H195" s="42" t="s">
        <v>1122</v>
      </c>
    </row>
    <row r="196" customFormat="false" ht="12.8" hidden="false" customHeight="false" outlineLevel="0" collapsed="false">
      <c r="A196" s="41" t="s">
        <v>741</v>
      </c>
      <c r="B196" s="26" t="s">
        <v>1366</v>
      </c>
      <c r="C196" s="26" t="n">
        <v>0.102</v>
      </c>
      <c r="D196" s="0" t="s">
        <v>1625</v>
      </c>
      <c r="E196" s="0" t="s">
        <v>1626</v>
      </c>
      <c r="F196" s="0" t="s">
        <v>1127</v>
      </c>
      <c r="G196" s="26" t="s">
        <v>1364</v>
      </c>
      <c r="H196" s="42" t="s">
        <v>1122</v>
      </c>
    </row>
    <row r="197" customFormat="false" ht="12.8" hidden="false" customHeight="false" outlineLevel="0" collapsed="false">
      <c r="A197" s="41" t="s">
        <v>746</v>
      </c>
      <c r="B197" s="26" t="s">
        <v>1370</v>
      </c>
      <c r="C197" s="26" t="n">
        <v>0.08</v>
      </c>
      <c r="D197" s="0" t="s">
        <v>1627</v>
      </c>
      <c r="E197" s="0" t="s">
        <v>1628</v>
      </c>
      <c r="F197" s="0" t="s">
        <v>1127</v>
      </c>
      <c r="G197" s="26" t="s">
        <v>1629</v>
      </c>
      <c r="H197" s="42" t="s">
        <v>1122</v>
      </c>
    </row>
    <row r="198" customFormat="false" ht="12.8" hidden="false" customHeight="false" outlineLevel="0" collapsed="false">
      <c r="A198" s="41" t="s">
        <v>750</v>
      </c>
      <c r="B198" s="26" t="s">
        <v>1630</v>
      </c>
      <c r="C198" s="26" t="n">
        <v>0.98</v>
      </c>
      <c r="D198" s="0" t="s">
        <v>1631</v>
      </c>
      <c r="E198" s="0" t="s">
        <v>1632</v>
      </c>
      <c r="F198" s="0" t="s">
        <v>1120</v>
      </c>
      <c r="G198" s="26" t="s">
        <v>1633</v>
      </c>
      <c r="H198" s="42" t="s">
        <v>1122</v>
      </c>
    </row>
    <row r="199" customFormat="false" ht="12.8" hidden="false" customHeight="false" outlineLevel="0" collapsed="false">
      <c r="A199" s="41" t="s">
        <v>1634</v>
      </c>
      <c r="B199" s="26" t="s">
        <v>1635</v>
      </c>
      <c r="C199" s="26" t="n">
        <v>0.6</v>
      </c>
      <c r="D199" s="0" t="s">
        <v>1636</v>
      </c>
      <c r="E199" s="0" t="s">
        <v>1637</v>
      </c>
      <c r="F199" s="0" t="s">
        <v>1127</v>
      </c>
      <c r="G199" s="26" t="s">
        <v>1638</v>
      </c>
      <c r="H199" s="42" t="s">
        <v>1122</v>
      </c>
    </row>
    <row r="200" customFormat="false" ht="12.8" hidden="false" customHeight="false" outlineLevel="0" collapsed="false">
      <c r="A200" s="41" t="s">
        <v>1639</v>
      </c>
      <c r="B200" s="26" t="s">
        <v>1640</v>
      </c>
      <c r="C200" s="26" t="n">
        <v>0.95</v>
      </c>
      <c r="D200" s="0" t="s">
        <v>1641</v>
      </c>
      <c r="E200" s="0" t="s">
        <v>1642</v>
      </c>
      <c r="F200" s="0" t="s">
        <v>1127</v>
      </c>
      <c r="G200" s="26" t="s">
        <v>1643</v>
      </c>
      <c r="H200" s="42" t="s">
        <v>1122</v>
      </c>
    </row>
    <row r="202" customFormat="false" ht="12.8" hidden="false" customHeight="false" outlineLevel="0" collapsed="false">
      <c r="A202" s="44" t="s">
        <v>1644</v>
      </c>
    </row>
    <row r="203" customFormat="false" ht="12.8" hidden="false" customHeight="false" outlineLevel="0" collapsed="false">
      <c r="A203" s="41" t="s">
        <v>1335</v>
      </c>
      <c r="B203" s="26" t="s">
        <v>1336</v>
      </c>
      <c r="C203" s="26" t="s">
        <v>1337</v>
      </c>
      <c r="D203" s="0" t="s">
        <v>1338</v>
      </c>
      <c r="E203" s="0" t="s">
        <v>1339</v>
      </c>
      <c r="F203" s="0" t="s">
        <v>1340</v>
      </c>
      <c r="G203" s="26" t="s">
        <v>1341</v>
      </c>
      <c r="H203" s="26" t="s">
        <v>1342</v>
      </c>
    </row>
    <row r="204" customFormat="false" ht="12.8" hidden="false" customHeight="false" outlineLevel="0" collapsed="false">
      <c r="A204" s="41" t="s">
        <v>757</v>
      </c>
      <c r="B204" s="26" t="s">
        <v>1645</v>
      </c>
      <c r="C204" s="26" t="n">
        <v>1858000000</v>
      </c>
      <c r="D204" s="0" t="s">
        <v>1646</v>
      </c>
      <c r="E204" s="0" t="s">
        <v>1647</v>
      </c>
      <c r="F204" s="0" t="s">
        <v>1120</v>
      </c>
      <c r="G204" s="26" t="s">
        <v>1648</v>
      </c>
      <c r="H204" s="42" t="s">
        <v>1122</v>
      </c>
    </row>
    <row r="205" customFormat="false" ht="12.8" hidden="false" customHeight="false" outlineLevel="0" collapsed="false">
      <c r="A205" s="41" t="s">
        <v>762</v>
      </c>
      <c r="B205" s="26" t="s">
        <v>1380</v>
      </c>
      <c r="C205" s="26" t="n">
        <v>0.0765</v>
      </c>
      <c r="D205" s="0" t="s">
        <v>1649</v>
      </c>
      <c r="E205" s="0" t="s">
        <v>1650</v>
      </c>
      <c r="F205" s="0" t="s">
        <v>1120</v>
      </c>
      <c r="G205" s="26" t="s">
        <v>1651</v>
      </c>
      <c r="H205" s="42" t="s">
        <v>1122</v>
      </c>
    </row>
    <row r="206" customFormat="false" ht="12.8" hidden="false" customHeight="false" outlineLevel="0" collapsed="false">
      <c r="A206" s="41" t="s">
        <v>767</v>
      </c>
      <c r="B206" s="26" t="s">
        <v>1652</v>
      </c>
      <c r="C206" s="26" t="n">
        <v>0.0765</v>
      </c>
      <c r="D206" s="0" t="s">
        <v>1653</v>
      </c>
      <c r="E206" s="0" t="s">
        <v>1654</v>
      </c>
      <c r="F206" s="0" t="s">
        <v>1120</v>
      </c>
      <c r="G206" s="26" t="s">
        <v>1249</v>
      </c>
      <c r="H206" s="42" t="s">
        <v>1122</v>
      </c>
    </row>
    <row r="207" customFormat="false" ht="12.8" hidden="false" customHeight="false" outlineLevel="0" collapsed="false">
      <c r="A207" s="41" t="s">
        <v>772</v>
      </c>
      <c r="B207" s="26" t="s">
        <v>1384</v>
      </c>
      <c r="C207" s="26" t="n">
        <v>0.05</v>
      </c>
      <c r="D207" s="0" t="s">
        <v>1655</v>
      </c>
      <c r="E207" s="0" t="s">
        <v>1656</v>
      </c>
      <c r="F207" s="0" t="s">
        <v>1127</v>
      </c>
      <c r="G207" s="26" t="s">
        <v>1629</v>
      </c>
      <c r="H207" s="42" t="s">
        <v>1122</v>
      </c>
    </row>
    <row r="208" customFormat="false" ht="12.8" hidden="false" customHeight="false" outlineLevel="0" collapsed="false">
      <c r="A208" s="41" t="s">
        <v>775</v>
      </c>
      <c r="B208" s="26" t="s">
        <v>1657</v>
      </c>
      <c r="C208" s="26" t="n">
        <v>1</v>
      </c>
      <c r="D208" s="0" t="s">
        <v>1561</v>
      </c>
      <c r="E208" s="0" t="s">
        <v>1658</v>
      </c>
      <c r="F208" s="0" t="s">
        <v>1120</v>
      </c>
      <c r="G208" s="26" t="s">
        <v>1659</v>
      </c>
      <c r="H208" s="42" t="s">
        <v>1122</v>
      </c>
    </row>
    <row r="209" customFormat="false" ht="12.8" hidden="false" customHeight="false" outlineLevel="0" collapsed="false">
      <c r="A209" s="41" t="s">
        <v>1660</v>
      </c>
      <c r="B209" s="26" t="s">
        <v>1661</v>
      </c>
      <c r="C209" s="26" t="n">
        <v>0.9</v>
      </c>
      <c r="D209" s="0" t="s">
        <v>1591</v>
      </c>
      <c r="E209" s="0" t="s">
        <v>1662</v>
      </c>
      <c r="F209" s="0" t="s">
        <v>1127</v>
      </c>
      <c r="G209" s="26" t="s">
        <v>1663</v>
      </c>
      <c r="H209" s="42" t="s">
        <v>1122</v>
      </c>
    </row>
    <row r="211" customFormat="false" ht="12.8" hidden="false" customHeight="false" outlineLevel="0" collapsed="false">
      <c r="A211" s="44" t="s">
        <v>1664</v>
      </c>
    </row>
    <row r="212" customFormat="false" ht="12.8" hidden="false" customHeight="false" outlineLevel="0" collapsed="false">
      <c r="A212" s="41" t="s">
        <v>1335</v>
      </c>
      <c r="B212" s="26" t="s">
        <v>1336</v>
      </c>
      <c r="C212" s="26" t="s">
        <v>1337</v>
      </c>
      <c r="D212" s="0" t="s">
        <v>1338</v>
      </c>
      <c r="E212" s="0" t="s">
        <v>1339</v>
      </c>
      <c r="F212" s="0" t="s">
        <v>1340</v>
      </c>
      <c r="G212" s="26" t="s">
        <v>1341</v>
      </c>
      <c r="H212" s="26" t="s">
        <v>1342</v>
      </c>
    </row>
    <row r="213" customFormat="false" ht="12.8" hidden="false" customHeight="false" outlineLevel="0" collapsed="false">
      <c r="A213" s="41" t="s">
        <v>781</v>
      </c>
      <c r="B213" s="26" t="s">
        <v>1665</v>
      </c>
      <c r="C213" s="26" t="n">
        <v>142000000</v>
      </c>
      <c r="D213" s="0" t="s">
        <v>1666</v>
      </c>
      <c r="E213" s="0" t="s">
        <v>1667</v>
      </c>
      <c r="F213" s="0" t="s">
        <v>1120</v>
      </c>
      <c r="G213" s="26" t="s">
        <v>1621</v>
      </c>
      <c r="H213" s="42" t="s">
        <v>1122</v>
      </c>
    </row>
    <row r="214" customFormat="false" ht="12.8" hidden="false" customHeight="false" outlineLevel="0" collapsed="false">
      <c r="A214" s="41" t="s">
        <v>786</v>
      </c>
      <c r="B214" s="26" t="s">
        <v>1668</v>
      </c>
      <c r="C214" s="26" t="n">
        <v>2800</v>
      </c>
      <c r="D214" s="0" t="s">
        <v>1669</v>
      </c>
      <c r="E214" s="0" t="s">
        <v>1670</v>
      </c>
      <c r="F214" s="0" t="s">
        <v>1127</v>
      </c>
      <c r="G214" s="26" t="s">
        <v>1671</v>
      </c>
      <c r="H214" s="42" t="s">
        <v>1122</v>
      </c>
    </row>
    <row r="215" customFormat="false" ht="12.8" hidden="false" customHeight="false" outlineLevel="0" collapsed="false">
      <c r="A215" s="41" t="s">
        <v>791</v>
      </c>
      <c r="B215" s="26" t="s">
        <v>1672</v>
      </c>
      <c r="C215" s="26" t="n">
        <v>0.18</v>
      </c>
      <c r="D215" s="0" t="s">
        <v>1673</v>
      </c>
      <c r="E215" s="0" t="s">
        <v>1674</v>
      </c>
      <c r="F215" s="0" t="s">
        <v>1127</v>
      </c>
      <c r="G215" s="26" t="s">
        <v>1675</v>
      </c>
      <c r="H215" s="42" t="s">
        <v>1122</v>
      </c>
    </row>
    <row r="216" customFormat="false" ht="12.8" hidden="false" customHeight="false" outlineLevel="0" collapsed="false">
      <c r="A216" s="41" t="s">
        <v>796</v>
      </c>
      <c r="B216" s="26" t="s">
        <v>1676</v>
      </c>
      <c r="C216" s="26" t="n">
        <v>0.22</v>
      </c>
      <c r="D216" s="0" t="s">
        <v>1677</v>
      </c>
      <c r="E216" s="0" t="s">
        <v>1678</v>
      </c>
      <c r="F216" s="0" t="s">
        <v>1127</v>
      </c>
      <c r="G216" s="26" t="s">
        <v>1679</v>
      </c>
      <c r="H216" s="42" t="s">
        <v>1122</v>
      </c>
    </row>
    <row r="217" customFormat="false" ht="12.8" hidden="false" customHeight="false" outlineLevel="0" collapsed="false">
      <c r="A217" s="41" t="s">
        <v>800</v>
      </c>
      <c r="B217" s="26" t="s">
        <v>1680</v>
      </c>
      <c r="C217" s="26" t="n">
        <v>0.12</v>
      </c>
      <c r="D217" s="0" t="s">
        <v>1681</v>
      </c>
      <c r="E217" s="0" t="s">
        <v>1682</v>
      </c>
      <c r="F217" s="0" t="s">
        <v>1127</v>
      </c>
      <c r="G217" s="26" t="s">
        <v>1683</v>
      </c>
      <c r="H217" s="42" t="s">
        <v>1122</v>
      </c>
    </row>
    <row r="218" customFormat="false" ht="12.8" hidden="false" customHeight="false" outlineLevel="0" collapsed="false">
      <c r="A218" s="41" t="s">
        <v>1684</v>
      </c>
      <c r="B218" s="26" t="s">
        <v>1685</v>
      </c>
      <c r="C218" s="26" t="n">
        <v>0.92</v>
      </c>
      <c r="D218" s="0" t="s">
        <v>1686</v>
      </c>
      <c r="E218" s="0" t="s">
        <v>1687</v>
      </c>
      <c r="F218" s="0" t="s">
        <v>1127</v>
      </c>
      <c r="G218" s="26" t="s">
        <v>1688</v>
      </c>
      <c r="H218" s="42" t="s">
        <v>1122</v>
      </c>
    </row>
    <row r="219" customFormat="false" ht="12.8" hidden="false" customHeight="false" outlineLevel="0" collapsed="false">
      <c r="A219" s="41" t="s">
        <v>1689</v>
      </c>
      <c r="B219" s="26" t="s">
        <v>1690</v>
      </c>
      <c r="C219" s="26" t="n">
        <v>0</v>
      </c>
      <c r="D219" s="0" t="s">
        <v>1691</v>
      </c>
      <c r="E219" s="0" t="s">
        <v>1692</v>
      </c>
      <c r="F219" s="0" t="s">
        <v>1120</v>
      </c>
      <c r="G219" s="26" t="s">
        <v>1693</v>
      </c>
      <c r="H219" s="42" t="s">
        <v>1122</v>
      </c>
    </row>
    <row r="221" customFormat="false" ht="12.8" hidden="false" customHeight="false" outlineLevel="0" collapsed="false">
      <c r="A221" s="44" t="s">
        <v>1694</v>
      </c>
    </row>
    <row r="222" customFormat="false" ht="12.8" hidden="false" customHeight="false" outlineLevel="0" collapsed="false">
      <c r="A222" s="41" t="s">
        <v>1335</v>
      </c>
      <c r="B222" s="26" t="s">
        <v>1336</v>
      </c>
      <c r="C222" s="26" t="s">
        <v>1337</v>
      </c>
      <c r="D222" s="0" t="s">
        <v>1338</v>
      </c>
      <c r="E222" s="0" t="s">
        <v>1339</v>
      </c>
      <c r="F222" s="0" t="s">
        <v>1340</v>
      </c>
      <c r="G222" s="26" t="s">
        <v>1341</v>
      </c>
      <c r="H222" s="26" t="s">
        <v>1342</v>
      </c>
    </row>
    <row r="223" customFormat="false" ht="12.8" hidden="false" customHeight="false" outlineLevel="0" collapsed="false">
      <c r="A223" s="41" t="s">
        <v>806</v>
      </c>
      <c r="B223" s="26" t="s">
        <v>1695</v>
      </c>
      <c r="C223" s="26" t="n">
        <v>856000000</v>
      </c>
      <c r="D223" s="0" t="s">
        <v>1696</v>
      </c>
      <c r="E223" s="0" t="s">
        <v>1697</v>
      </c>
      <c r="F223" s="0" t="s">
        <v>1120</v>
      </c>
      <c r="G223" s="26" t="s">
        <v>1698</v>
      </c>
      <c r="H223" s="42" t="s">
        <v>1122</v>
      </c>
    </row>
    <row r="224" customFormat="false" ht="12.8" hidden="false" customHeight="false" outlineLevel="0" collapsed="false">
      <c r="A224" s="41" t="s">
        <v>811</v>
      </c>
      <c r="B224" s="26" t="s">
        <v>1699</v>
      </c>
      <c r="C224" s="26" t="n">
        <v>1700</v>
      </c>
      <c r="D224" s="0" t="s">
        <v>1700</v>
      </c>
      <c r="E224" s="0" t="s">
        <v>1701</v>
      </c>
      <c r="F224" s="0" t="s">
        <v>1120</v>
      </c>
      <c r="G224" s="26" t="s">
        <v>1702</v>
      </c>
      <c r="H224" s="42" t="s">
        <v>1122</v>
      </c>
    </row>
    <row r="225" customFormat="false" ht="12.8" hidden="false" customHeight="false" outlineLevel="0" collapsed="false">
      <c r="A225" s="41" t="s">
        <v>816</v>
      </c>
      <c r="B225" s="26" t="s">
        <v>1703</v>
      </c>
      <c r="C225" s="26" t="n">
        <v>15000</v>
      </c>
      <c r="D225" s="0" t="s">
        <v>1704</v>
      </c>
      <c r="E225" s="0" t="s">
        <v>1705</v>
      </c>
      <c r="F225" s="0" t="s">
        <v>1127</v>
      </c>
      <c r="G225" s="26" t="s">
        <v>1706</v>
      </c>
      <c r="H225" s="42" t="s">
        <v>1122</v>
      </c>
    </row>
    <row r="226" customFormat="false" ht="12.8" hidden="false" customHeight="false" outlineLevel="0" collapsed="false">
      <c r="A226" s="41" t="s">
        <v>821</v>
      </c>
      <c r="B226" s="26" t="s">
        <v>1707</v>
      </c>
      <c r="C226" s="26" t="n">
        <v>8000</v>
      </c>
      <c r="D226" s="0" t="s">
        <v>1708</v>
      </c>
      <c r="E226" s="0" t="s">
        <v>1709</v>
      </c>
      <c r="F226" s="0" t="s">
        <v>1127</v>
      </c>
      <c r="G226" s="26" t="s">
        <v>1710</v>
      </c>
      <c r="H226" s="42" t="s">
        <v>1122</v>
      </c>
    </row>
    <row r="227" customFormat="false" ht="12.8" hidden="false" customHeight="false" outlineLevel="0" collapsed="false">
      <c r="A227" s="41" t="s">
        <v>824</v>
      </c>
      <c r="B227" s="26" t="s">
        <v>1711</v>
      </c>
      <c r="C227" s="26" t="n">
        <v>1.1</v>
      </c>
      <c r="D227" s="0" t="s">
        <v>1591</v>
      </c>
      <c r="E227" s="0" t="s">
        <v>1712</v>
      </c>
      <c r="F227" s="0" t="s">
        <v>1127</v>
      </c>
      <c r="G227" s="26" t="s">
        <v>1713</v>
      </c>
      <c r="H227" s="42" t="s">
        <v>1122</v>
      </c>
    </row>
    <row r="228" customFormat="false" ht="12.8" hidden="false" customHeight="false" outlineLevel="0" collapsed="false">
      <c r="A228" s="41" t="s">
        <v>1714</v>
      </c>
      <c r="B228" s="26" t="s">
        <v>1715</v>
      </c>
      <c r="C228" s="26" t="n">
        <v>0.6</v>
      </c>
      <c r="D228" s="0" t="s">
        <v>1716</v>
      </c>
      <c r="E228" s="0" t="s">
        <v>1717</v>
      </c>
      <c r="F228" s="0" t="s">
        <v>1127</v>
      </c>
      <c r="G228" s="26" t="s">
        <v>1683</v>
      </c>
      <c r="H228" s="42" t="s">
        <v>1122</v>
      </c>
    </row>
    <row r="229" customFormat="false" ht="12.8" hidden="false" customHeight="false" outlineLevel="0" collapsed="false">
      <c r="A229" s="41" t="s">
        <v>1718</v>
      </c>
      <c r="B229" s="26" t="s">
        <v>1719</v>
      </c>
      <c r="C229" s="26" t="n">
        <v>0</v>
      </c>
      <c r="D229" s="0" t="s">
        <v>1720</v>
      </c>
      <c r="E229" s="0" t="s">
        <v>1721</v>
      </c>
      <c r="F229" s="0" t="s">
        <v>1120</v>
      </c>
      <c r="G229" s="26" t="s">
        <v>1722</v>
      </c>
      <c r="H229" s="42" t="s">
        <v>1122</v>
      </c>
    </row>
    <row r="231" customFormat="false" ht="12.8" hidden="false" customHeight="false" outlineLevel="0" collapsed="false">
      <c r="A231" s="44" t="s">
        <v>1723</v>
      </c>
    </row>
    <row r="232" customFormat="false" ht="12.8" hidden="false" customHeight="false" outlineLevel="0" collapsed="false">
      <c r="A232" s="41" t="s">
        <v>1335</v>
      </c>
      <c r="B232" s="26" t="s">
        <v>1336</v>
      </c>
      <c r="C232" s="26" t="s">
        <v>1337</v>
      </c>
      <c r="D232" s="0" t="s">
        <v>1338</v>
      </c>
      <c r="E232" s="0" t="s">
        <v>1339</v>
      </c>
      <c r="F232" s="0" t="s">
        <v>1340</v>
      </c>
      <c r="G232" s="26" t="s">
        <v>1341</v>
      </c>
      <c r="H232" s="26" t="s">
        <v>1342</v>
      </c>
    </row>
    <row r="233" customFormat="false" ht="12.8" hidden="false" customHeight="false" outlineLevel="0" collapsed="false">
      <c r="A233" s="41" t="s">
        <v>830</v>
      </c>
      <c r="B233" s="26" t="s">
        <v>1724</v>
      </c>
      <c r="C233" s="26" t="n">
        <v>30000000</v>
      </c>
      <c r="D233" s="0" t="s">
        <v>1725</v>
      </c>
      <c r="E233" s="0" t="s">
        <v>1726</v>
      </c>
      <c r="F233" s="0" t="s">
        <v>1127</v>
      </c>
      <c r="G233" s="26" t="s">
        <v>1727</v>
      </c>
      <c r="H233" s="42" t="s">
        <v>1122</v>
      </c>
    </row>
    <row r="234" customFormat="false" ht="12.8" hidden="false" customHeight="false" outlineLevel="0" collapsed="false">
      <c r="A234" s="41" t="s">
        <v>835</v>
      </c>
      <c r="B234" s="26" t="s">
        <v>1728</v>
      </c>
      <c r="C234" s="26" t="n">
        <v>2500</v>
      </c>
      <c r="D234" s="0" t="s">
        <v>1729</v>
      </c>
      <c r="E234" s="0" t="s">
        <v>1730</v>
      </c>
      <c r="F234" s="0" t="s">
        <v>1120</v>
      </c>
      <c r="G234" s="26" t="s">
        <v>1731</v>
      </c>
      <c r="H234" s="42" t="s">
        <v>1122</v>
      </c>
    </row>
    <row r="235" customFormat="false" ht="12.8" hidden="false" customHeight="false" outlineLevel="0" collapsed="false">
      <c r="A235" s="41" t="s">
        <v>840</v>
      </c>
      <c r="B235" s="26" t="s">
        <v>1732</v>
      </c>
      <c r="C235" s="26" t="n">
        <v>12000</v>
      </c>
      <c r="D235" s="0" t="s">
        <v>1733</v>
      </c>
      <c r="E235" s="0" t="s">
        <v>1734</v>
      </c>
      <c r="F235" s="0" t="s">
        <v>1127</v>
      </c>
      <c r="G235" s="26" t="s">
        <v>1735</v>
      </c>
      <c r="H235" s="42" t="s">
        <v>1122</v>
      </c>
    </row>
    <row r="236" customFormat="false" ht="12.8" hidden="false" customHeight="false" outlineLevel="0" collapsed="false">
      <c r="A236" s="41" t="s">
        <v>845</v>
      </c>
      <c r="B236" s="26" t="s">
        <v>1736</v>
      </c>
      <c r="C236" s="26" t="n">
        <v>4000</v>
      </c>
      <c r="D236" s="0" t="s">
        <v>1737</v>
      </c>
      <c r="E236" s="0" t="s">
        <v>1738</v>
      </c>
      <c r="F236" s="0" t="s">
        <v>1127</v>
      </c>
      <c r="G236" s="26" t="s">
        <v>1710</v>
      </c>
      <c r="H236" s="42" t="s">
        <v>1122</v>
      </c>
    </row>
    <row r="237" customFormat="false" ht="12.8" hidden="false" customHeight="false" outlineLevel="0" collapsed="false">
      <c r="A237" s="41" t="s">
        <v>848</v>
      </c>
      <c r="B237" s="26" t="s">
        <v>1739</v>
      </c>
      <c r="C237" s="26" t="n">
        <v>0.85</v>
      </c>
      <c r="D237" s="0" t="s">
        <v>1641</v>
      </c>
      <c r="E237" s="0" t="s">
        <v>1740</v>
      </c>
      <c r="F237" s="0" t="s">
        <v>1127</v>
      </c>
      <c r="G237" s="26" t="s">
        <v>1713</v>
      </c>
      <c r="H237" s="42" t="s">
        <v>1122</v>
      </c>
    </row>
    <row r="238" customFormat="false" ht="12.8" hidden="false" customHeight="false" outlineLevel="0" collapsed="false">
      <c r="A238" s="41" t="s">
        <v>1741</v>
      </c>
      <c r="B238" s="26" t="s">
        <v>1742</v>
      </c>
      <c r="C238" s="26" t="n">
        <v>0.4</v>
      </c>
      <c r="D238" s="0" t="s">
        <v>1743</v>
      </c>
      <c r="E238" s="0" t="s">
        <v>1744</v>
      </c>
      <c r="F238" s="0" t="s">
        <v>1127</v>
      </c>
      <c r="G238" s="26" t="s">
        <v>1683</v>
      </c>
      <c r="H238" s="42" t="s">
        <v>1122</v>
      </c>
    </row>
    <row r="239" customFormat="false" ht="12.8" hidden="false" customHeight="false" outlineLevel="0" collapsed="false">
      <c r="A239" s="41" t="s">
        <v>1745</v>
      </c>
      <c r="B239" s="26" t="s">
        <v>1746</v>
      </c>
      <c r="C239" s="26" t="n">
        <v>0</v>
      </c>
      <c r="D239" s="0" t="s">
        <v>1747</v>
      </c>
      <c r="E239" s="0" t="s">
        <v>1748</v>
      </c>
      <c r="F239" s="0" t="s">
        <v>1120</v>
      </c>
      <c r="G239" s="26" t="s">
        <v>1749</v>
      </c>
      <c r="H239" s="42" t="s">
        <v>1122</v>
      </c>
    </row>
    <row r="241" customFormat="false" ht="12.8" hidden="false" customHeight="false" outlineLevel="0" collapsed="false">
      <c r="A241" s="44" t="s">
        <v>1750</v>
      </c>
    </row>
    <row r="242" customFormat="false" ht="12.8" hidden="false" customHeight="false" outlineLevel="0" collapsed="false">
      <c r="A242" s="41" t="s">
        <v>1335</v>
      </c>
      <c r="B242" s="26" t="s">
        <v>1336</v>
      </c>
      <c r="C242" s="26" t="s">
        <v>1337</v>
      </c>
      <c r="D242" s="0" t="s">
        <v>1338</v>
      </c>
      <c r="E242" s="0" t="s">
        <v>1339</v>
      </c>
      <c r="F242" s="0" t="s">
        <v>1340</v>
      </c>
      <c r="G242" s="26" t="s">
        <v>1341</v>
      </c>
      <c r="H242" s="26" t="s">
        <v>1342</v>
      </c>
    </row>
    <row r="243" customFormat="false" ht="12.8" hidden="false" customHeight="false" outlineLevel="0" collapsed="false">
      <c r="A243" s="41" t="s">
        <v>854</v>
      </c>
      <c r="B243" s="26" t="s">
        <v>1751</v>
      </c>
      <c r="C243" s="26" t="n">
        <v>2317206</v>
      </c>
      <c r="D243" s="0" t="s">
        <v>1752</v>
      </c>
      <c r="E243" s="0" t="s">
        <v>1753</v>
      </c>
      <c r="F243" s="0" t="s">
        <v>1120</v>
      </c>
      <c r="G243" s="26" t="s">
        <v>1754</v>
      </c>
      <c r="H243" s="42" t="s">
        <v>1122</v>
      </c>
    </row>
    <row r="244" customFormat="false" ht="12.8" hidden="false" customHeight="false" outlineLevel="0" collapsed="false">
      <c r="A244" s="41" t="s">
        <v>859</v>
      </c>
      <c r="B244" s="26" t="s">
        <v>1755</v>
      </c>
      <c r="C244" s="26" t="n">
        <v>1.02</v>
      </c>
      <c r="D244" s="0" t="s">
        <v>1756</v>
      </c>
      <c r="E244" s="0" t="s">
        <v>1757</v>
      </c>
      <c r="F244" s="0" t="s">
        <v>1120</v>
      </c>
      <c r="G244" s="26" t="s">
        <v>1758</v>
      </c>
      <c r="H244" s="42" t="s">
        <v>1122</v>
      </c>
    </row>
    <row r="245" customFormat="false" ht="12.8" hidden="false" customHeight="false" outlineLevel="0" collapsed="false">
      <c r="A245" s="41" t="s">
        <v>864</v>
      </c>
      <c r="B245" s="26" t="s">
        <v>1759</v>
      </c>
      <c r="C245" s="26" t="n">
        <v>0.11</v>
      </c>
      <c r="D245" s="0" t="s">
        <v>1760</v>
      </c>
      <c r="E245" s="0" t="s">
        <v>1761</v>
      </c>
      <c r="F245" s="0" t="s">
        <v>1127</v>
      </c>
      <c r="G245" s="26" t="s">
        <v>1443</v>
      </c>
      <c r="H245" s="42" t="s">
        <v>1122</v>
      </c>
    </row>
    <row r="246" customFormat="false" ht="12.8" hidden="false" customHeight="false" outlineLevel="0" collapsed="false">
      <c r="A246" s="41" t="s">
        <v>869</v>
      </c>
      <c r="B246" s="26" t="s">
        <v>1762</v>
      </c>
      <c r="C246" s="26" t="n">
        <v>0.04</v>
      </c>
      <c r="D246" s="0" t="s">
        <v>1763</v>
      </c>
      <c r="E246" s="0" t="s">
        <v>1764</v>
      </c>
      <c r="F246" s="0" t="s">
        <v>1127</v>
      </c>
      <c r="G246" s="26" t="s">
        <v>1221</v>
      </c>
      <c r="H246" s="42" t="s">
        <v>1122</v>
      </c>
    </row>
    <row r="247" customFormat="false" ht="12.8" hidden="false" customHeight="false" outlineLevel="0" collapsed="false">
      <c r="A247" s="41" t="s">
        <v>873</v>
      </c>
      <c r="B247" s="26" t="s">
        <v>1765</v>
      </c>
      <c r="C247" s="26" t="n">
        <v>0.98</v>
      </c>
      <c r="D247" s="0" t="s">
        <v>1641</v>
      </c>
      <c r="E247" s="0" t="s">
        <v>1766</v>
      </c>
      <c r="F247" s="0" t="s">
        <v>1127</v>
      </c>
      <c r="G247" s="26" t="s">
        <v>1767</v>
      </c>
      <c r="H247" s="42" t="s">
        <v>1122</v>
      </c>
    </row>
    <row r="248" customFormat="false" ht="12.8" hidden="false" customHeight="false" outlineLevel="0" collapsed="false">
      <c r="A248" s="41" t="s">
        <v>1768</v>
      </c>
      <c r="B248" s="26" t="s">
        <v>1487</v>
      </c>
      <c r="C248" s="26" t="n">
        <v>0.92</v>
      </c>
      <c r="D248" s="0" t="s">
        <v>1769</v>
      </c>
      <c r="E248" s="0" t="s">
        <v>1770</v>
      </c>
      <c r="F248" s="0" t="s">
        <v>1127</v>
      </c>
      <c r="G248" s="26" t="s">
        <v>1771</v>
      </c>
      <c r="H248" s="42" t="s">
        <v>1122</v>
      </c>
    </row>
    <row r="250" customFormat="false" ht="12.8" hidden="false" customHeight="false" outlineLevel="0" collapsed="false">
      <c r="A250" s="44" t="s">
        <v>1772</v>
      </c>
    </row>
    <row r="251" customFormat="false" ht="12.8" hidden="false" customHeight="false" outlineLevel="0" collapsed="false">
      <c r="A251" s="41" t="s">
        <v>1335</v>
      </c>
      <c r="B251" s="26" t="s">
        <v>1336</v>
      </c>
      <c r="C251" s="26" t="s">
        <v>1337</v>
      </c>
      <c r="D251" s="0" t="s">
        <v>1338</v>
      </c>
      <c r="E251" s="0" t="s">
        <v>1339</v>
      </c>
      <c r="F251" s="0" t="s">
        <v>1340</v>
      </c>
      <c r="G251" s="26" t="s">
        <v>1341</v>
      </c>
      <c r="H251" s="26" t="s">
        <v>1342</v>
      </c>
    </row>
    <row r="252" customFormat="false" ht="12.8" hidden="false" customHeight="false" outlineLevel="0" collapsed="false">
      <c r="A252" s="41" t="s">
        <v>880</v>
      </c>
      <c r="B252" s="26" t="s">
        <v>1773</v>
      </c>
      <c r="C252" s="26" t="n">
        <v>35.8</v>
      </c>
      <c r="D252" s="0" t="s">
        <v>1774</v>
      </c>
      <c r="E252" s="0" t="s">
        <v>1775</v>
      </c>
      <c r="F252" s="0" t="s">
        <v>1120</v>
      </c>
      <c r="G252" s="26" t="s">
        <v>1776</v>
      </c>
      <c r="H252" s="42" t="s">
        <v>1122</v>
      </c>
    </row>
    <row r="253" customFormat="false" ht="12.8" hidden="false" customHeight="false" outlineLevel="0" collapsed="false">
      <c r="A253" s="41" t="s">
        <v>885</v>
      </c>
      <c r="B253" s="26" t="s">
        <v>1206</v>
      </c>
      <c r="C253" s="26" t="n">
        <v>40.5</v>
      </c>
      <c r="D253" s="0" t="s">
        <v>1207</v>
      </c>
      <c r="E253" s="0" t="s">
        <v>1777</v>
      </c>
      <c r="F253" s="0" t="s">
        <v>1120</v>
      </c>
      <c r="G253" s="26" t="s">
        <v>1778</v>
      </c>
      <c r="H253" s="42" t="s">
        <v>1122</v>
      </c>
    </row>
    <row r="254" customFormat="false" ht="12.8" hidden="false" customHeight="false" outlineLevel="0" collapsed="false">
      <c r="A254" s="41" t="s">
        <v>889</v>
      </c>
      <c r="B254" s="26" t="s">
        <v>1201</v>
      </c>
      <c r="C254" s="26" t="n">
        <v>40</v>
      </c>
      <c r="D254" s="0" t="s">
        <v>1202</v>
      </c>
      <c r="E254" s="0" t="s">
        <v>1779</v>
      </c>
      <c r="F254" s="0" t="s">
        <v>1120</v>
      </c>
      <c r="G254" s="26" t="s">
        <v>1612</v>
      </c>
      <c r="H254" s="42" t="s">
        <v>1122</v>
      </c>
    </row>
    <row r="255" customFormat="false" ht="12.8" hidden="false" customHeight="false" outlineLevel="0" collapsed="false">
      <c r="A255" s="41" t="s">
        <v>893</v>
      </c>
      <c r="B255" s="26" t="s">
        <v>1209</v>
      </c>
      <c r="C255" s="26" t="n">
        <v>-0.03</v>
      </c>
      <c r="D255" s="0" t="s">
        <v>1780</v>
      </c>
      <c r="E255" s="0" t="s">
        <v>1781</v>
      </c>
      <c r="F255" s="0" t="s">
        <v>1127</v>
      </c>
      <c r="G255" s="26" t="s">
        <v>1782</v>
      </c>
      <c r="H255" s="42" t="s">
        <v>1122</v>
      </c>
    </row>
    <row r="256" customFormat="false" ht="12.8" hidden="false" customHeight="false" outlineLevel="0" collapsed="false">
      <c r="A256" s="41" t="s">
        <v>897</v>
      </c>
      <c r="B256" s="26" t="s">
        <v>1783</v>
      </c>
      <c r="C256" s="26" t="n">
        <v>1.08</v>
      </c>
      <c r="D256" s="0" t="s">
        <v>1784</v>
      </c>
      <c r="E256" s="0" t="s">
        <v>1785</v>
      </c>
      <c r="F256" s="0" t="s">
        <v>1127</v>
      </c>
      <c r="G256" s="26" t="s">
        <v>1443</v>
      </c>
      <c r="H256" s="42" t="s">
        <v>1122</v>
      </c>
    </row>
    <row r="257" customFormat="false" ht="12.8" hidden="false" customHeight="false" outlineLevel="0" collapsed="false">
      <c r="A257" s="41" t="s">
        <v>1786</v>
      </c>
      <c r="B257" s="26" t="s">
        <v>1787</v>
      </c>
      <c r="C257" s="26" t="n">
        <v>1.03</v>
      </c>
      <c r="D257" s="0" t="s">
        <v>1788</v>
      </c>
      <c r="E257" s="0" t="s">
        <v>1789</v>
      </c>
      <c r="F257" s="0" t="s">
        <v>1127</v>
      </c>
      <c r="G257" s="26" t="s">
        <v>1221</v>
      </c>
      <c r="H257" s="42" t="s">
        <v>1122</v>
      </c>
    </row>
    <row r="258" customFormat="false" ht="12.8" hidden="false" customHeight="false" outlineLevel="0" collapsed="false">
      <c r="A258" s="41" t="s">
        <v>1790</v>
      </c>
      <c r="B258" s="26" t="s">
        <v>1791</v>
      </c>
      <c r="C258" s="26" t="n">
        <v>1</v>
      </c>
      <c r="D258" s="0" t="s">
        <v>1561</v>
      </c>
      <c r="E258" s="0" t="s">
        <v>1792</v>
      </c>
      <c r="F258" s="0" t="s">
        <v>1120</v>
      </c>
      <c r="G258" s="26" t="s">
        <v>1563</v>
      </c>
      <c r="H258" s="42" t="s">
        <v>1122</v>
      </c>
    </row>
    <row r="260" customFormat="false" ht="12.8" hidden="false" customHeight="false" outlineLevel="0" collapsed="false">
      <c r="A260" s="44" t="s">
        <v>1793</v>
      </c>
    </row>
    <row r="261" customFormat="false" ht="12.8" hidden="false" customHeight="false" outlineLevel="0" collapsed="false">
      <c r="A261" s="41" t="s">
        <v>1335</v>
      </c>
      <c r="B261" s="26" t="s">
        <v>1336</v>
      </c>
      <c r="C261" s="26" t="s">
        <v>1337</v>
      </c>
      <c r="D261" s="0" t="s">
        <v>1338</v>
      </c>
      <c r="E261" s="0" t="s">
        <v>1339</v>
      </c>
      <c r="F261" s="0" t="s">
        <v>1340</v>
      </c>
      <c r="G261" s="26" t="s">
        <v>1341</v>
      </c>
      <c r="H261" s="26" t="s">
        <v>1342</v>
      </c>
    </row>
    <row r="262" customFormat="false" ht="12.8" hidden="false" customHeight="false" outlineLevel="0" collapsed="false">
      <c r="A262" s="41" t="s">
        <v>903</v>
      </c>
      <c r="B262" s="26" t="s">
        <v>1794</v>
      </c>
      <c r="C262" s="26" t="n">
        <v>0.825</v>
      </c>
      <c r="D262" s="0" t="s">
        <v>1795</v>
      </c>
      <c r="E262" s="0" t="s">
        <v>1796</v>
      </c>
      <c r="F262" s="0" t="s">
        <v>1120</v>
      </c>
      <c r="G262" s="26" t="s">
        <v>1797</v>
      </c>
      <c r="H262" s="42" t="s">
        <v>1122</v>
      </c>
    </row>
    <row r="263" customFormat="false" ht="12.8" hidden="false" customHeight="false" outlineLevel="0" collapsed="false">
      <c r="A263" s="41" t="s">
        <v>908</v>
      </c>
      <c r="B263" s="26" t="s">
        <v>1798</v>
      </c>
      <c r="C263" s="26" t="n">
        <v>3</v>
      </c>
      <c r="D263" s="0" t="s">
        <v>1799</v>
      </c>
      <c r="E263" s="0" t="s">
        <v>1800</v>
      </c>
      <c r="F263" s="0" t="s">
        <v>1120</v>
      </c>
      <c r="G263" s="26" t="s">
        <v>1801</v>
      </c>
      <c r="H263" s="42" t="s">
        <v>1122</v>
      </c>
    </row>
    <row r="264" customFormat="false" ht="12.8" hidden="false" customHeight="false" outlineLevel="0" collapsed="false">
      <c r="A264" s="41" t="s">
        <v>912</v>
      </c>
      <c r="B264" s="26" t="s">
        <v>1802</v>
      </c>
      <c r="C264" s="26" t="n">
        <v>0.8</v>
      </c>
      <c r="D264" s="0" t="s">
        <v>1803</v>
      </c>
      <c r="E264" s="0" t="s">
        <v>1804</v>
      </c>
      <c r="F264" s="0" t="s">
        <v>1127</v>
      </c>
      <c r="G264" s="26" t="s">
        <v>1805</v>
      </c>
      <c r="H264" s="42" t="s">
        <v>1122</v>
      </c>
    </row>
    <row r="265" customFormat="false" ht="12.8" hidden="false" customHeight="false" outlineLevel="0" collapsed="false">
      <c r="A265" s="41" t="s">
        <v>916</v>
      </c>
      <c r="B265" s="26" t="s">
        <v>1806</v>
      </c>
      <c r="C265" s="26" t="n">
        <v>0.25</v>
      </c>
      <c r="D265" s="0" t="s">
        <v>1807</v>
      </c>
      <c r="E265" s="0" t="s">
        <v>1808</v>
      </c>
      <c r="F265" s="0" t="s">
        <v>1127</v>
      </c>
      <c r="G265" s="26" t="s">
        <v>1809</v>
      </c>
      <c r="H265" s="42" t="s">
        <v>1122</v>
      </c>
    </row>
    <row r="266" customFormat="false" ht="12.8" hidden="false" customHeight="false" outlineLevel="0" collapsed="false">
      <c r="A266" s="41" t="s">
        <v>920</v>
      </c>
      <c r="B266" s="26" t="s">
        <v>1810</v>
      </c>
      <c r="C266" s="26" t="n">
        <v>1.1</v>
      </c>
      <c r="D266" s="0" t="s">
        <v>1811</v>
      </c>
      <c r="E266" s="0" t="s">
        <v>1812</v>
      </c>
      <c r="F266" s="0" t="s">
        <v>1127</v>
      </c>
      <c r="G266" s="26" t="s">
        <v>1443</v>
      </c>
      <c r="H266" s="42" t="s">
        <v>1122</v>
      </c>
    </row>
    <row r="267" customFormat="false" ht="12.8" hidden="false" customHeight="false" outlineLevel="0" collapsed="false">
      <c r="A267" s="41" t="s">
        <v>1813</v>
      </c>
      <c r="B267" s="26" t="s">
        <v>1814</v>
      </c>
      <c r="C267" s="26" t="n">
        <v>1.03</v>
      </c>
      <c r="D267" s="0" t="s">
        <v>1815</v>
      </c>
      <c r="E267" s="0" t="s">
        <v>1816</v>
      </c>
      <c r="F267" s="0" t="s">
        <v>1127</v>
      </c>
      <c r="G267" s="26" t="s">
        <v>1221</v>
      </c>
      <c r="H267" s="42" t="s">
        <v>1122</v>
      </c>
    </row>
    <row r="268" customFormat="false" ht="12.8" hidden="false" customHeight="false" outlineLevel="0" collapsed="false">
      <c r="A268" s="41" t="s">
        <v>1817</v>
      </c>
      <c r="B268" s="26" t="s">
        <v>1818</v>
      </c>
      <c r="C268" s="26" t="n">
        <v>1.05</v>
      </c>
      <c r="D268" s="0" t="s">
        <v>1561</v>
      </c>
      <c r="E268" s="0" t="s">
        <v>1819</v>
      </c>
      <c r="F268" s="0" t="s">
        <v>1120</v>
      </c>
      <c r="G268" s="26" t="s">
        <v>1563</v>
      </c>
      <c r="H268" s="42" t="s">
        <v>1122</v>
      </c>
    </row>
    <row r="270" customFormat="false" ht="12.8" hidden="false" customHeight="false" outlineLevel="0" collapsed="false">
      <c r="A270" s="44" t="s">
        <v>1820</v>
      </c>
    </row>
    <row r="271" customFormat="false" ht="12.8" hidden="false" customHeight="false" outlineLevel="0" collapsed="false">
      <c r="A271" s="41" t="s">
        <v>1335</v>
      </c>
      <c r="B271" s="26" t="s">
        <v>1336</v>
      </c>
      <c r="C271" s="26" t="s">
        <v>1337</v>
      </c>
      <c r="D271" s="0" t="s">
        <v>1338</v>
      </c>
      <c r="E271" s="0" t="s">
        <v>1339</v>
      </c>
      <c r="F271" s="0" t="s">
        <v>1340</v>
      </c>
      <c r="G271" s="26" t="s">
        <v>1341</v>
      </c>
      <c r="H271" s="26" t="s">
        <v>1342</v>
      </c>
    </row>
    <row r="272" customFormat="false" ht="12.8" hidden="false" customHeight="false" outlineLevel="0" collapsed="false">
      <c r="A272" s="41" t="s">
        <v>926</v>
      </c>
      <c r="B272" s="26" t="s">
        <v>1821</v>
      </c>
      <c r="C272" s="26" t="n">
        <v>0.175</v>
      </c>
      <c r="D272" s="0" t="s">
        <v>1822</v>
      </c>
      <c r="E272" s="0" t="s">
        <v>1823</v>
      </c>
      <c r="F272" s="0" t="s">
        <v>1120</v>
      </c>
      <c r="G272" s="26" t="s">
        <v>1797</v>
      </c>
      <c r="H272" s="42" t="s">
        <v>1122</v>
      </c>
    </row>
    <row r="273" customFormat="false" ht="12.8" hidden="false" customHeight="false" outlineLevel="0" collapsed="false">
      <c r="A273" s="41" t="s">
        <v>931</v>
      </c>
      <c r="B273" s="26" t="s">
        <v>1824</v>
      </c>
      <c r="C273" s="26" t="n">
        <v>1.1</v>
      </c>
      <c r="D273" s="0" t="s">
        <v>1825</v>
      </c>
      <c r="E273" s="0" t="s">
        <v>1826</v>
      </c>
      <c r="F273" s="0" t="s">
        <v>1127</v>
      </c>
      <c r="G273" s="26" t="s">
        <v>1827</v>
      </c>
      <c r="H273" s="42" t="s">
        <v>1122</v>
      </c>
    </row>
    <row r="274" customFormat="false" ht="12.8" hidden="false" customHeight="false" outlineLevel="0" collapsed="false">
      <c r="A274" s="41" t="s">
        <v>936</v>
      </c>
      <c r="B274" s="26" t="s">
        <v>1828</v>
      </c>
      <c r="C274" s="26" t="n">
        <v>0.9</v>
      </c>
      <c r="D274" s="0" t="s">
        <v>1829</v>
      </c>
      <c r="E274" s="0" t="s">
        <v>1830</v>
      </c>
      <c r="F274" s="0" t="s">
        <v>1127</v>
      </c>
      <c r="G274" s="26" t="s">
        <v>1443</v>
      </c>
      <c r="H274" s="42" t="s">
        <v>1122</v>
      </c>
    </row>
    <row r="275" customFormat="false" ht="12.8" hidden="false" customHeight="false" outlineLevel="0" collapsed="false">
      <c r="A275" s="41" t="s">
        <v>941</v>
      </c>
      <c r="B275" s="26" t="s">
        <v>1831</v>
      </c>
      <c r="C275" s="26" t="n">
        <v>0.97</v>
      </c>
      <c r="D275" s="0" t="s">
        <v>1832</v>
      </c>
      <c r="E275" s="0" t="s">
        <v>1833</v>
      </c>
      <c r="F275" s="0" t="s">
        <v>1127</v>
      </c>
      <c r="G275" s="26" t="s">
        <v>1221</v>
      </c>
      <c r="H275" s="42" t="s">
        <v>1122</v>
      </c>
    </row>
    <row r="276" customFormat="false" ht="12.8" hidden="false" customHeight="false" outlineLevel="0" collapsed="false">
      <c r="A276" s="41" t="s">
        <v>946</v>
      </c>
      <c r="B276" s="26" t="s">
        <v>1834</v>
      </c>
      <c r="C276" s="26" t="n">
        <v>0.92</v>
      </c>
      <c r="D276" s="0" t="s">
        <v>1686</v>
      </c>
      <c r="E276" s="0" t="s">
        <v>1835</v>
      </c>
      <c r="F276" s="0" t="s">
        <v>1120</v>
      </c>
      <c r="G276" s="26" t="s">
        <v>1563</v>
      </c>
      <c r="H276" s="42" t="s">
        <v>1122</v>
      </c>
    </row>
    <row r="278" customFormat="false" ht="12.8" hidden="false" customHeight="false" outlineLevel="0" collapsed="false">
      <c r="A278" s="44" t="s">
        <v>1836</v>
      </c>
    </row>
    <row r="279" customFormat="false" ht="12.8" hidden="false" customHeight="false" outlineLevel="0" collapsed="false">
      <c r="A279" s="41" t="s">
        <v>1335</v>
      </c>
      <c r="B279" s="26" t="s">
        <v>1336</v>
      </c>
      <c r="C279" s="26" t="s">
        <v>1337</v>
      </c>
      <c r="D279" s="0" t="s">
        <v>1338</v>
      </c>
      <c r="E279" s="0" t="s">
        <v>1339</v>
      </c>
      <c r="F279" s="0" t="s">
        <v>1340</v>
      </c>
      <c r="G279" s="26" t="s">
        <v>1341</v>
      </c>
      <c r="H279" s="26" t="s">
        <v>1342</v>
      </c>
    </row>
    <row r="280" customFormat="false" ht="12.8" hidden="false" customHeight="false" outlineLevel="0" collapsed="false">
      <c r="A280" s="41" t="s">
        <v>952</v>
      </c>
      <c r="B280" s="26" t="s">
        <v>1837</v>
      </c>
      <c r="C280" s="26" t="n">
        <v>4.1</v>
      </c>
      <c r="D280" s="0" t="s">
        <v>1838</v>
      </c>
      <c r="E280" s="0" t="s">
        <v>1839</v>
      </c>
      <c r="F280" s="0" t="s">
        <v>1120</v>
      </c>
      <c r="G280" s="26" t="s">
        <v>1840</v>
      </c>
      <c r="H280" s="42" t="s">
        <v>1122</v>
      </c>
    </row>
    <row r="281" customFormat="false" ht="12.8" hidden="false" customHeight="false" outlineLevel="0" collapsed="false">
      <c r="A281" s="41" t="s">
        <v>957</v>
      </c>
      <c r="B281" s="26" t="s">
        <v>1841</v>
      </c>
      <c r="C281" s="26" t="n">
        <v>8</v>
      </c>
      <c r="D281" s="0" t="s">
        <v>1842</v>
      </c>
      <c r="E281" s="0" t="s">
        <v>1843</v>
      </c>
      <c r="F281" s="0" t="s">
        <v>1120</v>
      </c>
      <c r="G281" s="26" t="s">
        <v>1844</v>
      </c>
      <c r="H281" s="42" t="s">
        <v>1122</v>
      </c>
    </row>
    <row r="282" customFormat="false" ht="12.8" hidden="false" customHeight="false" outlineLevel="0" collapsed="false">
      <c r="A282" s="41" t="s">
        <v>961</v>
      </c>
      <c r="B282" s="26" t="s">
        <v>1845</v>
      </c>
      <c r="C282" s="26" t="n">
        <v>2.2</v>
      </c>
      <c r="D282" s="0" t="s">
        <v>1846</v>
      </c>
      <c r="E282" s="0" t="s">
        <v>1847</v>
      </c>
      <c r="F282" s="0" t="s">
        <v>1127</v>
      </c>
      <c r="G282" s="26" t="s">
        <v>1848</v>
      </c>
      <c r="H282" s="42" t="s">
        <v>1122</v>
      </c>
    </row>
    <row r="283" customFormat="false" ht="12.8" hidden="false" customHeight="false" outlineLevel="0" collapsed="false">
      <c r="A283" s="41" t="s">
        <v>965</v>
      </c>
      <c r="B283" s="26" t="s">
        <v>1849</v>
      </c>
      <c r="C283" s="26" t="n">
        <v>0.75</v>
      </c>
      <c r="D283" s="0" t="s">
        <v>1850</v>
      </c>
      <c r="E283" s="0" t="s">
        <v>1851</v>
      </c>
      <c r="F283" s="0" t="s">
        <v>1127</v>
      </c>
      <c r="G283" s="26" t="s">
        <v>1443</v>
      </c>
      <c r="H283" s="42" t="s">
        <v>1122</v>
      </c>
    </row>
    <row r="284" customFormat="false" ht="12.8" hidden="false" customHeight="false" outlineLevel="0" collapsed="false">
      <c r="A284" s="41" t="s">
        <v>969</v>
      </c>
      <c r="B284" s="26" t="s">
        <v>1852</v>
      </c>
      <c r="C284" s="26" t="n">
        <v>1.05</v>
      </c>
      <c r="D284" s="0" t="s">
        <v>1853</v>
      </c>
      <c r="E284" s="0" t="s">
        <v>1854</v>
      </c>
      <c r="F284" s="0" t="s">
        <v>1127</v>
      </c>
      <c r="G284" s="26" t="s">
        <v>1221</v>
      </c>
      <c r="H284" s="42" t="s">
        <v>1122</v>
      </c>
    </row>
    <row r="285" customFormat="false" ht="12.8" hidden="false" customHeight="false" outlineLevel="0" collapsed="false">
      <c r="A285" s="41" t="s">
        <v>1855</v>
      </c>
      <c r="B285" s="26" t="s">
        <v>1856</v>
      </c>
      <c r="C285" s="26" t="n">
        <v>1.1</v>
      </c>
      <c r="D285" s="0" t="s">
        <v>1686</v>
      </c>
      <c r="E285" s="0" t="s">
        <v>1857</v>
      </c>
      <c r="F285" s="0" t="s">
        <v>1120</v>
      </c>
      <c r="G285" s="26" t="s">
        <v>1563</v>
      </c>
      <c r="H285" s="42" t="s">
        <v>1122</v>
      </c>
    </row>
    <row r="286" customFormat="false" ht="12.8" hidden="false" customHeight="false" outlineLevel="0" collapsed="false">
      <c r="A286" s="41" t="s">
        <v>1858</v>
      </c>
      <c r="B286" s="26" t="s">
        <v>1236</v>
      </c>
      <c r="C286" s="26" t="n">
        <v>0.85</v>
      </c>
      <c r="D286" s="0" t="s">
        <v>1859</v>
      </c>
      <c r="E286" s="0" t="s">
        <v>1860</v>
      </c>
      <c r="F286" s="0" t="s">
        <v>1120</v>
      </c>
      <c r="G286" s="26" t="s">
        <v>1861</v>
      </c>
      <c r="H286" s="42" t="s">
        <v>1122</v>
      </c>
    </row>
    <row r="288" customFormat="false" ht="12.8" hidden="false" customHeight="false" outlineLevel="0" collapsed="false">
      <c r="A288" s="44" t="s">
        <v>1862</v>
      </c>
    </row>
    <row r="289" customFormat="false" ht="12.8" hidden="false" customHeight="false" outlineLevel="0" collapsed="false">
      <c r="A289" s="41" t="s">
        <v>1335</v>
      </c>
      <c r="B289" s="26" t="s">
        <v>1336</v>
      </c>
      <c r="C289" s="26" t="s">
        <v>1337</v>
      </c>
      <c r="D289" s="0" t="s">
        <v>1338</v>
      </c>
      <c r="E289" s="0" t="s">
        <v>1339</v>
      </c>
      <c r="F289" s="0" t="s">
        <v>1340</v>
      </c>
      <c r="G289" s="26" t="s">
        <v>1341</v>
      </c>
      <c r="H289" s="26" t="s">
        <v>1342</v>
      </c>
    </row>
    <row r="290" customFormat="false" ht="12.8" hidden="false" customHeight="false" outlineLevel="0" collapsed="false">
      <c r="A290" s="41" t="s">
        <v>975</v>
      </c>
      <c r="B290" s="26" t="s">
        <v>1863</v>
      </c>
      <c r="C290" s="26" t="n">
        <v>0.034</v>
      </c>
      <c r="D290" s="0" t="s">
        <v>1864</v>
      </c>
      <c r="E290" s="0" t="s">
        <v>1865</v>
      </c>
      <c r="F290" s="0" t="s">
        <v>1120</v>
      </c>
      <c r="G290" s="26" t="s">
        <v>1866</v>
      </c>
      <c r="H290" s="42" t="s">
        <v>1122</v>
      </c>
    </row>
    <row r="291" customFormat="false" ht="12.8" hidden="false" customHeight="false" outlineLevel="0" collapsed="false">
      <c r="A291" s="41" t="s">
        <v>980</v>
      </c>
      <c r="B291" s="26" t="s">
        <v>1867</v>
      </c>
      <c r="C291" s="26" t="n">
        <v>0.055</v>
      </c>
      <c r="D291" s="0" t="s">
        <v>1868</v>
      </c>
      <c r="E291" s="0" t="s">
        <v>1869</v>
      </c>
      <c r="F291" s="0" t="s">
        <v>1127</v>
      </c>
      <c r="G291" s="26" t="s">
        <v>1870</v>
      </c>
      <c r="H291" s="42" t="s">
        <v>1122</v>
      </c>
    </row>
    <row r="292" customFormat="false" ht="12.8" hidden="false" customHeight="false" outlineLevel="0" collapsed="false">
      <c r="A292" s="41" t="s">
        <v>984</v>
      </c>
      <c r="B292" s="26" t="s">
        <v>1871</v>
      </c>
      <c r="C292" s="26" t="n">
        <v>0.015</v>
      </c>
      <c r="D292" s="0" t="s">
        <v>1872</v>
      </c>
      <c r="E292" s="0" t="s">
        <v>1873</v>
      </c>
      <c r="F292" s="0" t="s">
        <v>1120</v>
      </c>
      <c r="G292" s="26" t="s">
        <v>1874</v>
      </c>
      <c r="H292" s="42" t="s">
        <v>1122</v>
      </c>
    </row>
    <row r="293" customFormat="false" ht="12.8" hidden="false" customHeight="false" outlineLevel="0" collapsed="false">
      <c r="A293" s="41" t="s">
        <v>988</v>
      </c>
      <c r="B293" s="26" t="s">
        <v>1875</v>
      </c>
      <c r="C293" s="26" t="n">
        <v>1.3</v>
      </c>
      <c r="D293" s="0" t="s">
        <v>1876</v>
      </c>
      <c r="E293" s="0" t="s">
        <v>1877</v>
      </c>
      <c r="F293" s="0" t="s">
        <v>1127</v>
      </c>
      <c r="G293" s="26" t="s">
        <v>1443</v>
      </c>
      <c r="H293" s="42" t="s">
        <v>1122</v>
      </c>
    </row>
    <row r="294" customFormat="false" ht="12.8" hidden="false" customHeight="false" outlineLevel="0" collapsed="false">
      <c r="A294" s="41" t="s">
        <v>992</v>
      </c>
      <c r="B294" s="26" t="s">
        <v>1878</v>
      </c>
      <c r="C294" s="26" t="n">
        <v>0.9</v>
      </c>
      <c r="D294" s="0" t="s">
        <v>1879</v>
      </c>
      <c r="E294" s="0" t="s">
        <v>1880</v>
      </c>
      <c r="F294" s="0" t="s">
        <v>1127</v>
      </c>
      <c r="G294" s="26" t="s">
        <v>1221</v>
      </c>
      <c r="H294" s="42" t="s">
        <v>1122</v>
      </c>
    </row>
    <row r="295" customFormat="false" ht="12.8" hidden="false" customHeight="false" outlineLevel="0" collapsed="false">
      <c r="A295" s="41" t="s">
        <v>1881</v>
      </c>
      <c r="B295" s="26" t="s">
        <v>1882</v>
      </c>
      <c r="C295" s="26" t="n">
        <v>0.95</v>
      </c>
      <c r="D295" s="0" t="s">
        <v>1686</v>
      </c>
      <c r="E295" s="0" t="s">
        <v>1883</v>
      </c>
      <c r="F295" s="0" t="s">
        <v>1120</v>
      </c>
      <c r="G295" s="26" t="s">
        <v>1563</v>
      </c>
      <c r="H295" s="42" t="s">
        <v>1122</v>
      </c>
    </row>
    <row r="296" customFormat="false" ht="12.8" hidden="false" customHeight="false" outlineLevel="0" collapsed="false">
      <c r="A296" s="41" t="s">
        <v>1884</v>
      </c>
      <c r="B296" s="26" t="s">
        <v>1236</v>
      </c>
      <c r="C296" s="26" t="n">
        <v>0.75</v>
      </c>
      <c r="D296" s="0" t="s">
        <v>1885</v>
      </c>
      <c r="E296" s="0" t="s">
        <v>1886</v>
      </c>
      <c r="F296" s="0" t="s">
        <v>1120</v>
      </c>
      <c r="G296" s="26" t="s">
        <v>1887</v>
      </c>
      <c r="H296" s="42" t="s">
        <v>1122</v>
      </c>
    </row>
    <row r="298" customFormat="false" ht="12.8" hidden="false" customHeight="false" outlineLevel="0" collapsed="false">
      <c r="A298" s="44" t="s">
        <v>1888</v>
      </c>
    </row>
    <row r="299" customFormat="false" ht="12.8" hidden="false" customHeight="false" outlineLevel="0" collapsed="false">
      <c r="A299" s="41" t="s">
        <v>1335</v>
      </c>
      <c r="B299" s="26" t="s">
        <v>1336</v>
      </c>
      <c r="C299" s="26" t="s">
        <v>1337</v>
      </c>
      <c r="D299" s="0" t="s">
        <v>1338</v>
      </c>
      <c r="E299" s="0" t="s">
        <v>1339</v>
      </c>
      <c r="F299" s="0" t="s">
        <v>1340</v>
      </c>
      <c r="G299" s="26" t="s">
        <v>1341</v>
      </c>
      <c r="H299" s="26" t="s">
        <v>1342</v>
      </c>
    </row>
    <row r="300" customFormat="false" ht="12.8" hidden="false" customHeight="false" outlineLevel="0" collapsed="false">
      <c r="A300" s="41" t="s">
        <v>998</v>
      </c>
      <c r="B300" s="26" t="s">
        <v>1889</v>
      </c>
      <c r="C300" s="26" t="n">
        <v>72</v>
      </c>
      <c r="D300" s="0" t="s">
        <v>1890</v>
      </c>
      <c r="E300" s="0" t="s">
        <v>1891</v>
      </c>
      <c r="F300" s="0" t="s">
        <v>1127</v>
      </c>
      <c r="G300" s="26" t="s">
        <v>1892</v>
      </c>
      <c r="H300" s="42" t="s">
        <v>1122</v>
      </c>
    </row>
    <row r="301" customFormat="false" ht="12.8" hidden="false" customHeight="false" outlineLevel="0" collapsed="false">
      <c r="A301" s="41" t="s">
        <v>1003</v>
      </c>
      <c r="B301" s="26" t="s">
        <v>1893</v>
      </c>
      <c r="C301" s="26" t="n">
        <v>1.08</v>
      </c>
      <c r="D301" s="0" t="s">
        <v>1894</v>
      </c>
      <c r="E301" s="0" t="s">
        <v>1895</v>
      </c>
      <c r="F301" s="0" t="s">
        <v>1120</v>
      </c>
      <c r="G301" s="26" t="s">
        <v>1896</v>
      </c>
      <c r="H301" s="42" t="s">
        <v>1122</v>
      </c>
    </row>
    <row r="302" customFormat="false" ht="12.8" hidden="false" customHeight="false" outlineLevel="0" collapsed="false">
      <c r="A302" s="41" t="s">
        <v>1008</v>
      </c>
      <c r="B302" s="26" t="s">
        <v>1897</v>
      </c>
      <c r="C302" s="26" t="n">
        <v>0.85</v>
      </c>
      <c r="D302" s="0" t="s">
        <v>1898</v>
      </c>
      <c r="E302" s="0" t="s">
        <v>1899</v>
      </c>
      <c r="F302" s="0" t="s">
        <v>1127</v>
      </c>
      <c r="G302" s="26" t="s">
        <v>1443</v>
      </c>
      <c r="H302" s="42" t="s">
        <v>1122</v>
      </c>
    </row>
    <row r="303" customFormat="false" ht="12.8" hidden="false" customHeight="false" outlineLevel="0" collapsed="false">
      <c r="A303" s="41" t="s">
        <v>1013</v>
      </c>
      <c r="B303" s="26" t="s">
        <v>1900</v>
      </c>
      <c r="C303" s="26" t="n">
        <v>1.02</v>
      </c>
      <c r="D303" s="0" t="s">
        <v>1901</v>
      </c>
      <c r="E303" s="0" t="s">
        <v>1902</v>
      </c>
      <c r="F303" s="0" t="s">
        <v>1127</v>
      </c>
      <c r="G303" s="26" t="s">
        <v>1221</v>
      </c>
      <c r="H303" s="42" t="s">
        <v>1122</v>
      </c>
    </row>
    <row r="304" customFormat="false" ht="12.8" hidden="false" customHeight="false" outlineLevel="0" collapsed="false">
      <c r="A304" s="41" t="s">
        <v>1017</v>
      </c>
      <c r="B304" s="26" t="s">
        <v>1903</v>
      </c>
      <c r="C304" s="26" t="n">
        <v>15000000000</v>
      </c>
      <c r="D304" s="0" t="s">
        <v>1904</v>
      </c>
      <c r="E304" s="0" t="s">
        <v>1905</v>
      </c>
      <c r="F304" s="0" t="s">
        <v>1127</v>
      </c>
      <c r="G304" s="26" t="s">
        <v>1906</v>
      </c>
      <c r="H304" s="42" t="s">
        <v>1122</v>
      </c>
    </row>
    <row r="305" customFormat="false" ht="12.8" hidden="false" customHeight="false" outlineLevel="0" collapsed="false">
      <c r="A305" s="41" t="s">
        <v>1907</v>
      </c>
      <c r="B305" s="26" t="s">
        <v>1908</v>
      </c>
      <c r="C305" s="26" t="n">
        <v>1.05</v>
      </c>
      <c r="D305" s="0" t="s">
        <v>1561</v>
      </c>
      <c r="E305" s="0" t="s">
        <v>1909</v>
      </c>
      <c r="F305" s="0" t="s">
        <v>1120</v>
      </c>
      <c r="G305" s="26" t="s">
        <v>1910</v>
      </c>
      <c r="H305" s="42" t="s">
        <v>1122</v>
      </c>
    </row>
    <row r="307" customFormat="false" ht="12.8" hidden="false" customHeight="false" outlineLevel="0" collapsed="false">
      <c r="A307" s="44" t="s">
        <v>1911</v>
      </c>
    </row>
    <row r="308" customFormat="false" ht="12.8" hidden="false" customHeight="false" outlineLevel="0" collapsed="false">
      <c r="A308" s="41" t="s">
        <v>1335</v>
      </c>
      <c r="B308" s="26" t="s">
        <v>1336</v>
      </c>
      <c r="C308" s="26" t="s">
        <v>1337</v>
      </c>
      <c r="D308" s="0" t="s">
        <v>1338</v>
      </c>
      <c r="E308" s="0" t="s">
        <v>1339</v>
      </c>
      <c r="F308" s="0" t="s">
        <v>1340</v>
      </c>
      <c r="G308" s="26" t="s">
        <v>1341</v>
      </c>
      <c r="H308" s="26" t="s">
        <v>1342</v>
      </c>
    </row>
    <row r="309" customFormat="false" ht="12.8" hidden="false" customHeight="false" outlineLevel="0" collapsed="false">
      <c r="A309" s="41" t="s">
        <v>1023</v>
      </c>
      <c r="B309" s="26" t="s">
        <v>1912</v>
      </c>
      <c r="C309" s="26" t="n">
        <v>3.2</v>
      </c>
      <c r="D309" s="0" t="s">
        <v>1913</v>
      </c>
      <c r="E309" s="0" t="s">
        <v>1914</v>
      </c>
      <c r="F309" s="0" t="s">
        <v>1127</v>
      </c>
      <c r="G309" s="26" t="s">
        <v>1915</v>
      </c>
      <c r="H309" s="42" t="s">
        <v>1122</v>
      </c>
    </row>
    <row r="310" customFormat="false" ht="12.8" hidden="false" customHeight="false" outlineLevel="0" collapsed="false">
      <c r="A310" s="41" t="s">
        <v>1028</v>
      </c>
      <c r="B310" s="26" t="s">
        <v>1916</v>
      </c>
      <c r="C310" s="26" t="n">
        <v>2.5</v>
      </c>
      <c r="D310" s="0" t="s">
        <v>1917</v>
      </c>
      <c r="E310" s="0" t="s">
        <v>1918</v>
      </c>
      <c r="F310" s="0" t="s">
        <v>1120</v>
      </c>
      <c r="G310" s="26" t="s">
        <v>1919</v>
      </c>
      <c r="H310" s="42" t="s">
        <v>1122</v>
      </c>
    </row>
    <row r="311" customFormat="false" ht="12.8" hidden="false" customHeight="false" outlineLevel="0" collapsed="false">
      <c r="A311" s="41" t="s">
        <v>1032</v>
      </c>
      <c r="B311" s="26" t="s">
        <v>1920</v>
      </c>
      <c r="C311" s="26" t="n">
        <v>4</v>
      </c>
      <c r="D311" s="0" t="s">
        <v>1921</v>
      </c>
      <c r="E311" s="0" t="s">
        <v>1922</v>
      </c>
      <c r="F311" s="0" t="s">
        <v>1120</v>
      </c>
      <c r="G311" s="26" t="s">
        <v>1923</v>
      </c>
      <c r="H311" s="42" t="s">
        <v>1122</v>
      </c>
    </row>
    <row r="312" customFormat="false" ht="12.8" hidden="false" customHeight="false" outlineLevel="0" collapsed="false">
      <c r="A312" s="41" t="s">
        <v>1036</v>
      </c>
      <c r="B312" s="26" t="s">
        <v>1924</v>
      </c>
      <c r="C312" s="26" t="n">
        <v>0.8</v>
      </c>
      <c r="D312" s="0" t="s">
        <v>1925</v>
      </c>
      <c r="E312" s="0" t="s">
        <v>1926</v>
      </c>
      <c r="F312" s="0" t="s">
        <v>1127</v>
      </c>
      <c r="G312" s="26" t="s">
        <v>1443</v>
      </c>
      <c r="H312" s="42" t="s">
        <v>1122</v>
      </c>
    </row>
    <row r="313" customFormat="false" ht="12.8" hidden="false" customHeight="false" outlineLevel="0" collapsed="false">
      <c r="A313" s="41" t="s">
        <v>1040</v>
      </c>
      <c r="B313" s="26" t="s">
        <v>1927</v>
      </c>
      <c r="C313" s="26" t="n">
        <v>1.1</v>
      </c>
      <c r="D313" s="0" t="s">
        <v>1928</v>
      </c>
      <c r="E313" s="0" t="s">
        <v>1929</v>
      </c>
      <c r="F313" s="0" t="s">
        <v>1127</v>
      </c>
      <c r="G313" s="26" t="s">
        <v>1221</v>
      </c>
      <c r="H313" s="42" t="s">
        <v>1122</v>
      </c>
    </row>
    <row r="314" customFormat="false" ht="12.8" hidden="false" customHeight="false" outlineLevel="0" collapsed="false">
      <c r="A314" s="41" t="s">
        <v>1930</v>
      </c>
      <c r="B314" s="26" t="s">
        <v>1931</v>
      </c>
      <c r="C314" s="26" t="n">
        <v>4.2</v>
      </c>
      <c r="D314" s="0" t="s">
        <v>1561</v>
      </c>
      <c r="E314" s="0" t="s">
        <v>1932</v>
      </c>
      <c r="F314" s="0" t="s">
        <v>1120</v>
      </c>
      <c r="G314" s="26" t="s">
        <v>1933</v>
      </c>
      <c r="H314" s="42" t="s">
        <v>1122</v>
      </c>
    </row>
    <row r="315" customFormat="false" ht="12.8" hidden="false" customHeight="false" outlineLevel="0" collapsed="false">
      <c r="A315" s="41" t="s">
        <v>1934</v>
      </c>
      <c r="B315" s="26" t="s">
        <v>1935</v>
      </c>
      <c r="C315" s="26" t="n">
        <v>2</v>
      </c>
      <c r="D315" s="0" t="s">
        <v>1641</v>
      </c>
      <c r="E315" s="0" t="s">
        <v>1936</v>
      </c>
      <c r="F315" s="0" t="s">
        <v>1127</v>
      </c>
      <c r="G315" s="26" t="s">
        <v>1563</v>
      </c>
      <c r="H315" s="42" t="s">
        <v>1122</v>
      </c>
    </row>
    <row r="317" customFormat="false" ht="12.8" hidden="false" customHeight="false" outlineLevel="0" collapsed="false">
      <c r="A317" s="44" t="s">
        <v>1937</v>
      </c>
    </row>
    <row r="318" customFormat="false" ht="12.8" hidden="false" customHeight="false" outlineLevel="0" collapsed="false">
      <c r="A318" s="41" t="s">
        <v>1335</v>
      </c>
      <c r="B318" s="26" t="s">
        <v>1336</v>
      </c>
      <c r="C318" s="26" t="s">
        <v>1337</v>
      </c>
      <c r="D318" s="0" t="s">
        <v>1338</v>
      </c>
      <c r="E318" s="0" t="s">
        <v>1339</v>
      </c>
      <c r="F318" s="0" t="s">
        <v>1340</v>
      </c>
      <c r="G318" s="26" t="s">
        <v>1341</v>
      </c>
      <c r="H318" s="26" t="s">
        <v>1342</v>
      </c>
    </row>
    <row r="319" customFormat="false" ht="12.8" hidden="false" customHeight="false" outlineLevel="0" collapsed="false">
      <c r="A319" s="41" t="s">
        <v>1047</v>
      </c>
      <c r="B319" s="26" t="s">
        <v>1938</v>
      </c>
      <c r="C319" s="26" t="n">
        <v>7500000000</v>
      </c>
      <c r="D319" s="0" t="s">
        <v>1939</v>
      </c>
      <c r="E319" s="0" t="s">
        <v>1940</v>
      </c>
      <c r="F319" s="0" t="s">
        <v>1120</v>
      </c>
      <c r="G319" s="26" t="s">
        <v>1941</v>
      </c>
      <c r="H319" s="42" t="s">
        <v>1122</v>
      </c>
    </row>
    <row r="320" customFormat="false" ht="12.8" hidden="false" customHeight="false" outlineLevel="0" collapsed="false">
      <c r="A320" s="41" t="s">
        <v>1052</v>
      </c>
      <c r="B320" s="26" t="s">
        <v>1271</v>
      </c>
      <c r="C320" s="26" t="n">
        <v>0.09</v>
      </c>
      <c r="D320" s="0" t="s">
        <v>1942</v>
      </c>
      <c r="E320" s="0" t="s">
        <v>1943</v>
      </c>
      <c r="F320" s="0" t="s">
        <v>1127</v>
      </c>
      <c r="G320" s="26" t="s">
        <v>1944</v>
      </c>
      <c r="H320" s="42" t="s">
        <v>1122</v>
      </c>
    </row>
    <row r="321" customFormat="false" ht="12.8" hidden="false" customHeight="false" outlineLevel="0" collapsed="false">
      <c r="A321" s="41" t="s">
        <v>1056</v>
      </c>
      <c r="B321" s="26" t="s">
        <v>1276</v>
      </c>
      <c r="C321" s="26" t="n">
        <v>0.07</v>
      </c>
      <c r="D321" s="0" t="s">
        <v>1945</v>
      </c>
      <c r="E321" s="0" t="s">
        <v>1946</v>
      </c>
      <c r="F321" s="0" t="s">
        <v>1127</v>
      </c>
      <c r="G321" s="26" t="s">
        <v>1947</v>
      </c>
      <c r="H321" s="42" t="s">
        <v>1122</v>
      </c>
    </row>
    <row r="322" customFormat="false" ht="12.8" hidden="false" customHeight="false" outlineLevel="0" collapsed="false">
      <c r="A322" s="41" t="s">
        <v>1060</v>
      </c>
      <c r="B322" s="26" t="s">
        <v>1948</v>
      </c>
      <c r="C322" s="26" t="n">
        <v>0.09</v>
      </c>
      <c r="D322" s="0" t="s">
        <v>1949</v>
      </c>
      <c r="E322" s="0" t="s">
        <v>1950</v>
      </c>
      <c r="F322" s="0" t="s">
        <v>1127</v>
      </c>
      <c r="G322" s="26" t="s">
        <v>1951</v>
      </c>
      <c r="H322" s="42" t="s">
        <v>1122</v>
      </c>
    </row>
    <row r="323" customFormat="false" ht="12.8" hidden="false" customHeight="false" outlineLevel="0" collapsed="false">
      <c r="A323" s="41" t="s">
        <v>1064</v>
      </c>
      <c r="B323" s="26" t="s">
        <v>1231</v>
      </c>
      <c r="C323" s="26" t="n">
        <v>8.33</v>
      </c>
      <c r="D323" s="0" t="s">
        <v>1952</v>
      </c>
      <c r="E323" s="0" t="s">
        <v>1953</v>
      </c>
      <c r="F323" s="0" t="s">
        <v>1120</v>
      </c>
      <c r="G323" s="26" t="s">
        <v>1954</v>
      </c>
      <c r="H323" s="42" t="s">
        <v>1122</v>
      </c>
    </row>
    <row r="324" customFormat="false" ht="12.8" hidden="false" customHeight="false" outlineLevel="0" collapsed="false">
      <c r="A324" s="41" t="s">
        <v>1955</v>
      </c>
      <c r="B324" s="26" t="s">
        <v>1956</v>
      </c>
      <c r="C324" s="26" t="n">
        <v>0.95</v>
      </c>
      <c r="D324" s="0" t="s">
        <v>1641</v>
      </c>
      <c r="E324" s="0" t="s">
        <v>1957</v>
      </c>
      <c r="F324" s="0" t="s">
        <v>1127</v>
      </c>
      <c r="G324" s="26" t="s">
        <v>1663</v>
      </c>
      <c r="H324" s="42" t="s">
        <v>1122</v>
      </c>
    </row>
    <row r="325" customFormat="false" ht="12.8" hidden="false" customHeight="false" outlineLevel="0" collapsed="false">
      <c r="A325" s="41" t="s">
        <v>1958</v>
      </c>
      <c r="B325" s="26" t="s">
        <v>1959</v>
      </c>
      <c r="C325" s="26" t="n">
        <v>1.05</v>
      </c>
      <c r="D325" s="0" t="s">
        <v>1561</v>
      </c>
      <c r="E325" s="0" t="s">
        <v>1960</v>
      </c>
      <c r="F325" s="0" t="s">
        <v>1120</v>
      </c>
      <c r="G325" s="26" t="s">
        <v>1961</v>
      </c>
      <c r="H325" s="42" t="s">
        <v>1122</v>
      </c>
    </row>
    <row r="327" customFormat="false" ht="12.8" hidden="false" customHeight="false" outlineLevel="0" collapsed="false">
      <c r="A327" s="44" t="s">
        <v>1962</v>
      </c>
    </row>
    <row r="328" customFormat="false" ht="12.8" hidden="false" customHeight="false" outlineLevel="0" collapsed="false">
      <c r="A328" s="41" t="s">
        <v>1335</v>
      </c>
      <c r="B328" s="26" t="s">
        <v>1336</v>
      </c>
      <c r="C328" s="26" t="s">
        <v>1337</v>
      </c>
      <c r="D328" s="0" t="s">
        <v>1338</v>
      </c>
      <c r="E328" s="0" t="s">
        <v>1339</v>
      </c>
      <c r="F328" s="0" t="s">
        <v>1340</v>
      </c>
      <c r="G328" s="26" t="s">
        <v>1341</v>
      </c>
      <c r="H328" s="26" t="s">
        <v>1342</v>
      </c>
    </row>
    <row r="329" customFormat="false" ht="12.8" hidden="false" customHeight="false" outlineLevel="0" collapsed="false">
      <c r="A329" s="41" t="s">
        <v>1070</v>
      </c>
      <c r="B329" s="26" t="s">
        <v>1963</v>
      </c>
      <c r="C329" s="26" t="n">
        <v>11500000000</v>
      </c>
      <c r="D329" s="0" t="s">
        <v>1964</v>
      </c>
      <c r="E329" s="0" t="s">
        <v>1965</v>
      </c>
      <c r="F329" s="0" t="s">
        <v>1127</v>
      </c>
      <c r="G329" s="26" t="s">
        <v>1966</v>
      </c>
      <c r="H329" s="42" t="s">
        <v>1122</v>
      </c>
    </row>
    <row r="330" customFormat="false" ht="12.8" hidden="false" customHeight="false" outlineLevel="0" collapsed="false">
      <c r="A330" s="41" t="s">
        <v>1075</v>
      </c>
      <c r="B330" s="26" t="s">
        <v>1388</v>
      </c>
      <c r="C330" s="26" t="n">
        <v>0.153</v>
      </c>
      <c r="D330" s="0" t="s">
        <v>1967</v>
      </c>
      <c r="E330" s="0" t="s">
        <v>1968</v>
      </c>
      <c r="F330" s="0" t="s">
        <v>1120</v>
      </c>
      <c r="G330" s="26" t="s">
        <v>1969</v>
      </c>
      <c r="H330" s="42" t="s">
        <v>1122</v>
      </c>
    </row>
    <row r="331" customFormat="false" ht="12.8" hidden="false" customHeight="false" outlineLevel="0" collapsed="false">
      <c r="A331" s="41" t="s">
        <v>1079</v>
      </c>
      <c r="B331" s="26" t="s">
        <v>1970</v>
      </c>
      <c r="C331" s="26" t="n">
        <v>0.153</v>
      </c>
      <c r="D331" s="0" t="s">
        <v>1971</v>
      </c>
      <c r="E331" s="0" t="s">
        <v>1972</v>
      </c>
      <c r="F331" s="0" t="s">
        <v>1120</v>
      </c>
      <c r="G331" s="26" t="s">
        <v>1973</v>
      </c>
      <c r="H331" s="42" t="s">
        <v>1122</v>
      </c>
    </row>
    <row r="332" customFormat="false" ht="12.8" hidden="false" customHeight="false" outlineLevel="0" collapsed="false">
      <c r="A332" s="41" t="s">
        <v>1083</v>
      </c>
      <c r="B332" s="26" t="s">
        <v>1392</v>
      </c>
      <c r="C332" s="26" t="n">
        <v>0.1</v>
      </c>
      <c r="D332" s="0" t="s">
        <v>1974</v>
      </c>
      <c r="E332" s="0" t="s">
        <v>1975</v>
      </c>
      <c r="F332" s="0" t="s">
        <v>1127</v>
      </c>
      <c r="G332" s="26" t="s">
        <v>1629</v>
      </c>
      <c r="H332" s="42" t="s">
        <v>1122</v>
      </c>
    </row>
    <row r="333" customFormat="false" ht="12.8" hidden="false" customHeight="false" outlineLevel="0" collapsed="false">
      <c r="A333" s="41" t="s">
        <v>1087</v>
      </c>
      <c r="B333" s="26" t="s">
        <v>1976</v>
      </c>
      <c r="C333" s="26" t="n">
        <v>1</v>
      </c>
      <c r="D333" s="0" t="s">
        <v>1561</v>
      </c>
      <c r="E333" s="0" t="s">
        <v>1977</v>
      </c>
      <c r="F333" s="0" t="s">
        <v>1120</v>
      </c>
      <c r="G333" s="26" t="s">
        <v>1659</v>
      </c>
      <c r="H333" s="42" t="s">
        <v>1122</v>
      </c>
    </row>
    <row r="334" customFormat="false" ht="12.8" hidden="false" customHeight="false" outlineLevel="0" collapsed="false">
      <c r="A334" s="41" t="s">
        <v>1978</v>
      </c>
      <c r="B334" s="26" t="s">
        <v>1979</v>
      </c>
      <c r="C334" s="26" t="n">
        <v>0.9</v>
      </c>
      <c r="D334" s="0" t="s">
        <v>1591</v>
      </c>
      <c r="E334" s="0" t="s">
        <v>1980</v>
      </c>
      <c r="F334" s="0" t="s">
        <v>1127</v>
      </c>
      <c r="G334" s="26" t="s">
        <v>1663</v>
      </c>
      <c r="H334" s="42" t="s">
        <v>1122</v>
      </c>
    </row>
    <row r="336" customFormat="false" ht="12.8" hidden="false" customHeight="false" outlineLevel="0" collapsed="false">
      <c r="A336" s="44" t="s">
        <v>1981</v>
      </c>
    </row>
    <row r="337" customFormat="false" ht="12.8" hidden="false" customHeight="false" outlineLevel="0" collapsed="false">
      <c r="A337" s="41" t="s">
        <v>1335</v>
      </c>
      <c r="B337" s="26" t="s">
        <v>1336</v>
      </c>
      <c r="C337" s="26" t="s">
        <v>1337</v>
      </c>
      <c r="D337" s="0" t="s">
        <v>1338</v>
      </c>
      <c r="E337" s="0" t="s">
        <v>1339</v>
      </c>
      <c r="F337" s="0" t="s">
        <v>1340</v>
      </c>
      <c r="G337" s="26" t="s">
        <v>1341</v>
      </c>
      <c r="H337" s="26" t="s">
        <v>1342</v>
      </c>
    </row>
    <row r="338" customFormat="false" ht="12.8" hidden="false" customHeight="false" outlineLevel="0" collapsed="false">
      <c r="A338" s="41" t="s">
        <v>1093</v>
      </c>
      <c r="B338" s="26" t="s">
        <v>1982</v>
      </c>
      <c r="C338" s="26" t="n">
        <v>0.145</v>
      </c>
      <c r="D338" s="0" t="s">
        <v>1983</v>
      </c>
      <c r="E338" s="0" t="s">
        <v>1984</v>
      </c>
      <c r="F338" s="0" t="s">
        <v>1120</v>
      </c>
      <c r="G338" s="26" t="s">
        <v>1985</v>
      </c>
      <c r="H338" s="42" t="s">
        <v>1122</v>
      </c>
    </row>
    <row r="339" customFormat="false" ht="12.8" hidden="false" customHeight="false" outlineLevel="0" collapsed="false">
      <c r="A339" s="41" t="s">
        <v>1098</v>
      </c>
      <c r="B339" s="26" t="s">
        <v>1226</v>
      </c>
      <c r="C339" s="26" t="n">
        <v>1.45</v>
      </c>
      <c r="D339" s="0" t="s">
        <v>1986</v>
      </c>
      <c r="E339" s="0" t="s">
        <v>1987</v>
      </c>
      <c r="F339" s="0" t="s">
        <v>1120</v>
      </c>
      <c r="G339" s="26" t="s">
        <v>1229</v>
      </c>
      <c r="H339" s="42" t="s">
        <v>1122</v>
      </c>
    </row>
    <row r="340" customFormat="false" ht="12.8" hidden="false" customHeight="false" outlineLevel="0" collapsed="false">
      <c r="A340" s="41" t="s">
        <v>1102</v>
      </c>
      <c r="B340" s="26" t="s">
        <v>1218</v>
      </c>
      <c r="C340" s="26" t="n">
        <v>0.2</v>
      </c>
      <c r="D340" s="0" t="s">
        <v>1988</v>
      </c>
      <c r="E340" s="0" t="s">
        <v>1989</v>
      </c>
      <c r="F340" s="0" t="s">
        <v>1127</v>
      </c>
      <c r="G340" s="26" t="s">
        <v>1990</v>
      </c>
      <c r="H340" s="42" t="s">
        <v>1122</v>
      </c>
    </row>
    <row r="341" customFormat="false" ht="12.8" hidden="false" customHeight="false" outlineLevel="0" collapsed="false">
      <c r="A341" s="41" t="s">
        <v>1106</v>
      </c>
      <c r="B341" s="26" t="s">
        <v>1991</v>
      </c>
      <c r="C341" s="26" t="n">
        <v>0.18</v>
      </c>
      <c r="D341" s="0" t="s">
        <v>1992</v>
      </c>
      <c r="E341" s="0" t="s">
        <v>1993</v>
      </c>
      <c r="F341" s="0" t="s">
        <v>1127</v>
      </c>
      <c r="G341" s="26" t="s">
        <v>1994</v>
      </c>
      <c r="H341" s="42" t="s">
        <v>1122</v>
      </c>
    </row>
    <row r="342" customFormat="false" ht="12.8" hidden="false" customHeight="false" outlineLevel="0" collapsed="false">
      <c r="A342" s="41" t="s">
        <v>1110</v>
      </c>
      <c r="B342" s="26" t="s">
        <v>1995</v>
      </c>
      <c r="C342" s="26" t="n">
        <v>0.6</v>
      </c>
      <c r="D342" s="0" t="s">
        <v>1996</v>
      </c>
      <c r="E342" s="0" t="s">
        <v>1997</v>
      </c>
      <c r="F342" s="0" t="s">
        <v>1127</v>
      </c>
      <c r="G342" s="26" t="s">
        <v>1998</v>
      </c>
      <c r="H342" s="42" t="s">
        <v>1122</v>
      </c>
    </row>
    <row r="343" customFormat="false" ht="12.8" hidden="false" customHeight="false" outlineLevel="0" collapsed="false">
      <c r="A343" s="41" t="s">
        <v>1999</v>
      </c>
      <c r="B343" s="26" t="s">
        <v>2000</v>
      </c>
      <c r="C343" s="26" t="n">
        <v>1.05</v>
      </c>
      <c r="D343" s="0" t="s">
        <v>2001</v>
      </c>
      <c r="E343" s="0" t="s">
        <v>2002</v>
      </c>
      <c r="F343" s="0" t="s">
        <v>1127</v>
      </c>
      <c r="G343" s="26" t="s">
        <v>2003</v>
      </c>
      <c r="H343" s="42" t="s">
        <v>1122</v>
      </c>
    </row>
    <row r="344" customFormat="false" ht="12.8" hidden="false" customHeight="false" outlineLevel="0" collapsed="false">
      <c r="A344" s="41" t="s">
        <v>2004</v>
      </c>
      <c r="B344" s="26" t="s">
        <v>2005</v>
      </c>
      <c r="C344" s="26" t="n">
        <v>0.08</v>
      </c>
      <c r="D344" s="0" t="s">
        <v>1561</v>
      </c>
      <c r="E344" s="0" t="s">
        <v>2006</v>
      </c>
      <c r="F344" s="0" t="s">
        <v>1120</v>
      </c>
      <c r="G344" s="26" t="s">
        <v>1710</v>
      </c>
      <c r="H344" s="42" t="s">
        <v>1122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DO7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3" ySplit="0" topLeftCell="D1" activePane="topRight" state="frozen"/>
      <selection pane="topLeft" activeCell="A1" activeCellId="0" sqref="A1"/>
      <selection pane="topRight" activeCell="F44" activeCellId="0" sqref="F44"/>
    </sheetView>
  </sheetViews>
  <sheetFormatPr defaultColWidth="11.53515625" defaultRowHeight="12.8" customHeight="false" zeroHeight="false" outlineLevelRow="0" outlineLevelCol="0"/>
  <cols>
    <col collapsed="false" customWidth="false" hidden="false" outlineLevel="0" max="1" min="1" style="41" width="11.53"/>
    <col collapsed="false" customWidth="true" hidden="false" outlineLevel="0" max="2" min="2" style="26" width="43.82"/>
    <col collapsed="false" customWidth="true" hidden="false" outlineLevel="0" max="3" min="3" style="26" width="14.55"/>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 t="s">
        <v>2007</v>
      </c>
      <c r="B1" s="47" t="s">
        <v>7</v>
      </c>
      <c r="C1" s="6" t="s">
        <v>2</v>
      </c>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row>
    <row r="2" customFormat="false" ht="12.8" hidden="false" customHeight="false" outlineLevel="0" collapsed="false">
      <c r="A2" s="5" t="s">
        <v>2008</v>
      </c>
      <c r="B2" s="5"/>
      <c r="C2" s="5"/>
      <c r="D2" s="5" t="s">
        <v>2009</v>
      </c>
      <c r="E2" s="5"/>
      <c r="F2" s="5"/>
      <c r="G2" s="5"/>
      <c r="H2" s="5" t="s">
        <v>2010</v>
      </c>
      <c r="I2" s="5"/>
      <c r="J2" s="5"/>
      <c r="K2" s="5"/>
      <c r="L2" s="5" t="s">
        <v>2011</v>
      </c>
      <c r="M2" s="5"/>
      <c r="N2" s="5"/>
      <c r="O2" s="5"/>
      <c r="P2" s="5" t="s">
        <v>2012</v>
      </c>
      <c r="Q2" s="5"/>
      <c r="R2" s="5"/>
      <c r="S2" s="5"/>
      <c r="T2" s="5" t="s">
        <v>2013</v>
      </c>
      <c r="U2" s="5"/>
      <c r="V2" s="5"/>
      <c r="W2" s="5"/>
      <c r="X2" s="5" t="s">
        <v>2014</v>
      </c>
      <c r="Y2" s="5"/>
      <c r="Z2" s="5"/>
      <c r="AA2" s="5" t="s">
        <v>2015</v>
      </c>
      <c r="AB2" s="5"/>
      <c r="AC2" s="5"/>
      <c r="AD2" s="5" t="s">
        <v>2016</v>
      </c>
      <c r="AE2" s="5"/>
      <c r="AF2" s="5"/>
      <c r="AG2" s="5" t="s">
        <v>2017</v>
      </c>
      <c r="AH2" s="5"/>
      <c r="AI2" s="5"/>
      <c r="AJ2" s="5" t="s">
        <v>2018</v>
      </c>
      <c r="AK2" s="5"/>
      <c r="AL2" s="5"/>
      <c r="AM2" s="5" t="s">
        <v>2019</v>
      </c>
      <c r="AN2" s="5"/>
      <c r="AO2" s="5"/>
      <c r="AP2" s="5" t="s">
        <v>2020</v>
      </c>
      <c r="AQ2" s="5"/>
      <c r="AR2" s="5"/>
      <c r="AS2" s="5" t="s">
        <v>2021</v>
      </c>
      <c r="AT2" s="5"/>
      <c r="AU2" s="5"/>
      <c r="AV2" s="5" t="s">
        <v>2022</v>
      </c>
      <c r="AW2" s="5"/>
      <c r="AX2" s="5"/>
      <c r="AY2" s="5"/>
      <c r="AZ2" s="5" t="s">
        <v>2023</v>
      </c>
      <c r="BA2" s="5"/>
      <c r="BB2" s="5"/>
      <c r="BC2" s="5"/>
      <c r="BD2" s="5" t="s">
        <v>2024</v>
      </c>
      <c r="BE2" s="5"/>
      <c r="BF2" s="5"/>
      <c r="BG2" s="5"/>
      <c r="BH2" s="5" t="s">
        <v>2025</v>
      </c>
      <c r="BI2" s="5"/>
      <c r="BJ2" s="5"/>
      <c r="BK2" s="5"/>
      <c r="BL2" s="5" t="s">
        <v>2026</v>
      </c>
      <c r="BM2" s="5"/>
      <c r="BN2" s="5"/>
      <c r="BO2" s="5"/>
      <c r="BP2" s="48" t="s">
        <v>2027</v>
      </c>
      <c r="BQ2" s="48"/>
      <c r="BR2" s="48"/>
      <c r="BS2" s="48"/>
      <c r="BT2" s="48" t="s">
        <v>2028</v>
      </c>
      <c r="BU2" s="48"/>
      <c r="BV2" s="48"/>
      <c r="BW2" s="48"/>
      <c r="BX2" s="48"/>
      <c r="BY2" s="48"/>
      <c r="BZ2" s="49" t="s">
        <v>2029</v>
      </c>
      <c r="CA2" s="49"/>
      <c r="CB2" s="49"/>
      <c r="CC2" s="49"/>
      <c r="CD2" s="48" t="s">
        <v>2030</v>
      </c>
      <c r="CE2" s="48"/>
      <c r="CF2" s="48"/>
      <c r="CG2" s="48"/>
      <c r="CH2" s="48" t="s">
        <v>2031</v>
      </c>
      <c r="CI2" s="48"/>
      <c r="CJ2" s="48"/>
      <c r="CK2" s="48"/>
      <c r="CL2" s="48"/>
      <c r="CM2" s="48"/>
      <c r="CN2" s="48" t="s">
        <v>2032</v>
      </c>
      <c r="CO2" s="48"/>
      <c r="CP2" s="48"/>
      <c r="CQ2" s="48"/>
      <c r="CR2" s="48" t="s">
        <v>2033</v>
      </c>
      <c r="CS2" s="48"/>
      <c r="CT2" s="48"/>
      <c r="CU2" s="48"/>
      <c r="CV2" s="48" t="s">
        <v>2034</v>
      </c>
      <c r="CW2" s="48"/>
      <c r="CX2" s="48"/>
      <c r="CY2" s="48"/>
      <c r="CZ2" s="48" t="s">
        <v>2035</v>
      </c>
      <c r="DA2" s="48"/>
      <c r="DB2" s="48"/>
      <c r="DC2" s="48"/>
      <c r="DD2" s="48" t="s">
        <v>2036</v>
      </c>
      <c r="DE2" s="48"/>
      <c r="DF2" s="48"/>
      <c r="DG2" s="48"/>
      <c r="DH2" s="48" t="s">
        <v>2037</v>
      </c>
      <c r="DI2" s="48"/>
      <c r="DJ2" s="48"/>
      <c r="DK2" s="48"/>
      <c r="DL2" s="48"/>
      <c r="DM2" s="48"/>
      <c r="DN2" s="48"/>
      <c r="DO2" s="48"/>
    </row>
    <row r="3" customFormat="false" ht="12.8" hidden="false" customHeight="false" outlineLevel="0" collapsed="false">
      <c r="A3" s="41" t="s">
        <v>2008</v>
      </c>
      <c r="B3" s="26" t="s">
        <v>2038</v>
      </c>
      <c r="C3" s="26" t="s">
        <v>2039</v>
      </c>
      <c r="D3" s="26" t="s">
        <v>33</v>
      </c>
      <c r="E3" s="26" t="s">
        <v>2040</v>
      </c>
      <c r="F3" s="26" t="s">
        <v>2041</v>
      </c>
      <c r="G3" s="26" t="s">
        <v>578</v>
      </c>
      <c r="H3" s="26" t="s">
        <v>36</v>
      </c>
      <c r="I3" s="26" t="s">
        <v>595</v>
      </c>
      <c r="J3" s="26" t="s">
        <v>599</v>
      </c>
      <c r="K3" s="26" t="s">
        <v>604</v>
      </c>
      <c r="L3" s="26" t="s">
        <v>2011</v>
      </c>
      <c r="M3" s="26" t="s">
        <v>2042</v>
      </c>
      <c r="N3" s="26" t="s">
        <v>2043</v>
      </c>
      <c r="O3" s="26" t="s">
        <v>2044</v>
      </c>
      <c r="P3" s="26" t="s">
        <v>42</v>
      </c>
      <c r="Q3" s="26" t="s">
        <v>642</v>
      </c>
      <c r="R3" s="26" t="s">
        <v>647</v>
      </c>
      <c r="S3" s="26" t="s">
        <v>652</v>
      </c>
      <c r="T3" s="26" t="s">
        <v>45</v>
      </c>
      <c r="U3" s="26" t="s">
        <v>668</v>
      </c>
      <c r="V3" s="26" t="s">
        <v>672</v>
      </c>
      <c r="W3" s="26" t="s">
        <v>676</v>
      </c>
      <c r="X3" s="26" t="s">
        <v>2045</v>
      </c>
      <c r="Y3" s="26" t="s">
        <v>2046</v>
      </c>
      <c r="Z3" s="26" t="s">
        <v>2047</v>
      </c>
      <c r="AA3" s="26" t="s">
        <v>2048</v>
      </c>
      <c r="AB3" s="26" t="s">
        <v>2049</v>
      </c>
      <c r="AC3" s="26" t="s">
        <v>2050</v>
      </c>
      <c r="AD3" s="26" t="s">
        <v>2051</v>
      </c>
      <c r="AE3" s="26" t="s">
        <v>2052</v>
      </c>
      <c r="AF3" s="26" t="s">
        <v>2053</v>
      </c>
      <c r="AG3" s="26" t="s">
        <v>2054</v>
      </c>
      <c r="AH3" s="26" t="s">
        <v>2055</v>
      </c>
      <c r="AI3" s="26" t="s">
        <v>2056</v>
      </c>
      <c r="AJ3" s="26" t="s">
        <v>2057</v>
      </c>
      <c r="AK3" s="26" t="s">
        <v>2058</v>
      </c>
      <c r="AL3" s="26" t="s">
        <v>2059</v>
      </c>
      <c r="AM3" s="26" t="s">
        <v>2060</v>
      </c>
      <c r="AN3" s="26" t="s">
        <v>2061</v>
      </c>
      <c r="AO3" s="26" t="s">
        <v>2062</v>
      </c>
      <c r="AP3" s="26" t="s">
        <v>2063</v>
      </c>
      <c r="AQ3" s="26" t="s">
        <v>2064</v>
      </c>
      <c r="AR3" s="26" t="s">
        <v>2065</v>
      </c>
      <c r="AS3" s="26" t="s">
        <v>2066</v>
      </c>
      <c r="AT3" s="26" t="s">
        <v>2067</v>
      </c>
      <c r="AU3" s="26" t="s">
        <v>2068</v>
      </c>
      <c r="AV3" s="26" t="s">
        <v>2069</v>
      </c>
      <c r="AW3" s="26" t="s">
        <v>2070</v>
      </c>
      <c r="AX3" s="26" t="s">
        <v>2071</v>
      </c>
      <c r="AY3" s="26" t="s">
        <v>2072</v>
      </c>
      <c r="AZ3" s="26" t="s">
        <v>2073</v>
      </c>
      <c r="BA3" s="3" t="s">
        <v>2074</v>
      </c>
      <c r="BB3" s="3" t="s">
        <v>2075</v>
      </c>
      <c r="BC3" s="3" t="s">
        <v>2076</v>
      </c>
      <c r="BD3" s="3" t="s">
        <v>2077</v>
      </c>
      <c r="BE3" s="26" t="s">
        <v>2078</v>
      </c>
      <c r="BF3" s="26" t="s">
        <v>2079</v>
      </c>
      <c r="BG3" s="26" t="s">
        <v>797</v>
      </c>
      <c r="BH3" s="26" t="s">
        <v>2080</v>
      </c>
      <c r="BI3" s="26" t="s">
        <v>812</v>
      </c>
      <c r="BJ3" s="26" t="s">
        <v>817</v>
      </c>
      <c r="BK3" s="26" t="s">
        <v>2081</v>
      </c>
      <c r="BL3" s="26" t="s">
        <v>2082</v>
      </c>
      <c r="BM3" s="26" t="s">
        <v>836</v>
      </c>
      <c r="BN3" s="26" t="s">
        <v>841</v>
      </c>
      <c r="BO3" s="26" t="s">
        <v>2083</v>
      </c>
      <c r="BP3" s="26" t="s">
        <v>69</v>
      </c>
      <c r="BQ3" s="3" t="s">
        <v>860</v>
      </c>
      <c r="BR3" s="3" t="s">
        <v>865</v>
      </c>
      <c r="BS3" s="3" t="s">
        <v>870</v>
      </c>
      <c r="BT3" s="3" t="s">
        <v>72</v>
      </c>
      <c r="BU3" s="3" t="s">
        <v>2084</v>
      </c>
      <c r="BV3" s="3" t="s">
        <v>2085</v>
      </c>
      <c r="BW3" s="3" t="s">
        <v>2086</v>
      </c>
      <c r="BX3" s="3" t="s">
        <v>2087</v>
      </c>
      <c r="BY3" s="3" t="s">
        <v>2088</v>
      </c>
      <c r="BZ3" s="3" t="s">
        <v>75</v>
      </c>
      <c r="CA3" s="3" t="s">
        <v>909</v>
      </c>
      <c r="CB3" s="3" t="s">
        <v>913</v>
      </c>
      <c r="CC3" s="3" t="s">
        <v>917</v>
      </c>
      <c r="CD3" s="3" t="s">
        <v>78</v>
      </c>
      <c r="CE3" s="3" t="s">
        <v>932</v>
      </c>
      <c r="CF3" s="3" t="s">
        <v>937</v>
      </c>
      <c r="CG3" s="3" t="s">
        <v>942</v>
      </c>
      <c r="CH3" s="3" t="s">
        <v>2089</v>
      </c>
      <c r="CI3" s="3" t="s">
        <v>958</v>
      </c>
      <c r="CJ3" s="3" t="s">
        <v>962</v>
      </c>
      <c r="CK3" s="3" t="s">
        <v>966</v>
      </c>
      <c r="CL3" s="3" t="s">
        <v>2090</v>
      </c>
      <c r="CM3" s="3" t="s">
        <v>2091</v>
      </c>
      <c r="CN3" s="3" t="s">
        <v>84</v>
      </c>
      <c r="CO3" s="3" t="s">
        <v>981</v>
      </c>
      <c r="CP3" s="3" t="s">
        <v>985</v>
      </c>
      <c r="CQ3" s="3" t="s">
        <v>989</v>
      </c>
      <c r="CR3" s="3" t="s">
        <v>2092</v>
      </c>
      <c r="CS3" s="3" t="s">
        <v>1004</v>
      </c>
      <c r="CT3" s="3" t="s">
        <v>1009</v>
      </c>
      <c r="CU3" s="3" t="s">
        <v>1014</v>
      </c>
      <c r="CV3" s="3" t="s">
        <v>2093</v>
      </c>
      <c r="CW3" s="3" t="s">
        <v>2094</v>
      </c>
      <c r="CX3" s="3" t="s">
        <v>2095</v>
      </c>
      <c r="CY3" s="3" t="s">
        <v>2096</v>
      </c>
      <c r="CZ3" s="3" t="s">
        <v>2097</v>
      </c>
      <c r="DA3" s="3" t="s">
        <v>1053</v>
      </c>
      <c r="DB3" s="3" t="s">
        <v>1057</v>
      </c>
      <c r="DC3" s="3" t="s">
        <v>1061</v>
      </c>
      <c r="DD3" s="3" t="s">
        <v>2098</v>
      </c>
      <c r="DE3" s="3" t="s">
        <v>1076</v>
      </c>
      <c r="DF3" s="3" t="s">
        <v>1080</v>
      </c>
      <c r="DG3" s="3" t="s">
        <v>1084</v>
      </c>
      <c r="DH3" s="3" t="s">
        <v>99</v>
      </c>
      <c r="DI3" s="3" t="s">
        <v>1099</v>
      </c>
      <c r="DJ3" s="3" t="s">
        <v>1103</v>
      </c>
      <c r="DK3" s="3" t="s">
        <v>1107</v>
      </c>
    </row>
    <row r="4" customFormat="false" ht="12.8" hidden="false" customHeight="false" outlineLevel="0" collapsed="false">
      <c r="A4" s="41" t="n">
        <v>0</v>
      </c>
      <c r="B4" s="26" t="s">
        <v>2099</v>
      </c>
      <c r="C4" s="26" t="s">
        <v>2100</v>
      </c>
      <c r="AZ4" s="3"/>
      <c r="BA4" s="3"/>
      <c r="BB4" s="3"/>
      <c r="BC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row>
    <row r="5" customFormat="false" ht="12.8" hidden="false" customHeight="false" outlineLevel="0" collapsed="false">
      <c r="A5" s="41" t="n">
        <v>1</v>
      </c>
      <c r="B5" s="26" t="s">
        <v>2101</v>
      </c>
      <c r="C5" s="26" t="s">
        <v>2102</v>
      </c>
      <c r="AZ5" s="3"/>
      <c r="BA5" s="3"/>
      <c r="BB5" s="3"/>
      <c r="BC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row>
    <row r="6" customFormat="false" ht="12.8" hidden="false" customHeight="false" outlineLevel="0" collapsed="false">
      <c r="A6" s="41" t="n">
        <v>2</v>
      </c>
      <c r="B6" s="26" t="s">
        <v>2101</v>
      </c>
      <c r="C6" s="26" t="s">
        <v>2103</v>
      </c>
      <c r="AZ6" s="3"/>
      <c r="BA6" s="3"/>
      <c r="BB6" s="3"/>
      <c r="BC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row>
    <row r="7" customFormat="false" ht="12.8" hidden="false" customHeight="false" outlineLevel="0" collapsed="false">
      <c r="A7" s="41" t="n">
        <v>3</v>
      </c>
      <c r="B7" s="26" t="s">
        <v>2104</v>
      </c>
      <c r="C7" s="26" t="s">
        <v>2102</v>
      </c>
      <c r="AZ7" s="3"/>
      <c r="BA7" s="3"/>
      <c r="BB7" s="3"/>
      <c r="BC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row>
    <row r="8" customFormat="false" ht="12.8" hidden="false" customHeight="false" outlineLevel="0" collapsed="false">
      <c r="A8" s="41" t="n">
        <v>4</v>
      </c>
      <c r="B8" s="26" t="s">
        <v>2104</v>
      </c>
      <c r="C8" s="26" t="s">
        <v>2103</v>
      </c>
      <c r="AZ8" s="3"/>
      <c r="BA8" s="3"/>
      <c r="BB8" s="3"/>
      <c r="BC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row>
    <row r="9" customFormat="false" ht="12.8" hidden="false" customHeight="false" outlineLevel="0" collapsed="false">
      <c r="A9" s="41" t="n">
        <v>5</v>
      </c>
      <c r="B9" s="26" t="s">
        <v>2105</v>
      </c>
      <c r="C9" s="26" t="s">
        <v>2102</v>
      </c>
      <c r="AZ9" s="3"/>
      <c r="BA9" s="3"/>
      <c r="BB9" s="3"/>
      <c r="BC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row>
    <row r="10" customFormat="false" ht="12.8" hidden="false" customHeight="false" outlineLevel="0" collapsed="false">
      <c r="A10" s="41" t="n">
        <v>6</v>
      </c>
      <c r="B10" s="26" t="s">
        <v>2105</v>
      </c>
      <c r="C10" s="26" t="s">
        <v>2103</v>
      </c>
      <c r="AZ10" s="3"/>
      <c r="BA10" s="3"/>
      <c r="BB10" s="3"/>
      <c r="BC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row>
    <row r="11" customFormat="false" ht="12.8" hidden="false" customHeight="false" outlineLevel="0" collapsed="false">
      <c r="A11" s="41" t="n">
        <v>7</v>
      </c>
      <c r="B11" s="26" t="s">
        <v>2106</v>
      </c>
      <c r="C11" s="26" t="s">
        <v>2102</v>
      </c>
      <c r="AZ11" s="3"/>
      <c r="BA11" s="3"/>
      <c r="BB11" s="3"/>
      <c r="BC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row>
    <row r="12" customFormat="false" ht="12.8" hidden="false" customHeight="false" outlineLevel="0" collapsed="false">
      <c r="A12" s="41" t="n">
        <v>8</v>
      </c>
      <c r="B12" s="26" t="s">
        <v>2106</v>
      </c>
      <c r="C12" s="26" t="s">
        <v>2103</v>
      </c>
      <c r="AZ12" s="3"/>
      <c r="BA12" s="3"/>
      <c r="BB12" s="3"/>
      <c r="BC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row>
    <row r="13" customFormat="false" ht="12.8" hidden="false" customHeight="false" outlineLevel="0" collapsed="false">
      <c r="A13" s="41" t="n">
        <v>9</v>
      </c>
      <c r="B13" s="26" t="s">
        <v>2107</v>
      </c>
      <c r="C13" s="26" t="s">
        <v>2102</v>
      </c>
      <c r="AZ13" s="3"/>
      <c r="BA13" s="3"/>
      <c r="BB13" s="3"/>
      <c r="BC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row>
    <row r="14" customFormat="false" ht="12.8" hidden="false" customHeight="false" outlineLevel="0" collapsed="false">
      <c r="A14" s="26" t="n">
        <v>10</v>
      </c>
      <c r="B14" s="26" t="s">
        <v>2107</v>
      </c>
      <c r="C14" s="26" t="s">
        <v>2103</v>
      </c>
      <c r="AZ14" s="26"/>
      <c r="BA14" s="26"/>
      <c r="BB14" s="26"/>
      <c r="BC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row>
    <row r="15" customFormat="false" ht="12.8" hidden="false" customHeight="false" outlineLevel="0" collapsed="false">
      <c r="A15" s="26" t="n">
        <v>11</v>
      </c>
      <c r="B15" s="26" t="s">
        <v>2108</v>
      </c>
      <c r="C15" s="26" t="s">
        <v>2102</v>
      </c>
      <c r="AZ15" s="26"/>
      <c r="BA15" s="26"/>
      <c r="BB15" s="26"/>
      <c r="BC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row>
    <row r="16" customFormat="false" ht="12.8" hidden="false" customHeight="false" outlineLevel="0" collapsed="false">
      <c r="A16" s="26" t="n">
        <v>12</v>
      </c>
      <c r="B16" s="26" t="s">
        <v>2108</v>
      </c>
      <c r="C16" s="26" t="s">
        <v>2103</v>
      </c>
      <c r="AZ16" s="26"/>
      <c r="BA16" s="26"/>
      <c r="BB16" s="26"/>
      <c r="BC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row>
    <row r="17" customFormat="false" ht="12.8" hidden="false" customHeight="false" outlineLevel="0" collapsed="false">
      <c r="A17" s="26" t="n">
        <v>13</v>
      </c>
      <c r="B17" s="26" t="s">
        <v>2109</v>
      </c>
      <c r="C17" s="26" t="s">
        <v>2102</v>
      </c>
      <c r="AZ17" s="26"/>
      <c r="BA17" s="26"/>
      <c r="BB17" s="26"/>
      <c r="BC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row>
    <row r="18" customFormat="false" ht="12.8" hidden="false" customHeight="false" outlineLevel="0" collapsed="false">
      <c r="A18" s="26" t="n">
        <v>14</v>
      </c>
      <c r="B18" s="26" t="s">
        <v>2109</v>
      </c>
      <c r="C18" s="26" t="s">
        <v>2103</v>
      </c>
      <c r="AZ18" s="26"/>
      <c r="BA18" s="26"/>
      <c r="BB18" s="26"/>
      <c r="BC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row>
    <row r="19" customFormat="false" ht="12.8" hidden="false" customHeight="false" outlineLevel="0" collapsed="false">
      <c r="A19" s="26" t="n">
        <v>15</v>
      </c>
      <c r="B19" s="26" t="s">
        <v>2110</v>
      </c>
      <c r="C19" s="26" t="s">
        <v>2102</v>
      </c>
      <c r="AZ19" s="26"/>
      <c r="BA19" s="26"/>
      <c r="BB19" s="26"/>
      <c r="BC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row>
    <row r="20" customFormat="false" ht="12.8" hidden="false" customHeight="false" outlineLevel="0" collapsed="false">
      <c r="A20" s="26" t="n">
        <v>16</v>
      </c>
      <c r="B20" s="26" t="s">
        <v>2110</v>
      </c>
      <c r="C20" s="26" t="s">
        <v>2103</v>
      </c>
      <c r="AZ20" s="26"/>
      <c r="BA20" s="26"/>
      <c r="BB20" s="26"/>
      <c r="BC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row>
    <row r="21" customFormat="false" ht="12.8" hidden="false" customHeight="false" outlineLevel="0" collapsed="false">
      <c r="A21" s="26" t="n">
        <v>17</v>
      </c>
      <c r="B21" s="26" t="s">
        <v>2111</v>
      </c>
      <c r="C21" s="26" t="s">
        <v>2102</v>
      </c>
      <c r="AZ21" s="26"/>
      <c r="BA21" s="26"/>
      <c r="BB21" s="26"/>
      <c r="BC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row>
    <row r="22" customFormat="false" ht="12.8" hidden="false" customHeight="false" outlineLevel="0" collapsed="false">
      <c r="A22" s="26" t="n">
        <v>18</v>
      </c>
      <c r="B22" s="26" t="s">
        <v>2111</v>
      </c>
      <c r="C22" s="26" t="s">
        <v>2103</v>
      </c>
      <c r="AZ22" s="26"/>
      <c r="BA22" s="26"/>
      <c r="BB22" s="26"/>
      <c r="BC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row>
    <row r="23" customFormat="false" ht="12.8" hidden="false" customHeight="false" outlineLevel="0" collapsed="false">
      <c r="A23" s="26" t="n">
        <v>19</v>
      </c>
      <c r="B23" s="26" t="s">
        <v>2112</v>
      </c>
      <c r="C23" s="26" t="s">
        <v>2102</v>
      </c>
      <c r="AZ23" s="26"/>
      <c r="BA23" s="26"/>
      <c r="BB23" s="26"/>
      <c r="BC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row>
    <row r="24" customFormat="false" ht="12.8" hidden="false" customHeight="false" outlineLevel="0" collapsed="false">
      <c r="A24" s="26" t="n">
        <v>20</v>
      </c>
      <c r="B24" s="26" t="s">
        <v>2112</v>
      </c>
      <c r="C24" s="26" t="s">
        <v>2103</v>
      </c>
      <c r="AZ24" s="26"/>
      <c r="BA24" s="26"/>
      <c r="BB24" s="26"/>
      <c r="BC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row>
    <row r="25" customFormat="false" ht="12.8" hidden="false" customHeight="false" outlineLevel="0" collapsed="false">
      <c r="A25" s="26" t="n">
        <v>21</v>
      </c>
      <c r="B25" s="26" t="s">
        <v>2113</v>
      </c>
      <c r="C25" s="26" t="s">
        <v>2102</v>
      </c>
      <c r="AZ25" s="26"/>
      <c r="BA25" s="26"/>
      <c r="BB25" s="26"/>
      <c r="BC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row>
    <row r="26" customFormat="false" ht="12.8" hidden="false" customHeight="false" outlineLevel="0" collapsed="false">
      <c r="A26" s="26" t="n">
        <v>22</v>
      </c>
      <c r="B26" s="26" t="s">
        <v>2113</v>
      </c>
      <c r="C26" s="26" t="s">
        <v>2103</v>
      </c>
      <c r="AZ26" s="26"/>
      <c r="BA26" s="26"/>
      <c r="BB26" s="26"/>
      <c r="BC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row>
    <row r="27" customFormat="false" ht="12.8" hidden="false" customHeight="false" outlineLevel="0" collapsed="false">
      <c r="A27" s="26" t="n">
        <v>23</v>
      </c>
      <c r="B27" s="26" t="s">
        <v>2114</v>
      </c>
      <c r="C27" s="26" t="s">
        <v>2102</v>
      </c>
      <c r="AZ27" s="26"/>
      <c r="BA27" s="26"/>
      <c r="BB27" s="26"/>
      <c r="BC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row>
    <row r="28" customFormat="false" ht="12.8" hidden="false" customHeight="false" outlineLevel="0" collapsed="false">
      <c r="A28" s="26" t="n">
        <v>24</v>
      </c>
      <c r="B28" s="26" t="s">
        <v>2114</v>
      </c>
      <c r="C28" s="26" t="s">
        <v>2103</v>
      </c>
      <c r="AZ28" s="26"/>
      <c r="BA28" s="26"/>
      <c r="BB28" s="26"/>
      <c r="BC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row>
    <row r="29" customFormat="false" ht="12.8" hidden="false" customHeight="false" outlineLevel="0" collapsed="false">
      <c r="A29" s="26" t="n">
        <v>25</v>
      </c>
      <c r="B29" s="26" t="s">
        <v>2115</v>
      </c>
      <c r="C29" s="26" t="s">
        <v>2102</v>
      </c>
      <c r="AZ29" s="26"/>
      <c r="BA29" s="26"/>
      <c r="BB29" s="26"/>
      <c r="BC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row>
    <row r="30" customFormat="false" ht="12.8" hidden="false" customHeight="false" outlineLevel="0" collapsed="false">
      <c r="A30" s="26" t="n">
        <v>26</v>
      </c>
      <c r="B30" s="26" t="s">
        <v>2115</v>
      </c>
      <c r="C30" s="26" t="s">
        <v>2103</v>
      </c>
      <c r="AZ30" s="26"/>
      <c r="BA30" s="26"/>
      <c r="BB30" s="26"/>
      <c r="BC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row>
    <row r="31" customFormat="false" ht="12.8" hidden="false" customHeight="false" outlineLevel="0" collapsed="false">
      <c r="A31" s="26" t="n">
        <v>27</v>
      </c>
      <c r="B31" s="26" t="s">
        <v>2116</v>
      </c>
      <c r="C31" s="26" t="s">
        <v>2102</v>
      </c>
      <c r="AZ31" s="26"/>
      <c r="BA31" s="26"/>
      <c r="BB31" s="26"/>
      <c r="BC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row>
    <row r="32" customFormat="false" ht="12.8" hidden="false" customHeight="false" outlineLevel="0" collapsed="false">
      <c r="A32" s="26" t="n">
        <v>28</v>
      </c>
      <c r="B32" s="26" t="s">
        <v>2116</v>
      </c>
      <c r="C32" s="26" t="s">
        <v>2103</v>
      </c>
      <c r="AZ32" s="26"/>
      <c r="BA32" s="26"/>
      <c r="BB32" s="26"/>
      <c r="BC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row>
    <row r="33" customFormat="false" ht="12.8" hidden="false" customHeight="false" outlineLevel="0" collapsed="false">
      <c r="A33" s="26" t="n">
        <v>29</v>
      </c>
      <c r="B33" s="26" t="s">
        <v>2117</v>
      </c>
      <c r="C33" s="26" t="s">
        <v>2102</v>
      </c>
      <c r="AZ33" s="26"/>
      <c r="BA33" s="26"/>
      <c r="BB33" s="26"/>
      <c r="BC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row>
    <row r="34" customFormat="false" ht="12.8" hidden="false" customHeight="false" outlineLevel="0" collapsed="false">
      <c r="A34" s="26" t="n">
        <v>30</v>
      </c>
      <c r="B34" s="26" t="s">
        <v>2117</v>
      </c>
      <c r="C34" s="26" t="s">
        <v>2103</v>
      </c>
      <c r="AZ34" s="26"/>
      <c r="BA34" s="26"/>
      <c r="BB34" s="26"/>
      <c r="BC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row>
    <row r="35" customFormat="false" ht="12.8" hidden="false" customHeight="false" outlineLevel="0" collapsed="false">
      <c r="A35" s="26" t="n">
        <v>31</v>
      </c>
      <c r="B35" s="26" t="s">
        <v>2118</v>
      </c>
      <c r="C35" s="26" t="s">
        <v>2102</v>
      </c>
      <c r="AZ35" s="26"/>
      <c r="BA35" s="26"/>
      <c r="BB35" s="26"/>
      <c r="BC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row>
    <row r="36" customFormat="false" ht="12.8" hidden="false" customHeight="false" outlineLevel="0" collapsed="false">
      <c r="A36" s="26" t="n">
        <v>32</v>
      </c>
      <c r="B36" s="26" t="s">
        <v>2118</v>
      </c>
      <c r="C36" s="26" t="s">
        <v>2103</v>
      </c>
      <c r="AZ36" s="26"/>
      <c r="BA36" s="26"/>
      <c r="BB36" s="26"/>
      <c r="BC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row>
    <row r="37" customFormat="false" ht="12.8" hidden="false" customHeight="false" outlineLevel="0" collapsed="false">
      <c r="A37" s="26" t="n">
        <v>33</v>
      </c>
      <c r="B37" s="26" t="s">
        <v>2119</v>
      </c>
      <c r="C37" s="26" t="s">
        <v>2102</v>
      </c>
      <c r="AZ37" s="26"/>
      <c r="BA37" s="26"/>
      <c r="BB37" s="26"/>
      <c r="BC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row>
    <row r="38" customFormat="false" ht="12.8" hidden="false" customHeight="false" outlineLevel="0" collapsed="false">
      <c r="A38" s="26" t="n">
        <v>34</v>
      </c>
      <c r="B38" s="26" t="s">
        <v>2119</v>
      </c>
      <c r="C38" s="26" t="s">
        <v>2103</v>
      </c>
      <c r="AZ38" s="26"/>
      <c r="BA38" s="26"/>
      <c r="BB38" s="26"/>
      <c r="BC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row>
    <row r="39" customFormat="false" ht="12.8" hidden="false" customHeight="false" outlineLevel="0" collapsed="false">
      <c r="A39" s="26" t="n">
        <v>35</v>
      </c>
      <c r="B39" s="26" t="s">
        <v>2120</v>
      </c>
      <c r="C39" s="26" t="s">
        <v>2102</v>
      </c>
      <c r="AZ39" s="26"/>
      <c r="BA39" s="26"/>
      <c r="BB39" s="26"/>
      <c r="BC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row>
    <row r="40" customFormat="false" ht="12.8" hidden="false" customHeight="false" outlineLevel="0" collapsed="false">
      <c r="A40" s="26" t="n">
        <v>36</v>
      </c>
      <c r="B40" s="26" t="s">
        <v>2120</v>
      </c>
      <c r="C40" s="26" t="s">
        <v>2103</v>
      </c>
      <c r="AZ40" s="26"/>
      <c r="BA40" s="26"/>
      <c r="BB40" s="26"/>
      <c r="BC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row>
    <row r="41" customFormat="false" ht="12.8" hidden="false" customHeight="false" outlineLevel="0" collapsed="false">
      <c r="A41" s="26" t="n">
        <v>37</v>
      </c>
      <c r="B41" s="26" t="s">
        <v>2121</v>
      </c>
      <c r="C41" s="26" t="s">
        <v>2102</v>
      </c>
      <c r="AZ41" s="26"/>
      <c r="BA41" s="26"/>
      <c r="BB41" s="26"/>
      <c r="BC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row>
    <row r="42" customFormat="false" ht="12.8" hidden="false" customHeight="false" outlineLevel="0" collapsed="false">
      <c r="A42" s="26" t="n">
        <v>38</v>
      </c>
      <c r="B42" s="26" t="s">
        <v>2121</v>
      </c>
      <c r="C42" s="26" t="s">
        <v>2103</v>
      </c>
      <c r="AZ42" s="26"/>
      <c r="BA42" s="26"/>
      <c r="BB42" s="26"/>
      <c r="BC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row>
    <row r="43" customFormat="false" ht="12.8" hidden="false" customHeight="false" outlineLevel="0" collapsed="false">
      <c r="A43" s="26" t="n">
        <v>39</v>
      </c>
      <c r="B43" s="26" t="s">
        <v>2122</v>
      </c>
      <c r="C43" s="26" t="s">
        <v>2102</v>
      </c>
      <c r="AZ43" s="26"/>
      <c r="BA43" s="26"/>
      <c r="BB43" s="26"/>
      <c r="BC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row>
    <row r="44" customFormat="false" ht="12.8" hidden="false" customHeight="false" outlineLevel="0" collapsed="false">
      <c r="A44" s="26" t="n">
        <v>40</v>
      </c>
      <c r="B44" s="26" t="s">
        <v>2122</v>
      </c>
      <c r="C44" s="26" t="s">
        <v>2103</v>
      </c>
      <c r="AZ44" s="26"/>
      <c r="BA44" s="26"/>
      <c r="BB44" s="26"/>
      <c r="BC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row>
    <row r="45" customFormat="false" ht="12.8" hidden="false" customHeight="false" outlineLevel="0" collapsed="false">
      <c r="A45" s="26" t="n">
        <v>41</v>
      </c>
      <c r="B45" s="26" t="s">
        <v>2123</v>
      </c>
      <c r="C45" s="26" t="s">
        <v>2102</v>
      </c>
      <c r="AZ45" s="26"/>
      <c r="BA45" s="26"/>
      <c r="BB45" s="26"/>
      <c r="BC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row>
    <row r="46" customFormat="false" ht="12.8" hidden="false" customHeight="false" outlineLevel="0" collapsed="false">
      <c r="A46" s="26" t="n">
        <v>42</v>
      </c>
      <c r="B46" s="26" t="s">
        <v>2123</v>
      </c>
      <c r="C46" s="26" t="s">
        <v>2103</v>
      </c>
      <c r="AZ46" s="26"/>
      <c r="BA46" s="26"/>
      <c r="BB46" s="26"/>
      <c r="BC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row>
    <row r="47" customFormat="false" ht="12.8" hidden="false" customHeight="false" outlineLevel="0" collapsed="false">
      <c r="A47" s="26" t="n">
        <v>43</v>
      </c>
      <c r="B47" s="26" t="s">
        <v>2124</v>
      </c>
      <c r="C47" s="26" t="s">
        <v>2102</v>
      </c>
      <c r="AZ47" s="26"/>
      <c r="BA47" s="26"/>
      <c r="BB47" s="26"/>
      <c r="BC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row>
    <row r="48" customFormat="false" ht="12.8" hidden="false" customHeight="false" outlineLevel="0" collapsed="false">
      <c r="A48" s="26" t="n">
        <v>44</v>
      </c>
      <c r="B48" s="26" t="s">
        <v>2124</v>
      </c>
      <c r="C48" s="26" t="s">
        <v>2103</v>
      </c>
      <c r="AZ48" s="26"/>
      <c r="BA48" s="26"/>
      <c r="BB48" s="26"/>
      <c r="BC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row>
    <row r="49" customFormat="false" ht="12.8" hidden="false" customHeight="false" outlineLevel="0" collapsed="false">
      <c r="A49" s="26" t="n">
        <v>45</v>
      </c>
      <c r="B49" s="26" t="s">
        <v>2125</v>
      </c>
      <c r="C49" s="26" t="s">
        <v>2102</v>
      </c>
      <c r="AZ49" s="26"/>
      <c r="BA49" s="26"/>
      <c r="BB49" s="26"/>
      <c r="BC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row>
    <row r="50" customFormat="false" ht="12.8" hidden="false" customHeight="false" outlineLevel="0" collapsed="false">
      <c r="A50" s="26" t="n">
        <v>46</v>
      </c>
      <c r="B50" s="26" t="s">
        <v>2125</v>
      </c>
      <c r="C50" s="26" t="s">
        <v>2103</v>
      </c>
      <c r="AZ50" s="26"/>
      <c r="BA50" s="26"/>
      <c r="BB50" s="26"/>
      <c r="BC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row>
    <row r="51" customFormat="false" ht="12.8" hidden="false" customHeight="false" outlineLevel="0" collapsed="false">
      <c r="A51" s="26" t="n">
        <v>47</v>
      </c>
      <c r="B51" s="26" t="s">
        <v>2126</v>
      </c>
      <c r="C51" s="26" t="s">
        <v>2102</v>
      </c>
      <c r="AZ51" s="26"/>
      <c r="BA51" s="26"/>
      <c r="BB51" s="26"/>
      <c r="BC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row>
    <row r="52" customFormat="false" ht="12.8" hidden="false" customHeight="false" outlineLevel="0" collapsed="false">
      <c r="A52" s="26" t="n">
        <v>48</v>
      </c>
      <c r="B52" s="26" t="s">
        <v>2126</v>
      </c>
      <c r="C52" s="26" t="s">
        <v>2103</v>
      </c>
      <c r="AZ52" s="26"/>
      <c r="BA52" s="26"/>
      <c r="BB52" s="26"/>
      <c r="BC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row>
    <row r="53" customFormat="false" ht="12.8" hidden="false" customHeight="false" outlineLevel="0" collapsed="false">
      <c r="A53" s="26" t="n">
        <v>49</v>
      </c>
      <c r="B53" s="26" t="s">
        <v>2127</v>
      </c>
      <c r="C53" s="26" t="s">
        <v>2102</v>
      </c>
      <c r="AZ53" s="26"/>
      <c r="BA53" s="26"/>
      <c r="BB53" s="26"/>
      <c r="BC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row>
    <row r="54" customFormat="false" ht="12.8" hidden="false" customHeight="false" outlineLevel="0" collapsed="false">
      <c r="A54" s="26" t="n">
        <v>50</v>
      </c>
      <c r="B54" s="26" t="s">
        <v>2127</v>
      </c>
      <c r="C54" s="26" t="s">
        <v>2103</v>
      </c>
      <c r="AZ54" s="26"/>
      <c r="BA54" s="26"/>
      <c r="BB54" s="26"/>
      <c r="BC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row>
    <row r="55" customFormat="false" ht="12.8" hidden="false" customHeight="false" outlineLevel="0" collapsed="false">
      <c r="A55" s="26" t="n">
        <v>51</v>
      </c>
      <c r="B55" s="26" t="s">
        <v>2128</v>
      </c>
      <c r="C55" s="26" t="s">
        <v>2102</v>
      </c>
      <c r="AZ55" s="26"/>
      <c r="BA55" s="26"/>
      <c r="BB55" s="26"/>
      <c r="BC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row>
    <row r="56" customFormat="false" ht="12.8" hidden="false" customHeight="false" outlineLevel="0" collapsed="false">
      <c r="A56" s="26" t="n">
        <v>52</v>
      </c>
      <c r="B56" s="26" t="s">
        <v>2128</v>
      </c>
      <c r="C56" s="26" t="s">
        <v>2103</v>
      </c>
      <c r="AZ56" s="26"/>
      <c r="BA56" s="26"/>
      <c r="BB56" s="26"/>
      <c r="BC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row>
    <row r="61" customFormat="false" ht="12.8"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BD61" s="3"/>
      <c r="BE61" s="3"/>
      <c r="BF61" s="3"/>
      <c r="BG61" s="3"/>
      <c r="BH61" s="3"/>
      <c r="BI61" s="3"/>
      <c r="BJ61" s="3"/>
      <c r="BK61" s="3"/>
      <c r="BL61" s="3"/>
      <c r="BM61" s="3"/>
      <c r="BN61" s="3"/>
      <c r="BO61" s="3"/>
    </row>
    <row r="62" customFormat="false" ht="12.8"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BD62" s="3"/>
      <c r="BE62" s="3"/>
      <c r="BF62" s="3"/>
      <c r="BG62" s="3"/>
      <c r="BH62" s="3"/>
      <c r="BI62" s="3"/>
      <c r="BJ62" s="3"/>
      <c r="BK62" s="3"/>
      <c r="BL62" s="3"/>
      <c r="BM62" s="3"/>
      <c r="BN62" s="3"/>
      <c r="BO62" s="3"/>
    </row>
    <row r="63" customFormat="false" ht="12.8"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BD63" s="3"/>
      <c r="BE63" s="3"/>
      <c r="BF63" s="3"/>
      <c r="BG63" s="3"/>
      <c r="BH63" s="3"/>
      <c r="BI63" s="3"/>
      <c r="BJ63" s="3"/>
      <c r="BK63" s="3"/>
      <c r="BL63" s="3"/>
      <c r="BM63" s="3"/>
      <c r="BN63" s="3"/>
      <c r="BO63" s="3"/>
    </row>
    <row r="64" customFormat="false" ht="12.8"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BD64" s="3"/>
      <c r="BE64" s="3"/>
      <c r="BF64" s="3"/>
      <c r="BG64" s="3"/>
      <c r="BH64" s="3"/>
      <c r="BI64" s="3"/>
      <c r="BJ64" s="3"/>
      <c r="BK64" s="3"/>
      <c r="BL64" s="3"/>
      <c r="BM64" s="3"/>
      <c r="BN64" s="3"/>
      <c r="BO64" s="3"/>
    </row>
    <row r="65" customFormat="false" ht="12.8"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BD65" s="3"/>
      <c r="BE65" s="3"/>
      <c r="BF65" s="3"/>
      <c r="BG65" s="3"/>
      <c r="BH65" s="3"/>
      <c r="BI65" s="3"/>
      <c r="BJ65" s="3"/>
      <c r="BK65" s="3"/>
      <c r="BL65" s="3"/>
      <c r="BM65" s="3"/>
      <c r="BN65" s="3"/>
      <c r="BO65" s="3"/>
    </row>
    <row r="66" customFormat="false" ht="12.8"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BD66" s="3"/>
      <c r="BE66" s="3"/>
      <c r="BF66" s="3"/>
      <c r="BG66" s="3"/>
      <c r="BH66" s="3"/>
      <c r="BI66" s="3"/>
      <c r="BJ66" s="3"/>
      <c r="BK66" s="3"/>
      <c r="BL66" s="3"/>
      <c r="BM66" s="3"/>
      <c r="BN66" s="3"/>
      <c r="BO66" s="3"/>
    </row>
    <row r="67" customFormat="false" ht="12.8"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BD67" s="3"/>
      <c r="BE67" s="3"/>
      <c r="BF67" s="3"/>
      <c r="BG67" s="3"/>
      <c r="BH67" s="3"/>
      <c r="BI67" s="3"/>
      <c r="BJ67" s="3"/>
      <c r="BK67" s="3"/>
      <c r="BL67" s="3"/>
      <c r="BM67" s="3"/>
      <c r="BN67" s="3"/>
      <c r="BO67" s="3"/>
    </row>
    <row r="68" customFormat="false" ht="12.8"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BD68" s="3"/>
      <c r="BE68" s="3"/>
      <c r="BF68" s="3"/>
      <c r="BG68" s="3"/>
      <c r="BH68" s="3"/>
      <c r="BI68" s="3"/>
      <c r="BJ68" s="3"/>
      <c r="BK68" s="3"/>
      <c r="BL68" s="3"/>
      <c r="BM68" s="3"/>
      <c r="BN68" s="3"/>
      <c r="BO68" s="3"/>
    </row>
    <row r="69" customFormat="false" ht="12.8"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BD69" s="3"/>
      <c r="BE69" s="3"/>
      <c r="BF69" s="3"/>
      <c r="BG69" s="3"/>
      <c r="BH69" s="3"/>
      <c r="BI69" s="3"/>
      <c r="BJ69" s="3"/>
      <c r="BK69" s="3"/>
      <c r="BL69" s="3"/>
      <c r="BM69" s="3"/>
      <c r="BN69" s="3"/>
      <c r="BO69" s="3"/>
    </row>
    <row r="70" customFormat="false" ht="12.8"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BD70" s="3"/>
      <c r="BE70" s="3"/>
      <c r="BF70" s="3"/>
      <c r="BG70" s="3"/>
      <c r="BH70" s="3"/>
      <c r="BI70" s="3"/>
      <c r="BJ70" s="3"/>
      <c r="BK70" s="3"/>
      <c r="BL70" s="3"/>
      <c r="BM70" s="3"/>
      <c r="BN70" s="3"/>
      <c r="BO70" s="3"/>
    </row>
    <row r="71" customFormat="false" ht="12.8"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BD71" s="3"/>
      <c r="BE71" s="3"/>
      <c r="BF71" s="3"/>
      <c r="BG71" s="3"/>
      <c r="BH71" s="3"/>
      <c r="BI71" s="3"/>
      <c r="BJ71" s="3"/>
      <c r="BK71" s="3"/>
      <c r="BL71" s="3"/>
      <c r="BM71" s="3"/>
      <c r="BN71" s="3"/>
      <c r="BO71" s="3"/>
    </row>
  </sheetData>
  <mergeCells count="30">
    <mergeCell ref="A2:C2"/>
    <mergeCell ref="D2:G2"/>
    <mergeCell ref="H2:K2"/>
    <mergeCell ref="L2:O2"/>
    <mergeCell ref="P2:S2"/>
    <mergeCell ref="T2:W2"/>
    <mergeCell ref="X2:Z2"/>
    <mergeCell ref="AA2:AC2"/>
    <mergeCell ref="AD2:AF2"/>
    <mergeCell ref="AG2:AI2"/>
    <mergeCell ref="AJ2:AL2"/>
    <mergeCell ref="AM2:AO2"/>
    <mergeCell ref="AP2:AR2"/>
    <mergeCell ref="AS2:AU2"/>
    <mergeCell ref="AV2:AY2"/>
    <mergeCell ref="AZ2:BC2"/>
    <mergeCell ref="BD2:BG2"/>
    <mergeCell ref="BH2:BK2"/>
    <mergeCell ref="BL2:BO2"/>
    <mergeCell ref="BP2:BS2"/>
    <mergeCell ref="BT2:BY2"/>
    <mergeCell ref="BZ2:CC2"/>
    <mergeCell ref="CD2:CG2"/>
    <mergeCell ref="CH2:CM2"/>
    <mergeCell ref="CN2:CQ2"/>
    <mergeCell ref="CR2:CU2"/>
    <mergeCell ref="CV2:CY2"/>
    <mergeCell ref="CZ2:DC2"/>
    <mergeCell ref="DD2:DG2"/>
    <mergeCell ref="DH2:D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G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E34" activeCellId="0" sqref="E34"/>
    </sheetView>
  </sheetViews>
  <sheetFormatPr defaultColWidth="11.53515625" defaultRowHeight="12.8" customHeight="false" zeroHeight="false" outlineLevelRow="0" outlineLevelCol="0"/>
  <cols>
    <col collapsed="false" customWidth="true" hidden="false" outlineLevel="0" max="1" min="1" style="3" width="13.84"/>
    <col collapsed="false" customWidth="true" hidden="false" outlineLevel="0" max="2" min="2" style="3" width="34.59"/>
    <col collapsed="false" customWidth="true" hidden="false" outlineLevel="0" max="4" min="4" style="3" width="32.29"/>
    <col collapsed="false" customWidth="true" hidden="false" outlineLevel="0" max="6" min="6" style="3" width="25.37"/>
  </cols>
  <sheetData>
    <row r="1" customFormat="false" ht="12.8" hidden="false" customHeight="false" outlineLevel="0" collapsed="false">
      <c r="A1" s="4" t="s">
        <v>2129</v>
      </c>
      <c r="B1" s="29" t="s">
        <v>2130</v>
      </c>
      <c r="C1" s="50" t="s">
        <v>2</v>
      </c>
      <c r="E1" s="3"/>
      <c r="G1" s="3"/>
    </row>
    <row r="2" customFormat="false" ht="12.8" hidden="false" customHeight="false" outlineLevel="0" collapsed="false">
      <c r="A2" s="3" t="s">
        <v>113</v>
      </c>
      <c r="B2" s="3" t="s">
        <v>2131</v>
      </c>
      <c r="C2" s="3" t="s">
        <v>2132</v>
      </c>
      <c r="D2" s="3" t="s">
        <v>2133</v>
      </c>
      <c r="E2" s="3" t="s">
        <v>2134</v>
      </c>
      <c r="F2" s="3" t="s">
        <v>2135</v>
      </c>
      <c r="G2" s="3" t="s">
        <v>2136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BE33D"/>
    <pageSetUpPr fitToPage="false"/>
  </sheetPr>
  <dimension ref="A1:BP245"/>
  <sheetViews>
    <sheetView showFormulas="false" showGridLines="true" showRowColHeaders="true" showZeros="true" rightToLeft="false" tabSelected="false" showOutlineSymbols="true" defaultGridColor="true" view="normal" topLeftCell="E80" colorId="64" zoomScale="65" zoomScaleNormal="65" zoomScalePageLayoutView="100" workbookViewId="0">
      <selection pane="topLeft" activeCell="I107" activeCellId="0" sqref="I107"/>
    </sheetView>
  </sheetViews>
  <sheetFormatPr defaultColWidth="11.53515625" defaultRowHeight="12.8" customHeight="false" zeroHeight="false" outlineLevelRow="1" outlineLevelCol="0"/>
  <cols>
    <col collapsed="false" customWidth="false" hidden="false" outlineLevel="0" max="1" min="1" style="41" width="11.54"/>
    <col collapsed="false" customWidth="true" hidden="false" outlineLevel="0" max="2" min="2" style="26" width="41.5"/>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1" t="s">
        <v>2137</v>
      </c>
      <c r="B1" s="47" t="s">
        <v>2138</v>
      </c>
      <c r="C1" s="6" t="s">
        <v>2</v>
      </c>
      <c r="D1" s="51" t="s">
        <v>2139</v>
      </c>
      <c r="AZ1" s="26"/>
      <c r="BP1" s="26"/>
    </row>
    <row r="2" customFormat="false" ht="35.05" hidden="false" customHeight="false" outlineLevel="0" collapsed="false">
      <c r="A2" s="52" t="s">
        <v>2140</v>
      </c>
      <c r="B2" s="47" t="s">
        <v>2141</v>
      </c>
      <c r="C2" s="47" t="str">
        <f aca="false">CALC!D3</f>
        <v>Labor Force Population</v>
      </c>
      <c r="D2" s="47" t="str">
        <f aca="false">CALC!E3</f>
        <v>Authorized Labor Force Population</v>
      </c>
      <c r="E2" s="47" t="str">
        <f aca="false">CALC!F3</f>
        <v>Unauthorized Labor Force Population</v>
      </c>
      <c r="F2" s="47" t="str">
        <f aca="false">CALC!G3</f>
        <v>American Labor Force Population</v>
      </c>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row>
    <row r="3" customFormat="false" ht="12.8" hidden="false" customHeight="false" outlineLevel="0" collapsed="false">
      <c r="A3" s="4" t="str">
        <f aca="false">_xlfn.CONCAT($A$1, ".", CALC!A4)</f>
        <v>LSD.RID.0.AL.LFP.0</v>
      </c>
      <c r="B3" s="29" t="str">
        <f aca="false">_xlfn.CONCAT(CALC!B4, ":", CALC!C4)</f>
        <v>All Industries:All Roles</v>
      </c>
      <c r="C3" s="30" t="n">
        <f aca="false">CALC!D4</f>
        <v>0</v>
      </c>
      <c r="D3" s="30" t="n">
        <f aca="false">CALC!E4</f>
        <v>0</v>
      </c>
      <c r="E3" s="30" t="n">
        <f aca="false">CALC!F4</f>
        <v>0</v>
      </c>
      <c r="F3" s="30" t="n">
        <f aca="false">CALC!G4</f>
        <v>0</v>
      </c>
      <c r="AZ3" s="26"/>
      <c r="BA3" s="26"/>
      <c r="BB3" s="26"/>
      <c r="BC3" s="26"/>
      <c r="BP3" s="26"/>
    </row>
    <row r="4" customFormat="false" ht="12.8" hidden="false" customHeight="false" outlineLevel="0" collapsed="false">
      <c r="A4" s="41" t="str">
        <f aca="false">_xlfn.CONCAT($A$1, ".", CALC!A5)</f>
        <v>LSD.RID.0.AL.LFP.1</v>
      </c>
      <c r="B4" s="54" t="str">
        <f aca="false">_xlfn.CONCAT(CALC!B5, ": ", CALC!C5)</f>
        <v>Agriculture: Support</v>
      </c>
      <c r="C4" s="26" t="n">
        <f aca="false">CALC!D5</f>
        <v>0</v>
      </c>
      <c r="D4" s="26" t="n">
        <f aca="false">CALC!E5</f>
        <v>0</v>
      </c>
      <c r="E4" s="26" t="n">
        <f aca="false">CALC!F5</f>
        <v>0</v>
      </c>
      <c r="F4" s="26" t="n">
        <f aca="false">CALC!G5</f>
        <v>0</v>
      </c>
      <c r="AZ4" s="26"/>
      <c r="BA4" s="26"/>
      <c r="BB4" s="26"/>
      <c r="BC4" s="26"/>
      <c r="BP4" s="26"/>
    </row>
    <row r="5" customFormat="false" ht="12.8" hidden="false" customHeight="false" outlineLevel="0" collapsed="false">
      <c r="A5" s="41" t="str">
        <f aca="false">_xlfn.CONCAT($A$1, ".", CALC!A6)</f>
        <v>LSD.RID.0.AL.LFP.2</v>
      </c>
      <c r="B5" s="54" t="str">
        <f aca="false">_xlfn.CONCAT(CALC!B6, ": ", CALC!C6)</f>
        <v>Agriculture: Worker</v>
      </c>
      <c r="C5" s="26" t="n">
        <f aca="false">CALC!D6</f>
        <v>0</v>
      </c>
      <c r="D5" s="26" t="n">
        <f aca="false">CALC!E6</f>
        <v>0</v>
      </c>
      <c r="E5" s="26" t="n">
        <f aca="false">CALC!F6</f>
        <v>0</v>
      </c>
      <c r="F5" s="26" t="n">
        <f aca="false">CALC!G6</f>
        <v>0</v>
      </c>
      <c r="AZ5" s="26"/>
      <c r="BA5" s="26"/>
      <c r="BB5" s="26"/>
      <c r="BC5" s="26"/>
      <c r="BP5" s="26"/>
    </row>
    <row r="6" customFormat="false" ht="12.8" hidden="false" customHeight="false" outlineLevel="0" collapsed="false">
      <c r="A6" s="41" t="str">
        <f aca="false">_xlfn.CONCAT($A$1, ".", CALC!A7)</f>
        <v>LSD.RID.0.AL.LFP.3</v>
      </c>
      <c r="B6" s="54" t="str">
        <f aca="false">_xlfn.CONCAT(CALC!B7, ": ", CALC!C7)</f>
        <v>Construction: Support</v>
      </c>
      <c r="C6" s="26" t="n">
        <f aca="false">CALC!D7</f>
        <v>0</v>
      </c>
      <c r="D6" s="26" t="n">
        <f aca="false">CALC!E7</f>
        <v>0</v>
      </c>
      <c r="E6" s="26" t="n">
        <f aca="false">CALC!F7</f>
        <v>0</v>
      </c>
      <c r="F6" s="26" t="n">
        <f aca="false">CALC!G7</f>
        <v>0</v>
      </c>
      <c r="AZ6" s="26"/>
      <c r="BA6" s="26"/>
      <c r="BB6" s="26"/>
      <c r="BC6" s="26"/>
      <c r="BP6" s="26"/>
    </row>
    <row r="7" customFormat="false" ht="12.8" hidden="false" customHeight="false" outlineLevel="0" collapsed="false">
      <c r="A7" s="41" t="str">
        <f aca="false">_xlfn.CONCAT($A$1, ".", CALC!A8)</f>
        <v>LSD.RID.0.AL.LFP.4</v>
      </c>
      <c r="B7" s="54" t="str">
        <f aca="false">_xlfn.CONCAT(CALC!B8, ": ", CALC!C8)</f>
        <v>Construction: Worker</v>
      </c>
      <c r="C7" s="26" t="n">
        <f aca="false">CALC!D8</f>
        <v>0</v>
      </c>
      <c r="D7" s="26" t="n">
        <f aca="false">CALC!E8</f>
        <v>0</v>
      </c>
      <c r="E7" s="26" t="n">
        <f aca="false">CALC!F8</f>
        <v>0</v>
      </c>
      <c r="F7" s="26" t="n">
        <f aca="false">CALC!G8</f>
        <v>0</v>
      </c>
      <c r="AZ7" s="26"/>
      <c r="BA7" s="26"/>
      <c r="BB7" s="26"/>
      <c r="BC7" s="26"/>
      <c r="BP7" s="26"/>
    </row>
    <row r="8" customFormat="false" ht="12.8" hidden="false" customHeight="false" outlineLevel="0" collapsed="false">
      <c r="A8" s="41" t="str">
        <f aca="false">_xlfn.CONCAT($A$1, ".", CALC!A9)</f>
        <v>LSD.RID.0.AL.LFP.5</v>
      </c>
      <c r="B8" s="54" t="str">
        <f aca="false">_xlfn.CONCAT(CALC!B9, ": ", CALC!C9)</f>
        <v>Hospitality: Support</v>
      </c>
      <c r="C8" s="26" t="n">
        <f aca="false">CALC!D9</f>
        <v>0</v>
      </c>
      <c r="D8" s="26" t="n">
        <f aca="false">CALC!E9</f>
        <v>0</v>
      </c>
      <c r="E8" s="26" t="n">
        <f aca="false">CALC!F9</f>
        <v>0</v>
      </c>
      <c r="F8" s="26" t="n">
        <f aca="false">CALC!G9</f>
        <v>0</v>
      </c>
      <c r="AZ8" s="26"/>
      <c r="BA8" s="26"/>
      <c r="BB8" s="26"/>
      <c r="BC8" s="26"/>
      <c r="BP8" s="26"/>
    </row>
    <row r="9" customFormat="false" ht="12.8" hidden="false" customHeight="false" outlineLevel="0" collapsed="false">
      <c r="A9" s="41" t="str">
        <f aca="false">_xlfn.CONCAT($A$1, ".", CALC!A10)</f>
        <v>LSD.RID.0.AL.LFP.6</v>
      </c>
      <c r="B9" s="54" t="str">
        <f aca="false">_xlfn.CONCAT(CALC!B10, ": ", CALC!C10)</f>
        <v>Hospitality: Worker</v>
      </c>
      <c r="C9" s="26" t="n">
        <f aca="false">CALC!D10</f>
        <v>0</v>
      </c>
      <c r="D9" s="26" t="n">
        <f aca="false">CALC!E10</f>
        <v>0</v>
      </c>
      <c r="E9" s="26" t="n">
        <f aca="false">CALC!F10</f>
        <v>0</v>
      </c>
      <c r="F9" s="26" t="n">
        <f aca="false">CALC!G10</f>
        <v>0</v>
      </c>
      <c r="AZ9" s="26"/>
      <c r="BA9" s="26"/>
      <c r="BB9" s="26"/>
      <c r="BC9" s="26"/>
      <c r="BP9" s="26"/>
    </row>
    <row r="10" customFormat="false" ht="12.8" hidden="false" customHeight="false" outlineLevel="0" collapsed="false">
      <c r="A10" s="41" t="str">
        <f aca="false">_xlfn.CONCAT($A$1, ".", CALC!A11)</f>
        <v>LSD.RID.0.AL.LFP.7</v>
      </c>
      <c r="B10" s="54" t="str">
        <f aca="false">_xlfn.CONCAT(CALC!B11, ": ", CALC!C11)</f>
        <v>Cleaning &amp; Maintenance: Support</v>
      </c>
      <c r="C10" s="26" t="n">
        <f aca="false">CALC!D11</f>
        <v>0</v>
      </c>
      <c r="D10" s="26" t="n">
        <f aca="false">CALC!E11</f>
        <v>0</v>
      </c>
      <c r="E10" s="26" t="n">
        <f aca="false">CALC!F11</f>
        <v>0</v>
      </c>
      <c r="F10" s="26" t="n">
        <f aca="false">CALC!G11</f>
        <v>0</v>
      </c>
      <c r="AZ10" s="26"/>
      <c r="BA10" s="26"/>
      <c r="BB10" s="26"/>
      <c r="BC10" s="26"/>
      <c r="BP10" s="26"/>
    </row>
    <row r="11" customFormat="false" ht="12.8" hidden="false" customHeight="false" outlineLevel="0" collapsed="false">
      <c r="A11" s="41" t="str">
        <f aca="false">_xlfn.CONCAT($A$1, ".", CALC!A12)</f>
        <v>LSD.RID.0.AL.LFP.8</v>
      </c>
      <c r="B11" s="54" t="str">
        <f aca="false">_xlfn.CONCAT(CALC!B12, ": ", CALC!C12)</f>
        <v>Cleaning &amp; Maintenance: Worker</v>
      </c>
      <c r="C11" s="26" t="n">
        <f aca="false">CALC!D12</f>
        <v>0</v>
      </c>
      <c r="D11" s="26" t="n">
        <f aca="false">CALC!E12</f>
        <v>0</v>
      </c>
      <c r="E11" s="26" t="n">
        <f aca="false">CALC!F12</f>
        <v>0</v>
      </c>
      <c r="F11" s="26" t="n">
        <f aca="false">CALC!G12</f>
        <v>0</v>
      </c>
      <c r="AZ11" s="26"/>
      <c r="BA11" s="26"/>
      <c r="BB11" s="26"/>
      <c r="BC11" s="26"/>
      <c r="BP11" s="26"/>
    </row>
    <row r="12" customFormat="false" ht="12.8" hidden="false" customHeight="false" outlineLevel="0" collapsed="false">
      <c r="A12" s="41" t="str">
        <f aca="false">_xlfn.CONCAT($A$1, ".", CALC!A13)</f>
        <v>LSD.RID.0.AL.LFP.9</v>
      </c>
      <c r="B12" s="54" t="str">
        <f aca="false">_xlfn.CONCAT(CALC!B13, ": ", CALC!C13)</f>
        <v>Manufacturing: Support</v>
      </c>
      <c r="C12" s="26" t="n">
        <f aca="false">CALC!D13</f>
        <v>0</v>
      </c>
      <c r="D12" s="26" t="n">
        <f aca="false">CALC!E13</f>
        <v>0</v>
      </c>
      <c r="E12" s="26" t="n">
        <f aca="false">CALC!F13</f>
        <v>0</v>
      </c>
      <c r="F12" s="26" t="n">
        <f aca="false">CALC!G13</f>
        <v>0</v>
      </c>
      <c r="AZ12" s="26"/>
      <c r="BA12" s="26"/>
      <c r="BB12" s="26"/>
      <c r="BC12" s="26"/>
      <c r="BP12" s="26"/>
    </row>
    <row r="13" customFormat="false" ht="12.8" hidden="false" customHeight="false" outlineLevel="0" collapsed="false">
      <c r="A13" s="41" t="str">
        <f aca="false">_xlfn.CONCAT($A$1, ".", CALC!A14)</f>
        <v>LSD.RID.0.AL.LFP.10</v>
      </c>
      <c r="B13" s="54" t="str">
        <f aca="false">_xlfn.CONCAT(CALC!B14, ": ", CALC!C14)</f>
        <v>Manufacturing: Worker</v>
      </c>
      <c r="C13" s="26" t="n">
        <f aca="false">CALC!D14</f>
        <v>0</v>
      </c>
      <c r="D13" s="26" t="n">
        <f aca="false">CALC!E14</f>
        <v>0</v>
      </c>
      <c r="E13" s="26" t="n">
        <f aca="false">CALC!F14</f>
        <v>0</v>
      </c>
      <c r="F13" s="26" t="n">
        <f aca="false">CALC!G14</f>
        <v>0</v>
      </c>
      <c r="AZ13" s="26"/>
      <c r="BA13" s="26"/>
      <c r="BB13" s="26"/>
      <c r="BC13" s="26"/>
      <c r="BP13" s="26"/>
    </row>
    <row r="14" customFormat="false" ht="12.8" hidden="false" customHeight="false" outlineLevel="0" collapsed="false">
      <c r="A14" s="41" t="str">
        <f aca="false">_xlfn.CONCAT($A$1, ".", CALC!A15)</f>
        <v>LSD.RID.0.AL.LFP.11</v>
      </c>
      <c r="B14" s="54" t="str">
        <f aca="false">_xlfn.CONCAT(CALC!B15, ": ", CALC!C15)</f>
        <v>Transportation &amp; Warehousing: Support</v>
      </c>
      <c r="C14" s="26" t="n">
        <f aca="false">CALC!D15</f>
        <v>0</v>
      </c>
      <c r="D14" s="26" t="n">
        <f aca="false">CALC!E15</f>
        <v>0</v>
      </c>
      <c r="E14" s="26" t="n">
        <f aca="false">CALC!F15</f>
        <v>0</v>
      </c>
      <c r="F14" s="26" t="n">
        <f aca="false">CALC!G15</f>
        <v>0</v>
      </c>
      <c r="AZ14" s="26"/>
      <c r="BA14" s="26"/>
      <c r="BB14" s="26"/>
      <c r="BC14" s="26"/>
      <c r="BP14" s="26"/>
    </row>
    <row r="15" customFormat="false" ht="12.8" hidden="false" customHeight="false" outlineLevel="0" collapsed="false">
      <c r="A15" s="41" t="str">
        <f aca="false">_xlfn.CONCAT($A$1, ".", CALC!A16)</f>
        <v>LSD.RID.0.AL.LFP.12</v>
      </c>
      <c r="B15" s="54" t="str">
        <f aca="false">_xlfn.CONCAT(CALC!B16, ": ", CALC!C16)</f>
        <v>Transportation &amp; Warehousing: Worker</v>
      </c>
      <c r="C15" s="26" t="n">
        <f aca="false">CALC!D16</f>
        <v>0</v>
      </c>
      <c r="D15" s="26" t="n">
        <f aca="false">CALC!E16</f>
        <v>0</v>
      </c>
      <c r="E15" s="26" t="n">
        <f aca="false">CALC!F16</f>
        <v>0</v>
      </c>
      <c r="F15" s="26" t="n">
        <f aca="false">CALC!G16</f>
        <v>0</v>
      </c>
      <c r="AZ15" s="26"/>
      <c r="BA15" s="26"/>
      <c r="BB15" s="26"/>
      <c r="BC15" s="26"/>
      <c r="BP15" s="26"/>
    </row>
    <row r="16" customFormat="false" ht="12.8" hidden="false" customHeight="false" outlineLevel="0" collapsed="false">
      <c r="A16" s="41" t="str">
        <f aca="false">_xlfn.CONCAT($A$1, ".", CALC!A17)</f>
        <v>LSD.RID.0.AL.LFP.13</v>
      </c>
      <c r="B16" s="54" t="str">
        <f aca="false">_xlfn.CONCAT(CALC!B17, ": ", CALC!C17)</f>
        <v>Retail Trade: Support</v>
      </c>
      <c r="C16" s="26" t="n">
        <f aca="false">CALC!D17</f>
        <v>0</v>
      </c>
      <c r="D16" s="26" t="n">
        <f aca="false">CALC!E17</f>
        <v>0</v>
      </c>
      <c r="E16" s="26" t="n">
        <f aca="false">CALC!F17</f>
        <v>0</v>
      </c>
      <c r="F16" s="26" t="n">
        <f aca="false">CALC!G17</f>
        <v>0</v>
      </c>
      <c r="AZ16" s="26"/>
      <c r="BA16" s="26"/>
      <c r="BB16" s="26"/>
      <c r="BC16" s="26"/>
      <c r="BP16" s="26"/>
    </row>
    <row r="17" customFormat="false" ht="12.8" hidden="false" customHeight="false" outlineLevel="0" collapsed="false">
      <c r="A17" s="41" t="str">
        <f aca="false">_xlfn.CONCAT($A$1, ".", CALC!A18)</f>
        <v>LSD.RID.0.AL.LFP.14</v>
      </c>
      <c r="B17" s="54" t="str">
        <f aca="false">_xlfn.CONCAT(CALC!B18, ": ", CALC!C18)</f>
        <v>Retail Trade: Worker</v>
      </c>
      <c r="C17" s="26" t="n">
        <f aca="false">CALC!D18</f>
        <v>0</v>
      </c>
      <c r="D17" s="26" t="n">
        <f aca="false">CALC!E18</f>
        <v>0</v>
      </c>
      <c r="E17" s="26" t="n">
        <f aca="false">CALC!F18</f>
        <v>0</v>
      </c>
      <c r="F17" s="26" t="n">
        <f aca="false">CALC!G18</f>
        <v>0</v>
      </c>
      <c r="AZ17" s="26"/>
      <c r="BA17" s="26"/>
      <c r="BB17" s="26"/>
      <c r="BC17" s="26"/>
      <c r="BP17" s="26"/>
    </row>
    <row r="18" customFormat="false" ht="12.8" hidden="false" customHeight="false" outlineLevel="0" collapsed="false">
      <c r="A18" s="41" t="str">
        <f aca="false">_xlfn.CONCAT($A$1, ".", CALC!A19)</f>
        <v>LSD.RID.0.AL.LFP.15</v>
      </c>
      <c r="B18" s="54" t="str">
        <f aca="false">_xlfn.CONCAT(CALC!B19, ": ", CALC!C19)</f>
        <v>Landscaping / Groundskeeping: Support</v>
      </c>
      <c r="C18" s="26" t="n">
        <f aca="false">CALC!D19</f>
        <v>0</v>
      </c>
      <c r="D18" s="26" t="n">
        <f aca="false">CALC!E19</f>
        <v>0</v>
      </c>
      <c r="E18" s="26" t="n">
        <f aca="false">CALC!F19</f>
        <v>0</v>
      </c>
      <c r="F18" s="26" t="n">
        <f aca="false">CALC!G19</f>
        <v>0</v>
      </c>
      <c r="AZ18" s="26"/>
      <c r="BA18" s="26"/>
      <c r="BB18" s="26"/>
      <c r="BC18" s="26"/>
      <c r="BP18" s="26"/>
    </row>
    <row r="19" customFormat="false" ht="12.8" hidden="false" customHeight="false" outlineLevel="0" collapsed="false">
      <c r="A19" s="41" t="str">
        <f aca="false">_xlfn.CONCAT($A$1, ".", CALC!A20)</f>
        <v>LSD.RID.0.AL.LFP.16</v>
      </c>
      <c r="B19" s="54" t="str">
        <f aca="false">_xlfn.CONCAT(CALC!B20, ": ", CALC!C20)</f>
        <v>Landscaping / Groundskeeping: Worker</v>
      </c>
      <c r="C19" s="26" t="n">
        <f aca="false">CALC!D20</f>
        <v>0</v>
      </c>
      <c r="D19" s="26" t="n">
        <f aca="false">CALC!E20</f>
        <v>0</v>
      </c>
      <c r="E19" s="26" t="n">
        <f aca="false">CALC!F20</f>
        <v>0</v>
      </c>
      <c r="F19" s="26" t="n">
        <f aca="false">CALC!G20</f>
        <v>0</v>
      </c>
      <c r="AZ19" s="26"/>
      <c r="BA19" s="26"/>
      <c r="BB19" s="26"/>
      <c r="BC19" s="26"/>
      <c r="BP19" s="26"/>
    </row>
    <row r="20" customFormat="false" ht="12.8" hidden="false" customHeight="false" outlineLevel="0" collapsed="false">
      <c r="A20" s="41" t="str">
        <f aca="false">_xlfn.CONCAT($A$1, ".", CALC!A21)</f>
        <v>LSD.RID.0.AL.LFP.17</v>
      </c>
      <c r="B20" s="54" t="str">
        <f aca="false">_xlfn.CONCAT(CALC!B21, ": ", CALC!C21)</f>
        <v>Automotive &amp; Repair: Support</v>
      </c>
      <c r="C20" s="26" t="n">
        <f aca="false">CALC!D21</f>
        <v>0</v>
      </c>
      <c r="D20" s="26" t="n">
        <f aca="false">CALC!E21</f>
        <v>0</v>
      </c>
      <c r="E20" s="26" t="n">
        <f aca="false">CALC!F21</f>
        <v>0</v>
      </c>
      <c r="F20" s="26" t="n">
        <f aca="false">CALC!G21</f>
        <v>0</v>
      </c>
      <c r="AZ20" s="26"/>
      <c r="BA20" s="26"/>
      <c r="BB20" s="26"/>
      <c r="BC20" s="26"/>
      <c r="BP20" s="26"/>
    </row>
    <row r="21" customFormat="false" ht="12.8" hidden="false" customHeight="false" outlineLevel="0" collapsed="false">
      <c r="A21" s="41" t="str">
        <f aca="false">_xlfn.CONCAT($A$1, ".", CALC!A22)</f>
        <v>LSD.RID.0.AL.LFP.18</v>
      </c>
      <c r="B21" s="54" t="str">
        <f aca="false">_xlfn.CONCAT(CALC!B22, ": ", CALC!C22)</f>
        <v>Automotive &amp; Repair: Worker</v>
      </c>
      <c r="C21" s="26" t="n">
        <f aca="false">CALC!D22</f>
        <v>0</v>
      </c>
      <c r="D21" s="26" t="n">
        <f aca="false">CALC!E22</f>
        <v>0</v>
      </c>
      <c r="E21" s="26" t="n">
        <f aca="false">CALC!F22</f>
        <v>0</v>
      </c>
      <c r="F21" s="26" t="n">
        <f aca="false">CALC!G22</f>
        <v>0</v>
      </c>
      <c r="AZ21" s="26"/>
      <c r="BA21" s="26"/>
      <c r="BB21" s="26"/>
      <c r="BC21" s="26"/>
      <c r="BP21" s="26"/>
    </row>
    <row r="22" customFormat="false" ht="12.8" hidden="false" customHeight="false" outlineLevel="0" collapsed="false">
      <c r="A22" s="41" t="str">
        <f aca="false">_xlfn.CONCAT($A$1, ".", CALC!A23)</f>
        <v>LSD.RID.0.AL.LFP.19</v>
      </c>
      <c r="B22" s="54" t="str">
        <f aca="false">_xlfn.CONCAT(CALC!B23, ": ", CALC!C23)</f>
        <v>Healthcare &amp; Social Assistance: Support</v>
      </c>
      <c r="C22" s="26" t="n">
        <f aca="false">CALC!D23</f>
        <v>0</v>
      </c>
      <c r="D22" s="26" t="n">
        <f aca="false">CALC!E23</f>
        <v>0</v>
      </c>
      <c r="E22" s="26" t="n">
        <f aca="false">CALC!F23</f>
        <v>0</v>
      </c>
      <c r="F22" s="26" t="n">
        <f aca="false">CALC!G23</f>
        <v>0</v>
      </c>
      <c r="AZ22" s="26"/>
      <c r="BA22" s="26"/>
      <c r="BB22" s="26"/>
      <c r="BC22" s="26"/>
      <c r="BP22" s="26"/>
    </row>
    <row r="23" customFormat="false" ht="12.8" hidden="false" customHeight="false" outlineLevel="0" collapsed="false">
      <c r="A23" s="41" t="str">
        <f aca="false">_xlfn.CONCAT($A$1, ".", CALC!A24)</f>
        <v>LSD.RID.0.AL.LFP.20</v>
      </c>
      <c r="B23" s="54" t="str">
        <f aca="false">_xlfn.CONCAT(CALC!B24, ": ", CALC!C24)</f>
        <v>Healthcare &amp; Social Assistance: Worker</v>
      </c>
      <c r="C23" s="26" t="n">
        <f aca="false">CALC!D24</f>
        <v>0</v>
      </c>
      <c r="D23" s="26" t="n">
        <f aca="false">CALC!E24</f>
        <v>0</v>
      </c>
      <c r="E23" s="26" t="n">
        <f aca="false">CALC!F24</f>
        <v>0</v>
      </c>
      <c r="F23" s="26" t="n">
        <f aca="false">CALC!G24</f>
        <v>0</v>
      </c>
      <c r="AZ23" s="26"/>
      <c r="BA23" s="26"/>
      <c r="BB23" s="26"/>
      <c r="BC23" s="26"/>
      <c r="BP23" s="26"/>
    </row>
    <row r="24" customFormat="false" ht="12.8" hidden="false" customHeight="false" outlineLevel="0" collapsed="false">
      <c r="A24" s="41" t="str">
        <f aca="false">_xlfn.CONCAT($A$1, ".", CALC!A25)</f>
        <v>LSD.RID.0.AL.LFP.21</v>
      </c>
      <c r="B24" s="54" t="str">
        <f aca="false">_xlfn.CONCAT(CALC!B25, ": ", CALC!C25)</f>
        <v>Professional Services: Support</v>
      </c>
      <c r="C24" s="26" t="n">
        <f aca="false">CALC!D25</f>
        <v>0</v>
      </c>
      <c r="D24" s="26" t="n">
        <f aca="false">CALC!E25</f>
        <v>0</v>
      </c>
      <c r="E24" s="26" t="n">
        <f aca="false">CALC!F25</f>
        <v>0</v>
      </c>
      <c r="F24" s="26" t="n">
        <f aca="false">CALC!G25</f>
        <v>0</v>
      </c>
      <c r="AZ24" s="26"/>
      <c r="BA24" s="26"/>
      <c r="BB24" s="26"/>
      <c r="BC24" s="26"/>
      <c r="BP24" s="26"/>
    </row>
    <row r="25" customFormat="false" ht="12.8" hidden="false" customHeight="false" outlineLevel="0" collapsed="false">
      <c r="A25" s="41" t="str">
        <f aca="false">_xlfn.CONCAT($A$1, ".", CALC!A26)</f>
        <v>LSD.RID.0.AL.LFP.22</v>
      </c>
      <c r="B25" s="54" t="str">
        <f aca="false">_xlfn.CONCAT(CALC!B26, ": ", CALC!C26)</f>
        <v>Professional Services: Worker</v>
      </c>
      <c r="C25" s="26" t="n">
        <f aca="false">CALC!D26</f>
        <v>0</v>
      </c>
      <c r="D25" s="26" t="n">
        <f aca="false">CALC!E26</f>
        <v>0</v>
      </c>
      <c r="E25" s="26" t="n">
        <f aca="false">CALC!F26</f>
        <v>0</v>
      </c>
      <c r="F25" s="26" t="n">
        <f aca="false">CALC!G26</f>
        <v>0</v>
      </c>
      <c r="AZ25" s="26"/>
      <c r="BA25" s="26"/>
      <c r="BB25" s="26"/>
      <c r="BC25" s="26"/>
      <c r="BP25" s="26"/>
    </row>
    <row r="26" customFormat="false" ht="12.8" hidden="false" customHeight="false" outlineLevel="0" collapsed="false">
      <c r="A26" s="41" t="str">
        <f aca="false">_xlfn.CONCAT($A$1, ".", CALC!A27)</f>
        <v>LSD.RID.0.AL.LFP.23</v>
      </c>
      <c r="B26" s="54" t="str">
        <f aca="false">_xlfn.CONCAT(CALC!B27, ": ", CALC!C27)</f>
        <v>Educational Services: Support</v>
      </c>
      <c r="C26" s="26" t="n">
        <f aca="false">CALC!D27</f>
        <v>0</v>
      </c>
      <c r="D26" s="26" t="n">
        <f aca="false">CALC!E27</f>
        <v>0</v>
      </c>
      <c r="E26" s="26" t="n">
        <f aca="false">CALC!F27</f>
        <v>0</v>
      </c>
      <c r="F26" s="26" t="n">
        <f aca="false">CALC!G27</f>
        <v>0</v>
      </c>
      <c r="AZ26" s="26"/>
      <c r="BA26" s="26"/>
      <c r="BB26" s="26"/>
      <c r="BC26" s="26"/>
      <c r="BP26" s="26"/>
    </row>
    <row r="27" customFormat="false" ht="12.8" hidden="false" customHeight="false" outlineLevel="0" collapsed="false">
      <c r="A27" s="41" t="str">
        <f aca="false">_xlfn.CONCAT($A$1, ".", CALC!A28)</f>
        <v>LSD.RID.0.AL.LFP.24</v>
      </c>
      <c r="B27" s="54" t="str">
        <f aca="false">_xlfn.CONCAT(CALC!B28, ": ", CALC!C28)</f>
        <v>Educational Services: Worker</v>
      </c>
      <c r="C27" s="26" t="n">
        <f aca="false">CALC!D28</f>
        <v>0</v>
      </c>
      <c r="D27" s="26" t="n">
        <f aca="false">CALC!E28</f>
        <v>0</v>
      </c>
      <c r="E27" s="26" t="n">
        <f aca="false">CALC!F28</f>
        <v>0</v>
      </c>
      <c r="F27" s="26" t="n">
        <f aca="false">CALC!G28</f>
        <v>0</v>
      </c>
      <c r="AZ27" s="26"/>
      <c r="BA27" s="26"/>
      <c r="BB27" s="26"/>
      <c r="BC27" s="26"/>
      <c r="BP27" s="26"/>
    </row>
    <row r="28" customFormat="false" ht="12.8" hidden="false" customHeight="false" outlineLevel="0" collapsed="false">
      <c r="A28" s="41" t="str">
        <f aca="false">_xlfn.CONCAT($A$1, ".", CALC!A29)</f>
        <v>LSD.RID.0.AL.LFP.25</v>
      </c>
      <c r="B28" s="54" t="str">
        <f aca="false">_xlfn.CONCAT(CALC!B29, ": ", CALC!C29)</f>
        <v>Finance &amp; Insurance: Support</v>
      </c>
      <c r="C28" s="26" t="n">
        <f aca="false">CALC!D29</f>
        <v>0</v>
      </c>
      <c r="D28" s="26" t="n">
        <f aca="false">CALC!E29</f>
        <v>0</v>
      </c>
      <c r="E28" s="26" t="n">
        <f aca="false">CALC!F29</f>
        <v>0</v>
      </c>
      <c r="F28" s="26" t="n">
        <f aca="false">CALC!G29</f>
        <v>0</v>
      </c>
      <c r="AZ28" s="26"/>
      <c r="BA28" s="26"/>
      <c r="BB28" s="26"/>
      <c r="BC28" s="26"/>
      <c r="BP28" s="26"/>
    </row>
    <row r="29" customFormat="false" ht="12.8" hidden="false" customHeight="false" outlineLevel="0" collapsed="false">
      <c r="A29" s="41" t="str">
        <f aca="false">_xlfn.CONCAT($A$1, ".", CALC!A30)</f>
        <v>LSD.RID.0.AL.LFP.26</v>
      </c>
      <c r="B29" s="54" t="str">
        <f aca="false">_xlfn.CONCAT(CALC!B30, ": ", CALC!C30)</f>
        <v>Finance &amp; Insurance: Worker</v>
      </c>
      <c r="C29" s="26" t="n">
        <f aca="false">CALC!D30</f>
        <v>0</v>
      </c>
      <c r="D29" s="26" t="n">
        <f aca="false">CALC!E30</f>
        <v>0</v>
      </c>
      <c r="E29" s="26" t="n">
        <f aca="false">CALC!F30</f>
        <v>0</v>
      </c>
      <c r="F29" s="26" t="n">
        <f aca="false">CALC!G30</f>
        <v>0</v>
      </c>
      <c r="AZ29" s="26"/>
      <c r="BA29" s="26"/>
      <c r="BB29" s="26"/>
      <c r="BC29" s="26"/>
      <c r="BP29" s="26"/>
    </row>
    <row r="30" customFormat="false" ht="12.8" hidden="false" customHeight="false" outlineLevel="0" collapsed="false">
      <c r="A30" s="41" t="str">
        <f aca="false">_xlfn.CONCAT($A$1, ".", CALC!A31)</f>
        <v>LSD.RID.0.AL.LFP.27</v>
      </c>
      <c r="B30" s="54" t="str">
        <f aca="false">_xlfn.CONCAT(CALC!B31, ": ", CALC!C31)</f>
        <v>Media and Information Technology: Support</v>
      </c>
      <c r="C30" s="26" t="n">
        <f aca="false">CALC!D31</f>
        <v>0</v>
      </c>
      <c r="D30" s="26" t="n">
        <f aca="false">CALC!E31</f>
        <v>0</v>
      </c>
      <c r="E30" s="26" t="n">
        <f aca="false">CALC!F31</f>
        <v>0</v>
      </c>
      <c r="F30" s="26" t="n">
        <f aca="false">CALC!G31</f>
        <v>0</v>
      </c>
      <c r="AZ30" s="26"/>
      <c r="BA30" s="26"/>
      <c r="BB30" s="26"/>
      <c r="BC30" s="26"/>
      <c r="BP30" s="26"/>
    </row>
    <row r="31" customFormat="false" ht="12.8" hidden="false" customHeight="false" outlineLevel="0" collapsed="false">
      <c r="A31" s="41" t="str">
        <f aca="false">_xlfn.CONCAT($A$1, ".", CALC!A32)</f>
        <v>LSD.RID.0.AL.LFP.28</v>
      </c>
      <c r="B31" s="54" t="str">
        <f aca="false">_xlfn.CONCAT(CALC!B32, ": ", CALC!C32)</f>
        <v>Media and Information Technology: Worker</v>
      </c>
      <c r="C31" s="26" t="n">
        <f aca="false">CALC!D32</f>
        <v>0</v>
      </c>
      <c r="D31" s="26" t="n">
        <f aca="false">CALC!E32</f>
        <v>0</v>
      </c>
      <c r="E31" s="26" t="n">
        <f aca="false">CALC!F32</f>
        <v>0</v>
      </c>
      <c r="F31" s="26" t="n">
        <f aca="false">CALC!G32</f>
        <v>0</v>
      </c>
      <c r="AZ31" s="26"/>
      <c r="BA31" s="26"/>
      <c r="BB31" s="26"/>
      <c r="BC31" s="26"/>
      <c r="BP31" s="26"/>
    </row>
    <row r="32" customFormat="false" ht="12.8" hidden="false" customHeight="false" outlineLevel="0" collapsed="false">
      <c r="A32" s="41" t="str">
        <f aca="false">_xlfn.CONCAT($A$1, ".", CALC!A33)</f>
        <v>LSD.RID.0.AL.LFP.29</v>
      </c>
      <c r="B32" s="54" t="str">
        <f aca="false">_xlfn.CONCAT(CALC!B33, ": ", CALC!C33)</f>
        <v>Government: Support</v>
      </c>
      <c r="C32" s="26" t="n">
        <f aca="false">CALC!D33</f>
        <v>0</v>
      </c>
      <c r="D32" s="26" t="n">
        <f aca="false">CALC!E33</f>
        <v>0</v>
      </c>
      <c r="E32" s="26" t="n">
        <f aca="false">CALC!F33</f>
        <v>0</v>
      </c>
      <c r="F32" s="26" t="n">
        <f aca="false">CALC!G33</f>
        <v>0</v>
      </c>
      <c r="AZ32" s="26"/>
      <c r="BA32" s="26"/>
      <c r="BB32" s="26"/>
      <c r="BC32" s="26"/>
      <c r="BP32" s="26"/>
    </row>
    <row r="33" customFormat="false" ht="12.8" hidden="false" customHeight="false" outlineLevel="0" collapsed="false">
      <c r="A33" s="41" t="str">
        <f aca="false">_xlfn.CONCAT($A$1, ".", CALC!A34)</f>
        <v>LSD.RID.0.AL.LFP.30</v>
      </c>
      <c r="B33" s="54" t="str">
        <f aca="false">_xlfn.CONCAT(CALC!B34, ": ", CALC!C34)</f>
        <v>Government: Worker</v>
      </c>
      <c r="C33" s="26" t="n">
        <f aca="false">CALC!D34</f>
        <v>0</v>
      </c>
      <c r="D33" s="26" t="n">
        <f aca="false">CALC!E34</f>
        <v>0</v>
      </c>
      <c r="E33" s="26" t="n">
        <f aca="false">CALC!F34</f>
        <v>0</v>
      </c>
      <c r="F33" s="26" t="n">
        <f aca="false">CALC!G34</f>
        <v>0</v>
      </c>
      <c r="AZ33" s="26"/>
      <c r="BA33" s="26"/>
      <c r="BB33" s="26"/>
      <c r="BC33" s="26"/>
      <c r="BP33" s="26"/>
    </row>
    <row r="34" customFormat="false" ht="12.8" hidden="false" customHeight="false" outlineLevel="0" collapsed="false">
      <c r="A34" s="41" t="str">
        <f aca="false">_xlfn.CONCAT($A$1, ".", CALC!A35)</f>
        <v>LSD.RID.0.AL.LFP.31</v>
      </c>
      <c r="B34" s="54" t="str">
        <f aca="false">_xlfn.CONCAT(CALC!B35, ": ", CALC!C35)</f>
        <v>Self-Employed / Non-Employer: Support</v>
      </c>
      <c r="C34" s="26" t="n">
        <f aca="false">CALC!D35</f>
        <v>0</v>
      </c>
      <c r="D34" s="26" t="n">
        <f aca="false">CALC!E35</f>
        <v>0</v>
      </c>
      <c r="E34" s="26" t="n">
        <f aca="false">CALC!F35</f>
        <v>0</v>
      </c>
      <c r="F34" s="26" t="n">
        <f aca="false">CALC!G35</f>
        <v>0</v>
      </c>
      <c r="AZ34" s="26"/>
      <c r="BA34" s="26"/>
      <c r="BB34" s="26"/>
      <c r="BC34" s="26"/>
      <c r="BP34" s="26"/>
    </row>
    <row r="35" customFormat="false" ht="12.8" hidden="false" customHeight="false" outlineLevel="0" collapsed="false">
      <c r="A35" s="41" t="str">
        <f aca="false">_xlfn.CONCAT($A$1, ".", CALC!A36)</f>
        <v>LSD.RID.0.AL.LFP.32</v>
      </c>
      <c r="B35" s="54" t="str">
        <f aca="false">_xlfn.CONCAT(CALC!B36, ": ", CALC!C36)</f>
        <v>Self-Employed / Non-Employer: Worker</v>
      </c>
      <c r="C35" s="26" t="n">
        <f aca="false">CALC!D36</f>
        <v>0</v>
      </c>
      <c r="D35" s="26" t="n">
        <f aca="false">CALC!E36</f>
        <v>0</v>
      </c>
      <c r="E35" s="26" t="n">
        <f aca="false">CALC!F36</f>
        <v>0</v>
      </c>
      <c r="F35" s="26" t="n">
        <f aca="false">CALC!G36</f>
        <v>0</v>
      </c>
      <c r="AZ35" s="26"/>
      <c r="BA35" s="26"/>
      <c r="BB35" s="26"/>
      <c r="BC35" s="26"/>
      <c r="BP35" s="26"/>
    </row>
    <row r="36" customFormat="false" ht="12.8" hidden="false" customHeight="false" outlineLevel="0" collapsed="false">
      <c r="A36" s="41" t="str">
        <f aca="false">_xlfn.CONCAT($A$1, ".", CALC!A37)</f>
        <v>LSD.RID.0.AL.LFP.33</v>
      </c>
      <c r="B36" s="54" t="str">
        <f aca="false">_xlfn.CONCAT(CALC!B37, ": ", CALC!C37)</f>
        <v>Other Services: Support</v>
      </c>
      <c r="C36" s="26" t="n">
        <f aca="false">CALC!D37</f>
        <v>0</v>
      </c>
      <c r="D36" s="26" t="n">
        <f aca="false">CALC!E37</f>
        <v>0</v>
      </c>
      <c r="E36" s="26" t="n">
        <f aca="false">CALC!F37</f>
        <v>0</v>
      </c>
      <c r="F36" s="26" t="n">
        <f aca="false">CALC!G37</f>
        <v>0</v>
      </c>
      <c r="AZ36" s="26"/>
      <c r="BA36" s="26"/>
      <c r="BB36" s="26"/>
      <c r="BC36" s="26"/>
      <c r="BP36" s="26"/>
    </row>
    <row r="37" customFormat="false" ht="12.8" hidden="false" customHeight="false" outlineLevel="0" collapsed="false">
      <c r="A37" s="41" t="str">
        <f aca="false">_xlfn.CONCAT($A$1, ".", CALC!A38)</f>
        <v>LSD.RID.0.AL.LFP.34</v>
      </c>
      <c r="B37" s="54" t="str">
        <f aca="false">_xlfn.CONCAT(CALC!B38, ": ", CALC!C38)</f>
        <v>Other Services: Worker</v>
      </c>
      <c r="C37" s="26" t="n">
        <f aca="false">CALC!D38</f>
        <v>0</v>
      </c>
      <c r="D37" s="26" t="n">
        <f aca="false">CALC!E38</f>
        <v>0</v>
      </c>
      <c r="E37" s="26" t="n">
        <f aca="false">CALC!F38</f>
        <v>0</v>
      </c>
      <c r="F37" s="26" t="n">
        <f aca="false">CALC!G38</f>
        <v>0</v>
      </c>
      <c r="AZ37" s="26"/>
      <c r="BA37" s="26"/>
      <c r="BB37" s="26"/>
      <c r="BC37" s="26"/>
      <c r="BP37" s="26"/>
    </row>
    <row r="38" customFormat="false" ht="12.8" hidden="false" customHeight="false" outlineLevel="0" collapsed="false">
      <c r="A38" s="41" t="str">
        <f aca="false">_xlfn.CONCAT($A$1, ".", CALC!A39)</f>
        <v>LSD.RID.0.AL.LFP.35</v>
      </c>
      <c r="B38" s="54" t="str">
        <f aca="false">_xlfn.CONCAT(CALC!B39, ": ", CALC!C39)</f>
        <v>Mining, Quarrying, and Oil/Gas Extraction: Support</v>
      </c>
      <c r="C38" s="26" t="n">
        <f aca="false">CALC!D39</f>
        <v>0</v>
      </c>
      <c r="D38" s="26" t="n">
        <f aca="false">CALC!E39</f>
        <v>0</v>
      </c>
      <c r="E38" s="26" t="n">
        <f aca="false">CALC!F39</f>
        <v>0</v>
      </c>
      <c r="F38" s="26" t="n">
        <f aca="false">CALC!G39</f>
        <v>0</v>
      </c>
      <c r="AZ38" s="26"/>
      <c r="BA38" s="26"/>
      <c r="BB38" s="26"/>
      <c r="BC38" s="26"/>
      <c r="BP38" s="26"/>
    </row>
    <row r="39" customFormat="false" ht="12.8" hidden="false" customHeight="false" outlineLevel="0" collapsed="false">
      <c r="A39" s="41" t="str">
        <f aca="false">_xlfn.CONCAT($A$1, ".", CALC!A40)</f>
        <v>LSD.RID.0.AL.LFP.36</v>
      </c>
      <c r="B39" s="54" t="str">
        <f aca="false">_xlfn.CONCAT(CALC!B40, ": ", CALC!C40)</f>
        <v>Mining, Quarrying, and Oil/Gas Extraction: Worker</v>
      </c>
      <c r="C39" s="26" t="n">
        <f aca="false">CALC!D40</f>
        <v>0</v>
      </c>
      <c r="D39" s="26" t="n">
        <f aca="false">CALC!E40</f>
        <v>0</v>
      </c>
      <c r="E39" s="26" t="n">
        <f aca="false">CALC!F40</f>
        <v>0</v>
      </c>
      <c r="F39" s="26" t="n">
        <f aca="false">CALC!G40</f>
        <v>0</v>
      </c>
      <c r="AZ39" s="26"/>
      <c r="BA39" s="26"/>
      <c r="BB39" s="26"/>
      <c r="BC39" s="26"/>
      <c r="BP39" s="26"/>
    </row>
    <row r="40" customFormat="false" ht="12.8" hidden="false" customHeight="false" outlineLevel="0" collapsed="false">
      <c r="A40" s="41" t="str">
        <f aca="false">_xlfn.CONCAT($A$1, ".", CALC!A41)</f>
        <v>LSD.RID.0.AL.LFP.37</v>
      </c>
      <c r="B40" s="54" t="str">
        <f aca="false">_xlfn.CONCAT(CALC!B41, ": ", CALC!C41)</f>
        <v>Utilities: Support</v>
      </c>
      <c r="C40" s="26" t="n">
        <f aca="false">CALC!D41</f>
        <v>0</v>
      </c>
      <c r="D40" s="26" t="n">
        <f aca="false">CALC!E41</f>
        <v>0</v>
      </c>
      <c r="E40" s="26" t="n">
        <f aca="false">CALC!F41</f>
        <v>0</v>
      </c>
      <c r="F40" s="26" t="n">
        <f aca="false">CALC!G41</f>
        <v>0</v>
      </c>
      <c r="AZ40" s="26"/>
      <c r="BA40" s="26"/>
      <c r="BB40" s="26"/>
      <c r="BC40" s="26"/>
      <c r="BP40" s="26"/>
    </row>
    <row r="41" customFormat="false" ht="12.8" hidden="false" customHeight="false" outlineLevel="0" collapsed="false">
      <c r="A41" s="41" t="str">
        <f aca="false">_xlfn.CONCAT($A$1, ".", CALC!A42)</f>
        <v>LSD.RID.0.AL.LFP.38</v>
      </c>
      <c r="B41" s="54" t="str">
        <f aca="false">_xlfn.CONCAT(CALC!B42, ": ", CALC!C42)</f>
        <v>Utilities: Worker</v>
      </c>
      <c r="C41" s="26" t="n">
        <f aca="false">CALC!D42</f>
        <v>0</v>
      </c>
      <c r="D41" s="26" t="n">
        <f aca="false">CALC!E42</f>
        <v>0</v>
      </c>
      <c r="E41" s="26" t="n">
        <f aca="false">CALC!F42</f>
        <v>0</v>
      </c>
      <c r="F41" s="26" t="n">
        <f aca="false">CALC!G42</f>
        <v>0</v>
      </c>
      <c r="AZ41" s="26"/>
      <c r="BA41" s="26"/>
      <c r="BB41" s="26"/>
      <c r="BC41" s="26"/>
      <c r="BP41" s="26"/>
    </row>
    <row r="42" customFormat="false" ht="12.8" hidden="false" customHeight="false" outlineLevel="0" collapsed="false">
      <c r="A42" s="41" t="str">
        <f aca="false">_xlfn.CONCAT($A$1, ".", CALC!A43)</f>
        <v>LSD.RID.0.AL.LFP.39</v>
      </c>
      <c r="B42" s="54" t="str">
        <f aca="false">_xlfn.CONCAT(CALC!B43, ": ", CALC!C43)</f>
        <v>Wholesale Trade: Support</v>
      </c>
      <c r="C42" s="26" t="n">
        <f aca="false">CALC!D43</f>
        <v>0</v>
      </c>
      <c r="D42" s="26" t="n">
        <f aca="false">CALC!E43</f>
        <v>0</v>
      </c>
      <c r="E42" s="26" t="n">
        <f aca="false">CALC!F43</f>
        <v>0</v>
      </c>
      <c r="F42" s="26" t="n">
        <f aca="false">CALC!G43</f>
        <v>0</v>
      </c>
      <c r="AZ42" s="26"/>
      <c r="BA42" s="26"/>
      <c r="BB42" s="26"/>
      <c r="BC42" s="26"/>
      <c r="BP42" s="26"/>
    </row>
    <row r="43" customFormat="false" ht="12.8" hidden="false" customHeight="false" outlineLevel="0" collapsed="false">
      <c r="A43" s="41" t="str">
        <f aca="false">_xlfn.CONCAT($A$1, ".", CALC!A44)</f>
        <v>LSD.RID.0.AL.LFP.40</v>
      </c>
      <c r="B43" s="54" t="str">
        <f aca="false">_xlfn.CONCAT(CALC!B44, ": ", CALC!C44)</f>
        <v>Wholesale Trade: Worker</v>
      </c>
      <c r="C43" s="26" t="n">
        <f aca="false">CALC!D44</f>
        <v>0</v>
      </c>
      <c r="D43" s="26" t="n">
        <f aca="false">CALC!E44</f>
        <v>0</v>
      </c>
      <c r="E43" s="26" t="n">
        <f aca="false">CALC!F44</f>
        <v>0</v>
      </c>
      <c r="F43" s="26" t="n">
        <f aca="false">CALC!G44</f>
        <v>0</v>
      </c>
      <c r="AZ43" s="26"/>
      <c r="BA43" s="26"/>
      <c r="BB43" s="26"/>
      <c r="BC43" s="26"/>
      <c r="BP43" s="26"/>
    </row>
    <row r="44" customFormat="false" ht="12.8" hidden="false" customHeight="false" outlineLevel="0" collapsed="false">
      <c r="A44" s="41" t="str">
        <f aca="false">_xlfn.CONCAT($A$1, ".", CALC!A45)</f>
        <v>LSD.RID.0.AL.LFP.41</v>
      </c>
      <c r="B44" s="54" t="str">
        <f aca="false">_xlfn.CONCAT(CALC!B45, ": ", CALC!C45)</f>
        <v>Information: Support</v>
      </c>
      <c r="C44" s="26" t="n">
        <f aca="false">CALC!D45</f>
        <v>0</v>
      </c>
      <c r="D44" s="26" t="n">
        <f aca="false">CALC!E45</f>
        <v>0</v>
      </c>
      <c r="E44" s="26" t="n">
        <f aca="false">CALC!F45</f>
        <v>0</v>
      </c>
      <c r="F44" s="26" t="n">
        <f aca="false">CALC!G45</f>
        <v>0</v>
      </c>
      <c r="AZ44" s="26"/>
      <c r="BA44" s="26"/>
      <c r="BB44" s="26"/>
      <c r="BC44" s="26"/>
      <c r="BP44" s="26"/>
    </row>
    <row r="45" customFormat="false" ht="12.8" hidden="false" customHeight="false" outlineLevel="0" collapsed="false">
      <c r="A45" s="41" t="str">
        <f aca="false">_xlfn.CONCAT($A$1, ".", CALC!A46)</f>
        <v>LSD.RID.0.AL.LFP.42</v>
      </c>
      <c r="B45" s="54" t="str">
        <f aca="false">_xlfn.CONCAT(CALC!B46, ": ", CALC!C46)</f>
        <v>Information: Worker</v>
      </c>
      <c r="C45" s="26" t="n">
        <f aca="false">CALC!D46</f>
        <v>0</v>
      </c>
      <c r="D45" s="26" t="n">
        <f aca="false">CALC!E46</f>
        <v>0</v>
      </c>
      <c r="E45" s="26" t="n">
        <f aca="false">CALC!F46</f>
        <v>0</v>
      </c>
      <c r="F45" s="26" t="n">
        <f aca="false">CALC!G46</f>
        <v>0</v>
      </c>
      <c r="AZ45" s="26"/>
      <c r="BA45" s="26"/>
      <c r="BB45" s="26"/>
      <c r="BC45" s="26"/>
      <c r="BP45" s="26"/>
    </row>
    <row r="46" customFormat="false" ht="12.8" hidden="false" customHeight="false" outlineLevel="0" collapsed="false">
      <c r="A46" s="41" t="str">
        <f aca="false">_xlfn.CONCAT($A$1, ".", CALC!A47)</f>
        <v>LSD.RID.0.AL.LFP.43</v>
      </c>
      <c r="B46" s="54" t="str">
        <f aca="false">_xlfn.CONCAT(CALC!B47, ": ", CALC!C47)</f>
        <v>Real Estate, Rental and Leasing: Support</v>
      </c>
      <c r="C46" s="26" t="n">
        <f aca="false">CALC!D47</f>
        <v>0</v>
      </c>
      <c r="D46" s="26" t="n">
        <f aca="false">CALC!E47</f>
        <v>0</v>
      </c>
      <c r="E46" s="26" t="n">
        <f aca="false">CALC!F47</f>
        <v>0</v>
      </c>
      <c r="F46" s="26" t="n">
        <f aca="false">CALC!G47</f>
        <v>0</v>
      </c>
      <c r="AZ46" s="26"/>
      <c r="BA46" s="26"/>
      <c r="BB46" s="26"/>
      <c r="BC46" s="26"/>
      <c r="BP46" s="26"/>
    </row>
    <row r="47" customFormat="false" ht="12.8" hidden="false" customHeight="false" outlineLevel="0" collapsed="false">
      <c r="A47" s="41" t="str">
        <f aca="false">_xlfn.CONCAT($A$1, ".", CALC!A48)</f>
        <v>LSD.RID.0.AL.LFP.44</v>
      </c>
      <c r="B47" s="54" t="str">
        <f aca="false">_xlfn.CONCAT(CALC!B48, ": ", CALC!C48)</f>
        <v>Real Estate, Rental and Leasing: Worker</v>
      </c>
      <c r="C47" s="26" t="n">
        <f aca="false">CALC!D48</f>
        <v>0</v>
      </c>
      <c r="D47" s="26" t="n">
        <f aca="false">CALC!E48</f>
        <v>0</v>
      </c>
      <c r="E47" s="26" t="n">
        <f aca="false">CALC!F48</f>
        <v>0</v>
      </c>
      <c r="F47" s="26" t="n">
        <f aca="false">CALC!G48</f>
        <v>0</v>
      </c>
      <c r="AZ47" s="26"/>
      <c r="BA47" s="26"/>
      <c r="BB47" s="26"/>
      <c r="BC47" s="26"/>
      <c r="BP47" s="26"/>
    </row>
    <row r="48" customFormat="false" ht="12.8" hidden="false" customHeight="false" outlineLevel="0" collapsed="false">
      <c r="A48" s="41" t="str">
        <f aca="false">_xlfn.CONCAT($A$1, ".", CALC!A49)</f>
        <v>LSD.RID.0.AL.LFP.45</v>
      </c>
      <c r="B48" s="54" t="str">
        <f aca="false">_xlfn.CONCAT(CALC!B49, ": ", CALC!C49)</f>
        <v>Waste Management Services: Support</v>
      </c>
      <c r="C48" s="26" t="n">
        <f aca="false">CALC!D49</f>
        <v>0</v>
      </c>
      <c r="D48" s="26" t="n">
        <f aca="false">CALC!E49</f>
        <v>0</v>
      </c>
      <c r="E48" s="26" t="n">
        <f aca="false">CALC!F49</f>
        <v>0</v>
      </c>
      <c r="F48" s="26" t="n">
        <f aca="false">CALC!G49</f>
        <v>0</v>
      </c>
      <c r="AZ48" s="26"/>
      <c r="BA48" s="26"/>
      <c r="BB48" s="26"/>
      <c r="BC48" s="26"/>
      <c r="BP48" s="26"/>
    </row>
    <row r="49" customFormat="false" ht="12.8" hidden="false" customHeight="false" outlineLevel="0" collapsed="false">
      <c r="A49" s="41" t="str">
        <f aca="false">_xlfn.CONCAT($A$1, ".", CALC!A50)</f>
        <v>LSD.RID.0.AL.LFP.46</v>
      </c>
      <c r="B49" s="54" t="str">
        <f aca="false">_xlfn.CONCAT(CALC!B50, ": ", CALC!C50)</f>
        <v>Waste Management Services: Worker</v>
      </c>
      <c r="C49" s="26" t="n">
        <f aca="false">CALC!D50</f>
        <v>0</v>
      </c>
      <c r="D49" s="26" t="n">
        <f aca="false">CALC!E50</f>
        <v>0</v>
      </c>
      <c r="E49" s="26" t="n">
        <f aca="false">CALC!F50</f>
        <v>0</v>
      </c>
      <c r="F49" s="26" t="n">
        <f aca="false">CALC!G50</f>
        <v>0</v>
      </c>
      <c r="AZ49" s="26"/>
      <c r="BA49" s="26"/>
      <c r="BB49" s="26"/>
      <c r="BC49" s="26"/>
      <c r="BP49" s="26"/>
    </row>
    <row r="50" customFormat="false" ht="12.8" hidden="false" customHeight="false" outlineLevel="0" collapsed="false">
      <c r="A50" s="41" t="str">
        <f aca="false">_xlfn.CONCAT($A$1, ".", CALC!A51)</f>
        <v>LSD.RID.0.AL.LFP.47</v>
      </c>
      <c r="B50" s="54" t="str">
        <f aca="false">_xlfn.CONCAT(CALC!B51, ": ", CALC!C51)</f>
        <v>Arts, Entertainment, and Recreation: Support</v>
      </c>
      <c r="C50" s="26" t="n">
        <f aca="false">CALC!D51</f>
        <v>0</v>
      </c>
      <c r="D50" s="26" t="n">
        <f aca="false">CALC!E51</f>
        <v>0</v>
      </c>
      <c r="E50" s="26" t="n">
        <f aca="false">CALC!F51</f>
        <v>0</v>
      </c>
      <c r="F50" s="26" t="n">
        <f aca="false">CALC!G51</f>
        <v>0</v>
      </c>
      <c r="AZ50" s="26"/>
      <c r="BA50" s="26"/>
      <c r="BB50" s="26"/>
      <c r="BC50" s="26"/>
      <c r="BP50" s="26"/>
    </row>
    <row r="51" customFormat="false" ht="12.8" hidden="false" customHeight="false" outlineLevel="0" collapsed="false">
      <c r="A51" s="41" t="str">
        <f aca="false">_xlfn.CONCAT($A$1, ".", CALC!A52)</f>
        <v>LSD.RID.0.AL.LFP.48</v>
      </c>
      <c r="B51" s="54" t="str">
        <f aca="false">_xlfn.CONCAT(CALC!B52, ": ", CALC!C52)</f>
        <v>Arts, Entertainment, and Recreation: Worker</v>
      </c>
      <c r="C51" s="26" t="n">
        <f aca="false">CALC!D52</f>
        <v>0</v>
      </c>
      <c r="D51" s="26" t="n">
        <f aca="false">CALC!E52</f>
        <v>0</v>
      </c>
      <c r="E51" s="26" t="n">
        <f aca="false">CALC!F52</f>
        <v>0</v>
      </c>
      <c r="F51" s="26" t="n">
        <f aca="false">CALC!G52</f>
        <v>0</v>
      </c>
      <c r="AZ51" s="26"/>
      <c r="BA51" s="26"/>
      <c r="BB51" s="26"/>
      <c r="BC51" s="26"/>
      <c r="BP51" s="26"/>
    </row>
    <row r="52" customFormat="false" ht="12.8" hidden="false" customHeight="false" outlineLevel="0" collapsed="false">
      <c r="A52" s="41" t="str">
        <f aca="false">_xlfn.CONCAT($A$1, ".", CALC!A53)</f>
        <v>LSD.RID.0.AL.LFP.49</v>
      </c>
      <c r="B52" s="54" t="str">
        <f aca="false">_xlfn.CONCAT(CALC!B53, ": ", CALC!C53)</f>
        <v>Accommodation and Food Services: Support</v>
      </c>
      <c r="C52" s="26" t="n">
        <f aca="false">CALC!D53</f>
        <v>0</v>
      </c>
      <c r="D52" s="26" t="n">
        <f aca="false">CALC!E53</f>
        <v>0</v>
      </c>
      <c r="E52" s="26" t="n">
        <f aca="false">CALC!F53</f>
        <v>0</v>
      </c>
      <c r="F52" s="26" t="n">
        <f aca="false">CALC!G53</f>
        <v>0</v>
      </c>
      <c r="AZ52" s="26"/>
      <c r="BA52" s="26"/>
      <c r="BB52" s="26"/>
      <c r="BC52" s="26"/>
      <c r="BP52" s="26"/>
    </row>
    <row r="53" customFormat="false" ht="12.8" hidden="false" customHeight="false" outlineLevel="0" collapsed="false">
      <c r="A53" s="41" t="str">
        <f aca="false">_xlfn.CONCAT($A$1, ".", CALC!A54)</f>
        <v>LSD.RID.0.AL.LFP.50</v>
      </c>
      <c r="B53" s="54" t="str">
        <f aca="false">_xlfn.CONCAT(CALC!B54, ": ", CALC!C54)</f>
        <v>Accommodation and Food Services: Worker</v>
      </c>
      <c r="C53" s="26" t="n">
        <f aca="false">CALC!D54</f>
        <v>0</v>
      </c>
      <c r="D53" s="26" t="n">
        <f aca="false">CALC!E54</f>
        <v>0</v>
      </c>
      <c r="E53" s="26" t="n">
        <f aca="false">CALC!F54</f>
        <v>0</v>
      </c>
      <c r="F53" s="26" t="n">
        <f aca="false">CALC!G54</f>
        <v>0</v>
      </c>
      <c r="AZ53" s="26"/>
      <c r="BA53" s="26"/>
      <c r="BB53" s="26"/>
      <c r="BC53" s="26"/>
      <c r="BP53" s="26"/>
    </row>
    <row r="54" customFormat="false" ht="12.8" hidden="false" customHeight="false" outlineLevel="0" collapsed="false">
      <c r="A54" s="41" t="str">
        <f aca="false">_xlfn.CONCAT($A$1, ".", CALC!A55)</f>
        <v>LSD.RID.0.AL.LFP.51</v>
      </c>
      <c r="B54" s="54" t="str">
        <f aca="false">_xlfn.CONCAT(CALC!B55, ": ", CALC!C55)</f>
        <v>Public Administration: Support</v>
      </c>
      <c r="C54" s="26" t="n">
        <f aca="false">CALC!D55</f>
        <v>0</v>
      </c>
      <c r="D54" s="26" t="n">
        <f aca="false">CALC!E55</f>
        <v>0</v>
      </c>
      <c r="E54" s="26" t="n">
        <f aca="false">CALC!F55</f>
        <v>0</v>
      </c>
      <c r="F54" s="26" t="n">
        <f aca="false">CALC!G55</f>
        <v>0</v>
      </c>
      <c r="AZ54" s="26"/>
      <c r="BA54" s="26"/>
      <c r="BB54" s="26"/>
      <c r="BC54" s="26"/>
    </row>
    <row r="55" customFormat="false" ht="12.8" hidden="false" customHeight="false" outlineLevel="0" collapsed="false">
      <c r="A55" s="41" t="str">
        <f aca="false">_xlfn.CONCAT($A$1, ".", CALC!A56)</f>
        <v>LSD.RID.0.AL.LFP.52</v>
      </c>
      <c r="B55" s="54" t="str">
        <f aca="false">_xlfn.CONCAT(CALC!B56, ": ", CALC!C56)</f>
        <v>Public Administration: Worker</v>
      </c>
      <c r="C55" s="26" t="n">
        <f aca="false">CALC!D56</f>
        <v>0</v>
      </c>
      <c r="D55" s="26" t="n">
        <f aca="false">CALC!E56</f>
        <v>0</v>
      </c>
      <c r="E55" s="26" t="n">
        <f aca="false">CALC!F56</f>
        <v>0</v>
      </c>
      <c r="F55" s="26" t="n">
        <f aca="false">CALC!G56</f>
        <v>0</v>
      </c>
      <c r="AZ55" s="26"/>
      <c r="BA55" s="26"/>
      <c r="BB55" s="26"/>
      <c r="BC55" s="26"/>
    </row>
    <row r="56" customFormat="false" ht="12.8" hidden="false" customHeight="false" outlineLevel="0" collapsed="false">
      <c r="B56" s="55"/>
      <c r="AZ56" s="26"/>
      <c r="BA56" s="26"/>
      <c r="BB56" s="26"/>
      <c r="BC56" s="26"/>
    </row>
    <row r="57" customFormat="false" ht="12.8" hidden="false" customHeight="false" outlineLevel="1" collapsed="false">
      <c r="C57" s="56"/>
      <c r="D57" s="56"/>
      <c r="E57" s="56"/>
      <c r="F57" s="56"/>
    </row>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2" customFormat="false" ht="12.8" hidden="false" customHeight="false" outlineLevel="1" collapsed="false"/>
    <row r="153"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AF46"/>
    <pageSetUpPr fitToPage="false"/>
  </sheetPr>
  <dimension ref="A1:BP245"/>
  <sheetViews>
    <sheetView showFormulas="false" showGridLines="true" showRowColHeaders="true" showZeros="true" rightToLeft="false" tabSelected="false" showOutlineSymbols="true" defaultGridColor="true" view="normal" topLeftCell="A93" colorId="64" zoomScale="65" zoomScaleNormal="65" zoomScalePageLayoutView="100" workbookViewId="0">
      <selection pane="topLeft" activeCell="B2" activeCellId="0" sqref="B2"/>
    </sheetView>
  </sheetViews>
  <sheetFormatPr defaultColWidth="11.53515625" defaultRowHeight="12.8" customHeight="false" zeroHeight="false" outlineLevelRow="1" outlineLevelCol="0"/>
  <cols>
    <col collapsed="false" customWidth="false" hidden="false" outlineLevel="0" max="1" min="1" style="41" width="11.54"/>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 t="s">
        <v>2142</v>
      </c>
      <c r="B1" s="30" t="s">
        <v>2143</v>
      </c>
      <c r="C1" s="6" t="s">
        <v>2</v>
      </c>
      <c r="D1" s="51" t="s">
        <v>2144</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row>
    <row r="2" customFormat="false" ht="45.9" hidden="false" customHeight="false" outlineLevel="0" collapsed="false">
      <c r="A2" s="52" t="s">
        <v>2140</v>
      </c>
      <c r="B2" s="47" t="s">
        <v>2141</v>
      </c>
      <c r="C2" s="47" t="str">
        <f aca="false">CALC!H3</f>
        <v>Employment-to-Population Ratio</v>
      </c>
      <c r="D2" s="47" t="str">
        <f aca="false">CALC!I3</f>
        <v>Authorized Immigrant Employment-to-Population Ratio</v>
      </c>
      <c r="E2" s="47" t="str">
        <f aca="false">CALC!J3</f>
        <v>Unauthorized Immigrant Employment-to-Population Ratio</v>
      </c>
      <c r="F2" s="47" t="str">
        <f aca="false">CALC!K3</f>
        <v>American Employment-to-Population Ratio</v>
      </c>
    </row>
    <row r="3" customFormat="false" ht="12.8" hidden="false" customHeight="false" outlineLevel="0" collapsed="false">
      <c r="A3" s="4" t="str">
        <f aca="false">_xlfn.CONCAT($A$1, ".", CALC!A4)</f>
        <v>LSD.RID.0.AL.ETPR.0</v>
      </c>
      <c r="B3" s="29" t="str">
        <f aca="false">_xlfn.CONCAT(CALC!B4, ":", CALC!C4)</f>
        <v>All Industries:All Roles</v>
      </c>
      <c r="C3" s="47" t="n">
        <f aca="false">CALC!H4</f>
        <v>0</v>
      </c>
      <c r="D3" s="47" t="n">
        <f aca="false">CALC!I4</f>
        <v>0</v>
      </c>
      <c r="E3" s="47" t="n">
        <f aca="false">CALC!J4</f>
        <v>0</v>
      </c>
      <c r="F3" s="47" t="n">
        <f aca="false">CALC!K4</f>
        <v>0</v>
      </c>
    </row>
    <row r="4" customFormat="false" ht="12.8" hidden="false" customHeight="false" outlineLevel="0" collapsed="false">
      <c r="A4" s="41" t="str">
        <f aca="false">_xlfn.CONCAT($A$1, ".", CALC!A5)</f>
        <v>LSD.RID.0.AL.ETPR.1</v>
      </c>
      <c r="B4" s="54" t="str">
        <f aca="false">_xlfn.CONCAT(CALC!B5, ": ", CALC!C5)</f>
        <v>Agriculture: Support</v>
      </c>
      <c r="C4" s="53" t="n">
        <f aca="false">CALC!H5</f>
        <v>0</v>
      </c>
      <c r="D4" s="53" t="n">
        <f aca="false">CALC!I5</f>
        <v>0</v>
      </c>
      <c r="E4" s="53" t="n">
        <f aca="false">CALC!J5</f>
        <v>0</v>
      </c>
      <c r="F4" s="53" t="n">
        <f aca="false">CALC!K5</f>
        <v>0</v>
      </c>
    </row>
    <row r="5" customFormat="false" ht="12.8" hidden="false" customHeight="false" outlineLevel="0" collapsed="false">
      <c r="A5" s="41" t="str">
        <f aca="false">_xlfn.CONCAT($A$1, ".", CALC!A6)</f>
        <v>LSD.RID.0.AL.ETPR.2</v>
      </c>
      <c r="B5" s="54" t="str">
        <f aca="false">_xlfn.CONCAT(CALC!B6, ": ", CALC!C6)</f>
        <v>Agriculture: Worker</v>
      </c>
      <c r="C5" s="53" t="n">
        <f aca="false">CALC!H6</f>
        <v>0</v>
      </c>
      <c r="D5" s="53" t="n">
        <f aca="false">CALC!I6</f>
        <v>0</v>
      </c>
      <c r="E5" s="53" t="n">
        <f aca="false">CALC!J6</f>
        <v>0</v>
      </c>
      <c r="F5" s="53" t="n">
        <f aca="false">CALC!K6</f>
        <v>0</v>
      </c>
    </row>
    <row r="6" customFormat="false" ht="12.8" hidden="false" customHeight="false" outlineLevel="0" collapsed="false">
      <c r="A6" s="41" t="str">
        <f aca="false">_xlfn.CONCAT($A$1, ".", CALC!A7)</f>
        <v>LSD.RID.0.AL.ETPR.3</v>
      </c>
      <c r="B6" s="54" t="str">
        <f aca="false">_xlfn.CONCAT(CALC!B7, ": ", CALC!C7)</f>
        <v>Construction: Support</v>
      </c>
      <c r="C6" s="53" t="n">
        <f aca="false">CALC!H7</f>
        <v>0</v>
      </c>
      <c r="D6" s="53" t="n">
        <f aca="false">CALC!I7</f>
        <v>0</v>
      </c>
      <c r="E6" s="53" t="n">
        <f aca="false">CALC!J7</f>
        <v>0</v>
      </c>
      <c r="F6" s="53" t="n">
        <f aca="false">CALC!K7</f>
        <v>0</v>
      </c>
    </row>
    <row r="7" customFormat="false" ht="12.8" hidden="false" customHeight="false" outlineLevel="0" collapsed="false">
      <c r="A7" s="41" t="str">
        <f aca="false">_xlfn.CONCAT($A$1, ".", CALC!A8)</f>
        <v>LSD.RID.0.AL.ETPR.4</v>
      </c>
      <c r="B7" s="54" t="str">
        <f aca="false">_xlfn.CONCAT(CALC!B8, ": ", CALC!C8)</f>
        <v>Construction: Worker</v>
      </c>
      <c r="C7" s="53" t="n">
        <f aca="false">CALC!H8</f>
        <v>0</v>
      </c>
      <c r="D7" s="53" t="n">
        <f aca="false">CALC!I8</f>
        <v>0</v>
      </c>
      <c r="E7" s="53" t="n">
        <f aca="false">CALC!J8</f>
        <v>0</v>
      </c>
      <c r="F7" s="53" t="n">
        <f aca="false">CALC!K8</f>
        <v>0</v>
      </c>
    </row>
    <row r="8" customFormat="false" ht="12.8" hidden="false" customHeight="false" outlineLevel="0" collapsed="false">
      <c r="A8" s="41" t="str">
        <f aca="false">_xlfn.CONCAT($A$1, ".", CALC!A9)</f>
        <v>LSD.RID.0.AL.ETPR.5</v>
      </c>
      <c r="B8" s="54" t="str">
        <f aca="false">_xlfn.CONCAT(CALC!B9, ": ", CALC!C9)</f>
        <v>Hospitality: Support</v>
      </c>
      <c r="C8" s="53" t="n">
        <f aca="false">CALC!H9</f>
        <v>0</v>
      </c>
      <c r="D8" s="53" t="n">
        <f aca="false">CALC!I9</f>
        <v>0</v>
      </c>
      <c r="E8" s="53" t="n">
        <f aca="false">CALC!J9</f>
        <v>0</v>
      </c>
      <c r="F8" s="53" t="n">
        <f aca="false">CALC!K9</f>
        <v>0</v>
      </c>
    </row>
    <row r="9" customFormat="false" ht="12.8" hidden="false" customHeight="false" outlineLevel="0" collapsed="false">
      <c r="A9" s="41" t="str">
        <f aca="false">_xlfn.CONCAT($A$1, ".", CALC!A10)</f>
        <v>LSD.RID.0.AL.ETPR.6</v>
      </c>
      <c r="B9" s="54" t="str">
        <f aca="false">_xlfn.CONCAT(CALC!B10, ": ", CALC!C10)</f>
        <v>Hospitality: Worker</v>
      </c>
      <c r="C9" s="53" t="n">
        <f aca="false">CALC!H10</f>
        <v>0</v>
      </c>
      <c r="D9" s="53" t="n">
        <f aca="false">CALC!I10</f>
        <v>0</v>
      </c>
      <c r="E9" s="53" t="n">
        <f aca="false">CALC!J10</f>
        <v>0</v>
      </c>
      <c r="F9" s="53" t="n">
        <f aca="false">CALC!K10</f>
        <v>0</v>
      </c>
    </row>
    <row r="10" customFormat="false" ht="12.8" hidden="false" customHeight="false" outlineLevel="0" collapsed="false">
      <c r="A10" s="41" t="str">
        <f aca="false">_xlfn.CONCAT($A$1, ".", CALC!A11)</f>
        <v>LSD.RID.0.AL.ETPR.7</v>
      </c>
      <c r="B10" s="54" t="str">
        <f aca="false">_xlfn.CONCAT(CALC!B11, ": ", CALC!C11)</f>
        <v>Cleaning &amp; Maintenance: Support</v>
      </c>
      <c r="C10" s="53" t="n">
        <f aca="false">CALC!H11</f>
        <v>0</v>
      </c>
      <c r="D10" s="53" t="n">
        <f aca="false">CALC!I11</f>
        <v>0</v>
      </c>
      <c r="E10" s="53" t="n">
        <f aca="false">CALC!J11</f>
        <v>0</v>
      </c>
      <c r="F10" s="53" t="n">
        <f aca="false">CALC!K11</f>
        <v>0</v>
      </c>
    </row>
    <row r="11" customFormat="false" ht="12.8" hidden="false" customHeight="false" outlineLevel="0" collapsed="false">
      <c r="A11" s="41" t="str">
        <f aca="false">_xlfn.CONCAT($A$1, ".", CALC!A12)</f>
        <v>LSD.RID.0.AL.ETPR.8</v>
      </c>
      <c r="B11" s="54" t="str">
        <f aca="false">_xlfn.CONCAT(CALC!B12, ": ", CALC!C12)</f>
        <v>Cleaning &amp; Maintenance: Worker</v>
      </c>
      <c r="C11" s="53" t="n">
        <f aca="false">CALC!H12</f>
        <v>0</v>
      </c>
      <c r="D11" s="53" t="n">
        <f aca="false">CALC!I12</f>
        <v>0</v>
      </c>
      <c r="E11" s="53" t="n">
        <f aca="false">CALC!J12</f>
        <v>0</v>
      </c>
      <c r="F11" s="53" t="n">
        <f aca="false">CALC!K12</f>
        <v>0</v>
      </c>
    </row>
    <row r="12" customFormat="false" ht="12.8" hidden="false" customHeight="false" outlineLevel="0" collapsed="false">
      <c r="A12" s="41" t="str">
        <f aca="false">_xlfn.CONCAT($A$1, ".", CALC!A13)</f>
        <v>LSD.RID.0.AL.ETPR.9</v>
      </c>
      <c r="B12" s="54" t="str">
        <f aca="false">_xlfn.CONCAT(CALC!B13, ": ", CALC!C13)</f>
        <v>Manufacturing: Support</v>
      </c>
      <c r="C12" s="53" t="n">
        <f aca="false">CALC!H13</f>
        <v>0</v>
      </c>
      <c r="D12" s="53" t="n">
        <f aca="false">CALC!I13</f>
        <v>0</v>
      </c>
      <c r="E12" s="53" t="n">
        <f aca="false">CALC!J13</f>
        <v>0</v>
      </c>
      <c r="F12" s="53" t="n">
        <f aca="false">CALC!K13</f>
        <v>0</v>
      </c>
    </row>
    <row r="13" customFormat="false" ht="12.8" hidden="false" customHeight="false" outlineLevel="0" collapsed="false">
      <c r="A13" s="41" t="str">
        <f aca="false">_xlfn.CONCAT($A$1, ".", CALC!A14)</f>
        <v>LSD.RID.0.AL.ETPR.10</v>
      </c>
      <c r="B13" s="54" t="str">
        <f aca="false">_xlfn.CONCAT(CALC!B14, ": ", CALC!C14)</f>
        <v>Manufacturing: Worker</v>
      </c>
      <c r="C13" s="53" t="n">
        <f aca="false">CALC!H14</f>
        <v>0</v>
      </c>
      <c r="D13" s="53" t="n">
        <f aca="false">CALC!I14</f>
        <v>0</v>
      </c>
      <c r="E13" s="53" t="n">
        <f aca="false">CALC!J14</f>
        <v>0</v>
      </c>
      <c r="F13" s="53" t="n">
        <f aca="false">CALC!K14</f>
        <v>0</v>
      </c>
    </row>
    <row r="14" customFormat="false" ht="12.8" hidden="false" customHeight="false" outlineLevel="0" collapsed="false">
      <c r="A14" s="41" t="str">
        <f aca="false">_xlfn.CONCAT($A$1, ".", CALC!A15)</f>
        <v>LSD.RID.0.AL.ETPR.11</v>
      </c>
      <c r="B14" s="54" t="str">
        <f aca="false">_xlfn.CONCAT(CALC!B15, ": ", CALC!C15)</f>
        <v>Transportation &amp; Warehousing: Support</v>
      </c>
      <c r="C14" s="53" t="n">
        <f aca="false">CALC!H15</f>
        <v>0</v>
      </c>
      <c r="D14" s="53" t="n">
        <f aca="false">CALC!I15</f>
        <v>0</v>
      </c>
      <c r="E14" s="53" t="n">
        <f aca="false">CALC!J15</f>
        <v>0</v>
      </c>
      <c r="F14" s="53" t="n">
        <f aca="false">CALC!K15</f>
        <v>0</v>
      </c>
    </row>
    <row r="15" customFormat="false" ht="12.8" hidden="false" customHeight="false" outlineLevel="0" collapsed="false">
      <c r="A15" s="41" t="str">
        <f aca="false">_xlfn.CONCAT($A$1, ".", CALC!A16)</f>
        <v>LSD.RID.0.AL.ETPR.12</v>
      </c>
      <c r="B15" s="54" t="str">
        <f aca="false">_xlfn.CONCAT(CALC!B16, ": ", CALC!C16)</f>
        <v>Transportation &amp; Warehousing: Worker</v>
      </c>
      <c r="C15" s="53" t="n">
        <f aca="false">CALC!H16</f>
        <v>0</v>
      </c>
      <c r="D15" s="53" t="n">
        <f aca="false">CALC!I16</f>
        <v>0</v>
      </c>
      <c r="E15" s="53" t="n">
        <f aca="false">CALC!J16</f>
        <v>0</v>
      </c>
      <c r="F15" s="53" t="n">
        <f aca="false">CALC!K16</f>
        <v>0</v>
      </c>
    </row>
    <row r="16" customFormat="false" ht="12.8" hidden="false" customHeight="false" outlineLevel="0" collapsed="false">
      <c r="A16" s="41" t="str">
        <f aca="false">_xlfn.CONCAT($A$1, ".", CALC!A17)</f>
        <v>LSD.RID.0.AL.ETPR.13</v>
      </c>
      <c r="B16" s="54" t="str">
        <f aca="false">_xlfn.CONCAT(CALC!B17, ": ", CALC!C17)</f>
        <v>Retail Trade: Support</v>
      </c>
      <c r="C16" s="53" t="n">
        <f aca="false">CALC!H17</f>
        <v>0</v>
      </c>
      <c r="D16" s="53" t="n">
        <f aca="false">CALC!I17</f>
        <v>0</v>
      </c>
      <c r="E16" s="53" t="n">
        <f aca="false">CALC!J17</f>
        <v>0</v>
      </c>
      <c r="F16" s="53" t="n">
        <f aca="false">CALC!K17</f>
        <v>0</v>
      </c>
    </row>
    <row r="17" customFormat="false" ht="12.8" hidden="false" customHeight="false" outlineLevel="0" collapsed="false">
      <c r="A17" s="41" t="str">
        <f aca="false">_xlfn.CONCAT($A$1, ".", CALC!A18)</f>
        <v>LSD.RID.0.AL.ETPR.14</v>
      </c>
      <c r="B17" s="54" t="str">
        <f aca="false">_xlfn.CONCAT(CALC!B18, ": ", CALC!C18)</f>
        <v>Retail Trade: Worker</v>
      </c>
      <c r="C17" s="53" t="n">
        <f aca="false">CALC!H18</f>
        <v>0</v>
      </c>
      <c r="D17" s="53" t="n">
        <f aca="false">CALC!I18</f>
        <v>0</v>
      </c>
      <c r="E17" s="53" t="n">
        <f aca="false">CALC!J18</f>
        <v>0</v>
      </c>
      <c r="F17" s="53" t="n">
        <f aca="false">CALC!K18</f>
        <v>0</v>
      </c>
    </row>
    <row r="18" customFormat="false" ht="12.8" hidden="false" customHeight="false" outlineLevel="0" collapsed="false">
      <c r="A18" s="41" t="str">
        <f aca="false">_xlfn.CONCAT($A$1, ".", CALC!A19)</f>
        <v>LSD.RID.0.AL.ETPR.15</v>
      </c>
      <c r="B18" s="54" t="str">
        <f aca="false">_xlfn.CONCAT(CALC!B19, ": ", CALC!C19)</f>
        <v>Landscaping / Groundskeeping: Support</v>
      </c>
      <c r="C18" s="53" t="n">
        <f aca="false">CALC!H19</f>
        <v>0</v>
      </c>
      <c r="D18" s="53" t="n">
        <f aca="false">CALC!I19</f>
        <v>0</v>
      </c>
      <c r="E18" s="53" t="n">
        <f aca="false">CALC!J19</f>
        <v>0</v>
      </c>
      <c r="F18" s="53" t="n">
        <f aca="false">CALC!K19</f>
        <v>0</v>
      </c>
    </row>
    <row r="19" customFormat="false" ht="12.8" hidden="false" customHeight="false" outlineLevel="0" collapsed="false">
      <c r="A19" s="41" t="str">
        <f aca="false">_xlfn.CONCAT($A$1, ".", CALC!A20)</f>
        <v>LSD.RID.0.AL.ETPR.16</v>
      </c>
      <c r="B19" s="54" t="str">
        <f aca="false">_xlfn.CONCAT(CALC!B20, ": ", CALC!C20)</f>
        <v>Landscaping / Groundskeeping: Worker</v>
      </c>
      <c r="C19" s="53" t="n">
        <f aca="false">CALC!H20</f>
        <v>0</v>
      </c>
      <c r="D19" s="53" t="n">
        <f aca="false">CALC!I20</f>
        <v>0</v>
      </c>
      <c r="E19" s="53" t="n">
        <f aca="false">CALC!J20</f>
        <v>0</v>
      </c>
      <c r="F19" s="53" t="n">
        <f aca="false">CALC!K20</f>
        <v>0</v>
      </c>
    </row>
    <row r="20" customFormat="false" ht="12.8" hidden="false" customHeight="false" outlineLevel="0" collapsed="false">
      <c r="A20" s="41" t="str">
        <f aca="false">_xlfn.CONCAT($A$1, ".", CALC!A21)</f>
        <v>LSD.RID.0.AL.ETPR.17</v>
      </c>
      <c r="B20" s="54" t="str">
        <f aca="false">_xlfn.CONCAT(CALC!B21, ": ", CALC!C21)</f>
        <v>Automotive &amp; Repair: Support</v>
      </c>
      <c r="C20" s="53" t="n">
        <f aca="false">CALC!H21</f>
        <v>0</v>
      </c>
      <c r="D20" s="53" t="n">
        <f aca="false">CALC!I21</f>
        <v>0</v>
      </c>
      <c r="E20" s="53" t="n">
        <f aca="false">CALC!J21</f>
        <v>0</v>
      </c>
      <c r="F20" s="53" t="n">
        <f aca="false">CALC!K21</f>
        <v>0</v>
      </c>
    </row>
    <row r="21" customFormat="false" ht="12.8" hidden="false" customHeight="false" outlineLevel="0" collapsed="false">
      <c r="A21" s="41" t="str">
        <f aca="false">_xlfn.CONCAT($A$1, ".", CALC!A22)</f>
        <v>LSD.RID.0.AL.ETPR.18</v>
      </c>
      <c r="B21" s="54" t="str">
        <f aca="false">_xlfn.CONCAT(CALC!B22, ": ", CALC!C22)</f>
        <v>Automotive &amp; Repair: Worker</v>
      </c>
      <c r="C21" s="53" t="n">
        <f aca="false">CALC!H22</f>
        <v>0</v>
      </c>
      <c r="D21" s="53" t="n">
        <f aca="false">CALC!I22</f>
        <v>0</v>
      </c>
      <c r="E21" s="53" t="n">
        <f aca="false">CALC!J22</f>
        <v>0</v>
      </c>
      <c r="F21" s="53" t="n">
        <f aca="false">CALC!K22</f>
        <v>0</v>
      </c>
    </row>
    <row r="22" customFormat="false" ht="12.8" hidden="false" customHeight="false" outlineLevel="0" collapsed="false">
      <c r="A22" s="41" t="str">
        <f aca="false">_xlfn.CONCAT($A$1, ".", CALC!A23)</f>
        <v>LSD.RID.0.AL.ETPR.19</v>
      </c>
      <c r="B22" s="54" t="str">
        <f aca="false">_xlfn.CONCAT(CALC!B23, ": ", CALC!C23)</f>
        <v>Healthcare &amp; Social Assistance: Support</v>
      </c>
      <c r="C22" s="53" t="n">
        <f aca="false">CALC!H23</f>
        <v>0</v>
      </c>
      <c r="D22" s="53" t="n">
        <f aca="false">CALC!I23</f>
        <v>0</v>
      </c>
      <c r="E22" s="53" t="n">
        <f aca="false">CALC!J23</f>
        <v>0</v>
      </c>
      <c r="F22" s="53" t="n">
        <f aca="false">CALC!K23</f>
        <v>0</v>
      </c>
    </row>
    <row r="23" customFormat="false" ht="12.8" hidden="false" customHeight="false" outlineLevel="0" collapsed="false">
      <c r="A23" s="41" t="str">
        <f aca="false">_xlfn.CONCAT($A$1, ".", CALC!A24)</f>
        <v>LSD.RID.0.AL.ETPR.20</v>
      </c>
      <c r="B23" s="54" t="str">
        <f aca="false">_xlfn.CONCAT(CALC!B24, ": ", CALC!C24)</f>
        <v>Healthcare &amp; Social Assistance: Worker</v>
      </c>
      <c r="C23" s="53" t="n">
        <f aca="false">CALC!H24</f>
        <v>0</v>
      </c>
      <c r="D23" s="53" t="n">
        <f aca="false">CALC!I24</f>
        <v>0</v>
      </c>
      <c r="E23" s="53" t="n">
        <f aca="false">CALC!J24</f>
        <v>0</v>
      </c>
      <c r="F23" s="53" t="n">
        <f aca="false">CALC!K24</f>
        <v>0</v>
      </c>
    </row>
    <row r="24" customFormat="false" ht="12.8" hidden="false" customHeight="false" outlineLevel="0" collapsed="false">
      <c r="A24" s="41" t="str">
        <f aca="false">_xlfn.CONCAT($A$1, ".", CALC!A25)</f>
        <v>LSD.RID.0.AL.ETPR.21</v>
      </c>
      <c r="B24" s="54" t="str">
        <f aca="false">_xlfn.CONCAT(CALC!B25, ": ", CALC!C25)</f>
        <v>Professional Services: Support</v>
      </c>
      <c r="C24" s="53" t="n">
        <f aca="false">CALC!H25</f>
        <v>0</v>
      </c>
      <c r="D24" s="53" t="n">
        <f aca="false">CALC!I25</f>
        <v>0</v>
      </c>
      <c r="E24" s="53" t="n">
        <f aca="false">CALC!J25</f>
        <v>0</v>
      </c>
      <c r="F24" s="53" t="n">
        <f aca="false">CALC!K25</f>
        <v>0</v>
      </c>
    </row>
    <row r="25" customFormat="false" ht="12.8" hidden="false" customHeight="false" outlineLevel="0" collapsed="false">
      <c r="A25" s="41" t="str">
        <f aca="false">_xlfn.CONCAT($A$1, ".", CALC!A26)</f>
        <v>LSD.RID.0.AL.ETPR.22</v>
      </c>
      <c r="B25" s="54" t="str">
        <f aca="false">_xlfn.CONCAT(CALC!B26, ": ", CALC!C26)</f>
        <v>Professional Services: Worker</v>
      </c>
      <c r="C25" s="53" t="n">
        <f aca="false">CALC!H26</f>
        <v>0</v>
      </c>
      <c r="D25" s="53" t="n">
        <f aca="false">CALC!I26</f>
        <v>0</v>
      </c>
      <c r="E25" s="53" t="n">
        <f aca="false">CALC!J26</f>
        <v>0</v>
      </c>
      <c r="F25" s="53" t="n">
        <f aca="false">CALC!K26</f>
        <v>0</v>
      </c>
    </row>
    <row r="26" customFormat="false" ht="12.8" hidden="false" customHeight="false" outlineLevel="0" collapsed="false">
      <c r="A26" s="41" t="str">
        <f aca="false">_xlfn.CONCAT($A$1, ".", CALC!A27)</f>
        <v>LSD.RID.0.AL.ETPR.23</v>
      </c>
      <c r="B26" s="54" t="str">
        <f aca="false">_xlfn.CONCAT(CALC!B27, ": ", CALC!C27)</f>
        <v>Educational Services: Support</v>
      </c>
      <c r="C26" s="53" t="n">
        <f aca="false">CALC!H27</f>
        <v>0</v>
      </c>
      <c r="D26" s="53" t="n">
        <f aca="false">CALC!I27</f>
        <v>0</v>
      </c>
      <c r="E26" s="53" t="n">
        <f aca="false">CALC!J27</f>
        <v>0</v>
      </c>
      <c r="F26" s="53" t="n">
        <f aca="false">CALC!K27</f>
        <v>0</v>
      </c>
    </row>
    <row r="27" customFormat="false" ht="12.8" hidden="false" customHeight="false" outlineLevel="0" collapsed="false">
      <c r="A27" s="41" t="str">
        <f aca="false">_xlfn.CONCAT($A$1, ".", CALC!A28)</f>
        <v>LSD.RID.0.AL.ETPR.24</v>
      </c>
      <c r="B27" s="54" t="str">
        <f aca="false">_xlfn.CONCAT(CALC!B28, ": ", CALC!C28)</f>
        <v>Educational Services: Worker</v>
      </c>
      <c r="C27" s="53" t="n">
        <f aca="false">CALC!H28</f>
        <v>0</v>
      </c>
      <c r="D27" s="53" t="n">
        <f aca="false">CALC!I28</f>
        <v>0</v>
      </c>
      <c r="E27" s="53" t="n">
        <f aca="false">CALC!J28</f>
        <v>0</v>
      </c>
      <c r="F27" s="53" t="n">
        <f aca="false">CALC!K28</f>
        <v>0</v>
      </c>
    </row>
    <row r="28" customFormat="false" ht="12.8" hidden="false" customHeight="false" outlineLevel="0" collapsed="false">
      <c r="A28" s="41" t="str">
        <f aca="false">_xlfn.CONCAT($A$1, ".", CALC!A29)</f>
        <v>LSD.RID.0.AL.ETPR.25</v>
      </c>
      <c r="B28" s="54" t="str">
        <f aca="false">_xlfn.CONCAT(CALC!B29, ": ", CALC!C29)</f>
        <v>Finance &amp; Insurance: Support</v>
      </c>
      <c r="C28" s="53" t="n">
        <f aca="false">CALC!H29</f>
        <v>0</v>
      </c>
      <c r="D28" s="53" t="n">
        <f aca="false">CALC!I29</f>
        <v>0</v>
      </c>
      <c r="E28" s="53" t="n">
        <f aca="false">CALC!J29</f>
        <v>0</v>
      </c>
      <c r="F28" s="53" t="n">
        <f aca="false">CALC!K29</f>
        <v>0</v>
      </c>
    </row>
    <row r="29" customFormat="false" ht="12.8" hidden="false" customHeight="false" outlineLevel="0" collapsed="false">
      <c r="A29" s="41" t="str">
        <f aca="false">_xlfn.CONCAT($A$1, ".", CALC!A30)</f>
        <v>LSD.RID.0.AL.ETPR.26</v>
      </c>
      <c r="B29" s="54" t="str">
        <f aca="false">_xlfn.CONCAT(CALC!B30, ": ", CALC!C30)</f>
        <v>Finance &amp; Insurance: Worker</v>
      </c>
      <c r="C29" s="53" t="n">
        <f aca="false">CALC!H30</f>
        <v>0</v>
      </c>
      <c r="D29" s="53" t="n">
        <f aca="false">CALC!I30</f>
        <v>0</v>
      </c>
      <c r="E29" s="53" t="n">
        <f aca="false">CALC!J30</f>
        <v>0</v>
      </c>
      <c r="F29" s="53" t="n">
        <f aca="false">CALC!K30</f>
        <v>0</v>
      </c>
    </row>
    <row r="30" customFormat="false" ht="12.8" hidden="false" customHeight="false" outlineLevel="0" collapsed="false">
      <c r="A30" s="41" t="str">
        <f aca="false">_xlfn.CONCAT($A$1, ".", CALC!A31)</f>
        <v>LSD.RID.0.AL.ETPR.27</v>
      </c>
      <c r="B30" s="54" t="str">
        <f aca="false">_xlfn.CONCAT(CALC!B31, ": ", CALC!C31)</f>
        <v>Media and Information Technology: Support</v>
      </c>
      <c r="C30" s="53" t="n">
        <f aca="false">CALC!H31</f>
        <v>0</v>
      </c>
      <c r="D30" s="53" t="n">
        <f aca="false">CALC!I31</f>
        <v>0</v>
      </c>
      <c r="E30" s="53" t="n">
        <f aca="false">CALC!J31</f>
        <v>0</v>
      </c>
      <c r="F30" s="53" t="n">
        <f aca="false">CALC!K31</f>
        <v>0</v>
      </c>
    </row>
    <row r="31" customFormat="false" ht="12.8" hidden="false" customHeight="false" outlineLevel="0" collapsed="false">
      <c r="A31" s="41" t="str">
        <f aca="false">_xlfn.CONCAT($A$1, ".", CALC!A32)</f>
        <v>LSD.RID.0.AL.ETPR.28</v>
      </c>
      <c r="B31" s="54" t="str">
        <f aca="false">_xlfn.CONCAT(CALC!B32, ": ", CALC!C32)</f>
        <v>Media and Information Technology: Worker</v>
      </c>
      <c r="C31" s="53" t="n">
        <f aca="false">CALC!H32</f>
        <v>0</v>
      </c>
      <c r="D31" s="53" t="n">
        <f aca="false">CALC!I32</f>
        <v>0</v>
      </c>
      <c r="E31" s="53" t="n">
        <f aca="false">CALC!J32</f>
        <v>0</v>
      </c>
      <c r="F31" s="53" t="n">
        <f aca="false">CALC!K32</f>
        <v>0</v>
      </c>
    </row>
    <row r="32" customFormat="false" ht="12.8" hidden="false" customHeight="false" outlineLevel="0" collapsed="false">
      <c r="A32" s="41" t="str">
        <f aca="false">_xlfn.CONCAT($A$1, ".", CALC!A33)</f>
        <v>LSD.RID.0.AL.ETPR.29</v>
      </c>
      <c r="B32" s="54" t="str">
        <f aca="false">_xlfn.CONCAT(CALC!B33, ": ", CALC!C33)</f>
        <v>Government: Support</v>
      </c>
      <c r="C32" s="53" t="n">
        <f aca="false">CALC!H33</f>
        <v>0</v>
      </c>
      <c r="D32" s="53" t="n">
        <f aca="false">CALC!I33</f>
        <v>0</v>
      </c>
      <c r="E32" s="53" t="n">
        <f aca="false">CALC!J33</f>
        <v>0</v>
      </c>
      <c r="F32" s="53" t="n">
        <f aca="false">CALC!K33</f>
        <v>0</v>
      </c>
    </row>
    <row r="33" customFormat="false" ht="12.8" hidden="false" customHeight="false" outlineLevel="0" collapsed="false">
      <c r="A33" s="41" t="str">
        <f aca="false">_xlfn.CONCAT($A$1, ".", CALC!A34)</f>
        <v>LSD.RID.0.AL.ETPR.30</v>
      </c>
      <c r="B33" s="54" t="str">
        <f aca="false">_xlfn.CONCAT(CALC!B34, ": ", CALC!C34)</f>
        <v>Government: Worker</v>
      </c>
      <c r="C33" s="53" t="n">
        <f aca="false">CALC!H34</f>
        <v>0</v>
      </c>
      <c r="D33" s="53" t="n">
        <f aca="false">CALC!I34</f>
        <v>0</v>
      </c>
      <c r="E33" s="53" t="n">
        <f aca="false">CALC!J34</f>
        <v>0</v>
      </c>
      <c r="F33" s="53" t="n">
        <f aca="false">CALC!K34</f>
        <v>0</v>
      </c>
    </row>
    <row r="34" customFormat="false" ht="12.8" hidden="false" customHeight="false" outlineLevel="0" collapsed="false">
      <c r="A34" s="41" t="str">
        <f aca="false">_xlfn.CONCAT($A$1, ".", CALC!A35)</f>
        <v>LSD.RID.0.AL.ETPR.31</v>
      </c>
      <c r="B34" s="54" t="str">
        <f aca="false">_xlfn.CONCAT(CALC!B35, ": ", CALC!C35)</f>
        <v>Self-Employed / Non-Employer: Support</v>
      </c>
      <c r="C34" s="53" t="n">
        <f aca="false">CALC!H35</f>
        <v>0</v>
      </c>
      <c r="D34" s="53" t="n">
        <f aca="false">CALC!I35</f>
        <v>0</v>
      </c>
      <c r="E34" s="53" t="n">
        <f aca="false">CALC!J35</f>
        <v>0</v>
      </c>
      <c r="F34" s="53" t="n">
        <f aca="false">CALC!K35</f>
        <v>0</v>
      </c>
    </row>
    <row r="35" customFormat="false" ht="12.8" hidden="false" customHeight="false" outlineLevel="0" collapsed="false">
      <c r="A35" s="41" t="str">
        <f aca="false">_xlfn.CONCAT($A$1, ".", CALC!A36)</f>
        <v>LSD.RID.0.AL.ETPR.32</v>
      </c>
      <c r="B35" s="54" t="str">
        <f aca="false">_xlfn.CONCAT(CALC!B36, ": ", CALC!C36)</f>
        <v>Self-Employed / Non-Employer: Worker</v>
      </c>
      <c r="C35" s="53" t="n">
        <f aca="false">CALC!H36</f>
        <v>0</v>
      </c>
      <c r="D35" s="53" t="n">
        <f aca="false">CALC!I36</f>
        <v>0</v>
      </c>
      <c r="E35" s="53" t="n">
        <f aca="false">CALC!J36</f>
        <v>0</v>
      </c>
      <c r="F35" s="53" t="n">
        <f aca="false">CALC!K36</f>
        <v>0</v>
      </c>
    </row>
    <row r="36" customFormat="false" ht="12.8" hidden="false" customHeight="false" outlineLevel="0" collapsed="false">
      <c r="A36" s="41" t="str">
        <f aca="false">_xlfn.CONCAT($A$1, ".", CALC!A37)</f>
        <v>LSD.RID.0.AL.ETPR.33</v>
      </c>
      <c r="B36" s="54" t="str">
        <f aca="false">_xlfn.CONCAT(CALC!B37, ": ", CALC!C37)</f>
        <v>Other Services: Support</v>
      </c>
      <c r="C36" s="53" t="n">
        <f aca="false">CALC!H37</f>
        <v>0</v>
      </c>
      <c r="D36" s="53" t="n">
        <f aca="false">CALC!I37</f>
        <v>0</v>
      </c>
      <c r="E36" s="53" t="n">
        <f aca="false">CALC!J37</f>
        <v>0</v>
      </c>
      <c r="F36" s="53" t="n">
        <f aca="false">CALC!K37</f>
        <v>0</v>
      </c>
    </row>
    <row r="37" customFormat="false" ht="12.8" hidden="false" customHeight="false" outlineLevel="0" collapsed="false">
      <c r="A37" s="41" t="str">
        <f aca="false">_xlfn.CONCAT($A$1, ".", CALC!A38)</f>
        <v>LSD.RID.0.AL.ETPR.34</v>
      </c>
      <c r="B37" s="54" t="str">
        <f aca="false">_xlfn.CONCAT(CALC!B38, ": ", CALC!C38)</f>
        <v>Other Services: Worker</v>
      </c>
      <c r="C37" s="53" t="n">
        <f aca="false">CALC!H38</f>
        <v>0</v>
      </c>
      <c r="D37" s="53" t="n">
        <f aca="false">CALC!I38</f>
        <v>0</v>
      </c>
      <c r="E37" s="53" t="n">
        <f aca="false">CALC!J38</f>
        <v>0</v>
      </c>
      <c r="F37" s="53" t="n">
        <f aca="false">CALC!K38</f>
        <v>0</v>
      </c>
    </row>
    <row r="38" customFormat="false" ht="12.8" hidden="false" customHeight="false" outlineLevel="0" collapsed="false">
      <c r="A38" s="41" t="str">
        <f aca="false">_xlfn.CONCAT($A$1, ".", CALC!A39)</f>
        <v>LSD.RID.0.AL.ETPR.35</v>
      </c>
      <c r="B38" s="54" t="str">
        <f aca="false">_xlfn.CONCAT(CALC!B39, ": ", CALC!C39)</f>
        <v>Mining, Quarrying, and Oil/Gas Extraction: Support</v>
      </c>
      <c r="C38" s="53" t="n">
        <f aca="false">CALC!H39</f>
        <v>0</v>
      </c>
      <c r="D38" s="53" t="n">
        <f aca="false">CALC!I39</f>
        <v>0</v>
      </c>
      <c r="E38" s="53" t="n">
        <f aca="false">CALC!J39</f>
        <v>0</v>
      </c>
      <c r="F38" s="53" t="n">
        <f aca="false">CALC!K39</f>
        <v>0</v>
      </c>
    </row>
    <row r="39" customFormat="false" ht="12.8" hidden="false" customHeight="false" outlineLevel="0" collapsed="false">
      <c r="A39" s="41" t="str">
        <f aca="false">_xlfn.CONCAT($A$1, ".", CALC!A40)</f>
        <v>LSD.RID.0.AL.ETPR.36</v>
      </c>
      <c r="B39" s="54" t="str">
        <f aca="false">_xlfn.CONCAT(CALC!B40, ": ", CALC!C40)</f>
        <v>Mining, Quarrying, and Oil/Gas Extraction: Worker</v>
      </c>
      <c r="C39" s="53" t="n">
        <f aca="false">CALC!H40</f>
        <v>0</v>
      </c>
      <c r="D39" s="53" t="n">
        <f aca="false">CALC!I40</f>
        <v>0</v>
      </c>
      <c r="E39" s="53" t="n">
        <f aca="false">CALC!J40</f>
        <v>0</v>
      </c>
      <c r="F39" s="53" t="n">
        <f aca="false">CALC!K40</f>
        <v>0</v>
      </c>
    </row>
    <row r="40" customFormat="false" ht="12.8" hidden="false" customHeight="false" outlineLevel="0" collapsed="false">
      <c r="A40" s="41" t="str">
        <f aca="false">_xlfn.CONCAT($A$1, ".", CALC!A41)</f>
        <v>LSD.RID.0.AL.ETPR.37</v>
      </c>
      <c r="B40" s="54" t="str">
        <f aca="false">_xlfn.CONCAT(CALC!B41, ": ", CALC!C41)</f>
        <v>Utilities: Support</v>
      </c>
      <c r="C40" s="53" t="n">
        <f aca="false">CALC!H41</f>
        <v>0</v>
      </c>
      <c r="D40" s="53" t="n">
        <f aca="false">CALC!I41</f>
        <v>0</v>
      </c>
      <c r="E40" s="53" t="n">
        <f aca="false">CALC!J41</f>
        <v>0</v>
      </c>
      <c r="F40" s="53" t="n">
        <f aca="false">CALC!K41</f>
        <v>0</v>
      </c>
    </row>
    <row r="41" customFormat="false" ht="12.8" hidden="false" customHeight="false" outlineLevel="0" collapsed="false">
      <c r="A41" s="41" t="str">
        <f aca="false">_xlfn.CONCAT($A$1, ".", CALC!A42)</f>
        <v>LSD.RID.0.AL.ETPR.38</v>
      </c>
      <c r="B41" s="54" t="str">
        <f aca="false">_xlfn.CONCAT(CALC!B42, ": ", CALC!C42)</f>
        <v>Utilities: Worker</v>
      </c>
      <c r="C41" s="53" t="n">
        <f aca="false">CALC!H42</f>
        <v>0</v>
      </c>
      <c r="D41" s="53" t="n">
        <f aca="false">CALC!I42</f>
        <v>0</v>
      </c>
      <c r="E41" s="53" t="n">
        <f aca="false">CALC!J42</f>
        <v>0</v>
      </c>
      <c r="F41" s="53" t="n">
        <f aca="false">CALC!K42</f>
        <v>0</v>
      </c>
    </row>
    <row r="42" customFormat="false" ht="12.8" hidden="false" customHeight="false" outlineLevel="0" collapsed="false">
      <c r="A42" s="41" t="str">
        <f aca="false">_xlfn.CONCAT($A$1, ".", CALC!A43)</f>
        <v>LSD.RID.0.AL.ETPR.39</v>
      </c>
      <c r="B42" s="54" t="str">
        <f aca="false">_xlfn.CONCAT(CALC!B43, ": ", CALC!C43)</f>
        <v>Wholesale Trade: Support</v>
      </c>
      <c r="C42" s="53" t="n">
        <f aca="false">CALC!H43</f>
        <v>0</v>
      </c>
      <c r="D42" s="53" t="n">
        <f aca="false">CALC!I43</f>
        <v>0</v>
      </c>
      <c r="E42" s="53" t="n">
        <f aca="false">CALC!J43</f>
        <v>0</v>
      </c>
      <c r="F42" s="53" t="n">
        <f aca="false">CALC!K43</f>
        <v>0</v>
      </c>
    </row>
    <row r="43" customFormat="false" ht="12.8" hidden="false" customHeight="false" outlineLevel="0" collapsed="false">
      <c r="A43" s="41" t="str">
        <f aca="false">_xlfn.CONCAT($A$1, ".", CALC!A44)</f>
        <v>LSD.RID.0.AL.ETPR.40</v>
      </c>
      <c r="B43" s="54" t="str">
        <f aca="false">_xlfn.CONCAT(CALC!B44, ": ", CALC!C44)</f>
        <v>Wholesale Trade: Worker</v>
      </c>
      <c r="C43" s="53" t="n">
        <f aca="false">CALC!H44</f>
        <v>0</v>
      </c>
      <c r="D43" s="53" t="n">
        <f aca="false">CALC!I44</f>
        <v>0</v>
      </c>
      <c r="E43" s="53" t="n">
        <f aca="false">CALC!J44</f>
        <v>0</v>
      </c>
      <c r="F43" s="53" t="n">
        <f aca="false">CALC!K44</f>
        <v>0</v>
      </c>
    </row>
    <row r="44" customFormat="false" ht="12.8" hidden="false" customHeight="false" outlineLevel="0" collapsed="false">
      <c r="A44" s="41" t="str">
        <f aca="false">_xlfn.CONCAT($A$1, ".", CALC!A45)</f>
        <v>LSD.RID.0.AL.ETPR.41</v>
      </c>
      <c r="B44" s="54" t="str">
        <f aca="false">_xlfn.CONCAT(CALC!B45, ": ", CALC!C45)</f>
        <v>Information: Support</v>
      </c>
      <c r="C44" s="53" t="n">
        <f aca="false">CALC!H45</f>
        <v>0</v>
      </c>
      <c r="D44" s="53" t="n">
        <f aca="false">CALC!I45</f>
        <v>0</v>
      </c>
      <c r="E44" s="53" t="n">
        <f aca="false">CALC!J45</f>
        <v>0</v>
      </c>
      <c r="F44" s="53" t="n">
        <f aca="false">CALC!K45</f>
        <v>0</v>
      </c>
    </row>
    <row r="45" customFormat="false" ht="12.8" hidden="false" customHeight="false" outlineLevel="0" collapsed="false">
      <c r="A45" s="41" t="str">
        <f aca="false">_xlfn.CONCAT($A$1, ".", CALC!A46)</f>
        <v>LSD.RID.0.AL.ETPR.42</v>
      </c>
      <c r="B45" s="54" t="str">
        <f aca="false">_xlfn.CONCAT(CALC!B46, ": ", CALC!C46)</f>
        <v>Information: Worker</v>
      </c>
      <c r="C45" s="53" t="n">
        <f aca="false">CALC!H46</f>
        <v>0</v>
      </c>
      <c r="D45" s="53" t="n">
        <f aca="false">CALC!I46</f>
        <v>0</v>
      </c>
      <c r="E45" s="53" t="n">
        <f aca="false">CALC!J46</f>
        <v>0</v>
      </c>
      <c r="F45" s="53" t="n">
        <f aca="false">CALC!K46</f>
        <v>0</v>
      </c>
    </row>
    <row r="46" customFormat="false" ht="12.8" hidden="false" customHeight="false" outlineLevel="0" collapsed="false">
      <c r="A46" s="41" t="str">
        <f aca="false">_xlfn.CONCAT($A$1, ".", CALC!A47)</f>
        <v>LSD.RID.0.AL.ETPR.43</v>
      </c>
      <c r="B46" s="54" t="str">
        <f aca="false">_xlfn.CONCAT(CALC!B47, ": ", CALC!C47)</f>
        <v>Real Estate, Rental and Leasing: Support</v>
      </c>
      <c r="C46" s="53" t="n">
        <f aca="false">CALC!H47</f>
        <v>0</v>
      </c>
      <c r="D46" s="53" t="n">
        <f aca="false">CALC!I47</f>
        <v>0</v>
      </c>
      <c r="E46" s="53" t="n">
        <f aca="false">CALC!J47</f>
        <v>0</v>
      </c>
      <c r="F46" s="53" t="n">
        <f aca="false">CALC!K47</f>
        <v>0</v>
      </c>
    </row>
    <row r="47" customFormat="false" ht="12.8" hidden="false" customHeight="false" outlineLevel="0" collapsed="false">
      <c r="A47" s="41" t="str">
        <f aca="false">_xlfn.CONCAT($A$1, ".", CALC!A48)</f>
        <v>LSD.RID.0.AL.ETPR.44</v>
      </c>
      <c r="B47" s="54" t="str">
        <f aca="false">_xlfn.CONCAT(CALC!B48, ": ", CALC!C48)</f>
        <v>Real Estate, Rental and Leasing: Worker</v>
      </c>
      <c r="C47" s="53" t="n">
        <f aca="false">CALC!H48</f>
        <v>0</v>
      </c>
      <c r="D47" s="53" t="n">
        <f aca="false">CALC!I48</f>
        <v>0</v>
      </c>
      <c r="E47" s="53" t="n">
        <f aca="false">CALC!J48</f>
        <v>0</v>
      </c>
      <c r="F47" s="53" t="n">
        <f aca="false">CALC!K48</f>
        <v>0</v>
      </c>
    </row>
    <row r="48" customFormat="false" ht="12.8" hidden="false" customHeight="false" outlineLevel="0" collapsed="false">
      <c r="A48" s="41" t="str">
        <f aca="false">_xlfn.CONCAT($A$1, ".", CALC!A49)</f>
        <v>LSD.RID.0.AL.ETPR.45</v>
      </c>
      <c r="B48" s="54" t="str">
        <f aca="false">_xlfn.CONCAT(CALC!B49, ": ", CALC!C49)</f>
        <v>Waste Management Services: Support</v>
      </c>
      <c r="C48" s="53" t="n">
        <f aca="false">CALC!H49</f>
        <v>0</v>
      </c>
      <c r="D48" s="53" t="n">
        <f aca="false">CALC!I49</f>
        <v>0</v>
      </c>
      <c r="E48" s="53" t="n">
        <f aca="false">CALC!J49</f>
        <v>0</v>
      </c>
      <c r="F48" s="53" t="n">
        <f aca="false">CALC!K49</f>
        <v>0</v>
      </c>
    </row>
    <row r="49" customFormat="false" ht="12.8" hidden="false" customHeight="false" outlineLevel="0" collapsed="false">
      <c r="A49" s="41" t="str">
        <f aca="false">_xlfn.CONCAT($A$1, ".", CALC!A50)</f>
        <v>LSD.RID.0.AL.ETPR.46</v>
      </c>
      <c r="B49" s="54" t="str">
        <f aca="false">_xlfn.CONCAT(CALC!B50, ": ", CALC!C50)</f>
        <v>Waste Management Services: Worker</v>
      </c>
      <c r="C49" s="53" t="n">
        <f aca="false">CALC!H50</f>
        <v>0</v>
      </c>
      <c r="D49" s="53" t="n">
        <f aca="false">CALC!I50</f>
        <v>0</v>
      </c>
      <c r="E49" s="53" t="n">
        <f aca="false">CALC!J50</f>
        <v>0</v>
      </c>
      <c r="F49" s="53" t="n">
        <f aca="false">CALC!K50</f>
        <v>0</v>
      </c>
    </row>
    <row r="50" customFormat="false" ht="12.8" hidden="false" customHeight="false" outlineLevel="0" collapsed="false">
      <c r="A50" s="41" t="str">
        <f aca="false">_xlfn.CONCAT($A$1, ".", CALC!A51)</f>
        <v>LSD.RID.0.AL.ETPR.47</v>
      </c>
      <c r="B50" s="54" t="str">
        <f aca="false">_xlfn.CONCAT(CALC!B51, ": ", CALC!C51)</f>
        <v>Arts, Entertainment, and Recreation: Support</v>
      </c>
      <c r="C50" s="53" t="n">
        <f aca="false">CALC!H51</f>
        <v>0</v>
      </c>
      <c r="D50" s="53" t="n">
        <f aca="false">CALC!I51</f>
        <v>0</v>
      </c>
      <c r="E50" s="53" t="n">
        <f aca="false">CALC!J51</f>
        <v>0</v>
      </c>
      <c r="F50" s="53" t="n">
        <f aca="false">CALC!K51</f>
        <v>0</v>
      </c>
    </row>
    <row r="51" customFormat="false" ht="12.8" hidden="false" customHeight="false" outlineLevel="0" collapsed="false">
      <c r="A51" s="41" t="str">
        <f aca="false">_xlfn.CONCAT($A$1, ".", CALC!A52)</f>
        <v>LSD.RID.0.AL.ETPR.48</v>
      </c>
      <c r="B51" s="54" t="str">
        <f aca="false">_xlfn.CONCAT(CALC!B52, ": ", CALC!C52)</f>
        <v>Arts, Entertainment, and Recreation: Worker</v>
      </c>
      <c r="C51" s="53" t="n">
        <f aca="false">CALC!H52</f>
        <v>0</v>
      </c>
      <c r="D51" s="53" t="n">
        <f aca="false">CALC!I52</f>
        <v>0</v>
      </c>
      <c r="E51" s="53" t="n">
        <f aca="false">CALC!J52</f>
        <v>0</v>
      </c>
      <c r="F51" s="53" t="n">
        <f aca="false">CALC!K52</f>
        <v>0</v>
      </c>
    </row>
    <row r="52" customFormat="false" ht="12.8" hidden="false" customHeight="false" outlineLevel="0" collapsed="false">
      <c r="A52" s="41" t="str">
        <f aca="false">_xlfn.CONCAT($A$1, ".", CALC!A53)</f>
        <v>LSD.RID.0.AL.ETPR.49</v>
      </c>
      <c r="B52" s="54" t="str">
        <f aca="false">_xlfn.CONCAT(CALC!B53, ": ", CALC!C53)</f>
        <v>Accommodation and Food Services: Support</v>
      </c>
      <c r="C52" s="53" t="n">
        <f aca="false">CALC!H53</f>
        <v>0</v>
      </c>
      <c r="D52" s="53" t="n">
        <f aca="false">CALC!I53</f>
        <v>0</v>
      </c>
      <c r="E52" s="53" t="n">
        <f aca="false">CALC!J53</f>
        <v>0</v>
      </c>
      <c r="F52" s="53" t="n">
        <f aca="false">CALC!K53</f>
        <v>0</v>
      </c>
    </row>
    <row r="53" customFormat="false" ht="12.8" hidden="false" customHeight="false" outlineLevel="0" collapsed="false">
      <c r="A53" s="41" t="str">
        <f aca="false">_xlfn.CONCAT($A$1, ".", CALC!A54)</f>
        <v>LSD.RID.0.AL.ETPR.50</v>
      </c>
      <c r="B53" s="54" t="str">
        <f aca="false">_xlfn.CONCAT(CALC!B54, ": ", CALC!C54)</f>
        <v>Accommodation and Food Services: Worker</v>
      </c>
      <c r="C53" s="53" t="n">
        <f aca="false">CALC!H54</f>
        <v>0</v>
      </c>
      <c r="D53" s="53" t="n">
        <f aca="false">CALC!I54</f>
        <v>0</v>
      </c>
      <c r="E53" s="53" t="n">
        <f aca="false">CALC!J54</f>
        <v>0</v>
      </c>
      <c r="F53" s="53" t="n">
        <f aca="false">CALC!K54</f>
        <v>0</v>
      </c>
    </row>
    <row r="54" customFormat="false" ht="12.8" hidden="false" customHeight="false" outlineLevel="0" collapsed="false">
      <c r="A54" s="41" t="str">
        <f aca="false">_xlfn.CONCAT($A$1, ".", CALC!A55)</f>
        <v>LSD.RID.0.AL.ETPR.51</v>
      </c>
      <c r="B54" s="54" t="str">
        <f aca="false">_xlfn.CONCAT(CALC!B55, ": ", CALC!C55)</f>
        <v>Public Administration: Support</v>
      </c>
      <c r="C54" s="53" t="n">
        <f aca="false">CALC!H55</f>
        <v>0</v>
      </c>
      <c r="D54" s="53" t="n">
        <f aca="false">CALC!I55</f>
        <v>0</v>
      </c>
      <c r="E54" s="53" t="n">
        <f aca="false">CALC!J55</f>
        <v>0</v>
      </c>
      <c r="F54" s="53" t="n">
        <f aca="false">CALC!K55</f>
        <v>0</v>
      </c>
    </row>
    <row r="55" customFormat="false" ht="12.8" hidden="false" customHeight="false" outlineLevel="0" collapsed="false">
      <c r="A55" s="41" t="str">
        <f aca="false">_xlfn.CONCAT($A$1, ".", CALC!A56)</f>
        <v>LSD.RID.0.AL.ETPR.52</v>
      </c>
      <c r="B55" s="54" t="str">
        <f aca="false">_xlfn.CONCAT(CALC!B56, ": ", CALC!C56)</f>
        <v>Public Administration: Worker</v>
      </c>
      <c r="C55" s="53" t="n">
        <f aca="false">CALC!H56</f>
        <v>0</v>
      </c>
      <c r="D55" s="53" t="n">
        <f aca="false">CALC!I56</f>
        <v>0</v>
      </c>
      <c r="E55" s="53" t="n">
        <f aca="false">CALC!J56</f>
        <v>0</v>
      </c>
      <c r="F55" s="53" t="n">
        <f aca="false">CALC!K56</f>
        <v>0</v>
      </c>
    </row>
    <row r="57" customFormat="false" ht="12.8" hidden="false" customHeight="false" outlineLevel="1" collapsed="false"/>
    <row r="58" customFormat="false" ht="12.8" hidden="false" customHeight="false" outlineLevel="1" collapsed="false"/>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2" customFormat="false" ht="12.8" hidden="false" customHeight="false" outlineLevel="1" collapsed="false"/>
    <row r="153"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0938A"/>
    <pageSetUpPr fitToPage="false"/>
  </sheetPr>
  <dimension ref="A1:BC247"/>
  <sheetViews>
    <sheetView showFormulas="false" showGridLines="true" showRowColHeaders="true" showZeros="true" rightToLeft="false" tabSelected="false" showOutlineSymbols="true" defaultGridColor="true" view="normal" topLeftCell="A84" colorId="64" zoomScale="65" zoomScaleNormal="65" zoomScalePageLayoutView="100" workbookViewId="0">
      <selection pane="topLeft" activeCell="A1" activeCellId="0" sqref="A1"/>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11" t="s">
        <v>2145</v>
      </c>
      <c r="B1" s="30" t="s">
        <v>2146</v>
      </c>
      <c r="C1" s="6" t="s">
        <v>2</v>
      </c>
      <c r="D1" s="30" t="s">
        <v>2147</v>
      </c>
      <c r="E1" s="51" t="s">
        <v>2148</v>
      </c>
      <c r="AZ1" s="26"/>
      <c r="BA1" s="26"/>
      <c r="BB1" s="26"/>
      <c r="BC1" s="26"/>
    </row>
    <row r="2" customFormat="false" ht="46.25" hidden="false" customHeight="false" outlineLevel="0" collapsed="false">
      <c r="A2" s="52" t="s">
        <v>2140</v>
      </c>
      <c r="B2" s="47" t="s">
        <v>2141</v>
      </c>
      <c r="C2" s="57" t="str">
        <f aca="false">CALC!L3</f>
        <v>Labor Force Participation Rate (LFPR)</v>
      </c>
      <c r="D2" s="57" t="str">
        <f aca="false">CALC!M3</f>
        <v>Authorized Immigrant Labor Force Participation Rate (LFPR)</v>
      </c>
      <c r="E2" s="57" t="str">
        <f aca="false">CALC!N3</f>
        <v>Unauthorized Immigrant Labor Force Participation Rate (LFPR)</v>
      </c>
      <c r="F2" s="57" t="str">
        <f aca="false">CALC!O3</f>
        <v>American Labor Force Participation Rate (LFPR)</v>
      </c>
    </row>
    <row r="3" customFormat="false" ht="12.8" hidden="false" customHeight="false" outlineLevel="0" collapsed="false">
      <c r="A3" s="4" t="str">
        <f aca="false">_xlfn.CONCAT($A$1, ".", CALC!A4)</f>
        <v>LSD.RID.0.AL.LFPR.0</v>
      </c>
      <c r="B3" s="58" t="str">
        <f aca="false">_xlfn.CONCAT(CALC!B4, ":", CALC!C4)</f>
        <v>All Industries:All Roles</v>
      </c>
      <c r="C3" s="57" t="n">
        <f aca="false">CALC!L4</f>
        <v>0</v>
      </c>
      <c r="D3" s="57" t="n">
        <f aca="false">CALC!M4</f>
        <v>0</v>
      </c>
      <c r="E3" s="57" t="n">
        <f aca="false">CALC!N4</f>
        <v>0</v>
      </c>
      <c r="F3" s="57" t="n">
        <f aca="false">CALC!O4</f>
        <v>0</v>
      </c>
    </row>
    <row r="4" customFormat="false" ht="12.8" hidden="false" customHeight="false" outlineLevel="0" collapsed="false">
      <c r="A4" s="4" t="str">
        <f aca="false">_xlfn.CONCAT($A$1, ".", CALC!A5)</f>
        <v>LSD.RID.0.AL.LFPR.1</v>
      </c>
      <c r="B4" s="58" t="str">
        <f aca="false">_xlfn.CONCAT(CALC!B5, ":", CALC!C5)</f>
        <v>Agriculture:Support</v>
      </c>
      <c r="C4" s="57" t="n">
        <f aca="false">CALC!L5</f>
        <v>0</v>
      </c>
      <c r="D4" s="57" t="n">
        <f aca="false">CALC!M5</f>
        <v>0</v>
      </c>
      <c r="E4" s="57" t="n">
        <f aca="false">CALC!N5</f>
        <v>0</v>
      </c>
      <c r="F4" s="57" t="n">
        <f aca="false">CALC!O5</f>
        <v>0</v>
      </c>
    </row>
    <row r="5" customFormat="false" ht="12.8" hidden="false" customHeight="false" outlineLevel="0" collapsed="false">
      <c r="A5" s="4" t="str">
        <f aca="false">_xlfn.CONCAT($A$1, ".", CALC!A6)</f>
        <v>LSD.RID.0.AL.LFPR.2</v>
      </c>
      <c r="B5" s="58" t="str">
        <f aca="false">_xlfn.CONCAT(CALC!B6, ":", CALC!C6)</f>
        <v>Agriculture:Worker</v>
      </c>
      <c r="C5" s="57" t="n">
        <f aca="false">CALC!L6</f>
        <v>0</v>
      </c>
      <c r="D5" s="57" t="n">
        <f aca="false">CALC!M6</f>
        <v>0</v>
      </c>
      <c r="E5" s="57" t="n">
        <f aca="false">CALC!N6</f>
        <v>0</v>
      </c>
      <c r="F5" s="57" t="n">
        <f aca="false">CALC!O6</f>
        <v>0</v>
      </c>
    </row>
    <row r="6" customFormat="false" ht="12.8" hidden="false" customHeight="false" outlineLevel="0" collapsed="false">
      <c r="A6" s="4" t="str">
        <f aca="false">_xlfn.CONCAT($A$1, ".", CALC!A7)</f>
        <v>LSD.RID.0.AL.LFPR.3</v>
      </c>
      <c r="B6" s="58" t="str">
        <f aca="false">_xlfn.CONCAT(CALC!B7, ":", CALC!C7)</f>
        <v>Construction:Support</v>
      </c>
      <c r="C6" s="57" t="n">
        <f aca="false">CALC!L7</f>
        <v>0</v>
      </c>
      <c r="D6" s="57" t="n">
        <f aca="false">CALC!M7</f>
        <v>0</v>
      </c>
      <c r="E6" s="57" t="n">
        <f aca="false">CALC!N7</f>
        <v>0</v>
      </c>
      <c r="F6" s="57" t="n">
        <f aca="false">CALC!O7</f>
        <v>0</v>
      </c>
    </row>
    <row r="7" customFormat="false" ht="12.8" hidden="false" customHeight="false" outlineLevel="0" collapsed="false">
      <c r="A7" s="4" t="str">
        <f aca="false">_xlfn.CONCAT($A$1, ".", CALC!A8)</f>
        <v>LSD.RID.0.AL.LFPR.4</v>
      </c>
      <c r="B7" s="58" t="str">
        <f aca="false">_xlfn.CONCAT(CALC!B8, ":", CALC!C8)</f>
        <v>Construction:Worker</v>
      </c>
      <c r="C7" s="57" t="n">
        <f aca="false">CALC!L8</f>
        <v>0</v>
      </c>
      <c r="D7" s="57" t="n">
        <f aca="false">CALC!M8</f>
        <v>0</v>
      </c>
      <c r="E7" s="57" t="n">
        <f aca="false">CALC!N8</f>
        <v>0</v>
      </c>
      <c r="F7" s="57" t="n">
        <f aca="false">CALC!O8</f>
        <v>0</v>
      </c>
    </row>
    <row r="8" customFormat="false" ht="12.8" hidden="false" customHeight="false" outlineLevel="0" collapsed="false">
      <c r="A8" s="4" t="str">
        <f aca="false">_xlfn.CONCAT($A$1, ".", CALC!A9)</f>
        <v>LSD.RID.0.AL.LFPR.5</v>
      </c>
      <c r="B8" s="58" t="str">
        <f aca="false">_xlfn.CONCAT(CALC!B9, ":", CALC!C9)</f>
        <v>Hospitality:Support</v>
      </c>
      <c r="C8" s="57" t="n">
        <f aca="false">CALC!L9</f>
        <v>0</v>
      </c>
      <c r="D8" s="57" t="n">
        <f aca="false">CALC!M9</f>
        <v>0</v>
      </c>
      <c r="E8" s="57" t="n">
        <f aca="false">CALC!N9</f>
        <v>0</v>
      </c>
      <c r="F8" s="57" t="n">
        <f aca="false">CALC!O9</f>
        <v>0</v>
      </c>
    </row>
    <row r="9" customFormat="false" ht="12.8" hidden="false" customHeight="false" outlineLevel="0" collapsed="false">
      <c r="A9" s="4" t="str">
        <f aca="false">_xlfn.CONCAT($A$1, ".", CALC!A10)</f>
        <v>LSD.RID.0.AL.LFPR.6</v>
      </c>
      <c r="B9" s="58" t="str">
        <f aca="false">_xlfn.CONCAT(CALC!B10, ":", CALC!C10)</f>
        <v>Hospitality:Worker</v>
      </c>
      <c r="C9" s="57" t="n">
        <f aca="false">CALC!L10</f>
        <v>0</v>
      </c>
      <c r="D9" s="57" t="n">
        <f aca="false">CALC!M10</f>
        <v>0</v>
      </c>
      <c r="E9" s="57" t="n">
        <f aca="false">CALC!N10</f>
        <v>0</v>
      </c>
      <c r="F9" s="57" t="n">
        <f aca="false">CALC!O10</f>
        <v>0</v>
      </c>
    </row>
    <row r="10" customFormat="false" ht="12.8" hidden="false" customHeight="false" outlineLevel="0" collapsed="false">
      <c r="A10" s="4" t="str">
        <f aca="false">_xlfn.CONCAT($A$1, ".", CALC!A11)</f>
        <v>LSD.RID.0.AL.LFPR.7</v>
      </c>
      <c r="B10" s="58" t="str">
        <f aca="false">_xlfn.CONCAT(CALC!B11, ":", CALC!C11)</f>
        <v>Cleaning &amp; Maintenance:Support</v>
      </c>
      <c r="C10" s="57" t="n">
        <f aca="false">CALC!L11</f>
        <v>0</v>
      </c>
      <c r="D10" s="57" t="n">
        <f aca="false">CALC!M11</f>
        <v>0</v>
      </c>
      <c r="E10" s="57" t="n">
        <f aca="false">CALC!N11</f>
        <v>0</v>
      </c>
      <c r="F10" s="57" t="n">
        <f aca="false">CALC!O11</f>
        <v>0</v>
      </c>
    </row>
    <row r="11" customFormat="false" ht="12.8" hidden="false" customHeight="false" outlineLevel="0" collapsed="false">
      <c r="A11" s="4" t="str">
        <f aca="false">_xlfn.CONCAT($A$1, ".", CALC!A12)</f>
        <v>LSD.RID.0.AL.LFPR.8</v>
      </c>
      <c r="B11" s="58" t="str">
        <f aca="false">_xlfn.CONCAT(CALC!B12, ":", CALC!C12)</f>
        <v>Cleaning &amp; Maintenance:Worker</v>
      </c>
      <c r="C11" s="57" t="n">
        <f aca="false">CALC!L12</f>
        <v>0</v>
      </c>
      <c r="D11" s="57" t="n">
        <f aca="false">CALC!M12</f>
        <v>0</v>
      </c>
      <c r="E11" s="57" t="n">
        <f aca="false">CALC!N12</f>
        <v>0</v>
      </c>
      <c r="F11" s="57" t="n">
        <f aca="false">CALC!O12</f>
        <v>0</v>
      </c>
    </row>
    <row r="12" customFormat="false" ht="12.8" hidden="false" customHeight="false" outlineLevel="0" collapsed="false">
      <c r="A12" s="4" t="str">
        <f aca="false">_xlfn.CONCAT($A$1, ".", CALC!A13)</f>
        <v>LSD.RID.0.AL.LFPR.9</v>
      </c>
      <c r="B12" s="58" t="str">
        <f aca="false">_xlfn.CONCAT(CALC!B13, ":", CALC!C13)</f>
        <v>Manufacturing:Support</v>
      </c>
      <c r="C12" s="57" t="n">
        <f aca="false">CALC!L13</f>
        <v>0</v>
      </c>
      <c r="D12" s="57" t="n">
        <f aca="false">CALC!M13</f>
        <v>0</v>
      </c>
      <c r="E12" s="57" t="n">
        <f aca="false">CALC!N13</f>
        <v>0</v>
      </c>
      <c r="F12" s="57" t="n">
        <f aca="false">CALC!O13</f>
        <v>0</v>
      </c>
    </row>
    <row r="13" customFormat="false" ht="12.8" hidden="false" customHeight="false" outlineLevel="0" collapsed="false">
      <c r="A13" s="4" t="str">
        <f aca="false">_xlfn.CONCAT($A$1, ".", CALC!A14)</f>
        <v>LSD.RID.0.AL.LFPR.10</v>
      </c>
      <c r="B13" s="58" t="str">
        <f aca="false">_xlfn.CONCAT(CALC!B14, ":", CALC!C14)</f>
        <v>Manufacturing:Worker</v>
      </c>
      <c r="C13" s="57" t="n">
        <f aca="false">CALC!L14</f>
        <v>0</v>
      </c>
      <c r="D13" s="57" t="n">
        <f aca="false">CALC!M14</f>
        <v>0</v>
      </c>
      <c r="E13" s="57" t="n">
        <f aca="false">CALC!N14</f>
        <v>0</v>
      </c>
      <c r="F13" s="57" t="n">
        <f aca="false">CALC!O14</f>
        <v>0</v>
      </c>
    </row>
    <row r="14" customFormat="false" ht="12.8" hidden="false" customHeight="false" outlineLevel="0" collapsed="false">
      <c r="A14" s="4" t="str">
        <f aca="false">_xlfn.CONCAT($A$1, ".", CALC!A15)</f>
        <v>LSD.RID.0.AL.LFPR.11</v>
      </c>
      <c r="B14" s="58" t="str">
        <f aca="false">_xlfn.CONCAT(CALC!B15, ":", CALC!C15)</f>
        <v>Transportation &amp; Warehousing:Support</v>
      </c>
      <c r="C14" s="57" t="n">
        <f aca="false">CALC!L15</f>
        <v>0</v>
      </c>
      <c r="D14" s="57" t="n">
        <f aca="false">CALC!M15</f>
        <v>0</v>
      </c>
      <c r="E14" s="57" t="n">
        <f aca="false">CALC!N15</f>
        <v>0</v>
      </c>
      <c r="F14" s="57" t="n">
        <f aca="false">CALC!O15</f>
        <v>0</v>
      </c>
    </row>
    <row r="15" customFormat="false" ht="12.8" hidden="false" customHeight="false" outlineLevel="0" collapsed="false">
      <c r="A15" s="4" t="str">
        <f aca="false">_xlfn.CONCAT($A$1, ".", CALC!A16)</f>
        <v>LSD.RID.0.AL.LFPR.12</v>
      </c>
      <c r="B15" s="58" t="str">
        <f aca="false">_xlfn.CONCAT(CALC!B16, ":", CALC!C16)</f>
        <v>Transportation &amp; Warehousing:Worker</v>
      </c>
      <c r="C15" s="57" t="n">
        <f aca="false">CALC!L16</f>
        <v>0</v>
      </c>
      <c r="D15" s="57" t="n">
        <f aca="false">CALC!M16</f>
        <v>0</v>
      </c>
      <c r="E15" s="57" t="n">
        <f aca="false">CALC!N16</f>
        <v>0</v>
      </c>
      <c r="F15" s="57" t="n">
        <f aca="false">CALC!O16</f>
        <v>0</v>
      </c>
    </row>
    <row r="16" customFormat="false" ht="12.8" hidden="false" customHeight="false" outlineLevel="0" collapsed="false">
      <c r="A16" s="4" t="str">
        <f aca="false">_xlfn.CONCAT($A$1, ".", CALC!A17)</f>
        <v>LSD.RID.0.AL.LFPR.13</v>
      </c>
      <c r="B16" s="58" t="str">
        <f aca="false">_xlfn.CONCAT(CALC!B17, ":", CALC!C17)</f>
        <v>Retail Trade:Support</v>
      </c>
      <c r="C16" s="57" t="n">
        <f aca="false">CALC!L17</f>
        <v>0</v>
      </c>
      <c r="D16" s="57" t="n">
        <f aca="false">CALC!M17</f>
        <v>0</v>
      </c>
      <c r="E16" s="57" t="n">
        <f aca="false">CALC!N17</f>
        <v>0</v>
      </c>
      <c r="F16" s="57" t="n">
        <f aca="false">CALC!O17</f>
        <v>0</v>
      </c>
    </row>
    <row r="17" customFormat="false" ht="12.8" hidden="false" customHeight="false" outlineLevel="0" collapsed="false">
      <c r="A17" s="4" t="str">
        <f aca="false">_xlfn.CONCAT($A$1, ".", CALC!A18)</f>
        <v>LSD.RID.0.AL.LFPR.14</v>
      </c>
      <c r="B17" s="58" t="str">
        <f aca="false">_xlfn.CONCAT(CALC!B18, ":", CALC!C18)</f>
        <v>Retail Trade:Worker</v>
      </c>
      <c r="C17" s="57" t="n">
        <f aca="false">CALC!L18</f>
        <v>0</v>
      </c>
      <c r="D17" s="57" t="n">
        <f aca="false">CALC!M18</f>
        <v>0</v>
      </c>
      <c r="E17" s="57" t="n">
        <f aca="false">CALC!N18</f>
        <v>0</v>
      </c>
      <c r="F17" s="57" t="n">
        <f aca="false">CALC!O18</f>
        <v>0</v>
      </c>
    </row>
    <row r="18" customFormat="false" ht="12.8" hidden="false" customHeight="false" outlineLevel="0" collapsed="false">
      <c r="A18" s="4" t="str">
        <f aca="false">_xlfn.CONCAT($A$1, ".", CALC!A19)</f>
        <v>LSD.RID.0.AL.LFPR.15</v>
      </c>
      <c r="B18" s="58" t="str">
        <f aca="false">_xlfn.CONCAT(CALC!B19, ":", CALC!C19)</f>
        <v>Landscaping / Groundskeeping:Support</v>
      </c>
      <c r="C18" s="57" t="n">
        <f aca="false">CALC!L19</f>
        <v>0</v>
      </c>
      <c r="D18" s="57" t="n">
        <f aca="false">CALC!M19</f>
        <v>0</v>
      </c>
      <c r="E18" s="57" t="n">
        <f aca="false">CALC!N19</f>
        <v>0</v>
      </c>
      <c r="F18" s="57" t="n">
        <f aca="false">CALC!O19</f>
        <v>0</v>
      </c>
    </row>
    <row r="19" customFormat="false" ht="12.8" hidden="false" customHeight="false" outlineLevel="0" collapsed="false">
      <c r="A19" s="4" t="str">
        <f aca="false">_xlfn.CONCAT($A$1, ".", CALC!A20)</f>
        <v>LSD.RID.0.AL.LFPR.16</v>
      </c>
      <c r="B19" s="58" t="str">
        <f aca="false">_xlfn.CONCAT(CALC!B20, ":", CALC!C20)</f>
        <v>Landscaping / Groundskeeping:Worker</v>
      </c>
      <c r="C19" s="57" t="n">
        <f aca="false">CALC!L20</f>
        <v>0</v>
      </c>
      <c r="D19" s="57" t="n">
        <f aca="false">CALC!M20</f>
        <v>0</v>
      </c>
      <c r="E19" s="57" t="n">
        <f aca="false">CALC!N20</f>
        <v>0</v>
      </c>
      <c r="F19" s="57" t="n">
        <f aca="false">CALC!O20</f>
        <v>0</v>
      </c>
    </row>
    <row r="20" customFormat="false" ht="12.8" hidden="false" customHeight="false" outlineLevel="0" collapsed="false">
      <c r="A20" s="4" t="str">
        <f aca="false">_xlfn.CONCAT($A$1, ".", CALC!A21)</f>
        <v>LSD.RID.0.AL.LFPR.17</v>
      </c>
      <c r="B20" s="58" t="str">
        <f aca="false">_xlfn.CONCAT(CALC!B21, ":", CALC!C21)</f>
        <v>Automotive &amp; Repair:Support</v>
      </c>
      <c r="C20" s="57" t="n">
        <f aca="false">CALC!L21</f>
        <v>0</v>
      </c>
      <c r="D20" s="57" t="n">
        <f aca="false">CALC!M21</f>
        <v>0</v>
      </c>
      <c r="E20" s="57" t="n">
        <f aca="false">CALC!N21</f>
        <v>0</v>
      </c>
      <c r="F20" s="57" t="n">
        <f aca="false">CALC!O21</f>
        <v>0</v>
      </c>
    </row>
    <row r="21" customFormat="false" ht="12.8" hidden="false" customHeight="false" outlineLevel="0" collapsed="false">
      <c r="A21" s="4" t="str">
        <f aca="false">_xlfn.CONCAT($A$1, ".", CALC!A22)</f>
        <v>LSD.RID.0.AL.LFPR.18</v>
      </c>
      <c r="B21" s="58" t="str">
        <f aca="false">_xlfn.CONCAT(CALC!B22, ":", CALC!C22)</f>
        <v>Automotive &amp; Repair:Worker</v>
      </c>
      <c r="C21" s="57" t="n">
        <f aca="false">CALC!L22</f>
        <v>0</v>
      </c>
      <c r="D21" s="57" t="n">
        <f aca="false">CALC!M22</f>
        <v>0</v>
      </c>
      <c r="E21" s="57" t="n">
        <f aca="false">CALC!N22</f>
        <v>0</v>
      </c>
      <c r="F21" s="57" t="n">
        <f aca="false">CALC!O22</f>
        <v>0</v>
      </c>
    </row>
    <row r="22" customFormat="false" ht="12.8" hidden="false" customHeight="false" outlineLevel="0" collapsed="false">
      <c r="A22" s="4" t="str">
        <f aca="false">_xlfn.CONCAT($A$1, ".", CALC!A23)</f>
        <v>LSD.RID.0.AL.LFPR.19</v>
      </c>
      <c r="B22" s="58" t="str">
        <f aca="false">_xlfn.CONCAT(CALC!B23, ":", CALC!C23)</f>
        <v>Healthcare &amp; Social Assistance:Support</v>
      </c>
      <c r="C22" s="57" t="n">
        <f aca="false">CALC!L23</f>
        <v>0</v>
      </c>
      <c r="D22" s="57" t="n">
        <f aca="false">CALC!M23</f>
        <v>0</v>
      </c>
      <c r="E22" s="57" t="n">
        <f aca="false">CALC!N23</f>
        <v>0</v>
      </c>
      <c r="F22" s="57" t="n">
        <f aca="false">CALC!O23</f>
        <v>0</v>
      </c>
    </row>
    <row r="23" customFormat="false" ht="12.8" hidden="false" customHeight="false" outlineLevel="0" collapsed="false">
      <c r="A23" s="4" t="str">
        <f aca="false">_xlfn.CONCAT($A$1, ".", CALC!A24)</f>
        <v>LSD.RID.0.AL.LFPR.20</v>
      </c>
      <c r="B23" s="58" t="str">
        <f aca="false">_xlfn.CONCAT(CALC!B24, ":", CALC!C24)</f>
        <v>Healthcare &amp; Social Assistance:Worker</v>
      </c>
      <c r="C23" s="57" t="n">
        <f aca="false">CALC!L24</f>
        <v>0</v>
      </c>
      <c r="D23" s="57" t="n">
        <f aca="false">CALC!M24</f>
        <v>0</v>
      </c>
      <c r="E23" s="57" t="n">
        <f aca="false">CALC!N24</f>
        <v>0</v>
      </c>
      <c r="F23" s="57" t="n">
        <f aca="false">CALC!O24</f>
        <v>0</v>
      </c>
    </row>
    <row r="24" customFormat="false" ht="12.8" hidden="false" customHeight="false" outlineLevel="0" collapsed="false">
      <c r="A24" s="4" t="str">
        <f aca="false">_xlfn.CONCAT($A$1, ".", CALC!A25)</f>
        <v>LSD.RID.0.AL.LFPR.21</v>
      </c>
      <c r="B24" s="58" t="str">
        <f aca="false">_xlfn.CONCAT(CALC!B25, ":", CALC!C25)</f>
        <v>Professional Services:Support</v>
      </c>
      <c r="C24" s="57" t="n">
        <f aca="false">CALC!L25</f>
        <v>0</v>
      </c>
      <c r="D24" s="57" t="n">
        <f aca="false">CALC!M25</f>
        <v>0</v>
      </c>
      <c r="E24" s="57" t="n">
        <f aca="false">CALC!N25</f>
        <v>0</v>
      </c>
      <c r="F24" s="57" t="n">
        <f aca="false">CALC!O25</f>
        <v>0</v>
      </c>
    </row>
    <row r="25" customFormat="false" ht="12.8" hidden="false" customHeight="false" outlineLevel="0" collapsed="false">
      <c r="A25" s="4" t="str">
        <f aca="false">_xlfn.CONCAT($A$1, ".", CALC!A26)</f>
        <v>LSD.RID.0.AL.LFPR.22</v>
      </c>
      <c r="B25" s="58" t="str">
        <f aca="false">_xlfn.CONCAT(CALC!B26, ":", CALC!C26)</f>
        <v>Professional Services:Worker</v>
      </c>
      <c r="C25" s="57" t="n">
        <f aca="false">CALC!L26</f>
        <v>0</v>
      </c>
      <c r="D25" s="57" t="n">
        <f aca="false">CALC!M26</f>
        <v>0</v>
      </c>
      <c r="E25" s="57" t="n">
        <f aca="false">CALC!N26</f>
        <v>0</v>
      </c>
      <c r="F25" s="57" t="n">
        <f aca="false">CALC!O26</f>
        <v>0</v>
      </c>
    </row>
    <row r="26" customFormat="false" ht="12.8" hidden="false" customHeight="false" outlineLevel="0" collapsed="false">
      <c r="A26" s="4" t="str">
        <f aca="false">_xlfn.CONCAT($A$1, ".", CALC!A27)</f>
        <v>LSD.RID.0.AL.LFPR.23</v>
      </c>
      <c r="B26" s="58" t="str">
        <f aca="false">_xlfn.CONCAT(CALC!B27, ":", CALC!C27)</f>
        <v>Educational Services:Support</v>
      </c>
      <c r="C26" s="57" t="n">
        <f aca="false">CALC!L27</f>
        <v>0</v>
      </c>
      <c r="D26" s="57" t="n">
        <f aca="false">CALC!M27</f>
        <v>0</v>
      </c>
      <c r="E26" s="57" t="n">
        <f aca="false">CALC!N27</f>
        <v>0</v>
      </c>
      <c r="F26" s="57" t="n">
        <f aca="false">CALC!O27</f>
        <v>0</v>
      </c>
    </row>
    <row r="27" customFormat="false" ht="12.8" hidden="false" customHeight="false" outlineLevel="0" collapsed="false">
      <c r="A27" s="4" t="str">
        <f aca="false">_xlfn.CONCAT($A$1, ".", CALC!A28)</f>
        <v>LSD.RID.0.AL.LFPR.24</v>
      </c>
      <c r="B27" s="58" t="str">
        <f aca="false">_xlfn.CONCAT(CALC!B28, ":", CALC!C28)</f>
        <v>Educational Services:Worker</v>
      </c>
      <c r="C27" s="57" t="n">
        <f aca="false">CALC!L28</f>
        <v>0</v>
      </c>
      <c r="D27" s="57" t="n">
        <f aca="false">CALC!M28</f>
        <v>0</v>
      </c>
      <c r="E27" s="57" t="n">
        <f aca="false">CALC!N28</f>
        <v>0</v>
      </c>
      <c r="F27" s="57" t="n">
        <f aca="false">CALC!O28</f>
        <v>0</v>
      </c>
    </row>
    <row r="28" customFormat="false" ht="12.8" hidden="false" customHeight="false" outlineLevel="0" collapsed="false">
      <c r="A28" s="4" t="str">
        <f aca="false">_xlfn.CONCAT($A$1, ".", CALC!A29)</f>
        <v>LSD.RID.0.AL.LFPR.25</v>
      </c>
      <c r="B28" s="58" t="str">
        <f aca="false">_xlfn.CONCAT(CALC!B29, ":", CALC!C29)</f>
        <v>Finance &amp; Insurance:Support</v>
      </c>
      <c r="C28" s="57" t="n">
        <f aca="false">CALC!L29</f>
        <v>0</v>
      </c>
      <c r="D28" s="57" t="n">
        <f aca="false">CALC!M29</f>
        <v>0</v>
      </c>
      <c r="E28" s="57" t="n">
        <f aca="false">CALC!N29</f>
        <v>0</v>
      </c>
      <c r="F28" s="57" t="n">
        <f aca="false">CALC!O29</f>
        <v>0</v>
      </c>
    </row>
    <row r="29" customFormat="false" ht="12.8" hidden="false" customHeight="false" outlineLevel="0" collapsed="false">
      <c r="A29" s="4" t="str">
        <f aca="false">_xlfn.CONCAT($A$1, ".", CALC!A30)</f>
        <v>LSD.RID.0.AL.LFPR.26</v>
      </c>
      <c r="B29" s="58" t="str">
        <f aca="false">_xlfn.CONCAT(CALC!B30, ":", CALC!C30)</f>
        <v>Finance &amp; Insurance:Worker</v>
      </c>
      <c r="C29" s="57" t="n">
        <f aca="false">CALC!L30</f>
        <v>0</v>
      </c>
      <c r="D29" s="57" t="n">
        <f aca="false">CALC!M30</f>
        <v>0</v>
      </c>
      <c r="E29" s="57" t="n">
        <f aca="false">CALC!N30</f>
        <v>0</v>
      </c>
      <c r="F29" s="57" t="n">
        <f aca="false">CALC!O30</f>
        <v>0</v>
      </c>
    </row>
    <row r="30" customFormat="false" ht="12.8" hidden="false" customHeight="false" outlineLevel="0" collapsed="false">
      <c r="A30" s="4" t="str">
        <f aca="false">_xlfn.CONCAT($A$1, ".", CALC!A31)</f>
        <v>LSD.RID.0.AL.LFPR.27</v>
      </c>
      <c r="B30" s="58" t="str">
        <f aca="false">_xlfn.CONCAT(CALC!B31, ":", CALC!C31)</f>
        <v>Media and Information Technology:Support</v>
      </c>
      <c r="C30" s="57" t="n">
        <f aca="false">CALC!L31</f>
        <v>0</v>
      </c>
      <c r="D30" s="57" t="n">
        <f aca="false">CALC!M31</f>
        <v>0</v>
      </c>
      <c r="E30" s="57" t="n">
        <f aca="false">CALC!N31</f>
        <v>0</v>
      </c>
      <c r="F30" s="57" t="n">
        <f aca="false">CALC!O31</f>
        <v>0</v>
      </c>
    </row>
    <row r="31" customFormat="false" ht="12.8" hidden="false" customHeight="false" outlineLevel="0" collapsed="false">
      <c r="A31" s="4" t="str">
        <f aca="false">_xlfn.CONCAT($A$1, ".", CALC!A32)</f>
        <v>LSD.RID.0.AL.LFPR.28</v>
      </c>
      <c r="B31" s="58" t="str">
        <f aca="false">_xlfn.CONCAT(CALC!B32, ":", CALC!C32)</f>
        <v>Media and Information Technology:Worker</v>
      </c>
      <c r="C31" s="57" t="n">
        <f aca="false">CALC!L32</f>
        <v>0</v>
      </c>
      <c r="D31" s="57" t="n">
        <f aca="false">CALC!M32</f>
        <v>0</v>
      </c>
      <c r="E31" s="57" t="n">
        <f aca="false">CALC!N32</f>
        <v>0</v>
      </c>
      <c r="F31" s="57" t="n">
        <f aca="false">CALC!O32</f>
        <v>0</v>
      </c>
    </row>
    <row r="32" customFormat="false" ht="12.8" hidden="false" customHeight="false" outlineLevel="0" collapsed="false">
      <c r="A32" s="4" t="str">
        <f aca="false">_xlfn.CONCAT($A$1, ".", CALC!A33)</f>
        <v>LSD.RID.0.AL.LFPR.29</v>
      </c>
      <c r="B32" s="58" t="str">
        <f aca="false">_xlfn.CONCAT(CALC!B33, ":", CALC!C33)</f>
        <v>Government:Support</v>
      </c>
      <c r="C32" s="57" t="n">
        <f aca="false">CALC!L33</f>
        <v>0</v>
      </c>
      <c r="D32" s="57" t="n">
        <f aca="false">CALC!M33</f>
        <v>0</v>
      </c>
      <c r="E32" s="57" t="n">
        <f aca="false">CALC!N33</f>
        <v>0</v>
      </c>
      <c r="F32" s="57" t="n">
        <f aca="false">CALC!O33</f>
        <v>0</v>
      </c>
    </row>
    <row r="33" customFormat="false" ht="12.8" hidden="false" customHeight="false" outlineLevel="0" collapsed="false">
      <c r="A33" s="4" t="str">
        <f aca="false">_xlfn.CONCAT($A$1, ".", CALC!A34)</f>
        <v>LSD.RID.0.AL.LFPR.30</v>
      </c>
      <c r="B33" s="58" t="str">
        <f aca="false">_xlfn.CONCAT(CALC!B34, ":", CALC!C34)</f>
        <v>Government:Worker</v>
      </c>
      <c r="C33" s="57" t="n">
        <f aca="false">CALC!L34</f>
        <v>0</v>
      </c>
      <c r="D33" s="57" t="n">
        <f aca="false">CALC!M34</f>
        <v>0</v>
      </c>
      <c r="E33" s="57" t="n">
        <f aca="false">CALC!N34</f>
        <v>0</v>
      </c>
      <c r="F33" s="57" t="n">
        <f aca="false">CALC!O34</f>
        <v>0</v>
      </c>
    </row>
    <row r="34" customFormat="false" ht="12.8" hidden="false" customHeight="false" outlineLevel="0" collapsed="false">
      <c r="A34" s="4" t="str">
        <f aca="false">_xlfn.CONCAT($A$1, ".", CALC!A35)</f>
        <v>LSD.RID.0.AL.LFPR.31</v>
      </c>
      <c r="B34" s="58" t="str">
        <f aca="false">_xlfn.CONCAT(CALC!B35, ":", CALC!C35)</f>
        <v>Self-Employed / Non-Employer:Support</v>
      </c>
      <c r="C34" s="57" t="n">
        <f aca="false">CALC!L35</f>
        <v>0</v>
      </c>
      <c r="D34" s="57" t="n">
        <f aca="false">CALC!M35</f>
        <v>0</v>
      </c>
      <c r="E34" s="57" t="n">
        <f aca="false">CALC!N35</f>
        <v>0</v>
      </c>
      <c r="F34" s="57" t="n">
        <f aca="false">CALC!O35</f>
        <v>0</v>
      </c>
    </row>
    <row r="35" customFormat="false" ht="12.8" hidden="false" customHeight="false" outlineLevel="0" collapsed="false">
      <c r="A35" s="4" t="str">
        <f aca="false">_xlfn.CONCAT($A$1, ".", CALC!A36)</f>
        <v>LSD.RID.0.AL.LFPR.32</v>
      </c>
      <c r="B35" s="58" t="str">
        <f aca="false">_xlfn.CONCAT(CALC!B36, ":", CALC!C36)</f>
        <v>Self-Employed / Non-Employer:Worker</v>
      </c>
      <c r="C35" s="57" t="n">
        <f aca="false">CALC!L36</f>
        <v>0</v>
      </c>
      <c r="D35" s="57" t="n">
        <f aca="false">CALC!M36</f>
        <v>0</v>
      </c>
      <c r="E35" s="57" t="n">
        <f aca="false">CALC!N36</f>
        <v>0</v>
      </c>
      <c r="F35" s="57" t="n">
        <f aca="false">CALC!O36</f>
        <v>0</v>
      </c>
    </row>
    <row r="36" customFormat="false" ht="12.8" hidden="false" customHeight="false" outlineLevel="0" collapsed="false">
      <c r="A36" s="4" t="str">
        <f aca="false">_xlfn.CONCAT($A$1, ".", CALC!A37)</f>
        <v>LSD.RID.0.AL.LFPR.33</v>
      </c>
      <c r="B36" s="58" t="str">
        <f aca="false">_xlfn.CONCAT(CALC!B37, ":", CALC!C37)</f>
        <v>Other Services:Support</v>
      </c>
      <c r="C36" s="57" t="n">
        <f aca="false">CALC!L37</f>
        <v>0</v>
      </c>
      <c r="D36" s="57" t="n">
        <f aca="false">CALC!M37</f>
        <v>0</v>
      </c>
      <c r="E36" s="57" t="n">
        <f aca="false">CALC!N37</f>
        <v>0</v>
      </c>
      <c r="F36" s="57" t="n">
        <f aca="false">CALC!O37</f>
        <v>0</v>
      </c>
    </row>
    <row r="37" customFormat="false" ht="12.8" hidden="false" customHeight="false" outlineLevel="0" collapsed="false">
      <c r="A37" s="4" t="str">
        <f aca="false">_xlfn.CONCAT($A$1, ".", CALC!A38)</f>
        <v>LSD.RID.0.AL.LFPR.34</v>
      </c>
      <c r="B37" s="58" t="str">
        <f aca="false">_xlfn.CONCAT(CALC!B38, ":", CALC!C38)</f>
        <v>Other Services:Worker</v>
      </c>
      <c r="C37" s="57" t="n">
        <f aca="false">CALC!L38</f>
        <v>0</v>
      </c>
      <c r="D37" s="57" t="n">
        <f aca="false">CALC!M38</f>
        <v>0</v>
      </c>
      <c r="E37" s="57" t="n">
        <f aca="false">CALC!N38</f>
        <v>0</v>
      </c>
      <c r="F37" s="57" t="n">
        <f aca="false">CALC!O38</f>
        <v>0</v>
      </c>
    </row>
    <row r="38" customFormat="false" ht="12.8" hidden="false" customHeight="false" outlineLevel="0" collapsed="false">
      <c r="A38" s="4" t="str">
        <f aca="false">_xlfn.CONCAT($A$1, ".", CALC!A39)</f>
        <v>LSD.RID.0.AL.LFPR.35</v>
      </c>
      <c r="B38" s="58" t="str">
        <f aca="false">_xlfn.CONCAT(CALC!B39, ":", CALC!C39)</f>
        <v>Mining, Quarrying, and Oil/Gas Extraction:Support</v>
      </c>
      <c r="C38" s="57" t="n">
        <f aca="false">CALC!L39</f>
        <v>0</v>
      </c>
      <c r="D38" s="57" t="n">
        <f aca="false">CALC!M39</f>
        <v>0</v>
      </c>
      <c r="E38" s="57" t="n">
        <f aca="false">CALC!N39</f>
        <v>0</v>
      </c>
      <c r="F38" s="57" t="n">
        <f aca="false">CALC!O39</f>
        <v>0</v>
      </c>
    </row>
    <row r="39" customFormat="false" ht="12.8" hidden="false" customHeight="false" outlineLevel="0" collapsed="false">
      <c r="A39" s="4" t="str">
        <f aca="false">_xlfn.CONCAT($A$1, ".", CALC!A40)</f>
        <v>LSD.RID.0.AL.LFPR.36</v>
      </c>
      <c r="B39" s="58" t="str">
        <f aca="false">_xlfn.CONCAT(CALC!B40, ":", CALC!C40)</f>
        <v>Mining, Quarrying, and Oil/Gas Extraction:Worker</v>
      </c>
      <c r="C39" s="57" t="n">
        <f aca="false">CALC!L40</f>
        <v>0</v>
      </c>
      <c r="D39" s="57" t="n">
        <f aca="false">CALC!M40</f>
        <v>0</v>
      </c>
      <c r="E39" s="57" t="n">
        <f aca="false">CALC!N40</f>
        <v>0</v>
      </c>
      <c r="F39" s="57" t="n">
        <f aca="false">CALC!O40</f>
        <v>0</v>
      </c>
    </row>
    <row r="40" customFormat="false" ht="12.8" hidden="false" customHeight="false" outlineLevel="0" collapsed="false">
      <c r="A40" s="4" t="str">
        <f aca="false">_xlfn.CONCAT($A$1, ".", CALC!A41)</f>
        <v>LSD.RID.0.AL.LFPR.37</v>
      </c>
      <c r="B40" s="58" t="str">
        <f aca="false">_xlfn.CONCAT(CALC!B41, ":", CALC!C41)</f>
        <v>Utilities:Support</v>
      </c>
      <c r="C40" s="57" t="n">
        <f aca="false">CALC!L41</f>
        <v>0</v>
      </c>
      <c r="D40" s="57" t="n">
        <f aca="false">CALC!M41</f>
        <v>0</v>
      </c>
      <c r="E40" s="57" t="n">
        <f aca="false">CALC!N41</f>
        <v>0</v>
      </c>
      <c r="F40" s="57" t="n">
        <f aca="false">CALC!O41</f>
        <v>0</v>
      </c>
    </row>
    <row r="41" customFormat="false" ht="12.8" hidden="false" customHeight="false" outlineLevel="0" collapsed="false">
      <c r="A41" s="4" t="str">
        <f aca="false">_xlfn.CONCAT($A$1, ".", CALC!A42)</f>
        <v>LSD.RID.0.AL.LFPR.38</v>
      </c>
      <c r="B41" s="58" t="str">
        <f aca="false">_xlfn.CONCAT(CALC!B42, ":", CALC!C42)</f>
        <v>Utilities:Worker</v>
      </c>
      <c r="C41" s="57" t="n">
        <f aca="false">CALC!L42</f>
        <v>0</v>
      </c>
      <c r="D41" s="57" t="n">
        <f aca="false">CALC!M42</f>
        <v>0</v>
      </c>
      <c r="E41" s="57" t="n">
        <f aca="false">CALC!N42</f>
        <v>0</v>
      </c>
      <c r="F41" s="57" t="n">
        <f aca="false">CALC!O42</f>
        <v>0</v>
      </c>
    </row>
    <row r="42" customFormat="false" ht="12.8" hidden="false" customHeight="false" outlineLevel="0" collapsed="false">
      <c r="A42" s="4" t="str">
        <f aca="false">_xlfn.CONCAT($A$1, ".", CALC!A43)</f>
        <v>LSD.RID.0.AL.LFPR.39</v>
      </c>
      <c r="B42" s="58" t="str">
        <f aca="false">_xlfn.CONCAT(CALC!B43, ":", CALC!C43)</f>
        <v>Wholesale Trade:Support</v>
      </c>
      <c r="C42" s="57" t="n">
        <f aca="false">CALC!L43</f>
        <v>0</v>
      </c>
      <c r="D42" s="57" t="n">
        <f aca="false">CALC!M43</f>
        <v>0</v>
      </c>
      <c r="E42" s="57" t="n">
        <f aca="false">CALC!N43</f>
        <v>0</v>
      </c>
      <c r="F42" s="57" t="n">
        <f aca="false">CALC!O43</f>
        <v>0</v>
      </c>
    </row>
    <row r="43" customFormat="false" ht="12.8" hidden="false" customHeight="false" outlineLevel="0" collapsed="false">
      <c r="A43" s="4" t="str">
        <f aca="false">_xlfn.CONCAT($A$1, ".", CALC!A44)</f>
        <v>LSD.RID.0.AL.LFPR.40</v>
      </c>
      <c r="B43" s="58" t="str">
        <f aca="false">_xlfn.CONCAT(CALC!B44, ":", CALC!C44)</f>
        <v>Wholesale Trade:Worker</v>
      </c>
      <c r="C43" s="57" t="n">
        <f aca="false">CALC!L44</f>
        <v>0</v>
      </c>
      <c r="D43" s="57" t="n">
        <f aca="false">CALC!M44</f>
        <v>0</v>
      </c>
      <c r="E43" s="57" t="n">
        <f aca="false">CALC!N44</f>
        <v>0</v>
      </c>
      <c r="F43" s="57" t="n">
        <f aca="false">CALC!O44</f>
        <v>0</v>
      </c>
    </row>
    <row r="44" customFormat="false" ht="12.8" hidden="false" customHeight="false" outlineLevel="0" collapsed="false">
      <c r="A44" s="4" t="str">
        <f aca="false">_xlfn.CONCAT($A$1, ".", CALC!A45)</f>
        <v>LSD.RID.0.AL.LFPR.41</v>
      </c>
      <c r="B44" s="58" t="str">
        <f aca="false">_xlfn.CONCAT(CALC!B45, ":", CALC!C45)</f>
        <v>Information:Support</v>
      </c>
      <c r="C44" s="57" t="n">
        <f aca="false">CALC!L45</f>
        <v>0</v>
      </c>
      <c r="D44" s="57" t="n">
        <f aca="false">CALC!M45</f>
        <v>0</v>
      </c>
      <c r="E44" s="57" t="n">
        <f aca="false">CALC!N45</f>
        <v>0</v>
      </c>
      <c r="F44" s="57" t="n">
        <f aca="false">CALC!O45</f>
        <v>0</v>
      </c>
    </row>
    <row r="45" customFormat="false" ht="12.8" hidden="false" customHeight="false" outlineLevel="0" collapsed="false">
      <c r="A45" s="4" t="str">
        <f aca="false">_xlfn.CONCAT($A$1, ".", CALC!A46)</f>
        <v>LSD.RID.0.AL.LFPR.42</v>
      </c>
      <c r="B45" s="58" t="str">
        <f aca="false">_xlfn.CONCAT(CALC!B46, ":", CALC!C46)</f>
        <v>Information:Worker</v>
      </c>
      <c r="C45" s="57" t="n">
        <f aca="false">CALC!L46</f>
        <v>0</v>
      </c>
      <c r="D45" s="57" t="n">
        <f aca="false">CALC!M46</f>
        <v>0</v>
      </c>
      <c r="E45" s="57" t="n">
        <f aca="false">CALC!N46</f>
        <v>0</v>
      </c>
      <c r="F45" s="57" t="n">
        <f aca="false">CALC!O46</f>
        <v>0</v>
      </c>
    </row>
    <row r="46" customFormat="false" ht="12.8" hidden="false" customHeight="false" outlineLevel="0" collapsed="false">
      <c r="A46" s="4" t="str">
        <f aca="false">_xlfn.CONCAT($A$1, ".", CALC!A47)</f>
        <v>LSD.RID.0.AL.LFPR.43</v>
      </c>
      <c r="B46" s="58" t="str">
        <f aca="false">_xlfn.CONCAT(CALC!B47, ":", CALC!C47)</f>
        <v>Real Estate, Rental and Leasing:Support</v>
      </c>
      <c r="C46" s="57" t="n">
        <f aca="false">CALC!L47</f>
        <v>0</v>
      </c>
      <c r="D46" s="57" t="n">
        <f aca="false">CALC!M47</f>
        <v>0</v>
      </c>
      <c r="E46" s="57" t="n">
        <f aca="false">CALC!N47</f>
        <v>0</v>
      </c>
      <c r="F46" s="57" t="n">
        <f aca="false">CALC!O47</f>
        <v>0</v>
      </c>
    </row>
    <row r="47" customFormat="false" ht="12.8" hidden="false" customHeight="false" outlineLevel="0" collapsed="false">
      <c r="A47" s="4" t="str">
        <f aca="false">_xlfn.CONCAT($A$1, ".", CALC!A48)</f>
        <v>LSD.RID.0.AL.LFPR.44</v>
      </c>
      <c r="B47" s="58" t="str">
        <f aca="false">_xlfn.CONCAT(CALC!B48, ":", CALC!C48)</f>
        <v>Real Estate, Rental and Leasing:Worker</v>
      </c>
      <c r="C47" s="57" t="n">
        <f aca="false">CALC!L48</f>
        <v>0</v>
      </c>
      <c r="D47" s="57" t="n">
        <f aca="false">CALC!M48</f>
        <v>0</v>
      </c>
      <c r="E47" s="57" t="n">
        <f aca="false">CALC!N48</f>
        <v>0</v>
      </c>
      <c r="F47" s="57" t="n">
        <f aca="false">CALC!O48</f>
        <v>0</v>
      </c>
    </row>
    <row r="48" customFormat="false" ht="12.8" hidden="false" customHeight="false" outlineLevel="0" collapsed="false">
      <c r="A48" s="4" t="str">
        <f aca="false">_xlfn.CONCAT($A$1, ".", CALC!A49)</f>
        <v>LSD.RID.0.AL.LFPR.45</v>
      </c>
      <c r="B48" s="58" t="str">
        <f aca="false">_xlfn.CONCAT(CALC!B49, ":", CALC!C49)</f>
        <v>Waste Management Services:Support</v>
      </c>
      <c r="C48" s="57" t="n">
        <f aca="false">CALC!L49</f>
        <v>0</v>
      </c>
      <c r="D48" s="57" t="n">
        <f aca="false">CALC!M49</f>
        <v>0</v>
      </c>
      <c r="E48" s="57" t="n">
        <f aca="false">CALC!N49</f>
        <v>0</v>
      </c>
      <c r="F48" s="57" t="n">
        <f aca="false">CALC!O49</f>
        <v>0</v>
      </c>
    </row>
    <row r="49" customFormat="false" ht="12.8" hidden="false" customHeight="false" outlineLevel="0" collapsed="false">
      <c r="A49" s="4" t="str">
        <f aca="false">_xlfn.CONCAT($A$1, ".", CALC!A50)</f>
        <v>LSD.RID.0.AL.LFPR.46</v>
      </c>
      <c r="B49" s="58" t="str">
        <f aca="false">_xlfn.CONCAT(CALC!B50, ":", CALC!C50)</f>
        <v>Waste Management Services:Worker</v>
      </c>
      <c r="C49" s="57" t="n">
        <f aca="false">CALC!L50</f>
        <v>0</v>
      </c>
      <c r="D49" s="57" t="n">
        <f aca="false">CALC!M50</f>
        <v>0</v>
      </c>
      <c r="E49" s="57" t="n">
        <f aca="false">CALC!N50</f>
        <v>0</v>
      </c>
      <c r="F49" s="57" t="n">
        <f aca="false">CALC!O50</f>
        <v>0</v>
      </c>
    </row>
    <row r="50" customFormat="false" ht="12.8" hidden="false" customHeight="false" outlineLevel="0" collapsed="false">
      <c r="A50" s="4" t="str">
        <f aca="false">_xlfn.CONCAT($A$1, ".", CALC!A51)</f>
        <v>LSD.RID.0.AL.LFPR.47</v>
      </c>
      <c r="B50" s="58" t="str">
        <f aca="false">_xlfn.CONCAT(CALC!B51, ":", CALC!C51)</f>
        <v>Arts, Entertainment, and Recreation:Support</v>
      </c>
      <c r="C50" s="57" t="n">
        <f aca="false">CALC!L51</f>
        <v>0</v>
      </c>
      <c r="D50" s="57" t="n">
        <f aca="false">CALC!M51</f>
        <v>0</v>
      </c>
      <c r="E50" s="57" t="n">
        <f aca="false">CALC!N51</f>
        <v>0</v>
      </c>
      <c r="F50" s="57" t="n">
        <f aca="false">CALC!O51</f>
        <v>0</v>
      </c>
    </row>
    <row r="51" customFormat="false" ht="12.8" hidden="false" customHeight="false" outlineLevel="0" collapsed="false">
      <c r="A51" s="4" t="str">
        <f aca="false">_xlfn.CONCAT($A$1, ".", CALC!A52)</f>
        <v>LSD.RID.0.AL.LFPR.48</v>
      </c>
      <c r="B51" s="58" t="str">
        <f aca="false">_xlfn.CONCAT(CALC!B52, ":", CALC!C52)</f>
        <v>Arts, Entertainment, and Recreation:Worker</v>
      </c>
      <c r="C51" s="57" t="n">
        <f aca="false">CALC!L52</f>
        <v>0</v>
      </c>
      <c r="D51" s="57" t="n">
        <f aca="false">CALC!M52</f>
        <v>0</v>
      </c>
      <c r="E51" s="57" t="n">
        <f aca="false">CALC!N52</f>
        <v>0</v>
      </c>
      <c r="F51" s="57" t="n">
        <f aca="false">CALC!O52</f>
        <v>0</v>
      </c>
    </row>
    <row r="52" customFormat="false" ht="12.8" hidden="false" customHeight="false" outlineLevel="0" collapsed="false">
      <c r="A52" s="4" t="str">
        <f aca="false">_xlfn.CONCAT($A$1, ".", CALC!A53)</f>
        <v>LSD.RID.0.AL.LFPR.49</v>
      </c>
      <c r="B52" s="58" t="str">
        <f aca="false">_xlfn.CONCAT(CALC!B53, ":", CALC!C53)</f>
        <v>Accommodation and Food Services:Support</v>
      </c>
      <c r="C52" s="57" t="n">
        <f aca="false">CALC!L53</f>
        <v>0</v>
      </c>
      <c r="D52" s="57" t="n">
        <f aca="false">CALC!M53</f>
        <v>0</v>
      </c>
      <c r="E52" s="57" t="n">
        <f aca="false">CALC!N53</f>
        <v>0</v>
      </c>
      <c r="F52" s="57" t="n">
        <f aca="false">CALC!O53</f>
        <v>0</v>
      </c>
    </row>
    <row r="53" customFormat="false" ht="12.8" hidden="false" customHeight="false" outlineLevel="0" collapsed="false">
      <c r="A53" s="4" t="str">
        <f aca="false">_xlfn.CONCAT($A$1, ".", CALC!A54)</f>
        <v>LSD.RID.0.AL.LFPR.50</v>
      </c>
      <c r="B53" s="58" t="str">
        <f aca="false">_xlfn.CONCAT(CALC!B54, ":", CALC!C54)</f>
        <v>Accommodation and Food Services:Worker</v>
      </c>
      <c r="C53" s="57" t="n">
        <f aca="false">CALC!L54</f>
        <v>0</v>
      </c>
      <c r="D53" s="57" t="n">
        <f aca="false">CALC!M54</f>
        <v>0</v>
      </c>
      <c r="E53" s="57" t="n">
        <f aca="false">CALC!N54</f>
        <v>0</v>
      </c>
      <c r="F53" s="57" t="n">
        <f aca="false">CALC!O54</f>
        <v>0</v>
      </c>
    </row>
    <row r="54" customFormat="false" ht="12.8" hidden="false" customHeight="false" outlineLevel="0" collapsed="false">
      <c r="A54" s="4" t="str">
        <f aca="false">_xlfn.CONCAT($A$1, ".", CALC!A55)</f>
        <v>LSD.RID.0.AL.LFPR.51</v>
      </c>
      <c r="B54" s="58" t="str">
        <f aca="false">_xlfn.CONCAT(CALC!B55, ":", CALC!C55)</f>
        <v>Public Administration:Support</v>
      </c>
      <c r="C54" s="57" t="n">
        <f aca="false">CALC!L55</f>
        <v>0</v>
      </c>
      <c r="D54" s="57" t="n">
        <f aca="false">CALC!M55</f>
        <v>0</v>
      </c>
      <c r="E54" s="57" t="n">
        <f aca="false">CALC!N55</f>
        <v>0</v>
      </c>
      <c r="F54" s="57" t="n">
        <f aca="false">CALC!O55</f>
        <v>0</v>
      </c>
    </row>
    <row r="55" customFormat="false" ht="12.8" hidden="false" customHeight="false" outlineLevel="0" collapsed="false">
      <c r="A55" s="4" t="str">
        <f aca="false">_xlfn.CONCAT($A$1, ".", CALC!A56)</f>
        <v>LSD.RID.0.AL.LFPR.52</v>
      </c>
      <c r="B55" s="58" t="str">
        <f aca="false">_xlfn.CONCAT(CALC!B56, ":", CALC!C56)</f>
        <v>Public Administration:Worker</v>
      </c>
      <c r="C55" s="57" t="n">
        <f aca="false">CALC!L56</f>
        <v>0</v>
      </c>
      <c r="D55" s="57" t="n">
        <f aca="false">CALC!M56</f>
        <v>0</v>
      </c>
      <c r="E55" s="57" t="n">
        <f aca="false">CALC!N56</f>
        <v>0</v>
      </c>
      <c r="F55" s="57" t="n">
        <f aca="false">CALC!O56</f>
        <v>0</v>
      </c>
    </row>
    <row r="56" customFormat="false" ht="12.8" hidden="false" customHeight="false" outlineLevel="0" collapsed="false">
      <c r="A56" s="4"/>
      <c r="B56" s="58"/>
      <c r="C56" s="57"/>
      <c r="D56" s="57"/>
      <c r="E56" s="57"/>
      <c r="F56" s="57"/>
    </row>
    <row r="57" customFormat="false" ht="12.8" hidden="false" customHeight="false" outlineLevel="0" collapsed="false">
      <c r="A57" s="4"/>
      <c r="B57" s="58"/>
      <c r="C57" s="57"/>
      <c r="D57" s="57"/>
      <c r="E57" s="57"/>
      <c r="F57" s="57"/>
    </row>
    <row r="58" customFormat="false" ht="12.8" hidden="false" customHeight="false" outlineLevel="0" collapsed="false">
      <c r="A58" s="4"/>
      <c r="B58" s="58"/>
      <c r="C58" s="57"/>
      <c r="D58" s="57"/>
      <c r="E58" s="57"/>
      <c r="F58" s="57"/>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83B0"/>
    <pageSetUpPr fitToPage="false"/>
  </sheetPr>
  <dimension ref="A1:BP247"/>
  <sheetViews>
    <sheetView showFormulas="false" showGridLines="true" showRowColHeaders="true" showZeros="true" rightToLeft="false" tabSelected="false" showOutlineSymbols="true" defaultGridColor="true" view="normal" topLeftCell="A100" colorId="64" zoomScale="65" zoomScaleNormal="65" zoomScalePageLayoutView="100" workbookViewId="0">
      <selection pane="topLeft" activeCell="A152" activeCellId="0" sqref="A152"/>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11" t="s">
        <v>2149</v>
      </c>
      <c r="B1" s="47" t="s">
        <v>2150</v>
      </c>
      <c r="C1" s="6" t="s">
        <v>2</v>
      </c>
      <c r="D1" s="51" t="s">
        <v>2151</v>
      </c>
      <c r="AZ1" s="26"/>
      <c r="BP1" s="26"/>
    </row>
    <row r="2" customFormat="false" ht="46.25" hidden="false" customHeight="false" outlineLevel="0" collapsed="false">
      <c r="A2" s="52" t="s">
        <v>2140</v>
      </c>
      <c r="B2" s="47" t="s">
        <v>2141</v>
      </c>
      <c r="C2" s="57" t="str">
        <f aca="false">CALC!P3</f>
        <v>Unemployment Rate</v>
      </c>
      <c r="D2" s="57" t="str">
        <f aca="false">CALC!Q3</f>
        <v>Authorized Immigrant Unemployment Rate</v>
      </c>
      <c r="E2" s="57" t="str">
        <f aca="false">CALC!R3</f>
        <v>Unauthorized Immigrant Unemployment Rate</v>
      </c>
      <c r="F2" s="57" t="str">
        <f aca="false">CALC!S3</f>
        <v>American Unemployment Rate</v>
      </c>
    </row>
    <row r="3" customFormat="false" ht="12.8" hidden="false" customHeight="false" outlineLevel="0" collapsed="false">
      <c r="A3" s="4" t="str">
        <f aca="false">_xlfn.CONCAT($A$1, ".", CALC!A4)</f>
        <v>LSD.RID.0.AL.U3R.0</v>
      </c>
      <c r="B3" s="58" t="str">
        <f aca="false">_xlfn.CONCAT(CALC!B4, ":", CALC!C4)</f>
        <v>All Industries:All Roles</v>
      </c>
      <c r="C3" s="57" t="n">
        <f aca="false">CALC!P4</f>
        <v>0</v>
      </c>
      <c r="D3" s="57" t="n">
        <f aca="false">CALC!Q4</f>
        <v>0</v>
      </c>
      <c r="E3" s="57" t="n">
        <f aca="false">CALC!R4</f>
        <v>0</v>
      </c>
      <c r="F3" s="57" t="n">
        <f aca="false">CALC!S4</f>
        <v>0</v>
      </c>
    </row>
    <row r="4" customFormat="false" ht="12.8" hidden="false" customHeight="false" outlineLevel="0" collapsed="false">
      <c r="A4" s="41" t="str">
        <f aca="false">_xlfn.CONCAT($A$1, ".", CALC!A5)</f>
        <v>LSD.RID.0.AL.U3R.1</v>
      </c>
      <c r="B4" s="55" t="str">
        <f aca="false">_xlfn.CONCAT(CALC!B5, ":", CALC!C5)</f>
        <v>Agriculture:Support</v>
      </c>
      <c r="C4" s="59" t="n">
        <f aca="false">CALC!P5</f>
        <v>0</v>
      </c>
      <c r="D4" s="59" t="n">
        <f aca="false">CALC!Q5</f>
        <v>0</v>
      </c>
      <c r="E4" s="59" t="n">
        <f aca="false">CALC!R5</f>
        <v>0</v>
      </c>
      <c r="F4" s="59" t="n">
        <f aca="false">CALC!S5</f>
        <v>0</v>
      </c>
    </row>
    <row r="5" customFormat="false" ht="12.8" hidden="false" customHeight="false" outlineLevel="0" collapsed="false">
      <c r="A5" s="41" t="str">
        <f aca="false">_xlfn.CONCAT($A$1, ".", CALC!A6)</f>
        <v>LSD.RID.0.AL.U3R.2</v>
      </c>
      <c r="B5" s="55" t="str">
        <f aca="false">_xlfn.CONCAT(CALC!B6, ":", CALC!C6)</f>
        <v>Agriculture:Worker</v>
      </c>
      <c r="C5" s="59" t="n">
        <f aca="false">CALC!P6</f>
        <v>0</v>
      </c>
      <c r="D5" s="59" t="n">
        <f aca="false">CALC!Q6</f>
        <v>0</v>
      </c>
      <c r="E5" s="59" t="n">
        <f aca="false">CALC!R6</f>
        <v>0</v>
      </c>
      <c r="F5" s="59" t="n">
        <f aca="false">CALC!S6</f>
        <v>0</v>
      </c>
    </row>
    <row r="6" customFormat="false" ht="12.8" hidden="false" customHeight="false" outlineLevel="0" collapsed="false">
      <c r="A6" s="41" t="str">
        <f aca="false">_xlfn.CONCAT($A$1, ".", CALC!A7)</f>
        <v>LSD.RID.0.AL.U3R.3</v>
      </c>
      <c r="B6" s="55" t="str">
        <f aca="false">_xlfn.CONCAT(CALC!B7, ":", CALC!C7)</f>
        <v>Construction:Support</v>
      </c>
      <c r="C6" s="59" t="n">
        <f aca="false">CALC!P7</f>
        <v>0</v>
      </c>
      <c r="D6" s="59" t="n">
        <f aca="false">CALC!Q7</f>
        <v>0</v>
      </c>
      <c r="E6" s="59" t="n">
        <f aca="false">CALC!R7</f>
        <v>0</v>
      </c>
      <c r="F6" s="59" t="n">
        <f aca="false">CALC!S7</f>
        <v>0</v>
      </c>
    </row>
    <row r="7" customFormat="false" ht="12.8" hidden="false" customHeight="false" outlineLevel="0" collapsed="false">
      <c r="A7" s="41" t="str">
        <f aca="false">_xlfn.CONCAT($A$1, ".", CALC!A8)</f>
        <v>LSD.RID.0.AL.U3R.4</v>
      </c>
      <c r="B7" s="55" t="str">
        <f aca="false">_xlfn.CONCAT(CALC!B8, ":", CALC!C8)</f>
        <v>Construction:Worker</v>
      </c>
      <c r="C7" s="59" t="n">
        <f aca="false">CALC!P8</f>
        <v>0</v>
      </c>
      <c r="D7" s="59" t="n">
        <f aca="false">CALC!Q8</f>
        <v>0</v>
      </c>
      <c r="E7" s="59" t="n">
        <f aca="false">CALC!R8</f>
        <v>0</v>
      </c>
      <c r="F7" s="59" t="n">
        <f aca="false">CALC!S8</f>
        <v>0</v>
      </c>
    </row>
    <row r="8" customFormat="false" ht="12.8" hidden="false" customHeight="false" outlineLevel="0" collapsed="false">
      <c r="A8" s="41" t="str">
        <f aca="false">_xlfn.CONCAT($A$1, ".", CALC!A9)</f>
        <v>LSD.RID.0.AL.U3R.5</v>
      </c>
      <c r="B8" s="55" t="str">
        <f aca="false">_xlfn.CONCAT(CALC!B9, ":", CALC!C9)</f>
        <v>Hospitality:Support</v>
      </c>
      <c r="C8" s="59" t="n">
        <f aca="false">CALC!P9</f>
        <v>0</v>
      </c>
      <c r="D8" s="59" t="n">
        <f aca="false">CALC!Q9</f>
        <v>0</v>
      </c>
      <c r="E8" s="59" t="n">
        <f aca="false">CALC!R9</f>
        <v>0</v>
      </c>
      <c r="F8" s="59" t="n">
        <f aca="false">CALC!S9</f>
        <v>0</v>
      </c>
    </row>
    <row r="9" customFormat="false" ht="12.8" hidden="false" customHeight="false" outlineLevel="0" collapsed="false">
      <c r="A9" s="41" t="str">
        <f aca="false">_xlfn.CONCAT($A$1, ".", CALC!A10)</f>
        <v>LSD.RID.0.AL.U3R.6</v>
      </c>
      <c r="B9" s="55" t="str">
        <f aca="false">_xlfn.CONCAT(CALC!B10, ":", CALC!C10)</f>
        <v>Hospitality:Worker</v>
      </c>
      <c r="C9" s="59" t="n">
        <f aca="false">CALC!P10</f>
        <v>0</v>
      </c>
      <c r="D9" s="59" t="n">
        <f aca="false">CALC!Q10</f>
        <v>0</v>
      </c>
      <c r="E9" s="59" t="n">
        <f aca="false">CALC!R10</f>
        <v>0</v>
      </c>
      <c r="F9" s="59" t="n">
        <f aca="false">CALC!S10</f>
        <v>0</v>
      </c>
    </row>
    <row r="10" customFormat="false" ht="12.8" hidden="false" customHeight="false" outlineLevel="0" collapsed="false">
      <c r="A10" s="41" t="str">
        <f aca="false">_xlfn.CONCAT($A$1, ".", CALC!A11)</f>
        <v>LSD.RID.0.AL.U3R.7</v>
      </c>
      <c r="B10" s="55" t="str">
        <f aca="false">_xlfn.CONCAT(CALC!B11, ":", CALC!C11)</f>
        <v>Cleaning &amp; Maintenance:Support</v>
      </c>
      <c r="C10" s="59" t="n">
        <f aca="false">CALC!P11</f>
        <v>0</v>
      </c>
      <c r="D10" s="59" t="n">
        <f aca="false">CALC!Q11</f>
        <v>0</v>
      </c>
      <c r="E10" s="59" t="n">
        <f aca="false">CALC!R11</f>
        <v>0</v>
      </c>
      <c r="F10" s="59" t="n">
        <f aca="false">CALC!S11</f>
        <v>0</v>
      </c>
    </row>
    <row r="11" customFormat="false" ht="12.8" hidden="false" customHeight="false" outlineLevel="0" collapsed="false">
      <c r="A11" s="41" t="str">
        <f aca="false">_xlfn.CONCAT($A$1, ".", CALC!A12)</f>
        <v>LSD.RID.0.AL.U3R.8</v>
      </c>
      <c r="B11" s="55" t="str">
        <f aca="false">_xlfn.CONCAT(CALC!B12, ":", CALC!C12)</f>
        <v>Cleaning &amp; Maintenance:Worker</v>
      </c>
      <c r="C11" s="59" t="n">
        <f aca="false">CALC!P12</f>
        <v>0</v>
      </c>
      <c r="D11" s="59" t="n">
        <f aca="false">CALC!Q12</f>
        <v>0</v>
      </c>
      <c r="E11" s="59" t="n">
        <f aca="false">CALC!R12</f>
        <v>0</v>
      </c>
      <c r="F11" s="59" t="n">
        <f aca="false">CALC!S12</f>
        <v>0</v>
      </c>
    </row>
    <row r="12" customFormat="false" ht="12.8" hidden="false" customHeight="false" outlineLevel="0" collapsed="false">
      <c r="A12" s="41" t="str">
        <f aca="false">_xlfn.CONCAT($A$1, ".", CALC!A13)</f>
        <v>LSD.RID.0.AL.U3R.9</v>
      </c>
      <c r="B12" s="55" t="str">
        <f aca="false">_xlfn.CONCAT(CALC!B13, ":", CALC!C13)</f>
        <v>Manufacturing:Support</v>
      </c>
      <c r="C12" s="59" t="n">
        <f aca="false">CALC!P13</f>
        <v>0</v>
      </c>
      <c r="D12" s="59" t="n">
        <f aca="false">CALC!Q13</f>
        <v>0</v>
      </c>
      <c r="E12" s="59" t="n">
        <f aca="false">CALC!R13</f>
        <v>0</v>
      </c>
      <c r="F12" s="59" t="n">
        <f aca="false">CALC!S13</f>
        <v>0</v>
      </c>
    </row>
    <row r="13" customFormat="false" ht="12.8" hidden="false" customHeight="false" outlineLevel="0" collapsed="false">
      <c r="A13" s="41" t="str">
        <f aca="false">_xlfn.CONCAT($A$1, ".", CALC!A14)</f>
        <v>LSD.RID.0.AL.U3R.10</v>
      </c>
      <c r="B13" s="55" t="str">
        <f aca="false">_xlfn.CONCAT(CALC!B14, ":", CALC!C14)</f>
        <v>Manufacturing:Worker</v>
      </c>
      <c r="C13" s="59" t="n">
        <f aca="false">CALC!P14</f>
        <v>0</v>
      </c>
      <c r="D13" s="59" t="n">
        <f aca="false">CALC!Q14</f>
        <v>0</v>
      </c>
      <c r="E13" s="59" t="n">
        <f aca="false">CALC!R14</f>
        <v>0</v>
      </c>
      <c r="F13" s="59" t="n">
        <f aca="false">CALC!S14</f>
        <v>0</v>
      </c>
    </row>
    <row r="14" customFormat="false" ht="12.8" hidden="false" customHeight="false" outlineLevel="0" collapsed="false">
      <c r="A14" s="41" t="str">
        <f aca="false">_xlfn.CONCAT($A$1, ".", CALC!A15)</f>
        <v>LSD.RID.0.AL.U3R.11</v>
      </c>
      <c r="B14" s="55" t="str">
        <f aca="false">_xlfn.CONCAT(CALC!B15, ":", CALC!C15)</f>
        <v>Transportation &amp; Warehousing:Support</v>
      </c>
      <c r="C14" s="59" t="n">
        <f aca="false">CALC!P15</f>
        <v>0</v>
      </c>
      <c r="D14" s="59" t="n">
        <f aca="false">CALC!Q15</f>
        <v>0</v>
      </c>
      <c r="E14" s="59" t="n">
        <f aca="false">CALC!R15</f>
        <v>0</v>
      </c>
      <c r="F14" s="59" t="n">
        <f aca="false">CALC!S15</f>
        <v>0</v>
      </c>
    </row>
    <row r="15" customFormat="false" ht="12.8" hidden="false" customHeight="false" outlineLevel="0" collapsed="false">
      <c r="A15" s="41" t="str">
        <f aca="false">_xlfn.CONCAT($A$1, ".", CALC!A16)</f>
        <v>LSD.RID.0.AL.U3R.12</v>
      </c>
      <c r="B15" s="55" t="str">
        <f aca="false">_xlfn.CONCAT(CALC!B16, ":", CALC!C16)</f>
        <v>Transportation &amp; Warehousing:Worker</v>
      </c>
      <c r="C15" s="59" t="n">
        <f aca="false">CALC!P16</f>
        <v>0</v>
      </c>
      <c r="D15" s="59" t="n">
        <f aca="false">CALC!Q16</f>
        <v>0</v>
      </c>
      <c r="E15" s="59" t="n">
        <f aca="false">CALC!R16</f>
        <v>0</v>
      </c>
      <c r="F15" s="59" t="n">
        <f aca="false">CALC!S16</f>
        <v>0</v>
      </c>
    </row>
    <row r="16" customFormat="false" ht="12.8" hidden="false" customHeight="false" outlineLevel="0" collapsed="false">
      <c r="A16" s="41" t="str">
        <f aca="false">_xlfn.CONCAT($A$1, ".", CALC!A17)</f>
        <v>LSD.RID.0.AL.U3R.13</v>
      </c>
      <c r="B16" s="55" t="str">
        <f aca="false">_xlfn.CONCAT(CALC!B17, ":", CALC!C17)</f>
        <v>Retail Trade:Support</v>
      </c>
      <c r="C16" s="59" t="n">
        <f aca="false">CALC!P17</f>
        <v>0</v>
      </c>
      <c r="D16" s="59" t="n">
        <f aca="false">CALC!Q17</f>
        <v>0</v>
      </c>
      <c r="E16" s="59" t="n">
        <f aca="false">CALC!R17</f>
        <v>0</v>
      </c>
      <c r="F16" s="59" t="n">
        <f aca="false">CALC!S17</f>
        <v>0</v>
      </c>
    </row>
    <row r="17" customFormat="false" ht="12.8" hidden="false" customHeight="false" outlineLevel="0" collapsed="false">
      <c r="A17" s="41" t="str">
        <f aca="false">_xlfn.CONCAT($A$1, ".", CALC!A18)</f>
        <v>LSD.RID.0.AL.U3R.14</v>
      </c>
      <c r="B17" s="55" t="str">
        <f aca="false">_xlfn.CONCAT(CALC!B18, ":", CALC!C18)</f>
        <v>Retail Trade:Worker</v>
      </c>
      <c r="C17" s="59" t="n">
        <f aca="false">CALC!P18</f>
        <v>0</v>
      </c>
      <c r="D17" s="59" t="n">
        <f aca="false">CALC!Q18</f>
        <v>0</v>
      </c>
      <c r="E17" s="59" t="n">
        <f aca="false">CALC!R18</f>
        <v>0</v>
      </c>
      <c r="F17" s="59" t="n">
        <f aca="false">CALC!S18</f>
        <v>0</v>
      </c>
    </row>
    <row r="18" customFormat="false" ht="12.8" hidden="false" customHeight="false" outlineLevel="0" collapsed="false">
      <c r="A18" s="41" t="str">
        <f aca="false">_xlfn.CONCAT($A$1, ".", CALC!A19)</f>
        <v>LSD.RID.0.AL.U3R.15</v>
      </c>
      <c r="B18" s="55" t="str">
        <f aca="false">_xlfn.CONCAT(CALC!B19, ":", CALC!C19)</f>
        <v>Landscaping / Groundskeeping:Support</v>
      </c>
      <c r="C18" s="59" t="n">
        <f aca="false">CALC!P19</f>
        <v>0</v>
      </c>
      <c r="D18" s="59" t="n">
        <f aca="false">CALC!Q19</f>
        <v>0</v>
      </c>
      <c r="E18" s="59" t="n">
        <f aca="false">CALC!R19</f>
        <v>0</v>
      </c>
      <c r="F18" s="59" t="n">
        <f aca="false">CALC!S19</f>
        <v>0</v>
      </c>
    </row>
    <row r="19" customFormat="false" ht="12.8" hidden="false" customHeight="false" outlineLevel="0" collapsed="false">
      <c r="A19" s="41" t="str">
        <f aca="false">_xlfn.CONCAT($A$1, ".", CALC!A20)</f>
        <v>LSD.RID.0.AL.U3R.16</v>
      </c>
      <c r="B19" s="55" t="str">
        <f aca="false">_xlfn.CONCAT(CALC!B20, ":", CALC!C20)</f>
        <v>Landscaping / Groundskeeping:Worker</v>
      </c>
      <c r="C19" s="59" t="n">
        <f aca="false">CALC!P20</f>
        <v>0</v>
      </c>
      <c r="D19" s="59" t="n">
        <f aca="false">CALC!Q20</f>
        <v>0</v>
      </c>
      <c r="E19" s="59" t="n">
        <f aca="false">CALC!R20</f>
        <v>0</v>
      </c>
      <c r="F19" s="59" t="n">
        <f aca="false">CALC!S20</f>
        <v>0</v>
      </c>
    </row>
    <row r="20" customFormat="false" ht="12.8" hidden="false" customHeight="false" outlineLevel="0" collapsed="false">
      <c r="A20" s="41" t="str">
        <f aca="false">_xlfn.CONCAT($A$1, ".", CALC!A21)</f>
        <v>LSD.RID.0.AL.U3R.17</v>
      </c>
      <c r="B20" s="55" t="str">
        <f aca="false">_xlfn.CONCAT(CALC!B21, ":", CALC!C21)</f>
        <v>Automotive &amp; Repair:Support</v>
      </c>
      <c r="C20" s="59" t="n">
        <f aca="false">CALC!P21</f>
        <v>0</v>
      </c>
      <c r="D20" s="59" t="n">
        <f aca="false">CALC!Q21</f>
        <v>0</v>
      </c>
      <c r="E20" s="59" t="n">
        <f aca="false">CALC!R21</f>
        <v>0</v>
      </c>
      <c r="F20" s="59" t="n">
        <f aca="false">CALC!S21</f>
        <v>0</v>
      </c>
    </row>
    <row r="21" customFormat="false" ht="12.8" hidden="false" customHeight="false" outlineLevel="0" collapsed="false">
      <c r="A21" s="41" t="str">
        <f aca="false">_xlfn.CONCAT($A$1, ".", CALC!A22)</f>
        <v>LSD.RID.0.AL.U3R.18</v>
      </c>
      <c r="B21" s="55" t="str">
        <f aca="false">_xlfn.CONCAT(CALC!B22, ":", CALC!C22)</f>
        <v>Automotive &amp; Repair:Worker</v>
      </c>
      <c r="C21" s="59" t="n">
        <f aca="false">CALC!P22</f>
        <v>0</v>
      </c>
      <c r="D21" s="59" t="n">
        <f aca="false">CALC!Q22</f>
        <v>0</v>
      </c>
      <c r="E21" s="59" t="n">
        <f aca="false">CALC!R22</f>
        <v>0</v>
      </c>
      <c r="F21" s="59" t="n">
        <f aca="false">CALC!S22</f>
        <v>0</v>
      </c>
    </row>
    <row r="22" customFormat="false" ht="12.8" hidden="false" customHeight="false" outlineLevel="0" collapsed="false">
      <c r="A22" s="41" t="str">
        <f aca="false">_xlfn.CONCAT($A$1, ".", CALC!A23)</f>
        <v>LSD.RID.0.AL.U3R.19</v>
      </c>
      <c r="B22" s="55" t="str">
        <f aca="false">_xlfn.CONCAT(CALC!B23, ":", CALC!C23)</f>
        <v>Healthcare &amp; Social Assistance:Support</v>
      </c>
      <c r="C22" s="59" t="n">
        <f aca="false">CALC!P23</f>
        <v>0</v>
      </c>
      <c r="D22" s="59" t="n">
        <f aca="false">CALC!Q23</f>
        <v>0</v>
      </c>
      <c r="E22" s="59" t="n">
        <f aca="false">CALC!R23</f>
        <v>0</v>
      </c>
      <c r="F22" s="59" t="n">
        <f aca="false">CALC!S23</f>
        <v>0</v>
      </c>
    </row>
    <row r="23" customFormat="false" ht="12.8" hidden="false" customHeight="false" outlineLevel="0" collapsed="false">
      <c r="A23" s="41" t="str">
        <f aca="false">_xlfn.CONCAT($A$1, ".", CALC!A24)</f>
        <v>LSD.RID.0.AL.U3R.20</v>
      </c>
      <c r="B23" s="55" t="str">
        <f aca="false">_xlfn.CONCAT(CALC!B24, ":", CALC!C24)</f>
        <v>Healthcare &amp; Social Assistance:Worker</v>
      </c>
      <c r="C23" s="59" t="n">
        <f aca="false">CALC!P24</f>
        <v>0</v>
      </c>
      <c r="D23" s="59" t="n">
        <f aca="false">CALC!Q24</f>
        <v>0</v>
      </c>
      <c r="E23" s="59" t="n">
        <f aca="false">CALC!R24</f>
        <v>0</v>
      </c>
      <c r="F23" s="59" t="n">
        <f aca="false">CALC!S24</f>
        <v>0</v>
      </c>
    </row>
    <row r="24" customFormat="false" ht="12.8" hidden="false" customHeight="false" outlineLevel="0" collapsed="false">
      <c r="A24" s="41" t="str">
        <f aca="false">_xlfn.CONCAT($A$1, ".", CALC!A25)</f>
        <v>LSD.RID.0.AL.U3R.21</v>
      </c>
      <c r="B24" s="55" t="str">
        <f aca="false">_xlfn.CONCAT(CALC!B25, ":", CALC!C25)</f>
        <v>Professional Services:Support</v>
      </c>
      <c r="C24" s="59" t="n">
        <f aca="false">CALC!P25</f>
        <v>0</v>
      </c>
      <c r="D24" s="59" t="n">
        <f aca="false">CALC!Q25</f>
        <v>0</v>
      </c>
      <c r="E24" s="59" t="n">
        <f aca="false">CALC!R25</f>
        <v>0</v>
      </c>
      <c r="F24" s="59" t="n">
        <f aca="false">CALC!S25</f>
        <v>0</v>
      </c>
    </row>
    <row r="25" customFormat="false" ht="12.8" hidden="false" customHeight="false" outlineLevel="0" collapsed="false">
      <c r="A25" s="41" t="str">
        <f aca="false">_xlfn.CONCAT($A$1, ".", CALC!A26)</f>
        <v>LSD.RID.0.AL.U3R.22</v>
      </c>
      <c r="B25" s="55" t="str">
        <f aca="false">_xlfn.CONCAT(CALC!B26, ":", CALC!C26)</f>
        <v>Professional Services:Worker</v>
      </c>
      <c r="C25" s="59" t="n">
        <f aca="false">CALC!P26</f>
        <v>0</v>
      </c>
      <c r="D25" s="59" t="n">
        <f aca="false">CALC!Q26</f>
        <v>0</v>
      </c>
      <c r="E25" s="59" t="n">
        <f aca="false">CALC!R26</f>
        <v>0</v>
      </c>
      <c r="F25" s="59" t="n">
        <f aca="false">CALC!S26</f>
        <v>0</v>
      </c>
    </row>
    <row r="26" customFormat="false" ht="12.8" hidden="false" customHeight="false" outlineLevel="0" collapsed="false">
      <c r="A26" s="41" t="str">
        <f aca="false">_xlfn.CONCAT($A$1, ".", CALC!A27)</f>
        <v>LSD.RID.0.AL.U3R.23</v>
      </c>
      <c r="B26" s="55" t="str">
        <f aca="false">_xlfn.CONCAT(CALC!B27, ":", CALC!C27)</f>
        <v>Educational Services:Support</v>
      </c>
      <c r="C26" s="59" t="n">
        <f aca="false">CALC!P27</f>
        <v>0</v>
      </c>
      <c r="D26" s="59" t="n">
        <f aca="false">CALC!Q27</f>
        <v>0</v>
      </c>
      <c r="E26" s="59" t="n">
        <f aca="false">CALC!R27</f>
        <v>0</v>
      </c>
      <c r="F26" s="59" t="n">
        <f aca="false">CALC!S27</f>
        <v>0</v>
      </c>
    </row>
    <row r="27" customFormat="false" ht="12.8" hidden="false" customHeight="false" outlineLevel="0" collapsed="false">
      <c r="A27" s="41" t="str">
        <f aca="false">_xlfn.CONCAT($A$1, ".", CALC!A28)</f>
        <v>LSD.RID.0.AL.U3R.24</v>
      </c>
      <c r="B27" s="55" t="str">
        <f aca="false">_xlfn.CONCAT(CALC!B28, ":", CALC!C28)</f>
        <v>Educational Services:Worker</v>
      </c>
      <c r="C27" s="59" t="n">
        <f aca="false">CALC!P28</f>
        <v>0</v>
      </c>
      <c r="D27" s="59" t="n">
        <f aca="false">CALC!Q28</f>
        <v>0</v>
      </c>
      <c r="E27" s="59" t="n">
        <f aca="false">CALC!R28</f>
        <v>0</v>
      </c>
      <c r="F27" s="59" t="n">
        <f aca="false">CALC!S28</f>
        <v>0</v>
      </c>
    </row>
    <row r="28" customFormat="false" ht="12.8" hidden="false" customHeight="false" outlineLevel="0" collapsed="false">
      <c r="A28" s="41" t="str">
        <f aca="false">_xlfn.CONCAT($A$1, ".", CALC!A29)</f>
        <v>LSD.RID.0.AL.U3R.25</v>
      </c>
      <c r="B28" s="55" t="str">
        <f aca="false">_xlfn.CONCAT(CALC!B29, ":", CALC!C29)</f>
        <v>Finance &amp; Insurance:Support</v>
      </c>
      <c r="C28" s="59" t="n">
        <f aca="false">CALC!P29</f>
        <v>0</v>
      </c>
      <c r="D28" s="59" t="n">
        <f aca="false">CALC!Q29</f>
        <v>0</v>
      </c>
      <c r="E28" s="59" t="n">
        <f aca="false">CALC!R29</f>
        <v>0</v>
      </c>
      <c r="F28" s="59" t="n">
        <f aca="false">CALC!S29</f>
        <v>0</v>
      </c>
    </row>
    <row r="29" customFormat="false" ht="12.8" hidden="false" customHeight="false" outlineLevel="0" collapsed="false">
      <c r="A29" s="41" t="str">
        <f aca="false">_xlfn.CONCAT($A$1, ".", CALC!A30)</f>
        <v>LSD.RID.0.AL.U3R.26</v>
      </c>
      <c r="B29" s="55" t="str">
        <f aca="false">_xlfn.CONCAT(CALC!B30, ":", CALC!C30)</f>
        <v>Finance &amp; Insurance:Worker</v>
      </c>
      <c r="C29" s="59" t="n">
        <f aca="false">CALC!P30</f>
        <v>0</v>
      </c>
      <c r="D29" s="59" t="n">
        <f aca="false">CALC!Q30</f>
        <v>0</v>
      </c>
      <c r="E29" s="59" t="n">
        <f aca="false">CALC!R30</f>
        <v>0</v>
      </c>
      <c r="F29" s="59" t="n">
        <f aca="false">CALC!S30</f>
        <v>0</v>
      </c>
    </row>
    <row r="30" customFormat="false" ht="12.8" hidden="false" customHeight="false" outlineLevel="0" collapsed="false">
      <c r="A30" s="41" t="str">
        <f aca="false">_xlfn.CONCAT($A$1, ".", CALC!A31)</f>
        <v>LSD.RID.0.AL.U3R.27</v>
      </c>
      <c r="B30" s="55" t="str">
        <f aca="false">_xlfn.CONCAT(CALC!B31, ":", CALC!C31)</f>
        <v>Media and Information Technology:Support</v>
      </c>
      <c r="C30" s="59" t="n">
        <f aca="false">CALC!P31</f>
        <v>0</v>
      </c>
      <c r="D30" s="59" t="n">
        <f aca="false">CALC!Q31</f>
        <v>0</v>
      </c>
      <c r="E30" s="59" t="n">
        <f aca="false">CALC!R31</f>
        <v>0</v>
      </c>
      <c r="F30" s="59" t="n">
        <f aca="false">CALC!S31</f>
        <v>0</v>
      </c>
    </row>
    <row r="31" customFormat="false" ht="12.8" hidden="false" customHeight="false" outlineLevel="0" collapsed="false">
      <c r="A31" s="41" t="str">
        <f aca="false">_xlfn.CONCAT($A$1, ".", CALC!A32)</f>
        <v>LSD.RID.0.AL.U3R.28</v>
      </c>
      <c r="B31" s="55" t="str">
        <f aca="false">_xlfn.CONCAT(CALC!B32, ":", CALC!C32)</f>
        <v>Media and Information Technology:Worker</v>
      </c>
      <c r="C31" s="59" t="n">
        <f aca="false">CALC!P32</f>
        <v>0</v>
      </c>
      <c r="D31" s="59" t="n">
        <f aca="false">CALC!Q32</f>
        <v>0</v>
      </c>
      <c r="E31" s="59" t="n">
        <f aca="false">CALC!R32</f>
        <v>0</v>
      </c>
      <c r="F31" s="59" t="n">
        <f aca="false">CALC!S32</f>
        <v>0</v>
      </c>
    </row>
    <row r="32" customFormat="false" ht="12.8" hidden="false" customHeight="false" outlineLevel="0" collapsed="false">
      <c r="A32" s="41" t="str">
        <f aca="false">_xlfn.CONCAT($A$1, ".", CALC!A33)</f>
        <v>LSD.RID.0.AL.U3R.29</v>
      </c>
      <c r="B32" s="55" t="str">
        <f aca="false">_xlfn.CONCAT(CALC!B33, ":", CALC!C33)</f>
        <v>Government:Support</v>
      </c>
      <c r="C32" s="59" t="n">
        <f aca="false">CALC!P33</f>
        <v>0</v>
      </c>
      <c r="D32" s="59" t="n">
        <f aca="false">CALC!Q33</f>
        <v>0</v>
      </c>
      <c r="E32" s="59" t="n">
        <f aca="false">CALC!R33</f>
        <v>0</v>
      </c>
      <c r="F32" s="59" t="n">
        <f aca="false">CALC!S33</f>
        <v>0</v>
      </c>
    </row>
    <row r="33" customFormat="false" ht="12.8" hidden="false" customHeight="false" outlineLevel="0" collapsed="false">
      <c r="A33" s="41" t="str">
        <f aca="false">_xlfn.CONCAT($A$1, ".", CALC!A34)</f>
        <v>LSD.RID.0.AL.U3R.30</v>
      </c>
      <c r="B33" s="55" t="str">
        <f aca="false">_xlfn.CONCAT(CALC!B34, ":", CALC!C34)</f>
        <v>Government:Worker</v>
      </c>
      <c r="C33" s="59" t="n">
        <f aca="false">CALC!P34</f>
        <v>0</v>
      </c>
      <c r="D33" s="59" t="n">
        <f aca="false">CALC!Q34</f>
        <v>0</v>
      </c>
      <c r="E33" s="59" t="n">
        <f aca="false">CALC!R34</f>
        <v>0</v>
      </c>
      <c r="F33" s="59" t="n">
        <f aca="false">CALC!S34</f>
        <v>0</v>
      </c>
    </row>
    <row r="34" customFormat="false" ht="12.8" hidden="false" customHeight="false" outlineLevel="0" collapsed="false">
      <c r="A34" s="41" t="str">
        <f aca="false">_xlfn.CONCAT($A$1, ".", CALC!A35)</f>
        <v>LSD.RID.0.AL.U3R.31</v>
      </c>
      <c r="B34" s="55" t="str">
        <f aca="false">_xlfn.CONCAT(CALC!B35, ":", CALC!C35)</f>
        <v>Self-Employed / Non-Employer:Support</v>
      </c>
      <c r="C34" s="59" t="n">
        <f aca="false">CALC!P35</f>
        <v>0</v>
      </c>
      <c r="D34" s="59" t="n">
        <f aca="false">CALC!Q35</f>
        <v>0</v>
      </c>
      <c r="E34" s="59" t="n">
        <f aca="false">CALC!R35</f>
        <v>0</v>
      </c>
      <c r="F34" s="59" t="n">
        <f aca="false">CALC!S35</f>
        <v>0</v>
      </c>
    </row>
    <row r="35" customFormat="false" ht="12.8" hidden="false" customHeight="false" outlineLevel="0" collapsed="false">
      <c r="A35" s="41" t="str">
        <f aca="false">_xlfn.CONCAT($A$1, ".", CALC!A36)</f>
        <v>LSD.RID.0.AL.U3R.32</v>
      </c>
      <c r="B35" s="55" t="str">
        <f aca="false">_xlfn.CONCAT(CALC!B36, ":", CALC!C36)</f>
        <v>Self-Employed / Non-Employer:Worker</v>
      </c>
      <c r="C35" s="59" t="n">
        <f aca="false">CALC!P36</f>
        <v>0</v>
      </c>
      <c r="D35" s="59" t="n">
        <f aca="false">CALC!Q36</f>
        <v>0</v>
      </c>
      <c r="E35" s="59" t="n">
        <f aca="false">CALC!R36</f>
        <v>0</v>
      </c>
      <c r="F35" s="59" t="n">
        <f aca="false">CALC!S36</f>
        <v>0</v>
      </c>
    </row>
    <row r="36" customFormat="false" ht="12.8" hidden="false" customHeight="false" outlineLevel="0" collapsed="false">
      <c r="A36" s="41" t="str">
        <f aca="false">_xlfn.CONCAT($A$1, ".", CALC!A37)</f>
        <v>LSD.RID.0.AL.U3R.33</v>
      </c>
      <c r="B36" s="55" t="str">
        <f aca="false">_xlfn.CONCAT(CALC!B37, ":", CALC!C37)</f>
        <v>Other Services:Support</v>
      </c>
      <c r="C36" s="59" t="n">
        <f aca="false">CALC!P37</f>
        <v>0</v>
      </c>
      <c r="D36" s="59" t="n">
        <f aca="false">CALC!Q37</f>
        <v>0</v>
      </c>
      <c r="E36" s="59" t="n">
        <f aca="false">CALC!R37</f>
        <v>0</v>
      </c>
      <c r="F36" s="59" t="n">
        <f aca="false">CALC!S37</f>
        <v>0</v>
      </c>
    </row>
    <row r="37" customFormat="false" ht="12.8" hidden="false" customHeight="false" outlineLevel="0" collapsed="false">
      <c r="A37" s="41" t="str">
        <f aca="false">_xlfn.CONCAT($A$1, ".", CALC!A38)</f>
        <v>LSD.RID.0.AL.U3R.34</v>
      </c>
      <c r="B37" s="55" t="str">
        <f aca="false">_xlfn.CONCAT(CALC!B38, ":", CALC!C38)</f>
        <v>Other Services:Worker</v>
      </c>
      <c r="C37" s="59" t="n">
        <f aca="false">CALC!P38</f>
        <v>0</v>
      </c>
      <c r="D37" s="59" t="n">
        <f aca="false">CALC!Q38</f>
        <v>0</v>
      </c>
      <c r="E37" s="59" t="n">
        <f aca="false">CALC!R38</f>
        <v>0</v>
      </c>
      <c r="F37" s="59" t="n">
        <f aca="false">CALC!S38</f>
        <v>0</v>
      </c>
    </row>
    <row r="38" customFormat="false" ht="12.8" hidden="false" customHeight="false" outlineLevel="0" collapsed="false">
      <c r="A38" s="41" t="str">
        <f aca="false">_xlfn.CONCAT($A$1, ".", CALC!A39)</f>
        <v>LSD.RID.0.AL.U3R.35</v>
      </c>
      <c r="B38" s="55" t="str">
        <f aca="false">_xlfn.CONCAT(CALC!B39, ":", CALC!C39)</f>
        <v>Mining, Quarrying, and Oil/Gas Extraction:Support</v>
      </c>
      <c r="C38" s="59" t="n">
        <f aca="false">CALC!P39</f>
        <v>0</v>
      </c>
      <c r="D38" s="59" t="n">
        <f aca="false">CALC!Q39</f>
        <v>0</v>
      </c>
      <c r="E38" s="59" t="n">
        <f aca="false">CALC!R39</f>
        <v>0</v>
      </c>
      <c r="F38" s="59" t="n">
        <f aca="false">CALC!S39</f>
        <v>0</v>
      </c>
    </row>
    <row r="39" customFormat="false" ht="12.8" hidden="false" customHeight="false" outlineLevel="0" collapsed="false">
      <c r="A39" s="41" t="str">
        <f aca="false">_xlfn.CONCAT($A$1, ".", CALC!A40)</f>
        <v>LSD.RID.0.AL.U3R.36</v>
      </c>
      <c r="B39" s="55" t="str">
        <f aca="false">_xlfn.CONCAT(CALC!B40, ":", CALC!C40)</f>
        <v>Mining, Quarrying, and Oil/Gas Extraction:Worker</v>
      </c>
      <c r="C39" s="59" t="n">
        <f aca="false">CALC!P40</f>
        <v>0</v>
      </c>
      <c r="D39" s="59" t="n">
        <f aca="false">CALC!Q40</f>
        <v>0</v>
      </c>
      <c r="E39" s="59" t="n">
        <f aca="false">CALC!R40</f>
        <v>0</v>
      </c>
      <c r="F39" s="59" t="n">
        <f aca="false">CALC!S40</f>
        <v>0</v>
      </c>
    </row>
    <row r="40" customFormat="false" ht="12.8" hidden="false" customHeight="false" outlineLevel="0" collapsed="false">
      <c r="A40" s="41" t="str">
        <f aca="false">_xlfn.CONCAT($A$1, ".", CALC!A41)</f>
        <v>LSD.RID.0.AL.U3R.37</v>
      </c>
      <c r="B40" s="55" t="str">
        <f aca="false">_xlfn.CONCAT(CALC!B41, ":", CALC!C41)</f>
        <v>Utilities:Support</v>
      </c>
      <c r="C40" s="59" t="n">
        <f aca="false">CALC!P41</f>
        <v>0</v>
      </c>
      <c r="D40" s="59" t="n">
        <f aca="false">CALC!Q41</f>
        <v>0</v>
      </c>
      <c r="E40" s="59" t="n">
        <f aca="false">CALC!R41</f>
        <v>0</v>
      </c>
      <c r="F40" s="59" t="n">
        <f aca="false">CALC!S41</f>
        <v>0</v>
      </c>
    </row>
    <row r="41" customFormat="false" ht="12.8" hidden="false" customHeight="false" outlineLevel="0" collapsed="false">
      <c r="A41" s="41" t="str">
        <f aca="false">_xlfn.CONCAT($A$1, ".", CALC!A42)</f>
        <v>LSD.RID.0.AL.U3R.38</v>
      </c>
      <c r="B41" s="55" t="str">
        <f aca="false">_xlfn.CONCAT(CALC!B42, ":", CALC!C42)</f>
        <v>Utilities:Worker</v>
      </c>
      <c r="C41" s="59" t="n">
        <f aca="false">CALC!P42</f>
        <v>0</v>
      </c>
      <c r="D41" s="59" t="n">
        <f aca="false">CALC!Q42</f>
        <v>0</v>
      </c>
      <c r="E41" s="59" t="n">
        <f aca="false">CALC!R42</f>
        <v>0</v>
      </c>
      <c r="F41" s="59" t="n">
        <f aca="false">CALC!S42</f>
        <v>0</v>
      </c>
    </row>
    <row r="42" customFormat="false" ht="12.8" hidden="false" customHeight="false" outlineLevel="0" collapsed="false">
      <c r="A42" s="41" t="str">
        <f aca="false">_xlfn.CONCAT($A$1, ".", CALC!A43)</f>
        <v>LSD.RID.0.AL.U3R.39</v>
      </c>
      <c r="B42" s="55" t="str">
        <f aca="false">_xlfn.CONCAT(CALC!B43, ":", CALC!C43)</f>
        <v>Wholesale Trade:Support</v>
      </c>
      <c r="C42" s="59" t="n">
        <f aca="false">CALC!P43</f>
        <v>0</v>
      </c>
      <c r="D42" s="59" t="n">
        <f aca="false">CALC!Q43</f>
        <v>0</v>
      </c>
      <c r="E42" s="59" t="n">
        <f aca="false">CALC!R43</f>
        <v>0</v>
      </c>
      <c r="F42" s="59" t="n">
        <f aca="false">CALC!S43</f>
        <v>0</v>
      </c>
    </row>
    <row r="43" customFormat="false" ht="12.8" hidden="false" customHeight="false" outlineLevel="0" collapsed="false">
      <c r="A43" s="41" t="str">
        <f aca="false">_xlfn.CONCAT($A$1, ".", CALC!A44)</f>
        <v>LSD.RID.0.AL.U3R.40</v>
      </c>
      <c r="B43" s="55" t="str">
        <f aca="false">_xlfn.CONCAT(CALC!B44, ":", CALC!C44)</f>
        <v>Wholesale Trade:Worker</v>
      </c>
      <c r="C43" s="59" t="n">
        <f aca="false">CALC!P44</f>
        <v>0</v>
      </c>
      <c r="D43" s="59" t="n">
        <f aca="false">CALC!Q44</f>
        <v>0</v>
      </c>
      <c r="E43" s="59" t="n">
        <f aca="false">CALC!R44</f>
        <v>0</v>
      </c>
      <c r="F43" s="59" t="n">
        <f aca="false">CALC!S44</f>
        <v>0</v>
      </c>
    </row>
    <row r="44" customFormat="false" ht="12.8" hidden="false" customHeight="false" outlineLevel="0" collapsed="false">
      <c r="A44" s="41" t="str">
        <f aca="false">_xlfn.CONCAT($A$1, ".", CALC!A45)</f>
        <v>LSD.RID.0.AL.U3R.41</v>
      </c>
      <c r="B44" s="55" t="str">
        <f aca="false">_xlfn.CONCAT(CALC!B45, ":", CALC!C45)</f>
        <v>Information:Support</v>
      </c>
      <c r="C44" s="59" t="n">
        <f aca="false">CALC!P45</f>
        <v>0</v>
      </c>
      <c r="D44" s="59" t="n">
        <f aca="false">CALC!Q45</f>
        <v>0</v>
      </c>
      <c r="E44" s="59" t="n">
        <f aca="false">CALC!R45</f>
        <v>0</v>
      </c>
      <c r="F44" s="59" t="n">
        <f aca="false">CALC!S45</f>
        <v>0</v>
      </c>
    </row>
    <row r="45" customFormat="false" ht="12.8" hidden="false" customHeight="false" outlineLevel="0" collapsed="false">
      <c r="A45" s="41" t="str">
        <f aca="false">_xlfn.CONCAT($A$1, ".", CALC!A46)</f>
        <v>LSD.RID.0.AL.U3R.42</v>
      </c>
      <c r="B45" s="55" t="str">
        <f aca="false">_xlfn.CONCAT(CALC!B46, ":", CALC!C46)</f>
        <v>Information:Worker</v>
      </c>
      <c r="C45" s="59" t="n">
        <f aca="false">CALC!P46</f>
        <v>0</v>
      </c>
      <c r="D45" s="59" t="n">
        <f aca="false">CALC!Q46</f>
        <v>0</v>
      </c>
      <c r="E45" s="59" t="n">
        <f aca="false">CALC!R46</f>
        <v>0</v>
      </c>
      <c r="F45" s="59" t="n">
        <f aca="false">CALC!S46</f>
        <v>0</v>
      </c>
    </row>
    <row r="46" customFormat="false" ht="12.8" hidden="false" customHeight="false" outlineLevel="0" collapsed="false">
      <c r="A46" s="41" t="str">
        <f aca="false">_xlfn.CONCAT($A$1, ".", CALC!A47)</f>
        <v>LSD.RID.0.AL.U3R.43</v>
      </c>
      <c r="B46" s="55" t="str">
        <f aca="false">_xlfn.CONCAT(CALC!B47, ":", CALC!C47)</f>
        <v>Real Estate, Rental and Leasing:Support</v>
      </c>
      <c r="C46" s="59" t="n">
        <f aca="false">CALC!P47</f>
        <v>0</v>
      </c>
      <c r="D46" s="59" t="n">
        <f aca="false">CALC!Q47</f>
        <v>0</v>
      </c>
      <c r="E46" s="59" t="n">
        <f aca="false">CALC!R47</f>
        <v>0</v>
      </c>
      <c r="F46" s="59" t="n">
        <f aca="false">CALC!S47</f>
        <v>0</v>
      </c>
    </row>
    <row r="47" customFormat="false" ht="12.8" hidden="false" customHeight="false" outlineLevel="0" collapsed="false">
      <c r="A47" s="41" t="str">
        <f aca="false">_xlfn.CONCAT($A$1, ".", CALC!A48)</f>
        <v>LSD.RID.0.AL.U3R.44</v>
      </c>
      <c r="B47" s="55" t="str">
        <f aca="false">_xlfn.CONCAT(CALC!B48, ":", CALC!C48)</f>
        <v>Real Estate, Rental and Leasing:Worker</v>
      </c>
      <c r="C47" s="59" t="n">
        <f aca="false">CALC!P48</f>
        <v>0</v>
      </c>
      <c r="D47" s="59" t="n">
        <f aca="false">CALC!Q48</f>
        <v>0</v>
      </c>
      <c r="E47" s="59" t="n">
        <f aca="false">CALC!R48</f>
        <v>0</v>
      </c>
      <c r="F47" s="59" t="n">
        <f aca="false">CALC!S48</f>
        <v>0</v>
      </c>
    </row>
    <row r="48" customFormat="false" ht="12.8" hidden="false" customHeight="false" outlineLevel="0" collapsed="false">
      <c r="A48" s="41" t="str">
        <f aca="false">_xlfn.CONCAT($A$1, ".", CALC!A49)</f>
        <v>LSD.RID.0.AL.U3R.45</v>
      </c>
      <c r="B48" s="55" t="str">
        <f aca="false">_xlfn.CONCAT(CALC!B49, ":", CALC!C49)</f>
        <v>Waste Management Services:Support</v>
      </c>
      <c r="C48" s="59" t="n">
        <f aca="false">CALC!P49</f>
        <v>0</v>
      </c>
      <c r="D48" s="59" t="n">
        <f aca="false">CALC!Q49</f>
        <v>0</v>
      </c>
      <c r="E48" s="59" t="n">
        <f aca="false">CALC!R49</f>
        <v>0</v>
      </c>
      <c r="F48" s="59" t="n">
        <f aca="false">CALC!S49</f>
        <v>0</v>
      </c>
    </row>
    <row r="49" customFormat="false" ht="12.8" hidden="false" customHeight="false" outlineLevel="0" collapsed="false">
      <c r="A49" s="41" t="str">
        <f aca="false">_xlfn.CONCAT($A$1, ".", CALC!A50)</f>
        <v>LSD.RID.0.AL.U3R.46</v>
      </c>
      <c r="B49" s="55" t="str">
        <f aca="false">_xlfn.CONCAT(CALC!B50, ":", CALC!C50)</f>
        <v>Waste Management Services:Worker</v>
      </c>
      <c r="C49" s="59" t="n">
        <f aca="false">CALC!P50</f>
        <v>0</v>
      </c>
      <c r="D49" s="59" t="n">
        <f aca="false">CALC!Q50</f>
        <v>0</v>
      </c>
      <c r="E49" s="59" t="n">
        <f aca="false">CALC!R50</f>
        <v>0</v>
      </c>
      <c r="F49" s="59" t="n">
        <f aca="false">CALC!S50</f>
        <v>0</v>
      </c>
    </row>
    <row r="50" customFormat="false" ht="12.8" hidden="false" customHeight="false" outlineLevel="0" collapsed="false">
      <c r="A50" s="41" t="str">
        <f aca="false">_xlfn.CONCAT($A$1, ".", CALC!A51)</f>
        <v>LSD.RID.0.AL.U3R.47</v>
      </c>
      <c r="B50" s="55" t="str">
        <f aca="false">_xlfn.CONCAT(CALC!B51, ":", CALC!C51)</f>
        <v>Arts, Entertainment, and Recreation:Support</v>
      </c>
      <c r="C50" s="59" t="n">
        <f aca="false">CALC!P51</f>
        <v>0</v>
      </c>
      <c r="D50" s="59" t="n">
        <f aca="false">CALC!Q51</f>
        <v>0</v>
      </c>
      <c r="E50" s="59" t="n">
        <f aca="false">CALC!R51</f>
        <v>0</v>
      </c>
      <c r="F50" s="59" t="n">
        <f aca="false">CALC!S51</f>
        <v>0</v>
      </c>
    </row>
    <row r="51" customFormat="false" ht="12.8" hidden="false" customHeight="false" outlineLevel="0" collapsed="false">
      <c r="A51" s="41" t="str">
        <f aca="false">_xlfn.CONCAT($A$1, ".", CALC!A52)</f>
        <v>LSD.RID.0.AL.U3R.48</v>
      </c>
      <c r="B51" s="55" t="str">
        <f aca="false">_xlfn.CONCAT(CALC!B52, ":", CALC!C52)</f>
        <v>Arts, Entertainment, and Recreation:Worker</v>
      </c>
      <c r="C51" s="59" t="n">
        <f aca="false">CALC!P52</f>
        <v>0</v>
      </c>
      <c r="D51" s="59" t="n">
        <f aca="false">CALC!Q52</f>
        <v>0</v>
      </c>
      <c r="E51" s="59" t="n">
        <f aca="false">CALC!R52</f>
        <v>0</v>
      </c>
      <c r="F51" s="59" t="n">
        <f aca="false">CALC!S52</f>
        <v>0</v>
      </c>
    </row>
    <row r="52" customFormat="false" ht="12.8" hidden="false" customHeight="false" outlineLevel="0" collapsed="false">
      <c r="A52" s="41" t="str">
        <f aca="false">_xlfn.CONCAT($A$1, ".", CALC!A53)</f>
        <v>LSD.RID.0.AL.U3R.49</v>
      </c>
      <c r="B52" s="55" t="str">
        <f aca="false">_xlfn.CONCAT(CALC!B53, ":", CALC!C53)</f>
        <v>Accommodation and Food Services:Support</v>
      </c>
      <c r="C52" s="59" t="n">
        <f aca="false">CALC!P53</f>
        <v>0</v>
      </c>
      <c r="D52" s="59" t="n">
        <f aca="false">CALC!Q53</f>
        <v>0</v>
      </c>
      <c r="E52" s="59" t="n">
        <f aca="false">CALC!R53</f>
        <v>0</v>
      </c>
      <c r="F52" s="59" t="n">
        <f aca="false">CALC!S53</f>
        <v>0</v>
      </c>
    </row>
    <row r="53" customFormat="false" ht="12.8" hidden="false" customHeight="false" outlineLevel="0" collapsed="false">
      <c r="A53" s="41" t="str">
        <f aca="false">_xlfn.CONCAT($A$1, ".", CALC!A54)</f>
        <v>LSD.RID.0.AL.U3R.50</v>
      </c>
      <c r="B53" s="55" t="str">
        <f aca="false">_xlfn.CONCAT(CALC!B54, ":", CALC!C54)</f>
        <v>Accommodation and Food Services:Worker</v>
      </c>
      <c r="C53" s="59" t="n">
        <f aca="false">CALC!P54</f>
        <v>0</v>
      </c>
      <c r="D53" s="59" t="n">
        <f aca="false">CALC!Q54</f>
        <v>0</v>
      </c>
      <c r="E53" s="59" t="n">
        <f aca="false">CALC!R54</f>
        <v>0</v>
      </c>
      <c r="F53" s="59" t="n">
        <f aca="false">CALC!S54</f>
        <v>0</v>
      </c>
    </row>
    <row r="54" customFormat="false" ht="12.8" hidden="false" customHeight="false" outlineLevel="0" collapsed="false">
      <c r="A54" s="41" t="str">
        <f aca="false">_xlfn.CONCAT($A$1, ".", CALC!A55)</f>
        <v>LSD.RID.0.AL.U3R.51</v>
      </c>
      <c r="B54" s="55" t="str">
        <f aca="false">_xlfn.CONCAT(CALC!B55, ":", CALC!C55)</f>
        <v>Public Administration:Support</v>
      </c>
      <c r="C54" s="59" t="n">
        <f aca="false">CALC!P55</f>
        <v>0</v>
      </c>
      <c r="D54" s="59" t="n">
        <f aca="false">CALC!Q55</f>
        <v>0</v>
      </c>
      <c r="E54" s="59" t="n">
        <f aca="false">CALC!R55</f>
        <v>0</v>
      </c>
      <c r="F54" s="59" t="n">
        <f aca="false">CALC!S55</f>
        <v>0</v>
      </c>
    </row>
    <row r="55" customFormat="false" ht="12.8" hidden="false" customHeight="false" outlineLevel="0" collapsed="false">
      <c r="A55" s="41" t="str">
        <f aca="false">_xlfn.CONCAT($A$1, ".", CALC!A56)</f>
        <v>LSD.RID.0.AL.U3R.52</v>
      </c>
      <c r="B55" s="55" t="str">
        <f aca="false">_xlfn.CONCAT(CALC!B56, ":", CALC!C56)</f>
        <v>Public Administration:Worker</v>
      </c>
      <c r="C55" s="59" t="n">
        <f aca="false">CALC!P56</f>
        <v>0</v>
      </c>
      <c r="D55" s="59" t="n">
        <f aca="false">CALC!Q56</f>
        <v>0</v>
      </c>
      <c r="E55" s="59" t="n">
        <f aca="false">CALC!R56</f>
        <v>0</v>
      </c>
      <c r="F55" s="59" t="n">
        <f aca="false">CALC!S56</f>
        <v>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5E9B"/>
    <pageSetUpPr fitToPage="false"/>
  </sheetPr>
  <dimension ref="A1:BP247"/>
  <sheetViews>
    <sheetView showFormulas="false" showGridLines="true" showRowColHeaders="true" showZeros="true" rightToLeft="false" tabSelected="false" showOutlineSymbols="true" defaultGridColor="true" view="normal" topLeftCell="A53" colorId="64" zoomScale="65" zoomScaleNormal="65" zoomScalePageLayoutView="100" workbookViewId="0">
      <selection pane="topLeft" activeCell="A152" activeCellId="0" sqref="A152"/>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 t="s">
        <v>2152</v>
      </c>
      <c r="B1" s="47" t="s">
        <v>2153</v>
      </c>
      <c r="C1" s="6" t="s">
        <v>2</v>
      </c>
      <c r="D1" s="51" t="s">
        <v>2154</v>
      </c>
      <c r="AZ1" s="26"/>
      <c r="BP1" s="26"/>
    </row>
    <row r="2" customFormat="false" ht="46.25" hidden="false" customHeight="false" outlineLevel="0" collapsed="false">
      <c r="A2" s="52" t="s">
        <v>2140</v>
      </c>
      <c r="B2" s="47" t="s">
        <v>2141</v>
      </c>
      <c r="C2" s="57" t="str">
        <f aca="false">CALC!T3</f>
        <v>Underemployment Rate</v>
      </c>
      <c r="D2" s="57" t="str">
        <f aca="false">CALC!U3</f>
        <v>Authorized Immigrant Underemployment Rate</v>
      </c>
      <c r="E2" s="57" t="str">
        <f aca="false">CALC!V3</f>
        <v>Unauthorized Immigrant Underemployment Rate</v>
      </c>
      <c r="F2" s="57" t="str">
        <f aca="false">CALC!W3</f>
        <v>American Underemployment Rate</v>
      </c>
    </row>
    <row r="3" customFormat="false" ht="12.8" hidden="false" customHeight="false" outlineLevel="0" collapsed="false">
      <c r="A3" s="4" t="str">
        <f aca="false">_xlfn.CONCAT($A$1, ".", CALC!A4)</f>
        <v>LSD.RID.0.AL.U6R.0</v>
      </c>
      <c r="B3" s="58" t="str">
        <f aca="false">_xlfn.CONCAT(CALC!B4, ":", CALC!C4)</f>
        <v>All Industries:All Roles</v>
      </c>
      <c r="C3" s="57" t="n">
        <f aca="false">CALC!T4</f>
        <v>0</v>
      </c>
      <c r="D3" s="57" t="n">
        <f aca="false">CALC!U4</f>
        <v>0</v>
      </c>
      <c r="E3" s="57" t="n">
        <f aca="false">CALC!V4</f>
        <v>0</v>
      </c>
      <c r="F3" s="57" t="n">
        <f aca="false">CALC!W4</f>
        <v>0</v>
      </c>
    </row>
    <row r="4" customFormat="false" ht="12.8" hidden="false" customHeight="false" outlineLevel="0" collapsed="false">
      <c r="A4" s="41" t="str">
        <f aca="false">_xlfn.CONCAT($A$1, ".", CALC!A5)</f>
        <v>LSD.RID.0.AL.U6R.1</v>
      </c>
      <c r="B4" s="55" t="str">
        <f aca="false">_xlfn.CONCAT(CALC!B5, ":", CALC!C5)</f>
        <v>Agriculture:Support</v>
      </c>
      <c r="C4" s="59" t="n">
        <f aca="false">CALC!T5</f>
        <v>0</v>
      </c>
      <c r="D4" s="59" t="n">
        <f aca="false">CALC!U5</f>
        <v>0</v>
      </c>
      <c r="E4" s="59" t="n">
        <f aca="false">CALC!V5</f>
        <v>0</v>
      </c>
      <c r="F4" s="59" t="n">
        <f aca="false">CALC!W5</f>
        <v>0</v>
      </c>
    </row>
    <row r="5" customFormat="false" ht="12.8" hidden="false" customHeight="false" outlineLevel="0" collapsed="false">
      <c r="A5" s="41" t="str">
        <f aca="false">_xlfn.CONCAT($A$1, ".", CALC!A6)</f>
        <v>LSD.RID.0.AL.U6R.2</v>
      </c>
      <c r="B5" s="55" t="str">
        <f aca="false">_xlfn.CONCAT(CALC!B6, ":", CALC!C6)</f>
        <v>Agriculture:Worker</v>
      </c>
      <c r="C5" s="59" t="n">
        <f aca="false">CALC!T6</f>
        <v>0</v>
      </c>
      <c r="D5" s="59" t="n">
        <f aca="false">CALC!U6</f>
        <v>0</v>
      </c>
      <c r="E5" s="59" t="n">
        <f aca="false">CALC!V6</f>
        <v>0</v>
      </c>
      <c r="F5" s="59" t="n">
        <f aca="false">CALC!W6</f>
        <v>0</v>
      </c>
    </row>
    <row r="6" customFormat="false" ht="12.8" hidden="false" customHeight="false" outlineLevel="0" collapsed="false">
      <c r="A6" s="41" t="str">
        <f aca="false">_xlfn.CONCAT($A$1, ".", CALC!A7)</f>
        <v>LSD.RID.0.AL.U6R.3</v>
      </c>
      <c r="B6" s="55" t="str">
        <f aca="false">_xlfn.CONCAT(CALC!B7, ":", CALC!C7)</f>
        <v>Construction:Support</v>
      </c>
      <c r="C6" s="59" t="n">
        <f aca="false">CALC!T7</f>
        <v>0</v>
      </c>
      <c r="D6" s="59" t="n">
        <f aca="false">CALC!U7</f>
        <v>0</v>
      </c>
      <c r="E6" s="59" t="n">
        <f aca="false">CALC!V7</f>
        <v>0</v>
      </c>
      <c r="F6" s="59" t="n">
        <f aca="false">CALC!W7</f>
        <v>0</v>
      </c>
    </row>
    <row r="7" customFormat="false" ht="12.8" hidden="false" customHeight="false" outlineLevel="0" collapsed="false">
      <c r="A7" s="41" t="str">
        <f aca="false">_xlfn.CONCAT($A$1, ".", CALC!A8)</f>
        <v>LSD.RID.0.AL.U6R.4</v>
      </c>
      <c r="B7" s="55" t="str">
        <f aca="false">_xlfn.CONCAT(CALC!B8, ":", CALC!C8)</f>
        <v>Construction:Worker</v>
      </c>
      <c r="C7" s="59" t="n">
        <f aca="false">CALC!T8</f>
        <v>0</v>
      </c>
      <c r="D7" s="59" t="n">
        <f aca="false">CALC!U8</f>
        <v>0</v>
      </c>
      <c r="E7" s="59" t="n">
        <f aca="false">CALC!V8</f>
        <v>0</v>
      </c>
      <c r="F7" s="59" t="n">
        <f aca="false">CALC!W8</f>
        <v>0</v>
      </c>
    </row>
    <row r="8" customFormat="false" ht="12.8" hidden="false" customHeight="false" outlineLevel="0" collapsed="false">
      <c r="A8" s="41" t="str">
        <f aca="false">_xlfn.CONCAT($A$1, ".", CALC!A9)</f>
        <v>LSD.RID.0.AL.U6R.5</v>
      </c>
      <c r="B8" s="55" t="str">
        <f aca="false">_xlfn.CONCAT(CALC!B9, ":", CALC!C9)</f>
        <v>Hospitality:Support</v>
      </c>
      <c r="C8" s="59" t="n">
        <f aca="false">CALC!T9</f>
        <v>0</v>
      </c>
      <c r="D8" s="59" t="n">
        <f aca="false">CALC!U9</f>
        <v>0</v>
      </c>
      <c r="E8" s="59" t="n">
        <f aca="false">CALC!V9</f>
        <v>0</v>
      </c>
      <c r="F8" s="59" t="n">
        <f aca="false">CALC!W9</f>
        <v>0</v>
      </c>
    </row>
    <row r="9" customFormat="false" ht="12.8" hidden="false" customHeight="false" outlineLevel="0" collapsed="false">
      <c r="A9" s="41" t="str">
        <f aca="false">_xlfn.CONCAT($A$1, ".", CALC!A10)</f>
        <v>LSD.RID.0.AL.U6R.6</v>
      </c>
      <c r="B9" s="55" t="str">
        <f aca="false">_xlfn.CONCAT(CALC!B10, ":", CALC!C10)</f>
        <v>Hospitality:Worker</v>
      </c>
      <c r="C9" s="59" t="n">
        <f aca="false">CALC!T10</f>
        <v>0</v>
      </c>
      <c r="D9" s="59" t="n">
        <f aca="false">CALC!U10</f>
        <v>0</v>
      </c>
      <c r="E9" s="59" t="n">
        <f aca="false">CALC!V10</f>
        <v>0</v>
      </c>
      <c r="F9" s="59" t="n">
        <f aca="false">CALC!W10</f>
        <v>0</v>
      </c>
    </row>
    <row r="10" customFormat="false" ht="12.8" hidden="false" customHeight="false" outlineLevel="0" collapsed="false">
      <c r="A10" s="41" t="str">
        <f aca="false">_xlfn.CONCAT($A$1, ".", CALC!A11)</f>
        <v>LSD.RID.0.AL.U6R.7</v>
      </c>
      <c r="B10" s="55" t="str">
        <f aca="false">_xlfn.CONCAT(CALC!B11, ":", CALC!C11)</f>
        <v>Cleaning &amp; Maintenance:Support</v>
      </c>
      <c r="C10" s="59" t="n">
        <f aca="false">CALC!T11</f>
        <v>0</v>
      </c>
      <c r="D10" s="59" t="n">
        <f aca="false">CALC!U11</f>
        <v>0</v>
      </c>
      <c r="E10" s="59" t="n">
        <f aca="false">CALC!V11</f>
        <v>0</v>
      </c>
      <c r="F10" s="59" t="n">
        <f aca="false">CALC!W11</f>
        <v>0</v>
      </c>
    </row>
    <row r="11" customFormat="false" ht="12.8" hidden="false" customHeight="false" outlineLevel="0" collapsed="false">
      <c r="A11" s="41" t="str">
        <f aca="false">_xlfn.CONCAT($A$1, ".", CALC!A12)</f>
        <v>LSD.RID.0.AL.U6R.8</v>
      </c>
      <c r="B11" s="55" t="str">
        <f aca="false">_xlfn.CONCAT(CALC!B12, ":", CALC!C12)</f>
        <v>Cleaning &amp; Maintenance:Worker</v>
      </c>
      <c r="C11" s="59" t="n">
        <f aca="false">CALC!T12</f>
        <v>0</v>
      </c>
      <c r="D11" s="59" t="n">
        <f aca="false">CALC!U12</f>
        <v>0</v>
      </c>
      <c r="E11" s="59" t="n">
        <f aca="false">CALC!V12</f>
        <v>0</v>
      </c>
      <c r="F11" s="59" t="n">
        <f aca="false">CALC!W12</f>
        <v>0</v>
      </c>
    </row>
    <row r="12" customFormat="false" ht="12.8" hidden="false" customHeight="false" outlineLevel="0" collapsed="false">
      <c r="A12" s="41" t="str">
        <f aca="false">_xlfn.CONCAT($A$1, ".", CALC!A13)</f>
        <v>LSD.RID.0.AL.U6R.9</v>
      </c>
      <c r="B12" s="55" t="str">
        <f aca="false">_xlfn.CONCAT(CALC!B13, ":", CALC!C13)</f>
        <v>Manufacturing:Support</v>
      </c>
      <c r="C12" s="59" t="n">
        <f aca="false">CALC!T13</f>
        <v>0</v>
      </c>
      <c r="D12" s="59" t="n">
        <f aca="false">CALC!U13</f>
        <v>0</v>
      </c>
      <c r="E12" s="59" t="n">
        <f aca="false">CALC!V13</f>
        <v>0</v>
      </c>
      <c r="F12" s="59" t="n">
        <f aca="false">CALC!W13</f>
        <v>0</v>
      </c>
    </row>
    <row r="13" customFormat="false" ht="12.8" hidden="false" customHeight="false" outlineLevel="0" collapsed="false">
      <c r="A13" s="41" t="str">
        <f aca="false">_xlfn.CONCAT($A$1, ".", CALC!A14)</f>
        <v>LSD.RID.0.AL.U6R.10</v>
      </c>
      <c r="B13" s="55" t="str">
        <f aca="false">_xlfn.CONCAT(CALC!B14, ":", CALC!C14)</f>
        <v>Manufacturing:Worker</v>
      </c>
      <c r="C13" s="59" t="n">
        <f aca="false">CALC!T14</f>
        <v>0</v>
      </c>
      <c r="D13" s="59" t="n">
        <f aca="false">CALC!U14</f>
        <v>0</v>
      </c>
      <c r="E13" s="59" t="n">
        <f aca="false">CALC!V14</f>
        <v>0</v>
      </c>
      <c r="F13" s="59" t="n">
        <f aca="false">CALC!W14</f>
        <v>0</v>
      </c>
    </row>
    <row r="14" customFormat="false" ht="12.8" hidden="false" customHeight="false" outlineLevel="0" collapsed="false">
      <c r="A14" s="41" t="str">
        <f aca="false">_xlfn.CONCAT($A$1, ".", CALC!A15)</f>
        <v>LSD.RID.0.AL.U6R.11</v>
      </c>
      <c r="B14" s="55" t="str">
        <f aca="false">_xlfn.CONCAT(CALC!B15, ":", CALC!C15)</f>
        <v>Transportation &amp; Warehousing:Support</v>
      </c>
      <c r="C14" s="59" t="n">
        <f aca="false">CALC!T15</f>
        <v>0</v>
      </c>
      <c r="D14" s="59" t="n">
        <f aca="false">CALC!U15</f>
        <v>0</v>
      </c>
      <c r="E14" s="59" t="n">
        <f aca="false">CALC!V15</f>
        <v>0</v>
      </c>
      <c r="F14" s="59" t="n">
        <f aca="false">CALC!W15</f>
        <v>0</v>
      </c>
    </row>
    <row r="15" customFormat="false" ht="12.8" hidden="false" customHeight="false" outlineLevel="0" collapsed="false">
      <c r="A15" s="41" t="str">
        <f aca="false">_xlfn.CONCAT($A$1, ".", CALC!A16)</f>
        <v>LSD.RID.0.AL.U6R.12</v>
      </c>
      <c r="B15" s="55" t="str">
        <f aca="false">_xlfn.CONCAT(CALC!B16, ":", CALC!C16)</f>
        <v>Transportation &amp; Warehousing:Worker</v>
      </c>
      <c r="C15" s="59" t="n">
        <f aca="false">CALC!T16</f>
        <v>0</v>
      </c>
      <c r="D15" s="59" t="n">
        <f aca="false">CALC!U16</f>
        <v>0</v>
      </c>
      <c r="E15" s="59" t="n">
        <f aca="false">CALC!V16</f>
        <v>0</v>
      </c>
      <c r="F15" s="59" t="n">
        <f aca="false">CALC!W16</f>
        <v>0</v>
      </c>
    </row>
    <row r="16" customFormat="false" ht="12.8" hidden="false" customHeight="false" outlineLevel="0" collapsed="false">
      <c r="A16" s="41" t="str">
        <f aca="false">_xlfn.CONCAT($A$1, ".", CALC!A17)</f>
        <v>LSD.RID.0.AL.U6R.13</v>
      </c>
      <c r="B16" s="55" t="str">
        <f aca="false">_xlfn.CONCAT(CALC!B17, ":", CALC!C17)</f>
        <v>Retail Trade:Support</v>
      </c>
      <c r="C16" s="59" t="n">
        <f aca="false">CALC!T17</f>
        <v>0</v>
      </c>
      <c r="D16" s="59" t="n">
        <f aca="false">CALC!U17</f>
        <v>0</v>
      </c>
      <c r="E16" s="59" t="n">
        <f aca="false">CALC!V17</f>
        <v>0</v>
      </c>
      <c r="F16" s="59" t="n">
        <f aca="false">CALC!W17</f>
        <v>0</v>
      </c>
    </row>
    <row r="17" customFormat="false" ht="12.8" hidden="false" customHeight="false" outlineLevel="0" collapsed="false">
      <c r="A17" s="41" t="str">
        <f aca="false">_xlfn.CONCAT($A$1, ".", CALC!A18)</f>
        <v>LSD.RID.0.AL.U6R.14</v>
      </c>
      <c r="B17" s="55" t="str">
        <f aca="false">_xlfn.CONCAT(CALC!B18, ":", CALC!C18)</f>
        <v>Retail Trade:Worker</v>
      </c>
      <c r="C17" s="59" t="n">
        <f aca="false">CALC!T18</f>
        <v>0</v>
      </c>
      <c r="D17" s="59" t="n">
        <f aca="false">CALC!U18</f>
        <v>0</v>
      </c>
      <c r="E17" s="59" t="n">
        <f aca="false">CALC!V18</f>
        <v>0</v>
      </c>
      <c r="F17" s="59" t="n">
        <f aca="false">CALC!W18</f>
        <v>0</v>
      </c>
    </row>
    <row r="18" customFormat="false" ht="12.8" hidden="false" customHeight="false" outlineLevel="0" collapsed="false">
      <c r="A18" s="41" t="str">
        <f aca="false">_xlfn.CONCAT($A$1, ".", CALC!A19)</f>
        <v>LSD.RID.0.AL.U6R.15</v>
      </c>
      <c r="B18" s="55" t="str">
        <f aca="false">_xlfn.CONCAT(CALC!B19, ":", CALC!C19)</f>
        <v>Landscaping / Groundskeeping:Support</v>
      </c>
      <c r="C18" s="59" t="n">
        <f aca="false">CALC!T19</f>
        <v>0</v>
      </c>
      <c r="D18" s="59" t="n">
        <f aca="false">CALC!U19</f>
        <v>0</v>
      </c>
      <c r="E18" s="59" t="n">
        <f aca="false">CALC!V19</f>
        <v>0</v>
      </c>
      <c r="F18" s="59" t="n">
        <f aca="false">CALC!W19</f>
        <v>0</v>
      </c>
    </row>
    <row r="19" customFormat="false" ht="12.8" hidden="false" customHeight="false" outlineLevel="0" collapsed="false">
      <c r="A19" s="41" t="str">
        <f aca="false">_xlfn.CONCAT($A$1, ".", CALC!A20)</f>
        <v>LSD.RID.0.AL.U6R.16</v>
      </c>
      <c r="B19" s="55" t="str">
        <f aca="false">_xlfn.CONCAT(CALC!B20, ":", CALC!C20)</f>
        <v>Landscaping / Groundskeeping:Worker</v>
      </c>
      <c r="C19" s="59" t="n">
        <f aca="false">CALC!T20</f>
        <v>0</v>
      </c>
      <c r="D19" s="59" t="n">
        <f aca="false">CALC!U20</f>
        <v>0</v>
      </c>
      <c r="E19" s="59" t="n">
        <f aca="false">CALC!V20</f>
        <v>0</v>
      </c>
      <c r="F19" s="59" t="n">
        <f aca="false">CALC!W20</f>
        <v>0</v>
      </c>
    </row>
    <row r="20" customFormat="false" ht="12.8" hidden="false" customHeight="false" outlineLevel="0" collapsed="false">
      <c r="A20" s="41" t="str">
        <f aca="false">_xlfn.CONCAT($A$1, ".", CALC!A21)</f>
        <v>LSD.RID.0.AL.U6R.17</v>
      </c>
      <c r="B20" s="55" t="str">
        <f aca="false">_xlfn.CONCAT(CALC!B21, ":", CALC!C21)</f>
        <v>Automotive &amp; Repair:Support</v>
      </c>
      <c r="C20" s="59" t="n">
        <f aca="false">CALC!T21</f>
        <v>0</v>
      </c>
      <c r="D20" s="59" t="n">
        <f aca="false">CALC!U21</f>
        <v>0</v>
      </c>
      <c r="E20" s="59" t="n">
        <f aca="false">CALC!V21</f>
        <v>0</v>
      </c>
      <c r="F20" s="59" t="n">
        <f aca="false">CALC!W21</f>
        <v>0</v>
      </c>
    </row>
    <row r="21" customFormat="false" ht="12.8" hidden="false" customHeight="false" outlineLevel="0" collapsed="false">
      <c r="A21" s="41" t="str">
        <f aca="false">_xlfn.CONCAT($A$1, ".", CALC!A22)</f>
        <v>LSD.RID.0.AL.U6R.18</v>
      </c>
      <c r="B21" s="55" t="str">
        <f aca="false">_xlfn.CONCAT(CALC!B22, ":", CALC!C22)</f>
        <v>Automotive &amp; Repair:Worker</v>
      </c>
      <c r="C21" s="59" t="n">
        <f aca="false">CALC!T22</f>
        <v>0</v>
      </c>
      <c r="D21" s="59" t="n">
        <f aca="false">CALC!U22</f>
        <v>0</v>
      </c>
      <c r="E21" s="59" t="n">
        <f aca="false">CALC!V22</f>
        <v>0</v>
      </c>
      <c r="F21" s="59" t="n">
        <f aca="false">CALC!W22</f>
        <v>0</v>
      </c>
    </row>
    <row r="22" customFormat="false" ht="12.8" hidden="false" customHeight="false" outlineLevel="0" collapsed="false">
      <c r="A22" s="41" t="str">
        <f aca="false">_xlfn.CONCAT($A$1, ".", CALC!A23)</f>
        <v>LSD.RID.0.AL.U6R.19</v>
      </c>
      <c r="B22" s="55" t="str">
        <f aca="false">_xlfn.CONCAT(CALC!B23, ":", CALC!C23)</f>
        <v>Healthcare &amp; Social Assistance:Support</v>
      </c>
      <c r="C22" s="59" t="n">
        <f aca="false">CALC!T23</f>
        <v>0</v>
      </c>
      <c r="D22" s="59" t="n">
        <f aca="false">CALC!U23</f>
        <v>0</v>
      </c>
      <c r="E22" s="59" t="n">
        <f aca="false">CALC!V23</f>
        <v>0</v>
      </c>
      <c r="F22" s="59" t="n">
        <f aca="false">CALC!W23</f>
        <v>0</v>
      </c>
    </row>
    <row r="23" customFormat="false" ht="12.8" hidden="false" customHeight="false" outlineLevel="0" collapsed="false">
      <c r="A23" s="41" t="str">
        <f aca="false">_xlfn.CONCAT($A$1, ".", CALC!A24)</f>
        <v>LSD.RID.0.AL.U6R.20</v>
      </c>
      <c r="B23" s="55" t="str">
        <f aca="false">_xlfn.CONCAT(CALC!B24, ":", CALC!C24)</f>
        <v>Healthcare &amp; Social Assistance:Worker</v>
      </c>
      <c r="C23" s="59" t="n">
        <f aca="false">CALC!T24</f>
        <v>0</v>
      </c>
      <c r="D23" s="59" t="n">
        <f aca="false">CALC!U24</f>
        <v>0</v>
      </c>
      <c r="E23" s="59" t="n">
        <f aca="false">CALC!V24</f>
        <v>0</v>
      </c>
      <c r="F23" s="59" t="n">
        <f aca="false">CALC!W24</f>
        <v>0</v>
      </c>
    </row>
    <row r="24" customFormat="false" ht="12.8" hidden="false" customHeight="false" outlineLevel="0" collapsed="false">
      <c r="A24" s="41" t="str">
        <f aca="false">_xlfn.CONCAT($A$1, ".", CALC!A25)</f>
        <v>LSD.RID.0.AL.U6R.21</v>
      </c>
      <c r="B24" s="55" t="str">
        <f aca="false">_xlfn.CONCAT(CALC!B25, ":", CALC!C25)</f>
        <v>Professional Services:Support</v>
      </c>
      <c r="C24" s="59" t="n">
        <f aca="false">CALC!T25</f>
        <v>0</v>
      </c>
      <c r="D24" s="59" t="n">
        <f aca="false">CALC!U25</f>
        <v>0</v>
      </c>
      <c r="E24" s="59" t="n">
        <f aca="false">CALC!V25</f>
        <v>0</v>
      </c>
      <c r="F24" s="59" t="n">
        <f aca="false">CALC!W25</f>
        <v>0</v>
      </c>
    </row>
    <row r="25" customFormat="false" ht="12.8" hidden="false" customHeight="false" outlineLevel="0" collapsed="false">
      <c r="A25" s="41" t="str">
        <f aca="false">_xlfn.CONCAT($A$1, ".", CALC!A26)</f>
        <v>LSD.RID.0.AL.U6R.22</v>
      </c>
      <c r="B25" s="55" t="str">
        <f aca="false">_xlfn.CONCAT(CALC!B26, ":", CALC!C26)</f>
        <v>Professional Services:Worker</v>
      </c>
      <c r="C25" s="59" t="n">
        <f aca="false">CALC!T26</f>
        <v>0</v>
      </c>
      <c r="D25" s="59" t="n">
        <f aca="false">CALC!U26</f>
        <v>0</v>
      </c>
      <c r="E25" s="59" t="n">
        <f aca="false">CALC!V26</f>
        <v>0</v>
      </c>
      <c r="F25" s="59" t="n">
        <f aca="false">CALC!W26</f>
        <v>0</v>
      </c>
    </row>
    <row r="26" customFormat="false" ht="12.8" hidden="false" customHeight="false" outlineLevel="0" collapsed="false">
      <c r="A26" s="41" t="str">
        <f aca="false">_xlfn.CONCAT($A$1, ".", CALC!A27)</f>
        <v>LSD.RID.0.AL.U6R.23</v>
      </c>
      <c r="B26" s="55" t="str">
        <f aca="false">_xlfn.CONCAT(CALC!B27, ":", CALC!C27)</f>
        <v>Educational Services:Support</v>
      </c>
      <c r="C26" s="59" t="n">
        <f aca="false">CALC!T27</f>
        <v>0</v>
      </c>
      <c r="D26" s="59" t="n">
        <f aca="false">CALC!U27</f>
        <v>0</v>
      </c>
      <c r="E26" s="59" t="n">
        <f aca="false">CALC!V27</f>
        <v>0</v>
      </c>
      <c r="F26" s="59" t="n">
        <f aca="false">CALC!W27</f>
        <v>0</v>
      </c>
    </row>
    <row r="27" customFormat="false" ht="12.8" hidden="false" customHeight="false" outlineLevel="0" collapsed="false">
      <c r="A27" s="41" t="str">
        <f aca="false">_xlfn.CONCAT($A$1, ".", CALC!A28)</f>
        <v>LSD.RID.0.AL.U6R.24</v>
      </c>
      <c r="B27" s="55" t="str">
        <f aca="false">_xlfn.CONCAT(CALC!B28, ":", CALC!C28)</f>
        <v>Educational Services:Worker</v>
      </c>
      <c r="C27" s="59" t="n">
        <f aca="false">CALC!T28</f>
        <v>0</v>
      </c>
      <c r="D27" s="59" t="n">
        <f aca="false">CALC!U28</f>
        <v>0</v>
      </c>
      <c r="E27" s="59" t="n">
        <f aca="false">CALC!V28</f>
        <v>0</v>
      </c>
      <c r="F27" s="59" t="n">
        <f aca="false">CALC!W28</f>
        <v>0</v>
      </c>
    </row>
    <row r="28" customFormat="false" ht="12.8" hidden="false" customHeight="false" outlineLevel="0" collapsed="false">
      <c r="A28" s="41" t="str">
        <f aca="false">_xlfn.CONCAT($A$1, ".", CALC!A29)</f>
        <v>LSD.RID.0.AL.U6R.25</v>
      </c>
      <c r="B28" s="55" t="str">
        <f aca="false">_xlfn.CONCAT(CALC!B29, ":", CALC!C29)</f>
        <v>Finance &amp; Insurance:Support</v>
      </c>
      <c r="C28" s="59" t="n">
        <f aca="false">CALC!T29</f>
        <v>0</v>
      </c>
      <c r="D28" s="59" t="n">
        <f aca="false">CALC!U29</f>
        <v>0</v>
      </c>
      <c r="E28" s="59" t="n">
        <f aca="false">CALC!V29</f>
        <v>0</v>
      </c>
      <c r="F28" s="59" t="n">
        <f aca="false">CALC!W29</f>
        <v>0</v>
      </c>
    </row>
    <row r="29" customFormat="false" ht="12.8" hidden="false" customHeight="false" outlineLevel="0" collapsed="false">
      <c r="A29" s="41" t="str">
        <f aca="false">_xlfn.CONCAT($A$1, ".", CALC!A30)</f>
        <v>LSD.RID.0.AL.U6R.26</v>
      </c>
      <c r="B29" s="55" t="str">
        <f aca="false">_xlfn.CONCAT(CALC!B30, ":", CALC!C30)</f>
        <v>Finance &amp; Insurance:Worker</v>
      </c>
      <c r="C29" s="59" t="n">
        <f aca="false">CALC!T30</f>
        <v>0</v>
      </c>
      <c r="D29" s="59" t="n">
        <f aca="false">CALC!U30</f>
        <v>0</v>
      </c>
      <c r="E29" s="59" t="n">
        <f aca="false">CALC!V30</f>
        <v>0</v>
      </c>
      <c r="F29" s="59" t="n">
        <f aca="false">CALC!W30</f>
        <v>0</v>
      </c>
    </row>
    <row r="30" customFormat="false" ht="12.8" hidden="false" customHeight="false" outlineLevel="0" collapsed="false">
      <c r="A30" s="41" t="str">
        <f aca="false">_xlfn.CONCAT($A$1, ".", CALC!A31)</f>
        <v>LSD.RID.0.AL.U6R.27</v>
      </c>
      <c r="B30" s="55" t="str">
        <f aca="false">_xlfn.CONCAT(CALC!B31, ":", CALC!C31)</f>
        <v>Media and Information Technology:Support</v>
      </c>
      <c r="C30" s="59" t="n">
        <f aca="false">CALC!T31</f>
        <v>0</v>
      </c>
      <c r="D30" s="59" t="n">
        <f aca="false">CALC!U31</f>
        <v>0</v>
      </c>
      <c r="E30" s="59" t="n">
        <f aca="false">CALC!V31</f>
        <v>0</v>
      </c>
      <c r="F30" s="59" t="n">
        <f aca="false">CALC!W31</f>
        <v>0</v>
      </c>
    </row>
    <row r="31" customFormat="false" ht="12.8" hidden="false" customHeight="false" outlineLevel="0" collapsed="false">
      <c r="A31" s="41" t="str">
        <f aca="false">_xlfn.CONCAT($A$1, ".", CALC!A32)</f>
        <v>LSD.RID.0.AL.U6R.28</v>
      </c>
      <c r="B31" s="55" t="str">
        <f aca="false">_xlfn.CONCAT(CALC!B32, ":", CALC!C32)</f>
        <v>Media and Information Technology:Worker</v>
      </c>
      <c r="C31" s="59" t="n">
        <f aca="false">CALC!T32</f>
        <v>0</v>
      </c>
      <c r="D31" s="59" t="n">
        <f aca="false">CALC!U32</f>
        <v>0</v>
      </c>
      <c r="E31" s="59" t="n">
        <f aca="false">CALC!V32</f>
        <v>0</v>
      </c>
      <c r="F31" s="59" t="n">
        <f aca="false">CALC!W32</f>
        <v>0</v>
      </c>
    </row>
    <row r="32" customFormat="false" ht="12.8" hidden="false" customHeight="false" outlineLevel="0" collapsed="false">
      <c r="A32" s="41" t="str">
        <f aca="false">_xlfn.CONCAT($A$1, ".", CALC!A33)</f>
        <v>LSD.RID.0.AL.U6R.29</v>
      </c>
      <c r="B32" s="55" t="str">
        <f aca="false">_xlfn.CONCAT(CALC!B33, ":", CALC!C33)</f>
        <v>Government:Support</v>
      </c>
      <c r="C32" s="59" t="n">
        <f aca="false">CALC!T33</f>
        <v>0</v>
      </c>
      <c r="D32" s="59" t="n">
        <f aca="false">CALC!U33</f>
        <v>0</v>
      </c>
      <c r="E32" s="59" t="n">
        <f aca="false">CALC!V33</f>
        <v>0</v>
      </c>
      <c r="F32" s="59" t="n">
        <f aca="false">CALC!W33</f>
        <v>0</v>
      </c>
    </row>
    <row r="33" customFormat="false" ht="12.8" hidden="false" customHeight="false" outlineLevel="0" collapsed="false">
      <c r="A33" s="41" t="str">
        <f aca="false">_xlfn.CONCAT($A$1, ".", CALC!A34)</f>
        <v>LSD.RID.0.AL.U6R.30</v>
      </c>
      <c r="B33" s="55" t="str">
        <f aca="false">_xlfn.CONCAT(CALC!B34, ":", CALC!C34)</f>
        <v>Government:Worker</v>
      </c>
      <c r="C33" s="59" t="n">
        <f aca="false">CALC!T34</f>
        <v>0</v>
      </c>
      <c r="D33" s="59" t="n">
        <f aca="false">CALC!U34</f>
        <v>0</v>
      </c>
      <c r="E33" s="59" t="n">
        <f aca="false">CALC!V34</f>
        <v>0</v>
      </c>
      <c r="F33" s="59" t="n">
        <f aca="false">CALC!W34</f>
        <v>0</v>
      </c>
    </row>
    <row r="34" customFormat="false" ht="12.8" hidden="false" customHeight="false" outlineLevel="0" collapsed="false">
      <c r="A34" s="41" t="str">
        <f aca="false">_xlfn.CONCAT($A$1, ".", CALC!A35)</f>
        <v>LSD.RID.0.AL.U6R.31</v>
      </c>
      <c r="B34" s="55" t="str">
        <f aca="false">_xlfn.CONCAT(CALC!B35, ":", CALC!C35)</f>
        <v>Self-Employed / Non-Employer:Support</v>
      </c>
      <c r="C34" s="59" t="n">
        <f aca="false">CALC!T35</f>
        <v>0</v>
      </c>
      <c r="D34" s="59" t="n">
        <f aca="false">CALC!U35</f>
        <v>0</v>
      </c>
      <c r="E34" s="59" t="n">
        <f aca="false">CALC!V35</f>
        <v>0</v>
      </c>
      <c r="F34" s="59" t="n">
        <f aca="false">CALC!W35</f>
        <v>0</v>
      </c>
    </row>
    <row r="35" customFormat="false" ht="12.8" hidden="false" customHeight="false" outlineLevel="0" collapsed="false">
      <c r="A35" s="41" t="str">
        <f aca="false">_xlfn.CONCAT($A$1, ".", CALC!A36)</f>
        <v>LSD.RID.0.AL.U6R.32</v>
      </c>
      <c r="B35" s="55" t="str">
        <f aca="false">_xlfn.CONCAT(CALC!B36, ":", CALC!C36)</f>
        <v>Self-Employed / Non-Employer:Worker</v>
      </c>
      <c r="C35" s="59" t="n">
        <f aca="false">CALC!T36</f>
        <v>0</v>
      </c>
      <c r="D35" s="59" t="n">
        <f aca="false">CALC!U36</f>
        <v>0</v>
      </c>
      <c r="E35" s="59" t="n">
        <f aca="false">CALC!V36</f>
        <v>0</v>
      </c>
      <c r="F35" s="59" t="n">
        <f aca="false">CALC!W36</f>
        <v>0</v>
      </c>
    </row>
    <row r="36" customFormat="false" ht="12.8" hidden="false" customHeight="false" outlineLevel="0" collapsed="false">
      <c r="A36" s="41" t="str">
        <f aca="false">_xlfn.CONCAT($A$1, ".", CALC!A37)</f>
        <v>LSD.RID.0.AL.U6R.33</v>
      </c>
      <c r="B36" s="55" t="str">
        <f aca="false">_xlfn.CONCAT(CALC!B37, ":", CALC!C37)</f>
        <v>Other Services:Support</v>
      </c>
      <c r="C36" s="59" t="n">
        <f aca="false">CALC!T37</f>
        <v>0</v>
      </c>
      <c r="D36" s="59" t="n">
        <f aca="false">CALC!U37</f>
        <v>0</v>
      </c>
      <c r="E36" s="59" t="n">
        <f aca="false">CALC!V37</f>
        <v>0</v>
      </c>
      <c r="F36" s="59" t="n">
        <f aca="false">CALC!W37</f>
        <v>0</v>
      </c>
    </row>
    <row r="37" customFormat="false" ht="12.8" hidden="false" customHeight="false" outlineLevel="0" collapsed="false">
      <c r="A37" s="41" t="str">
        <f aca="false">_xlfn.CONCAT($A$1, ".", CALC!A38)</f>
        <v>LSD.RID.0.AL.U6R.34</v>
      </c>
      <c r="B37" s="55" t="str">
        <f aca="false">_xlfn.CONCAT(CALC!B38, ":", CALC!C38)</f>
        <v>Other Services:Worker</v>
      </c>
      <c r="C37" s="59" t="n">
        <f aca="false">CALC!T38</f>
        <v>0</v>
      </c>
      <c r="D37" s="59" t="n">
        <f aca="false">CALC!U38</f>
        <v>0</v>
      </c>
      <c r="E37" s="59" t="n">
        <f aca="false">CALC!V38</f>
        <v>0</v>
      </c>
      <c r="F37" s="59" t="n">
        <f aca="false">CALC!W38</f>
        <v>0</v>
      </c>
    </row>
    <row r="38" customFormat="false" ht="12.8" hidden="false" customHeight="false" outlineLevel="0" collapsed="false">
      <c r="A38" s="41" t="str">
        <f aca="false">_xlfn.CONCAT($A$1, ".", CALC!A39)</f>
        <v>LSD.RID.0.AL.U6R.35</v>
      </c>
      <c r="B38" s="55" t="str">
        <f aca="false">_xlfn.CONCAT(CALC!B39, ":", CALC!C39)</f>
        <v>Mining, Quarrying, and Oil/Gas Extraction:Support</v>
      </c>
      <c r="C38" s="59" t="n">
        <f aca="false">CALC!T39</f>
        <v>0</v>
      </c>
      <c r="D38" s="59" t="n">
        <f aca="false">CALC!U39</f>
        <v>0</v>
      </c>
      <c r="E38" s="59" t="n">
        <f aca="false">CALC!V39</f>
        <v>0</v>
      </c>
      <c r="F38" s="59" t="n">
        <f aca="false">CALC!W39</f>
        <v>0</v>
      </c>
    </row>
    <row r="39" customFormat="false" ht="12.8" hidden="false" customHeight="false" outlineLevel="0" collapsed="false">
      <c r="A39" s="41" t="str">
        <f aca="false">_xlfn.CONCAT($A$1, ".", CALC!A40)</f>
        <v>LSD.RID.0.AL.U6R.36</v>
      </c>
      <c r="B39" s="55" t="str">
        <f aca="false">_xlfn.CONCAT(CALC!B40, ":", CALC!C40)</f>
        <v>Mining, Quarrying, and Oil/Gas Extraction:Worker</v>
      </c>
      <c r="C39" s="59" t="n">
        <f aca="false">CALC!T40</f>
        <v>0</v>
      </c>
      <c r="D39" s="59" t="n">
        <f aca="false">CALC!U40</f>
        <v>0</v>
      </c>
      <c r="E39" s="59" t="n">
        <f aca="false">CALC!V40</f>
        <v>0</v>
      </c>
      <c r="F39" s="59" t="n">
        <f aca="false">CALC!W40</f>
        <v>0</v>
      </c>
    </row>
    <row r="40" customFormat="false" ht="12.8" hidden="false" customHeight="false" outlineLevel="0" collapsed="false">
      <c r="A40" s="41" t="str">
        <f aca="false">_xlfn.CONCAT($A$1, ".", CALC!A41)</f>
        <v>LSD.RID.0.AL.U6R.37</v>
      </c>
      <c r="B40" s="55" t="str">
        <f aca="false">_xlfn.CONCAT(CALC!B41, ":", CALC!C41)</f>
        <v>Utilities:Support</v>
      </c>
      <c r="C40" s="59" t="n">
        <f aca="false">CALC!T41</f>
        <v>0</v>
      </c>
      <c r="D40" s="59" t="n">
        <f aca="false">CALC!U41</f>
        <v>0</v>
      </c>
      <c r="E40" s="59" t="n">
        <f aca="false">CALC!V41</f>
        <v>0</v>
      </c>
      <c r="F40" s="59" t="n">
        <f aca="false">CALC!W41</f>
        <v>0</v>
      </c>
    </row>
    <row r="41" customFormat="false" ht="12.8" hidden="false" customHeight="false" outlineLevel="0" collapsed="false">
      <c r="A41" s="41" t="str">
        <f aca="false">_xlfn.CONCAT($A$1, ".", CALC!A42)</f>
        <v>LSD.RID.0.AL.U6R.38</v>
      </c>
      <c r="B41" s="55" t="str">
        <f aca="false">_xlfn.CONCAT(CALC!B42, ":", CALC!C42)</f>
        <v>Utilities:Worker</v>
      </c>
      <c r="C41" s="59" t="n">
        <f aca="false">CALC!T42</f>
        <v>0</v>
      </c>
      <c r="D41" s="59" t="n">
        <f aca="false">CALC!U42</f>
        <v>0</v>
      </c>
      <c r="E41" s="59" t="n">
        <f aca="false">CALC!V42</f>
        <v>0</v>
      </c>
      <c r="F41" s="59" t="n">
        <f aca="false">CALC!W42</f>
        <v>0</v>
      </c>
    </row>
    <row r="42" customFormat="false" ht="12.8" hidden="false" customHeight="false" outlineLevel="0" collapsed="false">
      <c r="A42" s="41" t="str">
        <f aca="false">_xlfn.CONCAT($A$1, ".", CALC!A43)</f>
        <v>LSD.RID.0.AL.U6R.39</v>
      </c>
      <c r="B42" s="55" t="str">
        <f aca="false">_xlfn.CONCAT(CALC!B43, ":", CALC!C43)</f>
        <v>Wholesale Trade:Support</v>
      </c>
      <c r="C42" s="59" t="n">
        <f aca="false">CALC!T43</f>
        <v>0</v>
      </c>
      <c r="D42" s="59" t="n">
        <f aca="false">CALC!U43</f>
        <v>0</v>
      </c>
      <c r="E42" s="59" t="n">
        <f aca="false">CALC!V43</f>
        <v>0</v>
      </c>
      <c r="F42" s="59" t="n">
        <f aca="false">CALC!W43</f>
        <v>0</v>
      </c>
    </row>
    <row r="43" customFormat="false" ht="12.8" hidden="false" customHeight="false" outlineLevel="0" collapsed="false">
      <c r="A43" s="41" t="str">
        <f aca="false">_xlfn.CONCAT($A$1, ".", CALC!A44)</f>
        <v>LSD.RID.0.AL.U6R.40</v>
      </c>
      <c r="B43" s="55" t="str">
        <f aca="false">_xlfn.CONCAT(CALC!B44, ":", CALC!C44)</f>
        <v>Wholesale Trade:Worker</v>
      </c>
      <c r="C43" s="59" t="n">
        <f aca="false">CALC!T44</f>
        <v>0</v>
      </c>
      <c r="D43" s="59" t="n">
        <f aca="false">CALC!U44</f>
        <v>0</v>
      </c>
      <c r="E43" s="59" t="n">
        <f aca="false">CALC!V44</f>
        <v>0</v>
      </c>
      <c r="F43" s="59" t="n">
        <f aca="false">CALC!W44</f>
        <v>0</v>
      </c>
    </row>
    <row r="44" customFormat="false" ht="12.8" hidden="false" customHeight="false" outlineLevel="0" collapsed="false">
      <c r="A44" s="41" t="str">
        <f aca="false">_xlfn.CONCAT($A$1, ".", CALC!A45)</f>
        <v>LSD.RID.0.AL.U6R.41</v>
      </c>
      <c r="B44" s="55" t="str">
        <f aca="false">_xlfn.CONCAT(CALC!B45, ":", CALC!C45)</f>
        <v>Information:Support</v>
      </c>
      <c r="C44" s="59" t="n">
        <f aca="false">CALC!T45</f>
        <v>0</v>
      </c>
      <c r="D44" s="59" t="n">
        <f aca="false">CALC!U45</f>
        <v>0</v>
      </c>
      <c r="E44" s="59" t="n">
        <f aca="false">CALC!V45</f>
        <v>0</v>
      </c>
      <c r="F44" s="59" t="n">
        <f aca="false">CALC!W45</f>
        <v>0</v>
      </c>
    </row>
    <row r="45" customFormat="false" ht="12.8" hidden="false" customHeight="false" outlineLevel="0" collapsed="false">
      <c r="A45" s="41" t="str">
        <f aca="false">_xlfn.CONCAT($A$1, ".", CALC!A46)</f>
        <v>LSD.RID.0.AL.U6R.42</v>
      </c>
      <c r="B45" s="55" t="str">
        <f aca="false">_xlfn.CONCAT(CALC!B46, ":", CALC!C46)</f>
        <v>Information:Worker</v>
      </c>
      <c r="C45" s="59" t="n">
        <f aca="false">CALC!T46</f>
        <v>0</v>
      </c>
      <c r="D45" s="59" t="n">
        <f aca="false">CALC!U46</f>
        <v>0</v>
      </c>
      <c r="E45" s="59" t="n">
        <f aca="false">CALC!V46</f>
        <v>0</v>
      </c>
      <c r="F45" s="59" t="n">
        <f aca="false">CALC!W46</f>
        <v>0</v>
      </c>
    </row>
    <row r="46" customFormat="false" ht="12.8" hidden="false" customHeight="false" outlineLevel="0" collapsed="false">
      <c r="A46" s="41" t="str">
        <f aca="false">_xlfn.CONCAT($A$1, ".", CALC!A47)</f>
        <v>LSD.RID.0.AL.U6R.43</v>
      </c>
      <c r="B46" s="55" t="str">
        <f aca="false">_xlfn.CONCAT(CALC!B47, ":", CALC!C47)</f>
        <v>Real Estate, Rental and Leasing:Support</v>
      </c>
      <c r="C46" s="59" t="n">
        <f aca="false">CALC!T47</f>
        <v>0</v>
      </c>
      <c r="D46" s="59" t="n">
        <f aca="false">CALC!U47</f>
        <v>0</v>
      </c>
      <c r="E46" s="59" t="n">
        <f aca="false">CALC!V47</f>
        <v>0</v>
      </c>
      <c r="F46" s="59" t="n">
        <f aca="false">CALC!W47</f>
        <v>0</v>
      </c>
    </row>
    <row r="47" customFormat="false" ht="12.8" hidden="false" customHeight="false" outlineLevel="0" collapsed="false">
      <c r="A47" s="41" t="str">
        <f aca="false">_xlfn.CONCAT($A$1, ".", CALC!A48)</f>
        <v>LSD.RID.0.AL.U6R.44</v>
      </c>
      <c r="B47" s="55" t="str">
        <f aca="false">_xlfn.CONCAT(CALC!B48, ":", CALC!C48)</f>
        <v>Real Estate, Rental and Leasing:Worker</v>
      </c>
      <c r="C47" s="59" t="n">
        <f aca="false">CALC!T48</f>
        <v>0</v>
      </c>
      <c r="D47" s="59" t="n">
        <f aca="false">CALC!U48</f>
        <v>0</v>
      </c>
      <c r="E47" s="59" t="n">
        <f aca="false">CALC!V48</f>
        <v>0</v>
      </c>
      <c r="F47" s="59" t="n">
        <f aca="false">CALC!W48</f>
        <v>0</v>
      </c>
    </row>
    <row r="48" customFormat="false" ht="12.8" hidden="false" customHeight="false" outlineLevel="0" collapsed="false">
      <c r="A48" s="41" t="str">
        <f aca="false">_xlfn.CONCAT($A$1, ".", CALC!A49)</f>
        <v>LSD.RID.0.AL.U6R.45</v>
      </c>
      <c r="B48" s="55" t="str">
        <f aca="false">_xlfn.CONCAT(CALC!B49, ":", CALC!C49)</f>
        <v>Waste Management Services:Support</v>
      </c>
      <c r="C48" s="59" t="n">
        <f aca="false">CALC!T49</f>
        <v>0</v>
      </c>
      <c r="D48" s="59" t="n">
        <f aca="false">CALC!U49</f>
        <v>0</v>
      </c>
      <c r="E48" s="59" t="n">
        <f aca="false">CALC!V49</f>
        <v>0</v>
      </c>
      <c r="F48" s="59" t="n">
        <f aca="false">CALC!W49</f>
        <v>0</v>
      </c>
    </row>
    <row r="49" customFormat="false" ht="12.8" hidden="false" customHeight="false" outlineLevel="0" collapsed="false">
      <c r="A49" s="41" t="str">
        <f aca="false">_xlfn.CONCAT($A$1, ".", CALC!A50)</f>
        <v>LSD.RID.0.AL.U6R.46</v>
      </c>
      <c r="B49" s="55" t="str">
        <f aca="false">_xlfn.CONCAT(CALC!B50, ":", CALC!C50)</f>
        <v>Waste Management Services:Worker</v>
      </c>
      <c r="C49" s="59" t="n">
        <f aca="false">CALC!T50</f>
        <v>0</v>
      </c>
      <c r="D49" s="59" t="n">
        <f aca="false">CALC!U50</f>
        <v>0</v>
      </c>
      <c r="E49" s="59" t="n">
        <f aca="false">CALC!V50</f>
        <v>0</v>
      </c>
      <c r="F49" s="59" t="n">
        <f aca="false">CALC!W50</f>
        <v>0</v>
      </c>
    </row>
    <row r="50" customFormat="false" ht="12.8" hidden="false" customHeight="false" outlineLevel="0" collapsed="false">
      <c r="A50" s="41" t="str">
        <f aca="false">_xlfn.CONCAT($A$1, ".", CALC!A51)</f>
        <v>LSD.RID.0.AL.U6R.47</v>
      </c>
      <c r="B50" s="55" t="str">
        <f aca="false">_xlfn.CONCAT(CALC!B51, ":", CALC!C51)</f>
        <v>Arts, Entertainment, and Recreation:Support</v>
      </c>
      <c r="C50" s="59" t="n">
        <f aca="false">CALC!T51</f>
        <v>0</v>
      </c>
      <c r="D50" s="59" t="n">
        <f aca="false">CALC!U51</f>
        <v>0</v>
      </c>
      <c r="E50" s="59" t="n">
        <f aca="false">CALC!V51</f>
        <v>0</v>
      </c>
      <c r="F50" s="59" t="n">
        <f aca="false">CALC!W51</f>
        <v>0</v>
      </c>
    </row>
    <row r="51" customFormat="false" ht="12.8" hidden="false" customHeight="false" outlineLevel="0" collapsed="false">
      <c r="A51" s="41" t="str">
        <f aca="false">_xlfn.CONCAT($A$1, ".", CALC!A52)</f>
        <v>LSD.RID.0.AL.U6R.48</v>
      </c>
      <c r="B51" s="55" t="str">
        <f aca="false">_xlfn.CONCAT(CALC!B52, ":", CALC!C52)</f>
        <v>Arts, Entertainment, and Recreation:Worker</v>
      </c>
      <c r="C51" s="59" t="n">
        <f aca="false">CALC!T52</f>
        <v>0</v>
      </c>
      <c r="D51" s="59" t="n">
        <f aca="false">CALC!U52</f>
        <v>0</v>
      </c>
      <c r="E51" s="59" t="n">
        <f aca="false">CALC!V52</f>
        <v>0</v>
      </c>
      <c r="F51" s="59" t="n">
        <f aca="false">CALC!W52</f>
        <v>0</v>
      </c>
    </row>
    <row r="52" customFormat="false" ht="12.8" hidden="false" customHeight="false" outlineLevel="0" collapsed="false">
      <c r="A52" s="41" t="str">
        <f aca="false">_xlfn.CONCAT($A$1, ".", CALC!A53)</f>
        <v>LSD.RID.0.AL.U6R.49</v>
      </c>
      <c r="B52" s="55" t="str">
        <f aca="false">_xlfn.CONCAT(CALC!B53, ":", CALC!C53)</f>
        <v>Accommodation and Food Services:Support</v>
      </c>
      <c r="C52" s="59" t="n">
        <f aca="false">CALC!T53</f>
        <v>0</v>
      </c>
      <c r="D52" s="59" t="n">
        <f aca="false">CALC!U53</f>
        <v>0</v>
      </c>
      <c r="E52" s="59" t="n">
        <f aca="false">CALC!V53</f>
        <v>0</v>
      </c>
      <c r="F52" s="59" t="n">
        <f aca="false">CALC!W53</f>
        <v>0</v>
      </c>
    </row>
    <row r="53" customFormat="false" ht="12.8" hidden="false" customHeight="false" outlineLevel="0" collapsed="false">
      <c r="A53" s="41" t="str">
        <f aca="false">_xlfn.CONCAT($A$1, ".", CALC!A54)</f>
        <v>LSD.RID.0.AL.U6R.50</v>
      </c>
      <c r="B53" s="55" t="str">
        <f aca="false">_xlfn.CONCAT(CALC!B54, ":", CALC!C54)</f>
        <v>Accommodation and Food Services:Worker</v>
      </c>
      <c r="C53" s="59" t="n">
        <f aca="false">CALC!T54</f>
        <v>0</v>
      </c>
      <c r="D53" s="59" t="n">
        <f aca="false">CALC!U54</f>
        <v>0</v>
      </c>
      <c r="E53" s="59" t="n">
        <f aca="false">CALC!V54</f>
        <v>0</v>
      </c>
      <c r="F53" s="59" t="n">
        <f aca="false">CALC!W54</f>
        <v>0</v>
      </c>
    </row>
    <row r="54" customFormat="false" ht="12.8" hidden="false" customHeight="false" outlineLevel="0" collapsed="false">
      <c r="A54" s="41" t="str">
        <f aca="false">_xlfn.CONCAT($A$1, ".", CALC!A55)</f>
        <v>LSD.RID.0.AL.U6R.51</v>
      </c>
      <c r="B54" s="55" t="str">
        <f aca="false">_xlfn.CONCAT(CALC!B55, ":", CALC!C55)</f>
        <v>Public Administration:Support</v>
      </c>
      <c r="C54" s="59" t="n">
        <f aca="false">CALC!T55</f>
        <v>0</v>
      </c>
      <c r="D54" s="59" t="n">
        <f aca="false">CALC!U55</f>
        <v>0</v>
      </c>
      <c r="E54" s="59" t="n">
        <f aca="false">CALC!V55</f>
        <v>0</v>
      </c>
      <c r="F54" s="59" t="n">
        <f aca="false">CALC!W55</f>
        <v>0</v>
      </c>
    </row>
    <row r="55" customFormat="false" ht="12.8" hidden="false" customHeight="false" outlineLevel="0" collapsed="false">
      <c r="A55" s="41" t="str">
        <f aca="false">_xlfn.CONCAT($A$1, ".", CALC!A56)</f>
        <v>LSD.RID.0.AL.U6R.52</v>
      </c>
      <c r="B55" s="55" t="str">
        <f aca="false">_xlfn.CONCAT(CALC!B56, ":", CALC!C56)</f>
        <v>Public Administration:Worker</v>
      </c>
      <c r="C55" s="59" t="n">
        <f aca="false">CALC!T56</f>
        <v>0</v>
      </c>
      <c r="D55" s="59" t="n">
        <f aca="false">CALC!U56</f>
        <v>0</v>
      </c>
      <c r="E55" s="59" t="n">
        <f aca="false">CALC!V56</f>
        <v>0</v>
      </c>
      <c r="F55" s="59" t="n">
        <f aca="false">CALC!W56</f>
        <v>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D1D75"/>
    <pageSetUpPr fitToPage="false"/>
  </sheetPr>
  <dimension ref="A1:BP247"/>
  <sheetViews>
    <sheetView showFormulas="false" showGridLines="true" showRowColHeaders="true" showZeros="true" rightToLeft="false" tabSelected="false" showOutlineSymbols="true" defaultGridColor="true" view="normal" topLeftCell="A92" colorId="64" zoomScale="65" zoomScaleNormal="65" zoomScalePageLayoutView="100" workbookViewId="0">
      <selection pane="topLeft" activeCell="A1" activeCellId="0" sqref="A1"/>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 t="s">
        <v>2155</v>
      </c>
      <c r="B1" s="47" t="s">
        <v>2156</v>
      </c>
      <c r="C1" s="6" t="s">
        <v>2</v>
      </c>
      <c r="D1" s="51" t="s">
        <v>2157</v>
      </c>
      <c r="AZ1" s="26"/>
      <c r="BP1" s="26"/>
    </row>
    <row r="2" customFormat="false" ht="35.05" hidden="false" customHeight="false" outlineLevel="0" collapsed="false">
      <c r="A2" s="52" t="s">
        <v>2140</v>
      </c>
      <c r="B2" s="47" t="s">
        <v>2141</v>
      </c>
      <c r="C2" s="60" t="str">
        <f aca="false">CALC!X3</f>
        <v>Wage Average ($ /hr)</v>
      </c>
      <c r="D2" s="60" t="str">
        <f aca="false">CALC!AD3</f>
        <v>Authorized Immigrant Wage Average ($ /hr)</v>
      </c>
      <c r="E2" s="60" t="str">
        <f aca="false">CALC!AJ3</f>
        <v>Unauthorized Immigrant Wage Average ($ /hr)</v>
      </c>
      <c r="F2" s="60" t="str">
        <f aca="false">CALC!AP3</f>
        <v>American Wage Average ($ /hr)</v>
      </c>
    </row>
    <row r="3" customFormat="false" ht="12.8" hidden="false" customHeight="false" outlineLevel="0" collapsed="false">
      <c r="A3" s="4" t="str">
        <f aca="false">_xlfn.CONCAT($A$1, ".", CALC!A4)</f>
        <v>LSD.RID.0.AL.WAVG.0</v>
      </c>
      <c r="B3" s="58" t="str">
        <f aca="false">_xlfn.CONCAT(CALC!B4, ":", CALC!C4)</f>
        <v>All Industries:All Roles</v>
      </c>
      <c r="C3" s="60" t="n">
        <f aca="false">CALC!X4</f>
        <v>0</v>
      </c>
      <c r="D3" s="60" t="n">
        <f aca="false">CALC!AD4</f>
        <v>0</v>
      </c>
      <c r="E3" s="60" t="n">
        <f aca="false">CALC!AJ4</f>
        <v>0</v>
      </c>
      <c r="F3" s="60" t="n">
        <f aca="false">CALC!AP4</f>
        <v>0</v>
      </c>
    </row>
    <row r="4" customFormat="false" ht="12.8" hidden="false" customHeight="false" outlineLevel="0" collapsed="false">
      <c r="A4" s="41" t="str">
        <f aca="false">_xlfn.CONCAT($A$1, ".", CALC!A5)</f>
        <v>LSD.RID.0.AL.WAVG.1</v>
      </c>
      <c r="B4" s="55" t="str">
        <f aca="false">_xlfn.CONCAT(CALC!B5, ":", CALC!C5)</f>
        <v>Agriculture:Support</v>
      </c>
      <c r="C4" s="61" t="n">
        <f aca="false">CALC!X5</f>
        <v>0</v>
      </c>
      <c r="D4" s="61" t="n">
        <f aca="false">CALC!AD5</f>
        <v>0</v>
      </c>
      <c r="E4" s="61" t="n">
        <f aca="false">CALC!AJ5</f>
        <v>0</v>
      </c>
      <c r="F4" s="61" t="n">
        <f aca="false">CALC!AP5</f>
        <v>0</v>
      </c>
    </row>
    <row r="5" customFormat="false" ht="12.8" hidden="false" customHeight="false" outlineLevel="0" collapsed="false">
      <c r="A5" s="41" t="str">
        <f aca="false">_xlfn.CONCAT($A$1, ".", CALC!A6)</f>
        <v>LSD.RID.0.AL.WAVG.2</v>
      </c>
      <c r="B5" s="55" t="str">
        <f aca="false">_xlfn.CONCAT(CALC!B6, ":", CALC!C6)</f>
        <v>Agriculture:Worker</v>
      </c>
      <c r="C5" s="61" t="n">
        <f aca="false">CALC!X6</f>
        <v>0</v>
      </c>
      <c r="D5" s="61" t="n">
        <f aca="false">CALC!AD6</f>
        <v>0</v>
      </c>
      <c r="E5" s="61" t="n">
        <f aca="false">CALC!AJ6</f>
        <v>0</v>
      </c>
      <c r="F5" s="61" t="n">
        <f aca="false">CALC!AP6</f>
        <v>0</v>
      </c>
    </row>
    <row r="6" customFormat="false" ht="12.8" hidden="false" customHeight="false" outlineLevel="0" collapsed="false">
      <c r="A6" s="41" t="str">
        <f aca="false">_xlfn.CONCAT($A$1, ".", CALC!A7)</f>
        <v>LSD.RID.0.AL.WAVG.3</v>
      </c>
      <c r="B6" s="55" t="str">
        <f aca="false">_xlfn.CONCAT(CALC!B7, ":", CALC!C7)</f>
        <v>Construction:Support</v>
      </c>
      <c r="C6" s="61" t="n">
        <f aca="false">CALC!X7</f>
        <v>0</v>
      </c>
      <c r="D6" s="61" t="n">
        <f aca="false">CALC!AD7</f>
        <v>0</v>
      </c>
      <c r="E6" s="61" t="n">
        <f aca="false">CALC!AJ7</f>
        <v>0</v>
      </c>
      <c r="F6" s="61" t="n">
        <f aca="false">CALC!AP7</f>
        <v>0</v>
      </c>
    </row>
    <row r="7" customFormat="false" ht="12.8" hidden="false" customHeight="false" outlineLevel="0" collapsed="false">
      <c r="A7" s="41" t="str">
        <f aca="false">_xlfn.CONCAT($A$1, ".", CALC!A8)</f>
        <v>LSD.RID.0.AL.WAVG.4</v>
      </c>
      <c r="B7" s="55" t="str">
        <f aca="false">_xlfn.CONCAT(CALC!B8, ":", CALC!C8)</f>
        <v>Construction:Worker</v>
      </c>
      <c r="C7" s="61" t="n">
        <f aca="false">CALC!X8</f>
        <v>0</v>
      </c>
      <c r="D7" s="61" t="n">
        <f aca="false">CALC!AD8</f>
        <v>0</v>
      </c>
      <c r="E7" s="61" t="n">
        <f aca="false">CALC!AJ8</f>
        <v>0</v>
      </c>
      <c r="F7" s="61" t="n">
        <f aca="false">CALC!AP8</f>
        <v>0</v>
      </c>
    </row>
    <row r="8" customFormat="false" ht="12.8" hidden="false" customHeight="false" outlineLevel="0" collapsed="false">
      <c r="A8" s="41" t="str">
        <f aca="false">_xlfn.CONCAT($A$1, ".", CALC!A9)</f>
        <v>LSD.RID.0.AL.WAVG.5</v>
      </c>
      <c r="B8" s="55" t="str">
        <f aca="false">_xlfn.CONCAT(CALC!B9, ":", CALC!C9)</f>
        <v>Hospitality:Support</v>
      </c>
      <c r="C8" s="61" t="n">
        <f aca="false">CALC!X9</f>
        <v>0</v>
      </c>
      <c r="D8" s="61" t="n">
        <f aca="false">CALC!AD9</f>
        <v>0</v>
      </c>
      <c r="E8" s="61" t="n">
        <f aca="false">CALC!AJ9</f>
        <v>0</v>
      </c>
      <c r="F8" s="61" t="n">
        <f aca="false">CALC!AP9</f>
        <v>0</v>
      </c>
    </row>
    <row r="9" customFormat="false" ht="12.8" hidden="false" customHeight="false" outlineLevel="0" collapsed="false">
      <c r="A9" s="41" t="str">
        <f aca="false">_xlfn.CONCAT($A$1, ".", CALC!A10)</f>
        <v>LSD.RID.0.AL.WAVG.6</v>
      </c>
      <c r="B9" s="55" t="str">
        <f aca="false">_xlfn.CONCAT(CALC!B10, ":", CALC!C10)</f>
        <v>Hospitality:Worker</v>
      </c>
      <c r="C9" s="61" t="n">
        <f aca="false">CALC!X10</f>
        <v>0</v>
      </c>
      <c r="D9" s="61" t="n">
        <f aca="false">CALC!AD10</f>
        <v>0</v>
      </c>
      <c r="E9" s="61" t="n">
        <f aca="false">CALC!AJ10</f>
        <v>0</v>
      </c>
      <c r="F9" s="61" t="n">
        <f aca="false">CALC!AP10</f>
        <v>0</v>
      </c>
    </row>
    <row r="10" customFormat="false" ht="12.8" hidden="false" customHeight="false" outlineLevel="0" collapsed="false">
      <c r="A10" s="41" t="str">
        <f aca="false">_xlfn.CONCAT($A$1, ".", CALC!A11)</f>
        <v>LSD.RID.0.AL.WAVG.7</v>
      </c>
      <c r="B10" s="55" t="str">
        <f aca="false">_xlfn.CONCAT(CALC!B11, ":", CALC!C11)</f>
        <v>Cleaning &amp; Maintenance:Support</v>
      </c>
      <c r="C10" s="61" t="n">
        <f aca="false">CALC!X11</f>
        <v>0</v>
      </c>
      <c r="D10" s="61" t="n">
        <f aca="false">CALC!AD11</f>
        <v>0</v>
      </c>
      <c r="E10" s="61" t="n">
        <f aca="false">CALC!AJ11</f>
        <v>0</v>
      </c>
      <c r="F10" s="61" t="n">
        <f aca="false">CALC!AP11</f>
        <v>0</v>
      </c>
    </row>
    <row r="11" customFormat="false" ht="12.8" hidden="false" customHeight="false" outlineLevel="0" collapsed="false">
      <c r="A11" s="41" t="str">
        <f aca="false">_xlfn.CONCAT($A$1, ".", CALC!A12)</f>
        <v>LSD.RID.0.AL.WAVG.8</v>
      </c>
      <c r="B11" s="55" t="str">
        <f aca="false">_xlfn.CONCAT(CALC!B12, ":", CALC!C12)</f>
        <v>Cleaning &amp; Maintenance:Worker</v>
      </c>
      <c r="C11" s="61" t="n">
        <f aca="false">CALC!X12</f>
        <v>0</v>
      </c>
      <c r="D11" s="61" t="n">
        <f aca="false">CALC!AD12</f>
        <v>0</v>
      </c>
      <c r="E11" s="61" t="n">
        <f aca="false">CALC!AJ12</f>
        <v>0</v>
      </c>
      <c r="F11" s="61" t="n">
        <f aca="false">CALC!AP12</f>
        <v>0</v>
      </c>
    </row>
    <row r="12" customFormat="false" ht="12.8" hidden="false" customHeight="false" outlineLevel="0" collapsed="false">
      <c r="A12" s="41" t="str">
        <f aca="false">_xlfn.CONCAT($A$1, ".", CALC!A13)</f>
        <v>LSD.RID.0.AL.WAVG.9</v>
      </c>
      <c r="B12" s="55" t="str">
        <f aca="false">_xlfn.CONCAT(CALC!B13, ":", CALC!C13)</f>
        <v>Manufacturing:Support</v>
      </c>
      <c r="C12" s="61" t="n">
        <f aca="false">CALC!X13</f>
        <v>0</v>
      </c>
      <c r="D12" s="61" t="n">
        <f aca="false">CALC!AD13</f>
        <v>0</v>
      </c>
      <c r="E12" s="61" t="n">
        <f aca="false">CALC!AJ13</f>
        <v>0</v>
      </c>
      <c r="F12" s="61" t="n">
        <f aca="false">CALC!AP13</f>
        <v>0</v>
      </c>
    </row>
    <row r="13" customFormat="false" ht="12.8" hidden="false" customHeight="false" outlineLevel="0" collapsed="false">
      <c r="A13" s="41" t="str">
        <f aca="false">_xlfn.CONCAT($A$1, ".", CALC!A14)</f>
        <v>LSD.RID.0.AL.WAVG.10</v>
      </c>
      <c r="B13" s="55" t="str">
        <f aca="false">_xlfn.CONCAT(CALC!B14, ":", CALC!C14)</f>
        <v>Manufacturing:Worker</v>
      </c>
      <c r="C13" s="61" t="n">
        <f aca="false">CALC!X14</f>
        <v>0</v>
      </c>
      <c r="D13" s="61" t="n">
        <f aca="false">CALC!AD14</f>
        <v>0</v>
      </c>
      <c r="E13" s="61" t="n">
        <f aca="false">CALC!AJ14</f>
        <v>0</v>
      </c>
      <c r="F13" s="61" t="n">
        <f aca="false">CALC!AP14</f>
        <v>0</v>
      </c>
    </row>
    <row r="14" customFormat="false" ht="12.8" hidden="false" customHeight="false" outlineLevel="0" collapsed="false">
      <c r="A14" s="41" t="str">
        <f aca="false">_xlfn.CONCAT($A$1, ".", CALC!A15)</f>
        <v>LSD.RID.0.AL.WAVG.11</v>
      </c>
      <c r="B14" s="55" t="str">
        <f aca="false">_xlfn.CONCAT(CALC!B15, ":", CALC!C15)</f>
        <v>Transportation &amp; Warehousing:Support</v>
      </c>
      <c r="C14" s="61" t="n">
        <f aca="false">CALC!X15</f>
        <v>0</v>
      </c>
      <c r="D14" s="61" t="n">
        <f aca="false">CALC!AD15</f>
        <v>0</v>
      </c>
      <c r="E14" s="61" t="n">
        <f aca="false">CALC!AJ15</f>
        <v>0</v>
      </c>
      <c r="F14" s="61" t="n">
        <f aca="false">CALC!AP15</f>
        <v>0</v>
      </c>
    </row>
    <row r="15" customFormat="false" ht="12.8" hidden="false" customHeight="false" outlineLevel="0" collapsed="false">
      <c r="A15" s="41" t="str">
        <f aca="false">_xlfn.CONCAT($A$1, ".", CALC!A16)</f>
        <v>LSD.RID.0.AL.WAVG.12</v>
      </c>
      <c r="B15" s="55" t="str">
        <f aca="false">_xlfn.CONCAT(CALC!B16, ":", CALC!C16)</f>
        <v>Transportation &amp; Warehousing:Worker</v>
      </c>
      <c r="C15" s="61" t="n">
        <f aca="false">CALC!X16</f>
        <v>0</v>
      </c>
      <c r="D15" s="61" t="n">
        <f aca="false">CALC!AD16</f>
        <v>0</v>
      </c>
      <c r="E15" s="61" t="n">
        <f aca="false">CALC!AJ16</f>
        <v>0</v>
      </c>
      <c r="F15" s="61" t="n">
        <f aca="false">CALC!AP16</f>
        <v>0</v>
      </c>
    </row>
    <row r="16" customFormat="false" ht="12.8" hidden="false" customHeight="false" outlineLevel="0" collapsed="false">
      <c r="A16" s="41" t="str">
        <f aca="false">_xlfn.CONCAT($A$1, ".", CALC!A17)</f>
        <v>LSD.RID.0.AL.WAVG.13</v>
      </c>
      <c r="B16" s="55" t="str">
        <f aca="false">_xlfn.CONCAT(CALC!B17, ":", CALC!C17)</f>
        <v>Retail Trade:Support</v>
      </c>
      <c r="C16" s="61" t="n">
        <f aca="false">CALC!X17</f>
        <v>0</v>
      </c>
      <c r="D16" s="61" t="n">
        <f aca="false">CALC!AD17</f>
        <v>0</v>
      </c>
      <c r="E16" s="61" t="n">
        <f aca="false">CALC!AJ17</f>
        <v>0</v>
      </c>
      <c r="F16" s="61" t="n">
        <f aca="false">CALC!AP17</f>
        <v>0</v>
      </c>
    </row>
    <row r="17" customFormat="false" ht="12.8" hidden="false" customHeight="false" outlineLevel="0" collapsed="false">
      <c r="A17" s="41" t="str">
        <f aca="false">_xlfn.CONCAT($A$1, ".", CALC!A18)</f>
        <v>LSD.RID.0.AL.WAVG.14</v>
      </c>
      <c r="B17" s="55" t="str">
        <f aca="false">_xlfn.CONCAT(CALC!B18, ":", CALC!C18)</f>
        <v>Retail Trade:Worker</v>
      </c>
      <c r="C17" s="61" t="n">
        <f aca="false">CALC!X18</f>
        <v>0</v>
      </c>
      <c r="D17" s="61" t="n">
        <f aca="false">CALC!AD18</f>
        <v>0</v>
      </c>
      <c r="E17" s="61" t="n">
        <f aca="false">CALC!AJ18</f>
        <v>0</v>
      </c>
      <c r="F17" s="61" t="n">
        <f aca="false">CALC!AP18</f>
        <v>0</v>
      </c>
    </row>
    <row r="18" customFormat="false" ht="12.8" hidden="false" customHeight="false" outlineLevel="0" collapsed="false">
      <c r="A18" s="41" t="str">
        <f aca="false">_xlfn.CONCAT($A$1, ".", CALC!A19)</f>
        <v>LSD.RID.0.AL.WAVG.15</v>
      </c>
      <c r="B18" s="55" t="str">
        <f aca="false">_xlfn.CONCAT(CALC!B19, ":", CALC!C19)</f>
        <v>Landscaping / Groundskeeping:Support</v>
      </c>
      <c r="C18" s="61" t="n">
        <f aca="false">CALC!X19</f>
        <v>0</v>
      </c>
      <c r="D18" s="61" t="n">
        <f aca="false">CALC!AD19</f>
        <v>0</v>
      </c>
      <c r="E18" s="61" t="n">
        <f aca="false">CALC!AJ19</f>
        <v>0</v>
      </c>
      <c r="F18" s="61" t="n">
        <f aca="false">CALC!AP19</f>
        <v>0</v>
      </c>
    </row>
    <row r="19" customFormat="false" ht="12.8" hidden="false" customHeight="false" outlineLevel="0" collapsed="false">
      <c r="A19" s="41" t="str">
        <f aca="false">_xlfn.CONCAT($A$1, ".", CALC!A20)</f>
        <v>LSD.RID.0.AL.WAVG.16</v>
      </c>
      <c r="B19" s="55" t="str">
        <f aca="false">_xlfn.CONCAT(CALC!B20, ":", CALC!C20)</f>
        <v>Landscaping / Groundskeeping:Worker</v>
      </c>
      <c r="C19" s="61" t="n">
        <f aca="false">CALC!X20</f>
        <v>0</v>
      </c>
      <c r="D19" s="61" t="n">
        <f aca="false">CALC!AD20</f>
        <v>0</v>
      </c>
      <c r="E19" s="61" t="n">
        <f aca="false">CALC!AJ20</f>
        <v>0</v>
      </c>
      <c r="F19" s="61" t="n">
        <f aca="false">CALC!AP20</f>
        <v>0</v>
      </c>
    </row>
    <row r="20" customFormat="false" ht="12.8" hidden="false" customHeight="false" outlineLevel="0" collapsed="false">
      <c r="A20" s="41" t="str">
        <f aca="false">_xlfn.CONCAT($A$1, ".", CALC!A21)</f>
        <v>LSD.RID.0.AL.WAVG.17</v>
      </c>
      <c r="B20" s="55" t="str">
        <f aca="false">_xlfn.CONCAT(CALC!B21, ":", CALC!C21)</f>
        <v>Automotive &amp; Repair:Support</v>
      </c>
      <c r="C20" s="61" t="n">
        <f aca="false">CALC!X21</f>
        <v>0</v>
      </c>
      <c r="D20" s="61" t="n">
        <f aca="false">CALC!AD21</f>
        <v>0</v>
      </c>
      <c r="E20" s="61" t="n">
        <f aca="false">CALC!AJ21</f>
        <v>0</v>
      </c>
      <c r="F20" s="61" t="n">
        <f aca="false">CALC!AP21</f>
        <v>0</v>
      </c>
    </row>
    <row r="21" customFormat="false" ht="12.8" hidden="false" customHeight="false" outlineLevel="0" collapsed="false">
      <c r="A21" s="41" t="str">
        <f aca="false">_xlfn.CONCAT($A$1, ".", CALC!A22)</f>
        <v>LSD.RID.0.AL.WAVG.18</v>
      </c>
      <c r="B21" s="55" t="str">
        <f aca="false">_xlfn.CONCAT(CALC!B22, ":", CALC!C22)</f>
        <v>Automotive &amp; Repair:Worker</v>
      </c>
      <c r="C21" s="61" t="n">
        <f aca="false">CALC!X22</f>
        <v>0</v>
      </c>
      <c r="D21" s="61" t="n">
        <f aca="false">CALC!AD22</f>
        <v>0</v>
      </c>
      <c r="E21" s="61" t="n">
        <f aca="false">CALC!AJ22</f>
        <v>0</v>
      </c>
      <c r="F21" s="61" t="n">
        <f aca="false">CALC!AP22</f>
        <v>0</v>
      </c>
    </row>
    <row r="22" customFormat="false" ht="12.8" hidden="false" customHeight="false" outlineLevel="0" collapsed="false">
      <c r="A22" s="41" t="str">
        <f aca="false">_xlfn.CONCAT($A$1, ".", CALC!A23)</f>
        <v>LSD.RID.0.AL.WAVG.19</v>
      </c>
      <c r="B22" s="55" t="str">
        <f aca="false">_xlfn.CONCAT(CALC!B23, ":", CALC!C23)</f>
        <v>Healthcare &amp; Social Assistance:Support</v>
      </c>
      <c r="C22" s="61" t="n">
        <f aca="false">CALC!X23</f>
        <v>0</v>
      </c>
      <c r="D22" s="61" t="n">
        <f aca="false">CALC!AD23</f>
        <v>0</v>
      </c>
      <c r="E22" s="61" t="n">
        <f aca="false">CALC!AJ23</f>
        <v>0</v>
      </c>
      <c r="F22" s="61" t="n">
        <f aca="false">CALC!AP23</f>
        <v>0</v>
      </c>
    </row>
    <row r="23" customFormat="false" ht="12.8" hidden="false" customHeight="false" outlineLevel="0" collapsed="false">
      <c r="A23" s="41" t="str">
        <f aca="false">_xlfn.CONCAT($A$1, ".", CALC!A24)</f>
        <v>LSD.RID.0.AL.WAVG.20</v>
      </c>
      <c r="B23" s="55" t="str">
        <f aca="false">_xlfn.CONCAT(CALC!B24, ":", CALC!C24)</f>
        <v>Healthcare &amp; Social Assistance:Worker</v>
      </c>
      <c r="C23" s="61" t="n">
        <f aca="false">CALC!X24</f>
        <v>0</v>
      </c>
      <c r="D23" s="61" t="n">
        <f aca="false">CALC!AD24</f>
        <v>0</v>
      </c>
      <c r="E23" s="61" t="n">
        <f aca="false">CALC!AJ24</f>
        <v>0</v>
      </c>
      <c r="F23" s="61" t="n">
        <f aca="false">CALC!AP24</f>
        <v>0</v>
      </c>
    </row>
    <row r="24" customFormat="false" ht="12.8" hidden="false" customHeight="false" outlineLevel="0" collapsed="false">
      <c r="A24" s="41" t="str">
        <f aca="false">_xlfn.CONCAT($A$1, ".", CALC!A25)</f>
        <v>LSD.RID.0.AL.WAVG.21</v>
      </c>
      <c r="B24" s="55" t="str">
        <f aca="false">_xlfn.CONCAT(CALC!B25, ":", CALC!C25)</f>
        <v>Professional Services:Support</v>
      </c>
      <c r="C24" s="61" t="n">
        <f aca="false">CALC!X25</f>
        <v>0</v>
      </c>
      <c r="D24" s="61" t="n">
        <f aca="false">CALC!AD25</f>
        <v>0</v>
      </c>
      <c r="E24" s="61" t="n">
        <f aca="false">CALC!AJ25</f>
        <v>0</v>
      </c>
      <c r="F24" s="61" t="n">
        <f aca="false">CALC!AP25</f>
        <v>0</v>
      </c>
    </row>
    <row r="25" customFormat="false" ht="12.8" hidden="false" customHeight="false" outlineLevel="0" collapsed="false">
      <c r="A25" s="41" t="str">
        <f aca="false">_xlfn.CONCAT($A$1, ".", CALC!A26)</f>
        <v>LSD.RID.0.AL.WAVG.22</v>
      </c>
      <c r="B25" s="55" t="str">
        <f aca="false">_xlfn.CONCAT(CALC!B26, ":", CALC!C26)</f>
        <v>Professional Services:Worker</v>
      </c>
      <c r="C25" s="61" t="n">
        <f aca="false">CALC!X26</f>
        <v>0</v>
      </c>
      <c r="D25" s="61" t="n">
        <f aca="false">CALC!AD26</f>
        <v>0</v>
      </c>
      <c r="E25" s="61" t="n">
        <f aca="false">CALC!AJ26</f>
        <v>0</v>
      </c>
      <c r="F25" s="61" t="n">
        <f aca="false">CALC!AP26</f>
        <v>0</v>
      </c>
    </row>
    <row r="26" customFormat="false" ht="12.8" hidden="false" customHeight="false" outlineLevel="0" collapsed="false">
      <c r="A26" s="41" t="str">
        <f aca="false">_xlfn.CONCAT($A$1, ".", CALC!A27)</f>
        <v>LSD.RID.0.AL.WAVG.23</v>
      </c>
      <c r="B26" s="55" t="str">
        <f aca="false">_xlfn.CONCAT(CALC!B27, ":", CALC!C27)</f>
        <v>Educational Services:Support</v>
      </c>
      <c r="C26" s="61" t="n">
        <f aca="false">CALC!X27</f>
        <v>0</v>
      </c>
      <c r="D26" s="61" t="n">
        <f aca="false">CALC!AD27</f>
        <v>0</v>
      </c>
      <c r="E26" s="61" t="n">
        <f aca="false">CALC!AJ27</f>
        <v>0</v>
      </c>
      <c r="F26" s="61" t="n">
        <f aca="false">CALC!AP27</f>
        <v>0</v>
      </c>
    </row>
    <row r="27" customFormat="false" ht="12.8" hidden="false" customHeight="false" outlineLevel="0" collapsed="false">
      <c r="A27" s="41" t="str">
        <f aca="false">_xlfn.CONCAT($A$1, ".", CALC!A28)</f>
        <v>LSD.RID.0.AL.WAVG.24</v>
      </c>
      <c r="B27" s="55" t="str">
        <f aca="false">_xlfn.CONCAT(CALC!B28, ":", CALC!C28)</f>
        <v>Educational Services:Worker</v>
      </c>
      <c r="C27" s="61" t="n">
        <f aca="false">CALC!X28</f>
        <v>0</v>
      </c>
      <c r="D27" s="61" t="n">
        <f aca="false">CALC!AD28</f>
        <v>0</v>
      </c>
      <c r="E27" s="61" t="n">
        <f aca="false">CALC!AJ28</f>
        <v>0</v>
      </c>
      <c r="F27" s="61" t="n">
        <f aca="false">CALC!AP28</f>
        <v>0</v>
      </c>
    </row>
    <row r="28" customFormat="false" ht="12.8" hidden="false" customHeight="false" outlineLevel="0" collapsed="false">
      <c r="A28" s="41" t="str">
        <f aca="false">_xlfn.CONCAT($A$1, ".", CALC!A29)</f>
        <v>LSD.RID.0.AL.WAVG.25</v>
      </c>
      <c r="B28" s="55" t="str">
        <f aca="false">_xlfn.CONCAT(CALC!B29, ":", CALC!C29)</f>
        <v>Finance &amp; Insurance:Support</v>
      </c>
      <c r="C28" s="61" t="n">
        <f aca="false">CALC!X29</f>
        <v>0</v>
      </c>
      <c r="D28" s="61" t="n">
        <f aca="false">CALC!AD29</f>
        <v>0</v>
      </c>
      <c r="E28" s="61" t="n">
        <f aca="false">CALC!AJ29</f>
        <v>0</v>
      </c>
      <c r="F28" s="61" t="n">
        <f aca="false">CALC!AP29</f>
        <v>0</v>
      </c>
    </row>
    <row r="29" customFormat="false" ht="12.8" hidden="false" customHeight="false" outlineLevel="0" collapsed="false">
      <c r="A29" s="41" t="str">
        <f aca="false">_xlfn.CONCAT($A$1, ".", CALC!A30)</f>
        <v>LSD.RID.0.AL.WAVG.26</v>
      </c>
      <c r="B29" s="55" t="str">
        <f aca="false">_xlfn.CONCAT(CALC!B30, ":", CALC!C30)</f>
        <v>Finance &amp; Insurance:Worker</v>
      </c>
      <c r="C29" s="61" t="n">
        <f aca="false">CALC!X30</f>
        <v>0</v>
      </c>
      <c r="D29" s="61" t="n">
        <f aca="false">CALC!AD30</f>
        <v>0</v>
      </c>
      <c r="E29" s="61" t="n">
        <f aca="false">CALC!AJ30</f>
        <v>0</v>
      </c>
      <c r="F29" s="61" t="n">
        <f aca="false">CALC!AP30</f>
        <v>0</v>
      </c>
    </row>
    <row r="30" customFormat="false" ht="12.8" hidden="false" customHeight="false" outlineLevel="0" collapsed="false">
      <c r="A30" s="41" t="str">
        <f aca="false">_xlfn.CONCAT($A$1, ".", CALC!A31)</f>
        <v>LSD.RID.0.AL.WAVG.27</v>
      </c>
      <c r="B30" s="55" t="str">
        <f aca="false">_xlfn.CONCAT(CALC!B31, ":", CALC!C31)</f>
        <v>Media and Information Technology:Support</v>
      </c>
      <c r="C30" s="61" t="n">
        <f aca="false">CALC!X31</f>
        <v>0</v>
      </c>
      <c r="D30" s="61" t="n">
        <f aca="false">CALC!AD31</f>
        <v>0</v>
      </c>
      <c r="E30" s="61" t="n">
        <f aca="false">CALC!AJ31</f>
        <v>0</v>
      </c>
      <c r="F30" s="61" t="n">
        <f aca="false">CALC!AP31</f>
        <v>0</v>
      </c>
    </row>
    <row r="31" customFormat="false" ht="12.8" hidden="false" customHeight="false" outlineLevel="0" collapsed="false">
      <c r="A31" s="41" t="str">
        <f aca="false">_xlfn.CONCAT($A$1, ".", CALC!A32)</f>
        <v>LSD.RID.0.AL.WAVG.28</v>
      </c>
      <c r="B31" s="55" t="str">
        <f aca="false">_xlfn.CONCAT(CALC!B32, ":", CALC!C32)</f>
        <v>Media and Information Technology:Worker</v>
      </c>
      <c r="C31" s="61" t="n">
        <f aca="false">CALC!X32</f>
        <v>0</v>
      </c>
      <c r="D31" s="61" t="n">
        <f aca="false">CALC!AD32</f>
        <v>0</v>
      </c>
      <c r="E31" s="61" t="n">
        <f aca="false">CALC!AJ32</f>
        <v>0</v>
      </c>
      <c r="F31" s="61" t="n">
        <f aca="false">CALC!AP32</f>
        <v>0</v>
      </c>
    </row>
    <row r="32" customFormat="false" ht="12.8" hidden="false" customHeight="false" outlineLevel="0" collapsed="false">
      <c r="A32" s="41" t="str">
        <f aca="false">_xlfn.CONCAT($A$1, ".", CALC!A33)</f>
        <v>LSD.RID.0.AL.WAVG.29</v>
      </c>
      <c r="B32" s="55" t="str">
        <f aca="false">_xlfn.CONCAT(CALC!B33, ":", CALC!C33)</f>
        <v>Government:Support</v>
      </c>
      <c r="C32" s="61" t="n">
        <f aca="false">CALC!X33</f>
        <v>0</v>
      </c>
      <c r="D32" s="61" t="n">
        <f aca="false">CALC!AD33</f>
        <v>0</v>
      </c>
      <c r="E32" s="61" t="n">
        <f aca="false">CALC!AJ33</f>
        <v>0</v>
      </c>
      <c r="F32" s="61" t="n">
        <f aca="false">CALC!AP33</f>
        <v>0</v>
      </c>
    </row>
    <row r="33" customFormat="false" ht="12.8" hidden="false" customHeight="false" outlineLevel="0" collapsed="false">
      <c r="A33" s="41" t="str">
        <f aca="false">_xlfn.CONCAT($A$1, ".", CALC!A34)</f>
        <v>LSD.RID.0.AL.WAVG.30</v>
      </c>
      <c r="B33" s="55" t="str">
        <f aca="false">_xlfn.CONCAT(CALC!B34, ":", CALC!C34)</f>
        <v>Government:Worker</v>
      </c>
      <c r="C33" s="61" t="n">
        <f aca="false">CALC!X34</f>
        <v>0</v>
      </c>
      <c r="D33" s="61" t="n">
        <f aca="false">CALC!AD34</f>
        <v>0</v>
      </c>
      <c r="E33" s="61" t="n">
        <f aca="false">CALC!AJ34</f>
        <v>0</v>
      </c>
      <c r="F33" s="61" t="n">
        <f aca="false">CALC!AP34</f>
        <v>0</v>
      </c>
    </row>
    <row r="34" customFormat="false" ht="12.8" hidden="false" customHeight="false" outlineLevel="0" collapsed="false">
      <c r="A34" s="41" t="str">
        <f aca="false">_xlfn.CONCAT($A$1, ".", CALC!A35)</f>
        <v>LSD.RID.0.AL.WAVG.31</v>
      </c>
      <c r="B34" s="55" t="str">
        <f aca="false">_xlfn.CONCAT(CALC!B35, ":", CALC!C35)</f>
        <v>Self-Employed / Non-Employer:Support</v>
      </c>
      <c r="C34" s="61" t="n">
        <f aca="false">CALC!X35</f>
        <v>0</v>
      </c>
      <c r="D34" s="61" t="n">
        <f aca="false">CALC!AD35</f>
        <v>0</v>
      </c>
      <c r="E34" s="61" t="n">
        <f aca="false">CALC!AJ35</f>
        <v>0</v>
      </c>
      <c r="F34" s="61" t="n">
        <f aca="false">CALC!AP35</f>
        <v>0</v>
      </c>
    </row>
    <row r="35" customFormat="false" ht="12.8" hidden="false" customHeight="false" outlineLevel="0" collapsed="false">
      <c r="A35" s="41" t="str">
        <f aca="false">_xlfn.CONCAT($A$1, ".", CALC!A36)</f>
        <v>LSD.RID.0.AL.WAVG.32</v>
      </c>
      <c r="B35" s="55" t="str">
        <f aca="false">_xlfn.CONCAT(CALC!B36, ":", CALC!C36)</f>
        <v>Self-Employed / Non-Employer:Worker</v>
      </c>
      <c r="C35" s="61" t="n">
        <f aca="false">CALC!X36</f>
        <v>0</v>
      </c>
      <c r="D35" s="61" t="n">
        <f aca="false">CALC!AD36</f>
        <v>0</v>
      </c>
      <c r="E35" s="61" t="n">
        <f aca="false">CALC!AJ36</f>
        <v>0</v>
      </c>
      <c r="F35" s="61" t="n">
        <f aca="false">CALC!AP36</f>
        <v>0</v>
      </c>
    </row>
    <row r="36" customFormat="false" ht="12.8" hidden="false" customHeight="false" outlineLevel="0" collapsed="false">
      <c r="A36" s="41" t="str">
        <f aca="false">_xlfn.CONCAT($A$1, ".", CALC!A37)</f>
        <v>LSD.RID.0.AL.WAVG.33</v>
      </c>
      <c r="B36" s="55" t="str">
        <f aca="false">_xlfn.CONCAT(CALC!B37, ":", CALC!C37)</f>
        <v>Other Services:Support</v>
      </c>
      <c r="C36" s="61" t="n">
        <f aca="false">CALC!X37</f>
        <v>0</v>
      </c>
      <c r="D36" s="61" t="n">
        <f aca="false">CALC!AD37</f>
        <v>0</v>
      </c>
      <c r="E36" s="61" t="n">
        <f aca="false">CALC!AJ37</f>
        <v>0</v>
      </c>
      <c r="F36" s="61" t="n">
        <f aca="false">CALC!AP37</f>
        <v>0</v>
      </c>
    </row>
    <row r="37" customFormat="false" ht="12.8" hidden="false" customHeight="false" outlineLevel="0" collapsed="false">
      <c r="A37" s="41" t="str">
        <f aca="false">_xlfn.CONCAT($A$1, ".", CALC!A38)</f>
        <v>LSD.RID.0.AL.WAVG.34</v>
      </c>
      <c r="B37" s="55" t="str">
        <f aca="false">_xlfn.CONCAT(CALC!B38, ":", CALC!C38)</f>
        <v>Other Services:Worker</v>
      </c>
      <c r="C37" s="61" t="n">
        <f aca="false">CALC!X38</f>
        <v>0</v>
      </c>
      <c r="D37" s="61" t="n">
        <f aca="false">CALC!AD38</f>
        <v>0</v>
      </c>
      <c r="E37" s="61" t="n">
        <f aca="false">CALC!AJ38</f>
        <v>0</v>
      </c>
      <c r="F37" s="61" t="n">
        <f aca="false">CALC!AP38</f>
        <v>0</v>
      </c>
    </row>
    <row r="38" customFormat="false" ht="12.8" hidden="false" customHeight="false" outlineLevel="0" collapsed="false">
      <c r="A38" s="41" t="str">
        <f aca="false">_xlfn.CONCAT($A$1, ".", CALC!A39)</f>
        <v>LSD.RID.0.AL.WAVG.35</v>
      </c>
      <c r="B38" s="55" t="str">
        <f aca="false">_xlfn.CONCAT(CALC!B39, ":", CALC!C39)</f>
        <v>Mining, Quarrying, and Oil/Gas Extraction:Support</v>
      </c>
      <c r="C38" s="61" t="n">
        <f aca="false">CALC!X39</f>
        <v>0</v>
      </c>
      <c r="D38" s="61" t="n">
        <f aca="false">CALC!AD39</f>
        <v>0</v>
      </c>
      <c r="E38" s="61" t="n">
        <f aca="false">CALC!AJ39</f>
        <v>0</v>
      </c>
      <c r="F38" s="61" t="n">
        <f aca="false">CALC!AP39</f>
        <v>0</v>
      </c>
    </row>
    <row r="39" customFormat="false" ht="12.8" hidden="false" customHeight="false" outlineLevel="0" collapsed="false">
      <c r="A39" s="41" t="str">
        <f aca="false">_xlfn.CONCAT($A$1, ".", CALC!A40)</f>
        <v>LSD.RID.0.AL.WAVG.36</v>
      </c>
      <c r="B39" s="55" t="str">
        <f aca="false">_xlfn.CONCAT(CALC!B40, ":", CALC!C40)</f>
        <v>Mining, Quarrying, and Oil/Gas Extraction:Worker</v>
      </c>
      <c r="C39" s="61" t="n">
        <f aca="false">CALC!X40</f>
        <v>0</v>
      </c>
      <c r="D39" s="61" t="n">
        <f aca="false">CALC!AD40</f>
        <v>0</v>
      </c>
      <c r="E39" s="61" t="n">
        <f aca="false">CALC!AJ40</f>
        <v>0</v>
      </c>
      <c r="F39" s="61" t="n">
        <f aca="false">CALC!AP40</f>
        <v>0</v>
      </c>
    </row>
    <row r="40" customFormat="false" ht="12.8" hidden="false" customHeight="false" outlineLevel="0" collapsed="false">
      <c r="A40" s="41" t="str">
        <f aca="false">_xlfn.CONCAT($A$1, ".", CALC!A41)</f>
        <v>LSD.RID.0.AL.WAVG.37</v>
      </c>
      <c r="B40" s="55" t="str">
        <f aca="false">_xlfn.CONCAT(CALC!B41, ":", CALC!C41)</f>
        <v>Utilities:Support</v>
      </c>
      <c r="C40" s="61" t="n">
        <f aca="false">CALC!X41</f>
        <v>0</v>
      </c>
      <c r="D40" s="61" t="n">
        <f aca="false">CALC!AD41</f>
        <v>0</v>
      </c>
      <c r="E40" s="61" t="n">
        <f aca="false">CALC!AJ41</f>
        <v>0</v>
      </c>
      <c r="F40" s="61" t="n">
        <f aca="false">CALC!AP41</f>
        <v>0</v>
      </c>
    </row>
    <row r="41" customFormat="false" ht="12.8" hidden="false" customHeight="false" outlineLevel="0" collapsed="false">
      <c r="A41" s="41" t="str">
        <f aca="false">_xlfn.CONCAT($A$1, ".", CALC!A42)</f>
        <v>LSD.RID.0.AL.WAVG.38</v>
      </c>
      <c r="B41" s="55" t="str">
        <f aca="false">_xlfn.CONCAT(CALC!B42, ":", CALC!C42)</f>
        <v>Utilities:Worker</v>
      </c>
      <c r="C41" s="61" t="n">
        <f aca="false">CALC!X42</f>
        <v>0</v>
      </c>
      <c r="D41" s="61" t="n">
        <f aca="false">CALC!AD42</f>
        <v>0</v>
      </c>
      <c r="E41" s="61" t="n">
        <f aca="false">CALC!AJ42</f>
        <v>0</v>
      </c>
      <c r="F41" s="61" t="n">
        <f aca="false">CALC!AP42</f>
        <v>0</v>
      </c>
    </row>
    <row r="42" customFormat="false" ht="12.8" hidden="false" customHeight="false" outlineLevel="0" collapsed="false">
      <c r="A42" s="41" t="str">
        <f aca="false">_xlfn.CONCAT($A$1, ".", CALC!A43)</f>
        <v>LSD.RID.0.AL.WAVG.39</v>
      </c>
      <c r="B42" s="55" t="str">
        <f aca="false">_xlfn.CONCAT(CALC!B43, ":", CALC!C43)</f>
        <v>Wholesale Trade:Support</v>
      </c>
      <c r="C42" s="61" t="n">
        <f aca="false">CALC!X43</f>
        <v>0</v>
      </c>
      <c r="D42" s="61" t="n">
        <f aca="false">CALC!AD43</f>
        <v>0</v>
      </c>
      <c r="E42" s="61" t="n">
        <f aca="false">CALC!AJ43</f>
        <v>0</v>
      </c>
      <c r="F42" s="61" t="n">
        <f aca="false">CALC!AP43</f>
        <v>0</v>
      </c>
    </row>
    <row r="43" customFormat="false" ht="12.8" hidden="false" customHeight="false" outlineLevel="0" collapsed="false">
      <c r="A43" s="41" t="str">
        <f aca="false">_xlfn.CONCAT($A$1, ".", CALC!A44)</f>
        <v>LSD.RID.0.AL.WAVG.40</v>
      </c>
      <c r="B43" s="55" t="str">
        <f aca="false">_xlfn.CONCAT(CALC!B44, ":", CALC!C44)</f>
        <v>Wholesale Trade:Worker</v>
      </c>
      <c r="C43" s="61" t="n">
        <f aca="false">CALC!X44</f>
        <v>0</v>
      </c>
      <c r="D43" s="61" t="n">
        <f aca="false">CALC!AD44</f>
        <v>0</v>
      </c>
      <c r="E43" s="61" t="n">
        <f aca="false">CALC!AJ44</f>
        <v>0</v>
      </c>
      <c r="F43" s="61" t="n">
        <f aca="false">CALC!AP44</f>
        <v>0</v>
      </c>
    </row>
    <row r="44" customFormat="false" ht="12.8" hidden="false" customHeight="false" outlineLevel="0" collapsed="false">
      <c r="A44" s="41" t="str">
        <f aca="false">_xlfn.CONCAT($A$1, ".", CALC!A45)</f>
        <v>LSD.RID.0.AL.WAVG.41</v>
      </c>
      <c r="B44" s="55" t="str">
        <f aca="false">_xlfn.CONCAT(CALC!B45, ":", CALC!C45)</f>
        <v>Information:Support</v>
      </c>
      <c r="C44" s="61" t="n">
        <f aca="false">CALC!X45</f>
        <v>0</v>
      </c>
      <c r="D44" s="61" t="n">
        <f aca="false">CALC!AD45</f>
        <v>0</v>
      </c>
      <c r="E44" s="61" t="n">
        <f aca="false">CALC!AJ45</f>
        <v>0</v>
      </c>
      <c r="F44" s="61" t="n">
        <f aca="false">CALC!AP45</f>
        <v>0</v>
      </c>
    </row>
    <row r="45" customFormat="false" ht="12.8" hidden="false" customHeight="false" outlineLevel="0" collapsed="false">
      <c r="A45" s="41" t="str">
        <f aca="false">_xlfn.CONCAT($A$1, ".", CALC!A46)</f>
        <v>LSD.RID.0.AL.WAVG.42</v>
      </c>
      <c r="B45" s="55" t="str">
        <f aca="false">_xlfn.CONCAT(CALC!B46, ":", CALC!C46)</f>
        <v>Information:Worker</v>
      </c>
      <c r="C45" s="61" t="n">
        <f aca="false">CALC!X46</f>
        <v>0</v>
      </c>
      <c r="D45" s="61" t="n">
        <f aca="false">CALC!AD46</f>
        <v>0</v>
      </c>
      <c r="E45" s="61" t="n">
        <f aca="false">CALC!AJ46</f>
        <v>0</v>
      </c>
      <c r="F45" s="61" t="n">
        <f aca="false">CALC!AP46</f>
        <v>0</v>
      </c>
    </row>
    <row r="46" customFormat="false" ht="12.8" hidden="false" customHeight="false" outlineLevel="0" collapsed="false">
      <c r="A46" s="41" t="str">
        <f aca="false">_xlfn.CONCAT($A$1, ".", CALC!A47)</f>
        <v>LSD.RID.0.AL.WAVG.43</v>
      </c>
      <c r="B46" s="55" t="str">
        <f aca="false">_xlfn.CONCAT(CALC!B47, ":", CALC!C47)</f>
        <v>Real Estate, Rental and Leasing:Support</v>
      </c>
      <c r="C46" s="61" t="n">
        <f aca="false">CALC!X47</f>
        <v>0</v>
      </c>
      <c r="D46" s="61" t="n">
        <f aca="false">CALC!AD47</f>
        <v>0</v>
      </c>
      <c r="E46" s="61" t="n">
        <f aca="false">CALC!AJ47</f>
        <v>0</v>
      </c>
      <c r="F46" s="61" t="n">
        <f aca="false">CALC!AP47</f>
        <v>0</v>
      </c>
    </row>
    <row r="47" customFormat="false" ht="12.8" hidden="false" customHeight="false" outlineLevel="0" collapsed="false">
      <c r="A47" s="41" t="str">
        <f aca="false">_xlfn.CONCAT($A$1, ".", CALC!A48)</f>
        <v>LSD.RID.0.AL.WAVG.44</v>
      </c>
      <c r="B47" s="55" t="str">
        <f aca="false">_xlfn.CONCAT(CALC!B48, ":", CALC!C48)</f>
        <v>Real Estate, Rental and Leasing:Worker</v>
      </c>
      <c r="C47" s="61" t="n">
        <f aca="false">CALC!X48</f>
        <v>0</v>
      </c>
      <c r="D47" s="61" t="n">
        <f aca="false">CALC!AD48</f>
        <v>0</v>
      </c>
      <c r="E47" s="61" t="n">
        <f aca="false">CALC!AJ48</f>
        <v>0</v>
      </c>
      <c r="F47" s="61" t="n">
        <f aca="false">CALC!AP48</f>
        <v>0</v>
      </c>
    </row>
    <row r="48" customFormat="false" ht="12.8" hidden="false" customHeight="false" outlineLevel="0" collapsed="false">
      <c r="A48" s="41" t="str">
        <f aca="false">_xlfn.CONCAT($A$1, ".", CALC!A49)</f>
        <v>LSD.RID.0.AL.WAVG.45</v>
      </c>
      <c r="B48" s="55" t="str">
        <f aca="false">_xlfn.CONCAT(CALC!B49, ":", CALC!C49)</f>
        <v>Waste Management Services:Support</v>
      </c>
      <c r="C48" s="61" t="n">
        <f aca="false">CALC!X49</f>
        <v>0</v>
      </c>
      <c r="D48" s="61" t="n">
        <f aca="false">CALC!AD49</f>
        <v>0</v>
      </c>
      <c r="E48" s="61" t="n">
        <f aca="false">CALC!AJ49</f>
        <v>0</v>
      </c>
      <c r="F48" s="61" t="n">
        <f aca="false">CALC!AP49</f>
        <v>0</v>
      </c>
    </row>
    <row r="49" customFormat="false" ht="12.8" hidden="false" customHeight="false" outlineLevel="0" collapsed="false">
      <c r="A49" s="41" t="str">
        <f aca="false">_xlfn.CONCAT($A$1, ".", CALC!A50)</f>
        <v>LSD.RID.0.AL.WAVG.46</v>
      </c>
      <c r="B49" s="55" t="str">
        <f aca="false">_xlfn.CONCAT(CALC!B50, ":", CALC!C50)</f>
        <v>Waste Management Services:Worker</v>
      </c>
      <c r="C49" s="61" t="n">
        <f aca="false">CALC!X50</f>
        <v>0</v>
      </c>
      <c r="D49" s="61" t="n">
        <f aca="false">CALC!AD50</f>
        <v>0</v>
      </c>
      <c r="E49" s="61" t="n">
        <f aca="false">CALC!AJ50</f>
        <v>0</v>
      </c>
      <c r="F49" s="61" t="n">
        <f aca="false">CALC!AP50</f>
        <v>0</v>
      </c>
    </row>
    <row r="50" customFormat="false" ht="12.8" hidden="false" customHeight="false" outlineLevel="0" collapsed="false">
      <c r="A50" s="41" t="str">
        <f aca="false">_xlfn.CONCAT($A$1, ".", CALC!A51)</f>
        <v>LSD.RID.0.AL.WAVG.47</v>
      </c>
      <c r="B50" s="55" t="str">
        <f aca="false">_xlfn.CONCAT(CALC!B51, ":", CALC!C51)</f>
        <v>Arts, Entertainment, and Recreation:Support</v>
      </c>
      <c r="C50" s="61" t="n">
        <f aca="false">CALC!X51</f>
        <v>0</v>
      </c>
      <c r="D50" s="61" t="n">
        <f aca="false">CALC!AD51</f>
        <v>0</v>
      </c>
      <c r="E50" s="61" t="n">
        <f aca="false">CALC!AJ51</f>
        <v>0</v>
      </c>
      <c r="F50" s="61" t="n">
        <f aca="false">CALC!AP51</f>
        <v>0</v>
      </c>
    </row>
    <row r="51" customFormat="false" ht="12.8" hidden="false" customHeight="false" outlineLevel="0" collapsed="false">
      <c r="A51" s="41" t="str">
        <f aca="false">_xlfn.CONCAT($A$1, ".", CALC!A52)</f>
        <v>LSD.RID.0.AL.WAVG.48</v>
      </c>
      <c r="B51" s="55" t="str">
        <f aca="false">_xlfn.CONCAT(CALC!B52, ":", CALC!C52)</f>
        <v>Arts, Entertainment, and Recreation:Worker</v>
      </c>
      <c r="C51" s="61" t="n">
        <f aca="false">CALC!X52</f>
        <v>0</v>
      </c>
      <c r="D51" s="61" t="n">
        <f aca="false">CALC!AD52</f>
        <v>0</v>
      </c>
      <c r="E51" s="61" t="n">
        <f aca="false">CALC!AJ52</f>
        <v>0</v>
      </c>
      <c r="F51" s="61" t="n">
        <f aca="false">CALC!AP52</f>
        <v>0</v>
      </c>
    </row>
    <row r="52" customFormat="false" ht="12.8" hidden="false" customHeight="false" outlineLevel="0" collapsed="false">
      <c r="A52" s="41" t="str">
        <f aca="false">_xlfn.CONCAT($A$1, ".", CALC!A53)</f>
        <v>LSD.RID.0.AL.WAVG.49</v>
      </c>
      <c r="B52" s="55" t="str">
        <f aca="false">_xlfn.CONCAT(CALC!B53, ":", CALC!C53)</f>
        <v>Accommodation and Food Services:Support</v>
      </c>
      <c r="C52" s="61" t="n">
        <f aca="false">CALC!X53</f>
        <v>0</v>
      </c>
      <c r="D52" s="61" t="n">
        <f aca="false">CALC!AD53</f>
        <v>0</v>
      </c>
      <c r="E52" s="61" t="n">
        <f aca="false">CALC!AJ53</f>
        <v>0</v>
      </c>
      <c r="F52" s="61" t="n">
        <f aca="false">CALC!AP53</f>
        <v>0</v>
      </c>
    </row>
    <row r="53" customFormat="false" ht="12.8" hidden="false" customHeight="false" outlineLevel="0" collapsed="false">
      <c r="A53" s="41" t="str">
        <f aca="false">_xlfn.CONCAT($A$1, ".", CALC!A54)</f>
        <v>LSD.RID.0.AL.WAVG.50</v>
      </c>
      <c r="B53" s="55" t="str">
        <f aca="false">_xlfn.CONCAT(CALC!B54, ":", CALC!C54)</f>
        <v>Accommodation and Food Services:Worker</v>
      </c>
      <c r="C53" s="61" t="n">
        <f aca="false">CALC!X54</f>
        <v>0</v>
      </c>
      <c r="D53" s="61" t="n">
        <f aca="false">CALC!AD54</f>
        <v>0</v>
      </c>
      <c r="E53" s="61" t="n">
        <f aca="false">CALC!AJ54</f>
        <v>0</v>
      </c>
      <c r="F53" s="61" t="n">
        <f aca="false">CALC!AP54</f>
        <v>0</v>
      </c>
    </row>
    <row r="54" customFormat="false" ht="12.8" hidden="false" customHeight="false" outlineLevel="0" collapsed="false">
      <c r="A54" s="41" t="str">
        <f aca="false">_xlfn.CONCAT($A$1, ".", CALC!A55)</f>
        <v>LSD.RID.0.AL.WAVG.51</v>
      </c>
      <c r="B54" s="55" t="str">
        <f aca="false">_xlfn.CONCAT(CALC!B55, ":", CALC!C55)</f>
        <v>Public Administration:Support</v>
      </c>
      <c r="C54" s="61" t="n">
        <f aca="false">CALC!X55</f>
        <v>0</v>
      </c>
      <c r="D54" s="61" t="n">
        <f aca="false">CALC!AD55</f>
        <v>0</v>
      </c>
      <c r="E54" s="61" t="n">
        <f aca="false">CALC!AJ55</f>
        <v>0</v>
      </c>
      <c r="F54" s="61" t="n">
        <f aca="false">CALC!AP55</f>
        <v>0</v>
      </c>
    </row>
    <row r="55" customFormat="false" ht="12.8" hidden="false" customHeight="false" outlineLevel="0" collapsed="false">
      <c r="A55" s="41" t="str">
        <f aca="false">_xlfn.CONCAT($A$1, ".", CALC!A56)</f>
        <v>LSD.RID.0.AL.WAVG.52</v>
      </c>
      <c r="B55" s="55" t="str">
        <f aca="false">_xlfn.CONCAT(CALC!B56, ":", CALC!C56)</f>
        <v>Public Administration:Worker</v>
      </c>
      <c r="C55" s="61" t="n">
        <f aca="false">CALC!X56</f>
        <v>0</v>
      </c>
      <c r="D55" s="61" t="n">
        <f aca="false">CALC!AD56</f>
        <v>0</v>
      </c>
      <c r="E55" s="61" t="n">
        <f aca="false">CALC!AJ56</f>
        <v>0</v>
      </c>
      <c r="F55" s="61" t="n">
        <f aca="false">CALC!AP56</f>
        <v>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2E4E"/>
    <pageSetUpPr fitToPage="false"/>
  </sheetPr>
  <dimension ref="A1:BP247"/>
  <sheetViews>
    <sheetView showFormulas="false" showGridLines="true" showRowColHeaders="true" showZeros="true" rightToLeft="false" tabSelected="false" showOutlineSymbols="true" defaultGridColor="true" view="normal" topLeftCell="A58" colorId="64" zoomScale="65" zoomScaleNormal="65" zoomScalePageLayoutView="100" workbookViewId="0">
      <selection pane="topLeft" activeCell="A152" activeCellId="0" sqref="A152"/>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 t="s">
        <v>2158</v>
      </c>
      <c r="B1" s="47" t="s">
        <v>2159</v>
      </c>
      <c r="C1" s="6" t="s">
        <v>2</v>
      </c>
      <c r="D1" s="51" t="s">
        <v>2160</v>
      </c>
      <c r="AZ1" s="26"/>
      <c r="BP1" s="26"/>
    </row>
    <row r="2" customFormat="false" ht="46.25" hidden="false" customHeight="false" outlineLevel="0" collapsed="false">
      <c r="A2" s="52" t="s">
        <v>2140</v>
      </c>
      <c r="B2" s="47" t="s">
        <v>2141</v>
      </c>
      <c r="C2" s="62" t="str">
        <f aca="false">CALC!AA3</f>
        <v>Annual Income Average ($)</v>
      </c>
      <c r="D2" s="62" t="str">
        <f aca="false">CALC!AG3</f>
        <v>Authorized Immigrant Annual Income Average ($)</v>
      </c>
      <c r="E2" s="62" t="str">
        <f aca="false">CALC!AM3</f>
        <v>Unauthorized Immigrant Annual Income Average ($)</v>
      </c>
      <c r="F2" s="62" t="str">
        <f aca="false">CALC!AS3</f>
        <v>American Annual Income Average ($)</v>
      </c>
    </row>
    <row r="3" customFormat="false" ht="12.8" hidden="false" customHeight="false" outlineLevel="0" collapsed="false">
      <c r="A3" s="4" t="str">
        <f aca="false">_xlfn.CONCAT($A$1, ".", CALC!A4)</f>
        <v>LSD.RID.0.AL.AIAVG.0</v>
      </c>
      <c r="B3" s="58" t="str">
        <f aca="false">_xlfn.CONCAT(CALC!B4, ":", CALC!C4)</f>
        <v>All Industries:All Roles</v>
      </c>
      <c r="C3" s="62" t="n">
        <f aca="false">CALC!AA4</f>
        <v>0</v>
      </c>
      <c r="D3" s="62" t="n">
        <f aca="false">CALC!AG4</f>
        <v>0</v>
      </c>
      <c r="E3" s="62" t="n">
        <f aca="false">CALC!AM4</f>
        <v>0</v>
      </c>
      <c r="F3" s="62" t="n">
        <f aca="false">CALC!AS4</f>
        <v>0</v>
      </c>
    </row>
    <row r="4" customFormat="false" ht="12.8" hidden="false" customHeight="false" outlineLevel="0" collapsed="false">
      <c r="A4" s="41" t="str">
        <f aca="false">_xlfn.CONCAT($A$1, ".", CALC!A5)</f>
        <v>LSD.RID.0.AL.AIAVG.1</v>
      </c>
      <c r="B4" s="55" t="str">
        <f aca="false">_xlfn.CONCAT(CALC!B5, ":", CALC!C5)</f>
        <v>Agriculture:Support</v>
      </c>
      <c r="C4" s="63" t="n">
        <f aca="false">CALC!AA5</f>
        <v>0</v>
      </c>
      <c r="D4" s="63" t="n">
        <f aca="false">CALC!AG5</f>
        <v>0</v>
      </c>
      <c r="E4" s="63" t="n">
        <f aca="false">CALC!AM5</f>
        <v>0</v>
      </c>
      <c r="F4" s="63" t="n">
        <f aca="false">CALC!AS5</f>
        <v>0</v>
      </c>
    </row>
    <row r="5" customFormat="false" ht="12.8" hidden="false" customHeight="false" outlineLevel="0" collapsed="false">
      <c r="A5" s="41" t="str">
        <f aca="false">_xlfn.CONCAT($A$1, ".", CALC!A6)</f>
        <v>LSD.RID.0.AL.AIAVG.2</v>
      </c>
      <c r="B5" s="55" t="str">
        <f aca="false">_xlfn.CONCAT(CALC!B6, ":", CALC!C6)</f>
        <v>Agriculture:Worker</v>
      </c>
      <c r="C5" s="63" t="n">
        <f aca="false">CALC!AA6</f>
        <v>0</v>
      </c>
      <c r="D5" s="63" t="n">
        <f aca="false">CALC!AG6</f>
        <v>0</v>
      </c>
      <c r="E5" s="63" t="n">
        <f aca="false">CALC!AM6</f>
        <v>0</v>
      </c>
      <c r="F5" s="63" t="n">
        <f aca="false">CALC!AS6</f>
        <v>0</v>
      </c>
    </row>
    <row r="6" customFormat="false" ht="12.8" hidden="false" customHeight="false" outlineLevel="0" collapsed="false">
      <c r="A6" s="41" t="str">
        <f aca="false">_xlfn.CONCAT($A$1, ".", CALC!A7)</f>
        <v>LSD.RID.0.AL.AIAVG.3</v>
      </c>
      <c r="B6" s="55" t="str">
        <f aca="false">_xlfn.CONCAT(CALC!B7, ":", CALC!C7)</f>
        <v>Construction:Support</v>
      </c>
      <c r="C6" s="63" t="n">
        <f aca="false">CALC!AA7</f>
        <v>0</v>
      </c>
      <c r="D6" s="63" t="n">
        <f aca="false">CALC!AG7</f>
        <v>0</v>
      </c>
      <c r="E6" s="63" t="n">
        <f aca="false">CALC!AM7</f>
        <v>0</v>
      </c>
      <c r="F6" s="63" t="n">
        <f aca="false">CALC!AS7</f>
        <v>0</v>
      </c>
    </row>
    <row r="7" customFormat="false" ht="12.8" hidden="false" customHeight="false" outlineLevel="0" collapsed="false">
      <c r="A7" s="41" t="str">
        <f aca="false">_xlfn.CONCAT($A$1, ".", CALC!A8)</f>
        <v>LSD.RID.0.AL.AIAVG.4</v>
      </c>
      <c r="B7" s="55" t="str">
        <f aca="false">_xlfn.CONCAT(CALC!B8, ":", CALC!C8)</f>
        <v>Construction:Worker</v>
      </c>
      <c r="C7" s="63" t="n">
        <f aca="false">CALC!AA8</f>
        <v>0</v>
      </c>
      <c r="D7" s="63" t="n">
        <f aca="false">CALC!AG8</f>
        <v>0</v>
      </c>
      <c r="E7" s="63" t="n">
        <f aca="false">CALC!AM8</f>
        <v>0</v>
      </c>
      <c r="F7" s="63" t="n">
        <f aca="false">CALC!AS8</f>
        <v>0</v>
      </c>
    </row>
    <row r="8" customFormat="false" ht="12.8" hidden="false" customHeight="false" outlineLevel="0" collapsed="false">
      <c r="A8" s="41" t="str">
        <f aca="false">_xlfn.CONCAT($A$1, ".", CALC!A9)</f>
        <v>LSD.RID.0.AL.AIAVG.5</v>
      </c>
      <c r="B8" s="55" t="str">
        <f aca="false">_xlfn.CONCAT(CALC!B9, ":", CALC!C9)</f>
        <v>Hospitality:Support</v>
      </c>
      <c r="C8" s="63" t="n">
        <f aca="false">CALC!AA9</f>
        <v>0</v>
      </c>
      <c r="D8" s="63" t="n">
        <f aca="false">CALC!AG9</f>
        <v>0</v>
      </c>
      <c r="E8" s="63" t="n">
        <f aca="false">CALC!AM9</f>
        <v>0</v>
      </c>
      <c r="F8" s="63" t="n">
        <f aca="false">CALC!AS9</f>
        <v>0</v>
      </c>
    </row>
    <row r="9" customFormat="false" ht="12.8" hidden="false" customHeight="false" outlineLevel="0" collapsed="false">
      <c r="A9" s="41" t="str">
        <f aca="false">_xlfn.CONCAT($A$1, ".", CALC!A10)</f>
        <v>LSD.RID.0.AL.AIAVG.6</v>
      </c>
      <c r="B9" s="55" t="str">
        <f aca="false">_xlfn.CONCAT(CALC!B10, ":", CALC!C10)</f>
        <v>Hospitality:Worker</v>
      </c>
      <c r="C9" s="63" t="n">
        <f aca="false">CALC!AA10</f>
        <v>0</v>
      </c>
      <c r="D9" s="63" t="n">
        <f aca="false">CALC!AG10</f>
        <v>0</v>
      </c>
      <c r="E9" s="63" t="n">
        <f aca="false">CALC!AM10</f>
        <v>0</v>
      </c>
      <c r="F9" s="63" t="n">
        <f aca="false">CALC!AS10</f>
        <v>0</v>
      </c>
    </row>
    <row r="10" customFormat="false" ht="12.8" hidden="false" customHeight="false" outlineLevel="0" collapsed="false">
      <c r="A10" s="41" t="str">
        <f aca="false">_xlfn.CONCAT($A$1, ".", CALC!A11)</f>
        <v>LSD.RID.0.AL.AIAVG.7</v>
      </c>
      <c r="B10" s="55" t="str">
        <f aca="false">_xlfn.CONCAT(CALC!B11, ":", CALC!C11)</f>
        <v>Cleaning &amp; Maintenance:Support</v>
      </c>
      <c r="C10" s="63" t="n">
        <f aca="false">CALC!AA11</f>
        <v>0</v>
      </c>
      <c r="D10" s="63" t="n">
        <f aca="false">CALC!AG11</f>
        <v>0</v>
      </c>
      <c r="E10" s="63" t="n">
        <f aca="false">CALC!AM11</f>
        <v>0</v>
      </c>
      <c r="F10" s="63" t="n">
        <f aca="false">CALC!AS11</f>
        <v>0</v>
      </c>
    </row>
    <row r="11" customFormat="false" ht="12.8" hidden="false" customHeight="false" outlineLevel="0" collapsed="false">
      <c r="A11" s="41" t="str">
        <f aca="false">_xlfn.CONCAT($A$1, ".", CALC!A12)</f>
        <v>LSD.RID.0.AL.AIAVG.8</v>
      </c>
      <c r="B11" s="55" t="str">
        <f aca="false">_xlfn.CONCAT(CALC!B12, ":", CALC!C12)</f>
        <v>Cleaning &amp; Maintenance:Worker</v>
      </c>
      <c r="C11" s="63" t="n">
        <f aca="false">CALC!AA12</f>
        <v>0</v>
      </c>
      <c r="D11" s="63" t="n">
        <f aca="false">CALC!AG12</f>
        <v>0</v>
      </c>
      <c r="E11" s="63" t="n">
        <f aca="false">CALC!AM12</f>
        <v>0</v>
      </c>
      <c r="F11" s="63" t="n">
        <f aca="false">CALC!AS12</f>
        <v>0</v>
      </c>
    </row>
    <row r="12" customFormat="false" ht="12.8" hidden="false" customHeight="false" outlineLevel="0" collapsed="false">
      <c r="A12" s="41" t="str">
        <f aca="false">_xlfn.CONCAT($A$1, ".", CALC!A13)</f>
        <v>LSD.RID.0.AL.AIAVG.9</v>
      </c>
      <c r="B12" s="55" t="str">
        <f aca="false">_xlfn.CONCAT(CALC!B13, ":", CALC!C13)</f>
        <v>Manufacturing:Support</v>
      </c>
      <c r="C12" s="63" t="n">
        <f aca="false">CALC!AA13</f>
        <v>0</v>
      </c>
      <c r="D12" s="63" t="n">
        <f aca="false">CALC!AG13</f>
        <v>0</v>
      </c>
      <c r="E12" s="63" t="n">
        <f aca="false">CALC!AM13</f>
        <v>0</v>
      </c>
      <c r="F12" s="63" t="n">
        <f aca="false">CALC!AS13</f>
        <v>0</v>
      </c>
    </row>
    <row r="13" customFormat="false" ht="12.8" hidden="false" customHeight="false" outlineLevel="0" collapsed="false">
      <c r="A13" s="41" t="str">
        <f aca="false">_xlfn.CONCAT($A$1, ".", CALC!A14)</f>
        <v>LSD.RID.0.AL.AIAVG.10</v>
      </c>
      <c r="B13" s="55" t="str">
        <f aca="false">_xlfn.CONCAT(CALC!B14, ":", CALC!C14)</f>
        <v>Manufacturing:Worker</v>
      </c>
      <c r="C13" s="63" t="n">
        <f aca="false">CALC!AA14</f>
        <v>0</v>
      </c>
      <c r="D13" s="63" t="n">
        <f aca="false">CALC!AG14</f>
        <v>0</v>
      </c>
      <c r="E13" s="63" t="n">
        <f aca="false">CALC!AM14</f>
        <v>0</v>
      </c>
      <c r="F13" s="63" t="n">
        <f aca="false">CALC!AS14</f>
        <v>0</v>
      </c>
    </row>
    <row r="14" customFormat="false" ht="12.8" hidden="false" customHeight="false" outlineLevel="0" collapsed="false">
      <c r="A14" s="41" t="str">
        <f aca="false">_xlfn.CONCAT($A$1, ".", CALC!A15)</f>
        <v>LSD.RID.0.AL.AIAVG.11</v>
      </c>
      <c r="B14" s="55" t="str">
        <f aca="false">_xlfn.CONCAT(CALC!B15, ":", CALC!C15)</f>
        <v>Transportation &amp; Warehousing:Support</v>
      </c>
      <c r="C14" s="63" t="n">
        <f aca="false">CALC!AA15</f>
        <v>0</v>
      </c>
      <c r="D14" s="63" t="n">
        <f aca="false">CALC!AG15</f>
        <v>0</v>
      </c>
      <c r="E14" s="63" t="n">
        <f aca="false">CALC!AM15</f>
        <v>0</v>
      </c>
      <c r="F14" s="63" t="n">
        <f aca="false">CALC!AS15</f>
        <v>0</v>
      </c>
    </row>
    <row r="15" customFormat="false" ht="12.8" hidden="false" customHeight="false" outlineLevel="0" collapsed="false">
      <c r="A15" s="41" t="str">
        <f aca="false">_xlfn.CONCAT($A$1, ".", CALC!A16)</f>
        <v>LSD.RID.0.AL.AIAVG.12</v>
      </c>
      <c r="B15" s="55" t="str">
        <f aca="false">_xlfn.CONCAT(CALC!B16, ":", CALC!C16)</f>
        <v>Transportation &amp; Warehousing:Worker</v>
      </c>
      <c r="C15" s="63" t="n">
        <f aca="false">CALC!AA16</f>
        <v>0</v>
      </c>
      <c r="D15" s="63" t="n">
        <f aca="false">CALC!AG16</f>
        <v>0</v>
      </c>
      <c r="E15" s="63" t="n">
        <f aca="false">CALC!AM16</f>
        <v>0</v>
      </c>
      <c r="F15" s="63" t="n">
        <f aca="false">CALC!AS16</f>
        <v>0</v>
      </c>
    </row>
    <row r="16" customFormat="false" ht="12.8" hidden="false" customHeight="false" outlineLevel="0" collapsed="false">
      <c r="A16" s="41" t="str">
        <f aca="false">_xlfn.CONCAT($A$1, ".", CALC!A17)</f>
        <v>LSD.RID.0.AL.AIAVG.13</v>
      </c>
      <c r="B16" s="55" t="str">
        <f aca="false">_xlfn.CONCAT(CALC!B17, ":", CALC!C17)</f>
        <v>Retail Trade:Support</v>
      </c>
      <c r="C16" s="63" t="n">
        <f aca="false">CALC!AA17</f>
        <v>0</v>
      </c>
      <c r="D16" s="63" t="n">
        <f aca="false">CALC!AG17</f>
        <v>0</v>
      </c>
      <c r="E16" s="63" t="n">
        <f aca="false">CALC!AM17</f>
        <v>0</v>
      </c>
      <c r="F16" s="63" t="n">
        <f aca="false">CALC!AS17</f>
        <v>0</v>
      </c>
    </row>
    <row r="17" customFormat="false" ht="12.8" hidden="false" customHeight="false" outlineLevel="0" collapsed="false">
      <c r="A17" s="41" t="str">
        <f aca="false">_xlfn.CONCAT($A$1, ".", CALC!A18)</f>
        <v>LSD.RID.0.AL.AIAVG.14</v>
      </c>
      <c r="B17" s="55" t="str">
        <f aca="false">_xlfn.CONCAT(CALC!B18, ":", CALC!C18)</f>
        <v>Retail Trade:Worker</v>
      </c>
      <c r="C17" s="63" t="n">
        <f aca="false">CALC!AA18</f>
        <v>0</v>
      </c>
      <c r="D17" s="63" t="n">
        <f aca="false">CALC!AG18</f>
        <v>0</v>
      </c>
      <c r="E17" s="63" t="n">
        <f aca="false">CALC!AM18</f>
        <v>0</v>
      </c>
      <c r="F17" s="63" t="n">
        <f aca="false">CALC!AS18</f>
        <v>0</v>
      </c>
    </row>
    <row r="18" customFormat="false" ht="12.8" hidden="false" customHeight="false" outlineLevel="0" collapsed="false">
      <c r="A18" s="41" t="str">
        <f aca="false">_xlfn.CONCAT($A$1, ".", CALC!A19)</f>
        <v>LSD.RID.0.AL.AIAVG.15</v>
      </c>
      <c r="B18" s="55" t="str">
        <f aca="false">_xlfn.CONCAT(CALC!B19, ":", CALC!C19)</f>
        <v>Landscaping / Groundskeeping:Support</v>
      </c>
      <c r="C18" s="63" t="n">
        <f aca="false">CALC!AA19</f>
        <v>0</v>
      </c>
      <c r="D18" s="63" t="n">
        <f aca="false">CALC!AG19</f>
        <v>0</v>
      </c>
      <c r="E18" s="63" t="n">
        <f aca="false">CALC!AM19</f>
        <v>0</v>
      </c>
      <c r="F18" s="63" t="n">
        <f aca="false">CALC!AS19</f>
        <v>0</v>
      </c>
    </row>
    <row r="19" customFormat="false" ht="12.8" hidden="false" customHeight="false" outlineLevel="0" collapsed="false">
      <c r="A19" s="41" t="str">
        <f aca="false">_xlfn.CONCAT($A$1, ".", CALC!A20)</f>
        <v>LSD.RID.0.AL.AIAVG.16</v>
      </c>
      <c r="B19" s="55" t="str">
        <f aca="false">_xlfn.CONCAT(CALC!B20, ":", CALC!C20)</f>
        <v>Landscaping / Groundskeeping:Worker</v>
      </c>
      <c r="C19" s="63" t="n">
        <f aca="false">CALC!AA20</f>
        <v>0</v>
      </c>
      <c r="D19" s="63" t="n">
        <f aca="false">CALC!AG20</f>
        <v>0</v>
      </c>
      <c r="E19" s="63" t="n">
        <f aca="false">CALC!AM20</f>
        <v>0</v>
      </c>
      <c r="F19" s="63" t="n">
        <f aca="false">CALC!AS20</f>
        <v>0</v>
      </c>
    </row>
    <row r="20" customFormat="false" ht="12.8" hidden="false" customHeight="false" outlineLevel="0" collapsed="false">
      <c r="A20" s="41" t="str">
        <f aca="false">_xlfn.CONCAT($A$1, ".", CALC!A21)</f>
        <v>LSD.RID.0.AL.AIAVG.17</v>
      </c>
      <c r="B20" s="55" t="str">
        <f aca="false">_xlfn.CONCAT(CALC!B21, ":", CALC!C21)</f>
        <v>Automotive &amp; Repair:Support</v>
      </c>
      <c r="C20" s="63" t="n">
        <f aca="false">CALC!AA21</f>
        <v>0</v>
      </c>
      <c r="D20" s="63" t="n">
        <f aca="false">CALC!AG21</f>
        <v>0</v>
      </c>
      <c r="E20" s="63" t="n">
        <f aca="false">CALC!AM21</f>
        <v>0</v>
      </c>
      <c r="F20" s="63" t="n">
        <f aca="false">CALC!AS21</f>
        <v>0</v>
      </c>
    </row>
    <row r="21" customFormat="false" ht="12.8" hidden="false" customHeight="false" outlineLevel="0" collapsed="false">
      <c r="A21" s="41" t="str">
        <f aca="false">_xlfn.CONCAT($A$1, ".", CALC!A22)</f>
        <v>LSD.RID.0.AL.AIAVG.18</v>
      </c>
      <c r="B21" s="55" t="str">
        <f aca="false">_xlfn.CONCAT(CALC!B22, ":", CALC!C22)</f>
        <v>Automotive &amp; Repair:Worker</v>
      </c>
      <c r="C21" s="63" t="n">
        <f aca="false">CALC!AA22</f>
        <v>0</v>
      </c>
      <c r="D21" s="63" t="n">
        <f aca="false">CALC!AG22</f>
        <v>0</v>
      </c>
      <c r="E21" s="63" t="n">
        <f aca="false">CALC!AM22</f>
        <v>0</v>
      </c>
      <c r="F21" s="63" t="n">
        <f aca="false">CALC!AS22</f>
        <v>0</v>
      </c>
    </row>
    <row r="22" customFormat="false" ht="12.8" hidden="false" customHeight="false" outlineLevel="0" collapsed="false">
      <c r="A22" s="41" t="str">
        <f aca="false">_xlfn.CONCAT($A$1, ".", CALC!A23)</f>
        <v>LSD.RID.0.AL.AIAVG.19</v>
      </c>
      <c r="B22" s="55" t="str">
        <f aca="false">_xlfn.CONCAT(CALC!B23, ":", CALC!C23)</f>
        <v>Healthcare &amp; Social Assistance:Support</v>
      </c>
      <c r="C22" s="63" t="n">
        <f aca="false">CALC!AA23</f>
        <v>0</v>
      </c>
      <c r="D22" s="63" t="n">
        <f aca="false">CALC!AG23</f>
        <v>0</v>
      </c>
      <c r="E22" s="63" t="n">
        <f aca="false">CALC!AM23</f>
        <v>0</v>
      </c>
      <c r="F22" s="63" t="n">
        <f aca="false">CALC!AS23</f>
        <v>0</v>
      </c>
    </row>
    <row r="23" customFormat="false" ht="12.8" hidden="false" customHeight="false" outlineLevel="0" collapsed="false">
      <c r="A23" s="41" t="str">
        <f aca="false">_xlfn.CONCAT($A$1, ".", CALC!A24)</f>
        <v>LSD.RID.0.AL.AIAVG.20</v>
      </c>
      <c r="B23" s="55" t="str">
        <f aca="false">_xlfn.CONCAT(CALC!B24, ":", CALC!C24)</f>
        <v>Healthcare &amp; Social Assistance:Worker</v>
      </c>
      <c r="C23" s="63" t="n">
        <f aca="false">CALC!AA24</f>
        <v>0</v>
      </c>
      <c r="D23" s="63" t="n">
        <f aca="false">CALC!AG24</f>
        <v>0</v>
      </c>
      <c r="E23" s="63" t="n">
        <f aca="false">CALC!AM24</f>
        <v>0</v>
      </c>
      <c r="F23" s="63" t="n">
        <f aca="false">CALC!AS24</f>
        <v>0</v>
      </c>
    </row>
    <row r="24" customFormat="false" ht="12.8" hidden="false" customHeight="false" outlineLevel="0" collapsed="false">
      <c r="A24" s="41" t="str">
        <f aca="false">_xlfn.CONCAT($A$1, ".", CALC!A25)</f>
        <v>LSD.RID.0.AL.AIAVG.21</v>
      </c>
      <c r="B24" s="55" t="str">
        <f aca="false">_xlfn.CONCAT(CALC!B25, ":", CALC!C25)</f>
        <v>Professional Services:Support</v>
      </c>
      <c r="C24" s="63" t="n">
        <f aca="false">CALC!AA25</f>
        <v>0</v>
      </c>
      <c r="D24" s="63" t="n">
        <f aca="false">CALC!AG25</f>
        <v>0</v>
      </c>
      <c r="E24" s="63" t="n">
        <f aca="false">CALC!AM25</f>
        <v>0</v>
      </c>
      <c r="F24" s="63" t="n">
        <f aca="false">CALC!AS25</f>
        <v>0</v>
      </c>
    </row>
    <row r="25" customFormat="false" ht="12.8" hidden="false" customHeight="false" outlineLevel="0" collapsed="false">
      <c r="A25" s="41" t="str">
        <f aca="false">_xlfn.CONCAT($A$1, ".", CALC!A26)</f>
        <v>LSD.RID.0.AL.AIAVG.22</v>
      </c>
      <c r="B25" s="55" t="str">
        <f aca="false">_xlfn.CONCAT(CALC!B26, ":", CALC!C26)</f>
        <v>Professional Services:Worker</v>
      </c>
      <c r="C25" s="63" t="n">
        <f aca="false">CALC!AA26</f>
        <v>0</v>
      </c>
      <c r="D25" s="63" t="n">
        <f aca="false">CALC!AG26</f>
        <v>0</v>
      </c>
      <c r="E25" s="63" t="n">
        <f aca="false">CALC!AM26</f>
        <v>0</v>
      </c>
      <c r="F25" s="63" t="n">
        <f aca="false">CALC!AS26</f>
        <v>0</v>
      </c>
    </row>
    <row r="26" customFormat="false" ht="12.8" hidden="false" customHeight="false" outlineLevel="0" collapsed="false">
      <c r="A26" s="41" t="str">
        <f aca="false">_xlfn.CONCAT($A$1, ".", CALC!A27)</f>
        <v>LSD.RID.0.AL.AIAVG.23</v>
      </c>
      <c r="B26" s="55" t="str">
        <f aca="false">_xlfn.CONCAT(CALC!B27, ":", CALC!C27)</f>
        <v>Educational Services:Support</v>
      </c>
      <c r="C26" s="63" t="n">
        <f aca="false">CALC!AA27</f>
        <v>0</v>
      </c>
      <c r="D26" s="63" t="n">
        <f aca="false">CALC!AG27</f>
        <v>0</v>
      </c>
      <c r="E26" s="63" t="n">
        <f aca="false">CALC!AM27</f>
        <v>0</v>
      </c>
      <c r="F26" s="63" t="n">
        <f aca="false">CALC!AS27</f>
        <v>0</v>
      </c>
    </row>
    <row r="27" customFormat="false" ht="12.8" hidden="false" customHeight="false" outlineLevel="0" collapsed="false">
      <c r="A27" s="41" t="str">
        <f aca="false">_xlfn.CONCAT($A$1, ".", CALC!A28)</f>
        <v>LSD.RID.0.AL.AIAVG.24</v>
      </c>
      <c r="B27" s="55" t="str">
        <f aca="false">_xlfn.CONCAT(CALC!B28, ":", CALC!C28)</f>
        <v>Educational Services:Worker</v>
      </c>
      <c r="C27" s="63" t="n">
        <f aca="false">CALC!AA28</f>
        <v>0</v>
      </c>
      <c r="D27" s="63" t="n">
        <f aca="false">CALC!AG28</f>
        <v>0</v>
      </c>
      <c r="E27" s="63" t="n">
        <f aca="false">CALC!AM28</f>
        <v>0</v>
      </c>
      <c r="F27" s="63" t="n">
        <f aca="false">CALC!AS28</f>
        <v>0</v>
      </c>
    </row>
    <row r="28" customFormat="false" ht="12.8" hidden="false" customHeight="false" outlineLevel="0" collapsed="false">
      <c r="A28" s="41" t="str">
        <f aca="false">_xlfn.CONCAT($A$1, ".", CALC!A29)</f>
        <v>LSD.RID.0.AL.AIAVG.25</v>
      </c>
      <c r="B28" s="55" t="str">
        <f aca="false">_xlfn.CONCAT(CALC!B29, ":", CALC!C29)</f>
        <v>Finance &amp; Insurance:Support</v>
      </c>
      <c r="C28" s="63" t="n">
        <f aca="false">CALC!AA29</f>
        <v>0</v>
      </c>
      <c r="D28" s="63" t="n">
        <f aca="false">CALC!AG29</f>
        <v>0</v>
      </c>
      <c r="E28" s="63" t="n">
        <f aca="false">CALC!AM29</f>
        <v>0</v>
      </c>
      <c r="F28" s="63" t="n">
        <f aca="false">CALC!AS29</f>
        <v>0</v>
      </c>
    </row>
    <row r="29" customFormat="false" ht="12.8" hidden="false" customHeight="false" outlineLevel="0" collapsed="false">
      <c r="A29" s="41" t="str">
        <f aca="false">_xlfn.CONCAT($A$1, ".", CALC!A30)</f>
        <v>LSD.RID.0.AL.AIAVG.26</v>
      </c>
      <c r="B29" s="55" t="str">
        <f aca="false">_xlfn.CONCAT(CALC!B30, ":", CALC!C30)</f>
        <v>Finance &amp; Insurance:Worker</v>
      </c>
      <c r="C29" s="63" t="n">
        <f aca="false">CALC!AA30</f>
        <v>0</v>
      </c>
      <c r="D29" s="63" t="n">
        <f aca="false">CALC!AG30</f>
        <v>0</v>
      </c>
      <c r="E29" s="63" t="n">
        <f aca="false">CALC!AM30</f>
        <v>0</v>
      </c>
      <c r="F29" s="63" t="n">
        <f aca="false">CALC!AS30</f>
        <v>0</v>
      </c>
    </row>
    <row r="30" customFormat="false" ht="12.8" hidden="false" customHeight="false" outlineLevel="0" collapsed="false">
      <c r="A30" s="41" t="str">
        <f aca="false">_xlfn.CONCAT($A$1, ".", CALC!A31)</f>
        <v>LSD.RID.0.AL.AIAVG.27</v>
      </c>
      <c r="B30" s="55" t="str">
        <f aca="false">_xlfn.CONCAT(CALC!B31, ":", CALC!C31)</f>
        <v>Media and Information Technology:Support</v>
      </c>
      <c r="C30" s="63" t="n">
        <f aca="false">CALC!AA31</f>
        <v>0</v>
      </c>
      <c r="D30" s="63" t="n">
        <f aca="false">CALC!AG31</f>
        <v>0</v>
      </c>
      <c r="E30" s="63" t="n">
        <f aca="false">CALC!AM31</f>
        <v>0</v>
      </c>
      <c r="F30" s="63" t="n">
        <f aca="false">CALC!AS31</f>
        <v>0</v>
      </c>
    </row>
    <row r="31" customFormat="false" ht="12.8" hidden="false" customHeight="false" outlineLevel="0" collapsed="false">
      <c r="A31" s="41" t="str">
        <f aca="false">_xlfn.CONCAT($A$1, ".", CALC!A32)</f>
        <v>LSD.RID.0.AL.AIAVG.28</v>
      </c>
      <c r="B31" s="55" t="str">
        <f aca="false">_xlfn.CONCAT(CALC!B32, ":", CALC!C32)</f>
        <v>Media and Information Technology:Worker</v>
      </c>
      <c r="C31" s="63" t="n">
        <f aca="false">CALC!AA32</f>
        <v>0</v>
      </c>
      <c r="D31" s="63" t="n">
        <f aca="false">CALC!AG32</f>
        <v>0</v>
      </c>
      <c r="E31" s="63" t="n">
        <f aca="false">CALC!AM32</f>
        <v>0</v>
      </c>
      <c r="F31" s="63" t="n">
        <f aca="false">CALC!AS32</f>
        <v>0</v>
      </c>
    </row>
    <row r="32" customFormat="false" ht="12.8" hidden="false" customHeight="false" outlineLevel="0" collapsed="false">
      <c r="A32" s="41" t="str">
        <f aca="false">_xlfn.CONCAT($A$1, ".", CALC!A33)</f>
        <v>LSD.RID.0.AL.AIAVG.29</v>
      </c>
      <c r="B32" s="55" t="str">
        <f aca="false">_xlfn.CONCAT(CALC!B33, ":", CALC!C33)</f>
        <v>Government:Support</v>
      </c>
      <c r="C32" s="63" t="n">
        <f aca="false">CALC!AA33</f>
        <v>0</v>
      </c>
      <c r="D32" s="63" t="n">
        <f aca="false">CALC!AG33</f>
        <v>0</v>
      </c>
      <c r="E32" s="63" t="n">
        <f aca="false">CALC!AM33</f>
        <v>0</v>
      </c>
      <c r="F32" s="63" t="n">
        <f aca="false">CALC!AS33</f>
        <v>0</v>
      </c>
    </row>
    <row r="33" customFormat="false" ht="12.8" hidden="false" customHeight="false" outlineLevel="0" collapsed="false">
      <c r="A33" s="41" t="str">
        <f aca="false">_xlfn.CONCAT($A$1, ".", CALC!A34)</f>
        <v>LSD.RID.0.AL.AIAVG.30</v>
      </c>
      <c r="B33" s="55" t="str">
        <f aca="false">_xlfn.CONCAT(CALC!B34, ":", CALC!C34)</f>
        <v>Government:Worker</v>
      </c>
      <c r="C33" s="63" t="n">
        <f aca="false">CALC!AA34</f>
        <v>0</v>
      </c>
      <c r="D33" s="63" t="n">
        <f aca="false">CALC!AG34</f>
        <v>0</v>
      </c>
      <c r="E33" s="63" t="n">
        <f aca="false">CALC!AM34</f>
        <v>0</v>
      </c>
      <c r="F33" s="63" t="n">
        <f aca="false">CALC!AS34</f>
        <v>0</v>
      </c>
    </row>
    <row r="34" customFormat="false" ht="12.8" hidden="false" customHeight="false" outlineLevel="0" collapsed="false">
      <c r="A34" s="41" t="str">
        <f aca="false">_xlfn.CONCAT($A$1, ".", CALC!A35)</f>
        <v>LSD.RID.0.AL.AIAVG.31</v>
      </c>
      <c r="B34" s="55" t="str">
        <f aca="false">_xlfn.CONCAT(CALC!B35, ":", CALC!C35)</f>
        <v>Self-Employed / Non-Employer:Support</v>
      </c>
      <c r="C34" s="63" t="n">
        <f aca="false">CALC!AA35</f>
        <v>0</v>
      </c>
      <c r="D34" s="63" t="n">
        <f aca="false">CALC!AG35</f>
        <v>0</v>
      </c>
      <c r="E34" s="63" t="n">
        <f aca="false">CALC!AM35</f>
        <v>0</v>
      </c>
      <c r="F34" s="63" t="n">
        <f aca="false">CALC!AS35</f>
        <v>0</v>
      </c>
    </row>
    <row r="35" customFormat="false" ht="12.8" hidden="false" customHeight="false" outlineLevel="0" collapsed="false">
      <c r="A35" s="41" t="str">
        <f aca="false">_xlfn.CONCAT($A$1, ".", CALC!A36)</f>
        <v>LSD.RID.0.AL.AIAVG.32</v>
      </c>
      <c r="B35" s="55" t="str">
        <f aca="false">_xlfn.CONCAT(CALC!B36, ":", CALC!C36)</f>
        <v>Self-Employed / Non-Employer:Worker</v>
      </c>
      <c r="C35" s="63" t="n">
        <f aca="false">CALC!AA36</f>
        <v>0</v>
      </c>
      <c r="D35" s="63" t="n">
        <f aca="false">CALC!AG36</f>
        <v>0</v>
      </c>
      <c r="E35" s="63" t="n">
        <f aca="false">CALC!AM36</f>
        <v>0</v>
      </c>
      <c r="F35" s="63" t="n">
        <f aca="false">CALC!AS36</f>
        <v>0</v>
      </c>
    </row>
    <row r="36" customFormat="false" ht="12.8" hidden="false" customHeight="false" outlineLevel="0" collapsed="false">
      <c r="A36" s="41" t="str">
        <f aca="false">_xlfn.CONCAT($A$1, ".", CALC!A37)</f>
        <v>LSD.RID.0.AL.AIAVG.33</v>
      </c>
      <c r="B36" s="55" t="str">
        <f aca="false">_xlfn.CONCAT(CALC!B37, ":", CALC!C37)</f>
        <v>Other Services:Support</v>
      </c>
      <c r="C36" s="63" t="n">
        <f aca="false">CALC!AA37</f>
        <v>0</v>
      </c>
      <c r="D36" s="63" t="n">
        <f aca="false">CALC!AG37</f>
        <v>0</v>
      </c>
      <c r="E36" s="63" t="n">
        <f aca="false">CALC!AM37</f>
        <v>0</v>
      </c>
      <c r="F36" s="63" t="n">
        <f aca="false">CALC!AS37</f>
        <v>0</v>
      </c>
    </row>
    <row r="37" customFormat="false" ht="12.8" hidden="false" customHeight="false" outlineLevel="0" collapsed="false">
      <c r="A37" s="41" t="str">
        <f aca="false">_xlfn.CONCAT($A$1, ".", CALC!A38)</f>
        <v>LSD.RID.0.AL.AIAVG.34</v>
      </c>
      <c r="B37" s="55" t="str">
        <f aca="false">_xlfn.CONCAT(CALC!B38, ":", CALC!C38)</f>
        <v>Other Services:Worker</v>
      </c>
      <c r="C37" s="63" t="n">
        <f aca="false">CALC!AA38</f>
        <v>0</v>
      </c>
      <c r="D37" s="63" t="n">
        <f aca="false">CALC!AG38</f>
        <v>0</v>
      </c>
      <c r="E37" s="63" t="n">
        <f aca="false">CALC!AM38</f>
        <v>0</v>
      </c>
      <c r="F37" s="63" t="n">
        <f aca="false">CALC!AS38</f>
        <v>0</v>
      </c>
    </row>
    <row r="38" customFormat="false" ht="12.8" hidden="false" customHeight="false" outlineLevel="0" collapsed="false">
      <c r="A38" s="41" t="str">
        <f aca="false">_xlfn.CONCAT($A$1, ".", CALC!A39)</f>
        <v>LSD.RID.0.AL.AIAVG.35</v>
      </c>
      <c r="B38" s="55" t="str">
        <f aca="false">_xlfn.CONCAT(CALC!B39, ":", CALC!C39)</f>
        <v>Mining, Quarrying, and Oil/Gas Extraction:Support</v>
      </c>
      <c r="C38" s="63" t="n">
        <f aca="false">CALC!AA39</f>
        <v>0</v>
      </c>
      <c r="D38" s="63" t="n">
        <f aca="false">CALC!AG39</f>
        <v>0</v>
      </c>
      <c r="E38" s="63" t="n">
        <f aca="false">CALC!AM39</f>
        <v>0</v>
      </c>
      <c r="F38" s="63" t="n">
        <f aca="false">CALC!AS39</f>
        <v>0</v>
      </c>
    </row>
    <row r="39" customFormat="false" ht="12.8" hidden="false" customHeight="false" outlineLevel="0" collapsed="false">
      <c r="A39" s="41" t="str">
        <f aca="false">_xlfn.CONCAT($A$1, ".", CALC!A40)</f>
        <v>LSD.RID.0.AL.AIAVG.36</v>
      </c>
      <c r="B39" s="55" t="str">
        <f aca="false">_xlfn.CONCAT(CALC!B40, ":", CALC!C40)</f>
        <v>Mining, Quarrying, and Oil/Gas Extraction:Worker</v>
      </c>
      <c r="C39" s="63" t="n">
        <f aca="false">CALC!AA40</f>
        <v>0</v>
      </c>
      <c r="D39" s="63" t="n">
        <f aca="false">CALC!AG40</f>
        <v>0</v>
      </c>
      <c r="E39" s="63" t="n">
        <f aca="false">CALC!AM40</f>
        <v>0</v>
      </c>
      <c r="F39" s="63" t="n">
        <f aca="false">CALC!AS40</f>
        <v>0</v>
      </c>
    </row>
    <row r="40" customFormat="false" ht="12.8" hidden="false" customHeight="false" outlineLevel="0" collapsed="false">
      <c r="A40" s="41" t="str">
        <f aca="false">_xlfn.CONCAT($A$1, ".", CALC!A41)</f>
        <v>LSD.RID.0.AL.AIAVG.37</v>
      </c>
      <c r="B40" s="55" t="str">
        <f aca="false">_xlfn.CONCAT(CALC!B41, ":", CALC!C41)</f>
        <v>Utilities:Support</v>
      </c>
      <c r="C40" s="63" t="n">
        <f aca="false">CALC!AA41</f>
        <v>0</v>
      </c>
      <c r="D40" s="63" t="n">
        <f aca="false">CALC!AG41</f>
        <v>0</v>
      </c>
      <c r="E40" s="63" t="n">
        <f aca="false">CALC!AM41</f>
        <v>0</v>
      </c>
      <c r="F40" s="63" t="n">
        <f aca="false">CALC!AS41</f>
        <v>0</v>
      </c>
    </row>
    <row r="41" customFormat="false" ht="12.8" hidden="false" customHeight="false" outlineLevel="0" collapsed="false">
      <c r="A41" s="41" t="str">
        <f aca="false">_xlfn.CONCAT($A$1, ".", CALC!A42)</f>
        <v>LSD.RID.0.AL.AIAVG.38</v>
      </c>
      <c r="B41" s="55" t="str">
        <f aca="false">_xlfn.CONCAT(CALC!B42, ":", CALC!C42)</f>
        <v>Utilities:Worker</v>
      </c>
      <c r="C41" s="63" t="n">
        <f aca="false">CALC!AA42</f>
        <v>0</v>
      </c>
      <c r="D41" s="63" t="n">
        <f aca="false">CALC!AG42</f>
        <v>0</v>
      </c>
      <c r="E41" s="63" t="n">
        <f aca="false">CALC!AM42</f>
        <v>0</v>
      </c>
      <c r="F41" s="63" t="n">
        <f aca="false">CALC!AS42</f>
        <v>0</v>
      </c>
    </row>
    <row r="42" customFormat="false" ht="12.8" hidden="false" customHeight="false" outlineLevel="0" collapsed="false">
      <c r="A42" s="41" t="str">
        <f aca="false">_xlfn.CONCAT($A$1, ".", CALC!A43)</f>
        <v>LSD.RID.0.AL.AIAVG.39</v>
      </c>
      <c r="B42" s="55" t="str">
        <f aca="false">_xlfn.CONCAT(CALC!B43, ":", CALC!C43)</f>
        <v>Wholesale Trade:Support</v>
      </c>
      <c r="C42" s="63" t="n">
        <f aca="false">CALC!AA43</f>
        <v>0</v>
      </c>
      <c r="D42" s="63" t="n">
        <f aca="false">CALC!AG43</f>
        <v>0</v>
      </c>
      <c r="E42" s="63" t="n">
        <f aca="false">CALC!AM43</f>
        <v>0</v>
      </c>
      <c r="F42" s="63" t="n">
        <f aca="false">CALC!AS43</f>
        <v>0</v>
      </c>
    </row>
    <row r="43" customFormat="false" ht="12.8" hidden="false" customHeight="false" outlineLevel="0" collapsed="false">
      <c r="A43" s="41" t="str">
        <f aca="false">_xlfn.CONCAT($A$1, ".", CALC!A44)</f>
        <v>LSD.RID.0.AL.AIAVG.40</v>
      </c>
      <c r="B43" s="55" t="str">
        <f aca="false">_xlfn.CONCAT(CALC!B44, ":", CALC!C44)</f>
        <v>Wholesale Trade:Worker</v>
      </c>
      <c r="C43" s="63" t="n">
        <f aca="false">CALC!AA44</f>
        <v>0</v>
      </c>
      <c r="D43" s="63" t="n">
        <f aca="false">CALC!AG44</f>
        <v>0</v>
      </c>
      <c r="E43" s="63" t="n">
        <f aca="false">CALC!AM44</f>
        <v>0</v>
      </c>
      <c r="F43" s="63" t="n">
        <f aca="false">CALC!AS44</f>
        <v>0</v>
      </c>
    </row>
    <row r="44" customFormat="false" ht="12.8" hidden="false" customHeight="false" outlineLevel="0" collapsed="false">
      <c r="A44" s="41" t="str">
        <f aca="false">_xlfn.CONCAT($A$1, ".", CALC!A45)</f>
        <v>LSD.RID.0.AL.AIAVG.41</v>
      </c>
      <c r="B44" s="55" t="str">
        <f aca="false">_xlfn.CONCAT(CALC!B45, ":", CALC!C45)</f>
        <v>Information:Support</v>
      </c>
      <c r="C44" s="63" t="n">
        <f aca="false">CALC!AA45</f>
        <v>0</v>
      </c>
      <c r="D44" s="63" t="n">
        <f aca="false">CALC!AG45</f>
        <v>0</v>
      </c>
      <c r="E44" s="63" t="n">
        <f aca="false">CALC!AM45</f>
        <v>0</v>
      </c>
      <c r="F44" s="63" t="n">
        <f aca="false">CALC!AS45</f>
        <v>0</v>
      </c>
    </row>
    <row r="45" customFormat="false" ht="12.8" hidden="false" customHeight="false" outlineLevel="0" collapsed="false">
      <c r="A45" s="41" t="str">
        <f aca="false">_xlfn.CONCAT($A$1, ".", CALC!A46)</f>
        <v>LSD.RID.0.AL.AIAVG.42</v>
      </c>
      <c r="B45" s="55" t="str">
        <f aca="false">_xlfn.CONCAT(CALC!B46, ":", CALC!C46)</f>
        <v>Information:Worker</v>
      </c>
      <c r="C45" s="63" t="n">
        <f aca="false">CALC!AA46</f>
        <v>0</v>
      </c>
      <c r="D45" s="63" t="n">
        <f aca="false">CALC!AG46</f>
        <v>0</v>
      </c>
      <c r="E45" s="63" t="n">
        <f aca="false">CALC!AM46</f>
        <v>0</v>
      </c>
      <c r="F45" s="63" t="n">
        <f aca="false">CALC!AS46</f>
        <v>0</v>
      </c>
    </row>
    <row r="46" customFormat="false" ht="12.8" hidden="false" customHeight="false" outlineLevel="0" collapsed="false">
      <c r="A46" s="41" t="str">
        <f aca="false">_xlfn.CONCAT($A$1, ".", CALC!A47)</f>
        <v>LSD.RID.0.AL.AIAVG.43</v>
      </c>
      <c r="B46" s="55" t="str">
        <f aca="false">_xlfn.CONCAT(CALC!B47, ":", CALC!C47)</f>
        <v>Real Estate, Rental and Leasing:Support</v>
      </c>
      <c r="C46" s="63" t="n">
        <f aca="false">CALC!AA47</f>
        <v>0</v>
      </c>
      <c r="D46" s="63" t="n">
        <f aca="false">CALC!AG47</f>
        <v>0</v>
      </c>
      <c r="E46" s="63" t="n">
        <f aca="false">CALC!AM47</f>
        <v>0</v>
      </c>
      <c r="F46" s="63" t="n">
        <f aca="false">CALC!AS47</f>
        <v>0</v>
      </c>
    </row>
    <row r="47" customFormat="false" ht="12.8" hidden="false" customHeight="false" outlineLevel="0" collapsed="false">
      <c r="A47" s="41" t="str">
        <f aca="false">_xlfn.CONCAT($A$1, ".", CALC!A48)</f>
        <v>LSD.RID.0.AL.AIAVG.44</v>
      </c>
      <c r="B47" s="55" t="str">
        <f aca="false">_xlfn.CONCAT(CALC!B48, ":", CALC!C48)</f>
        <v>Real Estate, Rental and Leasing:Worker</v>
      </c>
      <c r="C47" s="63" t="n">
        <f aca="false">CALC!AA48</f>
        <v>0</v>
      </c>
      <c r="D47" s="63" t="n">
        <f aca="false">CALC!AG48</f>
        <v>0</v>
      </c>
      <c r="E47" s="63" t="n">
        <f aca="false">CALC!AM48</f>
        <v>0</v>
      </c>
      <c r="F47" s="63" t="n">
        <f aca="false">CALC!AS48</f>
        <v>0</v>
      </c>
    </row>
    <row r="48" customFormat="false" ht="12.8" hidden="false" customHeight="false" outlineLevel="0" collapsed="false">
      <c r="A48" s="41" t="str">
        <f aca="false">_xlfn.CONCAT($A$1, ".", CALC!A49)</f>
        <v>LSD.RID.0.AL.AIAVG.45</v>
      </c>
      <c r="B48" s="55" t="str">
        <f aca="false">_xlfn.CONCAT(CALC!B49, ":", CALC!C49)</f>
        <v>Waste Management Services:Support</v>
      </c>
      <c r="C48" s="63" t="n">
        <f aca="false">CALC!AA49</f>
        <v>0</v>
      </c>
      <c r="D48" s="63" t="n">
        <f aca="false">CALC!AG49</f>
        <v>0</v>
      </c>
      <c r="E48" s="63" t="n">
        <f aca="false">CALC!AM49</f>
        <v>0</v>
      </c>
      <c r="F48" s="63" t="n">
        <f aca="false">CALC!AS49</f>
        <v>0</v>
      </c>
    </row>
    <row r="49" customFormat="false" ht="12.8" hidden="false" customHeight="false" outlineLevel="0" collapsed="false">
      <c r="A49" s="41" t="str">
        <f aca="false">_xlfn.CONCAT($A$1, ".", CALC!A50)</f>
        <v>LSD.RID.0.AL.AIAVG.46</v>
      </c>
      <c r="B49" s="55" t="str">
        <f aca="false">_xlfn.CONCAT(CALC!B50, ":", CALC!C50)</f>
        <v>Waste Management Services:Worker</v>
      </c>
      <c r="C49" s="63" t="n">
        <f aca="false">CALC!AA50</f>
        <v>0</v>
      </c>
      <c r="D49" s="63" t="n">
        <f aca="false">CALC!AG50</f>
        <v>0</v>
      </c>
      <c r="E49" s="63" t="n">
        <f aca="false">CALC!AM50</f>
        <v>0</v>
      </c>
      <c r="F49" s="63" t="n">
        <f aca="false">CALC!AS50</f>
        <v>0</v>
      </c>
    </row>
    <row r="50" customFormat="false" ht="12.8" hidden="false" customHeight="false" outlineLevel="0" collapsed="false">
      <c r="A50" s="41" t="str">
        <f aca="false">_xlfn.CONCAT($A$1, ".", CALC!A51)</f>
        <v>LSD.RID.0.AL.AIAVG.47</v>
      </c>
      <c r="B50" s="55" t="str">
        <f aca="false">_xlfn.CONCAT(CALC!B51, ":", CALC!C51)</f>
        <v>Arts, Entertainment, and Recreation:Support</v>
      </c>
      <c r="C50" s="63" t="n">
        <f aca="false">CALC!AA51</f>
        <v>0</v>
      </c>
      <c r="D50" s="63" t="n">
        <f aca="false">CALC!AG51</f>
        <v>0</v>
      </c>
      <c r="E50" s="63" t="n">
        <f aca="false">CALC!AM51</f>
        <v>0</v>
      </c>
      <c r="F50" s="63" t="n">
        <f aca="false">CALC!AS51</f>
        <v>0</v>
      </c>
    </row>
    <row r="51" customFormat="false" ht="12.8" hidden="false" customHeight="false" outlineLevel="0" collapsed="false">
      <c r="A51" s="41" t="str">
        <f aca="false">_xlfn.CONCAT($A$1, ".", CALC!A52)</f>
        <v>LSD.RID.0.AL.AIAVG.48</v>
      </c>
      <c r="B51" s="55" t="str">
        <f aca="false">_xlfn.CONCAT(CALC!B52, ":", CALC!C52)</f>
        <v>Arts, Entertainment, and Recreation:Worker</v>
      </c>
      <c r="C51" s="63" t="n">
        <f aca="false">CALC!AA52</f>
        <v>0</v>
      </c>
      <c r="D51" s="63" t="n">
        <f aca="false">CALC!AG52</f>
        <v>0</v>
      </c>
      <c r="E51" s="63" t="n">
        <f aca="false">CALC!AM52</f>
        <v>0</v>
      </c>
      <c r="F51" s="63" t="n">
        <f aca="false">CALC!AS52</f>
        <v>0</v>
      </c>
    </row>
    <row r="52" customFormat="false" ht="12.8" hidden="false" customHeight="false" outlineLevel="0" collapsed="false">
      <c r="A52" s="41" t="str">
        <f aca="false">_xlfn.CONCAT($A$1, ".", CALC!A53)</f>
        <v>LSD.RID.0.AL.AIAVG.49</v>
      </c>
      <c r="B52" s="55" t="str">
        <f aca="false">_xlfn.CONCAT(CALC!B53, ":", CALC!C53)</f>
        <v>Accommodation and Food Services:Support</v>
      </c>
      <c r="C52" s="63" t="n">
        <f aca="false">CALC!AA53</f>
        <v>0</v>
      </c>
      <c r="D52" s="63" t="n">
        <f aca="false">CALC!AG53</f>
        <v>0</v>
      </c>
      <c r="E52" s="63" t="n">
        <f aca="false">CALC!AM53</f>
        <v>0</v>
      </c>
      <c r="F52" s="63" t="n">
        <f aca="false">CALC!AS53</f>
        <v>0</v>
      </c>
    </row>
    <row r="53" customFormat="false" ht="12.8" hidden="false" customHeight="false" outlineLevel="0" collapsed="false">
      <c r="A53" s="41" t="str">
        <f aca="false">_xlfn.CONCAT($A$1, ".", CALC!A54)</f>
        <v>LSD.RID.0.AL.AIAVG.50</v>
      </c>
      <c r="B53" s="55" t="str">
        <f aca="false">_xlfn.CONCAT(CALC!B54, ":", CALC!C54)</f>
        <v>Accommodation and Food Services:Worker</v>
      </c>
      <c r="C53" s="63" t="n">
        <f aca="false">CALC!AA54</f>
        <v>0</v>
      </c>
      <c r="D53" s="63" t="n">
        <f aca="false">CALC!AG54</f>
        <v>0</v>
      </c>
      <c r="E53" s="63" t="n">
        <f aca="false">CALC!AM54</f>
        <v>0</v>
      </c>
      <c r="F53" s="63" t="n">
        <f aca="false">CALC!AS54</f>
        <v>0</v>
      </c>
    </row>
    <row r="54" customFormat="false" ht="12.8" hidden="false" customHeight="false" outlineLevel="0" collapsed="false">
      <c r="A54" s="41" t="str">
        <f aca="false">_xlfn.CONCAT($A$1, ".", CALC!A55)</f>
        <v>LSD.RID.0.AL.AIAVG.51</v>
      </c>
      <c r="B54" s="55" t="str">
        <f aca="false">_xlfn.CONCAT(CALC!B55, ":", CALC!C55)</f>
        <v>Public Administration:Support</v>
      </c>
      <c r="C54" s="63" t="n">
        <f aca="false">CALC!AA55</f>
        <v>0</v>
      </c>
      <c r="D54" s="63" t="n">
        <f aca="false">CALC!AG55</f>
        <v>0</v>
      </c>
      <c r="E54" s="63" t="n">
        <f aca="false">CALC!AM55</f>
        <v>0</v>
      </c>
      <c r="F54" s="63" t="n">
        <f aca="false">CALC!AS55</f>
        <v>0</v>
      </c>
    </row>
    <row r="55" customFormat="false" ht="12.8" hidden="false" customHeight="false" outlineLevel="0" collapsed="false">
      <c r="A55" s="41" t="str">
        <f aca="false">_xlfn.CONCAT($A$1, ".", CALC!A56)</f>
        <v>LSD.RID.0.AL.AIAVG.52</v>
      </c>
      <c r="B55" s="55" t="str">
        <f aca="false">_xlfn.CONCAT(CALC!B56, ":", CALC!C56)</f>
        <v>Public Administration:Worker</v>
      </c>
      <c r="C55" s="63" t="n">
        <f aca="false">CALC!AA56</f>
        <v>0</v>
      </c>
      <c r="D55" s="63" t="n">
        <f aca="false">CALC!AG56</f>
        <v>0</v>
      </c>
      <c r="E55" s="63" t="n">
        <f aca="false">CALC!AM56</f>
        <v>0</v>
      </c>
      <c r="F55" s="63" t="n">
        <f aca="false">CALC!AS56</f>
        <v>0</v>
      </c>
    </row>
    <row r="56" customFormat="false" ht="12.8" hidden="false" customHeight="false" outlineLevel="0" collapsed="false">
      <c r="C56" s="62"/>
      <c r="D56" s="62"/>
      <c r="E56" s="62"/>
      <c r="F56" s="62"/>
    </row>
    <row r="57" customFormat="false" ht="12.8" hidden="false" customHeight="false" outlineLevel="0" collapsed="false">
      <c r="C57" s="62"/>
      <c r="D57" s="62"/>
      <c r="E57" s="62"/>
      <c r="F57" s="62"/>
    </row>
    <row r="58" customFormat="false" ht="12.8" hidden="false" customHeight="false" outlineLevel="0" collapsed="false">
      <c r="C58" s="62"/>
      <c r="D58" s="62"/>
      <c r="E58" s="62"/>
      <c r="F58" s="62"/>
    </row>
    <row r="59" customFormat="false" ht="12.8" hidden="false" customHeight="false" outlineLevel="1" collapsed="false">
      <c r="C59" s="62"/>
      <c r="D59" s="62"/>
      <c r="E59" s="62"/>
      <c r="F59" s="62"/>
    </row>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3838"/>
    <pageSetUpPr fitToPage="false"/>
  </sheetPr>
  <dimension ref="A1:BC247"/>
  <sheetViews>
    <sheetView showFormulas="false" showGridLines="true" showRowColHeaders="true" showZeros="true" rightToLeft="false" tabSelected="false" showOutlineSymbols="true" defaultGridColor="true" view="normal" topLeftCell="A105" colorId="64" zoomScale="65" zoomScaleNormal="65" zoomScalePageLayoutView="100" workbookViewId="0">
      <selection pane="topLeft" activeCell="A1" activeCellId="0" sqref="A1"/>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41.51"/>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12.8" hidden="false" customHeight="false" outlineLevel="0" collapsed="false">
      <c r="A1" s="4" t="s">
        <v>2161</v>
      </c>
      <c r="B1" s="30" t="s">
        <v>2162</v>
      </c>
      <c r="C1" s="6" t="s">
        <v>2</v>
      </c>
      <c r="D1" s="51" t="s">
        <v>2163</v>
      </c>
      <c r="AZ1" s="26"/>
      <c r="BA1" s="26"/>
      <c r="BB1" s="26"/>
      <c r="BC1" s="26"/>
    </row>
    <row r="2" customFormat="false" ht="46.25" hidden="false" customHeight="false" outlineLevel="0" collapsed="false">
      <c r="A2" s="52" t="s">
        <v>2140</v>
      </c>
      <c r="B2" s="47" t="s">
        <v>2141</v>
      </c>
      <c r="C2" s="64" t="str">
        <f aca="false">CALC!AV3</f>
        <v>Federal Personal Income Tax Revenue ($)</v>
      </c>
      <c r="D2" s="64" t="str">
        <f aca="false">CALC!AW3</f>
        <v>Authorized Immigrant Federal Personal Income Tax Revenue ($)</v>
      </c>
      <c r="E2" s="64" t="str">
        <f aca="false">CALC!AX3</f>
        <v>Unauthorized Immigrant Federal Personal Income Tax Revenue ($)</v>
      </c>
      <c r="F2" s="64" t="str">
        <f aca="false">CALC!AY3</f>
        <v>American Federal Personal Income Tax Revenue ($)</v>
      </c>
    </row>
    <row r="3" customFormat="false" ht="12.8" hidden="false" customHeight="false" outlineLevel="0" collapsed="false">
      <c r="A3" s="4" t="str">
        <f aca="false">_xlfn.CONCAT($A$1, ".", CALC!A4)</f>
        <v>LSD.RID.0.AL.FPITREV.0</v>
      </c>
      <c r="B3" s="58" t="str">
        <f aca="false">_xlfn.CONCAT(CALC!B4, ":", CALC!C4)</f>
        <v>All Industries:All Roles</v>
      </c>
      <c r="C3" s="64" t="n">
        <f aca="false">CALC!AV4</f>
        <v>0</v>
      </c>
      <c r="D3" s="64" t="n">
        <f aca="false">CALC!AW4</f>
        <v>0</v>
      </c>
      <c r="E3" s="64" t="n">
        <f aca="false">CALC!AX4</f>
        <v>0</v>
      </c>
      <c r="F3" s="64" t="n">
        <f aca="false">CALC!AY4</f>
        <v>0</v>
      </c>
    </row>
    <row r="4" customFormat="false" ht="12.8" hidden="false" customHeight="false" outlineLevel="0" collapsed="false">
      <c r="A4" s="41" t="str">
        <f aca="false">_xlfn.CONCAT($A$1, ".", CALC!A5)</f>
        <v>LSD.RID.0.AL.FPITREV.1</v>
      </c>
      <c r="B4" s="55" t="str">
        <f aca="false">_xlfn.CONCAT(CALC!B5, ":", CALC!C5)</f>
        <v>Agriculture:Support</v>
      </c>
      <c r="C4" s="65" t="n">
        <f aca="false">CALC!AV5</f>
        <v>0</v>
      </c>
      <c r="D4" s="65" t="n">
        <f aca="false">CALC!AW5</f>
        <v>0</v>
      </c>
      <c r="E4" s="65" t="n">
        <f aca="false">CALC!AX5</f>
        <v>0</v>
      </c>
      <c r="F4" s="65" t="n">
        <f aca="false">CALC!AY5</f>
        <v>0</v>
      </c>
    </row>
    <row r="5" customFormat="false" ht="12.8" hidden="false" customHeight="false" outlineLevel="0" collapsed="false">
      <c r="A5" s="41" t="str">
        <f aca="false">_xlfn.CONCAT($A$1, ".", CALC!A6)</f>
        <v>LSD.RID.0.AL.FPITREV.2</v>
      </c>
      <c r="B5" s="55" t="str">
        <f aca="false">_xlfn.CONCAT(CALC!B6, ":", CALC!C6)</f>
        <v>Agriculture:Worker</v>
      </c>
      <c r="C5" s="65" t="n">
        <f aca="false">CALC!AV6</f>
        <v>0</v>
      </c>
      <c r="D5" s="65" t="n">
        <f aca="false">CALC!AW6</f>
        <v>0</v>
      </c>
      <c r="E5" s="65" t="n">
        <f aca="false">CALC!AX6</f>
        <v>0</v>
      </c>
      <c r="F5" s="65" t="n">
        <f aca="false">CALC!AY6</f>
        <v>0</v>
      </c>
    </row>
    <row r="6" customFormat="false" ht="12.8" hidden="false" customHeight="false" outlineLevel="0" collapsed="false">
      <c r="A6" s="41" t="str">
        <f aca="false">_xlfn.CONCAT($A$1, ".", CALC!A7)</f>
        <v>LSD.RID.0.AL.FPITREV.3</v>
      </c>
      <c r="B6" s="55" t="str">
        <f aca="false">_xlfn.CONCAT(CALC!B7, ":", CALC!C7)</f>
        <v>Construction:Support</v>
      </c>
      <c r="C6" s="65" t="n">
        <f aca="false">CALC!AV7</f>
        <v>0</v>
      </c>
      <c r="D6" s="65" t="n">
        <f aca="false">CALC!AW7</f>
        <v>0</v>
      </c>
      <c r="E6" s="65" t="n">
        <f aca="false">CALC!AX7</f>
        <v>0</v>
      </c>
      <c r="F6" s="65" t="n">
        <f aca="false">CALC!AY7</f>
        <v>0</v>
      </c>
    </row>
    <row r="7" customFormat="false" ht="12.8" hidden="false" customHeight="false" outlineLevel="0" collapsed="false">
      <c r="A7" s="41" t="str">
        <f aca="false">_xlfn.CONCAT($A$1, ".", CALC!A8)</f>
        <v>LSD.RID.0.AL.FPITREV.4</v>
      </c>
      <c r="B7" s="55" t="str">
        <f aca="false">_xlfn.CONCAT(CALC!B8, ":", CALC!C8)</f>
        <v>Construction:Worker</v>
      </c>
      <c r="C7" s="65" t="n">
        <f aca="false">CALC!AV8</f>
        <v>0</v>
      </c>
      <c r="D7" s="65" t="n">
        <f aca="false">CALC!AW8</f>
        <v>0</v>
      </c>
      <c r="E7" s="65" t="n">
        <f aca="false">CALC!AX8</f>
        <v>0</v>
      </c>
      <c r="F7" s="65" t="n">
        <f aca="false">CALC!AY8</f>
        <v>0</v>
      </c>
    </row>
    <row r="8" customFormat="false" ht="12.8" hidden="false" customHeight="false" outlineLevel="0" collapsed="false">
      <c r="A8" s="41" t="str">
        <f aca="false">_xlfn.CONCAT($A$1, ".", CALC!A9)</f>
        <v>LSD.RID.0.AL.FPITREV.5</v>
      </c>
      <c r="B8" s="55" t="str">
        <f aca="false">_xlfn.CONCAT(CALC!B9, ":", CALC!C9)</f>
        <v>Hospitality:Support</v>
      </c>
      <c r="C8" s="65" t="n">
        <f aca="false">CALC!AV9</f>
        <v>0</v>
      </c>
      <c r="D8" s="65" t="n">
        <f aca="false">CALC!AW9</f>
        <v>0</v>
      </c>
      <c r="E8" s="65" t="n">
        <f aca="false">CALC!AX9</f>
        <v>0</v>
      </c>
      <c r="F8" s="65" t="n">
        <f aca="false">CALC!AY9</f>
        <v>0</v>
      </c>
    </row>
    <row r="9" customFormat="false" ht="12.8" hidden="false" customHeight="false" outlineLevel="0" collapsed="false">
      <c r="A9" s="41" t="str">
        <f aca="false">_xlfn.CONCAT($A$1, ".", CALC!A10)</f>
        <v>LSD.RID.0.AL.FPITREV.6</v>
      </c>
      <c r="B9" s="55" t="str">
        <f aca="false">_xlfn.CONCAT(CALC!B10, ":", CALC!C10)</f>
        <v>Hospitality:Worker</v>
      </c>
      <c r="C9" s="65" t="n">
        <f aca="false">CALC!AV10</f>
        <v>0</v>
      </c>
      <c r="D9" s="65" t="n">
        <f aca="false">CALC!AW10</f>
        <v>0</v>
      </c>
      <c r="E9" s="65" t="n">
        <f aca="false">CALC!AX10</f>
        <v>0</v>
      </c>
      <c r="F9" s="65" t="n">
        <f aca="false">CALC!AY10</f>
        <v>0</v>
      </c>
    </row>
    <row r="10" customFormat="false" ht="12.8" hidden="false" customHeight="false" outlineLevel="0" collapsed="false">
      <c r="A10" s="41" t="str">
        <f aca="false">_xlfn.CONCAT($A$1, ".", CALC!A11)</f>
        <v>LSD.RID.0.AL.FPITREV.7</v>
      </c>
      <c r="B10" s="55" t="str">
        <f aca="false">_xlfn.CONCAT(CALC!B11, ":", CALC!C11)</f>
        <v>Cleaning &amp; Maintenance:Support</v>
      </c>
      <c r="C10" s="65" t="n">
        <f aca="false">CALC!AV11</f>
        <v>0</v>
      </c>
      <c r="D10" s="65" t="n">
        <f aca="false">CALC!AW11</f>
        <v>0</v>
      </c>
      <c r="E10" s="65" t="n">
        <f aca="false">CALC!AX11</f>
        <v>0</v>
      </c>
      <c r="F10" s="65" t="n">
        <f aca="false">CALC!AY11</f>
        <v>0</v>
      </c>
    </row>
    <row r="11" customFormat="false" ht="12.8" hidden="false" customHeight="false" outlineLevel="0" collapsed="false">
      <c r="A11" s="41" t="str">
        <f aca="false">_xlfn.CONCAT($A$1, ".", CALC!A12)</f>
        <v>LSD.RID.0.AL.FPITREV.8</v>
      </c>
      <c r="B11" s="55" t="str">
        <f aca="false">_xlfn.CONCAT(CALC!B12, ":", CALC!C12)</f>
        <v>Cleaning &amp; Maintenance:Worker</v>
      </c>
      <c r="C11" s="65" t="n">
        <f aca="false">CALC!AV12</f>
        <v>0</v>
      </c>
      <c r="D11" s="65" t="n">
        <f aca="false">CALC!AW12</f>
        <v>0</v>
      </c>
      <c r="E11" s="65" t="n">
        <f aca="false">CALC!AX12</f>
        <v>0</v>
      </c>
      <c r="F11" s="65" t="n">
        <f aca="false">CALC!AY12</f>
        <v>0</v>
      </c>
    </row>
    <row r="12" customFormat="false" ht="12.8" hidden="false" customHeight="false" outlineLevel="0" collapsed="false">
      <c r="A12" s="41" t="str">
        <f aca="false">_xlfn.CONCAT($A$1, ".", CALC!A13)</f>
        <v>LSD.RID.0.AL.FPITREV.9</v>
      </c>
      <c r="B12" s="55" t="str">
        <f aca="false">_xlfn.CONCAT(CALC!B13, ":", CALC!C13)</f>
        <v>Manufacturing:Support</v>
      </c>
      <c r="C12" s="65" t="n">
        <f aca="false">CALC!AV13</f>
        <v>0</v>
      </c>
      <c r="D12" s="65" t="n">
        <f aca="false">CALC!AW13</f>
        <v>0</v>
      </c>
      <c r="E12" s="65" t="n">
        <f aca="false">CALC!AX13</f>
        <v>0</v>
      </c>
      <c r="F12" s="65" t="n">
        <f aca="false">CALC!AY13</f>
        <v>0</v>
      </c>
    </row>
    <row r="13" customFormat="false" ht="12.8" hidden="false" customHeight="false" outlineLevel="0" collapsed="false">
      <c r="A13" s="41" t="str">
        <f aca="false">_xlfn.CONCAT($A$1, ".", CALC!A14)</f>
        <v>LSD.RID.0.AL.FPITREV.10</v>
      </c>
      <c r="B13" s="55" t="str">
        <f aca="false">_xlfn.CONCAT(CALC!B14, ":", CALC!C14)</f>
        <v>Manufacturing:Worker</v>
      </c>
      <c r="C13" s="65" t="n">
        <f aca="false">CALC!AV14</f>
        <v>0</v>
      </c>
      <c r="D13" s="65" t="n">
        <f aca="false">CALC!AW14</f>
        <v>0</v>
      </c>
      <c r="E13" s="65" t="n">
        <f aca="false">CALC!AX14</f>
        <v>0</v>
      </c>
      <c r="F13" s="65" t="n">
        <f aca="false">CALC!AY14</f>
        <v>0</v>
      </c>
    </row>
    <row r="14" customFormat="false" ht="12.8" hidden="false" customHeight="false" outlineLevel="0" collapsed="false">
      <c r="A14" s="41" t="str">
        <f aca="false">_xlfn.CONCAT($A$1, ".", CALC!A15)</f>
        <v>LSD.RID.0.AL.FPITREV.11</v>
      </c>
      <c r="B14" s="55" t="str">
        <f aca="false">_xlfn.CONCAT(CALC!B15, ":", CALC!C15)</f>
        <v>Transportation &amp; Warehousing:Support</v>
      </c>
      <c r="C14" s="65" t="n">
        <f aca="false">CALC!AV15</f>
        <v>0</v>
      </c>
      <c r="D14" s="65" t="n">
        <f aca="false">CALC!AW15</f>
        <v>0</v>
      </c>
      <c r="E14" s="65" t="n">
        <f aca="false">CALC!AX15</f>
        <v>0</v>
      </c>
      <c r="F14" s="65" t="n">
        <f aca="false">CALC!AY15</f>
        <v>0</v>
      </c>
    </row>
    <row r="15" customFormat="false" ht="12.8" hidden="false" customHeight="false" outlineLevel="0" collapsed="false">
      <c r="A15" s="41" t="str">
        <f aca="false">_xlfn.CONCAT($A$1, ".", CALC!A16)</f>
        <v>LSD.RID.0.AL.FPITREV.12</v>
      </c>
      <c r="B15" s="55" t="str">
        <f aca="false">_xlfn.CONCAT(CALC!B16, ":", CALC!C16)</f>
        <v>Transportation &amp; Warehousing:Worker</v>
      </c>
      <c r="C15" s="65" t="n">
        <f aca="false">CALC!AV16</f>
        <v>0</v>
      </c>
      <c r="D15" s="65" t="n">
        <f aca="false">CALC!AW16</f>
        <v>0</v>
      </c>
      <c r="E15" s="65" t="n">
        <f aca="false">CALC!AX16</f>
        <v>0</v>
      </c>
      <c r="F15" s="65" t="n">
        <f aca="false">CALC!AY16</f>
        <v>0</v>
      </c>
    </row>
    <row r="16" customFormat="false" ht="12.8" hidden="false" customHeight="false" outlineLevel="0" collapsed="false">
      <c r="A16" s="41" t="str">
        <f aca="false">_xlfn.CONCAT($A$1, ".", CALC!A17)</f>
        <v>LSD.RID.0.AL.FPITREV.13</v>
      </c>
      <c r="B16" s="55" t="str">
        <f aca="false">_xlfn.CONCAT(CALC!B17, ":", CALC!C17)</f>
        <v>Retail Trade:Support</v>
      </c>
      <c r="C16" s="65" t="n">
        <f aca="false">CALC!AV17</f>
        <v>0</v>
      </c>
      <c r="D16" s="65" t="n">
        <f aca="false">CALC!AW17</f>
        <v>0</v>
      </c>
      <c r="E16" s="65" t="n">
        <f aca="false">CALC!AX17</f>
        <v>0</v>
      </c>
      <c r="F16" s="65" t="n">
        <f aca="false">CALC!AY17</f>
        <v>0</v>
      </c>
    </row>
    <row r="17" customFormat="false" ht="12.8" hidden="false" customHeight="false" outlineLevel="0" collapsed="false">
      <c r="A17" s="41" t="str">
        <f aca="false">_xlfn.CONCAT($A$1, ".", CALC!A18)</f>
        <v>LSD.RID.0.AL.FPITREV.14</v>
      </c>
      <c r="B17" s="55" t="str">
        <f aca="false">_xlfn.CONCAT(CALC!B18, ":", CALC!C18)</f>
        <v>Retail Trade:Worker</v>
      </c>
      <c r="C17" s="65" t="n">
        <f aca="false">CALC!AV18</f>
        <v>0</v>
      </c>
      <c r="D17" s="65" t="n">
        <f aca="false">CALC!AW18</f>
        <v>0</v>
      </c>
      <c r="E17" s="65" t="n">
        <f aca="false">CALC!AX18</f>
        <v>0</v>
      </c>
      <c r="F17" s="65" t="n">
        <f aca="false">CALC!AY18</f>
        <v>0</v>
      </c>
    </row>
    <row r="18" customFormat="false" ht="12.8" hidden="false" customHeight="false" outlineLevel="0" collapsed="false">
      <c r="A18" s="41" t="str">
        <f aca="false">_xlfn.CONCAT($A$1, ".", CALC!A19)</f>
        <v>LSD.RID.0.AL.FPITREV.15</v>
      </c>
      <c r="B18" s="55" t="str">
        <f aca="false">_xlfn.CONCAT(CALC!B19, ":", CALC!C19)</f>
        <v>Landscaping / Groundskeeping:Support</v>
      </c>
      <c r="C18" s="65" t="n">
        <f aca="false">CALC!AV19</f>
        <v>0</v>
      </c>
      <c r="D18" s="65" t="n">
        <f aca="false">CALC!AW19</f>
        <v>0</v>
      </c>
      <c r="E18" s="65" t="n">
        <f aca="false">CALC!AX19</f>
        <v>0</v>
      </c>
      <c r="F18" s="65" t="n">
        <f aca="false">CALC!AY19</f>
        <v>0</v>
      </c>
    </row>
    <row r="19" customFormat="false" ht="12.8" hidden="false" customHeight="false" outlineLevel="0" collapsed="false">
      <c r="A19" s="41" t="str">
        <f aca="false">_xlfn.CONCAT($A$1, ".", CALC!A20)</f>
        <v>LSD.RID.0.AL.FPITREV.16</v>
      </c>
      <c r="B19" s="55" t="str">
        <f aca="false">_xlfn.CONCAT(CALC!B20, ":", CALC!C20)</f>
        <v>Landscaping / Groundskeeping:Worker</v>
      </c>
      <c r="C19" s="65" t="n">
        <f aca="false">CALC!AV20</f>
        <v>0</v>
      </c>
      <c r="D19" s="65" t="n">
        <f aca="false">CALC!AW20</f>
        <v>0</v>
      </c>
      <c r="E19" s="65" t="n">
        <f aca="false">CALC!AX20</f>
        <v>0</v>
      </c>
      <c r="F19" s="65" t="n">
        <f aca="false">CALC!AY20</f>
        <v>0</v>
      </c>
    </row>
    <row r="20" customFormat="false" ht="12.8" hidden="false" customHeight="false" outlineLevel="0" collapsed="false">
      <c r="A20" s="41" t="str">
        <f aca="false">_xlfn.CONCAT($A$1, ".", CALC!A21)</f>
        <v>LSD.RID.0.AL.FPITREV.17</v>
      </c>
      <c r="B20" s="55" t="str">
        <f aca="false">_xlfn.CONCAT(CALC!B21, ":", CALC!C21)</f>
        <v>Automotive &amp; Repair:Support</v>
      </c>
      <c r="C20" s="65" t="n">
        <f aca="false">CALC!AV21</f>
        <v>0</v>
      </c>
      <c r="D20" s="65" t="n">
        <f aca="false">CALC!AW21</f>
        <v>0</v>
      </c>
      <c r="E20" s="65" t="n">
        <f aca="false">CALC!AX21</f>
        <v>0</v>
      </c>
      <c r="F20" s="65" t="n">
        <f aca="false">CALC!AY21</f>
        <v>0</v>
      </c>
    </row>
    <row r="21" customFormat="false" ht="12.8" hidden="false" customHeight="false" outlineLevel="0" collapsed="false">
      <c r="A21" s="41" t="str">
        <f aca="false">_xlfn.CONCAT($A$1, ".", CALC!A22)</f>
        <v>LSD.RID.0.AL.FPITREV.18</v>
      </c>
      <c r="B21" s="55" t="str">
        <f aca="false">_xlfn.CONCAT(CALC!B22, ":", CALC!C22)</f>
        <v>Automotive &amp; Repair:Worker</v>
      </c>
      <c r="C21" s="65" t="n">
        <f aca="false">CALC!AV22</f>
        <v>0</v>
      </c>
      <c r="D21" s="65" t="n">
        <f aca="false">CALC!AW22</f>
        <v>0</v>
      </c>
      <c r="E21" s="65" t="n">
        <f aca="false">CALC!AX22</f>
        <v>0</v>
      </c>
      <c r="F21" s="65" t="n">
        <f aca="false">CALC!AY22</f>
        <v>0</v>
      </c>
    </row>
    <row r="22" customFormat="false" ht="12.8" hidden="false" customHeight="false" outlineLevel="0" collapsed="false">
      <c r="A22" s="41" t="str">
        <f aca="false">_xlfn.CONCAT($A$1, ".", CALC!A23)</f>
        <v>LSD.RID.0.AL.FPITREV.19</v>
      </c>
      <c r="B22" s="55" t="str">
        <f aca="false">_xlfn.CONCAT(CALC!B23, ":", CALC!C23)</f>
        <v>Healthcare &amp; Social Assistance:Support</v>
      </c>
      <c r="C22" s="65" t="n">
        <f aca="false">CALC!AV23</f>
        <v>0</v>
      </c>
      <c r="D22" s="65" t="n">
        <f aca="false">CALC!AW23</f>
        <v>0</v>
      </c>
      <c r="E22" s="65" t="n">
        <f aca="false">CALC!AX23</f>
        <v>0</v>
      </c>
      <c r="F22" s="65" t="n">
        <f aca="false">CALC!AY23</f>
        <v>0</v>
      </c>
    </row>
    <row r="23" customFormat="false" ht="12.8" hidden="false" customHeight="false" outlineLevel="0" collapsed="false">
      <c r="A23" s="41" t="str">
        <f aca="false">_xlfn.CONCAT($A$1, ".", CALC!A24)</f>
        <v>LSD.RID.0.AL.FPITREV.20</v>
      </c>
      <c r="B23" s="55" t="str">
        <f aca="false">_xlfn.CONCAT(CALC!B24, ":", CALC!C24)</f>
        <v>Healthcare &amp; Social Assistance:Worker</v>
      </c>
      <c r="C23" s="65" t="n">
        <f aca="false">CALC!AV24</f>
        <v>0</v>
      </c>
      <c r="D23" s="65" t="n">
        <f aca="false">CALC!AW24</f>
        <v>0</v>
      </c>
      <c r="E23" s="65" t="n">
        <f aca="false">CALC!AX24</f>
        <v>0</v>
      </c>
      <c r="F23" s="65" t="n">
        <f aca="false">CALC!AY24</f>
        <v>0</v>
      </c>
    </row>
    <row r="24" customFormat="false" ht="12.8" hidden="false" customHeight="false" outlineLevel="0" collapsed="false">
      <c r="A24" s="41" t="str">
        <f aca="false">_xlfn.CONCAT($A$1, ".", CALC!A25)</f>
        <v>LSD.RID.0.AL.FPITREV.21</v>
      </c>
      <c r="B24" s="55" t="str">
        <f aca="false">_xlfn.CONCAT(CALC!B25, ":", CALC!C25)</f>
        <v>Professional Services:Support</v>
      </c>
      <c r="C24" s="65" t="n">
        <f aca="false">CALC!AV25</f>
        <v>0</v>
      </c>
      <c r="D24" s="65" t="n">
        <f aca="false">CALC!AW25</f>
        <v>0</v>
      </c>
      <c r="E24" s="65" t="n">
        <f aca="false">CALC!AX25</f>
        <v>0</v>
      </c>
      <c r="F24" s="65" t="n">
        <f aca="false">CALC!AY25</f>
        <v>0</v>
      </c>
    </row>
    <row r="25" customFormat="false" ht="12.8" hidden="false" customHeight="false" outlineLevel="0" collapsed="false">
      <c r="A25" s="41" t="str">
        <f aca="false">_xlfn.CONCAT($A$1, ".", CALC!A26)</f>
        <v>LSD.RID.0.AL.FPITREV.22</v>
      </c>
      <c r="B25" s="55" t="str">
        <f aca="false">_xlfn.CONCAT(CALC!B26, ":", CALC!C26)</f>
        <v>Professional Services:Worker</v>
      </c>
      <c r="C25" s="65" t="n">
        <f aca="false">CALC!AV26</f>
        <v>0</v>
      </c>
      <c r="D25" s="65" t="n">
        <f aca="false">CALC!AW26</f>
        <v>0</v>
      </c>
      <c r="E25" s="65" t="n">
        <f aca="false">CALC!AX26</f>
        <v>0</v>
      </c>
      <c r="F25" s="65" t="n">
        <f aca="false">CALC!AY26</f>
        <v>0</v>
      </c>
    </row>
    <row r="26" customFormat="false" ht="12.8" hidden="false" customHeight="false" outlineLevel="0" collapsed="false">
      <c r="A26" s="41" t="str">
        <f aca="false">_xlfn.CONCAT($A$1, ".", CALC!A27)</f>
        <v>LSD.RID.0.AL.FPITREV.23</v>
      </c>
      <c r="B26" s="55" t="str">
        <f aca="false">_xlfn.CONCAT(CALC!B27, ":", CALC!C27)</f>
        <v>Educational Services:Support</v>
      </c>
      <c r="C26" s="65" t="n">
        <f aca="false">CALC!AV27</f>
        <v>0</v>
      </c>
      <c r="D26" s="65" t="n">
        <f aca="false">CALC!AW27</f>
        <v>0</v>
      </c>
      <c r="E26" s="65" t="n">
        <f aca="false">CALC!AX27</f>
        <v>0</v>
      </c>
      <c r="F26" s="65" t="n">
        <f aca="false">CALC!AY27</f>
        <v>0</v>
      </c>
    </row>
    <row r="27" customFormat="false" ht="12.8" hidden="false" customHeight="false" outlineLevel="0" collapsed="false">
      <c r="A27" s="41" t="str">
        <f aca="false">_xlfn.CONCAT($A$1, ".", CALC!A28)</f>
        <v>LSD.RID.0.AL.FPITREV.24</v>
      </c>
      <c r="B27" s="55" t="str">
        <f aca="false">_xlfn.CONCAT(CALC!B28, ":", CALC!C28)</f>
        <v>Educational Services:Worker</v>
      </c>
      <c r="C27" s="65" t="n">
        <f aca="false">CALC!AV28</f>
        <v>0</v>
      </c>
      <c r="D27" s="65" t="n">
        <f aca="false">CALC!AW28</f>
        <v>0</v>
      </c>
      <c r="E27" s="65" t="n">
        <f aca="false">CALC!AX28</f>
        <v>0</v>
      </c>
      <c r="F27" s="65" t="n">
        <f aca="false">CALC!AY28</f>
        <v>0</v>
      </c>
    </row>
    <row r="28" customFormat="false" ht="12.8" hidden="false" customHeight="false" outlineLevel="0" collapsed="false">
      <c r="A28" s="41" t="str">
        <f aca="false">_xlfn.CONCAT($A$1, ".", CALC!A29)</f>
        <v>LSD.RID.0.AL.FPITREV.25</v>
      </c>
      <c r="B28" s="55" t="str">
        <f aca="false">_xlfn.CONCAT(CALC!B29, ":", CALC!C29)</f>
        <v>Finance &amp; Insurance:Support</v>
      </c>
      <c r="C28" s="65" t="n">
        <f aca="false">CALC!AV29</f>
        <v>0</v>
      </c>
      <c r="D28" s="65" t="n">
        <f aca="false">CALC!AW29</f>
        <v>0</v>
      </c>
      <c r="E28" s="65" t="n">
        <f aca="false">CALC!AX29</f>
        <v>0</v>
      </c>
      <c r="F28" s="65" t="n">
        <f aca="false">CALC!AY29</f>
        <v>0</v>
      </c>
    </row>
    <row r="29" customFormat="false" ht="12.8" hidden="false" customHeight="false" outlineLevel="0" collapsed="false">
      <c r="A29" s="41" t="str">
        <f aca="false">_xlfn.CONCAT($A$1, ".", CALC!A30)</f>
        <v>LSD.RID.0.AL.FPITREV.26</v>
      </c>
      <c r="B29" s="55" t="str">
        <f aca="false">_xlfn.CONCAT(CALC!B30, ":", CALC!C30)</f>
        <v>Finance &amp; Insurance:Worker</v>
      </c>
      <c r="C29" s="65" t="n">
        <f aca="false">CALC!AV30</f>
        <v>0</v>
      </c>
      <c r="D29" s="65" t="n">
        <f aca="false">CALC!AW30</f>
        <v>0</v>
      </c>
      <c r="E29" s="65" t="n">
        <f aca="false">CALC!AX30</f>
        <v>0</v>
      </c>
      <c r="F29" s="65" t="n">
        <f aca="false">CALC!AY30</f>
        <v>0</v>
      </c>
    </row>
    <row r="30" customFormat="false" ht="12.8" hidden="false" customHeight="false" outlineLevel="0" collapsed="false">
      <c r="A30" s="41" t="str">
        <f aca="false">_xlfn.CONCAT($A$1, ".", CALC!A31)</f>
        <v>LSD.RID.0.AL.FPITREV.27</v>
      </c>
      <c r="B30" s="55" t="str">
        <f aca="false">_xlfn.CONCAT(CALC!B31, ":", CALC!C31)</f>
        <v>Media and Information Technology:Support</v>
      </c>
      <c r="C30" s="65" t="n">
        <f aca="false">CALC!AV31</f>
        <v>0</v>
      </c>
      <c r="D30" s="65" t="n">
        <f aca="false">CALC!AW31</f>
        <v>0</v>
      </c>
      <c r="E30" s="65" t="n">
        <f aca="false">CALC!AX31</f>
        <v>0</v>
      </c>
      <c r="F30" s="65" t="n">
        <f aca="false">CALC!AY31</f>
        <v>0</v>
      </c>
    </row>
    <row r="31" customFormat="false" ht="12.8" hidden="false" customHeight="false" outlineLevel="0" collapsed="false">
      <c r="A31" s="41" t="str">
        <f aca="false">_xlfn.CONCAT($A$1, ".", CALC!A32)</f>
        <v>LSD.RID.0.AL.FPITREV.28</v>
      </c>
      <c r="B31" s="55" t="str">
        <f aca="false">_xlfn.CONCAT(CALC!B32, ":", CALC!C32)</f>
        <v>Media and Information Technology:Worker</v>
      </c>
      <c r="C31" s="65" t="n">
        <f aca="false">CALC!AV32</f>
        <v>0</v>
      </c>
      <c r="D31" s="65" t="n">
        <f aca="false">CALC!AW32</f>
        <v>0</v>
      </c>
      <c r="E31" s="65" t="n">
        <f aca="false">CALC!AX32</f>
        <v>0</v>
      </c>
      <c r="F31" s="65" t="n">
        <f aca="false">CALC!AY32</f>
        <v>0</v>
      </c>
    </row>
    <row r="32" customFormat="false" ht="12.8" hidden="false" customHeight="false" outlineLevel="0" collapsed="false">
      <c r="A32" s="41" t="str">
        <f aca="false">_xlfn.CONCAT($A$1, ".", CALC!A33)</f>
        <v>LSD.RID.0.AL.FPITREV.29</v>
      </c>
      <c r="B32" s="55" t="str">
        <f aca="false">_xlfn.CONCAT(CALC!B33, ":", CALC!C33)</f>
        <v>Government:Support</v>
      </c>
      <c r="C32" s="65" t="n">
        <f aca="false">CALC!AV33</f>
        <v>0</v>
      </c>
      <c r="D32" s="65" t="n">
        <f aca="false">CALC!AW33</f>
        <v>0</v>
      </c>
      <c r="E32" s="65" t="n">
        <f aca="false">CALC!AX33</f>
        <v>0</v>
      </c>
      <c r="F32" s="65" t="n">
        <f aca="false">CALC!AY33</f>
        <v>0</v>
      </c>
    </row>
    <row r="33" customFormat="false" ht="12.8" hidden="false" customHeight="false" outlineLevel="0" collapsed="false">
      <c r="A33" s="41" t="str">
        <f aca="false">_xlfn.CONCAT($A$1, ".", CALC!A34)</f>
        <v>LSD.RID.0.AL.FPITREV.30</v>
      </c>
      <c r="B33" s="55" t="str">
        <f aca="false">_xlfn.CONCAT(CALC!B34, ":", CALC!C34)</f>
        <v>Government:Worker</v>
      </c>
      <c r="C33" s="65" t="n">
        <f aca="false">CALC!AV34</f>
        <v>0</v>
      </c>
      <c r="D33" s="65" t="n">
        <f aca="false">CALC!AW34</f>
        <v>0</v>
      </c>
      <c r="E33" s="65" t="n">
        <f aca="false">CALC!AX34</f>
        <v>0</v>
      </c>
      <c r="F33" s="65" t="n">
        <f aca="false">CALC!AY34</f>
        <v>0</v>
      </c>
    </row>
    <row r="34" customFormat="false" ht="12.8" hidden="false" customHeight="false" outlineLevel="0" collapsed="false">
      <c r="A34" s="41" t="str">
        <f aca="false">_xlfn.CONCAT($A$1, ".", CALC!A35)</f>
        <v>LSD.RID.0.AL.FPITREV.31</v>
      </c>
      <c r="B34" s="55" t="str">
        <f aca="false">_xlfn.CONCAT(CALC!B35, ":", CALC!C35)</f>
        <v>Self-Employed / Non-Employer:Support</v>
      </c>
      <c r="C34" s="65" t="n">
        <f aca="false">CALC!AV35</f>
        <v>0</v>
      </c>
      <c r="D34" s="65" t="n">
        <f aca="false">CALC!AW35</f>
        <v>0</v>
      </c>
      <c r="E34" s="65" t="n">
        <f aca="false">CALC!AX35</f>
        <v>0</v>
      </c>
      <c r="F34" s="65" t="n">
        <f aca="false">CALC!AY35</f>
        <v>0</v>
      </c>
    </row>
    <row r="35" customFormat="false" ht="12.8" hidden="false" customHeight="false" outlineLevel="0" collapsed="false">
      <c r="A35" s="41" t="str">
        <f aca="false">_xlfn.CONCAT($A$1, ".", CALC!A36)</f>
        <v>LSD.RID.0.AL.FPITREV.32</v>
      </c>
      <c r="B35" s="55" t="str">
        <f aca="false">_xlfn.CONCAT(CALC!B36, ":", CALC!C36)</f>
        <v>Self-Employed / Non-Employer:Worker</v>
      </c>
      <c r="C35" s="65" t="n">
        <f aca="false">CALC!AV36</f>
        <v>0</v>
      </c>
      <c r="D35" s="65" t="n">
        <f aca="false">CALC!AW36</f>
        <v>0</v>
      </c>
      <c r="E35" s="65" t="n">
        <f aca="false">CALC!AX36</f>
        <v>0</v>
      </c>
      <c r="F35" s="65" t="n">
        <f aca="false">CALC!AY36</f>
        <v>0</v>
      </c>
    </row>
    <row r="36" customFormat="false" ht="12.8" hidden="false" customHeight="false" outlineLevel="0" collapsed="false">
      <c r="A36" s="41" t="str">
        <f aca="false">_xlfn.CONCAT($A$1, ".", CALC!A37)</f>
        <v>LSD.RID.0.AL.FPITREV.33</v>
      </c>
      <c r="B36" s="55" t="str">
        <f aca="false">_xlfn.CONCAT(CALC!B37, ":", CALC!C37)</f>
        <v>Other Services:Support</v>
      </c>
      <c r="C36" s="65" t="n">
        <f aca="false">CALC!AV37</f>
        <v>0</v>
      </c>
      <c r="D36" s="65" t="n">
        <f aca="false">CALC!AW37</f>
        <v>0</v>
      </c>
      <c r="E36" s="65" t="n">
        <f aca="false">CALC!AX37</f>
        <v>0</v>
      </c>
      <c r="F36" s="65" t="n">
        <f aca="false">CALC!AY37</f>
        <v>0</v>
      </c>
    </row>
    <row r="37" customFormat="false" ht="12.8" hidden="false" customHeight="false" outlineLevel="0" collapsed="false">
      <c r="A37" s="41" t="str">
        <f aca="false">_xlfn.CONCAT($A$1, ".", CALC!A38)</f>
        <v>LSD.RID.0.AL.FPITREV.34</v>
      </c>
      <c r="B37" s="55" t="str">
        <f aca="false">_xlfn.CONCAT(CALC!B38, ":", CALC!C38)</f>
        <v>Other Services:Worker</v>
      </c>
      <c r="C37" s="65" t="n">
        <f aca="false">CALC!AV38</f>
        <v>0</v>
      </c>
      <c r="D37" s="65" t="n">
        <f aca="false">CALC!AW38</f>
        <v>0</v>
      </c>
      <c r="E37" s="65" t="n">
        <f aca="false">CALC!AX38</f>
        <v>0</v>
      </c>
      <c r="F37" s="65" t="n">
        <f aca="false">CALC!AY38</f>
        <v>0</v>
      </c>
    </row>
    <row r="38" customFormat="false" ht="12.8" hidden="false" customHeight="false" outlineLevel="0" collapsed="false">
      <c r="A38" s="41" t="str">
        <f aca="false">_xlfn.CONCAT($A$1, ".", CALC!A39)</f>
        <v>LSD.RID.0.AL.FPITREV.35</v>
      </c>
      <c r="B38" s="55" t="str">
        <f aca="false">_xlfn.CONCAT(CALC!B39, ":", CALC!C39)</f>
        <v>Mining, Quarrying, and Oil/Gas Extraction:Support</v>
      </c>
      <c r="C38" s="65" t="n">
        <f aca="false">CALC!AV39</f>
        <v>0</v>
      </c>
      <c r="D38" s="65" t="n">
        <f aca="false">CALC!AW39</f>
        <v>0</v>
      </c>
      <c r="E38" s="65" t="n">
        <f aca="false">CALC!AX39</f>
        <v>0</v>
      </c>
      <c r="F38" s="65" t="n">
        <f aca="false">CALC!AY39</f>
        <v>0</v>
      </c>
    </row>
    <row r="39" customFormat="false" ht="12.8" hidden="false" customHeight="false" outlineLevel="0" collapsed="false">
      <c r="A39" s="41" t="str">
        <f aca="false">_xlfn.CONCAT($A$1, ".", CALC!A40)</f>
        <v>LSD.RID.0.AL.FPITREV.36</v>
      </c>
      <c r="B39" s="55" t="str">
        <f aca="false">_xlfn.CONCAT(CALC!B40, ":", CALC!C40)</f>
        <v>Mining, Quarrying, and Oil/Gas Extraction:Worker</v>
      </c>
      <c r="C39" s="65" t="n">
        <f aca="false">CALC!AV40</f>
        <v>0</v>
      </c>
      <c r="D39" s="65" t="n">
        <f aca="false">CALC!AW40</f>
        <v>0</v>
      </c>
      <c r="E39" s="65" t="n">
        <f aca="false">CALC!AX40</f>
        <v>0</v>
      </c>
      <c r="F39" s="65" t="n">
        <f aca="false">CALC!AY40</f>
        <v>0</v>
      </c>
    </row>
    <row r="40" customFormat="false" ht="12.8" hidden="false" customHeight="false" outlineLevel="0" collapsed="false">
      <c r="A40" s="41" t="str">
        <f aca="false">_xlfn.CONCAT($A$1, ".", CALC!A41)</f>
        <v>LSD.RID.0.AL.FPITREV.37</v>
      </c>
      <c r="B40" s="55" t="str">
        <f aca="false">_xlfn.CONCAT(CALC!B41, ":", CALC!C41)</f>
        <v>Utilities:Support</v>
      </c>
      <c r="C40" s="65" t="n">
        <f aca="false">CALC!AV41</f>
        <v>0</v>
      </c>
      <c r="D40" s="65" t="n">
        <f aca="false">CALC!AW41</f>
        <v>0</v>
      </c>
      <c r="E40" s="65" t="n">
        <f aca="false">CALC!AX41</f>
        <v>0</v>
      </c>
      <c r="F40" s="65" t="n">
        <f aca="false">CALC!AY41</f>
        <v>0</v>
      </c>
    </row>
    <row r="41" customFormat="false" ht="12.8" hidden="false" customHeight="false" outlineLevel="0" collapsed="false">
      <c r="A41" s="41" t="str">
        <f aca="false">_xlfn.CONCAT($A$1, ".", CALC!A42)</f>
        <v>LSD.RID.0.AL.FPITREV.38</v>
      </c>
      <c r="B41" s="55" t="str">
        <f aca="false">_xlfn.CONCAT(CALC!B42, ":", CALC!C42)</f>
        <v>Utilities:Worker</v>
      </c>
      <c r="C41" s="65" t="n">
        <f aca="false">CALC!AV42</f>
        <v>0</v>
      </c>
      <c r="D41" s="65" t="n">
        <f aca="false">CALC!AW42</f>
        <v>0</v>
      </c>
      <c r="E41" s="65" t="n">
        <f aca="false">CALC!AX42</f>
        <v>0</v>
      </c>
      <c r="F41" s="65" t="n">
        <f aca="false">CALC!AY42</f>
        <v>0</v>
      </c>
    </row>
    <row r="42" customFormat="false" ht="12.8" hidden="false" customHeight="false" outlineLevel="0" collapsed="false">
      <c r="A42" s="41" t="str">
        <f aca="false">_xlfn.CONCAT($A$1, ".", CALC!A43)</f>
        <v>LSD.RID.0.AL.FPITREV.39</v>
      </c>
      <c r="B42" s="55" t="str">
        <f aca="false">_xlfn.CONCAT(CALC!B43, ":", CALC!C43)</f>
        <v>Wholesale Trade:Support</v>
      </c>
      <c r="C42" s="65" t="n">
        <f aca="false">CALC!AV43</f>
        <v>0</v>
      </c>
      <c r="D42" s="65" t="n">
        <f aca="false">CALC!AW43</f>
        <v>0</v>
      </c>
      <c r="E42" s="65" t="n">
        <f aca="false">CALC!AX43</f>
        <v>0</v>
      </c>
      <c r="F42" s="65" t="n">
        <f aca="false">CALC!AY43</f>
        <v>0</v>
      </c>
    </row>
    <row r="43" customFormat="false" ht="12.8" hidden="false" customHeight="false" outlineLevel="0" collapsed="false">
      <c r="A43" s="41" t="str">
        <f aca="false">_xlfn.CONCAT($A$1, ".", CALC!A44)</f>
        <v>LSD.RID.0.AL.FPITREV.40</v>
      </c>
      <c r="B43" s="55" t="str">
        <f aca="false">_xlfn.CONCAT(CALC!B44, ":", CALC!C44)</f>
        <v>Wholesale Trade:Worker</v>
      </c>
      <c r="C43" s="65" t="n">
        <f aca="false">CALC!AV44</f>
        <v>0</v>
      </c>
      <c r="D43" s="65" t="n">
        <f aca="false">CALC!AW44</f>
        <v>0</v>
      </c>
      <c r="E43" s="65" t="n">
        <f aca="false">CALC!AX44</f>
        <v>0</v>
      </c>
      <c r="F43" s="65" t="n">
        <f aca="false">CALC!AY44</f>
        <v>0</v>
      </c>
    </row>
    <row r="44" customFormat="false" ht="12.8" hidden="false" customHeight="false" outlineLevel="0" collapsed="false">
      <c r="A44" s="41" t="str">
        <f aca="false">_xlfn.CONCAT($A$1, ".", CALC!A45)</f>
        <v>LSD.RID.0.AL.FPITREV.41</v>
      </c>
      <c r="B44" s="55" t="str">
        <f aca="false">_xlfn.CONCAT(CALC!B45, ":", CALC!C45)</f>
        <v>Information:Support</v>
      </c>
      <c r="C44" s="65" t="n">
        <f aca="false">CALC!AV45</f>
        <v>0</v>
      </c>
      <c r="D44" s="65" t="n">
        <f aca="false">CALC!AW45</f>
        <v>0</v>
      </c>
      <c r="E44" s="65" t="n">
        <f aca="false">CALC!AX45</f>
        <v>0</v>
      </c>
      <c r="F44" s="65" t="n">
        <f aca="false">CALC!AY45</f>
        <v>0</v>
      </c>
    </row>
    <row r="45" customFormat="false" ht="12.8" hidden="false" customHeight="false" outlineLevel="0" collapsed="false">
      <c r="A45" s="41" t="str">
        <f aca="false">_xlfn.CONCAT($A$1, ".", CALC!A46)</f>
        <v>LSD.RID.0.AL.FPITREV.42</v>
      </c>
      <c r="B45" s="55" t="str">
        <f aca="false">_xlfn.CONCAT(CALC!B46, ":", CALC!C46)</f>
        <v>Information:Worker</v>
      </c>
      <c r="C45" s="65" t="n">
        <f aca="false">CALC!AV46</f>
        <v>0</v>
      </c>
      <c r="D45" s="65" t="n">
        <f aca="false">CALC!AW46</f>
        <v>0</v>
      </c>
      <c r="E45" s="65" t="n">
        <f aca="false">CALC!AX46</f>
        <v>0</v>
      </c>
      <c r="F45" s="65" t="n">
        <f aca="false">CALC!AY46</f>
        <v>0</v>
      </c>
    </row>
    <row r="46" customFormat="false" ht="12.8" hidden="false" customHeight="false" outlineLevel="0" collapsed="false">
      <c r="A46" s="41" t="str">
        <f aca="false">_xlfn.CONCAT($A$1, ".", CALC!A47)</f>
        <v>LSD.RID.0.AL.FPITREV.43</v>
      </c>
      <c r="B46" s="55" t="str">
        <f aca="false">_xlfn.CONCAT(CALC!B47, ":", CALC!C47)</f>
        <v>Real Estate, Rental and Leasing:Support</v>
      </c>
      <c r="C46" s="65" t="n">
        <f aca="false">CALC!AV47</f>
        <v>0</v>
      </c>
      <c r="D46" s="65" t="n">
        <f aca="false">CALC!AW47</f>
        <v>0</v>
      </c>
      <c r="E46" s="65" t="n">
        <f aca="false">CALC!AX47</f>
        <v>0</v>
      </c>
      <c r="F46" s="65" t="n">
        <f aca="false">CALC!AY47</f>
        <v>0</v>
      </c>
    </row>
    <row r="47" customFormat="false" ht="12.8" hidden="false" customHeight="false" outlineLevel="0" collapsed="false">
      <c r="A47" s="41" t="str">
        <f aca="false">_xlfn.CONCAT($A$1, ".", CALC!A48)</f>
        <v>LSD.RID.0.AL.FPITREV.44</v>
      </c>
      <c r="B47" s="55" t="str">
        <f aca="false">_xlfn.CONCAT(CALC!B48, ":", CALC!C48)</f>
        <v>Real Estate, Rental and Leasing:Worker</v>
      </c>
      <c r="C47" s="65" t="n">
        <f aca="false">CALC!AV48</f>
        <v>0</v>
      </c>
      <c r="D47" s="65" t="n">
        <f aca="false">CALC!AW48</f>
        <v>0</v>
      </c>
      <c r="E47" s="65" t="n">
        <f aca="false">CALC!AX48</f>
        <v>0</v>
      </c>
      <c r="F47" s="65" t="n">
        <f aca="false">CALC!AY48</f>
        <v>0</v>
      </c>
    </row>
    <row r="48" customFormat="false" ht="12.8" hidden="false" customHeight="false" outlineLevel="0" collapsed="false">
      <c r="A48" s="41" t="str">
        <f aca="false">_xlfn.CONCAT($A$1, ".", CALC!A49)</f>
        <v>LSD.RID.0.AL.FPITREV.45</v>
      </c>
      <c r="B48" s="55" t="str">
        <f aca="false">_xlfn.CONCAT(CALC!B49, ":", CALC!C49)</f>
        <v>Waste Management Services:Support</v>
      </c>
      <c r="C48" s="65" t="n">
        <f aca="false">CALC!AV49</f>
        <v>0</v>
      </c>
      <c r="D48" s="65" t="n">
        <f aca="false">CALC!AW49</f>
        <v>0</v>
      </c>
      <c r="E48" s="65" t="n">
        <f aca="false">CALC!AX49</f>
        <v>0</v>
      </c>
      <c r="F48" s="65" t="n">
        <f aca="false">CALC!AY49</f>
        <v>0</v>
      </c>
    </row>
    <row r="49" customFormat="false" ht="12.8" hidden="false" customHeight="false" outlineLevel="0" collapsed="false">
      <c r="A49" s="41" t="str">
        <f aca="false">_xlfn.CONCAT($A$1, ".", CALC!A50)</f>
        <v>LSD.RID.0.AL.FPITREV.46</v>
      </c>
      <c r="B49" s="55" t="str">
        <f aca="false">_xlfn.CONCAT(CALC!B50, ":", CALC!C50)</f>
        <v>Waste Management Services:Worker</v>
      </c>
      <c r="C49" s="65" t="n">
        <f aca="false">CALC!AV50</f>
        <v>0</v>
      </c>
      <c r="D49" s="65" t="n">
        <f aca="false">CALC!AW50</f>
        <v>0</v>
      </c>
      <c r="E49" s="65" t="n">
        <f aca="false">CALC!AX50</f>
        <v>0</v>
      </c>
      <c r="F49" s="65" t="n">
        <f aca="false">CALC!AY50</f>
        <v>0</v>
      </c>
    </row>
    <row r="50" customFormat="false" ht="12.8" hidden="false" customHeight="false" outlineLevel="0" collapsed="false">
      <c r="A50" s="41" t="str">
        <f aca="false">_xlfn.CONCAT($A$1, ".", CALC!A51)</f>
        <v>LSD.RID.0.AL.FPITREV.47</v>
      </c>
      <c r="B50" s="55" t="str">
        <f aca="false">_xlfn.CONCAT(CALC!B51, ":", CALC!C51)</f>
        <v>Arts, Entertainment, and Recreation:Support</v>
      </c>
      <c r="C50" s="65" t="n">
        <f aca="false">CALC!AV51</f>
        <v>0</v>
      </c>
      <c r="D50" s="65" t="n">
        <f aca="false">CALC!AW51</f>
        <v>0</v>
      </c>
      <c r="E50" s="65" t="n">
        <f aca="false">CALC!AX51</f>
        <v>0</v>
      </c>
      <c r="F50" s="65" t="n">
        <f aca="false">CALC!AY51</f>
        <v>0</v>
      </c>
    </row>
    <row r="51" customFormat="false" ht="12.8" hidden="false" customHeight="false" outlineLevel="0" collapsed="false">
      <c r="A51" s="41" t="str">
        <f aca="false">_xlfn.CONCAT($A$1, ".", CALC!A52)</f>
        <v>LSD.RID.0.AL.FPITREV.48</v>
      </c>
      <c r="B51" s="55" t="str">
        <f aca="false">_xlfn.CONCAT(CALC!B52, ":", CALC!C52)</f>
        <v>Arts, Entertainment, and Recreation:Worker</v>
      </c>
      <c r="C51" s="65" t="n">
        <f aca="false">CALC!AV52</f>
        <v>0</v>
      </c>
      <c r="D51" s="65" t="n">
        <f aca="false">CALC!AW52</f>
        <v>0</v>
      </c>
      <c r="E51" s="65" t="n">
        <f aca="false">CALC!AX52</f>
        <v>0</v>
      </c>
      <c r="F51" s="65" t="n">
        <f aca="false">CALC!AY52</f>
        <v>0</v>
      </c>
    </row>
    <row r="52" customFormat="false" ht="12.8" hidden="false" customHeight="false" outlineLevel="0" collapsed="false">
      <c r="A52" s="41" t="str">
        <f aca="false">_xlfn.CONCAT($A$1, ".", CALC!A53)</f>
        <v>LSD.RID.0.AL.FPITREV.49</v>
      </c>
      <c r="B52" s="55" t="str">
        <f aca="false">_xlfn.CONCAT(CALC!B53, ":", CALC!C53)</f>
        <v>Accommodation and Food Services:Support</v>
      </c>
      <c r="C52" s="65" t="n">
        <f aca="false">CALC!AV53</f>
        <v>0</v>
      </c>
      <c r="D52" s="65" t="n">
        <f aca="false">CALC!AW53</f>
        <v>0</v>
      </c>
      <c r="E52" s="65" t="n">
        <f aca="false">CALC!AX53</f>
        <v>0</v>
      </c>
      <c r="F52" s="65" t="n">
        <f aca="false">CALC!AY53</f>
        <v>0</v>
      </c>
    </row>
    <row r="53" customFormat="false" ht="12.8" hidden="false" customHeight="false" outlineLevel="0" collapsed="false">
      <c r="A53" s="41" t="str">
        <f aca="false">_xlfn.CONCAT($A$1, ".", CALC!A54)</f>
        <v>LSD.RID.0.AL.FPITREV.50</v>
      </c>
      <c r="B53" s="55" t="str">
        <f aca="false">_xlfn.CONCAT(CALC!B54, ":", CALC!C54)</f>
        <v>Accommodation and Food Services:Worker</v>
      </c>
      <c r="C53" s="65" t="n">
        <f aca="false">CALC!AV54</f>
        <v>0</v>
      </c>
      <c r="D53" s="65" t="n">
        <f aca="false">CALC!AW54</f>
        <v>0</v>
      </c>
      <c r="E53" s="65" t="n">
        <f aca="false">CALC!AX54</f>
        <v>0</v>
      </c>
      <c r="F53" s="65" t="n">
        <f aca="false">CALC!AY54</f>
        <v>0</v>
      </c>
    </row>
    <row r="54" customFormat="false" ht="12.8" hidden="false" customHeight="false" outlineLevel="0" collapsed="false">
      <c r="A54" s="41" t="str">
        <f aca="false">_xlfn.CONCAT($A$1, ".", CALC!A55)</f>
        <v>LSD.RID.0.AL.FPITREV.51</v>
      </c>
      <c r="B54" s="55" t="str">
        <f aca="false">_xlfn.CONCAT(CALC!B55, ":", CALC!C55)</f>
        <v>Public Administration:Support</v>
      </c>
      <c r="C54" s="65" t="n">
        <f aca="false">CALC!AV55</f>
        <v>0</v>
      </c>
      <c r="D54" s="65" t="n">
        <f aca="false">CALC!AW55</f>
        <v>0</v>
      </c>
      <c r="E54" s="65" t="n">
        <f aca="false">CALC!AX55</f>
        <v>0</v>
      </c>
      <c r="F54" s="65" t="n">
        <f aca="false">CALC!AY55</f>
        <v>0</v>
      </c>
    </row>
    <row r="55" customFormat="false" ht="12.8" hidden="false" customHeight="false" outlineLevel="0" collapsed="false">
      <c r="A55" s="41" t="str">
        <f aca="false">_xlfn.CONCAT($A$1, ".", CALC!A56)</f>
        <v>LSD.RID.0.AL.FPITREV.52</v>
      </c>
      <c r="B55" s="55" t="str">
        <f aca="false">_xlfn.CONCAT(CALC!B56, ":", CALC!C56)</f>
        <v>Public Administration:Worker</v>
      </c>
      <c r="C55" s="65" t="n">
        <f aca="false">CALC!AV56</f>
        <v>0</v>
      </c>
      <c r="D55" s="65" t="n">
        <f aca="false">CALC!AW56</f>
        <v>0</v>
      </c>
      <c r="E55" s="65" t="n">
        <f aca="false">CALC!AX56</f>
        <v>0</v>
      </c>
      <c r="F55" s="65" t="n">
        <f aca="false">CALC!AY56</f>
        <v>0</v>
      </c>
    </row>
    <row r="57" customFormat="false" ht="12.8" hidden="false" customHeight="false" outlineLevel="0" collapsed="false">
      <c r="B57" s="3"/>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429"/>
    <pageSetUpPr fitToPage="false"/>
  </sheetPr>
  <dimension ref="A1:BP247"/>
  <sheetViews>
    <sheetView showFormulas="false" showGridLines="true" showRowColHeaders="true" showZeros="true" rightToLeft="false" tabSelected="false" showOutlineSymbols="true" defaultGridColor="true" view="normal" topLeftCell="A109" colorId="64" zoomScale="65" zoomScaleNormal="65" zoomScalePageLayoutView="100" workbookViewId="0">
      <selection pane="topLeft" activeCell="A152" activeCellId="0" sqref="A152"/>
    </sheetView>
  </sheetViews>
  <sheetFormatPr defaultColWidth="11.53515625" defaultRowHeight="12.8" customHeight="false" zeroHeight="false" outlineLevelRow="1" outlineLevelCol="0"/>
  <cols>
    <col collapsed="false" customWidth="false" hidden="false" outlineLevel="0" max="1" min="1" style="41" width="11.53"/>
    <col collapsed="false" customWidth="true" hidden="false" outlineLevel="0" max="2" min="2" style="26" width="36.9"/>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23.85" hidden="false" customHeight="false" outlineLevel="0" collapsed="false">
      <c r="A1" s="4" t="s">
        <v>2164</v>
      </c>
      <c r="B1" s="47" t="s">
        <v>2165</v>
      </c>
      <c r="C1" s="6" t="s">
        <v>2</v>
      </c>
      <c r="D1" s="51" t="s">
        <v>2166</v>
      </c>
      <c r="AZ1" s="26"/>
      <c r="BP1" s="26"/>
    </row>
    <row r="2" customFormat="false" ht="46.25" hidden="false" customHeight="false" outlineLevel="0" collapsed="false">
      <c r="A2" s="52" t="s">
        <v>2140</v>
      </c>
      <c r="B2" s="47" t="s">
        <v>2141</v>
      </c>
      <c r="C2" s="64" t="str">
        <f aca="false">CALC!AV3</f>
        <v>Federal Personal Income Tax Revenue ($)</v>
      </c>
      <c r="D2" s="64" t="str">
        <f aca="false">CALC!AW3</f>
        <v>Authorized Immigrant Federal Personal Income Tax Revenue ($)</v>
      </c>
      <c r="E2" s="64" t="str">
        <f aca="false">CALC!AX3</f>
        <v>Unauthorized Immigrant Federal Personal Income Tax Revenue ($)</v>
      </c>
      <c r="F2" s="64" t="str">
        <f aca="false">CALC!AY3</f>
        <v>American Federal Personal Income Tax Revenue ($)</v>
      </c>
    </row>
    <row r="3" customFormat="false" ht="12.8" hidden="false" customHeight="false" outlineLevel="0" collapsed="false">
      <c r="A3" s="4" t="str">
        <f aca="false">_xlfn.CONCAT($A$1, ".", CALC!A4)</f>
        <v>LSD.RID.0.AL.FPPTR.0</v>
      </c>
      <c r="B3" s="58" t="str">
        <f aca="false">_xlfn.CONCAT(CALC!B4, ":", CALC!C4)</f>
        <v>All Industries:All Roles</v>
      </c>
      <c r="C3" s="64" t="n">
        <f aca="false">CALC!AV4</f>
        <v>0</v>
      </c>
      <c r="D3" s="64" t="n">
        <f aca="false">CALC!AW4</f>
        <v>0</v>
      </c>
      <c r="E3" s="64" t="n">
        <f aca="false">CALC!AX4</f>
        <v>0</v>
      </c>
      <c r="F3" s="64" t="n">
        <f aca="false">CALC!AY4</f>
        <v>0</v>
      </c>
    </row>
    <row r="4" customFormat="false" ht="12.8" hidden="false" customHeight="false" outlineLevel="0" collapsed="false">
      <c r="A4" s="41" t="str">
        <f aca="false">_xlfn.CONCAT($A$1, ".", CALC!A5)</f>
        <v>LSD.RID.0.AL.FPPTR.1</v>
      </c>
      <c r="B4" s="55" t="str">
        <f aca="false">_xlfn.CONCAT(CALC!B5, ":", CALC!C5)</f>
        <v>Agriculture:Support</v>
      </c>
      <c r="C4" s="65" t="n">
        <f aca="false">CALC!AV5</f>
        <v>0</v>
      </c>
      <c r="D4" s="65" t="n">
        <f aca="false">CALC!AW5</f>
        <v>0</v>
      </c>
      <c r="E4" s="65" t="n">
        <f aca="false">CALC!AX5</f>
        <v>0</v>
      </c>
      <c r="F4" s="65" t="n">
        <f aca="false">CALC!AY5</f>
        <v>0</v>
      </c>
    </row>
    <row r="5" customFormat="false" ht="12.8" hidden="false" customHeight="false" outlineLevel="0" collapsed="false">
      <c r="A5" s="41" t="str">
        <f aca="false">_xlfn.CONCAT($A$1, ".", CALC!A6)</f>
        <v>LSD.RID.0.AL.FPPTR.2</v>
      </c>
      <c r="B5" s="55" t="str">
        <f aca="false">_xlfn.CONCAT(CALC!B6, ":", CALC!C6)</f>
        <v>Agriculture:Worker</v>
      </c>
      <c r="C5" s="65" t="n">
        <f aca="false">CALC!AV6</f>
        <v>0</v>
      </c>
      <c r="D5" s="65" t="n">
        <f aca="false">CALC!AW6</f>
        <v>0</v>
      </c>
      <c r="E5" s="65" t="n">
        <f aca="false">CALC!AX6</f>
        <v>0</v>
      </c>
      <c r="F5" s="65" t="n">
        <f aca="false">CALC!AY6</f>
        <v>0</v>
      </c>
    </row>
    <row r="6" customFormat="false" ht="12.8" hidden="false" customHeight="false" outlineLevel="0" collapsed="false">
      <c r="A6" s="41" t="str">
        <f aca="false">_xlfn.CONCAT($A$1, ".", CALC!A7)</f>
        <v>LSD.RID.0.AL.FPPTR.3</v>
      </c>
      <c r="B6" s="55" t="str">
        <f aca="false">_xlfn.CONCAT(CALC!B7, ":", CALC!C7)</f>
        <v>Construction:Support</v>
      </c>
      <c r="C6" s="65" t="n">
        <f aca="false">CALC!AV7</f>
        <v>0</v>
      </c>
      <c r="D6" s="65" t="n">
        <f aca="false">CALC!AW7</f>
        <v>0</v>
      </c>
      <c r="E6" s="65" t="n">
        <f aca="false">CALC!AX7</f>
        <v>0</v>
      </c>
      <c r="F6" s="65" t="n">
        <f aca="false">CALC!AY7</f>
        <v>0</v>
      </c>
    </row>
    <row r="7" customFormat="false" ht="12.8" hidden="false" customHeight="false" outlineLevel="0" collapsed="false">
      <c r="A7" s="41" t="str">
        <f aca="false">_xlfn.CONCAT($A$1, ".", CALC!A8)</f>
        <v>LSD.RID.0.AL.FPPTR.4</v>
      </c>
      <c r="B7" s="55" t="str">
        <f aca="false">_xlfn.CONCAT(CALC!B8, ":", CALC!C8)</f>
        <v>Construction:Worker</v>
      </c>
      <c r="C7" s="65" t="n">
        <f aca="false">CALC!AV8</f>
        <v>0</v>
      </c>
      <c r="D7" s="65" t="n">
        <f aca="false">CALC!AW8</f>
        <v>0</v>
      </c>
      <c r="E7" s="65" t="n">
        <f aca="false">CALC!AX8</f>
        <v>0</v>
      </c>
      <c r="F7" s="65" t="n">
        <f aca="false">CALC!AY8</f>
        <v>0</v>
      </c>
    </row>
    <row r="8" customFormat="false" ht="12.8" hidden="false" customHeight="false" outlineLevel="0" collapsed="false">
      <c r="A8" s="41" t="str">
        <f aca="false">_xlfn.CONCAT($A$1, ".", CALC!A9)</f>
        <v>LSD.RID.0.AL.FPPTR.5</v>
      </c>
      <c r="B8" s="55" t="str">
        <f aca="false">_xlfn.CONCAT(CALC!B9, ":", CALC!C9)</f>
        <v>Hospitality:Support</v>
      </c>
      <c r="C8" s="65" t="n">
        <f aca="false">CALC!AV9</f>
        <v>0</v>
      </c>
      <c r="D8" s="65" t="n">
        <f aca="false">CALC!AW9</f>
        <v>0</v>
      </c>
      <c r="E8" s="65" t="n">
        <f aca="false">CALC!AX9</f>
        <v>0</v>
      </c>
      <c r="F8" s="65" t="n">
        <f aca="false">CALC!AY9</f>
        <v>0</v>
      </c>
    </row>
    <row r="9" customFormat="false" ht="12.8" hidden="false" customHeight="false" outlineLevel="0" collapsed="false">
      <c r="A9" s="41" t="str">
        <f aca="false">_xlfn.CONCAT($A$1, ".", CALC!A10)</f>
        <v>LSD.RID.0.AL.FPPTR.6</v>
      </c>
      <c r="B9" s="55" t="str">
        <f aca="false">_xlfn.CONCAT(CALC!B10, ":", CALC!C10)</f>
        <v>Hospitality:Worker</v>
      </c>
      <c r="C9" s="65" t="n">
        <f aca="false">CALC!AV10</f>
        <v>0</v>
      </c>
      <c r="D9" s="65" t="n">
        <f aca="false">CALC!AW10</f>
        <v>0</v>
      </c>
      <c r="E9" s="65" t="n">
        <f aca="false">CALC!AX10</f>
        <v>0</v>
      </c>
      <c r="F9" s="65" t="n">
        <f aca="false">CALC!AY10</f>
        <v>0</v>
      </c>
    </row>
    <row r="10" customFormat="false" ht="12.8" hidden="false" customHeight="false" outlineLevel="0" collapsed="false">
      <c r="A10" s="41" t="str">
        <f aca="false">_xlfn.CONCAT($A$1, ".", CALC!A11)</f>
        <v>LSD.RID.0.AL.FPPTR.7</v>
      </c>
      <c r="B10" s="55" t="str">
        <f aca="false">_xlfn.CONCAT(CALC!B11, ":", CALC!C11)</f>
        <v>Cleaning &amp; Maintenance:Support</v>
      </c>
      <c r="C10" s="65" t="n">
        <f aca="false">CALC!AV11</f>
        <v>0</v>
      </c>
      <c r="D10" s="65" t="n">
        <f aca="false">CALC!AW11</f>
        <v>0</v>
      </c>
      <c r="E10" s="65" t="n">
        <f aca="false">CALC!AX11</f>
        <v>0</v>
      </c>
      <c r="F10" s="65" t="n">
        <f aca="false">CALC!AY11</f>
        <v>0</v>
      </c>
    </row>
    <row r="11" customFormat="false" ht="12.8" hidden="false" customHeight="false" outlineLevel="0" collapsed="false">
      <c r="A11" s="41" t="str">
        <f aca="false">_xlfn.CONCAT($A$1, ".", CALC!A12)</f>
        <v>LSD.RID.0.AL.FPPTR.8</v>
      </c>
      <c r="B11" s="55" t="str">
        <f aca="false">_xlfn.CONCAT(CALC!B12, ":", CALC!C12)</f>
        <v>Cleaning &amp; Maintenance:Worker</v>
      </c>
      <c r="C11" s="65" t="n">
        <f aca="false">CALC!AV12</f>
        <v>0</v>
      </c>
      <c r="D11" s="65" t="n">
        <f aca="false">CALC!AW12</f>
        <v>0</v>
      </c>
      <c r="E11" s="65" t="n">
        <f aca="false">CALC!AX12</f>
        <v>0</v>
      </c>
      <c r="F11" s="65" t="n">
        <f aca="false">CALC!AY12</f>
        <v>0</v>
      </c>
    </row>
    <row r="12" customFormat="false" ht="12.8" hidden="false" customHeight="false" outlineLevel="0" collapsed="false">
      <c r="A12" s="41" t="str">
        <f aca="false">_xlfn.CONCAT($A$1, ".", CALC!A13)</f>
        <v>LSD.RID.0.AL.FPPTR.9</v>
      </c>
      <c r="B12" s="55" t="str">
        <f aca="false">_xlfn.CONCAT(CALC!B13, ":", CALC!C13)</f>
        <v>Manufacturing:Support</v>
      </c>
      <c r="C12" s="65" t="n">
        <f aca="false">CALC!AV13</f>
        <v>0</v>
      </c>
      <c r="D12" s="65" t="n">
        <f aca="false">CALC!AW13</f>
        <v>0</v>
      </c>
      <c r="E12" s="65" t="n">
        <f aca="false">CALC!AX13</f>
        <v>0</v>
      </c>
      <c r="F12" s="65" t="n">
        <f aca="false">CALC!AY13</f>
        <v>0</v>
      </c>
    </row>
    <row r="13" customFormat="false" ht="12.8" hidden="false" customHeight="false" outlineLevel="0" collapsed="false">
      <c r="A13" s="41" t="str">
        <f aca="false">_xlfn.CONCAT($A$1, ".", CALC!A14)</f>
        <v>LSD.RID.0.AL.FPPTR.10</v>
      </c>
      <c r="B13" s="55" t="str">
        <f aca="false">_xlfn.CONCAT(CALC!B14, ":", CALC!C14)</f>
        <v>Manufacturing:Worker</v>
      </c>
      <c r="C13" s="65" t="n">
        <f aca="false">CALC!AV14</f>
        <v>0</v>
      </c>
      <c r="D13" s="65" t="n">
        <f aca="false">CALC!AW14</f>
        <v>0</v>
      </c>
      <c r="E13" s="65" t="n">
        <f aca="false">CALC!AX14</f>
        <v>0</v>
      </c>
      <c r="F13" s="65" t="n">
        <f aca="false">CALC!AY14</f>
        <v>0</v>
      </c>
    </row>
    <row r="14" customFormat="false" ht="12.8" hidden="false" customHeight="false" outlineLevel="0" collapsed="false">
      <c r="A14" s="41" t="str">
        <f aca="false">_xlfn.CONCAT($A$1, ".", CALC!A15)</f>
        <v>LSD.RID.0.AL.FPPTR.11</v>
      </c>
      <c r="B14" s="55" t="str">
        <f aca="false">_xlfn.CONCAT(CALC!B15, ":", CALC!C15)</f>
        <v>Transportation &amp; Warehousing:Support</v>
      </c>
      <c r="C14" s="65" t="n">
        <f aca="false">CALC!AV15</f>
        <v>0</v>
      </c>
      <c r="D14" s="65" t="n">
        <f aca="false">CALC!AW15</f>
        <v>0</v>
      </c>
      <c r="E14" s="65" t="n">
        <f aca="false">CALC!AX15</f>
        <v>0</v>
      </c>
      <c r="F14" s="65" t="n">
        <f aca="false">CALC!AY15</f>
        <v>0</v>
      </c>
    </row>
    <row r="15" customFormat="false" ht="12.8" hidden="false" customHeight="false" outlineLevel="0" collapsed="false">
      <c r="A15" s="41" t="str">
        <f aca="false">_xlfn.CONCAT($A$1, ".", CALC!A16)</f>
        <v>LSD.RID.0.AL.FPPTR.12</v>
      </c>
      <c r="B15" s="55" t="str">
        <f aca="false">_xlfn.CONCAT(CALC!B16, ":", CALC!C16)</f>
        <v>Transportation &amp; Warehousing:Worker</v>
      </c>
      <c r="C15" s="65" t="n">
        <f aca="false">CALC!AV16</f>
        <v>0</v>
      </c>
      <c r="D15" s="65" t="n">
        <f aca="false">CALC!AW16</f>
        <v>0</v>
      </c>
      <c r="E15" s="65" t="n">
        <f aca="false">CALC!AX16</f>
        <v>0</v>
      </c>
      <c r="F15" s="65" t="n">
        <f aca="false">CALC!AY16</f>
        <v>0</v>
      </c>
    </row>
    <row r="16" customFormat="false" ht="12.8" hidden="false" customHeight="false" outlineLevel="0" collapsed="false">
      <c r="A16" s="41" t="str">
        <f aca="false">_xlfn.CONCAT($A$1, ".", CALC!A17)</f>
        <v>LSD.RID.0.AL.FPPTR.13</v>
      </c>
      <c r="B16" s="55" t="str">
        <f aca="false">_xlfn.CONCAT(CALC!B17, ":", CALC!C17)</f>
        <v>Retail Trade:Support</v>
      </c>
      <c r="C16" s="65" t="n">
        <f aca="false">CALC!AV17</f>
        <v>0</v>
      </c>
      <c r="D16" s="65" t="n">
        <f aca="false">CALC!AW17</f>
        <v>0</v>
      </c>
      <c r="E16" s="65" t="n">
        <f aca="false">CALC!AX17</f>
        <v>0</v>
      </c>
      <c r="F16" s="65" t="n">
        <f aca="false">CALC!AY17</f>
        <v>0</v>
      </c>
    </row>
    <row r="17" customFormat="false" ht="12.8" hidden="false" customHeight="false" outlineLevel="0" collapsed="false">
      <c r="A17" s="41" t="str">
        <f aca="false">_xlfn.CONCAT($A$1, ".", CALC!A18)</f>
        <v>LSD.RID.0.AL.FPPTR.14</v>
      </c>
      <c r="B17" s="55" t="str">
        <f aca="false">_xlfn.CONCAT(CALC!B18, ":", CALC!C18)</f>
        <v>Retail Trade:Worker</v>
      </c>
      <c r="C17" s="65" t="n">
        <f aca="false">CALC!AV18</f>
        <v>0</v>
      </c>
      <c r="D17" s="65" t="n">
        <f aca="false">CALC!AW18</f>
        <v>0</v>
      </c>
      <c r="E17" s="65" t="n">
        <f aca="false">CALC!AX18</f>
        <v>0</v>
      </c>
      <c r="F17" s="65" t="n">
        <f aca="false">CALC!AY18</f>
        <v>0</v>
      </c>
    </row>
    <row r="18" customFormat="false" ht="12.8" hidden="false" customHeight="false" outlineLevel="0" collapsed="false">
      <c r="A18" s="41" t="str">
        <f aca="false">_xlfn.CONCAT($A$1, ".", CALC!A19)</f>
        <v>LSD.RID.0.AL.FPPTR.15</v>
      </c>
      <c r="B18" s="55" t="str">
        <f aca="false">_xlfn.CONCAT(CALC!B19, ":", CALC!C19)</f>
        <v>Landscaping / Groundskeeping:Support</v>
      </c>
      <c r="C18" s="65" t="n">
        <f aca="false">CALC!AV19</f>
        <v>0</v>
      </c>
      <c r="D18" s="65" t="n">
        <f aca="false">CALC!AW19</f>
        <v>0</v>
      </c>
      <c r="E18" s="65" t="n">
        <f aca="false">CALC!AX19</f>
        <v>0</v>
      </c>
      <c r="F18" s="65" t="n">
        <f aca="false">CALC!AY19</f>
        <v>0</v>
      </c>
    </row>
    <row r="19" customFormat="false" ht="12.8" hidden="false" customHeight="false" outlineLevel="0" collapsed="false">
      <c r="A19" s="41" t="str">
        <f aca="false">_xlfn.CONCAT($A$1, ".", CALC!A20)</f>
        <v>LSD.RID.0.AL.FPPTR.16</v>
      </c>
      <c r="B19" s="55" t="str">
        <f aca="false">_xlfn.CONCAT(CALC!B20, ":", CALC!C20)</f>
        <v>Landscaping / Groundskeeping:Worker</v>
      </c>
      <c r="C19" s="65" t="n">
        <f aca="false">CALC!AV20</f>
        <v>0</v>
      </c>
      <c r="D19" s="65" t="n">
        <f aca="false">CALC!AW20</f>
        <v>0</v>
      </c>
      <c r="E19" s="65" t="n">
        <f aca="false">CALC!AX20</f>
        <v>0</v>
      </c>
      <c r="F19" s="65" t="n">
        <f aca="false">CALC!AY20</f>
        <v>0</v>
      </c>
    </row>
    <row r="20" customFormat="false" ht="12.8" hidden="false" customHeight="false" outlineLevel="0" collapsed="false">
      <c r="A20" s="41" t="str">
        <f aca="false">_xlfn.CONCAT($A$1, ".", CALC!A21)</f>
        <v>LSD.RID.0.AL.FPPTR.17</v>
      </c>
      <c r="B20" s="55" t="str">
        <f aca="false">_xlfn.CONCAT(CALC!B21, ":", CALC!C21)</f>
        <v>Automotive &amp; Repair:Support</v>
      </c>
      <c r="C20" s="65" t="n">
        <f aca="false">CALC!AV21</f>
        <v>0</v>
      </c>
      <c r="D20" s="65" t="n">
        <f aca="false">CALC!AW21</f>
        <v>0</v>
      </c>
      <c r="E20" s="65" t="n">
        <f aca="false">CALC!AX21</f>
        <v>0</v>
      </c>
      <c r="F20" s="65" t="n">
        <f aca="false">CALC!AY21</f>
        <v>0</v>
      </c>
    </row>
    <row r="21" customFormat="false" ht="12.8" hidden="false" customHeight="false" outlineLevel="0" collapsed="false">
      <c r="A21" s="41" t="str">
        <f aca="false">_xlfn.CONCAT($A$1, ".", CALC!A22)</f>
        <v>LSD.RID.0.AL.FPPTR.18</v>
      </c>
      <c r="B21" s="55" t="str">
        <f aca="false">_xlfn.CONCAT(CALC!B22, ":", CALC!C22)</f>
        <v>Automotive &amp; Repair:Worker</v>
      </c>
      <c r="C21" s="65" t="n">
        <f aca="false">CALC!AV22</f>
        <v>0</v>
      </c>
      <c r="D21" s="65" t="n">
        <f aca="false">CALC!AW22</f>
        <v>0</v>
      </c>
      <c r="E21" s="65" t="n">
        <f aca="false">CALC!AX22</f>
        <v>0</v>
      </c>
      <c r="F21" s="65" t="n">
        <f aca="false">CALC!AY22</f>
        <v>0</v>
      </c>
    </row>
    <row r="22" customFormat="false" ht="12.8" hidden="false" customHeight="false" outlineLevel="0" collapsed="false">
      <c r="A22" s="41" t="str">
        <f aca="false">_xlfn.CONCAT($A$1, ".", CALC!A23)</f>
        <v>LSD.RID.0.AL.FPPTR.19</v>
      </c>
      <c r="B22" s="55" t="str">
        <f aca="false">_xlfn.CONCAT(CALC!B23, ":", CALC!C23)</f>
        <v>Healthcare &amp; Social Assistance:Support</v>
      </c>
      <c r="C22" s="65" t="n">
        <f aca="false">CALC!AV23</f>
        <v>0</v>
      </c>
      <c r="D22" s="65" t="n">
        <f aca="false">CALC!AW23</f>
        <v>0</v>
      </c>
      <c r="E22" s="65" t="n">
        <f aca="false">CALC!AX23</f>
        <v>0</v>
      </c>
      <c r="F22" s="65" t="n">
        <f aca="false">CALC!AY23</f>
        <v>0</v>
      </c>
    </row>
    <row r="23" customFormat="false" ht="12.8" hidden="false" customHeight="false" outlineLevel="0" collapsed="false">
      <c r="A23" s="41" t="str">
        <f aca="false">_xlfn.CONCAT($A$1, ".", CALC!A24)</f>
        <v>LSD.RID.0.AL.FPPTR.20</v>
      </c>
      <c r="B23" s="55" t="str">
        <f aca="false">_xlfn.CONCAT(CALC!B24, ":", CALC!C24)</f>
        <v>Healthcare &amp; Social Assistance:Worker</v>
      </c>
      <c r="C23" s="65" t="n">
        <f aca="false">CALC!AV24</f>
        <v>0</v>
      </c>
      <c r="D23" s="65" t="n">
        <f aca="false">CALC!AW24</f>
        <v>0</v>
      </c>
      <c r="E23" s="65" t="n">
        <f aca="false">CALC!AX24</f>
        <v>0</v>
      </c>
      <c r="F23" s="65" t="n">
        <f aca="false">CALC!AY24</f>
        <v>0</v>
      </c>
    </row>
    <row r="24" customFormat="false" ht="12.8" hidden="false" customHeight="false" outlineLevel="0" collapsed="false">
      <c r="A24" s="41" t="str">
        <f aca="false">_xlfn.CONCAT($A$1, ".", CALC!A25)</f>
        <v>LSD.RID.0.AL.FPPTR.21</v>
      </c>
      <c r="B24" s="55" t="str">
        <f aca="false">_xlfn.CONCAT(CALC!B25, ":", CALC!C25)</f>
        <v>Professional Services:Support</v>
      </c>
      <c r="C24" s="65" t="n">
        <f aca="false">CALC!AV25</f>
        <v>0</v>
      </c>
      <c r="D24" s="65" t="n">
        <f aca="false">CALC!AW25</f>
        <v>0</v>
      </c>
      <c r="E24" s="65" t="n">
        <f aca="false">CALC!AX25</f>
        <v>0</v>
      </c>
      <c r="F24" s="65" t="n">
        <f aca="false">CALC!AY25</f>
        <v>0</v>
      </c>
    </row>
    <row r="25" customFormat="false" ht="12.8" hidden="false" customHeight="false" outlineLevel="0" collapsed="false">
      <c r="A25" s="41" t="str">
        <f aca="false">_xlfn.CONCAT($A$1, ".", CALC!A26)</f>
        <v>LSD.RID.0.AL.FPPTR.22</v>
      </c>
      <c r="B25" s="55" t="str">
        <f aca="false">_xlfn.CONCAT(CALC!B26, ":", CALC!C26)</f>
        <v>Professional Services:Worker</v>
      </c>
      <c r="C25" s="65" t="n">
        <f aca="false">CALC!AV26</f>
        <v>0</v>
      </c>
      <c r="D25" s="65" t="n">
        <f aca="false">CALC!AW26</f>
        <v>0</v>
      </c>
      <c r="E25" s="65" t="n">
        <f aca="false">CALC!AX26</f>
        <v>0</v>
      </c>
      <c r="F25" s="65" t="n">
        <f aca="false">CALC!AY26</f>
        <v>0</v>
      </c>
    </row>
    <row r="26" customFormat="false" ht="12.8" hidden="false" customHeight="false" outlineLevel="0" collapsed="false">
      <c r="A26" s="41" t="str">
        <f aca="false">_xlfn.CONCAT($A$1, ".", CALC!A27)</f>
        <v>LSD.RID.0.AL.FPPTR.23</v>
      </c>
      <c r="B26" s="55" t="str">
        <f aca="false">_xlfn.CONCAT(CALC!B27, ":", CALC!C27)</f>
        <v>Educational Services:Support</v>
      </c>
      <c r="C26" s="65" t="n">
        <f aca="false">CALC!AV27</f>
        <v>0</v>
      </c>
      <c r="D26" s="65" t="n">
        <f aca="false">CALC!AW27</f>
        <v>0</v>
      </c>
      <c r="E26" s="65" t="n">
        <f aca="false">CALC!AX27</f>
        <v>0</v>
      </c>
      <c r="F26" s="65" t="n">
        <f aca="false">CALC!AY27</f>
        <v>0</v>
      </c>
    </row>
    <row r="27" customFormat="false" ht="12.8" hidden="false" customHeight="false" outlineLevel="0" collapsed="false">
      <c r="A27" s="41" t="str">
        <f aca="false">_xlfn.CONCAT($A$1, ".", CALC!A28)</f>
        <v>LSD.RID.0.AL.FPPTR.24</v>
      </c>
      <c r="B27" s="55" t="str">
        <f aca="false">_xlfn.CONCAT(CALC!B28, ":", CALC!C28)</f>
        <v>Educational Services:Worker</v>
      </c>
      <c r="C27" s="65" t="n">
        <f aca="false">CALC!AV28</f>
        <v>0</v>
      </c>
      <c r="D27" s="65" t="n">
        <f aca="false">CALC!AW28</f>
        <v>0</v>
      </c>
      <c r="E27" s="65" t="n">
        <f aca="false">CALC!AX28</f>
        <v>0</v>
      </c>
      <c r="F27" s="65" t="n">
        <f aca="false">CALC!AY28</f>
        <v>0</v>
      </c>
    </row>
    <row r="28" customFormat="false" ht="12.8" hidden="false" customHeight="false" outlineLevel="0" collapsed="false">
      <c r="A28" s="41" t="str">
        <f aca="false">_xlfn.CONCAT($A$1, ".", CALC!A29)</f>
        <v>LSD.RID.0.AL.FPPTR.25</v>
      </c>
      <c r="B28" s="55" t="str">
        <f aca="false">_xlfn.CONCAT(CALC!B29, ":", CALC!C29)</f>
        <v>Finance &amp; Insurance:Support</v>
      </c>
      <c r="C28" s="65" t="n">
        <f aca="false">CALC!AV29</f>
        <v>0</v>
      </c>
      <c r="D28" s="65" t="n">
        <f aca="false">CALC!AW29</f>
        <v>0</v>
      </c>
      <c r="E28" s="65" t="n">
        <f aca="false">CALC!AX29</f>
        <v>0</v>
      </c>
      <c r="F28" s="65" t="n">
        <f aca="false">CALC!AY29</f>
        <v>0</v>
      </c>
    </row>
    <row r="29" customFormat="false" ht="12.8" hidden="false" customHeight="false" outlineLevel="0" collapsed="false">
      <c r="A29" s="41" t="str">
        <f aca="false">_xlfn.CONCAT($A$1, ".", CALC!A30)</f>
        <v>LSD.RID.0.AL.FPPTR.26</v>
      </c>
      <c r="B29" s="55" t="str">
        <f aca="false">_xlfn.CONCAT(CALC!B30, ":", CALC!C30)</f>
        <v>Finance &amp; Insurance:Worker</v>
      </c>
      <c r="C29" s="65" t="n">
        <f aca="false">CALC!AV30</f>
        <v>0</v>
      </c>
      <c r="D29" s="65" t="n">
        <f aca="false">CALC!AW30</f>
        <v>0</v>
      </c>
      <c r="E29" s="65" t="n">
        <f aca="false">CALC!AX30</f>
        <v>0</v>
      </c>
      <c r="F29" s="65" t="n">
        <f aca="false">CALC!AY30</f>
        <v>0</v>
      </c>
    </row>
    <row r="30" customFormat="false" ht="12.8" hidden="false" customHeight="false" outlineLevel="0" collapsed="false">
      <c r="A30" s="41" t="str">
        <f aca="false">_xlfn.CONCAT($A$1, ".", CALC!A31)</f>
        <v>LSD.RID.0.AL.FPPTR.27</v>
      </c>
      <c r="B30" s="55" t="str">
        <f aca="false">_xlfn.CONCAT(CALC!B31, ":", CALC!C31)</f>
        <v>Media and Information Technology:Support</v>
      </c>
      <c r="C30" s="65" t="n">
        <f aca="false">CALC!AV31</f>
        <v>0</v>
      </c>
      <c r="D30" s="65" t="n">
        <f aca="false">CALC!AW31</f>
        <v>0</v>
      </c>
      <c r="E30" s="65" t="n">
        <f aca="false">CALC!AX31</f>
        <v>0</v>
      </c>
      <c r="F30" s="65" t="n">
        <f aca="false">CALC!AY31</f>
        <v>0</v>
      </c>
    </row>
    <row r="31" customFormat="false" ht="12.8" hidden="false" customHeight="false" outlineLevel="0" collapsed="false">
      <c r="A31" s="41" t="str">
        <f aca="false">_xlfn.CONCAT($A$1, ".", CALC!A32)</f>
        <v>LSD.RID.0.AL.FPPTR.28</v>
      </c>
      <c r="B31" s="55" t="str">
        <f aca="false">_xlfn.CONCAT(CALC!B32, ":", CALC!C32)</f>
        <v>Media and Information Technology:Worker</v>
      </c>
      <c r="C31" s="65" t="n">
        <f aca="false">CALC!AV32</f>
        <v>0</v>
      </c>
      <c r="D31" s="65" t="n">
        <f aca="false">CALC!AW32</f>
        <v>0</v>
      </c>
      <c r="E31" s="65" t="n">
        <f aca="false">CALC!AX32</f>
        <v>0</v>
      </c>
      <c r="F31" s="65" t="n">
        <f aca="false">CALC!AY32</f>
        <v>0</v>
      </c>
    </row>
    <row r="32" customFormat="false" ht="12.8" hidden="false" customHeight="false" outlineLevel="0" collapsed="false">
      <c r="A32" s="41" t="str">
        <f aca="false">_xlfn.CONCAT($A$1, ".", CALC!A33)</f>
        <v>LSD.RID.0.AL.FPPTR.29</v>
      </c>
      <c r="B32" s="55" t="str">
        <f aca="false">_xlfn.CONCAT(CALC!B33, ":", CALC!C33)</f>
        <v>Government:Support</v>
      </c>
      <c r="C32" s="65" t="n">
        <f aca="false">CALC!AV33</f>
        <v>0</v>
      </c>
      <c r="D32" s="65" t="n">
        <f aca="false">CALC!AW33</f>
        <v>0</v>
      </c>
      <c r="E32" s="65" t="n">
        <f aca="false">CALC!AX33</f>
        <v>0</v>
      </c>
      <c r="F32" s="65" t="n">
        <f aca="false">CALC!AY33</f>
        <v>0</v>
      </c>
    </row>
    <row r="33" customFormat="false" ht="12.8" hidden="false" customHeight="false" outlineLevel="0" collapsed="false">
      <c r="A33" s="41" t="str">
        <f aca="false">_xlfn.CONCAT($A$1, ".", CALC!A34)</f>
        <v>LSD.RID.0.AL.FPPTR.30</v>
      </c>
      <c r="B33" s="55" t="str">
        <f aca="false">_xlfn.CONCAT(CALC!B34, ":", CALC!C34)</f>
        <v>Government:Worker</v>
      </c>
      <c r="C33" s="65" t="n">
        <f aca="false">CALC!AV34</f>
        <v>0</v>
      </c>
      <c r="D33" s="65" t="n">
        <f aca="false">CALC!AW34</f>
        <v>0</v>
      </c>
      <c r="E33" s="65" t="n">
        <f aca="false">CALC!AX34</f>
        <v>0</v>
      </c>
      <c r="F33" s="65" t="n">
        <f aca="false">CALC!AY34</f>
        <v>0</v>
      </c>
    </row>
    <row r="34" customFormat="false" ht="12.8" hidden="false" customHeight="false" outlineLevel="0" collapsed="false">
      <c r="A34" s="41" t="str">
        <f aca="false">_xlfn.CONCAT($A$1, ".", CALC!A35)</f>
        <v>LSD.RID.0.AL.FPPTR.31</v>
      </c>
      <c r="B34" s="55" t="str">
        <f aca="false">_xlfn.CONCAT(CALC!B35, ":", CALC!C35)</f>
        <v>Self-Employed / Non-Employer:Support</v>
      </c>
      <c r="C34" s="65" t="n">
        <f aca="false">CALC!AV35</f>
        <v>0</v>
      </c>
      <c r="D34" s="65" t="n">
        <f aca="false">CALC!AW35</f>
        <v>0</v>
      </c>
      <c r="E34" s="65" t="n">
        <f aca="false">CALC!AX35</f>
        <v>0</v>
      </c>
      <c r="F34" s="65" t="n">
        <f aca="false">CALC!AY35</f>
        <v>0</v>
      </c>
    </row>
    <row r="35" customFormat="false" ht="12.8" hidden="false" customHeight="false" outlineLevel="0" collapsed="false">
      <c r="A35" s="41" t="str">
        <f aca="false">_xlfn.CONCAT($A$1, ".", CALC!A36)</f>
        <v>LSD.RID.0.AL.FPPTR.32</v>
      </c>
      <c r="B35" s="55" t="str">
        <f aca="false">_xlfn.CONCAT(CALC!B36, ":", CALC!C36)</f>
        <v>Self-Employed / Non-Employer:Worker</v>
      </c>
      <c r="C35" s="65" t="n">
        <f aca="false">CALC!AV36</f>
        <v>0</v>
      </c>
      <c r="D35" s="65" t="n">
        <f aca="false">CALC!AW36</f>
        <v>0</v>
      </c>
      <c r="E35" s="65" t="n">
        <f aca="false">CALC!AX36</f>
        <v>0</v>
      </c>
      <c r="F35" s="65" t="n">
        <f aca="false">CALC!AY36</f>
        <v>0</v>
      </c>
    </row>
    <row r="36" customFormat="false" ht="12.8" hidden="false" customHeight="false" outlineLevel="0" collapsed="false">
      <c r="A36" s="41" t="str">
        <f aca="false">_xlfn.CONCAT($A$1, ".", CALC!A37)</f>
        <v>LSD.RID.0.AL.FPPTR.33</v>
      </c>
      <c r="B36" s="55" t="str">
        <f aca="false">_xlfn.CONCAT(CALC!B37, ":", CALC!C37)</f>
        <v>Other Services:Support</v>
      </c>
      <c r="C36" s="65" t="n">
        <f aca="false">CALC!AV37</f>
        <v>0</v>
      </c>
      <c r="D36" s="65" t="n">
        <f aca="false">CALC!AW37</f>
        <v>0</v>
      </c>
      <c r="E36" s="65" t="n">
        <f aca="false">CALC!AX37</f>
        <v>0</v>
      </c>
      <c r="F36" s="65" t="n">
        <f aca="false">CALC!AY37</f>
        <v>0</v>
      </c>
    </row>
    <row r="37" customFormat="false" ht="12.8" hidden="false" customHeight="false" outlineLevel="0" collapsed="false">
      <c r="A37" s="41" t="str">
        <f aca="false">_xlfn.CONCAT($A$1, ".", CALC!A38)</f>
        <v>LSD.RID.0.AL.FPPTR.34</v>
      </c>
      <c r="B37" s="55" t="str">
        <f aca="false">_xlfn.CONCAT(CALC!B38, ":", CALC!C38)</f>
        <v>Other Services:Worker</v>
      </c>
      <c r="C37" s="65" t="n">
        <f aca="false">CALC!AV38</f>
        <v>0</v>
      </c>
      <c r="D37" s="65" t="n">
        <f aca="false">CALC!AW38</f>
        <v>0</v>
      </c>
      <c r="E37" s="65" t="n">
        <f aca="false">CALC!AX38</f>
        <v>0</v>
      </c>
      <c r="F37" s="65" t="n">
        <f aca="false">CALC!AY38</f>
        <v>0</v>
      </c>
    </row>
    <row r="38" customFormat="false" ht="12.8" hidden="false" customHeight="false" outlineLevel="0" collapsed="false">
      <c r="A38" s="41" t="str">
        <f aca="false">_xlfn.CONCAT($A$1, ".", CALC!A39)</f>
        <v>LSD.RID.0.AL.FPPTR.35</v>
      </c>
      <c r="B38" s="55" t="str">
        <f aca="false">_xlfn.CONCAT(CALC!B39, ":", CALC!C39)</f>
        <v>Mining, Quarrying, and Oil/Gas Extraction:Support</v>
      </c>
      <c r="C38" s="65" t="n">
        <f aca="false">CALC!AV39</f>
        <v>0</v>
      </c>
      <c r="D38" s="65" t="n">
        <f aca="false">CALC!AW39</f>
        <v>0</v>
      </c>
      <c r="E38" s="65" t="n">
        <f aca="false">CALC!AX39</f>
        <v>0</v>
      </c>
      <c r="F38" s="65" t="n">
        <f aca="false">CALC!AY39</f>
        <v>0</v>
      </c>
    </row>
    <row r="39" customFormat="false" ht="12.8" hidden="false" customHeight="false" outlineLevel="0" collapsed="false">
      <c r="A39" s="41" t="str">
        <f aca="false">_xlfn.CONCAT($A$1, ".", CALC!A40)</f>
        <v>LSD.RID.0.AL.FPPTR.36</v>
      </c>
      <c r="B39" s="55" t="str">
        <f aca="false">_xlfn.CONCAT(CALC!B40, ":", CALC!C40)</f>
        <v>Mining, Quarrying, and Oil/Gas Extraction:Worker</v>
      </c>
      <c r="C39" s="65" t="n">
        <f aca="false">CALC!AV40</f>
        <v>0</v>
      </c>
      <c r="D39" s="65" t="n">
        <f aca="false">CALC!AW40</f>
        <v>0</v>
      </c>
      <c r="E39" s="65" t="n">
        <f aca="false">CALC!AX40</f>
        <v>0</v>
      </c>
      <c r="F39" s="65" t="n">
        <f aca="false">CALC!AY40</f>
        <v>0</v>
      </c>
    </row>
    <row r="40" customFormat="false" ht="12.8" hidden="false" customHeight="false" outlineLevel="0" collapsed="false">
      <c r="A40" s="41" t="str">
        <f aca="false">_xlfn.CONCAT($A$1, ".", CALC!A41)</f>
        <v>LSD.RID.0.AL.FPPTR.37</v>
      </c>
      <c r="B40" s="55" t="str">
        <f aca="false">_xlfn.CONCAT(CALC!B41, ":", CALC!C41)</f>
        <v>Utilities:Support</v>
      </c>
      <c r="C40" s="65" t="n">
        <f aca="false">CALC!AV41</f>
        <v>0</v>
      </c>
      <c r="D40" s="65" t="n">
        <f aca="false">CALC!AW41</f>
        <v>0</v>
      </c>
      <c r="E40" s="65" t="n">
        <f aca="false">CALC!AX41</f>
        <v>0</v>
      </c>
      <c r="F40" s="65" t="n">
        <f aca="false">CALC!AY41</f>
        <v>0</v>
      </c>
    </row>
    <row r="41" customFormat="false" ht="12.8" hidden="false" customHeight="false" outlineLevel="0" collapsed="false">
      <c r="A41" s="41" t="str">
        <f aca="false">_xlfn.CONCAT($A$1, ".", CALC!A42)</f>
        <v>LSD.RID.0.AL.FPPTR.38</v>
      </c>
      <c r="B41" s="55" t="str">
        <f aca="false">_xlfn.CONCAT(CALC!B42, ":", CALC!C42)</f>
        <v>Utilities:Worker</v>
      </c>
      <c r="C41" s="65" t="n">
        <f aca="false">CALC!AV42</f>
        <v>0</v>
      </c>
      <c r="D41" s="65" t="n">
        <f aca="false">CALC!AW42</f>
        <v>0</v>
      </c>
      <c r="E41" s="65" t="n">
        <f aca="false">CALC!AX42</f>
        <v>0</v>
      </c>
      <c r="F41" s="65" t="n">
        <f aca="false">CALC!AY42</f>
        <v>0</v>
      </c>
    </row>
    <row r="42" customFormat="false" ht="12.8" hidden="false" customHeight="false" outlineLevel="0" collapsed="false">
      <c r="A42" s="41" t="str">
        <f aca="false">_xlfn.CONCAT($A$1, ".", CALC!A43)</f>
        <v>LSD.RID.0.AL.FPPTR.39</v>
      </c>
      <c r="B42" s="55" t="str">
        <f aca="false">_xlfn.CONCAT(CALC!B43, ":", CALC!C43)</f>
        <v>Wholesale Trade:Support</v>
      </c>
      <c r="C42" s="65" t="n">
        <f aca="false">CALC!AV43</f>
        <v>0</v>
      </c>
      <c r="D42" s="65" t="n">
        <f aca="false">CALC!AW43</f>
        <v>0</v>
      </c>
      <c r="E42" s="65" t="n">
        <f aca="false">CALC!AX43</f>
        <v>0</v>
      </c>
      <c r="F42" s="65" t="n">
        <f aca="false">CALC!AY43</f>
        <v>0</v>
      </c>
    </row>
    <row r="43" customFormat="false" ht="12.8" hidden="false" customHeight="false" outlineLevel="0" collapsed="false">
      <c r="A43" s="41" t="str">
        <f aca="false">_xlfn.CONCAT($A$1, ".", CALC!A44)</f>
        <v>LSD.RID.0.AL.FPPTR.40</v>
      </c>
      <c r="B43" s="55" t="str">
        <f aca="false">_xlfn.CONCAT(CALC!B44, ":", CALC!C44)</f>
        <v>Wholesale Trade:Worker</v>
      </c>
      <c r="C43" s="65" t="n">
        <f aca="false">CALC!AV44</f>
        <v>0</v>
      </c>
      <c r="D43" s="65" t="n">
        <f aca="false">CALC!AW44</f>
        <v>0</v>
      </c>
      <c r="E43" s="65" t="n">
        <f aca="false">CALC!AX44</f>
        <v>0</v>
      </c>
      <c r="F43" s="65" t="n">
        <f aca="false">CALC!AY44</f>
        <v>0</v>
      </c>
    </row>
    <row r="44" customFormat="false" ht="12.8" hidden="false" customHeight="false" outlineLevel="0" collapsed="false">
      <c r="A44" s="41" t="str">
        <f aca="false">_xlfn.CONCAT($A$1, ".", CALC!A45)</f>
        <v>LSD.RID.0.AL.FPPTR.41</v>
      </c>
      <c r="B44" s="55" t="str">
        <f aca="false">_xlfn.CONCAT(CALC!B45, ":", CALC!C45)</f>
        <v>Information:Support</v>
      </c>
      <c r="C44" s="65" t="n">
        <f aca="false">CALC!AV45</f>
        <v>0</v>
      </c>
      <c r="D44" s="65" t="n">
        <f aca="false">CALC!AW45</f>
        <v>0</v>
      </c>
      <c r="E44" s="65" t="n">
        <f aca="false">CALC!AX45</f>
        <v>0</v>
      </c>
      <c r="F44" s="65" t="n">
        <f aca="false">CALC!AY45</f>
        <v>0</v>
      </c>
    </row>
    <row r="45" customFormat="false" ht="12.8" hidden="false" customHeight="false" outlineLevel="0" collapsed="false">
      <c r="A45" s="41" t="str">
        <f aca="false">_xlfn.CONCAT($A$1, ".", CALC!A46)</f>
        <v>LSD.RID.0.AL.FPPTR.42</v>
      </c>
      <c r="B45" s="55" t="str">
        <f aca="false">_xlfn.CONCAT(CALC!B46, ":", CALC!C46)</f>
        <v>Information:Worker</v>
      </c>
      <c r="C45" s="65" t="n">
        <f aca="false">CALC!AV46</f>
        <v>0</v>
      </c>
      <c r="D45" s="65" t="n">
        <f aca="false">CALC!AW46</f>
        <v>0</v>
      </c>
      <c r="E45" s="65" t="n">
        <f aca="false">CALC!AX46</f>
        <v>0</v>
      </c>
      <c r="F45" s="65" t="n">
        <f aca="false">CALC!AY46</f>
        <v>0</v>
      </c>
    </row>
    <row r="46" customFormat="false" ht="12.8" hidden="false" customHeight="false" outlineLevel="0" collapsed="false">
      <c r="A46" s="41" t="str">
        <f aca="false">_xlfn.CONCAT($A$1, ".", CALC!A47)</f>
        <v>LSD.RID.0.AL.FPPTR.43</v>
      </c>
      <c r="B46" s="55" t="str">
        <f aca="false">_xlfn.CONCAT(CALC!B47, ":", CALC!C47)</f>
        <v>Real Estate, Rental and Leasing:Support</v>
      </c>
      <c r="C46" s="65" t="n">
        <f aca="false">CALC!AV47</f>
        <v>0</v>
      </c>
      <c r="D46" s="65" t="n">
        <f aca="false">CALC!AW47</f>
        <v>0</v>
      </c>
      <c r="E46" s="65" t="n">
        <f aca="false">CALC!AX47</f>
        <v>0</v>
      </c>
      <c r="F46" s="65" t="n">
        <f aca="false">CALC!AY47</f>
        <v>0</v>
      </c>
    </row>
    <row r="47" customFormat="false" ht="12.8" hidden="false" customHeight="false" outlineLevel="0" collapsed="false">
      <c r="A47" s="41" t="str">
        <f aca="false">_xlfn.CONCAT($A$1, ".", CALC!A48)</f>
        <v>LSD.RID.0.AL.FPPTR.44</v>
      </c>
      <c r="B47" s="55" t="str">
        <f aca="false">_xlfn.CONCAT(CALC!B48, ":", CALC!C48)</f>
        <v>Real Estate, Rental and Leasing:Worker</v>
      </c>
      <c r="C47" s="65" t="n">
        <f aca="false">CALC!AV48</f>
        <v>0</v>
      </c>
      <c r="D47" s="65" t="n">
        <f aca="false">CALC!AW48</f>
        <v>0</v>
      </c>
      <c r="E47" s="65" t="n">
        <f aca="false">CALC!AX48</f>
        <v>0</v>
      </c>
      <c r="F47" s="65" t="n">
        <f aca="false">CALC!AY48</f>
        <v>0</v>
      </c>
    </row>
    <row r="48" customFormat="false" ht="12.8" hidden="false" customHeight="false" outlineLevel="0" collapsed="false">
      <c r="A48" s="41" t="str">
        <f aca="false">_xlfn.CONCAT($A$1, ".", CALC!A49)</f>
        <v>LSD.RID.0.AL.FPPTR.45</v>
      </c>
      <c r="B48" s="55" t="str">
        <f aca="false">_xlfn.CONCAT(CALC!B49, ":", CALC!C49)</f>
        <v>Waste Management Services:Support</v>
      </c>
      <c r="C48" s="65" t="n">
        <f aca="false">CALC!AV49</f>
        <v>0</v>
      </c>
      <c r="D48" s="65" t="n">
        <f aca="false">CALC!AW49</f>
        <v>0</v>
      </c>
      <c r="E48" s="65" t="n">
        <f aca="false">CALC!AX49</f>
        <v>0</v>
      </c>
      <c r="F48" s="65" t="n">
        <f aca="false">CALC!AY49</f>
        <v>0</v>
      </c>
    </row>
    <row r="49" customFormat="false" ht="12.8" hidden="false" customHeight="false" outlineLevel="0" collapsed="false">
      <c r="A49" s="41" t="str">
        <f aca="false">_xlfn.CONCAT($A$1, ".", CALC!A50)</f>
        <v>LSD.RID.0.AL.FPPTR.46</v>
      </c>
      <c r="B49" s="55" t="str">
        <f aca="false">_xlfn.CONCAT(CALC!B50, ":", CALC!C50)</f>
        <v>Waste Management Services:Worker</v>
      </c>
      <c r="C49" s="65" t="n">
        <f aca="false">CALC!AV50</f>
        <v>0</v>
      </c>
      <c r="D49" s="65" t="n">
        <f aca="false">CALC!AW50</f>
        <v>0</v>
      </c>
      <c r="E49" s="65" t="n">
        <f aca="false">CALC!AX50</f>
        <v>0</v>
      </c>
      <c r="F49" s="65" t="n">
        <f aca="false">CALC!AY50</f>
        <v>0</v>
      </c>
    </row>
    <row r="50" customFormat="false" ht="12.8" hidden="false" customHeight="false" outlineLevel="0" collapsed="false">
      <c r="A50" s="41" t="str">
        <f aca="false">_xlfn.CONCAT($A$1, ".", CALC!A51)</f>
        <v>LSD.RID.0.AL.FPPTR.47</v>
      </c>
      <c r="B50" s="55" t="str">
        <f aca="false">_xlfn.CONCAT(CALC!B51, ":", CALC!C51)</f>
        <v>Arts, Entertainment, and Recreation:Support</v>
      </c>
      <c r="C50" s="65" t="n">
        <f aca="false">CALC!AV51</f>
        <v>0</v>
      </c>
      <c r="D50" s="65" t="n">
        <f aca="false">CALC!AW51</f>
        <v>0</v>
      </c>
      <c r="E50" s="65" t="n">
        <f aca="false">CALC!AX51</f>
        <v>0</v>
      </c>
      <c r="F50" s="65" t="n">
        <f aca="false">CALC!AY51</f>
        <v>0</v>
      </c>
    </row>
    <row r="51" customFormat="false" ht="12.8" hidden="false" customHeight="false" outlineLevel="0" collapsed="false">
      <c r="A51" s="41" t="str">
        <f aca="false">_xlfn.CONCAT($A$1, ".", CALC!A52)</f>
        <v>LSD.RID.0.AL.FPPTR.48</v>
      </c>
      <c r="B51" s="55" t="str">
        <f aca="false">_xlfn.CONCAT(CALC!B52, ":", CALC!C52)</f>
        <v>Arts, Entertainment, and Recreation:Worker</v>
      </c>
      <c r="C51" s="65" t="n">
        <f aca="false">CALC!AV52</f>
        <v>0</v>
      </c>
      <c r="D51" s="65" t="n">
        <f aca="false">CALC!AW52</f>
        <v>0</v>
      </c>
      <c r="E51" s="65" t="n">
        <f aca="false">CALC!AX52</f>
        <v>0</v>
      </c>
      <c r="F51" s="65" t="n">
        <f aca="false">CALC!AY52</f>
        <v>0</v>
      </c>
    </row>
    <row r="52" customFormat="false" ht="12.8" hidden="false" customHeight="false" outlineLevel="0" collapsed="false">
      <c r="A52" s="41" t="str">
        <f aca="false">_xlfn.CONCAT($A$1, ".", CALC!A53)</f>
        <v>LSD.RID.0.AL.FPPTR.49</v>
      </c>
      <c r="B52" s="55" t="str">
        <f aca="false">_xlfn.CONCAT(CALC!B53, ":", CALC!C53)</f>
        <v>Accommodation and Food Services:Support</v>
      </c>
      <c r="C52" s="65" t="n">
        <f aca="false">CALC!AV53</f>
        <v>0</v>
      </c>
      <c r="D52" s="65" t="n">
        <f aca="false">CALC!AW53</f>
        <v>0</v>
      </c>
      <c r="E52" s="65" t="n">
        <f aca="false">CALC!AX53</f>
        <v>0</v>
      </c>
      <c r="F52" s="65" t="n">
        <f aca="false">CALC!AY53</f>
        <v>0</v>
      </c>
    </row>
    <row r="53" customFormat="false" ht="12.8" hidden="false" customHeight="false" outlineLevel="0" collapsed="false">
      <c r="A53" s="41" t="str">
        <f aca="false">_xlfn.CONCAT($A$1, ".", CALC!A54)</f>
        <v>LSD.RID.0.AL.FPPTR.50</v>
      </c>
      <c r="B53" s="55" t="str">
        <f aca="false">_xlfn.CONCAT(CALC!B54, ":", CALC!C54)</f>
        <v>Accommodation and Food Services:Worker</v>
      </c>
      <c r="C53" s="65" t="n">
        <f aca="false">CALC!AV54</f>
        <v>0</v>
      </c>
      <c r="D53" s="65" t="n">
        <f aca="false">CALC!AW54</f>
        <v>0</v>
      </c>
      <c r="E53" s="65" t="n">
        <f aca="false">CALC!AX54</f>
        <v>0</v>
      </c>
      <c r="F53" s="65" t="n">
        <f aca="false">CALC!AY54</f>
        <v>0</v>
      </c>
    </row>
    <row r="54" customFormat="false" ht="12.8" hidden="false" customHeight="false" outlineLevel="0" collapsed="false">
      <c r="A54" s="41" t="str">
        <f aca="false">_xlfn.CONCAT($A$1, ".", CALC!A55)</f>
        <v>LSD.RID.0.AL.FPPTR.51</v>
      </c>
      <c r="B54" s="55" t="str">
        <f aca="false">_xlfn.CONCAT(CALC!B55, ":", CALC!C55)</f>
        <v>Public Administration:Support</v>
      </c>
      <c r="C54" s="65" t="n">
        <f aca="false">CALC!AV55</f>
        <v>0</v>
      </c>
      <c r="D54" s="65" t="n">
        <f aca="false">CALC!AW55</f>
        <v>0</v>
      </c>
      <c r="E54" s="65" t="n">
        <f aca="false">CALC!AX55</f>
        <v>0</v>
      </c>
      <c r="F54" s="65" t="n">
        <f aca="false">CALC!AY55</f>
        <v>0</v>
      </c>
    </row>
    <row r="55" customFormat="false" ht="12.8" hidden="false" customHeight="false" outlineLevel="0" collapsed="false">
      <c r="A55" s="41" t="str">
        <f aca="false">_xlfn.CONCAT($A$1, ".", CALC!A56)</f>
        <v>LSD.RID.0.AL.FPPTR.52</v>
      </c>
      <c r="B55" s="55" t="str">
        <f aca="false">_xlfn.CONCAT(CALC!B56, ":", CALC!C56)</f>
        <v>Public Administration:Worker</v>
      </c>
      <c r="C55" s="65" t="n">
        <f aca="false">CALC!AV56</f>
        <v>0</v>
      </c>
      <c r="D55" s="65" t="n">
        <f aca="false">CALC!AW56</f>
        <v>0</v>
      </c>
      <c r="E55" s="65" t="n">
        <f aca="false">CALC!AX56</f>
        <v>0</v>
      </c>
      <c r="F55" s="65" t="n">
        <f aca="false">CALC!AY56</f>
        <v>0</v>
      </c>
    </row>
    <row r="56" customFormat="false" ht="12.8" hidden="false" customHeight="false" outlineLevel="0" collapsed="false">
      <c r="C56" s="64"/>
      <c r="D56" s="64"/>
      <c r="E56" s="64"/>
      <c r="F56" s="64"/>
    </row>
    <row r="57" customFormat="false" ht="12.8" hidden="false" customHeight="false" outlineLevel="0" collapsed="false">
      <c r="C57" s="64"/>
      <c r="D57" s="64"/>
      <c r="E57" s="64"/>
      <c r="F57" s="64"/>
    </row>
    <row r="58" customFormat="false" ht="12.8" hidden="false" customHeight="false" outlineLevel="0" collapsed="false">
      <c r="C58" s="64"/>
      <c r="D58" s="64"/>
      <c r="E58" s="64"/>
      <c r="F58" s="64"/>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7500"/>
    <pageSetUpPr fitToPage="false"/>
  </sheetPr>
  <dimension ref="A1:BP247"/>
  <sheetViews>
    <sheetView showFormulas="false" showGridLines="true" showRowColHeaders="true" showZeros="true" rightToLeft="false" tabSelected="false" showOutlineSymbols="true" defaultGridColor="true" view="normal" topLeftCell="A89" colorId="64" zoomScale="65" zoomScaleNormal="65" zoomScalePageLayoutView="100" workbookViewId="0">
      <selection pane="topLeft" activeCell="A1" activeCellId="0" sqref="A1"/>
    </sheetView>
  </sheetViews>
  <sheetFormatPr defaultColWidth="11.53515625" defaultRowHeight="12.8" customHeight="false" zeroHeight="false" outlineLevelRow="1" outlineLevelCol="0"/>
  <cols>
    <col collapsed="false" customWidth="true" hidden="false" outlineLevel="0" max="1" min="1" style="41" width="13.84"/>
    <col collapsed="false" customWidth="true" hidden="false" outlineLevel="0" max="2" min="2" style="26" width="36.9"/>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23.85" hidden="false" customHeight="false" outlineLevel="0" collapsed="false">
      <c r="A1" s="4" t="s">
        <v>2167</v>
      </c>
      <c r="B1" s="47" t="s">
        <v>2168</v>
      </c>
      <c r="C1" s="6" t="s">
        <v>2</v>
      </c>
      <c r="D1" s="51" t="s">
        <v>2169</v>
      </c>
      <c r="AZ1" s="26"/>
      <c r="BP1" s="26"/>
    </row>
    <row r="2" customFormat="false" ht="35.05" hidden="false" customHeight="false" outlineLevel="0" collapsed="false">
      <c r="A2" s="52" t="s">
        <v>2140</v>
      </c>
      <c r="B2" s="47" t="s">
        <v>2141</v>
      </c>
      <c r="C2" s="64" t="str">
        <f aca="false">CALC!BD3</f>
        <v>EITC Credit Refund</v>
      </c>
      <c r="D2" s="64" t="str">
        <f aca="false">CALC!BE3</f>
        <v>Authorized Immigrant EITC Credit Refund</v>
      </c>
      <c r="E2" s="64" t="str">
        <f aca="false">CALC!BF3</f>
        <v>Unauthorized Immigrant EITC Credit Refund</v>
      </c>
      <c r="F2" s="64" t="str">
        <f aca="false">CALC!BG3</f>
        <v>American EITC Refund</v>
      </c>
    </row>
    <row r="3" customFormat="false" ht="12.8" hidden="false" customHeight="false" outlineLevel="0" collapsed="false">
      <c r="A3" s="4" t="str">
        <f aca="false">_xlfn.CONCAT($A$1, ".", CALC!A4)</f>
        <v>LSD.RID.0.AL.EITCREF.0</v>
      </c>
      <c r="B3" s="58" t="str">
        <f aca="false">_xlfn.CONCAT(CALC!B4, ":", CALC!C4)</f>
        <v>All Industries:All Roles</v>
      </c>
      <c r="C3" s="64" t="n">
        <f aca="false">CALC!BD4</f>
        <v>0</v>
      </c>
      <c r="D3" s="64" t="n">
        <f aca="false">CALC!BE4</f>
        <v>0</v>
      </c>
      <c r="E3" s="64" t="n">
        <f aca="false">CALC!BF4</f>
        <v>0</v>
      </c>
      <c r="F3" s="64" t="n">
        <f aca="false">CALC!BG4</f>
        <v>0</v>
      </c>
    </row>
    <row r="4" customFormat="false" ht="12.8" hidden="false" customHeight="false" outlineLevel="0" collapsed="false">
      <c r="A4" s="41" t="str">
        <f aca="false">_xlfn.CONCAT($A$1, ".", CALC!A5)</f>
        <v>LSD.RID.0.AL.EITCREF.1</v>
      </c>
      <c r="B4" s="55" t="str">
        <f aca="false">_xlfn.CONCAT(CALC!B5, ":", CALC!C5)</f>
        <v>Agriculture:Support</v>
      </c>
      <c r="C4" s="65" t="n">
        <f aca="false">CALC!BD5</f>
        <v>0</v>
      </c>
      <c r="D4" s="65" t="n">
        <f aca="false">CALC!BE5</f>
        <v>0</v>
      </c>
      <c r="E4" s="65" t="n">
        <f aca="false">CALC!BF5</f>
        <v>0</v>
      </c>
      <c r="F4" s="65" t="n">
        <f aca="false">CALC!BG5</f>
        <v>0</v>
      </c>
    </row>
    <row r="5" customFormat="false" ht="12.8" hidden="false" customHeight="false" outlineLevel="0" collapsed="false">
      <c r="A5" s="41" t="str">
        <f aca="false">_xlfn.CONCAT($A$1, ".", CALC!A6)</f>
        <v>LSD.RID.0.AL.EITCREF.2</v>
      </c>
      <c r="B5" s="55" t="str">
        <f aca="false">_xlfn.CONCAT(CALC!B6, ":", CALC!C6)</f>
        <v>Agriculture:Worker</v>
      </c>
      <c r="C5" s="65" t="n">
        <f aca="false">CALC!BD6</f>
        <v>0</v>
      </c>
      <c r="D5" s="65" t="n">
        <f aca="false">CALC!BE6</f>
        <v>0</v>
      </c>
      <c r="E5" s="65" t="n">
        <f aca="false">CALC!BF6</f>
        <v>0</v>
      </c>
      <c r="F5" s="65" t="n">
        <f aca="false">CALC!BG6</f>
        <v>0</v>
      </c>
    </row>
    <row r="6" customFormat="false" ht="12.8" hidden="false" customHeight="false" outlineLevel="0" collapsed="false">
      <c r="A6" s="41" t="str">
        <f aca="false">_xlfn.CONCAT($A$1, ".", CALC!A7)</f>
        <v>LSD.RID.0.AL.EITCREF.3</v>
      </c>
      <c r="B6" s="55" t="str">
        <f aca="false">_xlfn.CONCAT(CALC!B7, ":", CALC!C7)</f>
        <v>Construction:Support</v>
      </c>
      <c r="C6" s="65" t="n">
        <f aca="false">CALC!BD7</f>
        <v>0</v>
      </c>
      <c r="D6" s="65" t="n">
        <f aca="false">CALC!BE7</f>
        <v>0</v>
      </c>
      <c r="E6" s="65" t="n">
        <f aca="false">CALC!BF7</f>
        <v>0</v>
      </c>
      <c r="F6" s="65" t="n">
        <f aca="false">CALC!BG7</f>
        <v>0</v>
      </c>
    </row>
    <row r="7" customFormat="false" ht="12.8" hidden="false" customHeight="false" outlineLevel="0" collapsed="false">
      <c r="A7" s="41" t="str">
        <f aca="false">_xlfn.CONCAT($A$1, ".", CALC!A8)</f>
        <v>LSD.RID.0.AL.EITCREF.4</v>
      </c>
      <c r="B7" s="55" t="str">
        <f aca="false">_xlfn.CONCAT(CALC!B8, ":", CALC!C8)</f>
        <v>Construction:Worker</v>
      </c>
      <c r="C7" s="65" t="n">
        <f aca="false">CALC!BD8</f>
        <v>0</v>
      </c>
      <c r="D7" s="65" t="n">
        <f aca="false">CALC!BE8</f>
        <v>0</v>
      </c>
      <c r="E7" s="65" t="n">
        <f aca="false">CALC!BF8</f>
        <v>0</v>
      </c>
      <c r="F7" s="65" t="n">
        <f aca="false">CALC!BG8</f>
        <v>0</v>
      </c>
    </row>
    <row r="8" customFormat="false" ht="12.8" hidden="false" customHeight="false" outlineLevel="0" collapsed="false">
      <c r="A8" s="41" t="str">
        <f aca="false">_xlfn.CONCAT($A$1, ".", CALC!A9)</f>
        <v>LSD.RID.0.AL.EITCREF.5</v>
      </c>
      <c r="B8" s="55" t="str">
        <f aca="false">_xlfn.CONCAT(CALC!B9, ":", CALC!C9)</f>
        <v>Hospitality:Support</v>
      </c>
      <c r="C8" s="65" t="n">
        <f aca="false">CALC!BD9</f>
        <v>0</v>
      </c>
      <c r="D8" s="65" t="n">
        <f aca="false">CALC!BE9</f>
        <v>0</v>
      </c>
      <c r="E8" s="65" t="n">
        <f aca="false">CALC!BF9</f>
        <v>0</v>
      </c>
      <c r="F8" s="65" t="n">
        <f aca="false">CALC!BG9</f>
        <v>0</v>
      </c>
    </row>
    <row r="9" customFormat="false" ht="12.8" hidden="false" customHeight="false" outlineLevel="0" collapsed="false">
      <c r="A9" s="41" t="str">
        <f aca="false">_xlfn.CONCAT($A$1, ".", CALC!A10)</f>
        <v>LSD.RID.0.AL.EITCREF.6</v>
      </c>
      <c r="B9" s="55" t="str">
        <f aca="false">_xlfn.CONCAT(CALC!B10, ":", CALC!C10)</f>
        <v>Hospitality:Worker</v>
      </c>
      <c r="C9" s="65" t="n">
        <f aca="false">CALC!BD10</f>
        <v>0</v>
      </c>
      <c r="D9" s="65" t="n">
        <f aca="false">CALC!BE10</f>
        <v>0</v>
      </c>
      <c r="E9" s="65" t="n">
        <f aca="false">CALC!BF10</f>
        <v>0</v>
      </c>
      <c r="F9" s="65" t="n">
        <f aca="false">CALC!BG10</f>
        <v>0</v>
      </c>
    </row>
    <row r="10" customFormat="false" ht="12.8" hidden="false" customHeight="false" outlineLevel="0" collapsed="false">
      <c r="A10" s="41" t="str">
        <f aca="false">_xlfn.CONCAT($A$1, ".", CALC!A11)</f>
        <v>LSD.RID.0.AL.EITCREF.7</v>
      </c>
      <c r="B10" s="55" t="str">
        <f aca="false">_xlfn.CONCAT(CALC!B11, ":", CALC!C11)</f>
        <v>Cleaning &amp; Maintenance:Support</v>
      </c>
      <c r="C10" s="65" t="n">
        <f aca="false">CALC!BD11</f>
        <v>0</v>
      </c>
      <c r="D10" s="65" t="n">
        <f aca="false">CALC!BE11</f>
        <v>0</v>
      </c>
      <c r="E10" s="65" t="n">
        <f aca="false">CALC!BF11</f>
        <v>0</v>
      </c>
      <c r="F10" s="65" t="n">
        <f aca="false">CALC!BG11</f>
        <v>0</v>
      </c>
    </row>
    <row r="11" customFormat="false" ht="12.8" hidden="false" customHeight="false" outlineLevel="0" collapsed="false">
      <c r="A11" s="41" t="str">
        <f aca="false">_xlfn.CONCAT($A$1, ".", CALC!A12)</f>
        <v>LSD.RID.0.AL.EITCREF.8</v>
      </c>
      <c r="B11" s="55" t="str">
        <f aca="false">_xlfn.CONCAT(CALC!B12, ":", CALC!C12)</f>
        <v>Cleaning &amp; Maintenance:Worker</v>
      </c>
      <c r="C11" s="65" t="n">
        <f aca="false">CALC!BD12</f>
        <v>0</v>
      </c>
      <c r="D11" s="65" t="n">
        <f aca="false">CALC!BE12</f>
        <v>0</v>
      </c>
      <c r="E11" s="65" t="n">
        <f aca="false">CALC!BF12</f>
        <v>0</v>
      </c>
      <c r="F11" s="65" t="n">
        <f aca="false">CALC!BG12</f>
        <v>0</v>
      </c>
    </row>
    <row r="12" customFormat="false" ht="12.8" hidden="false" customHeight="false" outlineLevel="0" collapsed="false">
      <c r="A12" s="41" t="str">
        <f aca="false">_xlfn.CONCAT($A$1, ".", CALC!A13)</f>
        <v>LSD.RID.0.AL.EITCREF.9</v>
      </c>
      <c r="B12" s="55" t="str">
        <f aca="false">_xlfn.CONCAT(CALC!B13, ":", CALC!C13)</f>
        <v>Manufacturing:Support</v>
      </c>
      <c r="C12" s="65" t="n">
        <f aca="false">CALC!BD13</f>
        <v>0</v>
      </c>
      <c r="D12" s="65" t="n">
        <f aca="false">CALC!BE13</f>
        <v>0</v>
      </c>
      <c r="E12" s="65" t="n">
        <f aca="false">CALC!BF13</f>
        <v>0</v>
      </c>
      <c r="F12" s="65" t="n">
        <f aca="false">CALC!BG13</f>
        <v>0</v>
      </c>
    </row>
    <row r="13" customFormat="false" ht="12.8" hidden="false" customHeight="false" outlineLevel="0" collapsed="false">
      <c r="A13" s="41" t="str">
        <f aca="false">_xlfn.CONCAT($A$1, ".", CALC!A14)</f>
        <v>LSD.RID.0.AL.EITCREF.10</v>
      </c>
      <c r="B13" s="55" t="str">
        <f aca="false">_xlfn.CONCAT(CALC!B14, ":", CALC!C14)</f>
        <v>Manufacturing:Worker</v>
      </c>
      <c r="C13" s="65" t="n">
        <f aca="false">CALC!BD14</f>
        <v>0</v>
      </c>
      <c r="D13" s="65" t="n">
        <f aca="false">CALC!BE14</f>
        <v>0</v>
      </c>
      <c r="E13" s="65" t="n">
        <f aca="false">CALC!BF14</f>
        <v>0</v>
      </c>
      <c r="F13" s="65" t="n">
        <f aca="false">CALC!BG14</f>
        <v>0</v>
      </c>
    </row>
    <row r="14" customFormat="false" ht="12.8" hidden="false" customHeight="false" outlineLevel="0" collapsed="false">
      <c r="A14" s="41" t="str">
        <f aca="false">_xlfn.CONCAT($A$1, ".", CALC!A15)</f>
        <v>LSD.RID.0.AL.EITCREF.11</v>
      </c>
      <c r="B14" s="55" t="str">
        <f aca="false">_xlfn.CONCAT(CALC!B15, ":", CALC!C15)</f>
        <v>Transportation &amp; Warehousing:Support</v>
      </c>
      <c r="C14" s="65" t="n">
        <f aca="false">CALC!BD15</f>
        <v>0</v>
      </c>
      <c r="D14" s="65" t="n">
        <f aca="false">CALC!BE15</f>
        <v>0</v>
      </c>
      <c r="E14" s="65" t="n">
        <f aca="false">CALC!BF15</f>
        <v>0</v>
      </c>
      <c r="F14" s="65" t="n">
        <f aca="false">CALC!BG15</f>
        <v>0</v>
      </c>
    </row>
    <row r="15" customFormat="false" ht="12.8" hidden="false" customHeight="false" outlineLevel="0" collapsed="false">
      <c r="A15" s="41" t="str">
        <f aca="false">_xlfn.CONCAT($A$1, ".", CALC!A16)</f>
        <v>LSD.RID.0.AL.EITCREF.12</v>
      </c>
      <c r="B15" s="55" t="str">
        <f aca="false">_xlfn.CONCAT(CALC!B16, ":", CALC!C16)</f>
        <v>Transportation &amp; Warehousing:Worker</v>
      </c>
      <c r="C15" s="65" t="n">
        <f aca="false">CALC!BD16</f>
        <v>0</v>
      </c>
      <c r="D15" s="65" t="n">
        <f aca="false">CALC!BE16</f>
        <v>0</v>
      </c>
      <c r="E15" s="65" t="n">
        <f aca="false">CALC!BF16</f>
        <v>0</v>
      </c>
      <c r="F15" s="65" t="n">
        <f aca="false">CALC!BG16</f>
        <v>0</v>
      </c>
    </row>
    <row r="16" customFormat="false" ht="12.8" hidden="false" customHeight="false" outlineLevel="0" collapsed="false">
      <c r="A16" s="41" t="str">
        <f aca="false">_xlfn.CONCAT($A$1, ".", CALC!A17)</f>
        <v>LSD.RID.0.AL.EITCREF.13</v>
      </c>
      <c r="B16" s="55" t="str">
        <f aca="false">_xlfn.CONCAT(CALC!B17, ":", CALC!C17)</f>
        <v>Retail Trade:Support</v>
      </c>
      <c r="C16" s="65" t="n">
        <f aca="false">CALC!BD17</f>
        <v>0</v>
      </c>
      <c r="D16" s="65" t="n">
        <f aca="false">CALC!BE17</f>
        <v>0</v>
      </c>
      <c r="E16" s="65" t="n">
        <f aca="false">CALC!BF17</f>
        <v>0</v>
      </c>
      <c r="F16" s="65" t="n">
        <f aca="false">CALC!BG17</f>
        <v>0</v>
      </c>
    </row>
    <row r="17" customFormat="false" ht="12.8" hidden="false" customHeight="false" outlineLevel="0" collapsed="false">
      <c r="A17" s="41" t="str">
        <f aca="false">_xlfn.CONCAT($A$1, ".", CALC!A18)</f>
        <v>LSD.RID.0.AL.EITCREF.14</v>
      </c>
      <c r="B17" s="55" t="str">
        <f aca="false">_xlfn.CONCAT(CALC!B18, ":", CALC!C18)</f>
        <v>Retail Trade:Worker</v>
      </c>
      <c r="C17" s="65" t="n">
        <f aca="false">CALC!BD18</f>
        <v>0</v>
      </c>
      <c r="D17" s="65" t="n">
        <f aca="false">CALC!BE18</f>
        <v>0</v>
      </c>
      <c r="E17" s="65" t="n">
        <f aca="false">CALC!BF18</f>
        <v>0</v>
      </c>
      <c r="F17" s="65" t="n">
        <f aca="false">CALC!BG18</f>
        <v>0</v>
      </c>
    </row>
    <row r="18" customFormat="false" ht="12.8" hidden="false" customHeight="false" outlineLevel="0" collapsed="false">
      <c r="A18" s="41" t="str">
        <f aca="false">_xlfn.CONCAT($A$1, ".", CALC!A19)</f>
        <v>LSD.RID.0.AL.EITCREF.15</v>
      </c>
      <c r="B18" s="55" t="str">
        <f aca="false">_xlfn.CONCAT(CALC!B19, ":", CALC!C19)</f>
        <v>Landscaping / Groundskeeping:Support</v>
      </c>
      <c r="C18" s="65" t="n">
        <f aca="false">CALC!BD19</f>
        <v>0</v>
      </c>
      <c r="D18" s="65" t="n">
        <f aca="false">CALC!BE19</f>
        <v>0</v>
      </c>
      <c r="E18" s="65" t="n">
        <f aca="false">CALC!BF19</f>
        <v>0</v>
      </c>
      <c r="F18" s="65" t="n">
        <f aca="false">CALC!BG19</f>
        <v>0</v>
      </c>
    </row>
    <row r="19" customFormat="false" ht="12.8" hidden="false" customHeight="false" outlineLevel="0" collapsed="false">
      <c r="A19" s="41" t="str">
        <f aca="false">_xlfn.CONCAT($A$1, ".", CALC!A20)</f>
        <v>LSD.RID.0.AL.EITCREF.16</v>
      </c>
      <c r="B19" s="55" t="str">
        <f aca="false">_xlfn.CONCAT(CALC!B20, ":", CALC!C20)</f>
        <v>Landscaping / Groundskeeping:Worker</v>
      </c>
      <c r="C19" s="65" t="n">
        <f aca="false">CALC!BD20</f>
        <v>0</v>
      </c>
      <c r="D19" s="65" t="n">
        <f aca="false">CALC!BE20</f>
        <v>0</v>
      </c>
      <c r="E19" s="65" t="n">
        <f aca="false">CALC!BF20</f>
        <v>0</v>
      </c>
      <c r="F19" s="65" t="n">
        <f aca="false">CALC!BG20</f>
        <v>0</v>
      </c>
    </row>
    <row r="20" customFormat="false" ht="12.8" hidden="false" customHeight="false" outlineLevel="0" collapsed="false">
      <c r="A20" s="41" t="str">
        <f aca="false">_xlfn.CONCAT($A$1, ".", CALC!A21)</f>
        <v>LSD.RID.0.AL.EITCREF.17</v>
      </c>
      <c r="B20" s="55" t="str">
        <f aca="false">_xlfn.CONCAT(CALC!B21, ":", CALC!C21)</f>
        <v>Automotive &amp; Repair:Support</v>
      </c>
      <c r="C20" s="65" t="n">
        <f aca="false">CALC!BD21</f>
        <v>0</v>
      </c>
      <c r="D20" s="65" t="n">
        <f aca="false">CALC!BE21</f>
        <v>0</v>
      </c>
      <c r="E20" s="65" t="n">
        <f aca="false">CALC!BF21</f>
        <v>0</v>
      </c>
      <c r="F20" s="65" t="n">
        <f aca="false">CALC!BG21</f>
        <v>0</v>
      </c>
    </row>
    <row r="21" customFormat="false" ht="12.8" hidden="false" customHeight="false" outlineLevel="0" collapsed="false">
      <c r="A21" s="41" t="str">
        <f aca="false">_xlfn.CONCAT($A$1, ".", CALC!A22)</f>
        <v>LSD.RID.0.AL.EITCREF.18</v>
      </c>
      <c r="B21" s="55" t="str">
        <f aca="false">_xlfn.CONCAT(CALC!B22, ":", CALC!C22)</f>
        <v>Automotive &amp; Repair:Worker</v>
      </c>
      <c r="C21" s="65" t="n">
        <f aca="false">CALC!BD22</f>
        <v>0</v>
      </c>
      <c r="D21" s="65" t="n">
        <f aca="false">CALC!BE22</f>
        <v>0</v>
      </c>
      <c r="E21" s="65" t="n">
        <f aca="false">CALC!BF22</f>
        <v>0</v>
      </c>
      <c r="F21" s="65" t="n">
        <f aca="false">CALC!BG22</f>
        <v>0</v>
      </c>
    </row>
    <row r="22" customFormat="false" ht="12.8" hidden="false" customHeight="false" outlineLevel="0" collapsed="false">
      <c r="A22" s="41" t="str">
        <f aca="false">_xlfn.CONCAT($A$1, ".", CALC!A23)</f>
        <v>LSD.RID.0.AL.EITCREF.19</v>
      </c>
      <c r="B22" s="55" t="str">
        <f aca="false">_xlfn.CONCAT(CALC!B23, ":", CALC!C23)</f>
        <v>Healthcare &amp; Social Assistance:Support</v>
      </c>
      <c r="C22" s="65" t="n">
        <f aca="false">CALC!BD23</f>
        <v>0</v>
      </c>
      <c r="D22" s="65" t="n">
        <f aca="false">CALC!BE23</f>
        <v>0</v>
      </c>
      <c r="E22" s="65" t="n">
        <f aca="false">CALC!BF23</f>
        <v>0</v>
      </c>
      <c r="F22" s="65" t="n">
        <f aca="false">CALC!BG23</f>
        <v>0</v>
      </c>
    </row>
    <row r="23" customFormat="false" ht="12.8" hidden="false" customHeight="false" outlineLevel="0" collapsed="false">
      <c r="A23" s="41" t="str">
        <f aca="false">_xlfn.CONCAT($A$1, ".", CALC!A24)</f>
        <v>LSD.RID.0.AL.EITCREF.20</v>
      </c>
      <c r="B23" s="55" t="str">
        <f aca="false">_xlfn.CONCAT(CALC!B24, ":", CALC!C24)</f>
        <v>Healthcare &amp; Social Assistance:Worker</v>
      </c>
      <c r="C23" s="65" t="n">
        <f aca="false">CALC!BD24</f>
        <v>0</v>
      </c>
      <c r="D23" s="65" t="n">
        <f aca="false">CALC!BE24</f>
        <v>0</v>
      </c>
      <c r="E23" s="65" t="n">
        <f aca="false">CALC!BF24</f>
        <v>0</v>
      </c>
      <c r="F23" s="65" t="n">
        <f aca="false">CALC!BG24</f>
        <v>0</v>
      </c>
    </row>
    <row r="24" customFormat="false" ht="12.8" hidden="false" customHeight="false" outlineLevel="0" collapsed="false">
      <c r="A24" s="41" t="str">
        <f aca="false">_xlfn.CONCAT($A$1, ".", CALC!A25)</f>
        <v>LSD.RID.0.AL.EITCREF.21</v>
      </c>
      <c r="B24" s="55" t="str">
        <f aca="false">_xlfn.CONCAT(CALC!B25, ":", CALC!C25)</f>
        <v>Professional Services:Support</v>
      </c>
      <c r="C24" s="65" t="n">
        <f aca="false">CALC!BD25</f>
        <v>0</v>
      </c>
      <c r="D24" s="65" t="n">
        <f aca="false">CALC!BE25</f>
        <v>0</v>
      </c>
      <c r="E24" s="65" t="n">
        <f aca="false">CALC!BF25</f>
        <v>0</v>
      </c>
      <c r="F24" s="65" t="n">
        <f aca="false">CALC!BG25</f>
        <v>0</v>
      </c>
    </row>
    <row r="25" customFormat="false" ht="12.8" hidden="false" customHeight="false" outlineLevel="0" collapsed="false">
      <c r="A25" s="41" t="str">
        <f aca="false">_xlfn.CONCAT($A$1, ".", CALC!A26)</f>
        <v>LSD.RID.0.AL.EITCREF.22</v>
      </c>
      <c r="B25" s="55" t="str">
        <f aca="false">_xlfn.CONCAT(CALC!B26, ":", CALC!C26)</f>
        <v>Professional Services:Worker</v>
      </c>
      <c r="C25" s="65" t="n">
        <f aca="false">CALC!BD26</f>
        <v>0</v>
      </c>
      <c r="D25" s="65" t="n">
        <f aca="false">CALC!BE26</f>
        <v>0</v>
      </c>
      <c r="E25" s="65" t="n">
        <f aca="false">CALC!BF26</f>
        <v>0</v>
      </c>
      <c r="F25" s="65" t="n">
        <f aca="false">CALC!BG26</f>
        <v>0</v>
      </c>
    </row>
    <row r="26" customFormat="false" ht="12.8" hidden="false" customHeight="false" outlineLevel="0" collapsed="false">
      <c r="A26" s="41" t="str">
        <f aca="false">_xlfn.CONCAT($A$1, ".", CALC!A27)</f>
        <v>LSD.RID.0.AL.EITCREF.23</v>
      </c>
      <c r="B26" s="55" t="str">
        <f aca="false">_xlfn.CONCAT(CALC!B27, ":", CALC!C27)</f>
        <v>Educational Services:Support</v>
      </c>
      <c r="C26" s="65" t="n">
        <f aca="false">CALC!BD27</f>
        <v>0</v>
      </c>
      <c r="D26" s="65" t="n">
        <f aca="false">CALC!BE27</f>
        <v>0</v>
      </c>
      <c r="E26" s="65" t="n">
        <f aca="false">CALC!BF27</f>
        <v>0</v>
      </c>
      <c r="F26" s="65" t="n">
        <f aca="false">CALC!BG27</f>
        <v>0</v>
      </c>
    </row>
    <row r="27" customFormat="false" ht="12.8" hidden="false" customHeight="false" outlineLevel="0" collapsed="false">
      <c r="A27" s="41" t="str">
        <f aca="false">_xlfn.CONCAT($A$1, ".", CALC!A28)</f>
        <v>LSD.RID.0.AL.EITCREF.24</v>
      </c>
      <c r="B27" s="55" t="str">
        <f aca="false">_xlfn.CONCAT(CALC!B28, ":", CALC!C28)</f>
        <v>Educational Services:Worker</v>
      </c>
      <c r="C27" s="65" t="n">
        <f aca="false">CALC!BD28</f>
        <v>0</v>
      </c>
      <c r="D27" s="65" t="n">
        <f aca="false">CALC!BE28</f>
        <v>0</v>
      </c>
      <c r="E27" s="65" t="n">
        <f aca="false">CALC!BF28</f>
        <v>0</v>
      </c>
      <c r="F27" s="65" t="n">
        <f aca="false">CALC!BG28</f>
        <v>0</v>
      </c>
    </row>
    <row r="28" customFormat="false" ht="12.8" hidden="false" customHeight="false" outlineLevel="0" collapsed="false">
      <c r="A28" s="41" t="str">
        <f aca="false">_xlfn.CONCAT($A$1, ".", CALC!A29)</f>
        <v>LSD.RID.0.AL.EITCREF.25</v>
      </c>
      <c r="B28" s="55" t="str">
        <f aca="false">_xlfn.CONCAT(CALC!B29, ":", CALC!C29)</f>
        <v>Finance &amp; Insurance:Support</v>
      </c>
      <c r="C28" s="65" t="n">
        <f aca="false">CALC!BD29</f>
        <v>0</v>
      </c>
      <c r="D28" s="65" t="n">
        <f aca="false">CALC!BE29</f>
        <v>0</v>
      </c>
      <c r="E28" s="65" t="n">
        <f aca="false">CALC!BF29</f>
        <v>0</v>
      </c>
      <c r="F28" s="65" t="n">
        <f aca="false">CALC!BG29</f>
        <v>0</v>
      </c>
    </row>
    <row r="29" customFormat="false" ht="12.8" hidden="false" customHeight="false" outlineLevel="0" collapsed="false">
      <c r="A29" s="41" t="str">
        <f aca="false">_xlfn.CONCAT($A$1, ".", CALC!A30)</f>
        <v>LSD.RID.0.AL.EITCREF.26</v>
      </c>
      <c r="B29" s="55" t="str">
        <f aca="false">_xlfn.CONCAT(CALC!B30, ":", CALC!C30)</f>
        <v>Finance &amp; Insurance:Worker</v>
      </c>
      <c r="C29" s="65" t="n">
        <f aca="false">CALC!BD30</f>
        <v>0</v>
      </c>
      <c r="D29" s="65" t="n">
        <f aca="false">CALC!BE30</f>
        <v>0</v>
      </c>
      <c r="E29" s="65" t="n">
        <f aca="false">CALC!BF30</f>
        <v>0</v>
      </c>
      <c r="F29" s="65" t="n">
        <f aca="false">CALC!BG30</f>
        <v>0</v>
      </c>
    </row>
    <row r="30" customFormat="false" ht="12.8" hidden="false" customHeight="false" outlineLevel="0" collapsed="false">
      <c r="A30" s="41" t="str">
        <f aca="false">_xlfn.CONCAT($A$1, ".", CALC!A31)</f>
        <v>LSD.RID.0.AL.EITCREF.27</v>
      </c>
      <c r="B30" s="55" t="str">
        <f aca="false">_xlfn.CONCAT(CALC!B31, ":", CALC!C31)</f>
        <v>Media and Information Technology:Support</v>
      </c>
      <c r="C30" s="65" t="n">
        <f aca="false">CALC!BD31</f>
        <v>0</v>
      </c>
      <c r="D30" s="65" t="n">
        <f aca="false">CALC!BE31</f>
        <v>0</v>
      </c>
      <c r="E30" s="65" t="n">
        <f aca="false">CALC!BF31</f>
        <v>0</v>
      </c>
      <c r="F30" s="65" t="n">
        <f aca="false">CALC!BG31</f>
        <v>0</v>
      </c>
    </row>
    <row r="31" customFormat="false" ht="12.8" hidden="false" customHeight="false" outlineLevel="0" collapsed="false">
      <c r="A31" s="41" t="str">
        <f aca="false">_xlfn.CONCAT($A$1, ".", CALC!A32)</f>
        <v>LSD.RID.0.AL.EITCREF.28</v>
      </c>
      <c r="B31" s="55" t="str">
        <f aca="false">_xlfn.CONCAT(CALC!B32, ":", CALC!C32)</f>
        <v>Media and Information Technology:Worker</v>
      </c>
      <c r="C31" s="65" t="n">
        <f aca="false">CALC!BD32</f>
        <v>0</v>
      </c>
      <c r="D31" s="65" t="n">
        <f aca="false">CALC!BE32</f>
        <v>0</v>
      </c>
      <c r="E31" s="65" t="n">
        <f aca="false">CALC!BF32</f>
        <v>0</v>
      </c>
      <c r="F31" s="65" t="n">
        <f aca="false">CALC!BG32</f>
        <v>0</v>
      </c>
    </row>
    <row r="32" customFormat="false" ht="12.8" hidden="false" customHeight="false" outlineLevel="0" collapsed="false">
      <c r="A32" s="41" t="str">
        <f aca="false">_xlfn.CONCAT($A$1, ".", CALC!A33)</f>
        <v>LSD.RID.0.AL.EITCREF.29</v>
      </c>
      <c r="B32" s="55" t="str">
        <f aca="false">_xlfn.CONCAT(CALC!B33, ":", CALC!C33)</f>
        <v>Government:Support</v>
      </c>
      <c r="C32" s="65" t="n">
        <f aca="false">CALC!BD33</f>
        <v>0</v>
      </c>
      <c r="D32" s="65" t="n">
        <f aca="false">CALC!BE33</f>
        <v>0</v>
      </c>
      <c r="E32" s="65" t="n">
        <f aca="false">CALC!BF33</f>
        <v>0</v>
      </c>
      <c r="F32" s="65" t="n">
        <f aca="false">CALC!BG33</f>
        <v>0</v>
      </c>
    </row>
    <row r="33" customFormat="false" ht="12.8" hidden="false" customHeight="false" outlineLevel="0" collapsed="false">
      <c r="A33" s="41" t="str">
        <f aca="false">_xlfn.CONCAT($A$1, ".", CALC!A34)</f>
        <v>LSD.RID.0.AL.EITCREF.30</v>
      </c>
      <c r="B33" s="55" t="str">
        <f aca="false">_xlfn.CONCAT(CALC!B34, ":", CALC!C34)</f>
        <v>Government:Worker</v>
      </c>
      <c r="C33" s="65" t="n">
        <f aca="false">CALC!BD34</f>
        <v>0</v>
      </c>
      <c r="D33" s="65" t="n">
        <f aca="false">CALC!BE34</f>
        <v>0</v>
      </c>
      <c r="E33" s="65" t="n">
        <f aca="false">CALC!BF34</f>
        <v>0</v>
      </c>
      <c r="F33" s="65" t="n">
        <f aca="false">CALC!BG34</f>
        <v>0</v>
      </c>
    </row>
    <row r="34" customFormat="false" ht="12.8" hidden="false" customHeight="false" outlineLevel="0" collapsed="false">
      <c r="A34" s="41" t="str">
        <f aca="false">_xlfn.CONCAT($A$1, ".", CALC!A35)</f>
        <v>LSD.RID.0.AL.EITCREF.31</v>
      </c>
      <c r="B34" s="55" t="str">
        <f aca="false">_xlfn.CONCAT(CALC!B35, ":", CALC!C35)</f>
        <v>Self-Employed / Non-Employer:Support</v>
      </c>
      <c r="C34" s="65" t="n">
        <f aca="false">CALC!BD35</f>
        <v>0</v>
      </c>
      <c r="D34" s="65" t="n">
        <f aca="false">CALC!BE35</f>
        <v>0</v>
      </c>
      <c r="E34" s="65" t="n">
        <f aca="false">CALC!BF35</f>
        <v>0</v>
      </c>
      <c r="F34" s="65" t="n">
        <f aca="false">CALC!BG35</f>
        <v>0</v>
      </c>
    </row>
    <row r="35" customFormat="false" ht="12.8" hidden="false" customHeight="false" outlineLevel="0" collapsed="false">
      <c r="A35" s="41" t="str">
        <f aca="false">_xlfn.CONCAT($A$1, ".", CALC!A36)</f>
        <v>LSD.RID.0.AL.EITCREF.32</v>
      </c>
      <c r="B35" s="55" t="str">
        <f aca="false">_xlfn.CONCAT(CALC!B36, ":", CALC!C36)</f>
        <v>Self-Employed / Non-Employer:Worker</v>
      </c>
      <c r="C35" s="65" t="n">
        <f aca="false">CALC!BD36</f>
        <v>0</v>
      </c>
      <c r="D35" s="65" t="n">
        <f aca="false">CALC!BE36</f>
        <v>0</v>
      </c>
      <c r="E35" s="65" t="n">
        <f aca="false">CALC!BF36</f>
        <v>0</v>
      </c>
      <c r="F35" s="65" t="n">
        <f aca="false">CALC!BG36</f>
        <v>0</v>
      </c>
    </row>
    <row r="36" customFormat="false" ht="12.8" hidden="false" customHeight="false" outlineLevel="0" collapsed="false">
      <c r="A36" s="41" t="str">
        <f aca="false">_xlfn.CONCAT($A$1, ".", CALC!A37)</f>
        <v>LSD.RID.0.AL.EITCREF.33</v>
      </c>
      <c r="B36" s="55" t="str">
        <f aca="false">_xlfn.CONCAT(CALC!B37, ":", CALC!C37)</f>
        <v>Other Services:Support</v>
      </c>
      <c r="C36" s="65" t="n">
        <f aca="false">CALC!BD37</f>
        <v>0</v>
      </c>
      <c r="D36" s="65" t="n">
        <f aca="false">CALC!BE37</f>
        <v>0</v>
      </c>
      <c r="E36" s="65" t="n">
        <f aca="false">CALC!BF37</f>
        <v>0</v>
      </c>
      <c r="F36" s="65" t="n">
        <f aca="false">CALC!BG37</f>
        <v>0</v>
      </c>
    </row>
    <row r="37" customFormat="false" ht="12.8" hidden="false" customHeight="false" outlineLevel="0" collapsed="false">
      <c r="A37" s="41" t="str">
        <f aca="false">_xlfn.CONCAT($A$1, ".", CALC!A38)</f>
        <v>LSD.RID.0.AL.EITCREF.34</v>
      </c>
      <c r="B37" s="55" t="str">
        <f aca="false">_xlfn.CONCAT(CALC!B38, ":", CALC!C38)</f>
        <v>Other Services:Worker</v>
      </c>
      <c r="C37" s="65" t="n">
        <f aca="false">CALC!BD38</f>
        <v>0</v>
      </c>
      <c r="D37" s="65" t="n">
        <f aca="false">CALC!BE38</f>
        <v>0</v>
      </c>
      <c r="E37" s="65" t="n">
        <f aca="false">CALC!BF38</f>
        <v>0</v>
      </c>
      <c r="F37" s="65" t="n">
        <f aca="false">CALC!BG38</f>
        <v>0</v>
      </c>
    </row>
    <row r="38" customFormat="false" ht="12.8" hidden="false" customHeight="false" outlineLevel="0" collapsed="false">
      <c r="A38" s="41" t="str">
        <f aca="false">_xlfn.CONCAT($A$1, ".", CALC!A39)</f>
        <v>LSD.RID.0.AL.EITCREF.35</v>
      </c>
      <c r="B38" s="55" t="str">
        <f aca="false">_xlfn.CONCAT(CALC!B39, ":", CALC!C39)</f>
        <v>Mining, Quarrying, and Oil/Gas Extraction:Support</v>
      </c>
      <c r="C38" s="65" t="n">
        <f aca="false">CALC!BD39</f>
        <v>0</v>
      </c>
      <c r="D38" s="65" t="n">
        <f aca="false">CALC!BE39</f>
        <v>0</v>
      </c>
      <c r="E38" s="65" t="n">
        <f aca="false">CALC!BF39</f>
        <v>0</v>
      </c>
      <c r="F38" s="65" t="n">
        <f aca="false">CALC!BG39</f>
        <v>0</v>
      </c>
    </row>
    <row r="39" customFormat="false" ht="12.8" hidden="false" customHeight="false" outlineLevel="0" collapsed="false">
      <c r="A39" s="41" t="str">
        <f aca="false">_xlfn.CONCAT($A$1, ".", CALC!A40)</f>
        <v>LSD.RID.0.AL.EITCREF.36</v>
      </c>
      <c r="B39" s="55" t="str">
        <f aca="false">_xlfn.CONCAT(CALC!B40, ":", CALC!C40)</f>
        <v>Mining, Quarrying, and Oil/Gas Extraction:Worker</v>
      </c>
      <c r="C39" s="65" t="n">
        <f aca="false">CALC!BD40</f>
        <v>0</v>
      </c>
      <c r="D39" s="65" t="n">
        <f aca="false">CALC!BE40</f>
        <v>0</v>
      </c>
      <c r="E39" s="65" t="n">
        <f aca="false">CALC!BF40</f>
        <v>0</v>
      </c>
      <c r="F39" s="65" t="n">
        <f aca="false">CALC!BG40</f>
        <v>0</v>
      </c>
    </row>
    <row r="40" customFormat="false" ht="12.8" hidden="false" customHeight="false" outlineLevel="0" collapsed="false">
      <c r="A40" s="41" t="str">
        <f aca="false">_xlfn.CONCAT($A$1, ".", CALC!A41)</f>
        <v>LSD.RID.0.AL.EITCREF.37</v>
      </c>
      <c r="B40" s="55" t="str">
        <f aca="false">_xlfn.CONCAT(CALC!B41, ":", CALC!C41)</f>
        <v>Utilities:Support</v>
      </c>
      <c r="C40" s="65" t="n">
        <f aca="false">CALC!BD41</f>
        <v>0</v>
      </c>
      <c r="D40" s="65" t="n">
        <f aca="false">CALC!BE41</f>
        <v>0</v>
      </c>
      <c r="E40" s="65" t="n">
        <f aca="false">CALC!BF41</f>
        <v>0</v>
      </c>
      <c r="F40" s="65" t="n">
        <f aca="false">CALC!BG41</f>
        <v>0</v>
      </c>
    </row>
    <row r="41" customFormat="false" ht="12.8" hidden="false" customHeight="false" outlineLevel="0" collapsed="false">
      <c r="A41" s="41" t="str">
        <f aca="false">_xlfn.CONCAT($A$1, ".", CALC!A42)</f>
        <v>LSD.RID.0.AL.EITCREF.38</v>
      </c>
      <c r="B41" s="55" t="str">
        <f aca="false">_xlfn.CONCAT(CALC!B42, ":", CALC!C42)</f>
        <v>Utilities:Worker</v>
      </c>
      <c r="C41" s="65" t="n">
        <f aca="false">CALC!BD42</f>
        <v>0</v>
      </c>
      <c r="D41" s="65" t="n">
        <f aca="false">CALC!BE42</f>
        <v>0</v>
      </c>
      <c r="E41" s="65" t="n">
        <f aca="false">CALC!BF42</f>
        <v>0</v>
      </c>
      <c r="F41" s="65" t="n">
        <f aca="false">CALC!BG42</f>
        <v>0</v>
      </c>
    </row>
    <row r="42" customFormat="false" ht="12.8" hidden="false" customHeight="false" outlineLevel="0" collapsed="false">
      <c r="A42" s="41" t="str">
        <f aca="false">_xlfn.CONCAT($A$1, ".", CALC!A43)</f>
        <v>LSD.RID.0.AL.EITCREF.39</v>
      </c>
      <c r="B42" s="55" t="str">
        <f aca="false">_xlfn.CONCAT(CALC!B43, ":", CALC!C43)</f>
        <v>Wholesale Trade:Support</v>
      </c>
      <c r="C42" s="65" t="n">
        <f aca="false">CALC!BD43</f>
        <v>0</v>
      </c>
      <c r="D42" s="65" t="n">
        <f aca="false">CALC!BE43</f>
        <v>0</v>
      </c>
      <c r="E42" s="65" t="n">
        <f aca="false">CALC!BF43</f>
        <v>0</v>
      </c>
      <c r="F42" s="65" t="n">
        <f aca="false">CALC!BG43</f>
        <v>0</v>
      </c>
    </row>
    <row r="43" customFormat="false" ht="12.8" hidden="false" customHeight="false" outlineLevel="0" collapsed="false">
      <c r="A43" s="41" t="str">
        <f aca="false">_xlfn.CONCAT($A$1, ".", CALC!A44)</f>
        <v>LSD.RID.0.AL.EITCREF.40</v>
      </c>
      <c r="B43" s="55" t="str">
        <f aca="false">_xlfn.CONCAT(CALC!B44, ":", CALC!C44)</f>
        <v>Wholesale Trade:Worker</v>
      </c>
      <c r="C43" s="65" t="n">
        <f aca="false">CALC!BD44</f>
        <v>0</v>
      </c>
      <c r="D43" s="65" t="n">
        <f aca="false">CALC!BE44</f>
        <v>0</v>
      </c>
      <c r="E43" s="65" t="n">
        <f aca="false">CALC!BF44</f>
        <v>0</v>
      </c>
      <c r="F43" s="65" t="n">
        <f aca="false">CALC!BG44</f>
        <v>0</v>
      </c>
    </row>
    <row r="44" customFormat="false" ht="12.8" hidden="false" customHeight="false" outlineLevel="0" collapsed="false">
      <c r="A44" s="41" t="str">
        <f aca="false">_xlfn.CONCAT($A$1, ".", CALC!A45)</f>
        <v>LSD.RID.0.AL.EITCREF.41</v>
      </c>
      <c r="B44" s="55" t="str">
        <f aca="false">_xlfn.CONCAT(CALC!B45, ":", CALC!C45)</f>
        <v>Information:Support</v>
      </c>
      <c r="C44" s="65" t="n">
        <f aca="false">CALC!BD45</f>
        <v>0</v>
      </c>
      <c r="D44" s="65" t="n">
        <f aca="false">CALC!BE45</f>
        <v>0</v>
      </c>
      <c r="E44" s="65" t="n">
        <f aca="false">CALC!BF45</f>
        <v>0</v>
      </c>
      <c r="F44" s="65" t="n">
        <f aca="false">CALC!BG45</f>
        <v>0</v>
      </c>
    </row>
    <row r="45" customFormat="false" ht="12.8" hidden="false" customHeight="false" outlineLevel="0" collapsed="false">
      <c r="A45" s="41" t="str">
        <f aca="false">_xlfn.CONCAT($A$1, ".", CALC!A46)</f>
        <v>LSD.RID.0.AL.EITCREF.42</v>
      </c>
      <c r="B45" s="55" t="str">
        <f aca="false">_xlfn.CONCAT(CALC!B46, ":", CALC!C46)</f>
        <v>Information:Worker</v>
      </c>
      <c r="C45" s="65" t="n">
        <f aca="false">CALC!BD46</f>
        <v>0</v>
      </c>
      <c r="D45" s="65" t="n">
        <f aca="false">CALC!BE46</f>
        <v>0</v>
      </c>
      <c r="E45" s="65" t="n">
        <f aca="false">CALC!BF46</f>
        <v>0</v>
      </c>
      <c r="F45" s="65" t="n">
        <f aca="false">CALC!BG46</f>
        <v>0</v>
      </c>
    </row>
    <row r="46" customFormat="false" ht="12.8" hidden="false" customHeight="false" outlineLevel="0" collapsed="false">
      <c r="A46" s="41" t="str">
        <f aca="false">_xlfn.CONCAT($A$1, ".", CALC!A47)</f>
        <v>LSD.RID.0.AL.EITCREF.43</v>
      </c>
      <c r="B46" s="55" t="str">
        <f aca="false">_xlfn.CONCAT(CALC!B47, ":", CALC!C47)</f>
        <v>Real Estate, Rental and Leasing:Support</v>
      </c>
      <c r="C46" s="65" t="n">
        <f aca="false">CALC!BD47</f>
        <v>0</v>
      </c>
      <c r="D46" s="65" t="n">
        <f aca="false">CALC!BE47</f>
        <v>0</v>
      </c>
      <c r="E46" s="65" t="n">
        <f aca="false">CALC!BF47</f>
        <v>0</v>
      </c>
      <c r="F46" s="65" t="n">
        <f aca="false">CALC!BG47</f>
        <v>0</v>
      </c>
    </row>
    <row r="47" customFormat="false" ht="12.8" hidden="false" customHeight="false" outlineLevel="0" collapsed="false">
      <c r="A47" s="41" t="str">
        <f aca="false">_xlfn.CONCAT($A$1, ".", CALC!A48)</f>
        <v>LSD.RID.0.AL.EITCREF.44</v>
      </c>
      <c r="B47" s="55" t="str">
        <f aca="false">_xlfn.CONCAT(CALC!B48, ":", CALC!C48)</f>
        <v>Real Estate, Rental and Leasing:Worker</v>
      </c>
      <c r="C47" s="65" t="n">
        <f aca="false">CALC!BD48</f>
        <v>0</v>
      </c>
      <c r="D47" s="65" t="n">
        <f aca="false">CALC!BE48</f>
        <v>0</v>
      </c>
      <c r="E47" s="65" t="n">
        <f aca="false">CALC!BF48</f>
        <v>0</v>
      </c>
      <c r="F47" s="65" t="n">
        <f aca="false">CALC!BG48</f>
        <v>0</v>
      </c>
    </row>
    <row r="48" customFormat="false" ht="12.8" hidden="false" customHeight="false" outlineLevel="0" collapsed="false">
      <c r="A48" s="41" t="str">
        <f aca="false">_xlfn.CONCAT($A$1, ".", CALC!A49)</f>
        <v>LSD.RID.0.AL.EITCREF.45</v>
      </c>
      <c r="B48" s="55" t="str">
        <f aca="false">_xlfn.CONCAT(CALC!B49, ":", CALC!C49)</f>
        <v>Waste Management Services:Support</v>
      </c>
      <c r="C48" s="65" t="n">
        <f aca="false">CALC!BD49</f>
        <v>0</v>
      </c>
      <c r="D48" s="65" t="n">
        <f aca="false">CALC!BE49</f>
        <v>0</v>
      </c>
      <c r="E48" s="65" t="n">
        <f aca="false">CALC!BF49</f>
        <v>0</v>
      </c>
      <c r="F48" s="65" t="n">
        <f aca="false">CALC!BG49</f>
        <v>0</v>
      </c>
    </row>
    <row r="49" customFormat="false" ht="12.8" hidden="false" customHeight="false" outlineLevel="0" collapsed="false">
      <c r="A49" s="41" t="str">
        <f aca="false">_xlfn.CONCAT($A$1, ".", CALC!A50)</f>
        <v>LSD.RID.0.AL.EITCREF.46</v>
      </c>
      <c r="B49" s="55" t="str">
        <f aca="false">_xlfn.CONCAT(CALC!B50, ":", CALC!C50)</f>
        <v>Waste Management Services:Worker</v>
      </c>
      <c r="C49" s="65" t="n">
        <f aca="false">CALC!BD50</f>
        <v>0</v>
      </c>
      <c r="D49" s="65" t="n">
        <f aca="false">CALC!BE50</f>
        <v>0</v>
      </c>
      <c r="E49" s="65" t="n">
        <f aca="false">CALC!BF50</f>
        <v>0</v>
      </c>
      <c r="F49" s="65" t="n">
        <f aca="false">CALC!BG50</f>
        <v>0</v>
      </c>
    </row>
    <row r="50" customFormat="false" ht="12.8" hidden="false" customHeight="false" outlineLevel="0" collapsed="false">
      <c r="A50" s="41" t="str">
        <f aca="false">_xlfn.CONCAT($A$1, ".", CALC!A51)</f>
        <v>LSD.RID.0.AL.EITCREF.47</v>
      </c>
      <c r="B50" s="55" t="str">
        <f aca="false">_xlfn.CONCAT(CALC!B51, ":", CALC!C51)</f>
        <v>Arts, Entertainment, and Recreation:Support</v>
      </c>
      <c r="C50" s="65" t="n">
        <f aca="false">CALC!BD51</f>
        <v>0</v>
      </c>
      <c r="D50" s="65" t="n">
        <f aca="false">CALC!BE51</f>
        <v>0</v>
      </c>
      <c r="E50" s="65" t="n">
        <f aca="false">CALC!BF51</f>
        <v>0</v>
      </c>
      <c r="F50" s="65" t="n">
        <f aca="false">CALC!BG51</f>
        <v>0</v>
      </c>
    </row>
    <row r="51" customFormat="false" ht="12.8" hidden="false" customHeight="false" outlineLevel="0" collapsed="false">
      <c r="A51" s="41" t="str">
        <f aca="false">_xlfn.CONCAT($A$1, ".", CALC!A52)</f>
        <v>LSD.RID.0.AL.EITCREF.48</v>
      </c>
      <c r="B51" s="55" t="str">
        <f aca="false">_xlfn.CONCAT(CALC!B52, ":", CALC!C52)</f>
        <v>Arts, Entertainment, and Recreation:Worker</v>
      </c>
      <c r="C51" s="65" t="n">
        <f aca="false">CALC!BD52</f>
        <v>0</v>
      </c>
      <c r="D51" s="65" t="n">
        <f aca="false">CALC!BE52</f>
        <v>0</v>
      </c>
      <c r="E51" s="65" t="n">
        <f aca="false">CALC!BF52</f>
        <v>0</v>
      </c>
      <c r="F51" s="65" t="n">
        <f aca="false">CALC!BG52</f>
        <v>0</v>
      </c>
    </row>
    <row r="52" customFormat="false" ht="12.8" hidden="false" customHeight="false" outlineLevel="0" collapsed="false">
      <c r="A52" s="41" t="str">
        <f aca="false">_xlfn.CONCAT($A$1, ".", CALC!A53)</f>
        <v>LSD.RID.0.AL.EITCREF.49</v>
      </c>
      <c r="B52" s="55" t="str">
        <f aca="false">_xlfn.CONCAT(CALC!B53, ":", CALC!C53)</f>
        <v>Accommodation and Food Services:Support</v>
      </c>
      <c r="C52" s="65" t="n">
        <f aca="false">CALC!BD53</f>
        <v>0</v>
      </c>
      <c r="D52" s="65" t="n">
        <f aca="false">CALC!BE53</f>
        <v>0</v>
      </c>
      <c r="E52" s="65" t="n">
        <f aca="false">CALC!BF53</f>
        <v>0</v>
      </c>
      <c r="F52" s="65" t="n">
        <f aca="false">CALC!BG53</f>
        <v>0</v>
      </c>
    </row>
    <row r="53" customFormat="false" ht="12.8" hidden="false" customHeight="false" outlineLevel="0" collapsed="false">
      <c r="A53" s="41" t="str">
        <f aca="false">_xlfn.CONCAT($A$1, ".", CALC!A54)</f>
        <v>LSD.RID.0.AL.EITCREF.50</v>
      </c>
      <c r="B53" s="55" t="str">
        <f aca="false">_xlfn.CONCAT(CALC!B54, ":", CALC!C54)</f>
        <v>Accommodation and Food Services:Worker</v>
      </c>
      <c r="C53" s="65" t="n">
        <f aca="false">CALC!BD54</f>
        <v>0</v>
      </c>
      <c r="D53" s="65" t="n">
        <f aca="false">CALC!BE54</f>
        <v>0</v>
      </c>
      <c r="E53" s="65" t="n">
        <f aca="false">CALC!BF54</f>
        <v>0</v>
      </c>
      <c r="F53" s="65" t="n">
        <f aca="false">CALC!BG54</f>
        <v>0</v>
      </c>
    </row>
    <row r="54" customFormat="false" ht="12.8" hidden="false" customHeight="false" outlineLevel="0" collapsed="false">
      <c r="A54" s="41" t="str">
        <f aca="false">_xlfn.CONCAT($A$1, ".", CALC!A55)</f>
        <v>LSD.RID.0.AL.EITCREF.51</v>
      </c>
      <c r="B54" s="55" t="str">
        <f aca="false">_xlfn.CONCAT(CALC!B55, ":", CALC!C55)</f>
        <v>Public Administration:Support</v>
      </c>
      <c r="C54" s="65" t="n">
        <f aca="false">CALC!BD55</f>
        <v>0</v>
      </c>
      <c r="D54" s="65" t="n">
        <f aca="false">CALC!BE55</f>
        <v>0</v>
      </c>
      <c r="E54" s="65" t="n">
        <f aca="false">CALC!BF55</f>
        <v>0</v>
      </c>
      <c r="F54" s="65" t="n">
        <f aca="false">CALC!BG55</f>
        <v>0</v>
      </c>
    </row>
    <row r="55" customFormat="false" ht="12.8" hidden="false" customHeight="false" outlineLevel="0" collapsed="false">
      <c r="A55" s="41" t="str">
        <f aca="false">_xlfn.CONCAT($A$1, ".", CALC!A56)</f>
        <v>LSD.RID.0.AL.EITCREF.52</v>
      </c>
      <c r="B55" s="55" t="str">
        <f aca="false">_xlfn.CONCAT(CALC!B56, ":", CALC!C56)</f>
        <v>Public Administration:Worker</v>
      </c>
      <c r="C55" s="65" t="n">
        <f aca="false">CALC!BD56</f>
        <v>0</v>
      </c>
      <c r="D55" s="65" t="n">
        <f aca="false">CALC!BE56</f>
        <v>0</v>
      </c>
      <c r="E55" s="65" t="n">
        <f aca="false">CALC!BF56</f>
        <v>0</v>
      </c>
      <c r="F55" s="65" t="n">
        <f aca="false">CALC!BG56</f>
        <v>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4"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202"/>
    <pageSetUpPr fitToPage="false"/>
  </sheetPr>
  <dimension ref="A1:BP248"/>
  <sheetViews>
    <sheetView showFormulas="false" showGridLines="true" showRowColHeaders="true" showZeros="true" rightToLeft="false" tabSelected="false" showOutlineSymbols="true" defaultGridColor="true" view="normal" topLeftCell="A30" colorId="64" zoomScale="65" zoomScaleNormal="65" zoomScalePageLayoutView="100" workbookViewId="0">
      <selection pane="topLeft" activeCell="B45" activeCellId="0" sqref="B45"/>
    </sheetView>
  </sheetViews>
  <sheetFormatPr defaultColWidth="11.53515625" defaultRowHeight="12.8" customHeight="false" zeroHeight="false" outlineLevelRow="1" outlineLevelCol="0"/>
  <cols>
    <col collapsed="false" customWidth="true" hidden="false" outlineLevel="0" max="1" min="1" style="41" width="13.84"/>
    <col collapsed="false" customWidth="true" hidden="false" outlineLevel="0" max="2" min="2" style="26" width="36.9"/>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23.85" hidden="false" customHeight="false" outlineLevel="0" collapsed="false">
      <c r="A1" s="4" t="s">
        <v>2170</v>
      </c>
      <c r="B1" s="47" t="s">
        <v>2171</v>
      </c>
      <c r="C1" s="6" t="s">
        <v>2</v>
      </c>
      <c r="D1" s="51" t="s">
        <v>2172</v>
      </c>
      <c r="AZ1" s="26"/>
      <c r="BP1" s="26"/>
    </row>
    <row r="2" customFormat="false" ht="35.05" hidden="false" customHeight="false" outlineLevel="0" collapsed="false">
      <c r="A2" s="52" t="s">
        <v>2140</v>
      </c>
      <c r="B2" s="47" t="s">
        <v>2141</v>
      </c>
      <c r="C2" s="64" t="str">
        <f aca="false">CALC!BH3</f>
        <v>ACTC Refund</v>
      </c>
      <c r="D2" s="64" t="str">
        <f aca="false">CALC!BI3</f>
        <v>Authorized Immigrant ACTC Refund</v>
      </c>
      <c r="E2" s="64" t="str">
        <f aca="false">CALC!BJ3</f>
        <v>Unauthorized Immigrant ACTC Refund</v>
      </c>
      <c r="F2" s="64" t="str">
        <f aca="false">CALC!BK3</f>
        <v>American Tax ACTC Refund</v>
      </c>
    </row>
    <row r="3" customFormat="false" ht="12.8" hidden="false" customHeight="false" outlineLevel="0" collapsed="false">
      <c r="A3" s="4" t="str">
        <f aca="false">_xlfn.CONCAT($A$1, ".", CALC!A4)</f>
        <v>LSD.RID.0.AL.ACTCREF.0</v>
      </c>
      <c r="B3" s="58" t="str">
        <f aca="false">_xlfn.CONCAT(CALC!B4, ":", CALC!C4)</f>
        <v>All Industries:All Roles</v>
      </c>
      <c r="C3" s="64" t="n">
        <f aca="false">CALC!BH4</f>
        <v>0</v>
      </c>
      <c r="D3" s="64" t="n">
        <f aca="false">CALC!BI4</f>
        <v>0</v>
      </c>
      <c r="E3" s="64" t="n">
        <f aca="false">CALC!BJ4</f>
        <v>0</v>
      </c>
      <c r="F3" s="64" t="n">
        <f aca="false">CALC!BK4</f>
        <v>0</v>
      </c>
    </row>
    <row r="4" customFormat="false" ht="12.8" hidden="false" customHeight="false" outlineLevel="0" collapsed="false">
      <c r="A4" s="41" t="str">
        <f aca="false">_xlfn.CONCAT($A$1, ".", CALC!A5)</f>
        <v>LSD.RID.0.AL.ACTCREF.1</v>
      </c>
      <c r="B4" s="55" t="str">
        <f aca="false">_xlfn.CONCAT(CALC!B5, ":", CALC!C5)</f>
        <v>Agriculture:Support</v>
      </c>
      <c r="C4" s="65" t="n">
        <f aca="false">CALC!BH5</f>
        <v>0</v>
      </c>
      <c r="D4" s="65" t="n">
        <f aca="false">CALC!BI5</f>
        <v>0</v>
      </c>
      <c r="E4" s="65" t="n">
        <f aca="false">CALC!BJ5</f>
        <v>0</v>
      </c>
      <c r="F4" s="65" t="n">
        <f aca="false">CALC!BK5</f>
        <v>0</v>
      </c>
    </row>
    <row r="5" customFormat="false" ht="12.8" hidden="false" customHeight="false" outlineLevel="0" collapsed="false">
      <c r="A5" s="41" t="str">
        <f aca="false">_xlfn.CONCAT($A$1, ".", CALC!A6)</f>
        <v>LSD.RID.0.AL.ACTCREF.2</v>
      </c>
      <c r="B5" s="55" t="str">
        <f aca="false">_xlfn.CONCAT(CALC!B6, ":", CALC!C6)</f>
        <v>Agriculture:Worker</v>
      </c>
      <c r="C5" s="65" t="n">
        <f aca="false">CALC!BH6</f>
        <v>0</v>
      </c>
      <c r="D5" s="65" t="n">
        <f aca="false">CALC!BI6</f>
        <v>0</v>
      </c>
      <c r="E5" s="65" t="n">
        <f aca="false">CALC!BJ6</f>
        <v>0</v>
      </c>
      <c r="F5" s="65" t="n">
        <f aca="false">CALC!BK6</f>
        <v>0</v>
      </c>
    </row>
    <row r="6" customFormat="false" ht="12.8" hidden="false" customHeight="false" outlineLevel="0" collapsed="false">
      <c r="A6" s="41" t="str">
        <f aca="false">_xlfn.CONCAT($A$1, ".", CALC!A7)</f>
        <v>LSD.RID.0.AL.ACTCREF.3</v>
      </c>
      <c r="B6" s="55" t="str">
        <f aca="false">_xlfn.CONCAT(CALC!B7, ":", CALC!C7)</f>
        <v>Construction:Support</v>
      </c>
      <c r="C6" s="65" t="n">
        <f aca="false">CALC!BH7</f>
        <v>0</v>
      </c>
      <c r="D6" s="65" t="n">
        <f aca="false">CALC!BI7</f>
        <v>0</v>
      </c>
      <c r="E6" s="65" t="n">
        <f aca="false">CALC!BJ7</f>
        <v>0</v>
      </c>
      <c r="F6" s="65" t="n">
        <f aca="false">CALC!BK7</f>
        <v>0</v>
      </c>
    </row>
    <row r="7" customFormat="false" ht="12.8" hidden="false" customHeight="false" outlineLevel="0" collapsed="false">
      <c r="A7" s="41" t="str">
        <f aca="false">_xlfn.CONCAT($A$1, ".", CALC!A8)</f>
        <v>LSD.RID.0.AL.ACTCREF.4</v>
      </c>
      <c r="B7" s="55" t="str">
        <f aca="false">_xlfn.CONCAT(CALC!B8, ":", CALC!C8)</f>
        <v>Construction:Worker</v>
      </c>
      <c r="C7" s="65" t="n">
        <f aca="false">CALC!BH8</f>
        <v>0</v>
      </c>
      <c r="D7" s="65" t="n">
        <f aca="false">CALC!BI8</f>
        <v>0</v>
      </c>
      <c r="E7" s="65" t="n">
        <f aca="false">CALC!BJ8</f>
        <v>0</v>
      </c>
      <c r="F7" s="65" t="n">
        <f aca="false">CALC!BK8</f>
        <v>0</v>
      </c>
    </row>
    <row r="8" customFormat="false" ht="12.8" hidden="false" customHeight="false" outlineLevel="0" collapsed="false">
      <c r="A8" s="41" t="str">
        <f aca="false">_xlfn.CONCAT($A$1, ".", CALC!A9)</f>
        <v>LSD.RID.0.AL.ACTCREF.5</v>
      </c>
      <c r="B8" s="55" t="str">
        <f aca="false">_xlfn.CONCAT(CALC!B9, ":", CALC!C9)</f>
        <v>Hospitality:Support</v>
      </c>
      <c r="C8" s="65" t="n">
        <f aca="false">CALC!BH9</f>
        <v>0</v>
      </c>
      <c r="D8" s="65" t="n">
        <f aca="false">CALC!BI9</f>
        <v>0</v>
      </c>
      <c r="E8" s="65" t="n">
        <f aca="false">CALC!BJ9</f>
        <v>0</v>
      </c>
      <c r="F8" s="65" t="n">
        <f aca="false">CALC!BK9</f>
        <v>0</v>
      </c>
    </row>
    <row r="9" customFormat="false" ht="12.8" hidden="false" customHeight="false" outlineLevel="0" collapsed="false">
      <c r="A9" s="41" t="str">
        <f aca="false">_xlfn.CONCAT($A$1, ".", CALC!A10)</f>
        <v>LSD.RID.0.AL.ACTCREF.6</v>
      </c>
      <c r="B9" s="55" t="str">
        <f aca="false">_xlfn.CONCAT(CALC!B10, ":", CALC!C10)</f>
        <v>Hospitality:Worker</v>
      </c>
      <c r="C9" s="65" t="n">
        <f aca="false">CALC!BH10</f>
        <v>0</v>
      </c>
      <c r="D9" s="65" t="n">
        <f aca="false">CALC!BI10</f>
        <v>0</v>
      </c>
      <c r="E9" s="65" t="n">
        <f aca="false">CALC!BJ10</f>
        <v>0</v>
      </c>
      <c r="F9" s="65" t="n">
        <f aca="false">CALC!BK10</f>
        <v>0</v>
      </c>
    </row>
    <row r="10" customFormat="false" ht="12.8" hidden="false" customHeight="false" outlineLevel="0" collapsed="false">
      <c r="A10" s="41" t="str">
        <f aca="false">_xlfn.CONCAT($A$1, ".", CALC!A11)</f>
        <v>LSD.RID.0.AL.ACTCREF.7</v>
      </c>
      <c r="B10" s="55" t="str">
        <f aca="false">_xlfn.CONCAT(CALC!B11, ":", CALC!C11)</f>
        <v>Cleaning &amp; Maintenance:Support</v>
      </c>
      <c r="C10" s="65" t="n">
        <f aca="false">CALC!BH11</f>
        <v>0</v>
      </c>
      <c r="D10" s="65" t="n">
        <f aca="false">CALC!BI11</f>
        <v>0</v>
      </c>
      <c r="E10" s="65" t="n">
        <f aca="false">CALC!BJ11</f>
        <v>0</v>
      </c>
      <c r="F10" s="65" t="n">
        <f aca="false">CALC!BK11</f>
        <v>0</v>
      </c>
    </row>
    <row r="11" customFormat="false" ht="12.8" hidden="false" customHeight="false" outlineLevel="0" collapsed="false">
      <c r="A11" s="41" t="str">
        <f aca="false">_xlfn.CONCAT($A$1, ".", CALC!A12)</f>
        <v>LSD.RID.0.AL.ACTCREF.8</v>
      </c>
      <c r="B11" s="55" t="str">
        <f aca="false">_xlfn.CONCAT(CALC!B12, ":", CALC!C12)</f>
        <v>Cleaning &amp; Maintenance:Worker</v>
      </c>
      <c r="C11" s="65" t="n">
        <f aca="false">CALC!BH12</f>
        <v>0</v>
      </c>
      <c r="D11" s="65" t="n">
        <f aca="false">CALC!BI12</f>
        <v>0</v>
      </c>
      <c r="E11" s="65" t="n">
        <f aca="false">CALC!BJ12</f>
        <v>0</v>
      </c>
      <c r="F11" s="65" t="n">
        <f aca="false">CALC!BK12</f>
        <v>0</v>
      </c>
    </row>
    <row r="12" customFormat="false" ht="12.8" hidden="false" customHeight="false" outlineLevel="0" collapsed="false">
      <c r="A12" s="41" t="str">
        <f aca="false">_xlfn.CONCAT($A$1, ".", CALC!A13)</f>
        <v>LSD.RID.0.AL.ACTCREF.9</v>
      </c>
      <c r="B12" s="55" t="str">
        <f aca="false">_xlfn.CONCAT(CALC!B13, ":", CALC!C13)</f>
        <v>Manufacturing:Support</v>
      </c>
      <c r="C12" s="65" t="n">
        <f aca="false">CALC!BH13</f>
        <v>0</v>
      </c>
      <c r="D12" s="65" t="n">
        <f aca="false">CALC!BI13</f>
        <v>0</v>
      </c>
      <c r="E12" s="65" t="n">
        <f aca="false">CALC!BJ13</f>
        <v>0</v>
      </c>
      <c r="F12" s="65" t="n">
        <f aca="false">CALC!BK13</f>
        <v>0</v>
      </c>
    </row>
    <row r="13" customFormat="false" ht="12.8" hidden="false" customHeight="false" outlineLevel="0" collapsed="false">
      <c r="A13" s="41" t="str">
        <f aca="false">_xlfn.CONCAT($A$1, ".", CALC!A14)</f>
        <v>LSD.RID.0.AL.ACTCREF.10</v>
      </c>
      <c r="B13" s="55" t="str">
        <f aca="false">_xlfn.CONCAT(CALC!B14, ":", CALC!C14)</f>
        <v>Manufacturing:Worker</v>
      </c>
      <c r="C13" s="65" t="n">
        <f aca="false">CALC!BH14</f>
        <v>0</v>
      </c>
      <c r="D13" s="65" t="n">
        <f aca="false">CALC!BI14</f>
        <v>0</v>
      </c>
      <c r="E13" s="65" t="n">
        <f aca="false">CALC!BJ14</f>
        <v>0</v>
      </c>
      <c r="F13" s="65" t="n">
        <f aca="false">CALC!BK14</f>
        <v>0</v>
      </c>
    </row>
    <row r="14" customFormat="false" ht="12.8" hidden="false" customHeight="false" outlineLevel="0" collapsed="false">
      <c r="A14" s="41" t="str">
        <f aca="false">_xlfn.CONCAT($A$1, ".", CALC!A15)</f>
        <v>LSD.RID.0.AL.ACTCREF.11</v>
      </c>
      <c r="B14" s="55" t="str">
        <f aca="false">_xlfn.CONCAT(CALC!B15, ":", CALC!C15)</f>
        <v>Transportation &amp; Warehousing:Support</v>
      </c>
      <c r="C14" s="65" t="n">
        <f aca="false">CALC!BH15</f>
        <v>0</v>
      </c>
      <c r="D14" s="65" t="n">
        <f aca="false">CALC!BI15</f>
        <v>0</v>
      </c>
      <c r="E14" s="65" t="n">
        <f aca="false">CALC!BJ15</f>
        <v>0</v>
      </c>
      <c r="F14" s="65" t="n">
        <f aca="false">CALC!BK15</f>
        <v>0</v>
      </c>
    </row>
    <row r="15" customFormat="false" ht="12.8" hidden="false" customHeight="false" outlineLevel="0" collapsed="false">
      <c r="A15" s="41" t="str">
        <f aca="false">_xlfn.CONCAT($A$1, ".", CALC!A16)</f>
        <v>LSD.RID.0.AL.ACTCREF.12</v>
      </c>
      <c r="B15" s="55" t="str">
        <f aca="false">_xlfn.CONCAT(CALC!B16, ":", CALC!C16)</f>
        <v>Transportation &amp; Warehousing:Worker</v>
      </c>
      <c r="C15" s="65" t="n">
        <f aca="false">CALC!BH16</f>
        <v>0</v>
      </c>
      <c r="D15" s="65" t="n">
        <f aca="false">CALC!BI16</f>
        <v>0</v>
      </c>
      <c r="E15" s="65" t="n">
        <f aca="false">CALC!BJ16</f>
        <v>0</v>
      </c>
      <c r="F15" s="65" t="n">
        <f aca="false">CALC!BK16</f>
        <v>0</v>
      </c>
    </row>
    <row r="16" customFormat="false" ht="12.8" hidden="false" customHeight="false" outlineLevel="0" collapsed="false">
      <c r="A16" s="41" t="str">
        <f aca="false">_xlfn.CONCAT($A$1, ".", CALC!A17)</f>
        <v>LSD.RID.0.AL.ACTCREF.13</v>
      </c>
      <c r="B16" s="55" t="str">
        <f aca="false">_xlfn.CONCAT(CALC!B17, ":", CALC!C17)</f>
        <v>Retail Trade:Support</v>
      </c>
      <c r="C16" s="65" t="n">
        <f aca="false">CALC!BH17</f>
        <v>0</v>
      </c>
      <c r="D16" s="65" t="n">
        <f aca="false">CALC!BI17</f>
        <v>0</v>
      </c>
      <c r="E16" s="65" t="n">
        <f aca="false">CALC!BJ17</f>
        <v>0</v>
      </c>
      <c r="F16" s="65" t="n">
        <f aca="false">CALC!BK17</f>
        <v>0</v>
      </c>
    </row>
    <row r="17" customFormat="false" ht="12.8" hidden="false" customHeight="false" outlineLevel="0" collapsed="false">
      <c r="A17" s="41" t="str">
        <f aca="false">_xlfn.CONCAT($A$1, ".", CALC!A18)</f>
        <v>LSD.RID.0.AL.ACTCREF.14</v>
      </c>
      <c r="B17" s="55" t="str">
        <f aca="false">_xlfn.CONCAT(CALC!B18, ":", CALC!C18)</f>
        <v>Retail Trade:Worker</v>
      </c>
      <c r="C17" s="65" t="n">
        <f aca="false">CALC!BH18</f>
        <v>0</v>
      </c>
      <c r="D17" s="65" t="n">
        <f aca="false">CALC!BI18</f>
        <v>0</v>
      </c>
      <c r="E17" s="65" t="n">
        <f aca="false">CALC!BJ18</f>
        <v>0</v>
      </c>
      <c r="F17" s="65" t="n">
        <f aca="false">CALC!BK18</f>
        <v>0</v>
      </c>
    </row>
    <row r="18" customFormat="false" ht="12.8" hidden="false" customHeight="false" outlineLevel="0" collapsed="false">
      <c r="A18" s="41" t="str">
        <f aca="false">_xlfn.CONCAT($A$1, ".", CALC!A19)</f>
        <v>LSD.RID.0.AL.ACTCREF.15</v>
      </c>
      <c r="B18" s="55" t="str">
        <f aca="false">_xlfn.CONCAT(CALC!B19, ":", CALC!C19)</f>
        <v>Landscaping / Groundskeeping:Support</v>
      </c>
      <c r="C18" s="65" t="n">
        <f aca="false">CALC!BH19</f>
        <v>0</v>
      </c>
      <c r="D18" s="65" t="n">
        <f aca="false">CALC!BI19</f>
        <v>0</v>
      </c>
      <c r="E18" s="65" t="n">
        <f aca="false">CALC!BJ19</f>
        <v>0</v>
      </c>
      <c r="F18" s="65" t="n">
        <f aca="false">CALC!BK19</f>
        <v>0</v>
      </c>
    </row>
    <row r="19" customFormat="false" ht="12.8" hidden="false" customHeight="false" outlineLevel="0" collapsed="false">
      <c r="A19" s="41" t="str">
        <f aca="false">_xlfn.CONCAT($A$1, ".", CALC!A20)</f>
        <v>LSD.RID.0.AL.ACTCREF.16</v>
      </c>
      <c r="B19" s="55" t="str">
        <f aca="false">_xlfn.CONCAT(CALC!B20, ":", CALC!C20)</f>
        <v>Landscaping / Groundskeeping:Worker</v>
      </c>
      <c r="C19" s="65" t="n">
        <f aca="false">CALC!BH20</f>
        <v>0</v>
      </c>
      <c r="D19" s="65" t="n">
        <f aca="false">CALC!BI20</f>
        <v>0</v>
      </c>
      <c r="E19" s="65" t="n">
        <f aca="false">CALC!BJ20</f>
        <v>0</v>
      </c>
      <c r="F19" s="65" t="n">
        <f aca="false">CALC!BK20</f>
        <v>0</v>
      </c>
    </row>
    <row r="20" customFormat="false" ht="12.8" hidden="false" customHeight="false" outlineLevel="0" collapsed="false">
      <c r="A20" s="41" t="str">
        <f aca="false">_xlfn.CONCAT($A$1, ".", CALC!A21)</f>
        <v>LSD.RID.0.AL.ACTCREF.17</v>
      </c>
      <c r="B20" s="55" t="str">
        <f aca="false">_xlfn.CONCAT(CALC!B21, ":", CALC!C21)</f>
        <v>Automotive &amp; Repair:Support</v>
      </c>
      <c r="C20" s="65" t="n">
        <f aca="false">CALC!BH21</f>
        <v>0</v>
      </c>
      <c r="D20" s="65" t="n">
        <f aca="false">CALC!BI21</f>
        <v>0</v>
      </c>
      <c r="E20" s="65" t="n">
        <f aca="false">CALC!BJ21</f>
        <v>0</v>
      </c>
      <c r="F20" s="65" t="n">
        <f aca="false">CALC!BK21</f>
        <v>0</v>
      </c>
    </row>
    <row r="21" customFormat="false" ht="12.8" hidden="false" customHeight="false" outlineLevel="0" collapsed="false">
      <c r="A21" s="41" t="str">
        <f aca="false">_xlfn.CONCAT($A$1, ".", CALC!A22)</f>
        <v>LSD.RID.0.AL.ACTCREF.18</v>
      </c>
      <c r="B21" s="55" t="str">
        <f aca="false">_xlfn.CONCAT(CALC!B22, ":", CALC!C22)</f>
        <v>Automotive &amp; Repair:Worker</v>
      </c>
      <c r="C21" s="65" t="n">
        <f aca="false">CALC!BH22</f>
        <v>0</v>
      </c>
      <c r="D21" s="65" t="n">
        <f aca="false">CALC!BI22</f>
        <v>0</v>
      </c>
      <c r="E21" s="65" t="n">
        <f aca="false">CALC!BJ22</f>
        <v>0</v>
      </c>
      <c r="F21" s="65" t="n">
        <f aca="false">CALC!BK22</f>
        <v>0</v>
      </c>
    </row>
    <row r="22" customFormat="false" ht="12.8" hidden="false" customHeight="false" outlineLevel="0" collapsed="false">
      <c r="A22" s="41" t="str">
        <f aca="false">_xlfn.CONCAT($A$1, ".", CALC!A23)</f>
        <v>LSD.RID.0.AL.ACTCREF.19</v>
      </c>
      <c r="B22" s="55" t="str">
        <f aca="false">_xlfn.CONCAT(CALC!B23, ":", CALC!C23)</f>
        <v>Healthcare &amp; Social Assistance:Support</v>
      </c>
      <c r="C22" s="65" t="n">
        <f aca="false">CALC!BH23</f>
        <v>0</v>
      </c>
      <c r="D22" s="65" t="n">
        <f aca="false">CALC!BI23</f>
        <v>0</v>
      </c>
      <c r="E22" s="65" t="n">
        <f aca="false">CALC!BJ23</f>
        <v>0</v>
      </c>
      <c r="F22" s="65" t="n">
        <f aca="false">CALC!BK23</f>
        <v>0</v>
      </c>
    </row>
    <row r="23" customFormat="false" ht="12.8" hidden="false" customHeight="false" outlineLevel="0" collapsed="false">
      <c r="A23" s="41" t="str">
        <f aca="false">_xlfn.CONCAT($A$1, ".", CALC!A24)</f>
        <v>LSD.RID.0.AL.ACTCREF.20</v>
      </c>
      <c r="B23" s="55" t="str">
        <f aca="false">_xlfn.CONCAT(CALC!B24, ":", CALC!C24)</f>
        <v>Healthcare &amp; Social Assistance:Worker</v>
      </c>
      <c r="C23" s="65" t="n">
        <f aca="false">CALC!BH24</f>
        <v>0</v>
      </c>
      <c r="D23" s="65" t="n">
        <f aca="false">CALC!BI24</f>
        <v>0</v>
      </c>
      <c r="E23" s="65" t="n">
        <f aca="false">CALC!BJ24</f>
        <v>0</v>
      </c>
      <c r="F23" s="65" t="n">
        <f aca="false">CALC!BK24</f>
        <v>0</v>
      </c>
    </row>
    <row r="24" customFormat="false" ht="12.8" hidden="false" customHeight="false" outlineLevel="0" collapsed="false">
      <c r="A24" s="41" t="str">
        <f aca="false">_xlfn.CONCAT($A$1, ".", CALC!A25)</f>
        <v>LSD.RID.0.AL.ACTCREF.21</v>
      </c>
      <c r="B24" s="55" t="str">
        <f aca="false">_xlfn.CONCAT(CALC!B25, ":", CALC!C25)</f>
        <v>Professional Services:Support</v>
      </c>
      <c r="C24" s="65" t="n">
        <f aca="false">CALC!BH25</f>
        <v>0</v>
      </c>
      <c r="D24" s="65" t="n">
        <f aca="false">CALC!BI25</f>
        <v>0</v>
      </c>
      <c r="E24" s="65" t="n">
        <f aca="false">CALC!BJ25</f>
        <v>0</v>
      </c>
      <c r="F24" s="65" t="n">
        <f aca="false">CALC!BK25</f>
        <v>0</v>
      </c>
    </row>
    <row r="25" customFormat="false" ht="12.8" hidden="false" customHeight="false" outlineLevel="0" collapsed="false">
      <c r="A25" s="41" t="str">
        <f aca="false">_xlfn.CONCAT($A$1, ".", CALC!A26)</f>
        <v>LSD.RID.0.AL.ACTCREF.22</v>
      </c>
      <c r="B25" s="55" t="str">
        <f aca="false">_xlfn.CONCAT(CALC!B26, ":", CALC!C26)</f>
        <v>Professional Services:Worker</v>
      </c>
      <c r="C25" s="65" t="n">
        <f aca="false">CALC!BH26</f>
        <v>0</v>
      </c>
      <c r="D25" s="65" t="n">
        <f aca="false">CALC!BI26</f>
        <v>0</v>
      </c>
      <c r="E25" s="65" t="n">
        <f aca="false">CALC!BJ26</f>
        <v>0</v>
      </c>
      <c r="F25" s="65" t="n">
        <f aca="false">CALC!BK26</f>
        <v>0</v>
      </c>
    </row>
    <row r="26" customFormat="false" ht="12.8" hidden="false" customHeight="false" outlineLevel="0" collapsed="false">
      <c r="A26" s="41" t="str">
        <f aca="false">_xlfn.CONCAT($A$1, ".", CALC!A27)</f>
        <v>LSD.RID.0.AL.ACTCREF.23</v>
      </c>
      <c r="B26" s="55" t="str">
        <f aca="false">_xlfn.CONCAT(CALC!B27, ":", CALC!C27)</f>
        <v>Educational Services:Support</v>
      </c>
      <c r="C26" s="65" t="n">
        <f aca="false">CALC!BH27</f>
        <v>0</v>
      </c>
      <c r="D26" s="65" t="n">
        <f aca="false">CALC!BI27</f>
        <v>0</v>
      </c>
      <c r="E26" s="65" t="n">
        <f aca="false">CALC!BJ27</f>
        <v>0</v>
      </c>
      <c r="F26" s="65" t="n">
        <f aca="false">CALC!BK27</f>
        <v>0</v>
      </c>
    </row>
    <row r="27" customFormat="false" ht="12.8" hidden="false" customHeight="false" outlineLevel="0" collapsed="false">
      <c r="A27" s="41" t="str">
        <f aca="false">_xlfn.CONCAT($A$1, ".", CALC!A28)</f>
        <v>LSD.RID.0.AL.ACTCREF.24</v>
      </c>
      <c r="B27" s="55" t="str">
        <f aca="false">_xlfn.CONCAT(CALC!B28, ":", CALC!C28)</f>
        <v>Educational Services:Worker</v>
      </c>
      <c r="C27" s="65" t="n">
        <f aca="false">CALC!BH28</f>
        <v>0</v>
      </c>
      <c r="D27" s="65" t="n">
        <f aca="false">CALC!BI28</f>
        <v>0</v>
      </c>
      <c r="E27" s="65" t="n">
        <f aca="false">CALC!BJ28</f>
        <v>0</v>
      </c>
      <c r="F27" s="65" t="n">
        <f aca="false">CALC!BK28</f>
        <v>0</v>
      </c>
    </row>
    <row r="28" customFormat="false" ht="12.8" hidden="false" customHeight="false" outlineLevel="0" collapsed="false">
      <c r="A28" s="41" t="str">
        <f aca="false">_xlfn.CONCAT($A$1, ".", CALC!A29)</f>
        <v>LSD.RID.0.AL.ACTCREF.25</v>
      </c>
      <c r="B28" s="55" t="str">
        <f aca="false">_xlfn.CONCAT(CALC!B29, ":", CALC!C29)</f>
        <v>Finance &amp; Insurance:Support</v>
      </c>
      <c r="C28" s="65" t="n">
        <f aca="false">CALC!BH29</f>
        <v>0</v>
      </c>
      <c r="D28" s="65" t="n">
        <f aca="false">CALC!BI29</f>
        <v>0</v>
      </c>
      <c r="E28" s="65" t="n">
        <f aca="false">CALC!BJ29</f>
        <v>0</v>
      </c>
      <c r="F28" s="65" t="n">
        <f aca="false">CALC!BK29</f>
        <v>0</v>
      </c>
    </row>
    <row r="29" customFormat="false" ht="12.8" hidden="false" customHeight="false" outlineLevel="0" collapsed="false">
      <c r="A29" s="41" t="str">
        <f aca="false">_xlfn.CONCAT($A$1, ".", CALC!A30)</f>
        <v>LSD.RID.0.AL.ACTCREF.26</v>
      </c>
      <c r="B29" s="55" t="str">
        <f aca="false">_xlfn.CONCAT(CALC!B30, ":", CALC!C30)</f>
        <v>Finance &amp; Insurance:Worker</v>
      </c>
      <c r="C29" s="65" t="n">
        <f aca="false">CALC!BH30</f>
        <v>0</v>
      </c>
      <c r="D29" s="65" t="n">
        <f aca="false">CALC!BI30</f>
        <v>0</v>
      </c>
      <c r="E29" s="65" t="n">
        <f aca="false">CALC!BJ30</f>
        <v>0</v>
      </c>
      <c r="F29" s="65" t="n">
        <f aca="false">CALC!BK30</f>
        <v>0</v>
      </c>
    </row>
    <row r="30" customFormat="false" ht="12.8" hidden="false" customHeight="false" outlineLevel="0" collapsed="false">
      <c r="A30" s="41" t="str">
        <f aca="false">_xlfn.CONCAT($A$1, ".", CALC!A31)</f>
        <v>LSD.RID.0.AL.ACTCREF.27</v>
      </c>
      <c r="B30" s="55" t="str">
        <f aca="false">_xlfn.CONCAT(CALC!B31, ":", CALC!C31)</f>
        <v>Media and Information Technology:Support</v>
      </c>
      <c r="C30" s="65" t="n">
        <f aca="false">CALC!BH31</f>
        <v>0</v>
      </c>
      <c r="D30" s="65" t="n">
        <f aca="false">CALC!BI31</f>
        <v>0</v>
      </c>
      <c r="E30" s="65" t="n">
        <f aca="false">CALC!BJ31</f>
        <v>0</v>
      </c>
      <c r="F30" s="65" t="n">
        <f aca="false">CALC!BK31</f>
        <v>0</v>
      </c>
    </row>
    <row r="31" customFormat="false" ht="12.8" hidden="false" customHeight="false" outlineLevel="0" collapsed="false">
      <c r="A31" s="41" t="str">
        <f aca="false">_xlfn.CONCAT($A$1, ".", CALC!A32)</f>
        <v>LSD.RID.0.AL.ACTCREF.28</v>
      </c>
      <c r="B31" s="55" t="str">
        <f aca="false">_xlfn.CONCAT(CALC!B32, ":", CALC!C32)</f>
        <v>Media and Information Technology:Worker</v>
      </c>
      <c r="C31" s="65" t="n">
        <f aca="false">CALC!BH32</f>
        <v>0</v>
      </c>
      <c r="D31" s="65" t="n">
        <f aca="false">CALC!BI32</f>
        <v>0</v>
      </c>
      <c r="E31" s="65" t="n">
        <f aca="false">CALC!BJ32</f>
        <v>0</v>
      </c>
      <c r="F31" s="65" t="n">
        <f aca="false">CALC!BK32</f>
        <v>0</v>
      </c>
    </row>
    <row r="32" customFormat="false" ht="12.8" hidden="false" customHeight="false" outlineLevel="0" collapsed="false">
      <c r="A32" s="41" t="str">
        <f aca="false">_xlfn.CONCAT($A$1, ".", CALC!A33)</f>
        <v>LSD.RID.0.AL.ACTCREF.29</v>
      </c>
      <c r="B32" s="55" t="str">
        <f aca="false">_xlfn.CONCAT(CALC!B33, ":", CALC!C33)</f>
        <v>Government:Support</v>
      </c>
      <c r="C32" s="65" t="n">
        <f aca="false">CALC!BH33</f>
        <v>0</v>
      </c>
      <c r="D32" s="65" t="n">
        <f aca="false">CALC!BI33</f>
        <v>0</v>
      </c>
      <c r="E32" s="65" t="n">
        <f aca="false">CALC!BJ33</f>
        <v>0</v>
      </c>
      <c r="F32" s="65" t="n">
        <f aca="false">CALC!BK33</f>
        <v>0</v>
      </c>
    </row>
    <row r="33" customFormat="false" ht="12.8" hidden="false" customHeight="false" outlineLevel="0" collapsed="false">
      <c r="A33" s="41" t="str">
        <f aca="false">_xlfn.CONCAT($A$1, ".", CALC!A34)</f>
        <v>LSD.RID.0.AL.ACTCREF.30</v>
      </c>
      <c r="B33" s="55" t="str">
        <f aca="false">_xlfn.CONCAT(CALC!B34, ":", CALC!C34)</f>
        <v>Government:Worker</v>
      </c>
      <c r="C33" s="65" t="n">
        <f aca="false">CALC!BH34</f>
        <v>0</v>
      </c>
      <c r="D33" s="65" t="n">
        <f aca="false">CALC!BI34</f>
        <v>0</v>
      </c>
      <c r="E33" s="65" t="n">
        <f aca="false">CALC!BJ34</f>
        <v>0</v>
      </c>
      <c r="F33" s="65" t="n">
        <f aca="false">CALC!BK34</f>
        <v>0</v>
      </c>
    </row>
    <row r="34" customFormat="false" ht="12.8" hidden="false" customHeight="false" outlineLevel="0" collapsed="false">
      <c r="A34" s="41" t="str">
        <f aca="false">_xlfn.CONCAT($A$1, ".", CALC!A35)</f>
        <v>LSD.RID.0.AL.ACTCREF.31</v>
      </c>
      <c r="B34" s="55" t="str">
        <f aca="false">_xlfn.CONCAT(CALC!B35, ":", CALC!C35)</f>
        <v>Self-Employed / Non-Employer:Support</v>
      </c>
      <c r="C34" s="65" t="n">
        <f aca="false">CALC!BH35</f>
        <v>0</v>
      </c>
      <c r="D34" s="65" t="n">
        <f aca="false">CALC!BI35</f>
        <v>0</v>
      </c>
      <c r="E34" s="65" t="n">
        <f aca="false">CALC!BJ35</f>
        <v>0</v>
      </c>
      <c r="F34" s="65" t="n">
        <f aca="false">CALC!BK35</f>
        <v>0</v>
      </c>
    </row>
    <row r="35" customFormat="false" ht="12.8" hidden="false" customHeight="false" outlineLevel="0" collapsed="false">
      <c r="A35" s="41" t="str">
        <f aca="false">_xlfn.CONCAT($A$1, ".", CALC!A36)</f>
        <v>LSD.RID.0.AL.ACTCREF.32</v>
      </c>
      <c r="B35" s="55" t="str">
        <f aca="false">_xlfn.CONCAT(CALC!B36, ":", CALC!C36)</f>
        <v>Self-Employed / Non-Employer:Worker</v>
      </c>
      <c r="C35" s="65" t="n">
        <f aca="false">CALC!BH36</f>
        <v>0</v>
      </c>
      <c r="D35" s="65" t="n">
        <f aca="false">CALC!BI36</f>
        <v>0</v>
      </c>
      <c r="E35" s="65" t="n">
        <f aca="false">CALC!BJ36</f>
        <v>0</v>
      </c>
      <c r="F35" s="65" t="n">
        <f aca="false">CALC!BK36</f>
        <v>0</v>
      </c>
    </row>
    <row r="36" customFormat="false" ht="12.8" hidden="false" customHeight="false" outlineLevel="0" collapsed="false">
      <c r="A36" s="41" t="str">
        <f aca="false">_xlfn.CONCAT($A$1, ".", CALC!A37)</f>
        <v>LSD.RID.0.AL.ACTCREF.33</v>
      </c>
      <c r="B36" s="55" t="str">
        <f aca="false">_xlfn.CONCAT(CALC!B37, ":", CALC!C37)</f>
        <v>Other Services:Support</v>
      </c>
      <c r="C36" s="65" t="n">
        <f aca="false">CALC!BH37</f>
        <v>0</v>
      </c>
      <c r="D36" s="65" t="n">
        <f aca="false">CALC!BI37</f>
        <v>0</v>
      </c>
      <c r="E36" s="65" t="n">
        <f aca="false">CALC!BJ37</f>
        <v>0</v>
      </c>
      <c r="F36" s="65" t="n">
        <f aca="false">CALC!BK37</f>
        <v>0</v>
      </c>
    </row>
    <row r="37" customFormat="false" ht="12.8" hidden="false" customHeight="false" outlineLevel="0" collapsed="false">
      <c r="A37" s="41" t="str">
        <f aca="false">_xlfn.CONCAT($A$1, ".", CALC!A38)</f>
        <v>LSD.RID.0.AL.ACTCREF.34</v>
      </c>
      <c r="B37" s="55" t="str">
        <f aca="false">_xlfn.CONCAT(CALC!B38, ":", CALC!C38)</f>
        <v>Other Services:Worker</v>
      </c>
      <c r="C37" s="65" t="n">
        <f aca="false">CALC!BH38</f>
        <v>0</v>
      </c>
      <c r="D37" s="65" t="n">
        <f aca="false">CALC!BI38</f>
        <v>0</v>
      </c>
      <c r="E37" s="65" t="n">
        <f aca="false">CALC!BJ38</f>
        <v>0</v>
      </c>
      <c r="F37" s="65" t="n">
        <f aca="false">CALC!BK38</f>
        <v>0</v>
      </c>
    </row>
    <row r="38" customFormat="false" ht="12.8" hidden="false" customHeight="false" outlineLevel="0" collapsed="false">
      <c r="A38" s="41" t="str">
        <f aca="false">_xlfn.CONCAT($A$1, ".", CALC!A39)</f>
        <v>LSD.RID.0.AL.ACTCREF.35</v>
      </c>
      <c r="B38" s="55" t="str">
        <f aca="false">_xlfn.CONCAT(CALC!B39, ":", CALC!C39)</f>
        <v>Mining, Quarrying, and Oil/Gas Extraction:Support</v>
      </c>
      <c r="C38" s="65" t="n">
        <f aca="false">CALC!BH39</f>
        <v>0</v>
      </c>
      <c r="D38" s="65" t="n">
        <f aca="false">CALC!BI39</f>
        <v>0</v>
      </c>
      <c r="E38" s="65" t="n">
        <f aca="false">CALC!BJ39</f>
        <v>0</v>
      </c>
      <c r="F38" s="65" t="n">
        <f aca="false">CALC!BK39</f>
        <v>0</v>
      </c>
    </row>
    <row r="39" customFormat="false" ht="12.8" hidden="false" customHeight="false" outlineLevel="0" collapsed="false">
      <c r="A39" s="41" t="str">
        <f aca="false">_xlfn.CONCAT($A$1, ".", CALC!A40)</f>
        <v>LSD.RID.0.AL.ACTCREF.36</v>
      </c>
      <c r="B39" s="55" t="str">
        <f aca="false">_xlfn.CONCAT(CALC!B40, ":", CALC!C40)</f>
        <v>Mining, Quarrying, and Oil/Gas Extraction:Worker</v>
      </c>
      <c r="C39" s="65" t="n">
        <f aca="false">CALC!BH40</f>
        <v>0</v>
      </c>
      <c r="D39" s="65" t="n">
        <f aca="false">CALC!BI40</f>
        <v>0</v>
      </c>
      <c r="E39" s="65" t="n">
        <f aca="false">CALC!BJ40</f>
        <v>0</v>
      </c>
      <c r="F39" s="65" t="n">
        <f aca="false">CALC!BK40</f>
        <v>0</v>
      </c>
    </row>
    <row r="40" customFormat="false" ht="12.8" hidden="false" customHeight="false" outlineLevel="0" collapsed="false">
      <c r="A40" s="41" t="str">
        <f aca="false">_xlfn.CONCAT($A$1, ".", CALC!A41)</f>
        <v>LSD.RID.0.AL.ACTCREF.37</v>
      </c>
      <c r="B40" s="55" t="str">
        <f aca="false">_xlfn.CONCAT(CALC!B41, ":", CALC!C41)</f>
        <v>Utilities:Support</v>
      </c>
      <c r="C40" s="65" t="n">
        <f aca="false">CALC!BH41</f>
        <v>0</v>
      </c>
      <c r="D40" s="65" t="n">
        <f aca="false">CALC!BI41</f>
        <v>0</v>
      </c>
      <c r="E40" s="65" t="n">
        <f aca="false">CALC!BJ41</f>
        <v>0</v>
      </c>
      <c r="F40" s="65" t="n">
        <f aca="false">CALC!BK41</f>
        <v>0</v>
      </c>
    </row>
    <row r="41" customFormat="false" ht="12.8" hidden="false" customHeight="false" outlineLevel="0" collapsed="false">
      <c r="A41" s="41" t="str">
        <f aca="false">_xlfn.CONCAT($A$1, ".", CALC!A42)</f>
        <v>LSD.RID.0.AL.ACTCREF.38</v>
      </c>
      <c r="B41" s="55" t="str">
        <f aca="false">_xlfn.CONCAT(CALC!B42, ":", CALC!C42)</f>
        <v>Utilities:Worker</v>
      </c>
      <c r="C41" s="65" t="n">
        <f aca="false">CALC!BH42</f>
        <v>0</v>
      </c>
      <c r="D41" s="65" t="n">
        <f aca="false">CALC!BI42</f>
        <v>0</v>
      </c>
      <c r="E41" s="65" t="n">
        <f aca="false">CALC!BJ42</f>
        <v>0</v>
      </c>
      <c r="F41" s="65" t="n">
        <f aca="false">CALC!BK42</f>
        <v>0</v>
      </c>
    </row>
    <row r="42" customFormat="false" ht="12.8" hidden="false" customHeight="false" outlineLevel="0" collapsed="false">
      <c r="A42" s="41" t="str">
        <f aca="false">_xlfn.CONCAT($A$1, ".", CALC!A43)</f>
        <v>LSD.RID.0.AL.ACTCREF.39</v>
      </c>
      <c r="B42" s="55" t="str">
        <f aca="false">_xlfn.CONCAT(CALC!B43, ":", CALC!C43)</f>
        <v>Wholesale Trade:Support</v>
      </c>
      <c r="C42" s="65" t="n">
        <f aca="false">CALC!BH43</f>
        <v>0</v>
      </c>
      <c r="D42" s="65" t="n">
        <f aca="false">CALC!BI43</f>
        <v>0</v>
      </c>
      <c r="E42" s="65" t="n">
        <f aca="false">CALC!BJ43</f>
        <v>0</v>
      </c>
      <c r="F42" s="65" t="n">
        <f aca="false">CALC!BK43</f>
        <v>0</v>
      </c>
    </row>
    <row r="43" customFormat="false" ht="12.8" hidden="false" customHeight="false" outlineLevel="0" collapsed="false">
      <c r="A43" s="41" t="str">
        <f aca="false">_xlfn.CONCAT($A$1, ".", CALC!A44)</f>
        <v>LSD.RID.0.AL.ACTCREF.40</v>
      </c>
      <c r="B43" s="55" t="str">
        <f aca="false">_xlfn.CONCAT(CALC!B44, ":", CALC!C44)</f>
        <v>Wholesale Trade:Worker</v>
      </c>
      <c r="C43" s="65" t="n">
        <f aca="false">CALC!BH44</f>
        <v>0</v>
      </c>
      <c r="D43" s="65" t="n">
        <f aca="false">CALC!BI44</f>
        <v>0</v>
      </c>
      <c r="E43" s="65" t="n">
        <f aca="false">CALC!BJ44</f>
        <v>0</v>
      </c>
      <c r="F43" s="65" t="n">
        <f aca="false">CALC!BK44</f>
        <v>0</v>
      </c>
    </row>
    <row r="44" customFormat="false" ht="12.8" hidden="false" customHeight="false" outlineLevel="0" collapsed="false">
      <c r="A44" s="41" t="str">
        <f aca="false">_xlfn.CONCAT($A$1, ".", CALC!A45)</f>
        <v>LSD.RID.0.AL.ACTCREF.41</v>
      </c>
      <c r="B44" s="55" t="str">
        <f aca="false">_xlfn.CONCAT(CALC!B45, ":", CALC!C45)</f>
        <v>Information:Support</v>
      </c>
      <c r="C44" s="65" t="n">
        <f aca="false">CALC!BH45</f>
        <v>0</v>
      </c>
      <c r="D44" s="65" t="n">
        <f aca="false">CALC!BI45</f>
        <v>0</v>
      </c>
      <c r="E44" s="65" t="n">
        <f aca="false">CALC!BJ45</f>
        <v>0</v>
      </c>
      <c r="F44" s="65" t="n">
        <f aca="false">CALC!BK45</f>
        <v>0</v>
      </c>
    </row>
    <row r="45" customFormat="false" ht="12.8" hidden="false" customHeight="false" outlineLevel="0" collapsed="false">
      <c r="A45" s="41" t="str">
        <f aca="false">_xlfn.CONCAT($A$1, ".", CALC!A46)</f>
        <v>LSD.RID.0.AL.ACTCREF.42</v>
      </c>
      <c r="B45" s="55" t="str">
        <f aca="false">_xlfn.CONCAT(CALC!B46, ":", CALC!C46)</f>
        <v>Information:Worker</v>
      </c>
      <c r="C45" s="65" t="n">
        <f aca="false">CALC!BH46</f>
        <v>0</v>
      </c>
      <c r="D45" s="65" t="n">
        <f aca="false">CALC!BI46</f>
        <v>0</v>
      </c>
      <c r="E45" s="65" t="n">
        <f aca="false">CALC!BJ46</f>
        <v>0</v>
      </c>
      <c r="F45" s="65" t="n">
        <f aca="false">CALC!BK46</f>
        <v>0</v>
      </c>
    </row>
    <row r="46" customFormat="false" ht="12.8" hidden="false" customHeight="false" outlineLevel="0" collapsed="false">
      <c r="A46" s="41" t="str">
        <f aca="false">_xlfn.CONCAT($A$1, ".", CALC!A47)</f>
        <v>LSD.RID.0.AL.ACTCREF.43</v>
      </c>
      <c r="B46" s="55" t="str">
        <f aca="false">_xlfn.CONCAT(CALC!B47, ":", CALC!C47)</f>
        <v>Real Estate, Rental and Leasing:Support</v>
      </c>
      <c r="C46" s="65" t="n">
        <f aca="false">CALC!BH47</f>
        <v>0</v>
      </c>
      <c r="D46" s="65" t="n">
        <f aca="false">CALC!BI47</f>
        <v>0</v>
      </c>
      <c r="E46" s="65" t="n">
        <f aca="false">CALC!BJ47</f>
        <v>0</v>
      </c>
      <c r="F46" s="65" t="n">
        <f aca="false">CALC!BK47</f>
        <v>0</v>
      </c>
    </row>
    <row r="47" customFormat="false" ht="12.8" hidden="false" customHeight="false" outlineLevel="0" collapsed="false">
      <c r="A47" s="41" t="str">
        <f aca="false">_xlfn.CONCAT($A$1, ".", CALC!A48)</f>
        <v>LSD.RID.0.AL.ACTCREF.44</v>
      </c>
      <c r="B47" s="55" t="str">
        <f aca="false">_xlfn.CONCAT(CALC!B48, ":", CALC!C48)</f>
        <v>Real Estate, Rental and Leasing:Worker</v>
      </c>
      <c r="C47" s="65" t="n">
        <f aca="false">CALC!BH48</f>
        <v>0</v>
      </c>
      <c r="D47" s="65" t="n">
        <f aca="false">CALC!BI48</f>
        <v>0</v>
      </c>
      <c r="E47" s="65" t="n">
        <f aca="false">CALC!BJ48</f>
        <v>0</v>
      </c>
      <c r="F47" s="65" t="n">
        <f aca="false">CALC!BK48</f>
        <v>0</v>
      </c>
    </row>
    <row r="48" customFormat="false" ht="12.8" hidden="false" customHeight="false" outlineLevel="0" collapsed="false">
      <c r="A48" s="41" t="str">
        <f aca="false">_xlfn.CONCAT($A$1, ".", CALC!A49)</f>
        <v>LSD.RID.0.AL.ACTCREF.45</v>
      </c>
      <c r="B48" s="55" t="str">
        <f aca="false">_xlfn.CONCAT(CALC!B49, ":", CALC!C49)</f>
        <v>Waste Management Services:Support</v>
      </c>
      <c r="C48" s="65" t="n">
        <f aca="false">CALC!BH49</f>
        <v>0</v>
      </c>
      <c r="D48" s="65" t="n">
        <f aca="false">CALC!BI49</f>
        <v>0</v>
      </c>
      <c r="E48" s="65" t="n">
        <f aca="false">CALC!BJ49</f>
        <v>0</v>
      </c>
      <c r="F48" s="65" t="n">
        <f aca="false">CALC!BK49</f>
        <v>0</v>
      </c>
    </row>
    <row r="49" customFormat="false" ht="12.8" hidden="false" customHeight="false" outlineLevel="0" collapsed="false">
      <c r="A49" s="41" t="str">
        <f aca="false">_xlfn.CONCAT($A$1, ".", CALC!A50)</f>
        <v>LSD.RID.0.AL.ACTCREF.46</v>
      </c>
      <c r="B49" s="55" t="str">
        <f aca="false">_xlfn.CONCAT(CALC!B50, ":", CALC!C50)</f>
        <v>Waste Management Services:Worker</v>
      </c>
      <c r="C49" s="65" t="n">
        <f aca="false">CALC!BH50</f>
        <v>0</v>
      </c>
      <c r="D49" s="65" t="n">
        <f aca="false">CALC!BI50</f>
        <v>0</v>
      </c>
      <c r="E49" s="65" t="n">
        <f aca="false">CALC!BJ50</f>
        <v>0</v>
      </c>
      <c r="F49" s="65" t="n">
        <f aca="false">CALC!BK50</f>
        <v>0</v>
      </c>
    </row>
    <row r="50" customFormat="false" ht="12.8" hidden="false" customHeight="false" outlineLevel="0" collapsed="false">
      <c r="A50" s="41" t="str">
        <f aca="false">_xlfn.CONCAT($A$1, ".", CALC!A51)</f>
        <v>LSD.RID.0.AL.ACTCREF.47</v>
      </c>
      <c r="B50" s="55" t="str">
        <f aca="false">_xlfn.CONCAT(CALC!B51, ":", CALC!C51)</f>
        <v>Arts, Entertainment, and Recreation:Support</v>
      </c>
      <c r="C50" s="65" t="n">
        <f aca="false">CALC!BH51</f>
        <v>0</v>
      </c>
      <c r="D50" s="65" t="n">
        <f aca="false">CALC!BI51</f>
        <v>0</v>
      </c>
      <c r="E50" s="65" t="n">
        <f aca="false">CALC!BJ51</f>
        <v>0</v>
      </c>
      <c r="F50" s="65" t="n">
        <f aca="false">CALC!BK51</f>
        <v>0</v>
      </c>
    </row>
    <row r="51" customFormat="false" ht="12.8" hidden="false" customHeight="false" outlineLevel="0" collapsed="false">
      <c r="A51" s="41" t="str">
        <f aca="false">_xlfn.CONCAT($A$1, ".", CALC!A52)</f>
        <v>LSD.RID.0.AL.ACTCREF.48</v>
      </c>
      <c r="B51" s="55" t="str">
        <f aca="false">_xlfn.CONCAT(CALC!B52, ":", CALC!C52)</f>
        <v>Arts, Entertainment, and Recreation:Worker</v>
      </c>
      <c r="C51" s="65" t="n">
        <f aca="false">CALC!BH52</f>
        <v>0</v>
      </c>
      <c r="D51" s="65" t="n">
        <f aca="false">CALC!BI52</f>
        <v>0</v>
      </c>
      <c r="E51" s="65" t="n">
        <f aca="false">CALC!BJ52</f>
        <v>0</v>
      </c>
      <c r="F51" s="65" t="n">
        <f aca="false">CALC!BK52</f>
        <v>0</v>
      </c>
    </row>
    <row r="52" customFormat="false" ht="12.8" hidden="false" customHeight="false" outlineLevel="0" collapsed="false">
      <c r="A52" s="41" t="str">
        <f aca="false">_xlfn.CONCAT($A$1, ".", CALC!A53)</f>
        <v>LSD.RID.0.AL.ACTCREF.49</v>
      </c>
      <c r="B52" s="55" t="str">
        <f aca="false">_xlfn.CONCAT(CALC!B53, ":", CALC!C53)</f>
        <v>Accommodation and Food Services:Support</v>
      </c>
      <c r="C52" s="65" t="n">
        <f aca="false">CALC!BH53</f>
        <v>0</v>
      </c>
      <c r="D52" s="65" t="n">
        <f aca="false">CALC!BI53</f>
        <v>0</v>
      </c>
      <c r="E52" s="65" t="n">
        <f aca="false">CALC!BJ53</f>
        <v>0</v>
      </c>
      <c r="F52" s="65" t="n">
        <f aca="false">CALC!BK53</f>
        <v>0</v>
      </c>
    </row>
    <row r="53" customFormat="false" ht="12.8" hidden="false" customHeight="false" outlineLevel="0" collapsed="false">
      <c r="A53" s="41" t="str">
        <f aca="false">_xlfn.CONCAT($A$1, ".", CALC!A54)</f>
        <v>LSD.RID.0.AL.ACTCREF.50</v>
      </c>
      <c r="B53" s="55" t="str">
        <f aca="false">_xlfn.CONCAT(CALC!B54, ":", CALC!C54)</f>
        <v>Accommodation and Food Services:Worker</v>
      </c>
      <c r="C53" s="65" t="n">
        <f aca="false">CALC!BH54</f>
        <v>0</v>
      </c>
      <c r="D53" s="65" t="n">
        <f aca="false">CALC!BI54</f>
        <v>0</v>
      </c>
      <c r="E53" s="65" t="n">
        <f aca="false">CALC!BJ54</f>
        <v>0</v>
      </c>
      <c r="F53" s="65" t="n">
        <f aca="false">CALC!BK54</f>
        <v>0</v>
      </c>
    </row>
    <row r="54" customFormat="false" ht="12.8" hidden="false" customHeight="false" outlineLevel="0" collapsed="false">
      <c r="A54" s="41" t="str">
        <f aca="false">_xlfn.CONCAT($A$1, ".", CALC!A55)</f>
        <v>LSD.RID.0.AL.ACTCREF.51</v>
      </c>
      <c r="B54" s="55" t="str">
        <f aca="false">_xlfn.CONCAT(CALC!B55, ":", CALC!C55)</f>
        <v>Public Administration:Support</v>
      </c>
      <c r="C54" s="65" t="n">
        <f aca="false">CALC!BH55</f>
        <v>0</v>
      </c>
      <c r="D54" s="65" t="n">
        <f aca="false">CALC!BI55</f>
        <v>0</v>
      </c>
      <c r="E54" s="65" t="n">
        <f aca="false">CALC!BJ55</f>
        <v>0</v>
      </c>
      <c r="F54" s="65" t="n">
        <f aca="false">CALC!BK55</f>
        <v>0</v>
      </c>
    </row>
    <row r="55" customFormat="false" ht="12.8" hidden="false" customHeight="false" outlineLevel="0" collapsed="false">
      <c r="A55" s="41" t="str">
        <f aca="false">_xlfn.CONCAT($A$1, ".", CALC!A56)</f>
        <v>LSD.RID.0.AL.ACTCREF.52</v>
      </c>
      <c r="B55" s="55" t="str">
        <f aca="false">_xlfn.CONCAT(CALC!B56, ":", CALC!C56)</f>
        <v>Public Administration:Worker</v>
      </c>
      <c r="C55" s="65" t="n">
        <f aca="false">CALC!BH56</f>
        <v>0</v>
      </c>
      <c r="D55" s="65" t="n">
        <f aca="false">CALC!BI56</f>
        <v>0</v>
      </c>
      <c r="E55" s="65" t="n">
        <f aca="false">CALC!BJ56</f>
        <v>0</v>
      </c>
      <c r="F55" s="65" t="n">
        <f aca="false">CALC!BK56</f>
        <v>0</v>
      </c>
    </row>
    <row r="56" customFormat="false" ht="12.8" hidden="false" customHeight="false" outlineLevel="0" collapsed="false">
      <c r="C56" s="64"/>
      <c r="D56" s="64"/>
      <c r="E56" s="64"/>
      <c r="F56" s="64"/>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E905"/>
    <pageSetUpPr fitToPage="false"/>
  </sheetPr>
  <dimension ref="A1:BP24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H32" activeCellId="0" sqref="H32"/>
    </sheetView>
  </sheetViews>
  <sheetFormatPr defaultColWidth="11.53515625" defaultRowHeight="12.8" customHeight="false" zeroHeight="false" outlineLevelRow="1" outlineLevelCol="0"/>
  <cols>
    <col collapsed="false" customWidth="true" hidden="false" outlineLevel="0" max="1" min="1" style="41" width="13.84"/>
    <col collapsed="false" customWidth="true" hidden="false" outlineLevel="0" max="2" min="2" style="36" width="36.9"/>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23.85" hidden="false" customHeight="false" outlineLevel="0" collapsed="false">
      <c r="A1" s="4" t="s">
        <v>2173</v>
      </c>
      <c r="B1" s="66" t="s">
        <v>2174</v>
      </c>
      <c r="C1" s="6" t="s">
        <v>2</v>
      </c>
      <c r="D1" s="26" t="s">
        <v>2175</v>
      </c>
      <c r="AZ1" s="26"/>
      <c r="BP1" s="26"/>
    </row>
    <row r="2" customFormat="false" ht="35.05" hidden="false" customHeight="false" outlineLevel="0" collapsed="false">
      <c r="A2" s="67" t="s">
        <v>2140</v>
      </c>
      <c r="B2" s="68" t="s">
        <v>2141</v>
      </c>
      <c r="C2" s="64" t="str">
        <f aca="false">CALC!BL3</f>
        <v>AOTC Refund</v>
      </c>
      <c r="D2" s="64" t="str">
        <f aca="false">CALC!BM3</f>
        <v>Authorized Immigrant AOTC Refund</v>
      </c>
      <c r="E2" s="64" t="str">
        <f aca="false">CALC!BN3</f>
        <v>Unauthorized Immigrant AOTC Refund</v>
      </c>
      <c r="F2" s="64" t="str">
        <f aca="false">CALC!BO3</f>
        <v>American Tax AOTC Refund</v>
      </c>
    </row>
    <row r="3" customFormat="false" ht="12.8" hidden="false" customHeight="false" outlineLevel="0" collapsed="false">
      <c r="A3" s="41" t="str">
        <f aca="false">_xlfn.CONCAT($A$1, ".", CALC!A4)</f>
        <v>LSD.RID.0.AL.AOTCREF.0</v>
      </c>
      <c r="B3" s="54" t="str">
        <f aca="false">_xlfn.CONCAT(CALC!B4, ":", CALC!C4)</f>
        <v>All Industries:All Roles</v>
      </c>
      <c r="C3" s="64" t="n">
        <f aca="false">CALC!BL4</f>
        <v>0</v>
      </c>
      <c r="D3" s="64" t="n">
        <f aca="false">CALC!BM4</f>
        <v>0</v>
      </c>
      <c r="E3" s="64" t="n">
        <f aca="false">CALC!BN4</f>
        <v>0</v>
      </c>
      <c r="F3" s="64" t="n">
        <f aca="false">CALC!BO4</f>
        <v>0</v>
      </c>
    </row>
    <row r="4" customFormat="false" ht="12.8" hidden="false" customHeight="false" outlineLevel="0" collapsed="false">
      <c r="A4" s="41" t="str">
        <f aca="false">_xlfn.CONCAT($A$1, ".", CALC!A5)</f>
        <v>LSD.RID.0.AL.AOTCREF.1</v>
      </c>
      <c r="B4" s="54" t="str">
        <f aca="false">_xlfn.CONCAT(CALC!B5, ":", CALC!C5)</f>
        <v>Agriculture:Support</v>
      </c>
      <c r="C4" s="64" t="n">
        <f aca="false">CALC!BL5</f>
        <v>0</v>
      </c>
      <c r="D4" s="64" t="n">
        <f aca="false">CALC!BM5</f>
        <v>0</v>
      </c>
      <c r="E4" s="64" t="n">
        <f aca="false">CALC!BN5</f>
        <v>0</v>
      </c>
      <c r="F4" s="64" t="n">
        <f aca="false">CALC!BO5</f>
        <v>0</v>
      </c>
    </row>
    <row r="5" customFormat="false" ht="12.8" hidden="false" customHeight="false" outlineLevel="0" collapsed="false">
      <c r="A5" s="41" t="str">
        <f aca="false">_xlfn.CONCAT($A$1, ".", CALC!A6)</f>
        <v>LSD.RID.0.AL.AOTCREF.2</v>
      </c>
      <c r="B5" s="54" t="str">
        <f aca="false">_xlfn.CONCAT(CALC!B6, ":", CALC!C6)</f>
        <v>Agriculture:Worker</v>
      </c>
      <c r="C5" s="64" t="n">
        <f aca="false">CALC!BL6</f>
        <v>0</v>
      </c>
      <c r="D5" s="64" t="n">
        <f aca="false">CALC!BM6</f>
        <v>0</v>
      </c>
      <c r="E5" s="64" t="n">
        <f aca="false">CALC!BN6</f>
        <v>0</v>
      </c>
      <c r="F5" s="64" t="n">
        <f aca="false">CALC!BO6</f>
        <v>0</v>
      </c>
    </row>
    <row r="6" customFormat="false" ht="12.8" hidden="false" customHeight="false" outlineLevel="0" collapsed="false">
      <c r="A6" s="41" t="str">
        <f aca="false">_xlfn.CONCAT($A$1, ".", CALC!A7)</f>
        <v>LSD.RID.0.AL.AOTCREF.3</v>
      </c>
      <c r="B6" s="54" t="str">
        <f aca="false">_xlfn.CONCAT(CALC!B7, ":", CALC!C7)</f>
        <v>Construction:Support</v>
      </c>
      <c r="C6" s="64" t="n">
        <f aca="false">CALC!BL7</f>
        <v>0</v>
      </c>
      <c r="D6" s="64" t="n">
        <f aca="false">CALC!BM7</f>
        <v>0</v>
      </c>
      <c r="E6" s="64" t="n">
        <f aca="false">CALC!BN7</f>
        <v>0</v>
      </c>
      <c r="F6" s="64" t="n">
        <f aca="false">CALC!BO7</f>
        <v>0</v>
      </c>
    </row>
    <row r="7" customFormat="false" ht="12.8" hidden="false" customHeight="false" outlineLevel="0" collapsed="false">
      <c r="A7" s="41" t="str">
        <f aca="false">_xlfn.CONCAT($A$1, ".", CALC!A8)</f>
        <v>LSD.RID.0.AL.AOTCREF.4</v>
      </c>
      <c r="B7" s="54" t="str">
        <f aca="false">_xlfn.CONCAT(CALC!B8, ":", CALC!C8)</f>
        <v>Construction:Worker</v>
      </c>
      <c r="C7" s="64" t="n">
        <f aca="false">CALC!BL8</f>
        <v>0</v>
      </c>
      <c r="D7" s="64" t="n">
        <f aca="false">CALC!BM8</f>
        <v>0</v>
      </c>
      <c r="E7" s="64" t="n">
        <f aca="false">CALC!BN8</f>
        <v>0</v>
      </c>
      <c r="F7" s="64" t="n">
        <f aca="false">CALC!BO8</f>
        <v>0</v>
      </c>
    </row>
    <row r="8" customFormat="false" ht="12.8" hidden="false" customHeight="false" outlineLevel="0" collapsed="false">
      <c r="A8" s="41" t="str">
        <f aca="false">_xlfn.CONCAT($A$1, ".", CALC!A9)</f>
        <v>LSD.RID.0.AL.AOTCREF.5</v>
      </c>
      <c r="B8" s="54" t="str">
        <f aca="false">_xlfn.CONCAT(CALC!B9, ":", CALC!C9)</f>
        <v>Hospitality:Support</v>
      </c>
      <c r="C8" s="64" t="n">
        <f aca="false">CALC!BL9</f>
        <v>0</v>
      </c>
      <c r="D8" s="64" t="n">
        <f aca="false">CALC!BM9</f>
        <v>0</v>
      </c>
      <c r="E8" s="64" t="n">
        <f aca="false">CALC!BN9</f>
        <v>0</v>
      </c>
      <c r="F8" s="64" t="n">
        <f aca="false">CALC!BO9</f>
        <v>0</v>
      </c>
    </row>
    <row r="9" customFormat="false" ht="12.8" hidden="false" customHeight="false" outlineLevel="0" collapsed="false">
      <c r="A9" s="41" t="str">
        <f aca="false">_xlfn.CONCAT($A$1, ".", CALC!A10)</f>
        <v>LSD.RID.0.AL.AOTCREF.6</v>
      </c>
      <c r="B9" s="54" t="str">
        <f aca="false">_xlfn.CONCAT(CALC!B10, ":", CALC!C10)</f>
        <v>Hospitality:Worker</v>
      </c>
      <c r="C9" s="64" t="n">
        <f aca="false">CALC!BL10</f>
        <v>0</v>
      </c>
      <c r="D9" s="64" t="n">
        <f aca="false">CALC!BM10</f>
        <v>0</v>
      </c>
      <c r="E9" s="64" t="n">
        <f aca="false">CALC!BN10</f>
        <v>0</v>
      </c>
      <c r="F9" s="64" t="n">
        <f aca="false">CALC!BO10</f>
        <v>0</v>
      </c>
    </row>
    <row r="10" customFormat="false" ht="12.8" hidden="false" customHeight="false" outlineLevel="0" collapsed="false">
      <c r="A10" s="41" t="str">
        <f aca="false">_xlfn.CONCAT($A$1, ".", CALC!A11)</f>
        <v>LSD.RID.0.AL.AOTCREF.7</v>
      </c>
      <c r="B10" s="54" t="str">
        <f aca="false">_xlfn.CONCAT(CALC!B11, ":", CALC!C11)</f>
        <v>Cleaning &amp; Maintenance:Support</v>
      </c>
      <c r="C10" s="64" t="n">
        <f aca="false">CALC!BL11</f>
        <v>0</v>
      </c>
      <c r="D10" s="64" t="n">
        <f aca="false">CALC!BM11</f>
        <v>0</v>
      </c>
      <c r="E10" s="64" t="n">
        <f aca="false">CALC!BN11</f>
        <v>0</v>
      </c>
      <c r="F10" s="64" t="n">
        <f aca="false">CALC!BO11</f>
        <v>0</v>
      </c>
    </row>
    <row r="11" customFormat="false" ht="12.8" hidden="false" customHeight="false" outlineLevel="0" collapsed="false">
      <c r="A11" s="41" t="str">
        <f aca="false">_xlfn.CONCAT($A$1, ".", CALC!A12)</f>
        <v>LSD.RID.0.AL.AOTCREF.8</v>
      </c>
      <c r="B11" s="54" t="str">
        <f aca="false">_xlfn.CONCAT(CALC!B12, ":", CALC!C12)</f>
        <v>Cleaning &amp; Maintenance:Worker</v>
      </c>
      <c r="C11" s="64" t="n">
        <f aca="false">CALC!BL12</f>
        <v>0</v>
      </c>
      <c r="D11" s="64" t="n">
        <f aca="false">CALC!BM12</f>
        <v>0</v>
      </c>
      <c r="E11" s="64" t="n">
        <f aca="false">CALC!BN12</f>
        <v>0</v>
      </c>
      <c r="F11" s="64" t="n">
        <f aca="false">CALC!BO12</f>
        <v>0</v>
      </c>
    </row>
    <row r="12" customFormat="false" ht="12.8" hidden="false" customHeight="false" outlineLevel="0" collapsed="false">
      <c r="A12" s="41" t="str">
        <f aca="false">_xlfn.CONCAT($A$1, ".", CALC!A13)</f>
        <v>LSD.RID.0.AL.AOTCREF.9</v>
      </c>
      <c r="B12" s="54" t="str">
        <f aca="false">_xlfn.CONCAT(CALC!B13, ":", CALC!C13)</f>
        <v>Manufacturing:Support</v>
      </c>
      <c r="C12" s="64" t="n">
        <f aca="false">CALC!BL13</f>
        <v>0</v>
      </c>
      <c r="D12" s="64" t="n">
        <f aca="false">CALC!BM13</f>
        <v>0</v>
      </c>
      <c r="E12" s="64" t="n">
        <f aca="false">CALC!BN13</f>
        <v>0</v>
      </c>
      <c r="F12" s="64" t="n">
        <f aca="false">CALC!BO13</f>
        <v>0</v>
      </c>
    </row>
    <row r="13" customFormat="false" ht="12.8" hidden="false" customHeight="false" outlineLevel="0" collapsed="false">
      <c r="A13" s="41" t="str">
        <f aca="false">_xlfn.CONCAT($A$1, ".", CALC!A14)</f>
        <v>LSD.RID.0.AL.AOTCREF.10</v>
      </c>
      <c r="B13" s="54" t="str">
        <f aca="false">_xlfn.CONCAT(CALC!B14, ":", CALC!C14)</f>
        <v>Manufacturing:Worker</v>
      </c>
      <c r="C13" s="64" t="n">
        <f aca="false">CALC!BL14</f>
        <v>0</v>
      </c>
      <c r="D13" s="64" t="n">
        <f aca="false">CALC!BM14</f>
        <v>0</v>
      </c>
      <c r="E13" s="64" t="n">
        <f aca="false">CALC!BN14</f>
        <v>0</v>
      </c>
      <c r="F13" s="64" t="n">
        <f aca="false">CALC!BO14</f>
        <v>0</v>
      </c>
    </row>
    <row r="14" customFormat="false" ht="12.8" hidden="false" customHeight="false" outlineLevel="0" collapsed="false">
      <c r="A14" s="41" t="str">
        <f aca="false">_xlfn.CONCAT($A$1, ".", CALC!A15)</f>
        <v>LSD.RID.0.AL.AOTCREF.11</v>
      </c>
      <c r="B14" s="54" t="str">
        <f aca="false">_xlfn.CONCAT(CALC!B15, ":", CALC!C15)</f>
        <v>Transportation &amp; Warehousing:Support</v>
      </c>
      <c r="C14" s="64" t="n">
        <f aca="false">CALC!BL15</f>
        <v>0</v>
      </c>
      <c r="D14" s="64" t="n">
        <f aca="false">CALC!BM15</f>
        <v>0</v>
      </c>
      <c r="E14" s="64" t="n">
        <f aca="false">CALC!BN15</f>
        <v>0</v>
      </c>
      <c r="F14" s="64" t="n">
        <f aca="false">CALC!BO15</f>
        <v>0</v>
      </c>
    </row>
    <row r="15" customFormat="false" ht="12.8" hidden="false" customHeight="false" outlineLevel="0" collapsed="false">
      <c r="A15" s="41" t="str">
        <f aca="false">_xlfn.CONCAT($A$1, ".", CALC!A16)</f>
        <v>LSD.RID.0.AL.AOTCREF.12</v>
      </c>
      <c r="B15" s="54" t="str">
        <f aca="false">_xlfn.CONCAT(CALC!B16, ":", CALC!C16)</f>
        <v>Transportation &amp; Warehousing:Worker</v>
      </c>
      <c r="C15" s="64" t="n">
        <f aca="false">CALC!BL16</f>
        <v>0</v>
      </c>
      <c r="D15" s="64" t="n">
        <f aca="false">CALC!BM16</f>
        <v>0</v>
      </c>
      <c r="E15" s="64" t="n">
        <f aca="false">CALC!BN16</f>
        <v>0</v>
      </c>
      <c r="F15" s="64" t="n">
        <f aca="false">CALC!BO16</f>
        <v>0</v>
      </c>
    </row>
    <row r="16" customFormat="false" ht="12.8" hidden="false" customHeight="false" outlineLevel="0" collapsed="false">
      <c r="A16" s="41" t="str">
        <f aca="false">_xlfn.CONCAT($A$1, ".", CALC!A17)</f>
        <v>LSD.RID.0.AL.AOTCREF.13</v>
      </c>
      <c r="B16" s="54" t="str">
        <f aca="false">_xlfn.CONCAT(CALC!B17, ":", CALC!C17)</f>
        <v>Retail Trade:Support</v>
      </c>
      <c r="C16" s="64" t="n">
        <f aca="false">CALC!BL17</f>
        <v>0</v>
      </c>
      <c r="D16" s="64" t="n">
        <f aca="false">CALC!BM17</f>
        <v>0</v>
      </c>
      <c r="E16" s="64" t="n">
        <f aca="false">CALC!BN17</f>
        <v>0</v>
      </c>
      <c r="F16" s="64" t="n">
        <f aca="false">CALC!BO17</f>
        <v>0</v>
      </c>
    </row>
    <row r="17" customFormat="false" ht="12.8" hidden="false" customHeight="false" outlineLevel="0" collapsed="false">
      <c r="A17" s="41" t="str">
        <f aca="false">_xlfn.CONCAT($A$1, ".", CALC!A18)</f>
        <v>LSD.RID.0.AL.AOTCREF.14</v>
      </c>
      <c r="B17" s="54" t="str">
        <f aca="false">_xlfn.CONCAT(CALC!B18, ":", CALC!C18)</f>
        <v>Retail Trade:Worker</v>
      </c>
      <c r="C17" s="64" t="n">
        <f aca="false">CALC!BL18</f>
        <v>0</v>
      </c>
      <c r="D17" s="64" t="n">
        <f aca="false">CALC!BM18</f>
        <v>0</v>
      </c>
      <c r="E17" s="64" t="n">
        <f aca="false">CALC!BN18</f>
        <v>0</v>
      </c>
      <c r="F17" s="64" t="n">
        <f aca="false">CALC!BO18</f>
        <v>0</v>
      </c>
    </row>
    <row r="18" customFormat="false" ht="12.8" hidden="false" customHeight="false" outlineLevel="0" collapsed="false">
      <c r="A18" s="41" t="str">
        <f aca="false">_xlfn.CONCAT($A$1, ".", CALC!A19)</f>
        <v>LSD.RID.0.AL.AOTCREF.15</v>
      </c>
      <c r="B18" s="54" t="str">
        <f aca="false">_xlfn.CONCAT(CALC!B19, ":", CALC!C19)</f>
        <v>Landscaping / Groundskeeping:Support</v>
      </c>
      <c r="C18" s="64" t="n">
        <f aca="false">CALC!BL19</f>
        <v>0</v>
      </c>
      <c r="D18" s="64" t="n">
        <f aca="false">CALC!BM19</f>
        <v>0</v>
      </c>
      <c r="E18" s="64" t="n">
        <f aca="false">CALC!BN19</f>
        <v>0</v>
      </c>
      <c r="F18" s="64" t="n">
        <f aca="false">CALC!BO19</f>
        <v>0</v>
      </c>
    </row>
    <row r="19" customFormat="false" ht="12.8" hidden="false" customHeight="false" outlineLevel="0" collapsed="false">
      <c r="A19" s="41" t="str">
        <f aca="false">_xlfn.CONCAT($A$1, ".", CALC!A20)</f>
        <v>LSD.RID.0.AL.AOTCREF.16</v>
      </c>
      <c r="B19" s="54" t="str">
        <f aca="false">_xlfn.CONCAT(CALC!B20, ":", CALC!C20)</f>
        <v>Landscaping / Groundskeeping:Worker</v>
      </c>
      <c r="C19" s="64" t="n">
        <f aca="false">CALC!BL20</f>
        <v>0</v>
      </c>
      <c r="D19" s="64" t="n">
        <f aca="false">CALC!BM20</f>
        <v>0</v>
      </c>
      <c r="E19" s="64" t="n">
        <f aca="false">CALC!BN20</f>
        <v>0</v>
      </c>
      <c r="F19" s="64" t="n">
        <f aca="false">CALC!BO20</f>
        <v>0</v>
      </c>
    </row>
    <row r="20" customFormat="false" ht="12.8" hidden="false" customHeight="false" outlineLevel="0" collapsed="false">
      <c r="A20" s="41" t="str">
        <f aca="false">_xlfn.CONCAT($A$1, ".", CALC!A21)</f>
        <v>LSD.RID.0.AL.AOTCREF.17</v>
      </c>
      <c r="B20" s="54" t="str">
        <f aca="false">_xlfn.CONCAT(CALC!B21, ":", CALC!C21)</f>
        <v>Automotive &amp; Repair:Support</v>
      </c>
      <c r="C20" s="64" t="n">
        <f aca="false">CALC!BL21</f>
        <v>0</v>
      </c>
      <c r="D20" s="64" t="n">
        <f aca="false">CALC!BM21</f>
        <v>0</v>
      </c>
      <c r="E20" s="64" t="n">
        <f aca="false">CALC!BN21</f>
        <v>0</v>
      </c>
      <c r="F20" s="64" t="n">
        <f aca="false">CALC!BO21</f>
        <v>0</v>
      </c>
    </row>
    <row r="21" customFormat="false" ht="12.8" hidden="false" customHeight="false" outlineLevel="0" collapsed="false">
      <c r="A21" s="41" t="str">
        <f aca="false">_xlfn.CONCAT($A$1, ".", CALC!A22)</f>
        <v>LSD.RID.0.AL.AOTCREF.18</v>
      </c>
      <c r="B21" s="54" t="str">
        <f aca="false">_xlfn.CONCAT(CALC!B22, ":", CALC!C22)</f>
        <v>Automotive &amp; Repair:Worker</v>
      </c>
      <c r="C21" s="64" t="n">
        <f aca="false">CALC!BL22</f>
        <v>0</v>
      </c>
      <c r="D21" s="64" t="n">
        <f aca="false">CALC!BM22</f>
        <v>0</v>
      </c>
      <c r="E21" s="64" t="n">
        <f aca="false">CALC!BN22</f>
        <v>0</v>
      </c>
      <c r="F21" s="64" t="n">
        <f aca="false">CALC!BO22</f>
        <v>0</v>
      </c>
    </row>
    <row r="22" customFormat="false" ht="12.8" hidden="false" customHeight="false" outlineLevel="0" collapsed="false">
      <c r="A22" s="41" t="str">
        <f aca="false">_xlfn.CONCAT($A$1, ".", CALC!A23)</f>
        <v>LSD.RID.0.AL.AOTCREF.19</v>
      </c>
      <c r="B22" s="54" t="str">
        <f aca="false">_xlfn.CONCAT(CALC!B23, ":", CALC!C23)</f>
        <v>Healthcare &amp; Social Assistance:Support</v>
      </c>
      <c r="C22" s="64" t="n">
        <f aca="false">CALC!BL23</f>
        <v>0</v>
      </c>
      <c r="D22" s="64" t="n">
        <f aca="false">CALC!BM23</f>
        <v>0</v>
      </c>
      <c r="E22" s="64" t="n">
        <f aca="false">CALC!BN23</f>
        <v>0</v>
      </c>
      <c r="F22" s="64" t="n">
        <f aca="false">CALC!BO23</f>
        <v>0</v>
      </c>
    </row>
    <row r="23" customFormat="false" ht="12.8" hidden="false" customHeight="false" outlineLevel="0" collapsed="false">
      <c r="A23" s="41" t="str">
        <f aca="false">_xlfn.CONCAT($A$1, ".", CALC!A24)</f>
        <v>LSD.RID.0.AL.AOTCREF.20</v>
      </c>
      <c r="B23" s="54" t="str">
        <f aca="false">_xlfn.CONCAT(CALC!B24, ":", CALC!C24)</f>
        <v>Healthcare &amp; Social Assistance:Worker</v>
      </c>
      <c r="C23" s="64" t="n">
        <f aca="false">CALC!BL24</f>
        <v>0</v>
      </c>
      <c r="D23" s="64" t="n">
        <f aca="false">CALC!BM24</f>
        <v>0</v>
      </c>
      <c r="E23" s="64" t="n">
        <f aca="false">CALC!BN24</f>
        <v>0</v>
      </c>
      <c r="F23" s="64" t="n">
        <f aca="false">CALC!BO24</f>
        <v>0</v>
      </c>
    </row>
    <row r="24" customFormat="false" ht="12.8" hidden="false" customHeight="false" outlineLevel="0" collapsed="false">
      <c r="A24" s="41" t="str">
        <f aca="false">_xlfn.CONCAT($A$1, ".", CALC!A25)</f>
        <v>LSD.RID.0.AL.AOTCREF.21</v>
      </c>
      <c r="B24" s="54" t="str">
        <f aca="false">_xlfn.CONCAT(CALC!B25, ":", CALC!C25)</f>
        <v>Professional Services:Support</v>
      </c>
      <c r="C24" s="64" t="n">
        <f aca="false">CALC!BL25</f>
        <v>0</v>
      </c>
      <c r="D24" s="64" t="n">
        <f aca="false">CALC!BM25</f>
        <v>0</v>
      </c>
      <c r="E24" s="64" t="n">
        <f aca="false">CALC!BN25</f>
        <v>0</v>
      </c>
      <c r="F24" s="64" t="n">
        <f aca="false">CALC!BO25</f>
        <v>0</v>
      </c>
    </row>
    <row r="25" customFormat="false" ht="12.8" hidden="false" customHeight="false" outlineLevel="0" collapsed="false">
      <c r="A25" s="41" t="str">
        <f aca="false">_xlfn.CONCAT($A$1, ".", CALC!A26)</f>
        <v>LSD.RID.0.AL.AOTCREF.22</v>
      </c>
      <c r="B25" s="54" t="str">
        <f aca="false">_xlfn.CONCAT(CALC!B26, ":", CALC!C26)</f>
        <v>Professional Services:Worker</v>
      </c>
      <c r="C25" s="64" t="n">
        <f aca="false">CALC!BL26</f>
        <v>0</v>
      </c>
      <c r="D25" s="64" t="n">
        <f aca="false">CALC!BM26</f>
        <v>0</v>
      </c>
      <c r="E25" s="64" t="n">
        <f aca="false">CALC!BN26</f>
        <v>0</v>
      </c>
      <c r="F25" s="64" t="n">
        <f aca="false">CALC!BO26</f>
        <v>0</v>
      </c>
    </row>
    <row r="26" customFormat="false" ht="12.8" hidden="false" customHeight="false" outlineLevel="0" collapsed="false">
      <c r="A26" s="41" t="str">
        <f aca="false">_xlfn.CONCAT($A$1, ".", CALC!A27)</f>
        <v>LSD.RID.0.AL.AOTCREF.23</v>
      </c>
      <c r="B26" s="54" t="str">
        <f aca="false">_xlfn.CONCAT(CALC!B27, ":", CALC!C27)</f>
        <v>Educational Services:Support</v>
      </c>
      <c r="C26" s="64" t="n">
        <f aca="false">CALC!BL27</f>
        <v>0</v>
      </c>
      <c r="D26" s="64" t="n">
        <f aca="false">CALC!BM27</f>
        <v>0</v>
      </c>
      <c r="E26" s="64" t="n">
        <f aca="false">CALC!BN27</f>
        <v>0</v>
      </c>
      <c r="F26" s="64" t="n">
        <f aca="false">CALC!BO27</f>
        <v>0</v>
      </c>
    </row>
    <row r="27" customFormat="false" ht="12.8" hidden="false" customHeight="false" outlineLevel="0" collapsed="false">
      <c r="A27" s="41" t="str">
        <f aca="false">_xlfn.CONCAT($A$1, ".", CALC!A28)</f>
        <v>LSD.RID.0.AL.AOTCREF.24</v>
      </c>
      <c r="B27" s="54" t="str">
        <f aca="false">_xlfn.CONCAT(CALC!B28, ":", CALC!C28)</f>
        <v>Educational Services:Worker</v>
      </c>
      <c r="C27" s="64" t="n">
        <f aca="false">CALC!BL28</f>
        <v>0</v>
      </c>
      <c r="D27" s="64" t="n">
        <f aca="false">CALC!BM28</f>
        <v>0</v>
      </c>
      <c r="E27" s="64" t="n">
        <f aca="false">CALC!BN28</f>
        <v>0</v>
      </c>
      <c r="F27" s="64" t="n">
        <f aca="false">CALC!BO28</f>
        <v>0</v>
      </c>
    </row>
    <row r="28" customFormat="false" ht="12.8" hidden="false" customHeight="false" outlineLevel="0" collapsed="false">
      <c r="A28" s="41" t="str">
        <f aca="false">_xlfn.CONCAT($A$1, ".", CALC!A29)</f>
        <v>LSD.RID.0.AL.AOTCREF.25</v>
      </c>
      <c r="B28" s="54" t="str">
        <f aca="false">_xlfn.CONCAT(CALC!B29, ":", CALC!C29)</f>
        <v>Finance &amp; Insurance:Support</v>
      </c>
      <c r="C28" s="64" t="n">
        <f aca="false">CALC!BL29</f>
        <v>0</v>
      </c>
      <c r="D28" s="64" t="n">
        <f aca="false">CALC!BM29</f>
        <v>0</v>
      </c>
      <c r="E28" s="64" t="n">
        <f aca="false">CALC!BN29</f>
        <v>0</v>
      </c>
      <c r="F28" s="64" t="n">
        <f aca="false">CALC!BO29</f>
        <v>0</v>
      </c>
    </row>
    <row r="29" customFormat="false" ht="12.8" hidden="false" customHeight="false" outlineLevel="0" collapsed="false">
      <c r="A29" s="41" t="str">
        <f aca="false">_xlfn.CONCAT($A$1, ".", CALC!A30)</f>
        <v>LSD.RID.0.AL.AOTCREF.26</v>
      </c>
      <c r="B29" s="54" t="str">
        <f aca="false">_xlfn.CONCAT(CALC!B30, ":", CALC!C30)</f>
        <v>Finance &amp; Insurance:Worker</v>
      </c>
      <c r="C29" s="64" t="n">
        <f aca="false">CALC!BL30</f>
        <v>0</v>
      </c>
      <c r="D29" s="64" t="n">
        <f aca="false">CALC!BM30</f>
        <v>0</v>
      </c>
      <c r="E29" s="64" t="n">
        <f aca="false">CALC!BN30</f>
        <v>0</v>
      </c>
      <c r="F29" s="64" t="n">
        <f aca="false">CALC!BO30</f>
        <v>0</v>
      </c>
    </row>
    <row r="30" customFormat="false" ht="12.8" hidden="false" customHeight="false" outlineLevel="0" collapsed="false">
      <c r="A30" s="41" t="str">
        <f aca="false">_xlfn.CONCAT($A$1, ".", CALC!A31)</f>
        <v>LSD.RID.0.AL.AOTCREF.27</v>
      </c>
      <c r="B30" s="54" t="str">
        <f aca="false">_xlfn.CONCAT(CALC!B31, ":", CALC!C31)</f>
        <v>Media and Information Technology:Support</v>
      </c>
      <c r="C30" s="64" t="n">
        <f aca="false">CALC!BL31</f>
        <v>0</v>
      </c>
      <c r="D30" s="64" t="n">
        <f aca="false">CALC!BM31</f>
        <v>0</v>
      </c>
      <c r="E30" s="64" t="n">
        <f aca="false">CALC!BN31</f>
        <v>0</v>
      </c>
      <c r="F30" s="64" t="n">
        <f aca="false">CALC!BO31</f>
        <v>0</v>
      </c>
    </row>
    <row r="31" customFormat="false" ht="12.8" hidden="false" customHeight="false" outlineLevel="0" collapsed="false">
      <c r="A31" s="41" t="str">
        <f aca="false">_xlfn.CONCAT($A$1, ".", CALC!A32)</f>
        <v>LSD.RID.0.AL.AOTCREF.28</v>
      </c>
      <c r="B31" s="54" t="str">
        <f aca="false">_xlfn.CONCAT(CALC!B32, ":", CALC!C32)</f>
        <v>Media and Information Technology:Worker</v>
      </c>
      <c r="C31" s="64" t="n">
        <f aca="false">CALC!BL32</f>
        <v>0</v>
      </c>
      <c r="D31" s="64" t="n">
        <f aca="false">CALC!BM32</f>
        <v>0</v>
      </c>
      <c r="E31" s="64" t="n">
        <f aca="false">CALC!BN32</f>
        <v>0</v>
      </c>
      <c r="F31" s="64" t="n">
        <f aca="false">CALC!BO32</f>
        <v>0</v>
      </c>
    </row>
    <row r="32" customFormat="false" ht="12.8" hidden="false" customHeight="false" outlineLevel="0" collapsed="false">
      <c r="A32" s="41" t="str">
        <f aca="false">_xlfn.CONCAT($A$1, ".", CALC!A33)</f>
        <v>LSD.RID.0.AL.AOTCREF.29</v>
      </c>
      <c r="B32" s="54" t="str">
        <f aca="false">_xlfn.CONCAT(CALC!B33, ":", CALC!C33)</f>
        <v>Government:Support</v>
      </c>
      <c r="C32" s="64" t="n">
        <f aca="false">CALC!BL33</f>
        <v>0</v>
      </c>
      <c r="D32" s="64" t="n">
        <f aca="false">CALC!BM33</f>
        <v>0</v>
      </c>
      <c r="E32" s="64" t="n">
        <f aca="false">CALC!BN33</f>
        <v>0</v>
      </c>
      <c r="F32" s="64" t="n">
        <f aca="false">CALC!BO33</f>
        <v>0</v>
      </c>
    </row>
    <row r="33" customFormat="false" ht="12.8" hidden="false" customHeight="false" outlineLevel="0" collapsed="false">
      <c r="A33" s="41" t="str">
        <f aca="false">_xlfn.CONCAT($A$1, ".", CALC!A34)</f>
        <v>LSD.RID.0.AL.AOTCREF.30</v>
      </c>
      <c r="B33" s="54" t="str">
        <f aca="false">_xlfn.CONCAT(CALC!B34, ":", CALC!C34)</f>
        <v>Government:Worker</v>
      </c>
      <c r="C33" s="64" t="n">
        <f aca="false">CALC!BL34</f>
        <v>0</v>
      </c>
      <c r="D33" s="64" t="n">
        <f aca="false">CALC!BM34</f>
        <v>0</v>
      </c>
      <c r="E33" s="64" t="n">
        <f aca="false">CALC!BN34</f>
        <v>0</v>
      </c>
      <c r="F33" s="64" t="n">
        <f aca="false">CALC!BO34</f>
        <v>0</v>
      </c>
    </row>
    <row r="34" customFormat="false" ht="12.8" hidden="false" customHeight="false" outlineLevel="0" collapsed="false">
      <c r="A34" s="41" t="str">
        <f aca="false">_xlfn.CONCAT($A$1, ".", CALC!A35)</f>
        <v>LSD.RID.0.AL.AOTCREF.31</v>
      </c>
      <c r="B34" s="54" t="str">
        <f aca="false">_xlfn.CONCAT(CALC!B35, ":", CALC!C35)</f>
        <v>Self-Employed / Non-Employer:Support</v>
      </c>
      <c r="C34" s="64" t="n">
        <f aca="false">CALC!BL35</f>
        <v>0</v>
      </c>
      <c r="D34" s="64" t="n">
        <f aca="false">CALC!BM35</f>
        <v>0</v>
      </c>
      <c r="E34" s="64" t="n">
        <f aca="false">CALC!BN35</f>
        <v>0</v>
      </c>
      <c r="F34" s="64" t="n">
        <f aca="false">CALC!BO35</f>
        <v>0</v>
      </c>
    </row>
    <row r="35" customFormat="false" ht="12.8" hidden="false" customHeight="false" outlineLevel="0" collapsed="false">
      <c r="A35" s="41" t="str">
        <f aca="false">_xlfn.CONCAT($A$1, ".", CALC!A36)</f>
        <v>LSD.RID.0.AL.AOTCREF.32</v>
      </c>
      <c r="B35" s="54" t="str">
        <f aca="false">_xlfn.CONCAT(CALC!B36, ":", CALC!C36)</f>
        <v>Self-Employed / Non-Employer:Worker</v>
      </c>
      <c r="C35" s="64" t="n">
        <f aca="false">CALC!BL36</f>
        <v>0</v>
      </c>
      <c r="D35" s="64" t="n">
        <f aca="false">CALC!BM36</f>
        <v>0</v>
      </c>
      <c r="E35" s="64" t="n">
        <f aca="false">CALC!BN36</f>
        <v>0</v>
      </c>
      <c r="F35" s="64" t="n">
        <f aca="false">CALC!BO36</f>
        <v>0</v>
      </c>
    </row>
    <row r="36" customFormat="false" ht="12.8" hidden="false" customHeight="false" outlineLevel="0" collapsed="false">
      <c r="A36" s="41" t="str">
        <f aca="false">_xlfn.CONCAT($A$1, ".", CALC!A37)</f>
        <v>LSD.RID.0.AL.AOTCREF.33</v>
      </c>
      <c r="B36" s="54" t="str">
        <f aca="false">_xlfn.CONCAT(CALC!B37, ":", CALC!C37)</f>
        <v>Other Services:Support</v>
      </c>
      <c r="C36" s="64" t="n">
        <f aca="false">CALC!BL37</f>
        <v>0</v>
      </c>
      <c r="D36" s="64" t="n">
        <f aca="false">CALC!BM37</f>
        <v>0</v>
      </c>
      <c r="E36" s="64" t="n">
        <f aca="false">CALC!BN37</f>
        <v>0</v>
      </c>
      <c r="F36" s="64" t="n">
        <f aca="false">CALC!BO37</f>
        <v>0</v>
      </c>
    </row>
    <row r="37" customFormat="false" ht="12.8" hidden="false" customHeight="false" outlineLevel="0" collapsed="false">
      <c r="A37" s="41" t="str">
        <f aca="false">_xlfn.CONCAT($A$1, ".", CALC!A38)</f>
        <v>LSD.RID.0.AL.AOTCREF.34</v>
      </c>
      <c r="B37" s="54" t="str">
        <f aca="false">_xlfn.CONCAT(CALC!B38, ":", CALC!C38)</f>
        <v>Other Services:Worker</v>
      </c>
      <c r="C37" s="64" t="n">
        <f aca="false">CALC!BL38</f>
        <v>0</v>
      </c>
      <c r="D37" s="64" t="n">
        <f aca="false">CALC!BM38</f>
        <v>0</v>
      </c>
      <c r="E37" s="64" t="n">
        <f aca="false">CALC!BN38</f>
        <v>0</v>
      </c>
      <c r="F37" s="64" t="n">
        <f aca="false">CALC!BO38</f>
        <v>0</v>
      </c>
    </row>
    <row r="38" customFormat="false" ht="12.8" hidden="false" customHeight="false" outlineLevel="0" collapsed="false">
      <c r="A38" s="41" t="str">
        <f aca="false">_xlfn.CONCAT($A$1, ".", CALC!A39)</f>
        <v>LSD.RID.0.AL.AOTCREF.35</v>
      </c>
      <c r="B38" s="54" t="str">
        <f aca="false">_xlfn.CONCAT(CALC!B39, ":", CALC!C39)</f>
        <v>Mining, Quarrying, and Oil/Gas Extraction:Support</v>
      </c>
      <c r="C38" s="64" t="n">
        <f aca="false">CALC!BL39</f>
        <v>0</v>
      </c>
      <c r="D38" s="64" t="n">
        <f aca="false">CALC!BM39</f>
        <v>0</v>
      </c>
      <c r="E38" s="64" t="n">
        <f aca="false">CALC!BN39</f>
        <v>0</v>
      </c>
      <c r="F38" s="64" t="n">
        <f aca="false">CALC!BO39</f>
        <v>0</v>
      </c>
    </row>
    <row r="39" customFormat="false" ht="12.8" hidden="false" customHeight="false" outlineLevel="0" collapsed="false">
      <c r="A39" s="41" t="str">
        <f aca="false">_xlfn.CONCAT($A$1, ".", CALC!A40)</f>
        <v>LSD.RID.0.AL.AOTCREF.36</v>
      </c>
      <c r="B39" s="54" t="str">
        <f aca="false">_xlfn.CONCAT(CALC!B40, ":", CALC!C40)</f>
        <v>Mining, Quarrying, and Oil/Gas Extraction:Worker</v>
      </c>
      <c r="C39" s="64" t="n">
        <f aca="false">CALC!BL40</f>
        <v>0</v>
      </c>
      <c r="D39" s="64" t="n">
        <f aca="false">CALC!BM40</f>
        <v>0</v>
      </c>
      <c r="E39" s="64" t="n">
        <f aca="false">CALC!BN40</f>
        <v>0</v>
      </c>
      <c r="F39" s="64" t="n">
        <f aca="false">CALC!BO40</f>
        <v>0</v>
      </c>
    </row>
    <row r="40" customFormat="false" ht="12.8" hidden="false" customHeight="false" outlineLevel="0" collapsed="false">
      <c r="A40" s="41" t="str">
        <f aca="false">_xlfn.CONCAT($A$1, ".", CALC!A41)</f>
        <v>LSD.RID.0.AL.AOTCREF.37</v>
      </c>
      <c r="B40" s="54" t="str">
        <f aca="false">_xlfn.CONCAT(CALC!B41, ":", CALC!C41)</f>
        <v>Utilities:Support</v>
      </c>
      <c r="C40" s="64" t="n">
        <f aca="false">CALC!BL41</f>
        <v>0</v>
      </c>
      <c r="D40" s="64" t="n">
        <f aca="false">CALC!BM41</f>
        <v>0</v>
      </c>
      <c r="E40" s="64" t="n">
        <f aca="false">CALC!BN41</f>
        <v>0</v>
      </c>
      <c r="F40" s="64" t="n">
        <f aca="false">CALC!BO41</f>
        <v>0</v>
      </c>
    </row>
    <row r="41" customFormat="false" ht="12.8" hidden="false" customHeight="false" outlineLevel="0" collapsed="false">
      <c r="A41" s="41" t="str">
        <f aca="false">_xlfn.CONCAT($A$1, ".", CALC!A42)</f>
        <v>LSD.RID.0.AL.AOTCREF.38</v>
      </c>
      <c r="B41" s="54" t="str">
        <f aca="false">_xlfn.CONCAT(CALC!B42, ":", CALC!C42)</f>
        <v>Utilities:Worker</v>
      </c>
      <c r="C41" s="64" t="n">
        <f aca="false">CALC!BL42</f>
        <v>0</v>
      </c>
      <c r="D41" s="64" t="n">
        <f aca="false">CALC!BM42</f>
        <v>0</v>
      </c>
      <c r="E41" s="64" t="n">
        <f aca="false">CALC!BN42</f>
        <v>0</v>
      </c>
      <c r="F41" s="64" t="n">
        <f aca="false">CALC!BO42</f>
        <v>0</v>
      </c>
    </row>
    <row r="42" customFormat="false" ht="12.8" hidden="false" customHeight="false" outlineLevel="0" collapsed="false">
      <c r="A42" s="41" t="str">
        <f aca="false">_xlfn.CONCAT($A$1, ".", CALC!A43)</f>
        <v>LSD.RID.0.AL.AOTCREF.39</v>
      </c>
      <c r="B42" s="54" t="str">
        <f aca="false">_xlfn.CONCAT(CALC!B43, ":", CALC!C43)</f>
        <v>Wholesale Trade:Support</v>
      </c>
      <c r="C42" s="64" t="n">
        <f aca="false">CALC!BL43</f>
        <v>0</v>
      </c>
      <c r="D42" s="64" t="n">
        <f aca="false">CALC!BM43</f>
        <v>0</v>
      </c>
      <c r="E42" s="64" t="n">
        <f aca="false">CALC!BN43</f>
        <v>0</v>
      </c>
      <c r="F42" s="64" t="n">
        <f aca="false">CALC!BO43</f>
        <v>0</v>
      </c>
    </row>
    <row r="43" customFormat="false" ht="12.8" hidden="false" customHeight="false" outlineLevel="0" collapsed="false">
      <c r="A43" s="41" t="str">
        <f aca="false">_xlfn.CONCAT($A$1, ".", CALC!A44)</f>
        <v>LSD.RID.0.AL.AOTCREF.40</v>
      </c>
      <c r="B43" s="54" t="str">
        <f aca="false">_xlfn.CONCAT(CALC!B44, ":", CALC!C44)</f>
        <v>Wholesale Trade:Worker</v>
      </c>
      <c r="C43" s="64" t="n">
        <f aca="false">CALC!BL44</f>
        <v>0</v>
      </c>
      <c r="D43" s="64" t="n">
        <f aca="false">CALC!BM44</f>
        <v>0</v>
      </c>
      <c r="E43" s="64" t="n">
        <f aca="false">CALC!BN44</f>
        <v>0</v>
      </c>
      <c r="F43" s="64" t="n">
        <f aca="false">CALC!BO44</f>
        <v>0</v>
      </c>
    </row>
    <row r="44" customFormat="false" ht="12.8" hidden="false" customHeight="false" outlineLevel="0" collapsed="false">
      <c r="A44" s="41" t="str">
        <f aca="false">_xlfn.CONCAT($A$1, ".", CALC!A45)</f>
        <v>LSD.RID.0.AL.AOTCREF.41</v>
      </c>
      <c r="B44" s="54" t="str">
        <f aca="false">_xlfn.CONCAT(CALC!B45, ":", CALC!C45)</f>
        <v>Information:Support</v>
      </c>
      <c r="C44" s="64" t="n">
        <f aca="false">CALC!BL45</f>
        <v>0</v>
      </c>
      <c r="D44" s="64" t="n">
        <f aca="false">CALC!BM45</f>
        <v>0</v>
      </c>
      <c r="E44" s="64" t="n">
        <f aca="false">CALC!BN45</f>
        <v>0</v>
      </c>
      <c r="F44" s="64" t="n">
        <f aca="false">CALC!BO45</f>
        <v>0</v>
      </c>
    </row>
    <row r="45" customFormat="false" ht="12.8" hidden="false" customHeight="false" outlineLevel="0" collapsed="false">
      <c r="A45" s="41" t="str">
        <f aca="false">_xlfn.CONCAT($A$1, ".", CALC!A46)</f>
        <v>LSD.RID.0.AL.AOTCREF.42</v>
      </c>
      <c r="B45" s="54" t="str">
        <f aca="false">_xlfn.CONCAT(CALC!B46, ":", CALC!C46)</f>
        <v>Information:Worker</v>
      </c>
      <c r="C45" s="64" t="n">
        <f aca="false">CALC!BL46</f>
        <v>0</v>
      </c>
      <c r="D45" s="64" t="n">
        <f aca="false">CALC!BM46</f>
        <v>0</v>
      </c>
      <c r="E45" s="64" t="n">
        <f aca="false">CALC!BN46</f>
        <v>0</v>
      </c>
      <c r="F45" s="64" t="n">
        <f aca="false">CALC!BO46</f>
        <v>0</v>
      </c>
    </row>
    <row r="46" customFormat="false" ht="12.8" hidden="false" customHeight="false" outlineLevel="0" collapsed="false">
      <c r="A46" s="41" t="str">
        <f aca="false">_xlfn.CONCAT($A$1, ".", CALC!A47)</f>
        <v>LSD.RID.0.AL.AOTCREF.43</v>
      </c>
      <c r="B46" s="54" t="str">
        <f aca="false">_xlfn.CONCAT(CALC!B47, ":", CALC!C47)</f>
        <v>Real Estate, Rental and Leasing:Support</v>
      </c>
      <c r="C46" s="64" t="n">
        <f aca="false">CALC!BL47</f>
        <v>0</v>
      </c>
      <c r="D46" s="64" t="n">
        <f aca="false">CALC!BM47</f>
        <v>0</v>
      </c>
      <c r="E46" s="64" t="n">
        <f aca="false">CALC!BN47</f>
        <v>0</v>
      </c>
      <c r="F46" s="64" t="n">
        <f aca="false">CALC!BO47</f>
        <v>0</v>
      </c>
    </row>
    <row r="47" customFormat="false" ht="12.8" hidden="false" customHeight="false" outlineLevel="0" collapsed="false">
      <c r="A47" s="41" t="str">
        <f aca="false">_xlfn.CONCAT($A$1, ".", CALC!A48)</f>
        <v>LSD.RID.0.AL.AOTCREF.44</v>
      </c>
      <c r="B47" s="54" t="str">
        <f aca="false">_xlfn.CONCAT(CALC!B48, ":", CALC!C48)</f>
        <v>Real Estate, Rental and Leasing:Worker</v>
      </c>
      <c r="C47" s="64" t="n">
        <f aca="false">CALC!BL48</f>
        <v>0</v>
      </c>
      <c r="D47" s="64" t="n">
        <f aca="false">CALC!BM48</f>
        <v>0</v>
      </c>
      <c r="E47" s="64" t="n">
        <f aca="false">CALC!BN48</f>
        <v>0</v>
      </c>
      <c r="F47" s="64" t="n">
        <f aca="false">CALC!BO48</f>
        <v>0</v>
      </c>
    </row>
    <row r="48" customFormat="false" ht="12.8" hidden="false" customHeight="false" outlineLevel="0" collapsed="false">
      <c r="A48" s="41" t="str">
        <f aca="false">_xlfn.CONCAT($A$1, ".", CALC!A49)</f>
        <v>LSD.RID.0.AL.AOTCREF.45</v>
      </c>
      <c r="B48" s="54" t="str">
        <f aca="false">_xlfn.CONCAT(CALC!B49, ":", CALC!C49)</f>
        <v>Waste Management Services:Support</v>
      </c>
      <c r="C48" s="64" t="n">
        <f aca="false">CALC!BL49</f>
        <v>0</v>
      </c>
      <c r="D48" s="64" t="n">
        <f aca="false">CALC!BM49</f>
        <v>0</v>
      </c>
      <c r="E48" s="64" t="n">
        <f aca="false">CALC!BN49</f>
        <v>0</v>
      </c>
      <c r="F48" s="64" t="n">
        <f aca="false">CALC!BO49</f>
        <v>0</v>
      </c>
    </row>
    <row r="49" customFormat="false" ht="12.8" hidden="false" customHeight="false" outlineLevel="0" collapsed="false">
      <c r="A49" s="41" t="str">
        <f aca="false">_xlfn.CONCAT($A$1, ".", CALC!A50)</f>
        <v>LSD.RID.0.AL.AOTCREF.46</v>
      </c>
      <c r="B49" s="54" t="str">
        <f aca="false">_xlfn.CONCAT(CALC!B50, ":", CALC!C50)</f>
        <v>Waste Management Services:Worker</v>
      </c>
      <c r="C49" s="64" t="n">
        <f aca="false">CALC!BL50</f>
        <v>0</v>
      </c>
      <c r="D49" s="64" t="n">
        <f aca="false">CALC!BM50</f>
        <v>0</v>
      </c>
      <c r="E49" s="64" t="n">
        <f aca="false">CALC!BN50</f>
        <v>0</v>
      </c>
      <c r="F49" s="64" t="n">
        <f aca="false">CALC!BO50</f>
        <v>0</v>
      </c>
    </row>
    <row r="50" customFormat="false" ht="12.8" hidden="false" customHeight="false" outlineLevel="0" collapsed="false">
      <c r="A50" s="41" t="str">
        <f aca="false">_xlfn.CONCAT($A$1, ".", CALC!A51)</f>
        <v>LSD.RID.0.AL.AOTCREF.47</v>
      </c>
      <c r="B50" s="54" t="str">
        <f aca="false">_xlfn.CONCAT(CALC!B51, ":", CALC!C51)</f>
        <v>Arts, Entertainment, and Recreation:Support</v>
      </c>
      <c r="C50" s="64" t="n">
        <f aca="false">CALC!BL51</f>
        <v>0</v>
      </c>
      <c r="D50" s="64" t="n">
        <f aca="false">CALC!BM51</f>
        <v>0</v>
      </c>
      <c r="E50" s="64" t="n">
        <f aca="false">CALC!BN51</f>
        <v>0</v>
      </c>
      <c r="F50" s="64" t="n">
        <f aca="false">CALC!BO51</f>
        <v>0</v>
      </c>
    </row>
    <row r="51" customFormat="false" ht="12.8" hidden="false" customHeight="false" outlineLevel="0" collapsed="false">
      <c r="A51" s="41" t="str">
        <f aca="false">_xlfn.CONCAT($A$1, ".", CALC!A52)</f>
        <v>LSD.RID.0.AL.AOTCREF.48</v>
      </c>
      <c r="B51" s="54" t="str">
        <f aca="false">_xlfn.CONCAT(CALC!B52, ":", CALC!C52)</f>
        <v>Arts, Entertainment, and Recreation:Worker</v>
      </c>
      <c r="C51" s="64" t="n">
        <f aca="false">CALC!BL52</f>
        <v>0</v>
      </c>
      <c r="D51" s="64" t="n">
        <f aca="false">CALC!BM52</f>
        <v>0</v>
      </c>
      <c r="E51" s="64" t="n">
        <f aca="false">CALC!BN52</f>
        <v>0</v>
      </c>
      <c r="F51" s="64" t="n">
        <f aca="false">CALC!BO52</f>
        <v>0</v>
      </c>
    </row>
    <row r="52" customFormat="false" ht="12.8" hidden="false" customHeight="false" outlineLevel="0" collapsed="false">
      <c r="A52" s="41" t="str">
        <f aca="false">_xlfn.CONCAT($A$1, ".", CALC!A53)</f>
        <v>LSD.RID.0.AL.AOTCREF.49</v>
      </c>
      <c r="B52" s="54" t="str">
        <f aca="false">_xlfn.CONCAT(CALC!B53, ":", CALC!C53)</f>
        <v>Accommodation and Food Services:Support</v>
      </c>
      <c r="C52" s="64" t="n">
        <f aca="false">CALC!BL53</f>
        <v>0</v>
      </c>
      <c r="D52" s="64" t="n">
        <f aca="false">CALC!BM53</f>
        <v>0</v>
      </c>
      <c r="E52" s="64" t="n">
        <f aca="false">CALC!BN53</f>
        <v>0</v>
      </c>
      <c r="F52" s="64" t="n">
        <f aca="false">CALC!BO53</f>
        <v>0</v>
      </c>
    </row>
    <row r="53" customFormat="false" ht="12.8" hidden="false" customHeight="false" outlineLevel="0" collapsed="false">
      <c r="A53" s="41" t="str">
        <f aca="false">_xlfn.CONCAT($A$1, ".", CALC!A54)</f>
        <v>LSD.RID.0.AL.AOTCREF.50</v>
      </c>
      <c r="B53" s="54" t="str">
        <f aca="false">_xlfn.CONCAT(CALC!B54, ":", CALC!C54)</f>
        <v>Accommodation and Food Services:Worker</v>
      </c>
      <c r="C53" s="64" t="n">
        <f aca="false">CALC!BL54</f>
        <v>0</v>
      </c>
      <c r="D53" s="64" t="n">
        <f aca="false">CALC!BM54</f>
        <v>0</v>
      </c>
      <c r="E53" s="64" t="n">
        <f aca="false">CALC!BN54</f>
        <v>0</v>
      </c>
      <c r="F53" s="64" t="n">
        <f aca="false">CALC!BO54</f>
        <v>0</v>
      </c>
    </row>
    <row r="54" customFormat="false" ht="12.8" hidden="false" customHeight="false" outlineLevel="0" collapsed="false">
      <c r="A54" s="41" t="str">
        <f aca="false">_xlfn.CONCAT($A$1, ".", CALC!A55)</f>
        <v>LSD.RID.0.AL.AOTCREF.51</v>
      </c>
      <c r="B54" s="54" t="str">
        <f aca="false">_xlfn.CONCAT(CALC!B55, ":", CALC!C55)</f>
        <v>Public Administration:Support</v>
      </c>
      <c r="C54" s="64" t="n">
        <f aca="false">CALC!BL55</f>
        <v>0</v>
      </c>
      <c r="D54" s="64" t="n">
        <f aca="false">CALC!BM55</f>
        <v>0</v>
      </c>
      <c r="E54" s="64" t="n">
        <f aca="false">CALC!BN55</f>
        <v>0</v>
      </c>
      <c r="F54" s="64" t="n">
        <f aca="false">CALC!BO55</f>
        <v>0</v>
      </c>
    </row>
    <row r="55" customFormat="false" ht="12.8" hidden="false" customHeight="false" outlineLevel="0" collapsed="false">
      <c r="A55" s="41" t="str">
        <f aca="false">_xlfn.CONCAT($A$1, ".", CALC!A56)</f>
        <v>LSD.RID.0.AL.AOTCREF.52</v>
      </c>
      <c r="B55" s="54" t="str">
        <f aca="false">_xlfn.CONCAT(CALC!B56, ":", CALC!C56)</f>
        <v>Public Administration:Worker</v>
      </c>
      <c r="C55" s="64" t="n">
        <f aca="false">CALC!BL56</f>
        <v>0</v>
      </c>
      <c r="D55" s="64" t="n">
        <f aca="false">CALC!BM56</f>
        <v>0</v>
      </c>
      <c r="E55" s="64" t="n">
        <f aca="false">CALC!BN56</f>
        <v>0</v>
      </c>
      <c r="F55" s="64" t="n">
        <f aca="false">CALC!BO56</f>
        <v>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249"/>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2" activeCellId="0" sqref="C2"/>
    </sheetView>
  </sheetViews>
  <sheetFormatPr defaultColWidth="11.53515625" defaultRowHeight="12.8" customHeight="false" zeroHeight="false" outlineLevelRow="1" outlineLevelCol="0"/>
  <cols>
    <col collapsed="false" customWidth="true" hidden="false" outlineLevel="0" max="1" min="1" style="41" width="13.84"/>
    <col collapsed="false" customWidth="true" hidden="false" outlineLevel="0" max="2" min="2" style="36" width="36.9"/>
    <col collapsed="false" customWidth="true" hidden="false" outlineLevel="0" max="3" min="3" style="26" width="21.47"/>
    <col collapsed="false" customWidth="true" hidden="false" outlineLevel="0" max="34" min="4" style="26" width="16.84"/>
    <col collapsed="false" customWidth="true" hidden="false" outlineLevel="0" max="48" min="35" style="26" width="17.78"/>
    <col collapsed="false" customWidth="true" hidden="false" outlineLevel="0" max="51" min="49" style="26" width="15.48"/>
    <col collapsed="false" customWidth="true" hidden="false" outlineLevel="0" max="56" min="56" style="26" width="18.45"/>
    <col collapsed="false" customWidth="true" hidden="false" outlineLevel="0" max="59" min="57" style="26" width="16.14"/>
    <col collapsed="false" customWidth="true" hidden="false" outlineLevel="0" max="67" min="60" style="26" width="13.84"/>
  </cols>
  <sheetData>
    <row r="1" customFormat="false" ht="23.85" hidden="false" customHeight="false" outlineLevel="0" collapsed="false">
      <c r="A1" s="4" t="s">
        <v>2173</v>
      </c>
      <c r="B1" s="66" t="s">
        <v>2174</v>
      </c>
      <c r="C1" s="6" t="s">
        <v>2</v>
      </c>
      <c r="D1" s="26" t="s">
        <v>2175</v>
      </c>
      <c r="AZ1" s="26"/>
      <c r="BP1" s="26"/>
    </row>
    <row r="2" customFormat="false" ht="35.05" hidden="false" customHeight="false" outlineLevel="0" collapsed="false">
      <c r="A2" s="67" t="s">
        <v>2140</v>
      </c>
      <c r="B2" s="68" t="s">
        <v>2141</v>
      </c>
      <c r="C2" s="64" t="str">
        <f aca="false">CALC!BL3</f>
        <v>AOTC Refund</v>
      </c>
      <c r="D2" s="64" t="str">
        <f aca="false">CALC!BM3</f>
        <v>Authorized Immigrant AOTC Refund</v>
      </c>
      <c r="E2" s="64" t="str">
        <f aca="false">CALC!BN3</f>
        <v>Unauthorized Immigrant AOTC Refund</v>
      </c>
      <c r="F2" s="64" t="str">
        <f aca="false">CALC!BO3</f>
        <v>American Tax AOTC Refund</v>
      </c>
    </row>
    <row r="3" customFormat="false" ht="12.8" hidden="false" customHeight="false" outlineLevel="0" collapsed="false">
      <c r="A3" s="41" t="str">
        <f aca="false">_xlfn.CONCAT($A$1, ".", CALC!A4)</f>
        <v>LSD.RID.0.AL.AOTCREF.0</v>
      </c>
      <c r="B3" s="54" t="str">
        <f aca="false">_xlfn.CONCAT(CALC!B4, ":", CALC!C4)</f>
        <v>All Industries:All Roles</v>
      </c>
      <c r="C3" s="64" t="n">
        <f aca="false">CALC!BL4</f>
        <v>0</v>
      </c>
      <c r="D3" s="64" t="n">
        <f aca="false">CALC!BM4</f>
        <v>0</v>
      </c>
      <c r="E3" s="64" t="n">
        <f aca="false">CALC!BN4</f>
        <v>0</v>
      </c>
      <c r="F3" s="64" t="n">
        <f aca="false">CALC!BO4</f>
        <v>0</v>
      </c>
    </row>
    <row r="4" customFormat="false" ht="12.8" hidden="false" customHeight="false" outlineLevel="0" collapsed="false">
      <c r="A4" s="41" t="str">
        <f aca="false">_xlfn.CONCAT($A$1, ".", CALC!A5)</f>
        <v>LSD.RID.0.AL.AOTCREF.1</v>
      </c>
      <c r="B4" s="54" t="str">
        <f aca="false">_xlfn.CONCAT(CALC!B5, ":", CALC!C5)</f>
        <v>Agriculture:Support</v>
      </c>
      <c r="C4" s="64" t="n">
        <f aca="false">CALC!BL5</f>
        <v>0</v>
      </c>
      <c r="D4" s="64" t="n">
        <f aca="false">CALC!BM5</f>
        <v>0</v>
      </c>
      <c r="E4" s="64" t="n">
        <f aca="false">CALC!BN5</f>
        <v>0</v>
      </c>
      <c r="F4" s="64" t="n">
        <f aca="false">CALC!BO5</f>
        <v>0</v>
      </c>
    </row>
    <row r="5" customFormat="false" ht="12.8" hidden="false" customHeight="false" outlineLevel="0" collapsed="false">
      <c r="A5" s="41" t="str">
        <f aca="false">_xlfn.CONCAT($A$1, ".", CALC!A6)</f>
        <v>LSD.RID.0.AL.AOTCREF.2</v>
      </c>
      <c r="B5" s="54" t="str">
        <f aca="false">_xlfn.CONCAT(CALC!B6, ":", CALC!C6)</f>
        <v>Agriculture:Worker</v>
      </c>
      <c r="C5" s="64" t="n">
        <f aca="false">CALC!BL6</f>
        <v>0</v>
      </c>
      <c r="D5" s="64" t="n">
        <f aca="false">CALC!BM6</f>
        <v>0</v>
      </c>
      <c r="E5" s="64" t="n">
        <f aca="false">CALC!BN6</f>
        <v>0</v>
      </c>
      <c r="F5" s="64" t="n">
        <f aca="false">CALC!BO6</f>
        <v>0</v>
      </c>
    </row>
    <row r="6" customFormat="false" ht="12.8" hidden="false" customHeight="false" outlineLevel="0" collapsed="false">
      <c r="A6" s="41" t="str">
        <f aca="false">_xlfn.CONCAT($A$1, ".", CALC!A7)</f>
        <v>LSD.RID.0.AL.AOTCREF.3</v>
      </c>
      <c r="B6" s="54" t="str">
        <f aca="false">_xlfn.CONCAT(CALC!B7, ":", CALC!C7)</f>
        <v>Construction:Support</v>
      </c>
      <c r="C6" s="64" t="n">
        <f aca="false">CALC!BL7</f>
        <v>0</v>
      </c>
      <c r="D6" s="64" t="n">
        <f aca="false">CALC!BM7</f>
        <v>0</v>
      </c>
      <c r="E6" s="64" t="n">
        <f aca="false">CALC!BN7</f>
        <v>0</v>
      </c>
      <c r="F6" s="64" t="n">
        <f aca="false">CALC!BO7</f>
        <v>0</v>
      </c>
    </row>
    <row r="7" customFormat="false" ht="12.8" hidden="false" customHeight="false" outlineLevel="0" collapsed="false">
      <c r="A7" s="41" t="str">
        <f aca="false">_xlfn.CONCAT($A$1, ".", CALC!A8)</f>
        <v>LSD.RID.0.AL.AOTCREF.4</v>
      </c>
      <c r="B7" s="54" t="str">
        <f aca="false">_xlfn.CONCAT(CALC!B8, ":", CALC!C8)</f>
        <v>Construction:Worker</v>
      </c>
      <c r="C7" s="64" t="n">
        <f aca="false">CALC!BL8</f>
        <v>0</v>
      </c>
      <c r="D7" s="64" t="n">
        <f aca="false">CALC!BM8</f>
        <v>0</v>
      </c>
      <c r="E7" s="64" t="n">
        <f aca="false">CALC!BN8</f>
        <v>0</v>
      </c>
      <c r="F7" s="64" t="n">
        <f aca="false">CALC!BO8</f>
        <v>0</v>
      </c>
    </row>
    <row r="8" customFormat="false" ht="12.8" hidden="false" customHeight="false" outlineLevel="0" collapsed="false">
      <c r="A8" s="41" t="str">
        <f aca="false">_xlfn.CONCAT($A$1, ".", CALC!A9)</f>
        <v>LSD.RID.0.AL.AOTCREF.5</v>
      </c>
      <c r="B8" s="54" t="str">
        <f aca="false">_xlfn.CONCAT(CALC!B9, ":", CALC!C9)</f>
        <v>Hospitality:Support</v>
      </c>
      <c r="C8" s="64" t="n">
        <f aca="false">CALC!BL9</f>
        <v>0</v>
      </c>
      <c r="D8" s="64" t="n">
        <f aca="false">CALC!BM9</f>
        <v>0</v>
      </c>
      <c r="E8" s="64" t="n">
        <f aca="false">CALC!BN9</f>
        <v>0</v>
      </c>
      <c r="F8" s="64" t="n">
        <f aca="false">CALC!BO9</f>
        <v>0</v>
      </c>
    </row>
    <row r="9" customFormat="false" ht="12.8" hidden="false" customHeight="false" outlineLevel="0" collapsed="false">
      <c r="A9" s="41" t="str">
        <f aca="false">_xlfn.CONCAT($A$1, ".", CALC!A10)</f>
        <v>LSD.RID.0.AL.AOTCREF.6</v>
      </c>
      <c r="B9" s="54" t="str">
        <f aca="false">_xlfn.CONCAT(CALC!B10, ":", CALC!C10)</f>
        <v>Hospitality:Worker</v>
      </c>
      <c r="C9" s="64" t="n">
        <f aca="false">CALC!BL10</f>
        <v>0</v>
      </c>
      <c r="D9" s="64" t="n">
        <f aca="false">CALC!BM10</f>
        <v>0</v>
      </c>
      <c r="E9" s="64" t="n">
        <f aca="false">CALC!BN10</f>
        <v>0</v>
      </c>
      <c r="F9" s="64" t="n">
        <f aca="false">CALC!BO10</f>
        <v>0</v>
      </c>
    </row>
    <row r="10" customFormat="false" ht="12.8" hidden="false" customHeight="false" outlineLevel="0" collapsed="false">
      <c r="A10" s="41" t="str">
        <f aca="false">_xlfn.CONCAT($A$1, ".", CALC!A11)</f>
        <v>LSD.RID.0.AL.AOTCREF.7</v>
      </c>
      <c r="B10" s="54" t="str">
        <f aca="false">_xlfn.CONCAT(CALC!B11, ":", CALC!C11)</f>
        <v>Cleaning &amp; Maintenance:Support</v>
      </c>
      <c r="C10" s="64" t="n">
        <f aca="false">CALC!BL11</f>
        <v>0</v>
      </c>
      <c r="D10" s="64" t="n">
        <f aca="false">CALC!BM11</f>
        <v>0</v>
      </c>
      <c r="E10" s="64" t="n">
        <f aca="false">CALC!BN11</f>
        <v>0</v>
      </c>
      <c r="F10" s="64" t="n">
        <f aca="false">CALC!BO11</f>
        <v>0</v>
      </c>
    </row>
    <row r="11" customFormat="false" ht="12.8" hidden="false" customHeight="false" outlineLevel="0" collapsed="false">
      <c r="A11" s="41" t="str">
        <f aca="false">_xlfn.CONCAT($A$1, ".", CALC!A12)</f>
        <v>LSD.RID.0.AL.AOTCREF.8</v>
      </c>
      <c r="B11" s="54" t="str">
        <f aca="false">_xlfn.CONCAT(CALC!B12, ":", CALC!C12)</f>
        <v>Cleaning &amp; Maintenance:Worker</v>
      </c>
      <c r="C11" s="64" t="n">
        <f aca="false">CALC!BL12</f>
        <v>0</v>
      </c>
      <c r="D11" s="64" t="n">
        <f aca="false">CALC!BM12</f>
        <v>0</v>
      </c>
      <c r="E11" s="64" t="n">
        <f aca="false">CALC!BN12</f>
        <v>0</v>
      </c>
      <c r="F11" s="64" t="n">
        <f aca="false">CALC!BO12</f>
        <v>0</v>
      </c>
    </row>
    <row r="12" customFormat="false" ht="12.8" hidden="false" customHeight="false" outlineLevel="0" collapsed="false">
      <c r="A12" s="41" t="str">
        <f aca="false">_xlfn.CONCAT($A$1, ".", CALC!A13)</f>
        <v>LSD.RID.0.AL.AOTCREF.9</v>
      </c>
      <c r="B12" s="54" t="str">
        <f aca="false">_xlfn.CONCAT(CALC!B13, ":", CALC!C13)</f>
        <v>Manufacturing:Support</v>
      </c>
      <c r="C12" s="64" t="n">
        <f aca="false">CALC!BL13</f>
        <v>0</v>
      </c>
      <c r="D12" s="64" t="n">
        <f aca="false">CALC!BM13</f>
        <v>0</v>
      </c>
      <c r="E12" s="64" t="n">
        <f aca="false">CALC!BN13</f>
        <v>0</v>
      </c>
      <c r="F12" s="64" t="n">
        <f aca="false">CALC!BO13</f>
        <v>0</v>
      </c>
    </row>
    <row r="13" customFormat="false" ht="12.8" hidden="false" customHeight="false" outlineLevel="0" collapsed="false">
      <c r="A13" s="41" t="str">
        <f aca="false">_xlfn.CONCAT($A$1, ".", CALC!A14)</f>
        <v>LSD.RID.0.AL.AOTCREF.10</v>
      </c>
      <c r="B13" s="54" t="str">
        <f aca="false">_xlfn.CONCAT(CALC!B14, ":", CALC!C14)</f>
        <v>Manufacturing:Worker</v>
      </c>
      <c r="C13" s="64" t="n">
        <f aca="false">CALC!BL14</f>
        <v>0</v>
      </c>
      <c r="D13" s="64" t="n">
        <f aca="false">CALC!BM14</f>
        <v>0</v>
      </c>
      <c r="E13" s="64" t="n">
        <f aca="false">CALC!BN14</f>
        <v>0</v>
      </c>
      <c r="F13" s="64" t="n">
        <f aca="false">CALC!BO14</f>
        <v>0</v>
      </c>
    </row>
    <row r="14" customFormat="false" ht="12.8" hidden="false" customHeight="false" outlineLevel="0" collapsed="false">
      <c r="A14" s="41" t="str">
        <f aca="false">_xlfn.CONCAT($A$1, ".", CALC!A15)</f>
        <v>LSD.RID.0.AL.AOTCREF.11</v>
      </c>
      <c r="B14" s="54" t="str">
        <f aca="false">_xlfn.CONCAT(CALC!B15, ":", CALC!C15)</f>
        <v>Transportation &amp; Warehousing:Support</v>
      </c>
      <c r="C14" s="64" t="n">
        <f aca="false">CALC!BL15</f>
        <v>0</v>
      </c>
      <c r="D14" s="64" t="n">
        <f aca="false">CALC!BM15</f>
        <v>0</v>
      </c>
      <c r="E14" s="64" t="n">
        <f aca="false">CALC!BN15</f>
        <v>0</v>
      </c>
      <c r="F14" s="64" t="n">
        <f aca="false">CALC!BO15</f>
        <v>0</v>
      </c>
    </row>
    <row r="15" customFormat="false" ht="12.8" hidden="false" customHeight="false" outlineLevel="0" collapsed="false">
      <c r="A15" s="41" t="str">
        <f aca="false">_xlfn.CONCAT($A$1, ".", CALC!A16)</f>
        <v>LSD.RID.0.AL.AOTCREF.12</v>
      </c>
      <c r="B15" s="54" t="str">
        <f aca="false">_xlfn.CONCAT(CALC!B16, ":", CALC!C16)</f>
        <v>Transportation &amp; Warehousing:Worker</v>
      </c>
      <c r="C15" s="64" t="n">
        <f aca="false">CALC!BL16</f>
        <v>0</v>
      </c>
      <c r="D15" s="64" t="n">
        <f aca="false">CALC!BM16</f>
        <v>0</v>
      </c>
      <c r="E15" s="64" t="n">
        <f aca="false">CALC!BN16</f>
        <v>0</v>
      </c>
      <c r="F15" s="64" t="n">
        <f aca="false">CALC!BO16</f>
        <v>0</v>
      </c>
    </row>
    <row r="16" customFormat="false" ht="12.8" hidden="false" customHeight="false" outlineLevel="0" collapsed="false">
      <c r="A16" s="41" t="str">
        <f aca="false">_xlfn.CONCAT($A$1, ".", CALC!A17)</f>
        <v>LSD.RID.0.AL.AOTCREF.13</v>
      </c>
      <c r="B16" s="54" t="str">
        <f aca="false">_xlfn.CONCAT(CALC!B17, ":", CALC!C17)</f>
        <v>Retail Trade:Support</v>
      </c>
      <c r="C16" s="64" t="n">
        <f aca="false">CALC!BL17</f>
        <v>0</v>
      </c>
      <c r="D16" s="64" t="n">
        <f aca="false">CALC!BM17</f>
        <v>0</v>
      </c>
      <c r="E16" s="64" t="n">
        <f aca="false">CALC!BN17</f>
        <v>0</v>
      </c>
      <c r="F16" s="64" t="n">
        <f aca="false">CALC!BO17</f>
        <v>0</v>
      </c>
    </row>
    <row r="17" customFormat="false" ht="12.8" hidden="false" customHeight="false" outlineLevel="0" collapsed="false">
      <c r="A17" s="41" t="str">
        <f aca="false">_xlfn.CONCAT($A$1, ".", CALC!A18)</f>
        <v>LSD.RID.0.AL.AOTCREF.14</v>
      </c>
      <c r="B17" s="54" t="str">
        <f aca="false">_xlfn.CONCAT(CALC!B18, ":", CALC!C18)</f>
        <v>Retail Trade:Worker</v>
      </c>
      <c r="C17" s="64" t="n">
        <f aca="false">CALC!BL18</f>
        <v>0</v>
      </c>
      <c r="D17" s="64" t="n">
        <f aca="false">CALC!BM18</f>
        <v>0</v>
      </c>
      <c r="E17" s="64" t="n">
        <f aca="false">CALC!BN18</f>
        <v>0</v>
      </c>
      <c r="F17" s="64" t="n">
        <f aca="false">CALC!BO18</f>
        <v>0</v>
      </c>
    </row>
    <row r="18" customFormat="false" ht="12.8" hidden="false" customHeight="false" outlineLevel="0" collapsed="false">
      <c r="A18" s="41" t="str">
        <f aca="false">_xlfn.CONCAT($A$1, ".", CALC!A19)</f>
        <v>LSD.RID.0.AL.AOTCREF.15</v>
      </c>
      <c r="B18" s="54" t="str">
        <f aca="false">_xlfn.CONCAT(CALC!B19, ":", CALC!C19)</f>
        <v>Landscaping / Groundskeeping:Support</v>
      </c>
      <c r="C18" s="64" t="n">
        <f aca="false">CALC!BL19</f>
        <v>0</v>
      </c>
      <c r="D18" s="64" t="n">
        <f aca="false">CALC!BM19</f>
        <v>0</v>
      </c>
      <c r="E18" s="64" t="n">
        <f aca="false">CALC!BN19</f>
        <v>0</v>
      </c>
      <c r="F18" s="64" t="n">
        <f aca="false">CALC!BO19</f>
        <v>0</v>
      </c>
    </row>
    <row r="19" customFormat="false" ht="12.8" hidden="false" customHeight="false" outlineLevel="0" collapsed="false">
      <c r="A19" s="41" t="str">
        <f aca="false">_xlfn.CONCAT($A$1, ".", CALC!A20)</f>
        <v>LSD.RID.0.AL.AOTCREF.16</v>
      </c>
      <c r="B19" s="54" t="str">
        <f aca="false">_xlfn.CONCAT(CALC!B20, ":", CALC!C20)</f>
        <v>Landscaping / Groundskeeping:Worker</v>
      </c>
      <c r="C19" s="64" t="n">
        <f aca="false">CALC!BL20</f>
        <v>0</v>
      </c>
      <c r="D19" s="64" t="n">
        <f aca="false">CALC!BM20</f>
        <v>0</v>
      </c>
      <c r="E19" s="64" t="n">
        <f aca="false">CALC!BN20</f>
        <v>0</v>
      </c>
      <c r="F19" s="64" t="n">
        <f aca="false">CALC!BO20</f>
        <v>0</v>
      </c>
    </row>
    <row r="20" customFormat="false" ht="12.8" hidden="false" customHeight="false" outlineLevel="0" collapsed="false">
      <c r="A20" s="41" t="str">
        <f aca="false">_xlfn.CONCAT($A$1, ".", CALC!A21)</f>
        <v>LSD.RID.0.AL.AOTCREF.17</v>
      </c>
      <c r="B20" s="54" t="str">
        <f aca="false">_xlfn.CONCAT(CALC!B21, ":", CALC!C21)</f>
        <v>Automotive &amp; Repair:Support</v>
      </c>
      <c r="C20" s="64" t="n">
        <f aca="false">CALC!BL21</f>
        <v>0</v>
      </c>
      <c r="D20" s="64" t="n">
        <f aca="false">CALC!BM21</f>
        <v>0</v>
      </c>
      <c r="E20" s="64" t="n">
        <f aca="false">CALC!BN21</f>
        <v>0</v>
      </c>
      <c r="F20" s="64" t="n">
        <f aca="false">CALC!BO21</f>
        <v>0</v>
      </c>
    </row>
    <row r="21" customFormat="false" ht="12.8" hidden="false" customHeight="false" outlineLevel="0" collapsed="false">
      <c r="A21" s="41" t="str">
        <f aca="false">_xlfn.CONCAT($A$1, ".", CALC!A22)</f>
        <v>LSD.RID.0.AL.AOTCREF.18</v>
      </c>
      <c r="B21" s="54" t="str">
        <f aca="false">_xlfn.CONCAT(CALC!B22, ":", CALC!C22)</f>
        <v>Automotive &amp; Repair:Worker</v>
      </c>
      <c r="C21" s="64" t="n">
        <f aca="false">CALC!BL22</f>
        <v>0</v>
      </c>
      <c r="D21" s="64" t="n">
        <f aca="false">CALC!BM22</f>
        <v>0</v>
      </c>
      <c r="E21" s="64" t="n">
        <f aca="false">CALC!BN22</f>
        <v>0</v>
      </c>
      <c r="F21" s="64" t="n">
        <f aca="false">CALC!BO22</f>
        <v>0</v>
      </c>
    </row>
    <row r="22" customFormat="false" ht="12.8" hidden="false" customHeight="false" outlineLevel="0" collapsed="false">
      <c r="A22" s="41" t="str">
        <f aca="false">_xlfn.CONCAT($A$1, ".", CALC!A23)</f>
        <v>LSD.RID.0.AL.AOTCREF.19</v>
      </c>
      <c r="B22" s="54" t="str">
        <f aca="false">_xlfn.CONCAT(CALC!B23, ":", CALC!C23)</f>
        <v>Healthcare &amp; Social Assistance:Support</v>
      </c>
      <c r="C22" s="64" t="n">
        <f aca="false">CALC!BL23</f>
        <v>0</v>
      </c>
      <c r="D22" s="64" t="n">
        <f aca="false">CALC!BM23</f>
        <v>0</v>
      </c>
      <c r="E22" s="64" t="n">
        <f aca="false">CALC!BN23</f>
        <v>0</v>
      </c>
      <c r="F22" s="64" t="n">
        <f aca="false">CALC!BO23</f>
        <v>0</v>
      </c>
    </row>
    <row r="23" customFormat="false" ht="12.8" hidden="false" customHeight="false" outlineLevel="0" collapsed="false">
      <c r="A23" s="41" t="str">
        <f aca="false">_xlfn.CONCAT($A$1, ".", CALC!A24)</f>
        <v>LSD.RID.0.AL.AOTCREF.20</v>
      </c>
      <c r="B23" s="54" t="str">
        <f aca="false">_xlfn.CONCAT(CALC!B24, ":", CALC!C24)</f>
        <v>Healthcare &amp; Social Assistance:Worker</v>
      </c>
      <c r="C23" s="64" t="n">
        <f aca="false">CALC!BL24</f>
        <v>0</v>
      </c>
      <c r="D23" s="64" t="n">
        <f aca="false">CALC!BM24</f>
        <v>0</v>
      </c>
      <c r="E23" s="64" t="n">
        <f aca="false">CALC!BN24</f>
        <v>0</v>
      </c>
      <c r="F23" s="64" t="n">
        <f aca="false">CALC!BO24</f>
        <v>0</v>
      </c>
    </row>
    <row r="24" customFormat="false" ht="12.8" hidden="false" customHeight="false" outlineLevel="0" collapsed="false">
      <c r="A24" s="41" t="str">
        <f aca="false">_xlfn.CONCAT($A$1, ".", CALC!A25)</f>
        <v>LSD.RID.0.AL.AOTCREF.21</v>
      </c>
      <c r="B24" s="54" t="str">
        <f aca="false">_xlfn.CONCAT(CALC!B25, ":", CALC!C25)</f>
        <v>Professional Services:Support</v>
      </c>
      <c r="C24" s="64" t="n">
        <f aca="false">CALC!BL25</f>
        <v>0</v>
      </c>
      <c r="D24" s="64" t="n">
        <f aca="false">CALC!BM25</f>
        <v>0</v>
      </c>
      <c r="E24" s="64" t="n">
        <f aca="false">CALC!BN25</f>
        <v>0</v>
      </c>
      <c r="F24" s="64" t="n">
        <f aca="false">CALC!BO25</f>
        <v>0</v>
      </c>
    </row>
    <row r="25" customFormat="false" ht="12.8" hidden="false" customHeight="false" outlineLevel="0" collapsed="false">
      <c r="A25" s="41" t="str">
        <f aca="false">_xlfn.CONCAT($A$1, ".", CALC!A26)</f>
        <v>LSD.RID.0.AL.AOTCREF.22</v>
      </c>
      <c r="B25" s="54" t="str">
        <f aca="false">_xlfn.CONCAT(CALC!B26, ":", CALC!C26)</f>
        <v>Professional Services:Worker</v>
      </c>
      <c r="C25" s="64" t="n">
        <f aca="false">CALC!BL26</f>
        <v>0</v>
      </c>
      <c r="D25" s="64" t="n">
        <f aca="false">CALC!BM26</f>
        <v>0</v>
      </c>
      <c r="E25" s="64" t="n">
        <f aca="false">CALC!BN26</f>
        <v>0</v>
      </c>
      <c r="F25" s="64" t="n">
        <f aca="false">CALC!BO26</f>
        <v>0</v>
      </c>
    </row>
    <row r="26" customFormat="false" ht="12.8" hidden="false" customHeight="false" outlineLevel="0" collapsed="false">
      <c r="A26" s="41" t="str">
        <f aca="false">_xlfn.CONCAT($A$1, ".", CALC!A27)</f>
        <v>LSD.RID.0.AL.AOTCREF.23</v>
      </c>
      <c r="B26" s="54" t="str">
        <f aca="false">_xlfn.CONCAT(CALC!B27, ":", CALC!C27)</f>
        <v>Educational Services:Support</v>
      </c>
      <c r="C26" s="64" t="n">
        <f aca="false">CALC!BL27</f>
        <v>0</v>
      </c>
      <c r="D26" s="64" t="n">
        <f aca="false">CALC!BM27</f>
        <v>0</v>
      </c>
      <c r="E26" s="64" t="n">
        <f aca="false">CALC!BN27</f>
        <v>0</v>
      </c>
      <c r="F26" s="64" t="n">
        <f aca="false">CALC!BO27</f>
        <v>0</v>
      </c>
    </row>
    <row r="27" customFormat="false" ht="12.8" hidden="false" customHeight="false" outlineLevel="0" collapsed="false">
      <c r="A27" s="41" t="str">
        <f aca="false">_xlfn.CONCAT($A$1, ".", CALC!A28)</f>
        <v>LSD.RID.0.AL.AOTCREF.24</v>
      </c>
      <c r="B27" s="54" t="str">
        <f aca="false">_xlfn.CONCAT(CALC!B28, ":", CALC!C28)</f>
        <v>Educational Services:Worker</v>
      </c>
      <c r="C27" s="64" t="n">
        <f aca="false">CALC!BL28</f>
        <v>0</v>
      </c>
      <c r="D27" s="64" t="n">
        <f aca="false">CALC!BM28</f>
        <v>0</v>
      </c>
      <c r="E27" s="64" t="n">
        <f aca="false">CALC!BN28</f>
        <v>0</v>
      </c>
      <c r="F27" s="64" t="n">
        <f aca="false">CALC!BO28</f>
        <v>0</v>
      </c>
    </row>
    <row r="28" customFormat="false" ht="12.8" hidden="false" customHeight="false" outlineLevel="0" collapsed="false">
      <c r="A28" s="41" t="str">
        <f aca="false">_xlfn.CONCAT($A$1, ".", CALC!A29)</f>
        <v>LSD.RID.0.AL.AOTCREF.25</v>
      </c>
      <c r="B28" s="54" t="str">
        <f aca="false">_xlfn.CONCAT(CALC!B29, ":", CALC!C29)</f>
        <v>Finance &amp; Insurance:Support</v>
      </c>
      <c r="C28" s="64" t="n">
        <f aca="false">CALC!BL29</f>
        <v>0</v>
      </c>
      <c r="D28" s="64" t="n">
        <f aca="false">CALC!BM29</f>
        <v>0</v>
      </c>
      <c r="E28" s="64" t="n">
        <f aca="false">CALC!BN29</f>
        <v>0</v>
      </c>
      <c r="F28" s="64" t="n">
        <f aca="false">CALC!BO29</f>
        <v>0</v>
      </c>
    </row>
    <row r="29" customFormat="false" ht="12.8" hidden="false" customHeight="false" outlineLevel="0" collapsed="false">
      <c r="A29" s="41" t="str">
        <f aca="false">_xlfn.CONCAT($A$1, ".", CALC!A30)</f>
        <v>LSD.RID.0.AL.AOTCREF.26</v>
      </c>
      <c r="B29" s="54" t="str">
        <f aca="false">_xlfn.CONCAT(CALC!B30, ":", CALC!C30)</f>
        <v>Finance &amp; Insurance:Worker</v>
      </c>
      <c r="C29" s="64" t="n">
        <f aca="false">CALC!BL30</f>
        <v>0</v>
      </c>
      <c r="D29" s="64" t="n">
        <f aca="false">CALC!BM30</f>
        <v>0</v>
      </c>
      <c r="E29" s="64" t="n">
        <f aca="false">CALC!BN30</f>
        <v>0</v>
      </c>
      <c r="F29" s="64" t="n">
        <f aca="false">CALC!BO30</f>
        <v>0</v>
      </c>
    </row>
    <row r="30" customFormat="false" ht="12.8" hidden="false" customHeight="false" outlineLevel="0" collapsed="false">
      <c r="A30" s="41" t="str">
        <f aca="false">_xlfn.CONCAT($A$1, ".", CALC!A31)</f>
        <v>LSD.RID.0.AL.AOTCREF.27</v>
      </c>
      <c r="B30" s="54" t="str">
        <f aca="false">_xlfn.CONCAT(CALC!B31, ":", CALC!C31)</f>
        <v>Media and Information Technology:Support</v>
      </c>
      <c r="C30" s="64" t="n">
        <f aca="false">CALC!BL31</f>
        <v>0</v>
      </c>
      <c r="D30" s="64" t="n">
        <f aca="false">CALC!BM31</f>
        <v>0</v>
      </c>
      <c r="E30" s="64" t="n">
        <f aca="false">CALC!BN31</f>
        <v>0</v>
      </c>
      <c r="F30" s="64" t="n">
        <f aca="false">CALC!BO31</f>
        <v>0</v>
      </c>
    </row>
    <row r="31" customFormat="false" ht="12.8" hidden="false" customHeight="false" outlineLevel="0" collapsed="false">
      <c r="A31" s="41" t="str">
        <f aca="false">_xlfn.CONCAT($A$1, ".", CALC!A32)</f>
        <v>LSD.RID.0.AL.AOTCREF.28</v>
      </c>
      <c r="B31" s="54" t="str">
        <f aca="false">_xlfn.CONCAT(CALC!B32, ":", CALC!C32)</f>
        <v>Media and Information Technology:Worker</v>
      </c>
      <c r="C31" s="64" t="n">
        <f aca="false">CALC!BL32</f>
        <v>0</v>
      </c>
      <c r="D31" s="64" t="n">
        <f aca="false">CALC!BM32</f>
        <v>0</v>
      </c>
      <c r="E31" s="64" t="n">
        <f aca="false">CALC!BN32</f>
        <v>0</v>
      </c>
      <c r="F31" s="64" t="n">
        <f aca="false">CALC!BO32</f>
        <v>0</v>
      </c>
    </row>
    <row r="32" customFormat="false" ht="12.8" hidden="false" customHeight="false" outlineLevel="0" collapsed="false">
      <c r="A32" s="41" t="str">
        <f aca="false">_xlfn.CONCAT($A$1, ".", CALC!A33)</f>
        <v>LSD.RID.0.AL.AOTCREF.29</v>
      </c>
      <c r="B32" s="54" t="str">
        <f aca="false">_xlfn.CONCAT(CALC!B33, ":", CALC!C33)</f>
        <v>Government:Support</v>
      </c>
      <c r="C32" s="64" t="n">
        <f aca="false">CALC!BL33</f>
        <v>0</v>
      </c>
      <c r="D32" s="64" t="n">
        <f aca="false">CALC!BM33</f>
        <v>0</v>
      </c>
      <c r="E32" s="64" t="n">
        <f aca="false">CALC!BN33</f>
        <v>0</v>
      </c>
      <c r="F32" s="64" t="n">
        <f aca="false">CALC!BO33</f>
        <v>0</v>
      </c>
    </row>
    <row r="33" customFormat="false" ht="12.8" hidden="false" customHeight="false" outlineLevel="0" collapsed="false">
      <c r="A33" s="41" t="str">
        <f aca="false">_xlfn.CONCAT($A$1, ".", CALC!A34)</f>
        <v>LSD.RID.0.AL.AOTCREF.30</v>
      </c>
      <c r="B33" s="54" t="str">
        <f aca="false">_xlfn.CONCAT(CALC!B34, ":", CALC!C34)</f>
        <v>Government:Worker</v>
      </c>
      <c r="C33" s="64" t="n">
        <f aca="false">CALC!BL34</f>
        <v>0</v>
      </c>
      <c r="D33" s="64" t="n">
        <f aca="false">CALC!BM34</f>
        <v>0</v>
      </c>
      <c r="E33" s="64" t="n">
        <f aca="false">CALC!BN34</f>
        <v>0</v>
      </c>
      <c r="F33" s="64" t="n">
        <f aca="false">CALC!BO34</f>
        <v>0</v>
      </c>
    </row>
    <row r="34" customFormat="false" ht="12.8" hidden="false" customHeight="false" outlineLevel="0" collapsed="false">
      <c r="A34" s="41" t="str">
        <f aca="false">_xlfn.CONCAT($A$1, ".", CALC!A35)</f>
        <v>LSD.RID.0.AL.AOTCREF.31</v>
      </c>
      <c r="B34" s="54" t="str">
        <f aca="false">_xlfn.CONCAT(CALC!B35, ":", CALC!C35)</f>
        <v>Self-Employed / Non-Employer:Support</v>
      </c>
      <c r="C34" s="64" t="n">
        <f aca="false">CALC!BL35</f>
        <v>0</v>
      </c>
      <c r="D34" s="64" t="n">
        <f aca="false">CALC!BM35</f>
        <v>0</v>
      </c>
      <c r="E34" s="64" t="n">
        <f aca="false">CALC!BN35</f>
        <v>0</v>
      </c>
      <c r="F34" s="64" t="n">
        <f aca="false">CALC!BO35</f>
        <v>0</v>
      </c>
    </row>
    <row r="35" customFormat="false" ht="12.8" hidden="false" customHeight="false" outlineLevel="0" collapsed="false">
      <c r="A35" s="41" t="str">
        <f aca="false">_xlfn.CONCAT($A$1, ".", CALC!A36)</f>
        <v>LSD.RID.0.AL.AOTCREF.32</v>
      </c>
      <c r="B35" s="54" t="str">
        <f aca="false">_xlfn.CONCAT(CALC!B36, ":", CALC!C36)</f>
        <v>Self-Employed / Non-Employer:Worker</v>
      </c>
      <c r="C35" s="64" t="n">
        <f aca="false">CALC!BL36</f>
        <v>0</v>
      </c>
      <c r="D35" s="64" t="n">
        <f aca="false">CALC!BM36</f>
        <v>0</v>
      </c>
      <c r="E35" s="64" t="n">
        <f aca="false">CALC!BN36</f>
        <v>0</v>
      </c>
      <c r="F35" s="64" t="n">
        <f aca="false">CALC!BO36</f>
        <v>0</v>
      </c>
    </row>
    <row r="36" customFormat="false" ht="12.8" hidden="false" customHeight="false" outlineLevel="0" collapsed="false">
      <c r="A36" s="41" t="str">
        <f aca="false">_xlfn.CONCAT($A$1, ".", CALC!A37)</f>
        <v>LSD.RID.0.AL.AOTCREF.33</v>
      </c>
      <c r="B36" s="54" t="str">
        <f aca="false">_xlfn.CONCAT(CALC!B37, ":", CALC!C37)</f>
        <v>Other Services:Support</v>
      </c>
      <c r="C36" s="64" t="n">
        <f aca="false">CALC!BL37</f>
        <v>0</v>
      </c>
      <c r="D36" s="64" t="n">
        <f aca="false">CALC!BM37</f>
        <v>0</v>
      </c>
      <c r="E36" s="64" t="n">
        <f aca="false">CALC!BN37</f>
        <v>0</v>
      </c>
      <c r="F36" s="64" t="n">
        <f aca="false">CALC!BO37</f>
        <v>0</v>
      </c>
    </row>
    <row r="37" customFormat="false" ht="12.8" hidden="false" customHeight="false" outlineLevel="0" collapsed="false">
      <c r="A37" s="41" t="str">
        <f aca="false">_xlfn.CONCAT($A$1, ".", CALC!A38)</f>
        <v>LSD.RID.0.AL.AOTCREF.34</v>
      </c>
      <c r="B37" s="54" t="str">
        <f aca="false">_xlfn.CONCAT(CALC!B38, ":", CALC!C38)</f>
        <v>Other Services:Worker</v>
      </c>
      <c r="C37" s="64" t="n">
        <f aca="false">CALC!BL38</f>
        <v>0</v>
      </c>
      <c r="D37" s="64" t="n">
        <f aca="false">CALC!BM38</f>
        <v>0</v>
      </c>
      <c r="E37" s="64" t="n">
        <f aca="false">CALC!BN38</f>
        <v>0</v>
      </c>
      <c r="F37" s="64" t="n">
        <f aca="false">CALC!BO38</f>
        <v>0</v>
      </c>
    </row>
    <row r="38" customFormat="false" ht="12.8" hidden="false" customHeight="false" outlineLevel="0" collapsed="false">
      <c r="A38" s="41" t="str">
        <f aca="false">_xlfn.CONCAT($A$1, ".", CALC!A39)</f>
        <v>LSD.RID.0.AL.AOTCREF.35</v>
      </c>
      <c r="B38" s="54" t="str">
        <f aca="false">_xlfn.CONCAT(CALC!B39, ":", CALC!C39)</f>
        <v>Mining, Quarrying, and Oil/Gas Extraction:Support</v>
      </c>
      <c r="C38" s="64" t="n">
        <f aca="false">CALC!BL39</f>
        <v>0</v>
      </c>
      <c r="D38" s="64" t="n">
        <f aca="false">CALC!BM39</f>
        <v>0</v>
      </c>
      <c r="E38" s="64" t="n">
        <f aca="false">CALC!BN39</f>
        <v>0</v>
      </c>
      <c r="F38" s="64" t="n">
        <f aca="false">CALC!BO39</f>
        <v>0</v>
      </c>
    </row>
    <row r="39" customFormat="false" ht="12.8" hidden="false" customHeight="false" outlineLevel="0" collapsed="false">
      <c r="A39" s="41" t="str">
        <f aca="false">_xlfn.CONCAT($A$1, ".", CALC!A40)</f>
        <v>LSD.RID.0.AL.AOTCREF.36</v>
      </c>
      <c r="B39" s="54" t="str">
        <f aca="false">_xlfn.CONCAT(CALC!B40, ":", CALC!C40)</f>
        <v>Mining, Quarrying, and Oil/Gas Extraction:Worker</v>
      </c>
      <c r="C39" s="64" t="n">
        <f aca="false">CALC!BL40</f>
        <v>0</v>
      </c>
      <c r="D39" s="64" t="n">
        <f aca="false">CALC!BM40</f>
        <v>0</v>
      </c>
      <c r="E39" s="64" t="n">
        <f aca="false">CALC!BN40</f>
        <v>0</v>
      </c>
      <c r="F39" s="64" t="n">
        <f aca="false">CALC!BO40</f>
        <v>0</v>
      </c>
    </row>
    <row r="40" customFormat="false" ht="12.8" hidden="false" customHeight="false" outlineLevel="0" collapsed="false">
      <c r="A40" s="41" t="str">
        <f aca="false">_xlfn.CONCAT($A$1, ".", CALC!A41)</f>
        <v>LSD.RID.0.AL.AOTCREF.37</v>
      </c>
      <c r="B40" s="54" t="str">
        <f aca="false">_xlfn.CONCAT(CALC!B41, ":", CALC!C41)</f>
        <v>Utilities:Support</v>
      </c>
      <c r="C40" s="64" t="n">
        <f aca="false">CALC!BL41</f>
        <v>0</v>
      </c>
      <c r="D40" s="64" t="n">
        <f aca="false">CALC!BM41</f>
        <v>0</v>
      </c>
      <c r="E40" s="64" t="n">
        <f aca="false">CALC!BN41</f>
        <v>0</v>
      </c>
      <c r="F40" s="64" t="n">
        <f aca="false">CALC!BO41</f>
        <v>0</v>
      </c>
    </row>
    <row r="41" customFormat="false" ht="12.8" hidden="false" customHeight="false" outlineLevel="0" collapsed="false">
      <c r="A41" s="41" t="str">
        <f aca="false">_xlfn.CONCAT($A$1, ".", CALC!A42)</f>
        <v>LSD.RID.0.AL.AOTCREF.38</v>
      </c>
      <c r="B41" s="54" t="str">
        <f aca="false">_xlfn.CONCAT(CALC!B42, ":", CALC!C42)</f>
        <v>Utilities:Worker</v>
      </c>
      <c r="C41" s="64" t="n">
        <f aca="false">CALC!BL42</f>
        <v>0</v>
      </c>
      <c r="D41" s="64" t="n">
        <f aca="false">CALC!BM42</f>
        <v>0</v>
      </c>
      <c r="E41" s="64" t="n">
        <f aca="false">CALC!BN42</f>
        <v>0</v>
      </c>
      <c r="F41" s="64" t="n">
        <f aca="false">CALC!BO42</f>
        <v>0</v>
      </c>
    </row>
    <row r="42" customFormat="false" ht="12.8" hidden="false" customHeight="false" outlineLevel="0" collapsed="false">
      <c r="A42" s="41" t="str">
        <f aca="false">_xlfn.CONCAT($A$1, ".", CALC!A43)</f>
        <v>LSD.RID.0.AL.AOTCREF.39</v>
      </c>
      <c r="B42" s="54" t="str">
        <f aca="false">_xlfn.CONCAT(CALC!B43, ":", CALC!C43)</f>
        <v>Wholesale Trade:Support</v>
      </c>
      <c r="C42" s="64" t="n">
        <f aca="false">CALC!BL43</f>
        <v>0</v>
      </c>
      <c r="D42" s="64" t="n">
        <f aca="false">CALC!BM43</f>
        <v>0</v>
      </c>
      <c r="E42" s="64" t="n">
        <f aca="false">CALC!BN43</f>
        <v>0</v>
      </c>
      <c r="F42" s="64" t="n">
        <f aca="false">CALC!BO43</f>
        <v>0</v>
      </c>
    </row>
    <row r="43" customFormat="false" ht="12.8" hidden="false" customHeight="false" outlineLevel="0" collapsed="false">
      <c r="A43" s="41" t="str">
        <f aca="false">_xlfn.CONCAT($A$1, ".", CALC!A44)</f>
        <v>LSD.RID.0.AL.AOTCREF.40</v>
      </c>
      <c r="B43" s="54" t="str">
        <f aca="false">_xlfn.CONCAT(CALC!B44, ":", CALC!C44)</f>
        <v>Wholesale Trade:Worker</v>
      </c>
      <c r="C43" s="64" t="n">
        <f aca="false">CALC!BL44</f>
        <v>0</v>
      </c>
      <c r="D43" s="64" t="n">
        <f aca="false">CALC!BM44</f>
        <v>0</v>
      </c>
      <c r="E43" s="64" t="n">
        <f aca="false">CALC!BN44</f>
        <v>0</v>
      </c>
      <c r="F43" s="64" t="n">
        <f aca="false">CALC!BO44</f>
        <v>0</v>
      </c>
    </row>
    <row r="44" customFormat="false" ht="12.8" hidden="false" customHeight="false" outlineLevel="0" collapsed="false">
      <c r="A44" s="41" t="str">
        <f aca="false">_xlfn.CONCAT($A$1, ".", CALC!A45)</f>
        <v>LSD.RID.0.AL.AOTCREF.41</v>
      </c>
      <c r="B44" s="54" t="str">
        <f aca="false">_xlfn.CONCAT(CALC!B45, ":", CALC!C45)</f>
        <v>Information:Support</v>
      </c>
      <c r="C44" s="64" t="n">
        <f aca="false">CALC!BL45</f>
        <v>0</v>
      </c>
      <c r="D44" s="64" t="n">
        <f aca="false">CALC!BM45</f>
        <v>0</v>
      </c>
      <c r="E44" s="64" t="n">
        <f aca="false">CALC!BN45</f>
        <v>0</v>
      </c>
      <c r="F44" s="64" t="n">
        <f aca="false">CALC!BO45</f>
        <v>0</v>
      </c>
    </row>
    <row r="45" customFormat="false" ht="12.8" hidden="false" customHeight="false" outlineLevel="0" collapsed="false">
      <c r="A45" s="41" t="str">
        <f aca="false">_xlfn.CONCAT($A$1, ".", CALC!A46)</f>
        <v>LSD.RID.0.AL.AOTCREF.42</v>
      </c>
      <c r="B45" s="54" t="str">
        <f aca="false">_xlfn.CONCAT(CALC!B46, ":", CALC!C46)</f>
        <v>Information:Worker</v>
      </c>
      <c r="C45" s="64" t="n">
        <f aca="false">CALC!BL46</f>
        <v>0</v>
      </c>
      <c r="D45" s="64" t="n">
        <f aca="false">CALC!BM46</f>
        <v>0</v>
      </c>
      <c r="E45" s="64" t="n">
        <f aca="false">CALC!BN46</f>
        <v>0</v>
      </c>
      <c r="F45" s="64" t="n">
        <f aca="false">CALC!BO46</f>
        <v>0</v>
      </c>
    </row>
    <row r="46" customFormat="false" ht="12.8" hidden="false" customHeight="false" outlineLevel="0" collapsed="false">
      <c r="A46" s="41" t="str">
        <f aca="false">_xlfn.CONCAT($A$1, ".", CALC!A47)</f>
        <v>LSD.RID.0.AL.AOTCREF.43</v>
      </c>
      <c r="B46" s="54" t="str">
        <f aca="false">_xlfn.CONCAT(CALC!B47, ":", CALC!C47)</f>
        <v>Real Estate, Rental and Leasing:Support</v>
      </c>
      <c r="C46" s="64" t="n">
        <f aca="false">CALC!BL47</f>
        <v>0</v>
      </c>
      <c r="D46" s="64" t="n">
        <f aca="false">CALC!BM47</f>
        <v>0</v>
      </c>
      <c r="E46" s="64" t="n">
        <f aca="false">CALC!BN47</f>
        <v>0</v>
      </c>
      <c r="F46" s="64" t="n">
        <f aca="false">CALC!BO47</f>
        <v>0</v>
      </c>
    </row>
    <row r="47" customFormat="false" ht="12.8" hidden="false" customHeight="false" outlineLevel="0" collapsed="false">
      <c r="A47" s="41" t="str">
        <f aca="false">_xlfn.CONCAT($A$1, ".", CALC!A48)</f>
        <v>LSD.RID.0.AL.AOTCREF.44</v>
      </c>
      <c r="B47" s="54" t="str">
        <f aca="false">_xlfn.CONCAT(CALC!B48, ":", CALC!C48)</f>
        <v>Real Estate, Rental and Leasing:Worker</v>
      </c>
      <c r="C47" s="64" t="n">
        <f aca="false">CALC!BL48</f>
        <v>0</v>
      </c>
      <c r="D47" s="64" t="n">
        <f aca="false">CALC!BM48</f>
        <v>0</v>
      </c>
      <c r="E47" s="64" t="n">
        <f aca="false">CALC!BN48</f>
        <v>0</v>
      </c>
      <c r="F47" s="64" t="n">
        <f aca="false">CALC!BO48</f>
        <v>0</v>
      </c>
    </row>
    <row r="48" customFormat="false" ht="12.8" hidden="false" customHeight="false" outlineLevel="0" collapsed="false">
      <c r="A48" s="41" t="str">
        <f aca="false">_xlfn.CONCAT($A$1, ".", CALC!A49)</f>
        <v>LSD.RID.0.AL.AOTCREF.45</v>
      </c>
      <c r="B48" s="54" t="str">
        <f aca="false">_xlfn.CONCAT(CALC!B49, ":", CALC!C49)</f>
        <v>Waste Management Services:Support</v>
      </c>
      <c r="C48" s="64" t="n">
        <f aca="false">CALC!BL49</f>
        <v>0</v>
      </c>
      <c r="D48" s="64" t="n">
        <f aca="false">CALC!BM49</f>
        <v>0</v>
      </c>
      <c r="E48" s="64" t="n">
        <f aca="false">CALC!BN49</f>
        <v>0</v>
      </c>
      <c r="F48" s="64" t="n">
        <f aca="false">CALC!BO49</f>
        <v>0</v>
      </c>
    </row>
    <row r="49" customFormat="false" ht="12.8" hidden="false" customHeight="false" outlineLevel="0" collapsed="false">
      <c r="A49" s="41" t="str">
        <f aca="false">_xlfn.CONCAT($A$1, ".", CALC!A50)</f>
        <v>LSD.RID.0.AL.AOTCREF.46</v>
      </c>
      <c r="B49" s="54" t="str">
        <f aca="false">_xlfn.CONCAT(CALC!B50, ":", CALC!C50)</f>
        <v>Waste Management Services:Worker</v>
      </c>
      <c r="C49" s="64" t="n">
        <f aca="false">CALC!BL50</f>
        <v>0</v>
      </c>
      <c r="D49" s="64" t="n">
        <f aca="false">CALC!BM50</f>
        <v>0</v>
      </c>
      <c r="E49" s="64" t="n">
        <f aca="false">CALC!BN50</f>
        <v>0</v>
      </c>
      <c r="F49" s="64" t="n">
        <f aca="false">CALC!BO50</f>
        <v>0</v>
      </c>
    </row>
    <row r="50" customFormat="false" ht="12.8" hidden="false" customHeight="false" outlineLevel="0" collapsed="false">
      <c r="A50" s="41" t="str">
        <f aca="false">_xlfn.CONCAT($A$1, ".", CALC!A51)</f>
        <v>LSD.RID.0.AL.AOTCREF.47</v>
      </c>
      <c r="B50" s="54" t="str">
        <f aca="false">_xlfn.CONCAT(CALC!B51, ":", CALC!C51)</f>
        <v>Arts, Entertainment, and Recreation:Support</v>
      </c>
      <c r="C50" s="64" t="n">
        <f aca="false">CALC!BL51</f>
        <v>0</v>
      </c>
      <c r="D50" s="64" t="n">
        <f aca="false">CALC!BM51</f>
        <v>0</v>
      </c>
      <c r="E50" s="64" t="n">
        <f aca="false">CALC!BN51</f>
        <v>0</v>
      </c>
      <c r="F50" s="64" t="n">
        <f aca="false">CALC!BO51</f>
        <v>0</v>
      </c>
    </row>
    <row r="51" customFormat="false" ht="12.8" hidden="false" customHeight="false" outlineLevel="0" collapsed="false">
      <c r="A51" s="41" t="str">
        <f aca="false">_xlfn.CONCAT($A$1, ".", CALC!A52)</f>
        <v>LSD.RID.0.AL.AOTCREF.48</v>
      </c>
      <c r="B51" s="54" t="str">
        <f aca="false">_xlfn.CONCAT(CALC!B52, ":", CALC!C52)</f>
        <v>Arts, Entertainment, and Recreation:Worker</v>
      </c>
      <c r="C51" s="64" t="n">
        <f aca="false">CALC!BL52</f>
        <v>0</v>
      </c>
      <c r="D51" s="64" t="n">
        <f aca="false">CALC!BM52</f>
        <v>0</v>
      </c>
      <c r="E51" s="64" t="n">
        <f aca="false">CALC!BN52</f>
        <v>0</v>
      </c>
      <c r="F51" s="64" t="n">
        <f aca="false">CALC!BO52</f>
        <v>0</v>
      </c>
    </row>
    <row r="52" customFormat="false" ht="12.8" hidden="false" customHeight="false" outlineLevel="0" collapsed="false">
      <c r="A52" s="41" t="str">
        <f aca="false">_xlfn.CONCAT($A$1, ".", CALC!A53)</f>
        <v>LSD.RID.0.AL.AOTCREF.49</v>
      </c>
      <c r="B52" s="54" t="str">
        <f aca="false">_xlfn.CONCAT(CALC!B53, ":", CALC!C53)</f>
        <v>Accommodation and Food Services:Support</v>
      </c>
      <c r="C52" s="64" t="n">
        <f aca="false">CALC!BL53</f>
        <v>0</v>
      </c>
      <c r="D52" s="64" t="n">
        <f aca="false">CALC!BM53</f>
        <v>0</v>
      </c>
      <c r="E52" s="64" t="n">
        <f aca="false">CALC!BN53</f>
        <v>0</v>
      </c>
      <c r="F52" s="64" t="n">
        <f aca="false">CALC!BO53</f>
        <v>0</v>
      </c>
    </row>
    <row r="53" customFormat="false" ht="12.8" hidden="false" customHeight="false" outlineLevel="0" collapsed="false">
      <c r="A53" s="41" t="str">
        <f aca="false">_xlfn.CONCAT($A$1, ".", CALC!A54)</f>
        <v>LSD.RID.0.AL.AOTCREF.50</v>
      </c>
      <c r="B53" s="54" t="str">
        <f aca="false">_xlfn.CONCAT(CALC!B54, ":", CALC!C54)</f>
        <v>Accommodation and Food Services:Worker</v>
      </c>
      <c r="C53" s="64" t="n">
        <f aca="false">CALC!BL54</f>
        <v>0</v>
      </c>
      <c r="D53" s="64" t="n">
        <f aca="false">CALC!BM54</f>
        <v>0</v>
      </c>
      <c r="E53" s="64" t="n">
        <f aca="false">CALC!BN54</f>
        <v>0</v>
      </c>
      <c r="F53" s="64" t="n">
        <f aca="false">CALC!BO54</f>
        <v>0</v>
      </c>
    </row>
    <row r="54" customFormat="false" ht="12.8" hidden="false" customHeight="false" outlineLevel="0" collapsed="false">
      <c r="A54" s="41" t="str">
        <f aca="false">_xlfn.CONCAT($A$1, ".", CALC!A55)</f>
        <v>LSD.RID.0.AL.AOTCREF.51</v>
      </c>
      <c r="B54" s="54" t="str">
        <f aca="false">_xlfn.CONCAT(CALC!B55, ":", CALC!C55)</f>
        <v>Public Administration:Support</v>
      </c>
      <c r="C54" s="64" t="n">
        <f aca="false">CALC!BL55</f>
        <v>0</v>
      </c>
      <c r="D54" s="64" t="n">
        <f aca="false">CALC!BM55</f>
        <v>0</v>
      </c>
      <c r="E54" s="64" t="n">
        <f aca="false">CALC!BN55</f>
        <v>0</v>
      </c>
      <c r="F54" s="64" t="n">
        <f aca="false">CALC!BO55</f>
        <v>0</v>
      </c>
    </row>
    <row r="55" customFormat="false" ht="12.8" hidden="false" customHeight="false" outlineLevel="0" collapsed="false">
      <c r="A55" s="41" t="str">
        <f aca="false">_xlfn.CONCAT($A$1, ".", CALC!A56)</f>
        <v>LSD.RID.0.AL.AOTCREF.52</v>
      </c>
      <c r="B55" s="54" t="str">
        <f aca="false">_xlfn.CONCAT(CALC!B56, ":", CALC!C56)</f>
        <v>Public Administration:Worker</v>
      </c>
      <c r="C55" s="64" t="n">
        <f aca="false">CALC!BL56</f>
        <v>0</v>
      </c>
      <c r="D55" s="64" t="n">
        <f aca="false">CALC!BM56</f>
        <v>0</v>
      </c>
      <c r="E55" s="64" t="n">
        <f aca="false">CALC!BN56</f>
        <v>0</v>
      </c>
      <c r="F55" s="64" t="n">
        <f aca="false">CALC!BO56</f>
        <v>0</v>
      </c>
    </row>
    <row r="59" customFormat="false" ht="12.8" hidden="false" customHeight="false" outlineLevel="1" collapsed="false"/>
    <row r="60" customFormat="false" ht="12.8" hidden="false" customHeight="false" outlineLevel="1" collapsed="false"/>
    <row r="61" customFormat="false" ht="12.8" hidden="false" customHeight="false" outlineLevel="1" collapsed="false"/>
    <row r="62" customFormat="false" ht="12.8" hidden="false" customHeight="false" outlineLevel="1" collapsed="false"/>
    <row r="63" customFormat="false" ht="12.8" hidden="false" customHeight="false" outlineLevel="1" collapsed="false"/>
    <row r="64" customFormat="false" ht="12.8" hidden="false" customHeight="false" outlineLevel="1" collapsed="false"/>
    <row r="65" customFormat="false" ht="12.8" hidden="false" customHeight="false" outlineLevel="1" collapsed="false"/>
    <row r="66" customFormat="false" ht="12.8" hidden="false" customHeight="false" outlineLevel="1" collapsed="false"/>
    <row r="67" customFormat="false" ht="12.8" hidden="false" customHeight="false" outlineLevel="1" collapsed="false"/>
    <row r="68" customFormat="false" ht="12.8" hidden="false" customHeight="false" outlineLevel="1" collapsed="false"/>
    <row r="69" customFormat="false" ht="12.8" hidden="false" customHeight="false" outlineLevel="1" collapsed="false"/>
    <row r="70" customFormat="false" ht="12.8" hidden="false" customHeight="false" outlineLevel="1" collapsed="false"/>
    <row r="71" customFormat="false" ht="12.8" hidden="false" customHeight="false" outlineLevel="1" collapsed="false"/>
    <row r="72" customFormat="false" ht="12.8" hidden="false" customHeight="false" outlineLevel="1" collapsed="false"/>
    <row r="73" customFormat="false" ht="12.8" hidden="false" customHeight="false" outlineLevel="1" collapsed="false"/>
    <row r="74" customFormat="false" ht="12.8" hidden="false" customHeight="false" outlineLevel="1" collapsed="false"/>
    <row r="75" customFormat="false" ht="12.8" hidden="false" customHeight="false" outlineLevel="1" collapsed="false"/>
    <row r="76" customFormat="false" ht="12.8" hidden="false" customHeight="false" outlineLevel="1" collapsed="false"/>
    <row r="77" customFormat="false" ht="12.8" hidden="false" customHeight="false" outlineLevel="1" collapsed="false"/>
    <row r="78" customFormat="false" ht="12.8" hidden="false" customHeight="false" outlineLevel="1" collapsed="false"/>
    <row r="79" customFormat="false" ht="12.8" hidden="false" customHeight="false" outlineLevel="1" collapsed="false"/>
    <row r="80" customFormat="false" ht="12.8" hidden="false" customHeight="false" outlineLevel="1" collapsed="false"/>
    <row r="81" customFormat="false" ht="12.8" hidden="false" customHeight="false" outlineLevel="1" collapsed="false"/>
    <row r="82" customFormat="false" ht="12.8" hidden="false" customHeight="false" outlineLevel="1" collapsed="false"/>
    <row r="83" customFormat="false" ht="12.8" hidden="false" customHeight="false" outlineLevel="1" collapsed="false"/>
    <row r="84" customFormat="false" ht="12.8" hidden="false" customHeight="false" outlineLevel="1" collapsed="false"/>
    <row r="85" customFormat="false" ht="12.8" hidden="false" customHeight="false" outlineLevel="1" collapsed="false"/>
    <row r="86" customFormat="false" ht="12.8" hidden="false" customHeight="false" outlineLevel="1" collapsed="false"/>
    <row r="87" customFormat="false" ht="12.8" hidden="false" customHeight="false" outlineLevel="1" collapsed="false"/>
    <row r="88" customFormat="false" ht="12.8" hidden="false" customHeight="false" outlineLevel="1" collapsed="false"/>
    <row r="89" customFormat="false" ht="12.8" hidden="false" customHeight="false" outlineLevel="1" collapsed="false"/>
    <row r="90" customFormat="false" ht="12.8" hidden="false" customHeight="false" outlineLevel="1" collapsed="false"/>
    <row r="91" customFormat="false" ht="12.8" hidden="false" customHeight="false" outlineLevel="1" collapsed="false"/>
    <row r="92" customFormat="false" ht="12.8" hidden="false" customHeight="false" outlineLevel="1" collapsed="false"/>
    <row r="93" customFormat="false" ht="12.8" hidden="false" customHeight="false" outlineLevel="1" collapsed="false"/>
    <row r="94" customFormat="false" ht="12.8" hidden="false" customHeight="false" outlineLevel="1" collapsed="false"/>
    <row r="95" customFormat="false" ht="12.8" hidden="false" customHeight="false" outlineLevel="1" collapsed="false"/>
    <row r="96" customFormat="false" ht="12.8" hidden="false" customHeight="false" outlineLevel="1" collapsed="false"/>
    <row r="97" customFormat="false" ht="12.8" hidden="false" customHeight="false" outlineLevel="1" collapsed="false"/>
    <row r="98" customFormat="false" ht="12.8" hidden="false" customHeight="false" outlineLevel="1" collapsed="false"/>
    <row r="99" customFormat="false" ht="12.8" hidden="false" customHeight="false" outlineLevel="1" collapsed="false"/>
    <row r="100" customFormat="false" ht="12.8" hidden="false" customHeight="false" outlineLevel="1" collapsed="false"/>
    <row r="101" customFormat="false" ht="12.8" hidden="false" customHeight="false" outlineLevel="1" collapsed="false"/>
    <row r="102" customFormat="false" ht="12.8" hidden="false" customHeight="false" outlineLevel="1" collapsed="false"/>
    <row r="103" customFormat="false" ht="12.8" hidden="false" customHeight="false" outlineLevel="1" collapsed="false"/>
    <row r="104" customFormat="false" ht="12.8" hidden="false" customHeight="false" outlineLevel="1" collapsed="false"/>
    <row r="105" customFormat="false" ht="12.8" hidden="false" customHeight="false" outlineLevel="1" collapsed="false"/>
    <row r="106" customFormat="false" ht="12.8" hidden="false" customHeight="false" outlineLevel="1" collapsed="false"/>
    <row r="107" customFormat="false" ht="12.8" hidden="false" customHeight="false" outlineLevel="1" collapsed="false"/>
    <row r="108" customFormat="false" ht="12.8" hidden="false" customHeight="false" outlineLevel="1" collapsed="false"/>
    <row r="109" customFormat="false" ht="12.8" hidden="false" customHeight="false" outlineLevel="1" collapsed="false"/>
    <row r="110" customFormat="false" ht="12.8" hidden="false" customHeight="false" outlineLevel="1" collapsed="false"/>
    <row r="111" customFormat="false" ht="12.8" hidden="false" customHeight="false" outlineLevel="1" collapsed="false"/>
    <row r="112" customFormat="false" ht="12.8" hidden="false" customHeight="false" outlineLevel="1" collapsed="false"/>
    <row r="113" customFormat="false" ht="12.8" hidden="false" customHeight="false" outlineLevel="1" collapsed="false"/>
    <row r="114" customFormat="false" ht="12.8" hidden="false" customHeight="false" outlineLevel="1" collapsed="false"/>
    <row r="115" customFormat="false" ht="12.8" hidden="false" customHeight="false" outlineLevel="1" collapsed="false"/>
    <row r="116" customFormat="false" ht="12.8" hidden="false" customHeight="false" outlineLevel="1" collapsed="false"/>
    <row r="117" customFormat="false" ht="12.8" hidden="false" customHeight="false" outlineLevel="1" collapsed="false"/>
    <row r="118" customFormat="false" ht="12.8" hidden="false" customHeight="false" outlineLevel="1" collapsed="false"/>
    <row r="119" customFormat="false" ht="12.8" hidden="false" customHeight="false" outlineLevel="1" collapsed="false"/>
    <row r="120" customFormat="false" ht="12.8" hidden="false" customHeight="false" outlineLevel="1" collapsed="false"/>
    <row r="121" customFormat="false" ht="12.8" hidden="false" customHeight="false" outlineLevel="1" collapsed="false"/>
    <row r="122" customFormat="false" ht="12.8" hidden="false" customHeight="false" outlineLevel="1" collapsed="false"/>
    <row r="123" customFormat="false" ht="12.8" hidden="false" customHeight="false" outlineLevel="1" collapsed="false"/>
    <row r="124" customFormat="false" ht="12.8" hidden="false" customHeight="false" outlineLevel="1" collapsed="false"/>
    <row r="125" customFormat="false" ht="12.8" hidden="false" customHeight="false" outlineLevel="1" collapsed="false"/>
    <row r="126" customFormat="false" ht="12.8" hidden="false" customHeight="false" outlineLevel="1" collapsed="false"/>
    <row r="127" customFormat="false" ht="12.8" hidden="false" customHeight="false" outlineLevel="1" collapsed="false"/>
    <row r="128" customFormat="false" ht="12.8" hidden="false" customHeight="false" outlineLevel="1" collapsed="false"/>
    <row r="129" customFormat="false" ht="12.8" hidden="false" customHeight="false" outlineLevel="1" collapsed="false"/>
    <row r="130" customFormat="false" ht="12.8" hidden="false" customHeight="false" outlineLevel="1" collapsed="false"/>
    <row r="131" customFormat="false" ht="12.8" hidden="false" customHeight="false" outlineLevel="1" collapsed="false"/>
    <row r="132" customFormat="false" ht="12.8" hidden="false" customHeight="false" outlineLevel="1" collapsed="false"/>
    <row r="133" customFormat="false" ht="12.8" hidden="false" customHeight="false" outlineLevel="1" collapsed="false"/>
    <row r="134" customFormat="false" ht="12.8" hidden="false" customHeight="false" outlineLevel="1" collapsed="false"/>
    <row r="135" customFormat="false" ht="12.8" hidden="false" customHeight="false" outlineLevel="1" collapsed="false"/>
    <row r="136" customFormat="false" ht="12.8" hidden="false" customHeight="false" outlineLevel="1" collapsed="false"/>
    <row r="137" customFormat="false" ht="12.8" hidden="false" customHeight="false" outlineLevel="1" collapsed="false"/>
    <row r="138" customFormat="false" ht="12.8" hidden="false" customHeight="false" outlineLevel="1" collapsed="false"/>
    <row r="139" customFormat="false" ht="12.8" hidden="false" customHeight="false" outlineLevel="1" collapsed="false"/>
    <row r="140" customFormat="false" ht="12.8" hidden="false" customHeight="false" outlineLevel="1" collapsed="false"/>
    <row r="141" customFormat="false" ht="12.8" hidden="false" customHeight="false" outlineLevel="1" collapsed="false"/>
    <row r="142" customFormat="false" ht="12.8" hidden="false" customHeight="false" outlineLevel="1" collapsed="false"/>
    <row r="143" customFormat="false" ht="12.8" hidden="false" customHeight="false" outlineLevel="1" collapsed="false"/>
    <row r="144" customFormat="false" ht="12.8" hidden="false" customHeight="false" outlineLevel="1" collapsed="false"/>
    <row r="145" customFormat="false" ht="12.8" hidden="false" customHeight="false" outlineLevel="1" collapsed="false"/>
    <row r="146" customFormat="false" ht="12.8" hidden="false" customHeight="false" outlineLevel="1" collapsed="false"/>
    <row r="147" customFormat="false" ht="12.8" hidden="false" customHeight="false" outlineLevel="1" collapsed="false"/>
    <row r="148" customFormat="false" ht="12.8" hidden="false" customHeight="false" outlineLevel="1" collapsed="false"/>
    <row r="149" customFormat="false" ht="12.8" hidden="false" customHeight="false" outlineLevel="1" collapsed="false"/>
    <row r="150" customFormat="false" ht="12.8" hidden="false" customHeight="false" outlineLevel="1" collapsed="false"/>
    <row r="151" customFormat="false" ht="12.8" hidden="false" customHeight="false" outlineLevel="1" collapsed="false"/>
    <row r="152" customFormat="false" ht="12.8" hidden="false" customHeight="false" outlineLevel="1" collapsed="false"/>
    <row r="153" customFormat="false" ht="12.8" hidden="false" customHeight="false" outlineLevel="1" collapsed="false"/>
    <row r="155" customFormat="false" ht="12.8" hidden="false" customHeight="false" outlineLevel="1" collapsed="false"/>
    <row r="156" customFormat="false" ht="12.8" hidden="false" customHeight="false" outlineLevel="1" collapsed="false"/>
    <row r="157" customFormat="false" ht="12.8" hidden="false" customHeight="false" outlineLevel="1" collapsed="false"/>
    <row r="158" customFormat="false" ht="12.8" hidden="false" customHeight="false" outlineLevel="1" collapsed="false"/>
    <row r="159" customFormat="false" ht="12.8" hidden="false" customHeight="false" outlineLevel="1" collapsed="false"/>
    <row r="160" customFormat="false" ht="12.8" hidden="false" customHeight="false" outlineLevel="1" collapsed="false"/>
    <row r="161" customFormat="false" ht="12.8" hidden="false" customHeight="false" outlineLevel="1" collapsed="false"/>
    <row r="162" customFormat="false" ht="12.8" hidden="false" customHeight="false" outlineLevel="1" collapsed="false"/>
    <row r="163" customFormat="false" ht="12.8" hidden="false" customHeight="false" outlineLevel="1" collapsed="false"/>
    <row r="164" customFormat="false" ht="12.8" hidden="false" customHeight="false" outlineLevel="1" collapsed="false"/>
    <row r="165" customFormat="false" ht="12.8" hidden="false" customHeight="false" outlineLevel="1" collapsed="false"/>
    <row r="166" customFormat="false" ht="12.8" hidden="false" customHeight="false" outlineLevel="1" collapsed="false"/>
    <row r="167" customFormat="false" ht="12.8" hidden="false" customHeight="false" outlineLevel="1" collapsed="false"/>
    <row r="168" customFormat="false" ht="12.8" hidden="false" customHeight="false" outlineLevel="1" collapsed="false"/>
    <row r="169" customFormat="false" ht="12.8" hidden="false" customHeight="false" outlineLevel="1" collapsed="false"/>
    <row r="170" customFormat="false" ht="12.8" hidden="false" customHeight="false" outlineLevel="1" collapsed="false"/>
    <row r="171" customFormat="false" ht="12.8" hidden="false" customHeight="false" outlineLevel="1" collapsed="false"/>
    <row r="172" customFormat="false" ht="12.8" hidden="false" customHeight="false" outlineLevel="1" collapsed="false"/>
    <row r="173" customFormat="false" ht="12.8" hidden="false" customHeight="false" outlineLevel="1" collapsed="false"/>
    <row r="174" customFormat="false" ht="12.8" hidden="false" customHeight="false" outlineLevel="1" collapsed="false"/>
    <row r="175" customFormat="false" ht="12.8" hidden="false" customHeight="false" outlineLevel="1" collapsed="false"/>
    <row r="176" customFormat="false" ht="12.8" hidden="false" customHeight="false" outlineLevel="1" collapsed="false"/>
    <row r="177" customFormat="false" ht="12.8" hidden="false" customHeight="false" outlineLevel="1" collapsed="false"/>
    <row r="178" customFormat="false" ht="12.8" hidden="false" customHeight="false" outlineLevel="1" collapsed="false"/>
    <row r="179" customFormat="false" ht="12.8" hidden="false" customHeight="false" outlineLevel="1" collapsed="false"/>
    <row r="180" customFormat="false" ht="12.8" hidden="false" customHeight="false" outlineLevel="1" collapsed="false"/>
    <row r="181" customFormat="false" ht="12.8" hidden="false" customHeight="false" outlineLevel="1" collapsed="false"/>
    <row r="182" customFormat="false" ht="12.8" hidden="false" customHeight="false" outlineLevel="1" collapsed="false"/>
    <row r="183" customFormat="false" ht="12.8" hidden="false" customHeight="false" outlineLevel="1" collapsed="false"/>
    <row r="184" customFormat="false" ht="12.8" hidden="false" customHeight="false" outlineLevel="1" collapsed="false"/>
    <row r="185" customFormat="false" ht="12.8" hidden="false" customHeight="false" outlineLevel="1" collapsed="false"/>
    <row r="186" customFormat="false" ht="12.8" hidden="false" customHeight="false" outlineLevel="1" collapsed="false"/>
    <row r="187" customFormat="false" ht="12.8" hidden="false" customHeight="false" outlineLevel="1" collapsed="false"/>
    <row r="188" customFormat="false" ht="12.8" hidden="false" customHeight="false" outlineLevel="1" collapsed="false"/>
    <row r="189" customFormat="false" ht="12.8" hidden="false" customHeight="false" outlineLevel="1" collapsed="false"/>
    <row r="190" customFormat="false" ht="12.8" hidden="false" customHeight="false" outlineLevel="1" collapsed="false"/>
    <row r="191" customFormat="false" ht="12.8" hidden="false" customHeight="false" outlineLevel="1" collapsed="false"/>
    <row r="192" customFormat="false" ht="12.8" hidden="false" customHeight="false" outlineLevel="1" collapsed="false"/>
    <row r="193" customFormat="false" ht="12.8" hidden="false" customHeight="false" outlineLevel="1" collapsed="false"/>
    <row r="194" customFormat="false" ht="12.8" hidden="false" customHeight="false" outlineLevel="1" collapsed="false"/>
    <row r="195" customFormat="false" ht="12.8" hidden="false" customHeight="false" outlineLevel="1" collapsed="false"/>
    <row r="196" customFormat="false" ht="12.8" hidden="false" customHeight="false" outlineLevel="1" collapsed="false"/>
    <row r="197" customFormat="false" ht="12.8" hidden="false" customHeight="false" outlineLevel="1" collapsed="false"/>
    <row r="198" customFormat="false" ht="12.8" hidden="false" customHeight="false" outlineLevel="1" collapsed="false"/>
    <row r="199" customFormat="false" ht="12.8" hidden="false" customHeight="false" outlineLevel="1" collapsed="false"/>
    <row r="200" customFormat="false" ht="12.8" hidden="false" customHeight="false" outlineLevel="1" collapsed="false"/>
    <row r="201" customFormat="false" ht="12.8" hidden="false" customHeight="false" outlineLevel="1" collapsed="false"/>
    <row r="202" customFormat="false" ht="12.8" hidden="false" customHeight="false" outlineLevel="1" collapsed="false"/>
    <row r="203" customFormat="false" ht="12.8" hidden="false" customHeight="false" outlineLevel="1" collapsed="false"/>
    <row r="204" customFormat="false" ht="12.8" hidden="false" customHeight="false" outlineLevel="1" collapsed="false"/>
    <row r="205" customFormat="false" ht="12.8" hidden="false" customHeight="false" outlineLevel="1" collapsed="false"/>
    <row r="206" customFormat="false" ht="12.8" hidden="false" customHeight="false" outlineLevel="1" collapsed="false"/>
    <row r="207" customFormat="false" ht="12.8" hidden="false" customHeight="false" outlineLevel="1" collapsed="false"/>
    <row r="208" customFormat="false" ht="12.8" hidden="false" customHeight="false" outlineLevel="1" collapsed="false"/>
    <row r="209" customFormat="false" ht="12.8" hidden="false" customHeight="false" outlineLevel="1" collapsed="false"/>
    <row r="210" customFormat="false" ht="12.8" hidden="false" customHeight="false" outlineLevel="1" collapsed="false"/>
    <row r="211" customFormat="false" ht="12.8" hidden="false" customHeight="false" outlineLevel="1" collapsed="false"/>
    <row r="212" customFormat="false" ht="12.8" hidden="false" customHeight="false" outlineLevel="1" collapsed="false"/>
    <row r="213" customFormat="false" ht="12.8" hidden="false" customHeight="false" outlineLevel="1" collapsed="false"/>
    <row r="214" customFormat="false" ht="12.8" hidden="false" customHeight="false" outlineLevel="1" collapsed="false"/>
    <row r="215" customFormat="false" ht="12.8" hidden="false" customHeight="false" outlineLevel="1" collapsed="false"/>
    <row r="216" customFormat="false" ht="12.8" hidden="false" customHeight="false" outlineLevel="1" collapsed="false"/>
    <row r="217" customFormat="false" ht="12.8" hidden="false" customHeight="false" outlineLevel="1" collapsed="false"/>
    <row r="218" customFormat="false" ht="12.8" hidden="false" customHeight="false" outlineLevel="1" collapsed="false"/>
    <row r="219" customFormat="false" ht="12.8" hidden="false" customHeight="false" outlineLevel="1" collapsed="false"/>
    <row r="220" customFormat="false" ht="12.8" hidden="false" customHeight="false" outlineLevel="1" collapsed="false"/>
    <row r="221" customFormat="false" ht="12.8" hidden="false" customHeight="false" outlineLevel="1" collapsed="false"/>
    <row r="222" customFormat="false" ht="12.8" hidden="false" customHeight="false" outlineLevel="1" collapsed="false"/>
    <row r="223" customFormat="false" ht="12.8" hidden="false" customHeight="false" outlineLevel="1" collapsed="false"/>
    <row r="224" customFormat="false" ht="12.8" hidden="false" customHeight="false" outlineLevel="1" collapsed="false"/>
    <row r="225" customFormat="false" ht="12.8" hidden="false" customHeight="false" outlineLevel="1" collapsed="false"/>
    <row r="226" customFormat="false" ht="12.8" hidden="false" customHeight="false" outlineLevel="1" collapsed="false"/>
    <row r="227" customFormat="false" ht="12.8" hidden="false" customHeight="false" outlineLevel="1" collapsed="false"/>
    <row r="228" customFormat="false" ht="12.8" hidden="false" customHeight="false" outlineLevel="1" collapsed="false"/>
    <row r="229" customFormat="false" ht="12.8" hidden="false" customHeight="false" outlineLevel="1" collapsed="false"/>
    <row r="230" customFormat="false" ht="12.8" hidden="false" customHeight="false" outlineLevel="1" collapsed="false"/>
    <row r="231" customFormat="false" ht="12.8" hidden="false" customHeight="false" outlineLevel="1" collapsed="false"/>
    <row r="232" customFormat="false" ht="12.8" hidden="false" customHeight="false" outlineLevel="1" collapsed="false"/>
    <row r="233" customFormat="false" ht="12.8" hidden="false" customHeight="false" outlineLevel="1" collapsed="false"/>
    <row r="234" customFormat="false" ht="12.8" hidden="false" customHeight="false" outlineLevel="1" collapsed="false"/>
    <row r="235" customFormat="false" ht="12.8" hidden="false" customHeight="false" outlineLevel="1" collapsed="false"/>
    <row r="236" customFormat="false" ht="12.8" hidden="false" customHeight="false" outlineLevel="1" collapsed="false"/>
    <row r="237" customFormat="false" ht="12.8" hidden="false" customHeight="false" outlineLevel="1" collapsed="false"/>
    <row r="238" customFormat="false" ht="12.8" hidden="false" customHeight="false" outlineLevel="1" collapsed="false"/>
    <row r="239" customFormat="false" ht="12.8" hidden="false" customHeight="false" outlineLevel="1" collapsed="false"/>
    <row r="240" customFormat="false" ht="12.8" hidden="false" customHeight="false" outlineLevel="1" collapsed="false"/>
    <row r="241" customFormat="false" ht="12.8" hidden="false" customHeight="false" outlineLevel="1" collapsed="false"/>
    <row r="242" customFormat="false" ht="12.8" hidden="false" customHeight="false" outlineLevel="1" collapsed="false"/>
    <row r="243" customFormat="false" ht="12.8" hidden="false" customHeight="false" outlineLevel="1" collapsed="false"/>
    <row r="244" customFormat="false" ht="12.8" hidden="false" customHeight="false" outlineLevel="1" collapsed="false"/>
    <row r="245" customFormat="false" ht="12.8" hidden="false" customHeight="false" outlineLevel="1" collapsed="false"/>
    <row r="246" customFormat="false" ht="12.8" hidden="false" customHeight="false" outlineLevel="1" collapsed="false"/>
    <row r="247" customFormat="false" ht="12.8" hidden="false" customHeight="false" outlineLevel="1" collapsed="false"/>
    <row r="248" customFormat="false" ht="12.8" hidden="false" customHeight="false" outlineLevel="1" collapsed="false"/>
    <row r="249" customFormat="false" ht="12.8" hidden="false" customHeight="false" outlineLevel="1"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5172</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2026-02-13T19:31:31Z</dcterms:modified>
  <cp:revision>681</cp:revision>
  <dc:subject/>
  <dc:title/>
</cp:coreProperties>
</file>

<file path=docProps/custom.xml><?xml version="1.0" encoding="utf-8"?>
<Properties xmlns="http://schemas.openxmlformats.org/officeDocument/2006/custom-properties" xmlns:vt="http://schemas.openxmlformats.org/officeDocument/2006/docPropsVTypes"/>
</file>