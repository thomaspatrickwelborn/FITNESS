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22.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4.xml" ContentType="application/vnd.openxmlformats-officedocument.drawing+xml"/>
  <Override PartName="/xl/drawings/drawing12.xml" ContentType="application/vnd.openxmlformats-officedocument.drawing+xml"/>
  <Override PartName="/xl/drawings/drawing14.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13.xml" ContentType="application/vnd.openxmlformats-officedocument.drawing+xml"/>
  <Override PartName="/xl/drawings/drawing17.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3.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2.xml" ContentType="application/vnd.openxmlformats-officedocument.drawing+xml"/>
  <Override PartName="/xl/charts/chart29.xml" ContentType="application/vnd.openxmlformats-officedocument.drawingml.chart+xml"/>
  <Override PartName="/xl/charts/chart28.xml" ContentType="application/vnd.openxmlformats-officedocument.drawingml.chart+xml"/>
  <Override PartName="/xl/charts/chart27.xml" ContentType="application/vnd.openxmlformats-officedocument.drawingml.chart+xml"/>
  <Override PartName="/xl/charts/chart26.xml" ContentType="application/vnd.openxmlformats-officedocument.drawingml.chart+xml"/>
  <Override PartName="/xl/charts/chart30.xml" ContentType="application/vnd.openxmlformats-officedocument.drawingml.chart+xml"/>
  <Override PartName="/xl/charts/chart7.xml" ContentType="application/vnd.openxmlformats-officedocument.drawingml.chart+xml"/>
  <Override PartName="/xl/charts/chart31.xml" ContentType="application/vnd.openxmlformats-officedocument.drawingml.chart+xml"/>
  <Override PartName="/xl/charts/chart12.xml" ContentType="application/vnd.openxmlformats-officedocument.drawingml.chart+xml"/>
  <Override PartName="/xl/charts/chart8.xml" ContentType="application/vnd.openxmlformats-officedocument.drawingml.chart+xml"/>
  <Override PartName="/xl/charts/chart2.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6.xml" ContentType="application/vnd.openxmlformats-officedocument.drawingml.chart+xml"/>
  <Override PartName="/xl/charts/chart9.xml" ContentType="application/vnd.openxmlformats-officedocument.drawingml.chart+xml"/>
  <Override PartName="/xl/charts/chart5.xml" ContentType="application/vnd.openxmlformats-officedocument.drawingml.chart+xml"/>
  <Override PartName="/xl/charts/chart32.xml" ContentType="application/vnd.openxmlformats-officedocument.drawingml.chart+xml"/>
  <Override PartName="/xl/charts/chart11.xml" ContentType="application/vnd.openxmlformats-officedocument.drawingml.chart+xml"/>
  <Override PartName="/xl/charts/chart18.xml" ContentType="application/vnd.openxmlformats-officedocument.drawingml.chart+xml"/>
  <Override PartName="/xl/charts/chart33.xml" ContentType="application/vnd.openxmlformats-officedocument.drawingml.chart+xml"/>
  <Override PartName="/xl/charts/chart19.xml" ContentType="application/vnd.openxmlformats-officedocument.drawingml.chart+xml"/>
  <Override PartName="/xl/charts/chart15.xml" ContentType="application/vnd.openxmlformats-officedocument.drawingml.chart+xml"/>
  <Override PartName="/xl/charts/chart4.xml" ContentType="application/vnd.openxmlformats-officedocument.drawingml.chart+xml"/>
  <Override PartName="/xl/charts/chart23.xml" ContentType="application/vnd.openxmlformats-officedocument.drawingml.chart+xml"/>
  <Override PartName="/xl/charts/chart3.xml" ContentType="application/vnd.openxmlformats-officedocument.drawingml.chart+xml"/>
  <Override PartName="/xl/charts/chart1.xml" ContentType="application/vnd.openxmlformats-officedocument.drawingml.chart+xml"/>
  <Override PartName="/xl/charts/chart14.xml" ContentType="application/vnd.openxmlformats-officedocument.drawingml.chart+xml"/>
  <Override PartName="/xl/charts/chart17.xml" ContentType="application/vnd.openxmlformats-officedocument.drawingml.chart+xml"/>
  <Override PartName="/xl/charts/chart21.xml" ContentType="application/vnd.openxmlformats-officedocument.drawingml.chart+xml"/>
  <Override PartName="/xl/charts/chart20.xml" ContentType="application/vnd.openxmlformats-officedocument.drawingml.chart+xml"/>
  <Override PartName="/xl/charts/chart22.xml" ContentType="application/vnd.openxmlformats-officedocument.drawingml.chart+xml"/>
  <Override PartName="/xl/charts/chart24.xml" ContentType="application/vnd.openxmlformats-officedocument.drawingml.chart+xml"/>
  <Override PartName="/xl/charts/chart10.xml" ContentType="application/vnd.openxmlformats-officedocument.drawingml.chart+xml"/>
  <Override PartName="/xl/charts/chart25.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INDEX" sheetId="1" state="visible" r:id="rId3"/>
    <sheet name="INVOKE" sheetId="2" state="visible" r:id="rId4"/>
    <sheet name="FORM" sheetId="3" state="visible" r:id="rId5"/>
    <sheet name="PARAM" sheetId="4" state="visible" r:id="rId6"/>
    <sheet name="CALC" sheetId="5" state="visible" r:id="rId7"/>
    <sheet name="LFP" sheetId="6" state="visible" r:id="rId8"/>
    <sheet name="ETPR" sheetId="7" state="hidden" r:id="rId9"/>
    <sheet name="LFPR" sheetId="8" state="hidden" r:id="rId10"/>
    <sheet name="U3R" sheetId="9" state="hidden" r:id="rId11"/>
    <sheet name="U6R" sheetId="10" state="hidden" r:id="rId12"/>
    <sheet name="WAVG" sheetId="11" state="hidden" r:id="rId13"/>
    <sheet name="AIAVG" sheetId="12" state="hidden" r:id="rId14"/>
    <sheet name="FPITREV" sheetId="13" state="hidden" r:id="rId15"/>
    <sheet name="FPPTREV" sheetId="14" state="hidden" r:id="rId16"/>
    <sheet name="EITCREF" sheetId="15" state="hidden" r:id="rId17"/>
    <sheet name="ACTCREF" sheetId="16" state="hidden" r:id="rId18"/>
    <sheet name="AOTCREF" sheetId="17" state="hidden" r:id="rId19"/>
    <sheet name="EP" sheetId="18" state="hidden" r:id="rId20"/>
    <sheet name="AWHW" sheetId="19" state="hidden" r:id="rId21"/>
    <sheet name="FTER" sheetId="20" state="hidden" r:id="rId22"/>
    <sheet name="PTER" sheetId="21" state="hidden" r:id="rId23"/>
    <sheet name="JTA" sheetId="22" state="hidden" r:id="rId24"/>
  </sheets>
  <definedNames>
    <definedName function="false" hidden="false" name="LSD_RID_0_AL"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<sst xmlns="http://schemas.openxmlformats.org/spreadsheetml/2006/main" count="1445" uniqueCount="1019">
  <si>
    <t xml:space="preserve">LSD.RID.0.AL</t>
  </si>
  <si>
    <t xml:space="preserve">Alabama Labor Statistics</t>
  </si>
  <si>
    <t xml:space="preserve">December 2025</t>
  </si>
  <si>
    <t xml:space="preserve">TID</t>
  </si>
  <si>
    <t xml:space="preserve">Title</t>
  </si>
  <si>
    <t xml:space="preserve">Month</t>
  </si>
  <si>
    <t xml:space="preserve">LSD.RID.0.AL.GLOSS</t>
  </si>
  <si>
    <t xml:space="preserve">Alabama Labor Statistic Calculations</t>
  </si>
  <si>
    <t xml:space="preserve">Calculated formulae use parameters. </t>
  </si>
  <si>
    <t xml:space="preserve">GLOID</t>
  </si>
  <si>
    <t xml:space="preserve">Glossary Name</t>
  </si>
  <si>
    <t xml:space="preserve">Definition</t>
  </si>
  <si>
    <t xml:space="preserve">0</t>
  </si>
  <si>
    <t xml:space="preserve">RID</t>
  </si>
  <si>
    <t xml:space="preserve">Region ID</t>
  </si>
  <si>
    <t xml:space="preserve">1</t>
  </si>
  <si>
    <t xml:space="preserve">DES</t>
  </si>
  <si>
    <t xml:space="preserve">Department of Economic Security</t>
  </si>
  <si>
    <t xml:space="preserve">2</t>
  </si>
  <si>
    <t xml:space="preserve">LSD</t>
  </si>
  <si>
    <t xml:space="preserve">Labor Security Division</t>
  </si>
  <si>
    <t xml:space="preserve">3</t>
  </si>
  <si>
    <t xml:space="preserve">SLIID</t>
  </si>
  <si>
    <t xml:space="preserve">State Labor Industry ID</t>
  </si>
  <si>
    <t xml:space="preserve">4</t>
  </si>
  <si>
    <t xml:space="preserve">SLIVID</t>
  </si>
  <si>
    <t xml:space="preserve">State Labor Industry Visualization ID</t>
  </si>
  <si>
    <t xml:space="preserve">5</t>
  </si>
  <si>
    <t xml:space="preserve">INVID</t>
  </si>
  <si>
    <t xml:space="preserve">Invocation ID</t>
  </si>
  <si>
    <t xml:space="preserve">6</t>
  </si>
  <si>
    <t xml:space="preserve">7</t>
  </si>
  <si>
    <t xml:space="preserve">LFP</t>
  </si>
  <si>
    <t xml:space="preserve">Labor Force Population</t>
  </si>
  <si>
    <t xml:space="preserve">8</t>
  </si>
  <si>
    <t xml:space="preserve">ETPR</t>
  </si>
  <si>
    <t xml:space="preserve">Employment-to-Population Ratio</t>
  </si>
  <si>
    <t xml:space="preserve">9</t>
  </si>
  <si>
    <t xml:space="preserve">LFPR</t>
  </si>
  <si>
    <t xml:space="preserve">Labor Force Population Rate</t>
  </si>
  <si>
    <t xml:space="preserve">10</t>
  </si>
  <si>
    <t xml:space="preserve">U3R</t>
  </si>
  <si>
    <t xml:space="preserve">Unemployment Rate</t>
  </si>
  <si>
    <t xml:space="preserve">11</t>
  </si>
  <si>
    <t xml:space="preserve">U6R</t>
  </si>
  <si>
    <t xml:space="preserve">Underemployment Rate</t>
  </si>
  <si>
    <t xml:space="preserve">12</t>
  </si>
  <si>
    <t xml:space="preserve">WAVG</t>
  </si>
  <si>
    <t xml:space="preserve">Wage Average</t>
  </si>
  <si>
    <t xml:space="preserve">13</t>
  </si>
  <si>
    <t xml:space="preserve">AIAVG</t>
  </si>
  <si>
    <t xml:space="preserve">Annual Income Average</t>
  </si>
  <si>
    <t xml:space="preserve">14</t>
  </si>
  <si>
    <t xml:space="preserve">FPITREV</t>
  </si>
  <si>
    <t xml:space="preserve">Federal Personal Income Tax Revenue</t>
  </si>
  <si>
    <t xml:space="preserve">15</t>
  </si>
  <si>
    <t xml:space="preserve">FPPTREV</t>
  </si>
  <si>
    <t xml:space="preserve">Federal Personal Payroll Tax Revenue</t>
  </si>
  <si>
    <t xml:space="preserve">16</t>
  </si>
  <si>
    <t xml:space="preserve">EITCREF</t>
  </si>
  <si>
    <t xml:space="preserve">Earned Income Tax Credit Refund</t>
  </si>
  <si>
    <t xml:space="preserve">17</t>
  </si>
  <si>
    <t xml:space="preserve">ACTCREF</t>
  </si>
  <si>
    <t xml:space="preserve">Additional Child Tax Credit Refund</t>
  </si>
  <si>
    <t xml:space="preserve">18</t>
  </si>
  <si>
    <t xml:space="preserve">AOTCREF</t>
  </si>
  <si>
    <t xml:space="preserve">American Opportunity Tax Credit Refund</t>
  </si>
  <si>
    <t xml:space="preserve">19</t>
  </si>
  <si>
    <t xml:space="preserve">EP</t>
  </si>
  <si>
    <t xml:space="preserve">Employed Population</t>
  </si>
  <si>
    <t xml:space="preserve">20</t>
  </si>
  <si>
    <t xml:space="preserve">AWHW</t>
  </si>
  <si>
    <t xml:space="preserve">Average Weekly Hours Worked</t>
  </si>
  <si>
    <t xml:space="preserve">21</t>
  </si>
  <si>
    <t xml:space="preserve">FTER</t>
  </si>
  <si>
    <t xml:space="preserve">Full-Time Employment Rate</t>
  </si>
  <si>
    <t xml:space="preserve">22</t>
  </si>
  <si>
    <t xml:space="preserve">PTER</t>
  </si>
  <si>
    <t xml:space="preserve">Part-Time Employment Rate</t>
  </si>
  <si>
    <t xml:space="preserve">23</t>
  </si>
  <si>
    <t xml:space="preserve">JTA</t>
  </si>
  <si>
    <t xml:space="preserve">Job Tenure Average</t>
  </si>
  <si>
    <t xml:space="preserve">24</t>
  </si>
  <si>
    <t xml:space="preserve">TR</t>
  </si>
  <si>
    <t xml:space="preserve">Turnover Rate</t>
  </si>
  <si>
    <t xml:space="preserve">25</t>
  </si>
  <si>
    <t xml:space="preserve">LP</t>
  </si>
  <si>
    <t xml:space="preserve">Labor Productivity</t>
  </si>
  <si>
    <t xml:space="preserve">26</t>
  </si>
  <si>
    <t xml:space="preserve">ELR</t>
  </si>
  <si>
    <t xml:space="preserve">Education Level Required</t>
  </si>
  <si>
    <t xml:space="preserve">27</t>
  </si>
  <si>
    <t xml:space="preserve">SLTR</t>
  </si>
  <si>
    <t xml:space="preserve">State/Local Tax Revenue</t>
  </si>
  <si>
    <t xml:space="preserve">28</t>
  </si>
  <si>
    <t xml:space="preserve">SSMC</t>
  </si>
  <si>
    <t xml:space="preserve">Social Security/Medicare Contributions</t>
  </si>
  <si>
    <t xml:space="preserve">29</t>
  </si>
  <si>
    <t xml:space="preserve">PAUR</t>
  </si>
  <si>
    <t xml:space="preserve">Public Assistance Usage Rate</t>
  </si>
  <si>
    <t xml:space="preserve">30</t>
  </si>
  <si>
    <t xml:space="preserve">INVOKE</t>
  </si>
  <si>
    <t xml:space="preserve">Invocations</t>
  </si>
  <si>
    <t xml:space="preserve">31</t>
  </si>
  <si>
    <t xml:space="preserve">FORM</t>
  </si>
  <si>
    <t xml:space="preserve">Formulae</t>
  </si>
  <si>
    <t xml:space="preserve">32</t>
  </si>
  <si>
    <t xml:space="preserve">PARAM</t>
  </si>
  <si>
    <t xml:space="preserve">Parameters</t>
  </si>
  <si>
    <t xml:space="preserve">33</t>
  </si>
  <si>
    <t xml:space="preserve">CALC</t>
  </si>
  <si>
    <t xml:space="preserve">Calculations</t>
  </si>
  <si>
    <t xml:space="preserve">34</t>
  </si>
  <si>
    <t xml:space="preserve">VALID</t>
  </si>
  <si>
    <t xml:space="preserve">Validations</t>
  </si>
  <si>
    <t xml:space="preserve">LSD.REF.AL.INVOKE</t>
  </si>
  <si>
    <t xml:space="preserve">Alabama Labor Statistic Logic Formulae</t>
  </si>
  <si>
    <t xml:space="preserve">Invocation Name</t>
  </si>
  <si>
    <t xml:space="preserve">Invocation Script</t>
  </si>
  <si>
    <t xml:space="preserve">References</t>
  </si>
  <si>
    <t xml:space="preserve">Reference Account</t>
  </si>
  <si>
    <t xml:space="preserve">Branch A</t>
  </si>
  <si>
    <t xml:space="preserve">Alabama Labor Statistic Restructuring, Reformulation, Reparameterization, Recalculation, Revalidation</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</si>
  <si>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tab (visible) and further tabs (invisble). These metric tabs will contain independent formulae, parameters, calculations, and data visualizations for individual metrics. These tabs utilize FORM and PARAM tabs. The current FORM, PARAM, and LFP tabs should all be recreated under different conditions. The new conditions are "Labor Industry" rows now renamed to "Labor Sector". All Labor Statistic Metrics will be calculated for these new sectors. The sectors are no longer separated into "Worker" and "Support" roles. Some prior labor industry roles are consolidated under the same Labor Sector, while others are reclassified. All FORM and PARAM should be recreated to account for the latest draft of the spreadsheet. Afterwards the LFP FORM and PARAM tables should be recreated. Afterwards the LSD CALC table should be recalculated and revalidated. Prompt me between each of these processes. </t>
  </si>
  <si>
    <t xml:space="preserve">https://grok.com/share/c2hhcmQtMi1jb3B5_64b180e5-7e6f-49b7-9e71-d2f4ce68147c</t>
  </si>
  <si>
    <t xml:space="preserve">thomas.welborn@protonmail.com</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</si>
  <si>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This session is to calculate and validate Alabama Labor Statistics from the latest FORMulae and PARAMeters. Calculations should be performed 10 rows at a time, outputing the row and column order with filled cell values according the ordered structure in the CALCulations tab. Because calculations are process-intensive, only output 10 rows at a time in TSV format and prompt me to continue. Ignore all tabs following VALID - these are derived references from the master CALC table for data visualization and analysis purposes. </t>
  </si>
  <si>
    <t xml:space="preserve">https://grok.com/share/c2hhcmQtMg_8a6c55cf-c52f-43cb-9da8-0d7b62885ba7</t>
  </si>
  <si>
    <t xml:space="preserve">thomas.tom.welborn@gmail.com</t>
  </si>
  <si>
    <t xml:space="preserve">Alabama Labor Statistic Reformulation, Reparameterization, Recalculation Through Restructuring</t>
  </si>
  <si>
    <t xml:space="preserve">Consider the attached spreadsheet containing U.S. Labor Statistic Formulae, Parameters, and Calculations for the state of Alabama. Notice the drafted INDEX table containing various references for the remaining tabs. The purpose of this session is to restructure tabs: 
- FORMulae and PARAMeters for **interdependent** labor statistic calculations will remain in FORM. 
- FORMulae and PARAMeters for **independent** labor statistic metrics and measures should be isolated and will be copy-pasted into correspective metric tabs. 
- FORMulae and PARAMeters restructuring should include refinement such as additions, editions. 
- FORMulae and PARAMeters should have correlated identifiers in the format of the metric's acronym, followed by a single "." character (period), follwed by an index number (starting with 0) - such as LFP.0, LFP.1, etc. 
- FORMulae and PARAMeters should follow same column structure. 
All output should be performed metric-by-metric - with the exception of the shared FORMulae and PARAMeters, which should be created first. While revising or restructuring FORMulae and PARAMeters if there are additional/editional **shared** FORMulae and PARAMeters, then the tabular data should be generated so that it may be copy-pasted during the process. Prompt to continue. </t>
  </si>
  <si>
    <t xml:space="preserve">https://grok.com/share/c2hhcmQtMi1jb3B5_b42b6690-ea62-4ca7-8092-8da4e8765ff9</t>
  </si>
  <si>
    <t xml:space="preserve">Alabama Labor Statistics Formulae, Parameter, Calculation Refinement Session</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</si>
  <si>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
</t>
  </si>
  <si>
    <t xml:space="preserve">https://grok.com/share/c2hhcmQtMi1jb3B5_3d42fed3-3e96-4239-9e2f-0193ac9134fa</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</si>
  <si>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t>
  </si>
  <si>
    <t xml:space="preserve">https://grok.com/share/c2hhcmQtMi1jb3B5_05a1dd6b-e942-4559-ba6a-f3b1f2ab03fe</t>
  </si>
  <si>
    <t xml:space="preserve">https://grok.com/share/c2hhcmQtMi1jb3B5_38c5a765-74c2-4109-9029-b59b07945946</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</si>
  <si>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When performing calculations or considering spreadsheet content, ignore all tabs after `CALC` - these tabs are CALC references. 
Prompt me to continue. </t>
  </si>
  <si>
    <t xml:space="preserve">https://grok.com/share/c2hhcmQtMg_4d848e26-26c7-4725-849f-6a1a29e77d95</t>
  </si>
  <si>
    <t xml:space="preserve">https://grok.com/share/bGVnYWN5LWNvcHk_5cd45c1a-a286-44d3-94ef-a0cf30f63a73</t>
  </si>
  <si>
    <t xml:space="preserve">thomas.patrick.welborn@outlook.com</t>
  </si>
  <si>
    <t xml:space="preserve">The calculations for some metric measurements should be refined through formuale and parameters to become more specific and differentiated between each other (realistic organic representations of estimates). Consider the following example calculation refinement scenarios, then describe how to further refine these for accuracy: 
**Refinement A**  
- Notice the U3R tab, which (CALC derivative): the "Unemployment Rate" and "Authorized Unemployment Rate" Measurements mirror each other, even though the "Unemployment Rate" refers to overall unemployment rate comprised of "Unauthorized Unemployment Rate", "Authorized Unemployment Rate", and "American Unemployment Rate"; measurements should only mirror each other when accurate or accurately estimated values are recorded; 
Recreate formulae and parameters that calculate any measurements that resemble this. 
**Refinement B**  </t>
  </si>
  <si>
    <t xml:space="preserve">Alabama Labor Statistics Calculation Session</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</si>
  <si>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t>
  </si>
  <si>
    <t xml:space="preserve">https://grok.com/share/c2hhcmQtMg_31b2cba9-0fd7-4cb0-a163-e11fe3df530b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</si>
  <si>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
</t>
  </si>
  <si>
    <t xml:space="preserve">https://grok.com/share/bGVnYWN5LWNvcHk_316f106c-153c-4f0b-829f-7a8355ecb81b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</si>
  <si>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Prompt me to continue. </t>
  </si>
  <si>
    <t xml:space="preserve">Alabama Labor Statistics Formulae</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</si>
  <si>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FORM rows are being added to consume the comprehensive PARAM (parameters) – a continuation of INDEX tab INVID#5 session.  Continue generating formulae to support all metric calculations using parameters. Create 20 rowed entries before prompting me to continue to next 20. Ask me questions to clarify either instructions herein or inability to reference materials or accomplish task as intended.
</t>
  </si>
  <si>
    <t xml:space="preserve">https://grok.com/share/c2hhcmQtMi1jb3B5_9a9978e6-49f9-41d5-9b57-896863210d16</t>
  </si>
  <si>
    <t xml:space="preserve">Expand Labor Statistic Metric Formulae And Parameters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</si>
  <si>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PARAM rows are being added to support all of the formulae – a continuation of INDEX tab INVID#4 session.
Continue generating parameters to support all formulae calculations for remaining metrics. Parametered values should continue to be categorized with row headers. Create 50 rowed entries before prompting me to continue to next 50. Ask me questions to clarify either instructions herein or inability to reference materials or accomplish task as intended.</t>
  </si>
  <si>
    <t xml:space="preserve">https://grok.com/share/c2hhcmQtMg_16f7a2a6-b28c-45ad-bac9-7243cbefac56</t>
  </si>
  <si>
    <t xml:space="preserve">Expand Labor Metrics and Industry Roles</t>
  </si>
  <si>
    <t xml:space="preserve">N/A</t>
  </si>
  <si>
    <t xml:space="preserve">https://grok.com/share/bGVnYWN5LWNvcHk_9ffcfa10-bc66-492d-b499-a56dc57d6238</t>
  </si>
  <si>
    <t xml:space="preserve">Alabama, Arkansas, Florida Labor Statistics Formulae, Parameters, Calculations</t>
  </si>
  <si>
    <t xml:space="preserve">https://grok.com/share/c2hhcmQtMi1jb3B5_e3140b59-169a-487d-9539-b52e3cb64dad</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</si>
  <si>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</si>
  <si>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`LSD.REF`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</si>
  <si>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</si>
  <si>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</si>
  <si>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`LSD.REFERENCE`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</si>
  <si>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</si>
  <si>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Alabama Labor Statistics Calculations</t>
  </si>
  <si>
    <t xml:space="preserve">https://grok.com/share/c2hhcmQtMg_9fc2e9b2-bc97-4724-b16d-fc3d1e8312f2</t>
  </si>
  <si>
    <t xml:space="preserve">LSD.REF.AL.FORM</t>
  </si>
  <si>
    <t xml:space="preserve">Alabama Labor Statistic Logic Interdependent Formulae</t>
  </si>
  <si>
    <t xml:space="preserve">December, 2025</t>
  </si>
  <si>
    <t xml:space="preserve">ID</t>
  </si>
  <si>
    <t xml:space="preserve">Category</t>
  </si>
  <si>
    <t xml:space="preserve">Name</t>
  </si>
  <si>
    <t xml:space="preserve">Formula</t>
  </si>
  <si>
    <t xml:space="preserve">Description</t>
  </si>
  <si>
    <t xml:space="preserve">Notes/Edits</t>
  </si>
  <si>
    <t xml:space="preserve">LSD.REF.AL.FORM.0</t>
  </si>
  <si>
    <t xml:space="preserve">S0 - Shared/Base</t>
  </si>
  <si>
    <t xml:space="preserve">Sector Employment Total</t>
  </si>
  <si>
    <t xml:space="preserve">T_i = PARAMETERS!SECTOR_EMPLOYMENT[i] + PARAMETERS!ADJUSTMENT_FACTOR_SEC[i] + ITERATE( PARAMETERS!VARIANCE_CHECK_SEC[i] &gt; PARAMETERS!MIN_VARIANCE_TARGET ? RECONCILE_SOURCES(i) : 0 )</t>
  </si>
  <si>
    <t xml:space="preserve">BLS CES base + adjustment + variance-based reconciliation; iterative if variance high</t>
  </si>
  <si>
    <t xml:space="preserve">Enhanced with feedback loop for variance; incorporates data fusion if needed to boost precision in sparse sectors (e.g., mining).</t>
  </si>
  <si>
    <t xml:space="preserve">LSD.REF.AL.FORM.1</t>
  </si>
  <si>
    <t xml:space="preserve">Population Share Proration (Auth/Unauth/American)</t>
  </si>
  <si>
    <t xml:space="preserve">AUTH_SHARE_i = PARAMETERS!AUTH_IMMIGRANT_SHARE_SEC[i] * FORM!AUTH_IMMIGRANT_ETPR_ADJ_FACTOR; UNAUTH_SHARE_i = PARAMETERS!UNAUTH_IMMIGRANT_SHARE_SEC[i] * FORM!UNAUTH_IMMIGRANT_ETPR_ADJ_FACTOR; AMER_SHARE_i = 1 - AUTH_SHARE_i - UNAUTH_SHARE_i; APPLY_CAP( SUM(UNAUTH_SHARE_i * T_i) &gt; PARAMETERS!UNAUTH_IMMIGRANT_CAP ? PRORATE_DOWN(UNAUTH_SHARE_i) : UNAUTH_SHARE_i )</t>
  </si>
  <si>
    <t xml:space="preserve">Prorate by immigrant shares + ETPR adj + cap enforcement</t>
  </si>
  <si>
    <t xml:space="preserve">Interdependent with ETPR/LFP; added prorated cap as feedback loop to prevent overestimation, addressing conflicting sources.</t>
  </si>
  <si>
    <t xml:space="preserve">LSD.REF.AL.FORM.2</t>
  </si>
  <si>
    <t xml:space="preserve">Enhanced Data Fusion for Multi-Source Blending</t>
  </si>
  <si>
    <t xml:space="preserve">value_i = WEIGHTED_AVG( PARAMETERS!BLS_VALUE_SEC[i] * DYNAMIC_WEIGHT( PARAMETERS!ACCURACY_BLS, SOURCE_CONFIDENCE(i) ), PARAMETERS!ACS_VALUE_SEC[i] * DYNAMIC_WEIGHT( PARAMETERS!ACCURACY_ACS, SOURCE_CONFIDENCE(i) ), PARAMETERS!MPI_VALUE_SEC[i] * DYNAMIC_WEIGHT( PARAMETERS!ACCURACY_MPI, SOURCE_CONFIDENCE(i) ) ) / SUM_WEIGHTS; RECONCILE_IF_DIFF &gt; PARAMETERS!FUSION_THRESHOLD</t>
  </si>
  <si>
    <t xml:space="preserve">Dynamic weighted avg + reconciliation if sources diverge &gt; threshold</t>
  </si>
  <si>
    <t xml:space="preserve">Improved fusion with dynamic weights based on per-sector confidence; interdependent for cross-metric use, reduces uncertainty from lags.</t>
  </si>
  <si>
    <t xml:space="preserve">LSD.REF.AL.FORM.3</t>
  </si>
  <si>
    <t xml:space="preserve">Asymmetric Share Adjustment</t>
  </si>
  <si>
    <t xml:space="preserve">GROUP_SHARE_i = BASE_SHARE_i * (1 + PARAMETERS!ASYMMETRY_FACTOR_GROUP) * (1 + ERROR_BOUND( PARAMETERS!GROUP_VARIANCE[i] ))</t>
  </si>
  <si>
    <t xml:space="preserve">Adjustment for asymmetry + error bound from variance</t>
  </si>
  <si>
    <t xml:space="preserve">Independent refinement; added error bounds to handle realism without over-constraining, limiting propagation risks.</t>
  </si>
  <si>
    <t xml:space="preserve">LSD.REF.AL.FORM.4</t>
  </si>
  <si>
    <t xml:space="preserve">Iterative Calibration Target Update</t>
  </si>
  <si>
    <t xml:space="preserve">METRIC_i = RAW_METRIC_i * (PARAMETERS!PUBLIC_TARGET / AGGREGATE_RAW); ITERATE_IF( ABS(AGGREGATE_FINAL - PUBLIC_TARGET) &gt; PARAMETERS!CALIB_TOLERANCE ? RESCALE(RAW_METRIC_i) )</t>
  </si>
  <si>
    <t xml:space="preserve">Scaling + iterative rescaling if tolerance exceeded</t>
  </si>
  <si>
    <t xml:space="preserve">Enhanced feedback loop; interdependent across metrics to minimize drift, directly addressing error propagation.</t>
  </si>
  <si>
    <t xml:space="preserve">LSD.REF.AL.FORM.5</t>
  </si>
  <si>
    <t xml:space="preserve">Cross-Metric Dependency Link</t>
  </si>
  <si>
    <t xml:space="preserve">LINK_METRIC( metric_a, metric_b ) = metric_a + DEPEND_ADJ( metric_b * PARAMETERS!INTERDEPEND_FACTOR_AB )</t>
  </si>
  <si>
    <t xml:space="preserve">Adjust metric_a based on linked metric_b (e.g., LFP influences U3R)</t>
  </si>
  <si>
    <t xml:space="preserve">New interdependent addition; e.g., links LFP to U3R for consistency, incorporating recommendations for cross-metric enforcement.</t>
  </si>
  <si>
    <t xml:space="preserve">LSD.REF.AL.PARAM</t>
  </si>
  <si>
    <t xml:space="preserve">Alabama Labor Statistic Logic Interdependent Parameters</t>
  </si>
  <si>
    <t xml:space="preserve">Value</t>
  </si>
  <si>
    <t xml:space="preserve">Confidence</t>
  </si>
  <si>
    <t xml:space="preserve">Source</t>
  </si>
  <si>
    <t xml:space="preserve">Last Updated</t>
  </si>
  <si>
    <t xml:space="preserve">LSD.REF.AL.PARAM.0</t>
  </si>
  <si>
    <t xml:space="preserve">TOTAL_NONFARM_AL</t>
  </si>
  <si>
    <t xml:space="preserve">AL / Total nonfarm payroll employment (persons)</t>
  </si>
  <si>
    <t xml:space="preserve">High</t>
  </si>
  <si>
    <t xml:space="preserve">BLS CES December 2025 (revised)</t>
  </si>
  <si>
    <t xml:space="preserve">February 2026</t>
  </si>
  <si>
    <t xml:space="preserve">LSD.REF.AL.PARAM.1</t>
  </si>
  <si>
    <t xml:space="preserve">AG_EMPLOYMENT_AL</t>
  </si>
  <si>
    <t xml:space="preserve">AL / Agriculture employment (persons)</t>
  </si>
  <si>
    <t xml:space="preserve">Medium-High</t>
  </si>
  <si>
    <t xml:space="preserve">BLS CES + ACS/QCEW adjustment</t>
  </si>
  <si>
    <t xml:space="preserve">LSD.REF.AL.PARAM.2</t>
  </si>
  <si>
    <t xml:space="preserve">MIN_LOG_EMPLOYMENT_AL</t>
  </si>
  <si>
    <t xml:space="preserve">AL / Mining and logging employment (persons)</t>
  </si>
  <si>
    <t xml:space="preserve">BLS CES December 2025</t>
  </si>
  <si>
    <t xml:space="preserve">LSD.REF.AL.PARAM.3</t>
  </si>
  <si>
    <t xml:space="preserve">CONSTR_EMPLOYMENT_AL</t>
  </si>
  <si>
    <t xml:space="preserve">AL / Construction employment (persons)</t>
  </si>
  <si>
    <t xml:space="preserve">LSD.REF.AL.PARAM.4</t>
  </si>
  <si>
    <t xml:space="preserve">MANU_EMPLOYMENT_AL</t>
  </si>
  <si>
    <t xml:space="preserve">AL / Manufacturing employment (persons)</t>
  </si>
  <si>
    <t xml:space="preserve">LSD.REF.AL.PARAM.5</t>
  </si>
  <si>
    <t xml:space="preserve">TRADE_TRANS_UTIL_EMPLOYMENT_AL</t>
  </si>
  <si>
    <t xml:space="preserve">AL / Trade, Transportation, Utilities (persons)</t>
  </si>
  <si>
    <t xml:space="preserve">LSD.REF.AL.PARAM.6</t>
  </si>
  <si>
    <t xml:space="preserve">INFO_EMPLOYMENT_AL</t>
  </si>
  <si>
    <t xml:space="preserve">AL / Information employment (persons)</t>
  </si>
  <si>
    <t xml:space="preserve">LSD.REF.AL.PARAM.7</t>
  </si>
  <si>
    <t xml:space="preserve">FIN_EMPLOYMENT_AL</t>
  </si>
  <si>
    <t xml:space="preserve">AL / Financial Activities employment (persons)</t>
  </si>
  <si>
    <t xml:space="preserve">LSD.REF.AL.PARAM.8</t>
  </si>
  <si>
    <t xml:space="preserve">PROF_BUS_EMPLOYMENT_AL</t>
  </si>
  <si>
    <t xml:space="preserve">AL / Professional and Business Services (persons)</t>
  </si>
  <si>
    <t xml:space="preserve">LSD.REF.AL.PARAM.9</t>
  </si>
  <si>
    <t xml:space="preserve">ED_HEALTH_EMPLOYMENT_AL</t>
  </si>
  <si>
    <t xml:space="preserve">AL / Education and Health Services (persons)</t>
  </si>
  <si>
    <t xml:space="preserve">LSD.REF.AL.PARAM.10</t>
  </si>
  <si>
    <t xml:space="preserve">LEIS_HOSP_EMPLOYMENT_AL</t>
  </si>
  <si>
    <t xml:space="preserve">AL / Leisure and Hospitality employment (persons)</t>
  </si>
  <si>
    <t xml:space="preserve">LSD.REF.AL.PARAM.11</t>
  </si>
  <si>
    <t xml:space="preserve">OTHER_SERV_EMPLOYMENT_AL</t>
  </si>
  <si>
    <t xml:space="preserve">AL / Other services employment (persons)</t>
  </si>
  <si>
    <t xml:space="preserve">LSD.REF.AL.PARAM.12</t>
  </si>
  <si>
    <t xml:space="preserve">GOV_EMPLOYMENT_AL</t>
  </si>
  <si>
    <t xml:space="preserve">AL / Government employment (persons)</t>
  </si>
  <si>
    <t xml:space="preserve">LSD.REF.AL.PARAM.13</t>
  </si>
  <si>
    <t xml:space="preserve">UNAUTH_IMMIGRANT_CAP</t>
  </si>
  <si>
    <t xml:space="preserve">AL / Unauthorized immigrant labor force cap (persons; dynamic adj)</t>
  </si>
  <si>
    <t xml:space="preserve">MPI/ACS/Pew 2023-2025 + 2026 proj.</t>
  </si>
  <si>
    <t xml:space="preserve">LSD.REF.AL.PARAM.14</t>
  </si>
  <si>
    <t xml:space="preserve">MIN_VARIANCE_TARGET</t>
  </si>
  <si>
    <t xml:space="preserve">Minimum variance threshold (persons) for group metrics</t>
  </si>
  <si>
    <t xml:space="preserve">Derived from OEWS/ACS variability</t>
  </si>
  <si>
    <t xml:space="preserve">LSD.REF.AL.PARAM.15</t>
  </si>
  <si>
    <t xml:space="preserve">FUSION_THRESHOLD</t>
  </si>
  <si>
    <t xml:space="preserve">Threshold for source reconciliation in fusion (decimal)</t>
  </si>
  <si>
    <t xml:space="preserve">Internal calibration</t>
  </si>
  <si>
    <t xml:space="preserve">LSD.REF.AL.PARAM.16</t>
  </si>
  <si>
    <t xml:space="preserve">CALIB_TOLERANCE</t>
  </si>
  <si>
    <t xml:space="preserve">Tolerance for iterative calibration (decimal)</t>
  </si>
  <si>
    <t xml:space="preserve">LSD.REF.AL.PARAM.17</t>
  </si>
  <si>
    <t xml:space="preserve">CIV_POP_TOTAL</t>
  </si>
  <si>
    <t xml:space="preserve">AL / Civilian noninstitutional population 16+ (persons)</t>
  </si>
  <si>
    <t xml:space="preserve">BLS/Census December 2025 (revised)</t>
  </si>
  <si>
    <t xml:space="preserve">LSD.REF.AL.PARAM.18</t>
  </si>
  <si>
    <t xml:space="preserve">CIV_POP_AUTH</t>
  </si>
  <si>
    <t xml:space="preserve">AL / Authorized immigrant civilian population 16+ (persons)</t>
  </si>
  <si>
    <t xml:space="preserve">MPI/ACS/FWD.us 2023-2026 estimates</t>
  </si>
  <si>
    <t xml:space="preserve">LSD.REF.AL.PARAM.19</t>
  </si>
  <si>
    <t xml:space="preserve">CIV_POP_UNAUTH</t>
  </si>
  <si>
    <t xml:space="preserve">AL / Unauthorized immigrant civilian population 16+ (persons)</t>
  </si>
  <si>
    <t xml:space="preserve">Medium</t>
  </si>
  <si>
    <t xml:space="preserve">MPI/Pew 2023-2026 estimates</t>
  </si>
  <si>
    <t xml:space="preserve">LSD.REF.AL.PARAM.20</t>
  </si>
  <si>
    <t xml:space="preserve">CIV_POP_AMER</t>
  </si>
  <si>
    <t xml:space="preserve">AL / American civilian population 16+ (persons)</t>
  </si>
  <si>
    <t xml:space="preserve">Residual (updated)</t>
  </si>
  <si>
    <t xml:space="preserve">LSD.REF.AL.PARAM.21</t>
  </si>
  <si>
    <t xml:space="preserve">BLS_ETPR_STATE_TARGET</t>
  </si>
  <si>
    <t xml:space="preserve">AL / Statewide employment-to-population ratio target (decimal)</t>
  </si>
  <si>
    <t xml:space="preserve">BLS LAUS December 2025 (revised)</t>
  </si>
  <si>
    <t xml:space="preserve">LSD.REF.AL.PARAM.22</t>
  </si>
  <si>
    <t xml:space="preserve">AUTH_IMMIGRANT_ETPR_ADJ_FACTOR</t>
  </si>
  <si>
    <t xml:space="preserve">Adjustment factor for authorized immigrants in ETPR</t>
  </si>
  <si>
    <t xml:space="preserve">Derived from MPI/ACS patterns</t>
  </si>
  <si>
    <t xml:space="preserve">LSD.REF.AL.PARAM.23</t>
  </si>
  <si>
    <t xml:space="preserve">UNAUTH_IMMIGRANT_ETPR_ADJ_FACTOR</t>
  </si>
  <si>
    <t xml:space="preserve">Adjustment factor for unauthorized immigrants in ETPR</t>
  </si>
  <si>
    <t xml:space="preserve">Derived from Pew/MPI consensus</t>
  </si>
  <si>
    <t xml:space="preserve">LSD.REF.AL.PARAM.24</t>
  </si>
  <si>
    <t xml:space="preserve">INTERDEPEND_FACTOR_LFP_U3R</t>
  </si>
  <si>
    <t xml:space="preserve">Factor for LFP-U3R cross-dependency (decimal)</t>
  </si>
  <si>
    <t xml:space="preserve">Derived from LAUS patterns</t>
  </si>
  <si>
    <t xml:space="preserve">LSD.RID.0.AL.CALC</t>
  </si>
  <si>
    <t xml:space="preserve">Labor Sector (LS)</t>
  </si>
  <si>
    <t xml:space="preserve">Employment-to-Population Ratio (ETPR)</t>
  </si>
  <si>
    <t xml:space="preserve">Labor Force Participation Rate (LFPR)</t>
  </si>
  <si>
    <t xml:space="preserve">Unemployment Rate (U3R)</t>
  </si>
  <si>
    <t xml:space="preserve">Underemployment Rate (U6R)</t>
  </si>
  <si>
    <t xml:space="preserve">Wage Average (WAVG)</t>
  </si>
  <si>
    <t xml:space="preserve">Annual Income Average (AIAVG)</t>
  </si>
  <si>
    <t xml:space="preserve">Authorized Immigrant Wage Average (AIWAVG)</t>
  </si>
  <si>
    <t xml:space="preserve">Authorized Immigrant Annual Income Average (AIAIAVG)</t>
  </si>
  <si>
    <t xml:space="preserve">Unauthorized Immigrant Wage Average (UIWAVG)</t>
  </si>
  <si>
    <t xml:space="preserve">Unauthorized Immigrant Annual Income Average (UIAIAVG)</t>
  </si>
  <si>
    <t xml:space="preserve">American Wage Average (AWAVG)</t>
  </si>
  <si>
    <t xml:space="preserve">American Annual Income Average (AAIAVG)</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</si>
  <si>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</si>
  <si>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</si>
  <si>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</si>
  <si>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</si>
  <si>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American Opportunity Tax Credit Refund (AOTCREF)</t>
  </si>
  <si>
    <t xml:space="preserve">Employed Population (EP)</t>
  </si>
  <si>
    <t xml:space="preserve">Average Weekly Hours Worked (AWHW)</t>
  </si>
  <si>
    <t xml:space="preserve">Full-Time Employment Rate (FTER)</t>
  </si>
  <si>
    <t xml:space="preserve">Part-Time Employment Rate (PTER)</t>
  </si>
  <si>
    <t xml:space="preserve">Job Tenure Average (JTA)</t>
  </si>
  <si>
    <t xml:space="preserve">Turnover Rate (TR)</t>
  </si>
  <si>
    <t xml:space="preserve">Labor Productivity (LP)</t>
  </si>
  <si>
    <t xml:space="preserve">Education Level Required (ELR)</t>
  </si>
  <si>
    <t xml:space="preserve">State/Local Tax Revenue (SLTR)</t>
  </si>
  <si>
    <t xml:space="preserve">Social Security/Medicare Contributions (SSMC)</t>
  </si>
  <si>
    <t xml:space="preserve">Public Assistance Usage Rate (PAUR)</t>
  </si>
  <si>
    <t xml:space="preserve">LSID</t>
  </si>
  <si>
    <t xml:space="preserve">NAICS</t>
  </si>
  <si>
    <t xml:space="preserve">Labor Sector</t>
  </si>
  <si>
    <t xml:space="preserve">Authorized Immigrant Employment-to-Population Ratio</t>
  </si>
  <si>
    <t xml:space="preserve">Unauthorized Immigrant Employment-to-Population Ratio</t>
  </si>
  <si>
    <t xml:space="preserve">American Employment-to-Population Ratio</t>
  </si>
  <si>
    <t xml:space="preserve">Authorized Immigrant Labor Force Participation Rate (LFPR)</t>
  </si>
  <si>
    <t xml:space="preserve">Unauthorized Immigrant Labor Force Participation Rate (LFPR)</t>
  </si>
  <si>
    <t xml:space="preserve">American Labor Force Participation Rate (LFPR)</t>
  </si>
  <si>
    <t xml:space="preserve">Authorized Immigrant Unemployment Rate</t>
  </si>
  <si>
    <t xml:space="preserve">Unauthorized Immigrant Unemployment Rate</t>
  </si>
  <si>
    <t xml:space="preserve">American Unemployment Rate</t>
  </si>
  <si>
    <t xml:space="preserve">Authorized Immigrant Underemployment Rate</t>
  </si>
  <si>
    <t xml:space="preserve">Unauthorized Immigrant Underemployment Rate</t>
  </si>
  <si>
    <t xml:space="preserve">American Underemployment Rate</t>
  </si>
  <si>
    <t xml:space="preserve">Wage Average ($ /hr)</t>
  </si>
  <si>
    <t xml:space="preserve">Wage Min ($ /hr)</t>
  </si>
  <si>
    <t xml:space="preserve">Wage Max ($ /hr)</t>
  </si>
  <si>
    <t xml:space="preserve">Annual Income Average ($)</t>
  </si>
  <si>
    <t xml:space="preserve">Annual Income Min ($)</t>
  </si>
  <si>
    <t xml:space="preserve">Annual Income Max ($)</t>
  </si>
  <si>
    <t xml:space="preserve">Authorized Immigrant Wage Average ($ /hr)</t>
  </si>
  <si>
    <t xml:space="preserve">Authorized Immigrant Wage Min ($ /hr)</t>
  </si>
  <si>
    <t xml:space="preserve">Authorized Immigrant Wage Max ($ /hr)</t>
  </si>
  <si>
    <t xml:space="preserve">Authorized Immigrant Annual Income Average ($)</t>
  </si>
  <si>
    <t xml:space="preserve">Authorized Immigrant Annual Income Min ($)</t>
  </si>
  <si>
    <t xml:space="preserve">Authorized Immigrant Annual Income Max ($)</t>
  </si>
  <si>
    <t xml:space="preserve">Unauthorized Immigrant Wage Average ($ /hr)</t>
  </si>
  <si>
    <t xml:space="preserve">Unauthorized Immigrant Wage Min ($ /hr)</t>
  </si>
  <si>
    <t xml:space="preserve">Unauthorized Immigrant Wage Max ($ /hr)</t>
  </si>
  <si>
    <t xml:space="preserve">Unauthorized Immigrant Annual Income Average ($)</t>
  </si>
  <si>
    <t xml:space="preserve">Unauthorized Immigrant Annual Income Min ($)</t>
  </si>
  <si>
    <t xml:space="preserve">Unauthorized Immigrant Annual Income Max ($)</t>
  </si>
  <si>
    <t xml:space="preserve">American Wage Average ($ /hr)</t>
  </si>
  <si>
    <t xml:space="preserve">American Wage Min ($ /hr)</t>
  </si>
  <si>
    <t xml:space="preserve">American Wage Max ($ /hr)</t>
  </si>
  <si>
    <t xml:space="preserve">American Annual Income Average ($)</t>
  </si>
  <si>
    <t xml:space="preserve">American Annual Income Min ($)</t>
  </si>
  <si>
    <t xml:space="preserve">American Annual Income Max ($)</t>
  </si>
  <si>
    <t xml:space="preserve">Federal Personal Income Tax Revenue ($)</t>
  </si>
  <si>
    <t xml:space="preserve">Authorized Immigrant Federal Personal Income Tax Revenue ($)</t>
  </si>
  <si>
    <t xml:space="preserve">Unauthorized Immigrant Federal Personal Income Tax Revenue ($)</t>
  </si>
  <si>
    <t xml:space="preserve">American Federal Personal Income Tax Revenue ($)</t>
  </si>
  <si>
    <t xml:space="preserve">Payroll Tax Revenue ($)</t>
  </si>
  <si>
    <t xml:space="preserve">Authorized Immigrant Payroll Tax Revenue ($)</t>
  </si>
  <si>
    <t xml:space="preserve">Unauthorized Immigrant Payroll Tax Revenue ($)</t>
  </si>
  <si>
    <t xml:space="preserve">American Payroll Tax Revenue ($)</t>
  </si>
  <si>
    <t xml:space="preserve">EITC Credit Refund</t>
  </si>
  <si>
    <t xml:space="preserve">Authorized Immigrant EITC Credit Refund</t>
  </si>
  <si>
    <t xml:space="preserve">Unauthorized Immigrant EITC Credit Refund</t>
  </si>
  <si>
    <t xml:space="preserve">American EITC Refund</t>
  </si>
  <si>
    <t xml:space="preserve">ACTC Refund</t>
  </si>
  <si>
    <t xml:space="preserve">Authorized Immigrant ACTC Refund</t>
  </si>
  <si>
    <t xml:space="preserve">Unauthorized Immigrant ACTC Refund</t>
  </si>
  <si>
    <t xml:space="preserve">American Tax ACTC Refund</t>
  </si>
  <si>
    <t xml:space="preserve">AOTC Refund</t>
  </si>
  <si>
    <t xml:space="preserve">Authorized Immigrant AOTC Refund</t>
  </si>
  <si>
    <t xml:space="preserve">Unauthorized Immigrant AOTC Refund</t>
  </si>
  <si>
    <t xml:space="preserve">American Tax AOTC Refund</t>
  </si>
  <si>
    <t xml:space="preserve">Authorized Immigrant Employed Population</t>
  </si>
  <si>
    <t xml:space="preserve">Unauthorized Immigrant Employed Population</t>
  </si>
  <si>
    <t xml:space="preserve">American Employed Population</t>
  </si>
  <si>
    <t xml:space="preserve">Authorized Immigrant Average Weekly Hours Worked</t>
  </si>
  <si>
    <t xml:space="preserve">Unauthorized Immigrant Average Weekly Hours Worked</t>
  </si>
  <si>
    <t xml:space="preserve">American Average Weekly Hours Worked</t>
  </si>
  <si>
    <t xml:space="preserve">AWHW Min Hours</t>
  </si>
  <si>
    <t xml:space="preserve">AWHW Max Hours</t>
  </si>
  <si>
    <t xml:space="preserve">Authorized Immigrant Full-Time Employment Rate</t>
  </si>
  <si>
    <t xml:space="preserve">Unauthorized Immigrant Full-Time Employment Rate</t>
  </si>
  <si>
    <t xml:space="preserve">American Full-Time Employment Rate</t>
  </si>
  <si>
    <t xml:space="preserve">Authorized Immigrant Part-Time Employment Rate</t>
  </si>
  <si>
    <t xml:space="preserve">Unauthorized Immigrant Part-Time Employment Rate</t>
  </si>
  <si>
    <t xml:space="preserve">American Part-Time Employment Rate</t>
  </si>
  <si>
    <t xml:space="preserve">Job Tenure Average (years)</t>
  </si>
  <si>
    <t xml:space="preserve">Authorized Immigrant Job Tenure Average</t>
  </si>
  <si>
    <t xml:space="preserve">Unauthorized Immigrant Job Tenure Average</t>
  </si>
  <si>
    <t xml:space="preserve">American Job Tenure Average</t>
  </si>
  <si>
    <t xml:space="preserve">JTA Min Tenure</t>
  </si>
  <si>
    <t xml:space="preserve">JTA Max Tenure</t>
  </si>
  <si>
    <t xml:space="preserve">Authorized Immigrant Turnover Rate</t>
  </si>
  <si>
    <t xml:space="preserve">Unauthorized Immigrant Turnover Rate</t>
  </si>
  <si>
    <t xml:space="preserve">American Turnover Rate</t>
  </si>
  <si>
    <t xml:space="preserve">Labor Productivity ($/hr)</t>
  </si>
  <si>
    <t xml:space="preserve">Authorized Immigrant Labor Productivity</t>
  </si>
  <si>
    <t xml:space="preserve">Unauthorized Immigrant Labor Productivity</t>
  </si>
  <si>
    <t xml:space="preserve">American Labor Productivity</t>
  </si>
  <si>
    <t xml:space="preserve">Education Level Required Average</t>
  </si>
  <si>
    <t xml:space="preserve">Authorized Immigrant Education Level Average</t>
  </si>
  <si>
    <t xml:space="preserve">Unauthorized Immigrant Education Level Average</t>
  </si>
  <si>
    <t xml:space="preserve">American Education Level Average</t>
  </si>
  <si>
    <t xml:space="preserve">State/Local Tax Revenue ($)</t>
  </si>
  <si>
    <t xml:space="preserve">Authorized Immigrant State/Local Tax Revenue</t>
  </si>
  <si>
    <t xml:space="preserve">Unauthorized Immigrant State/Local Tax Revenue</t>
  </si>
  <si>
    <t xml:space="preserve">American State/Local Tax Revenue</t>
  </si>
  <si>
    <t xml:space="preserve">Social Security/Medicare Contributions ($)</t>
  </si>
  <si>
    <t xml:space="preserve">Authorized Immigrant Social Security/Medicare Contributions</t>
  </si>
  <si>
    <t xml:space="preserve">Unauthorized Immigrant Social Security/Medicare Contributions</t>
  </si>
  <si>
    <t xml:space="preserve">American Social Security/Medicare Contributions</t>
  </si>
  <si>
    <t xml:space="preserve">Authorized Immigrant Public Assistance Usage Rate</t>
  </si>
  <si>
    <t xml:space="preserve">Unauthorized Immigrant Public Assistance Usage Rate</t>
  </si>
  <si>
    <t xml:space="preserve">American Public Assistance Usage Rate</t>
  </si>
  <si>
    <t xml:space="preserve">~</t>
  </si>
  <si>
    <t xml:space="preserve">All Industries</t>
  </si>
  <si>
    <t xml:space="preserve">Agriculture, Forestry, 
Fishing and Hunting</t>
  </si>
  <si>
    <t xml:space="preserve">Mining, Quarrying, and 
Oil and Gas Extraction</t>
  </si>
  <si>
    <t xml:space="preserve">Utilities</t>
  </si>
  <si>
    <t xml:space="preserve">Construction</t>
  </si>
  <si>
    <t xml:space="preserve">Manufacturing 
(Food, Textile, etc.)</t>
  </si>
  <si>
    <t xml:space="preserve">Manufacturing (Wood,
Paper, Printing, etc.)</t>
  </si>
  <si>
    <t xml:space="preserve">Manufacturing (Machinery, 
Transport, etc.)</t>
  </si>
  <si>
    <t xml:space="preserve">Wholesale Trade</t>
  </si>
  <si>
    <t xml:space="preserve">Retail Trade (Motor 
Vehicle, Electronics, etc.)</t>
  </si>
  <si>
    <t xml:space="preserve">Retail Trade (Food, Clothing, 
General Merchandise, etc.)</t>
  </si>
  <si>
    <t xml:space="preserve">Transportation</t>
  </si>
  <si>
    <t xml:space="preserve">Warehousing and Storage</t>
  </si>
  <si>
    <t xml:space="preserve">Information</t>
  </si>
  <si>
    <t xml:space="preserve">Finance and Insurance</t>
  </si>
  <si>
    <t xml:space="preserve">Real Estate and 
Rental and Leasing</t>
  </si>
  <si>
    <t xml:space="preserve">Professional, Scientific, 
and Technical Services</t>
  </si>
  <si>
    <t xml:space="preserve">Administrative and Support 
and Waste Management 
and Remediation Services</t>
  </si>
  <si>
    <t xml:space="preserve">Educational Services</t>
  </si>
  <si>
    <t xml:space="preserve">Health Care and 
Social Assistance</t>
  </si>
  <si>
    <t xml:space="preserve">Arts, Entertainment, 
and Recreation</t>
  </si>
  <si>
    <t xml:space="preserve">Accommodation 
and Food Services</t>
  </si>
  <si>
    <t xml:space="preserve">Other Services (except 
Public Administration)</t>
  </si>
  <si>
    <t xml:space="preserve">Public Administration</t>
  </si>
  <si>
    <t xml:space="preserve">LSD.RID.0.AL.LFP</t>
  </si>
  <si>
    <t xml:space="preserve">Alabama Labor Force Population</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</si>
  <si>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</si>
  <si>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Labor Force Population (LFP)</t>
  </si>
  <si>
    <t xml:space="preserve">Overall LFP</t>
  </si>
  <si>
    <t xml:space="preserve">Authorized LFP</t>
  </si>
  <si>
    <t xml:space="preserve">Unauthorized LFP</t>
  </si>
  <si>
    <t xml:space="preserve">American LFP</t>
  </si>
  <si>
    <t xml:space="preserve">LSD.RID.0.AL.LFP.FORM.0</t>
  </si>
  <si>
    <t xml:space="preserve">LFP - Base</t>
  </si>
  <si>
    <t xml:space="preserve">Sector LFP Total</t>
  </si>
  <si>
    <t xml:space="preserve">LFP_i = (PARAMETERS!SECTOR_EMPLOYMENT[i] / PARAMETERS!ETPR_STATE_TARGET) + PARAMETERS!ADJUSTMENT_FACTOR_SEC[i] * (1 + LINK_METRIC( PARAMETERS!UNEMPLOYMENT_ADJ_SEC[i], U3R_i ) )</t>
  </si>
  <si>
    <t xml:space="preserve">Prorate + unemployment buffer linked to U3R</t>
  </si>
  <si>
    <t xml:space="preserve">Interdependent link added; feedback from U3R reduces error in volatile sectors.</t>
  </si>
  <si>
    <t xml:space="preserve">Updated with ACS 2024-2025 LFPR derivation</t>
  </si>
  <si>
    <t xml:space="preserve">LSD.RID.0.AL.LFP.FORM.1</t>
  </si>
  <si>
    <t xml:space="preserve">LFP - Group</t>
  </si>
  <si>
    <t xml:space="preserve">Group LFP Proration (Auth/Unauth/American)</t>
  </si>
  <si>
    <t xml:space="preserve">AUTH_LFP_i = LFP_i * FORM!AUTH_SHARE_i * FORM!AUTH_IMMIGRANT_ETPR_ADJ_FACTOR; UNAUTH_LFP_i = LFP_i * FORM!UNAUTH_SHARE_i * FORM!UNAUTH_IMMIGRANT_ETPR_ADJ_FACTOR; AMER_LFP_i = LFP_i - AUTH_LFP_i - UNAUTH_LFP_i; ITERATE_CAP( UNAUTH_LFP_total &gt; PARAMETERS!UNAUTH_IMMIGRANT_CAP )</t>
  </si>
  <si>
    <t xml:space="preserve">Split + ETPR adj + iterative cap</t>
  </si>
  <si>
    <t xml:space="preserve">Enhanced loop for cap; interdependent with shares to handle conflicts.</t>
  </si>
  <si>
    <t xml:space="preserve">Uses S0.2; adjusted with ACS immigrant occupation data</t>
  </si>
  <si>
    <t xml:space="preserve">LSD.RID.0.AL.LFP.FORM.2</t>
  </si>
  <si>
    <t xml:space="preserve">LFP - Fusion</t>
  </si>
  <si>
    <t xml:space="preserve">LFP Data Fusion</t>
  </si>
  <si>
    <t xml:space="preserve">LFP_i_fused = FORM!enhanced_value_i (with BLS/ACS/MPI; threshold check)</t>
  </si>
  <si>
    <t xml:space="preserve">Dynamic weighted avg + threshold reconciliation</t>
  </si>
  <si>
    <t xml:space="preserve">Uses updated shared fusion; independent threshold for LFP-specific precision.</t>
  </si>
  <si>
    <t xml:space="preserve">Uses S0.2; capped by P078, derived higher in worker roles per MPI</t>
  </si>
  <si>
    <t xml:space="preserve">LSD.RID.0.AL.LFP.FORM.3</t>
  </si>
  <si>
    <t xml:space="preserve">LFP - Adjustment</t>
  </si>
  <si>
    <t xml:space="preserve">Asymmetric LFP Adjustment</t>
  </si>
  <si>
    <t xml:space="preserve">GROUP_LFP_i = BASE_LFP_i * (1 + PARAMETERS!ASYMMETRY_FACTOR_GROUP_LFP) * SIMPLIFY_VARIANCE( PARAMETERS!LFP_VARIANCE_SEC[i] )</t>
  </si>
  <si>
    <t xml:space="preserve">Adjust + simplified variance term</t>
  </si>
  <si>
    <t xml:space="preserve">Independent simplification; reduces complexity while adding variance tuning.</t>
  </si>
  <si>
    <t xml:space="preserve">Exact subtraction for consistency</t>
  </si>
  <si>
    <t xml:space="preserve">LSD.RID.0.AL.LFP.FORM.4</t>
  </si>
  <si>
    <t xml:space="preserve">LFP - Calibration</t>
  </si>
  <si>
    <t xml:space="preserve">LFP Calibration to Target</t>
  </si>
  <si>
    <t xml:space="preserve">FINAL_LFP_i = RAW_LFP_i * (PARAMETERS!BLS_LABOR_FORCE_TARGET / SUM(RAW_LFP_all)); ITERATE_IF_TOLERANCE_EXCEEDED</t>
  </si>
  <si>
    <t xml:space="preserve">Scale + iterative check</t>
  </si>
  <si>
    <t xml:space="preserve">Feedback loop enhanced with tolerance param for better convergence.</t>
  </si>
  <si>
    <t xml:space="preserve">Applied last for BLS/QCEW match; role-adjusted</t>
  </si>
  <si>
    <t xml:space="preserve">LSD.RID.0.AL.LFP.FORM.5</t>
  </si>
  <si>
    <t xml:space="preserve">LFP - Cross-Link</t>
  </si>
  <si>
    <t xml:space="preserve">LFP-U3R Dependency</t>
  </si>
  <si>
    <t xml:space="preserve">LFP_ADJ_i = LFP_i + DEPEND_ADJ( U3R_i * PARAMETERS!INTERDEPEND_FACTOR_LFP_U3R )</t>
  </si>
  <si>
    <t xml:space="preserve">Adjust LFP based on U3R dependency</t>
  </si>
  <si>
    <t xml:space="preserve">New interdependent; enforces consistency across metrics per recommendations.</t>
  </si>
  <si>
    <t xml:space="preserve">LSD.RID.0.AL.LFP.PARAM.0</t>
  </si>
  <si>
    <t xml:space="preserve">BLS_LABOR_FORCE_TARGET</t>
  </si>
  <si>
    <t xml:space="preserve">AL / Statewide labor force target (persons)</t>
  </si>
  <si>
    <t xml:space="preserve">LSD.RID.0.AL.LFP.PARAM.1</t>
  </si>
  <si>
    <t xml:space="preserve">AG_UNEMPLOYMENT_ADJ</t>
  </si>
  <si>
    <t xml:space="preserve">Adjustment factor for unemployment in Agriculture (decimal)</t>
  </si>
  <si>
    <t xml:space="preserve">ACS/QCEW + JOLTS patterns</t>
  </si>
  <si>
    <t xml:space="preserve">LSD.RID.0.AL.LFP.PARAM.2</t>
  </si>
  <si>
    <t xml:space="preserve">MIN_LOG_UNEMPLOYMENT_ADJ</t>
  </si>
  <si>
    <t xml:space="preserve">Adjustment factor for unemployment in Mining/Logging (decimal)</t>
  </si>
  <si>
    <t xml:space="preserve">BLS JOLTS December 2025</t>
  </si>
  <si>
    <t xml:space="preserve">LSD.RID.0.AL.LFP.PARAM.3</t>
  </si>
  <si>
    <t xml:space="preserve">CONSTR_UNEMPLOYMENT_ADJ</t>
  </si>
  <si>
    <t xml:space="preserve">Adjustment factor for unemployment in Construction (decimal)</t>
  </si>
  <si>
    <t xml:space="preserve">BLS LAUS/ACS December 2025</t>
  </si>
  <si>
    <t xml:space="preserve">LSD.RID.0.AL.LFP.PARAM.4</t>
  </si>
  <si>
    <t xml:space="preserve">MANU_UNEMPLOYMENT_ADJ</t>
  </si>
  <si>
    <t xml:space="preserve">Adjustment factor for unemployment in Manufacturing (decimal)</t>
  </si>
  <si>
    <t xml:space="preserve">BLS LAUS December 2025</t>
  </si>
  <si>
    <t xml:space="preserve">LSD.RID.0.AL.LFP.PARAM.5</t>
  </si>
  <si>
    <t xml:space="preserve">TRADE_TRANS_UTIL_UNEMPLOYMENT_ADJ</t>
  </si>
  <si>
    <t xml:space="preserve">Adjustment factor for unemployment in Trade/Trans/Utilities (dec.)</t>
  </si>
  <si>
    <t xml:space="preserve">LSD.RID.0.AL.LFP.PARAM.6</t>
  </si>
  <si>
    <t xml:space="preserve">INFO_UNEMPLOYMENT_ADJ</t>
  </si>
  <si>
    <t xml:space="preserve">Adjustment factor for unemployment in Information (decimal)</t>
  </si>
  <si>
    <t xml:space="preserve">ACS-derived</t>
  </si>
  <si>
    <t xml:space="preserve">LSD.RID.0.AL.LFP.PARAM.7</t>
  </si>
  <si>
    <t xml:space="preserve">FIN_UNEMPLOYMENT_ADJ</t>
  </si>
  <si>
    <t xml:space="preserve">Adjustment factor for unemployment in Financial Activities (dec.)</t>
  </si>
  <si>
    <t xml:space="preserve">LSD.RID.0.AL.LFP.PARAM.8</t>
  </si>
  <si>
    <t xml:space="preserve">PROF_BUS_UNEMPLOYMENT_ADJ</t>
  </si>
  <si>
    <t xml:space="preserve">Adjustment factor for unemployment in Prof/Business Services (dec.)</t>
  </si>
  <si>
    <t xml:space="preserve">LSD.RID.0.AL.LFP.PARAM.9</t>
  </si>
  <si>
    <t xml:space="preserve">ED_HEALTH_UNEMPLOYMENT_ADJ</t>
  </si>
  <si>
    <t xml:space="preserve">Adjustment factor for unemployment in Ed/Health Services (decimal)</t>
  </si>
  <si>
    <t xml:space="preserve">LSD.RID.0.AL.LFP.PARAM.10</t>
  </si>
  <si>
    <t xml:space="preserve">LEIS_HOSP_UNEMPLOYMENT_ADJ</t>
  </si>
  <si>
    <t xml:space="preserve">Adjustment factor for unemployment in Leisure/Hospitality (dec.)</t>
  </si>
  <si>
    <t xml:space="preserve">LSD.RID.0.AL.LFP.PARAM.11</t>
  </si>
  <si>
    <t xml:space="preserve">OTHER_SERV_UNEMPLOYMENT_ADJ</t>
  </si>
  <si>
    <t xml:space="preserve">Adjustment factor for unemployment in Other Services (decimal)</t>
  </si>
  <si>
    <t xml:space="preserve">LSD.RID.0.AL.LFP.PARAM.12</t>
  </si>
  <si>
    <t xml:space="preserve">GOV_UNEMPLOYMENT_ADJ</t>
  </si>
  <si>
    <t xml:space="preserve">Adjustment factor for unemployment in Government (decimal)</t>
  </si>
  <si>
    <t xml:space="preserve">LSD.RID.0.AL.LFP.PARAM.13</t>
  </si>
  <si>
    <t xml:space="preserve">ASYMMETRY_FACTOR_AUTH_LFP</t>
  </si>
  <si>
    <t xml:space="preserve">Asymmetry adjustment for authorized immigrants in LFP (decimal)</t>
  </si>
  <si>
    <t xml:space="preserve">MPI/ACS patterns</t>
  </si>
  <si>
    <t xml:space="preserve">LSD.RID.0.AL.LFP.PARAM.14</t>
  </si>
  <si>
    <t xml:space="preserve">ASYMMETRY_FACTOR_UNAUTH_LFP</t>
  </si>
  <si>
    <t xml:space="preserve">Asymmetry adjustment for unauthorized immigrants in LFP (decimal)</t>
  </si>
  <si>
    <t xml:space="preserve">Pew/MPI consensus</t>
  </si>
  <si>
    <t xml:space="preserve">LSD.RID.0.AL.LFP.PARAM.15</t>
  </si>
  <si>
    <t xml:space="preserve">ACCURACY_BLS_LFP</t>
  </si>
  <si>
    <t xml:space="preserve">Accuracy weight for BLS in LFP fusion (decimal)</t>
  </si>
  <si>
    <t xml:space="preserve">Internal calibration (refined)</t>
  </si>
  <si>
    <t xml:space="preserve">LSD.RID.0.AL.LFP.PARAM.16</t>
  </si>
  <si>
    <t xml:space="preserve">ACCURACY_ACS_LFP</t>
  </si>
  <si>
    <t xml:space="preserve">Accuracy weight for ACS in LFP fusion (decimal)</t>
  </si>
  <si>
    <t xml:space="preserve">LSD.RID.0.AL.LFP.PARAM.17</t>
  </si>
  <si>
    <t xml:space="preserve">ACCURACY_MPI_LFP</t>
  </si>
  <si>
    <t xml:space="preserve">Accuracy weight for MPI in LFP fusion (decimal)</t>
  </si>
  <si>
    <t xml:space="preserve">LSD.RID.0.AL.LFP.PARAM.18</t>
  </si>
  <si>
    <t xml:space="preserve">AUTH_IMMIGRANT_SHARE_AG</t>
  </si>
  <si>
    <t xml:space="preserve">Authorized immigrant share in Agriculture (decimal)</t>
  </si>
  <si>
    <t xml:space="preserve">MPI/ACS 2025-2026 estimates</t>
  </si>
  <si>
    <t xml:space="preserve">LSD.RID.0.AL.LFP.PARAM.19</t>
  </si>
  <si>
    <t xml:space="preserve">UNAUTH_IMMIGRANT_SHARE_AG</t>
  </si>
  <si>
    <t xml:space="preserve">Unauthorized immigrant share in Agriculture (decimal)</t>
  </si>
  <si>
    <t xml:space="preserve">MPI/Pew 2025-2026 estimates</t>
  </si>
  <si>
    <t xml:space="preserve">LSD.RID.0.AL.LFP.PARAM.20</t>
  </si>
  <si>
    <t xml:space="preserve">AUTH_IMMIGRANT_SHARE_MANU</t>
  </si>
  <si>
    <t xml:space="preserve">Authorized immigrant share in Manufacturing (decimal)</t>
  </si>
  <si>
    <t xml:space="preserve">LSD.RID.0.AL.LFP.PARAM.21</t>
  </si>
  <si>
    <t xml:space="preserve">UNAUTH_IMMIGRANT_SHARE_MANU</t>
  </si>
  <si>
    <t xml:space="preserve">Unauthorized immigrant share in Manufacturing (decimal)</t>
  </si>
  <si>
    <t xml:space="preserve">LSD.RID.0.AL.LFP.PARAM.22</t>
  </si>
  <si>
    <t xml:space="preserve">AUTH_IMMIGRANT_SHARE_MIN_LOG</t>
  </si>
  <si>
    <t xml:space="preserve">Authorized immigrant share in Mining/Logging (decimal)</t>
  </si>
  <si>
    <t xml:space="preserve">LSD.RID.0.AL.LFP.PARAM.23</t>
  </si>
  <si>
    <t xml:space="preserve">UNAUTH_IMMIGRANT_SHARE_MIN_LOG</t>
  </si>
  <si>
    <t xml:space="preserve">Unauthorized immigrant share in Mining/Logging (decimal)</t>
  </si>
  <si>
    <t xml:space="preserve">LSD.RID.0.AL.LFP.PARAM.24</t>
  </si>
  <si>
    <t xml:space="preserve">AUTH_IMMIGRANT_SHARE_CONSTR</t>
  </si>
  <si>
    <t xml:space="preserve">Authorized immigrant share in Construction (decimal)</t>
  </si>
  <si>
    <t xml:space="preserve">LSD.RID.0.AL.LFP.PARAM.25</t>
  </si>
  <si>
    <t xml:space="preserve">UNAUTH_IMMIGRANT_SHARE_CONSTR</t>
  </si>
  <si>
    <t xml:space="preserve">Unauthorized immigrant share in Construction (decimal)</t>
  </si>
  <si>
    <t xml:space="preserve">LSD.RID.0.AL.LFP.PARAM.26</t>
  </si>
  <si>
    <t xml:space="preserve">AUTH_IMMIGRANT_SHARE_TRADE_TRANS_UTIL</t>
  </si>
  <si>
    <t xml:space="preserve">Authorized immigrant share in Trade/Transportation/Utilities (dec.)</t>
  </si>
  <si>
    <t xml:space="preserve">LSD.RID.0.AL.LFP.PARAM.27</t>
  </si>
  <si>
    <t xml:space="preserve">UNAUTH_IMMIGRANT_SHARE_TRADE_TRANS_UTIL</t>
  </si>
  <si>
    <t xml:space="preserve">Unauthorized immigrant share in Trade/Transportation/Utilities (dec.)</t>
  </si>
  <si>
    <t xml:space="preserve">LSD.RID.0.AL.LFP.PARAM.28</t>
  </si>
  <si>
    <t xml:space="preserve">AUTH_IMMIGRANT_SHARE_INFO</t>
  </si>
  <si>
    <t xml:space="preserve">Authorized immigrant share in Information (decimal)</t>
  </si>
  <si>
    <t xml:space="preserve">LSD.RID.0.AL.LFP.PARAM.29</t>
  </si>
  <si>
    <t xml:space="preserve">UNAUTH_IMMIGRANT_SHARE_INFO</t>
  </si>
  <si>
    <t xml:space="preserve">Unauthorized immigrant share in Information (decimal)</t>
  </si>
  <si>
    <t xml:space="preserve">LSD.RID.0.AL.LFP.PARAM.30</t>
  </si>
  <si>
    <t xml:space="preserve">AUTH_IMMIGRANT_SHARE_FIN</t>
  </si>
  <si>
    <t xml:space="preserve">Authorized immigrant share in Financial Activities (decimal)</t>
  </si>
  <si>
    <t xml:space="preserve">LSD.RID.0.AL.LFP.PARAM.31</t>
  </si>
  <si>
    <t xml:space="preserve">UNAUTH_IMMIGRANT_SHARE_FIN</t>
  </si>
  <si>
    <t xml:space="preserve">Unauthorized immigrant share in Financial Activities (decimal)</t>
  </si>
  <si>
    <t xml:space="preserve">LSD.RID.0.AL.LFP.PARAM.32</t>
  </si>
  <si>
    <t xml:space="preserve">AUTH_IMMIGRANT_SHARE_PROF_BUS</t>
  </si>
  <si>
    <t xml:space="preserve">Authorized immigrant share in Professional/Business Services (dec.)</t>
  </si>
  <si>
    <t xml:space="preserve">LSD.RID.0.AL.LFP.PARAM.33</t>
  </si>
  <si>
    <t xml:space="preserve">UNAUTH_IMMIGRANT_SHARE_PROF_BUS</t>
  </si>
  <si>
    <t xml:space="preserve">Unauthorized immigrant share in Professional/Business Services (dec.)</t>
  </si>
  <si>
    <t xml:space="preserve">LSD.RID.0.AL.LFP.PARAM.34</t>
  </si>
  <si>
    <t xml:space="preserve">AUTH_IMMIGRANT_SHARE_ED_HEALTH</t>
  </si>
  <si>
    <t xml:space="preserve">Authorized immigrant share in Education/Health Services (decimal)</t>
  </si>
  <si>
    <t xml:space="preserve">LSD.RID.0.AL.LFP.PARAM.35</t>
  </si>
  <si>
    <t xml:space="preserve">UNAUTH_IMMIGRANT_SHARE_ED_HEALTH</t>
  </si>
  <si>
    <t xml:space="preserve">Unauthorized immigrant share in Education/Health Services (decimal)</t>
  </si>
  <si>
    <t xml:space="preserve">LSD.RID.0.AL.LFP.PARAM.36</t>
  </si>
  <si>
    <t xml:space="preserve">AUTH_IMMIGRANT_SHARE_LEIS_HOSP</t>
  </si>
  <si>
    <t xml:space="preserve">Authorized immigrant share in Leisure/Hospitality (decimal)</t>
  </si>
  <si>
    <t xml:space="preserve">LSD.RID.0.AL.LFP.PARAM.37</t>
  </si>
  <si>
    <t xml:space="preserve">UNAUTH_IMMIGRANT_SHARE_LEIS_HOSP</t>
  </si>
  <si>
    <t xml:space="preserve">Unauthorized immigrant share in Leisure/Hospitality (decimal)</t>
  </si>
  <si>
    <t xml:space="preserve">LSD.RID.0.AL.LFP.PARAM.38</t>
  </si>
  <si>
    <t xml:space="preserve">AUTH_IMMIGRANT_SHARE_OTHER_SERV</t>
  </si>
  <si>
    <t xml:space="preserve">Authorized immigrant share in Other Services (decimal)</t>
  </si>
  <si>
    <t xml:space="preserve">LSD.RID.0.AL.LFP.PARAM.39</t>
  </si>
  <si>
    <t xml:space="preserve">UNAUTH_IMMIGRANT_SHARE_OTHER_SERV</t>
  </si>
  <si>
    <t xml:space="preserve">Unauthorized immigrant share in Other Services (decimal)</t>
  </si>
  <si>
    <t xml:space="preserve">LSD.RID.0.AL.LFP.PARAM.40</t>
  </si>
  <si>
    <t xml:space="preserve">AUTH_IMMIGRANT_SHARE_GOV</t>
  </si>
  <si>
    <t xml:space="preserve">Authorized immigrant share in Government (decimal)</t>
  </si>
  <si>
    <t xml:space="preserve">LSD.RID.0.AL.LFP.PARAM.41</t>
  </si>
  <si>
    <t xml:space="preserve">UNAUTH_IMMIGRANT_SHARE_GOV</t>
  </si>
  <si>
    <t xml:space="preserve">Unauthorized immigrant share in Government (decimal)</t>
  </si>
  <si>
    <t xml:space="preserve">LSD.RID.0.AL.LFP.PARAM.42</t>
  </si>
  <si>
    <t xml:space="preserve">LFP_VARIANCE_AG</t>
  </si>
  <si>
    <t xml:space="preserve">Variance factor for Agriculture, Forestry, Fishing and Hunting</t>
  </si>
  <si>
    <t xml:space="preserve">OEWS/ACS seasonal + JOLTS</t>
  </si>
  <si>
    <t xml:space="preserve">LSD.RID.0.AL.LFP.PARAM.43</t>
  </si>
  <si>
    <t xml:space="preserve">LFP_VARIANCE_MIN_LOG</t>
  </si>
  <si>
    <t xml:space="preserve">Variance factor for Mining, Quarrying, and Oil and Gas Extraction</t>
  </si>
  <si>
    <t xml:space="preserve">JOLTS + BLS CES volatility</t>
  </si>
  <si>
    <t xml:space="preserve">LSD.RID.0.AL.LFP.PARAM.44</t>
  </si>
  <si>
    <t xml:space="preserve">LFP_VARIANCE_UTIL</t>
  </si>
  <si>
    <t xml:space="preserve">Variance factor for Utilities</t>
  </si>
  <si>
    <t xml:space="preserve">BLS CES stable sector</t>
  </si>
  <si>
    <t xml:space="preserve">LSD.RID.0.AL.LFP.PARAM.45</t>
  </si>
  <si>
    <t xml:space="preserve">LFP_VARIANCE_CONSTR</t>
  </si>
  <si>
    <t xml:space="preserve">Variance factor for Construction</t>
  </si>
  <si>
    <t xml:space="preserve">JOLTS + seasonal/weather patterns</t>
  </si>
  <si>
    <t xml:space="preserve">LSD.RID.0.AL.LFP.PARAM.46</t>
  </si>
  <si>
    <t xml:space="preserve">LFP_VARIANCE_MANU_FOOD_TEXTILE</t>
  </si>
  <si>
    <t xml:space="preserve">Variance factor for Manufacturing (Food, Textile, etc.)</t>
  </si>
  <si>
    <t xml:space="preserve">QCEW + OEWS subsector volatility</t>
  </si>
  <si>
    <t xml:space="preserve">LSD.RID.0.AL.LFP.PARAM.47</t>
  </si>
  <si>
    <t xml:space="preserve">LFP_VARIANCE_MANU_WOOD_PAPER</t>
  </si>
  <si>
    <t xml:space="preserve">Variance factor for Manufacturing (Wood, Paper, Printing, etc.)</t>
  </si>
  <si>
    <t xml:space="preserve">LSD.RID.0.AL.LFP.PARAM.48</t>
  </si>
  <si>
    <t xml:space="preserve">LFP_VARIANCE_MANU_MACH_TRANS</t>
  </si>
  <si>
    <t xml:space="preserve">Variance factor for Manufacturing (Machinery, Transport, etc.)</t>
  </si>
  <si>
    <t xml:space="preserve">LSD.RID.0.AL.LFP.PARAM.49</t>
  </si>
  <si>
    <t xml:space="preserve">LFP_VARIANCE_WHOLESALE</t>
  </si>
  <si>
    <t xml:space="preserve">Variance factor for Wholesale Trade</t>
  </si>
  <si>
    <t xml:space="preserve">BLS CES stable trade sector</t>
  </si>
  <si>
    <t xml:space="preserve">LSD.RID.0.AL.LFP.PARAM.50</t>
  </si>
  <si>
    <t xml:space="preserve">LFP_VARIANCE_RETAIL_MOTOR_ELEC</t>
  </si>
  <si>
    <t xml:space="preserve">Variance factor for Retail Trade (Motor Vehicle, Electronics, etc.)</t>
  </si>
  <si>
    <t xml:space="preserve">Seasonal + consumer spending data</t>
  </si>
  <si>
    <t xml:space="preserve">LSD.RID.0.AL.LFP.PARAM.51</t>
  </si>
  <si>
    <t xml:space="preserve">LFP_VARIANCE_RETAIL_FOOD_CLOTHING</t>
  </si>
  <si>
    <t xml:space="preserve">Variance factor for Retail Trade (Food, Clothing, General Merch.)</t>
  </si>
  <si>
    <t xml:space="preserve">LSD.RID.0.AL.LFP.PARAM.52</t>
  </si>
  <si>
    <t xml:space="preserve">LFP_VARIANCE_TRANSPORT</t>
  </si>
  <si>
    <t xml:space="preserve">Variance factor for Transportation</t>
  </si>
  <si>
    <t xml:space="preserve">JOLTS + freight/seasonal patterns</t>
  </si>
  <si>
    <t xml:space="preserve">LSD.RID.0.AL.LFP.PARAM.53</t>
  </si>
  <si>
    <t xml:space="preserve">LFP_VARIANCE_WAREHOUSING</t>
  </si>
  <si>
    <t xml:space="preserve">Variance factor for Warehousing and Storage</t>
  </si>
  <si>
    <t xml:space="preserve">E-commerce volatility + JOLTS</t>
  </si>
  <si>
    <t xml:space="preserve">LSD.RID.0.AL.LFP.PARAM.54</t>
  </si>
  <si>
    <t xml:space="preserve">LFP_VARIANCE_INFO</t>
  </si>
  <si>
    <t xml:space="preserve">Variance factor for Information</t>
  </si>
  <si>
    <t xml:space="preserve">Tech/media sector fluctuations</t>
  </si>
  <si>
    <t xml:space="preserve">LSD.RID.0.AL.LFP.PARAM.55</t>
  </si>
  <si>
    <t xml:space="preserve">LFP_VARIANCE_FIN_INSURANCE</t>
  </si>
  <si>
    <t xml:space="preserve">Variance factor for Finance and Insurance</t>
  </si>
  <si>
    <t xml:space="preserve">BLS CES very stable sector</t>
  </si>
  <si>
    <t xml:space="preserve">LSD.RID.0.AL.LFP.PARAM.56</t>
  </si>
  <si>
    <t xml:space="preserve">LFP_VARIANCE_REAL_ESTATE</t>
  </si>
  <si>
    <t xml:space="preserve">Variance factor for Real Estate and Rental and Leasing</t>
  </si>
  <si>
    <t xml:space="preserve">Housing market cycles</t>
  </si>
  <si>
    <t xml:space="preserve">LSD.RID.0.AL.LFP.PARAM.57</t>
  </si>
  <si>
    <t xml:space="preserve">LFP_VARIANCE_PROF_SCI_TECH</t>
  </si>
  <si>
    <t xml:space="preserve">Variance factor for Professional, Scientific, and Technical Svcs</t>
  </si>
  <si>
    <t xml:space="preserve">Contract/project-based volatility</t>
  </si>
  <si>
    <t xml:space="preserve">LSD.RID.0.AL.LFP.PARAM.58</t>
  </si>
  <si>
    <t xml:space="preserve">LFP_VARIANCE_ADMIN_SUPPORT_WASTE</t>
  </si>
  <si>
    <t xml:space="preserve">Variance factor for Admin, Support, Waste Mgmt &amp; Remediation Svcs</t>
  </si>
  <si>
    <t xml:space="preserve">Temp/contractor fluctuations</t>
  </si>
  <si>
    <t xml:space="preserve">LSD.RID.0.AL.LFP.PARAM.59</t>
  </si>
  <si>
    <t xml:space="preserve">LFP_VARIANCE_ED_SERVICES</t>
  </si>
  <si>
    <t xml:space="preserve">Variance factor for Educational Services</t>
  </si>
  <si>
    <t xml:space="preserve">Academic calendar stability</t>
  </si>
  <si>
    <t xml:space="preserve">LSD.RID.0.AL.LFP.PARAM.60</t>
  </si>
  <si>
    <t xml:space="preserve">LFP_VARIANCE_HEALTH_SOCIAL</t>
  </si>
  <si>
    <t xml:space="preserve">Variance factor for Health Care and Social Assistance</t>
  </si>
  <si>
    <t xml:space="preserve">LSD.RID.0.AL.LFP.PARAM.61</t>
  </si>
  <si>
    <t xml:space="preserve">LFP_VARIANCE_ARTS_ENT_REC</t>
  </si>
  <si>
    <t xml:space="preserve">Variance factor for Arts, Entertainment, and Recreation</t>
  </si>
  <si>
    <t xml:space="preserve">Seasonal + event-driven</t>
  </si>
  <si>
    <t xml:space="preserve">LSD.RID.0.AL.LFP.PARAM.62</t>
  </si>
  <si>
    <t xml:space="preserve">LFP_VARIANCE_ACCOM_FOOD</t>
  </si>
  <si>
    <t xml:space="preserve">Variance factor for Accommodation and Food Services</t>
  </si>
  <si>
    <t xml:space="preserve">High seasonal/tourism volatility</t>
  </si>
  <si>
    <t xml:space="preserve">LSD.RID.0.AL.LFP.PARAM.63</t>
  </si>
  <si>
    <t xml:space="preserve">LFP_VARIANCE_OTHER_SERV</t>
  </si>
  <si>
    <t xml:space="preserve">Variance factor for Other Services (except Public Administration)</t>
  </si>
  <si>
    <t xml:space="preserve">Diverse subsector volatility</t>
  </si>
  <si>
    <t xml:space="preserve">LSD.RID.0.AL.LFP.PARAM.64</t>
  </si>
  <si>
    <t xml:space="preserve">LFP_VARIANCE_PUBLIC_ADMIN</t>
  </si>
  <si>
    <t xml:space="preserve">Variance factor for Public Administration</t>
  </si>
  <si>
    <t xml:space="preserve">Government employment stability</t>
  </si>
  <si>
    <t xml:space="preserve">Metric</t>
  </si>
  <si>
    <t xml:space="preserve">Calculated Value</t>
  </si>
  <si>
    <t xml:space="preserve">Public Value</t>
  </si>
  <si>
    <t xml:space="preserve">Validation Rating</t>
  </si>
  <si>
    <t xml:space="preserve">Notes/Improvement</t>
  </si>
  <si>
    <t xml:space="preserve">LSD.RID.0.AL.LFP.VALID.0</t>
  </si>
  <si>
    <t xml:space="preserve">LFP - Statewide Total</t>
  </si>
  <si>
    <t xml:space="preserve">BLS LAUS December 2025 (revised February 2026)</t>
  </si>
  <si>
    <t xml:space="preserve">Exact match post-revision; iterative calibration ensured perfect alignment.</t>
  </si>
  <si>
    <t xml:space="preserve">Matches reported 57.7% LFPR; derived from civ pop × LFPR. Strong alignment.</t>
  </si>
  <si>
    <t xml:space="preserve">LSD.RID.0.AL.LFP.VALID.1</t>
  </si>
  <si>
    <t xml:space="preserve">LFP - Authorized Immigrant Total</t>
  </si>
  <si>
    <t xml:space="preserve">~60,000-75,000 (est.)</t>
  </si>
  <si>
    <t xml:space="preserve">MPI/ACS 2023-2026 estimates (authorized LFPR ~41-49% of ~152k civ pop)</t>
  </si>
  <si>
    <t xml:space="preserve">Stronger fit with refined adj factors; variance tuning reduced overestimation.</t>
  </si>
  <si>
    <t xml:space="preserve">Model cap at 48,000 is reasonable/conservative; no exact monthly public figure. Good fit within estimation range.</t>
  </si>
  <si>
    <t xml:space="preserve">LSD.RID.0.AL.LFP.VALID.2</t>
  </si>
  <si>
    <t xml:space="preserve">LFP - Unauthorized Immigrant Total</t>
  </si>
  <si>
    <t xml:space="preserve">~45,000-55,000 (est.)</t>
  </si>
  <si>
    <t xml:space="preserve">Pew/MPI 2023-2026 (unauthorized pop ~82k; workforce share ~61-67%)</t>
  </si>
  <si>
    <t xml:space="preserve">Well within range; dynamic cap and proration improved realism vs. prior undercount. Monitor 2026 Pew for surge adjustments.</t>
  </si>
  <si>
    <t xml:space="preserve">Plausible based on overall immigrant labor force (~5% total per ACS); no precise public benchmark.</t>
  </si>
  <si>
    <t xml:space="preserve">LSD.RID.0.AL.LFP.VALID.3</t>
  </si>
  <si>
    <t xml:space="preserve">LFP - American Total</t>
  </si>
  <si>
    <t xml:space="preserve">~2,272,000 (residual est.)</t>
  </si>
  <si>
    <t xml:space="preserve">Residual from BLS LAUS minus immigrant estimates (AL foreign-born ~234k per Census 2025-2026)</t>
  </si>
  <si>
    <t xml:space="preserve">Precise residual; cross-metric links (e.g., to U3R) enhanced consistency.</t>
  </si>
  <si>
    <t xml:space="preserve">Model totals align after adding self-employed/unemployed buffer; realistic scaling from payroll base.</t>
  </si>
  <si>
    <t xml:space="preserve">LSD.RID.0.AL.LFP.VALID.4</t>
  </si>
  <si>
    <t xml:space="preserve">LFP - Sector Aggregates (e.g., Manufacturing Total)</t>
  </si>
  <si>
    <t xml:space="preserve">~305,000 (est.)</t>
  </si>
  <si>
    <t xml:space="preserve">BLS CES Dec 2025 manu emp ~287.5k; LFP = emp / (1 - U3 ~2.5%) + ACS</t>
  </si>
  <si>
    <t xml:space="preserve">Excellent; subsector splits refined by variance (e.g., Machinery/Trans 180k stable); fusion threshold resolved minor diffs.</t>
  </si>
  <si>
    <t xml:space="preserve">Derived role splits match occupational data (e.g., 88% production in manufacturing); no direct monthly role LFP benchmark.</t>
  </si>
  <si>
    <t xml:space="preserve">LSD.RID.0.AL.LFP.VALID.5</t>
  </si>
  <si>
    <t xml:space="preserve">LFP - Sector Aggregates (e.g., Trade/Trans Total)</t>
  </si>
  <si>
    <t xml:space="preserve">367,957 (Wholesale 77k + Retail 237k + Trans 59k + Warehousing 35k)</t>
  </si>
  <si>
    <t xml:space="preserve">~370,000 (est.)</t>
  </si>
  <si>
    <t xml:space="preserve">BLS CES Dec 2025 Trade/Trans/Util emp ~408.5k; LFP with U3 ~4%</t>
  </si>
  <si>
    <t xml:space="preserve">Close aggregate; enhanced proration and U3R link smoothed splits (e.g., higher unauthorized in retail). QCEW 2026 could refine further.</t>
  </si>
  <si>
    <t xml:space="preserve">Intentional and data-driven; reflects negligible estimated shares post-cap allocation. No improvement needed unless granular monthly data emerges.</t>
  </si>
  <si>
    <t xml:space="preserve">LSD.RID.0.AL.LFP.VALID.6</t>
  </si>
  <si>
    <t xml:space="preserve">LFP - Zero/Near-Zero Cells (e.g., Information: Unauthorized)</t>
  </si>
  <si>
    <t xml:space="preserve">Near-zero (e.g., 197)</t>
  </si>
  <si>
    <t xml:space="preserve">Effectively low (~0-5%)</t>
  </si>
  <si>
    <t xml:space="preserve">MPI/ACS patterns (low unauthorized in info/tech due to barriers)</t>
  </si>
  <si>
    <t xml:space="preserve">Data-driven; asymmetry + variance reduced forced zeros (e.g., Agriculture auth now 154); no issues post-updates.</t>
  </si>
  <si>
    <t xml:space="preserve">Perfect sum match; residuals compute exactly. Strong validation across board.</t>
  </si>
  <si>
    <t xml:space="preserve">LSD.RID.0.AL.LFP.VALID.7</t>
  </si>
  <si>
    <t xml:space="preserve">Overall LFP Table Aggregate Consistency</t>
  </si>
  <si>
    <t xml:space="preserve">Sum = 2,385,000</t>
  </si>
  <si>
    <t xml:space="preserve">BLS LAUS; internal sum check</t>
  </si>
  <si>
    <t xml:space="preserve">Flawless match; tolerance iteration and error bounds ensured no residuals.</t>
  </si>
  <si>
    <t xml:space="preserve">LSD.RID.0.AL.ETPR</t>
  </si>
  <si>
    <t xml:space="preserve">Alabama Employment-to-Population Ratio (ETPR)</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</si>
  <si>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</si>
  <si>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LIRVID</t>
  </si>
  <si>
    <t xml:space="preserve">Industry: Role</t>
  </si>
  <si>
    <t xml:space="preserve">Authorized ETPR</t>
  </si>
  <si>
    <t xml:space="preserve">Unauthorized ETPR</t>
  </si>
  <si>
    <t xml:space="preserve">American ETPR</t>
  </si>
  <si>
    <t xml:space="preserve">LSD.RID.0.AL.ETPR.0</t>
  </si>
  <si>
    <t xml:space="preserve">All Industries:All Roles</t>
  </si>
  <si>
    <t xml:space="preserve">LSD.RID.0.AL.ETPR.1</t>
  </si>
  <si>
    <t xml:space="preserve">Agriculture: Support</t>
  </si>
  <si>
    <t xml:space="preserve">LSD.RID.0.AL.ETPR.2</t>
  </si>
  <si>
    <t xml:space="preserve">Agriculture: Worker</t>
  </si>
  <si>
    <t xml:space="preserve">LSD.RID.0.AL.ETPR.3</t>
  </si>
  <si>
    <t xml:space="preserve">Construction: Support</t>
  </si>
  <si>
    <t xml:space="preserve">LSD.RID.0.AL.ETPR.4</t>
  </si>
  <si>
    <t xml:space="preserve">Construction: Worker</t>
  </si>
  <si>
    <t xml:space="preserve">LSD.RID.0.AL.ETPR.5</t>
  </si>
  <si>
    <t xml:space="preserve">Hospitality: Support</t>
  </si>
  <si>
    <t xml:space="preserve">LSD.RID.0.AL.ETPR.6</t>
  </si>
  <si>
    <t xml:space="preserve">Hospitality: Worker</t>
  </si>
  <si>
    <t xml:space="preserve">LSD.RID.0.AL.ETPR.7</t>
  </si>
  <si>
    <t xml:space="preserve">Cleaning &amp; Maintenance: Support</t>
  </si>
  <si>
    <t xml:space="preserve">LSD.RID.0.AL.ETPR.8</t>
  </si>
  <si>
    <t xml:space="preserve">Cleaning &amp; Maintenance: Worker</t>
  </si>
  <si>
    <t xml:space="preserve">LSD.RID.0.AL.ETPR.9</t>
  </si>
  <si>
    <t xml:space="preserve">Manufacturing: Support</t>
  </si>
  <si>
    <t xml:space="preserve">LSD.RID.0.AL.ETPR.10</t>
  </si>
  <si>
    <t xml:space="preserve">Manufacturing: Worker</t>
  </si>
  <si>
    <t xml:space="preserve">LSD.RID.0.AL.ETPR.11</t>
  </si>
  <si>
    <t xml:space="preserve">Transportation &amp; Warehousing: Support</t>
  </si>
  <si>
    <t xml:space="preserve">LSD.RID.0.AL.ETPR.12</t>
  </si>
  <si>
    <t xml:space="preserve">Transportation &amp; Warehousing: Worker</t>
  </si>
  <si>
    <t xml:space="preserve">LSD.RID.0.AL.ETPR.13</t>
  </si>
  <si>
    <t xml:space="preserve">Retail Trade: Support</t>
  </si>
  <si>
    <t xml:space="preserve">LSD.RID.0.AL.ETPR.14</t>
  </si>
  <si>
    <t xml:space="preserve">Retail Trade: Worker</t>
  </si>
  <si>
    <t xml:space="preserve">LSD.RID.0.AL.ETPR.15</t>
  </si>
  <si>
    <t xml:space="preserve">Landscaping / Groundskeeping: Support</t>
  </si>
  <si>
    <t xml:space="preserve">LSD.RID.0.AL.ETPR.16</t>
  </si>
  <si>
    <t xml:space="preserve">Landscaping / Groundskeeping: Worker</t>
  </si>
  <si>
    <t xml:space="preserve">LSD.RID.0.AL.ETPR.17</t>
  </si>
  <si>
    <t xml:space="preserve">Automotive &amp; Repair: Support</t>
  </si>
  <si>
    <t xml:space="preserve">LSD.RID.0.AL.ETPR.18</t>
  </si>
  <si>
    <t xml:space="preserve">Automotive &amp; Repair: Worker</t>
  </si>
  <si>
    <t xml:space="preserve">LSD.RID.0.AL.ETPR.19</t>
  </si>
  <si>
    <t xml:space="preserve">Healthcare &amp; Social Assistance: Support</t>
  </si>
  <si>
    <t xml:space="preserve">LSD.RID.0.AL.ETPR.20</t>
  </si>
  <si>
    <t xml:space="preserve">Healthcare &amp; Social Assistance: Worker</t>
  </si>
  <si>
    <t xml:space="preserve">LSD.RID.0.AL.ETPR.21</t>
  </si>
  <si>
    <t xml:space="preserve">Professional Services: Support</t>
  </si>
  <si>
    <t xml:space="preserve">LSD.RID.0.AL.ETPR.22</t>
  </si>
  <si>
    <t xml:space="preserve">Professional Services: Worker</t>
  </si>
  <si>
    <t xml:space="preserve">LSD.RID.0.AL.ETPR.23</t>
  </si>
  <si>
    <t xml:space="preserve">Education: Support</t>
  </si>
  <si>
    <t xml:space="preserve">LSD.RID.0.AL.ETPR.24</t>
  </si>
  <si>
    <t xml:space="preserve">Education: Worker</t>
  </si>
  <si>
    <t xml:space="preserve">LSD.RID.0.AL.ETPR.25</t>
  </si>
  <si>
    <t xml:space="preserve">Finance &amp; Insurance: Support</t>
  </si>
  <si>
    <t xml:space="preserve">LSD.RID.0.AL.ETPR.26</t>
  </si>
  <si>
    <t xml:space="preserve">Finance &amp; Insurance: Worker</t>
  </si>
  <si>
    <t xml:space="preserve">LSD.RID.0.AL.ETPR.27</t>
  </si>
  <si>
    <t xml:space="preserve">Media and Information Technology: Support</t>
  </si>
  <si>
    <t xml:space="preserve">LSD.RID.0.AL.ETPR.28</t>
  </si>
  <si>
    <t xml:space="preserve">Media and Information Technology: Worker</t>
  </si>
  <si>
    <t xml:space="preserve">LSD.RID.0.AL.ETPR.29</t>
  </si>
  <si>
    <t xml:space="preserve">Government: Support</t>
  </si>
  <si>
    <t xml:space="preserve">LSD.RID.0.AL.ETPR.30</t>
  </si>
  <si>
    <t xml:space="preserve">Government: Worker</t>
  </si>
  <si>
    <t xml:space="preserve">LSD.RID.0.AL.ETPR.31</t>
  </si>
  <si>
    <t xml:space="preserve">Self-Employed / Non-Employer: Support</t>
  </si>
  <si>
    <t xml:space="preserve">LSD.RID.0.AL.ETPR.32</t>
  </si>
  <si>
    <t xml:space="preserve">Self-Employed / Non-Employer: Worker</t>
  </si>
  <si>
    <t xml:space="preserve">LSD.RID.0.AL.ETPR.33</t>
  </si>
  <si>
    <t xml:space="preserve">Other Services: Support</t>
  </si>
  <si>
    <t xml:space="preserve">LSD.RID.0.AL.ETPR.34</t>
  </si>
  <si>
    <t xml:space="preserve">Other Services: Worker</t>
  </si>
  <si>
    <t xml:space="preserve">LSD.RID.0.AL.ETPR.35</t>
  </si>
  <si>
    <t xml:space="preserve">Mining, Quarrying, and Oil/Gas Extraction: Support</t>
  </si>
  <si>
    <t xml:space="preserve">LSD.RID.0.AL.ETPR.36</t>
  </si>
  <si>
    <t xml:space="preserve">Mining, Quarrying, and Oil/Gas Extraction: Worker</t>
  </si>
  <si>
    <t xml:space="preserve">LSD.RID.0.AL.ETPR.37</t>
  </si>
  <si>
    <t xml:space="preserve">Utilities: Support</t>
  </si>
  <si>
    <t xml:space="preserve">LSD.RID.0.AL.ETPR.38</t>
  </si>
  <si>
    <t xml:space="preserve">Utilities: Worker</t>
  </si>
  <si>
    <t xml:space="preserve">LSD.RID.0.AL.ETPR.39</t>
  </si>
  <si>
    <t xml:space="preserve">Wholesale Trade: Support</t>
  </si>
  <si>
    <t xml:space="preserve">LSD.RID.0.AL.ETPR.40</t>
  </si>
  <si>
    <t xml:space="preserve">Wholesale Trade: Worker</t>
  </si>
  <si>
    <t xml:space="preserve">LSD.RID.0.AL.ETPR.41</t>
  </si>
  <si>
    <t xml:space="preserve">Information: Support</t>
  </si>
  <si>
    <t xml:space="preserve">LSD.RID.0.AL.ETPR.42</t>
  </si>
  <si>
    <t xml:space="preserve">Information: Worker</t>
  </si>
  <si>
    <t xml:space="preserve">LSD.RID.0.AL.ETPR.43</t>
  </si>
  <si>
    <t xml:space="preserve">Real Estate, Rental and Leasing: Support</t>
  </si>
  <si>
    <t xml:space="preserve">LSD.RID.0.AL.ETPR.44</t>
  </si>
  <si>
    <t xml:space="preserve">Real Estate, Rental and Leasing: Worker</t>
  </si>
  <si>
    <t xml:space="preserve">LSD.RID.0.AL.ETPR.45</t>
  </si>
  <si>
    <t xml:space="preserve">Waste Management Services: Support</t>
  </si>
  <si>
    <t xml:space="preserve">LSD.RID.0.AL.ETPR.46</t>
  </si>
  <si>
    <t xml:space="preserve">Waste Management Services: Worker</t>
  </si>
  <si>
    <t xml:space="preserve">LSD.RID.0.AL.ETPR.47</t>
  </si>
  <si>
    <t xml:space="preserve">Arts, Entertainment, and Recreation: Support</t>
  </si>
  <si>
    <t xml:space="preserve">LSD.RID.0.AL.ETPR.48</t>
  </si>
  <si>
    <t xml:space="preserve">Arts, Entertainment, and Recreation: Worker</t>
  </si>
  <si>
    <t xml:space="preserve">LSD.RID.0.AL.ETPR.49</t>
  </si>
  <si>
    <t xml:space="preserve">Accommodation and Food Services: Support</t>
  </si>
  <si>
    <t xml:space="preserve">LSD.RID.0.AL.ETPR.50</t>
  </si>
  <si>
    <t xml:space="preserve">Accommodation and Food Services: Worker</t>
  </si>
  <si>
    <t xml:space="preserve">LSD.RID.0.AL.ETPR.51</t>
  </si>
  <si>
    <t xml:space="preserve">Public Administration: Support</t>
  </si>
  <si>
    <t xml:space="preserve">LSD.RID.0.AL.ETPR.52</t>
  </si>
  <si>
    <t xml:space="preserve">Public Administration: Worker</t>
  </si>
  <si>
    <t xml:space="preserve">FID</t>
  </si>
  <si>
    <t xml:space="preserve">LSD.RID.0.AL.ETPR.FORM.0</t>
  </si>
  <si>
    <t xml:space="preserve">ETPR - Employment-to-Population Ratio</t>
  </si>
  <si>
    <t xml:space="preserve">Base ETPR Total</t>
  </si>
  <si>
    <t xml:space="preserve">ETPR_total = PARAMETERS!BLS_ETPR_STATE_TARGET</t>
  </si>
  <si>
    <t xml:space="preserve">Direct from BLS state target</t>
  </si>
  <si>
    <t xml:space="preserve">100% sourced; for statewide aggregate; used as calibration target</t>
  </si>
  <si>
    <t xml:space="preserve">LSD.RID.0.AL.ETPR.FORM.1</t>
  </si>
  <si>
    <t xml:space="preserve">Authorized Immigrant ETPR</t>
  </si>
  <si>
    <t xml:space="preserve">ETPR_auth = ETPR_total * PARAMETERS!AUTH_IMMIGRANT_ETPR_ADJ_FACTOR</t>
  </si>
  <si>
    <t xml:space="preserve">Adjustment for authorized immigrants</t>
  </si>
  <si>
    <t xml:space="preserve">Medium confidence; downward for demographics (e.g., 0.915 from MPI patterns)</t>
  </si>
  <si>
    <t xml:space="preserve">LSD.RID.0.AL.ETPR.FORM.2</t>
  </si>
  <si>
    <t xml:space="preserve">Unauthorized Immigrant ETPR</t>
  </si>
  <si>
    <t xml:space="preserve">ETPR_unauth = ETPR_total * PARAMETERS!UNAUTH_IMMIGRANT_ETPR_ADJ_FACTOR</t>
  </si>
  <si>
    <t xml:space="preserve">Adjustment for unauthorized immigrants</t>
  </si>
  <si>
    <t xml:space="preserve">Medium confidence; uplift for higher participation (e.g., 1.044 from Pew/MPI)</t>
  </si>
  <si>
    <t xml:space="preserve">LSD.RID.0.AL.ETPR.FORM.3</t>
  </si>
  <si>
    <t xml:space="preserve">ETPR_amer = (ETPR_total * PARAMETERS!CIV_POP_TOTAL - ETPR_auth * PARAMETERS!CIV_POP_AUTH - ETPR_unauth * PARAMETERS!CIV_POP_UNAUTH) / PARAMETERS!CIV_POP_AMER</t>
  </si>
  <si>
    <t xml:space="preserve">Residual calculation after immigrant prorations</t>
  </si>
  <si>
    <t xml:space="preserve">100% derived; ensures weighted consistency with total ETPR</t>
  </si>
  <si>
    <t xml:space="preserve">LSD.RID.0.AL.ETPR.FORM.4</t>
  </si>
  <si>
    <t xml:space="preserve">Statewide ETPR Aggregate Calibration</t>
  </si>
  <si>
    <t xml:space="preserve">ETPR = ETPR * (PARAMETERS!ETPR_STATE_TARGET / weighted_ETPR_raw)</t>
  </si>
  <si>
    <t xml:space="preserve">Final scaling to target aggregate</t>
  </si>
  <si>
    <t xml:space="preserve">Apply last; weighted by civ pop; aligns with BLS statewide ETPR (0.56152 in AL)</t>
  </si>
  <si>
    <t xml:space="preserve">PID</t>
  </si>
  <si>
    <t xml:space="preserve">LSD.RID.0.AL.ETPR.PARAM.0</t>
  </si>
  <si>
    <t xml:space="preserve">BLS LAUS / Census December 2025 (derived from LFPR and labor force)</t>
  </si>
  <si>
    <t xml:space="preserve">LSD.RID.0.AL.ETPR.PARAM.1</t>
  </si>
  <si>
    <t xml:space="preserve">MPI / ACS / FWD.us 2023-2025 estimates (authorized ~136,000 total pop, adjusted to working-age ~150,000)</t>
  </si>
  <si>
    <t xml:space="preserve">LSD.RID.0.AL.ETPR.PARAM.2</t>
  </si>
  <si>
    <t xml:space="preserve">MPI / Pew 2023-2025 estimates (~71,000–77,000 total pop, adjusted to working-age ~80,000)</t>
  </si>
  <si>
    <t xml:space="preserve">LSD.RID.0.AL.ETPR.PARAM.3</t>
  </si>
  <si>
    <t xml:space="preserve">Residual (CIV_POP_TOTAL - CIV_POP_AUTH - CIV_POP_UNAUTH)</t>
  </si>
  <si>
    <t xml:space="preserve">LSD.RID.0.AL.ETPR.PARAM.4</t>
  </si>
  <si>
    <t xml:space="preserve">BLS LAUS December 2025 (employed 2317206 / civ pop 4126524 = 0.56152)</t>
  </si>
  <si>
    <t xml:space="preserve">LSD.RID.0.AL.ETPR.PARAM.5</t>
  </si>
  <si>
    <t xml:space="preserve">Derived from MPI/ACS patterns (lower due to demographics; calculated to match group ETPR 0.514)</t>
  </si>
  <si>
    <t xml:space="preserve">LSD.RID.0.AL.ETPR.PARAM.6</t>
  </si>
  <si>
    <t xml:space="preserve">Derived from Pew/MPI consensus (higher participation; calculated to match group ETPR 0.586)</t>
  </si>
  <si>
    <t xml:space="preserve">LSD.RID.0.AL.ETPR.PARAM.7</t>
  </si>
  <si>
    <t xml:space="preserve">ETPR_STATE_TARGET</t>
  </si>
  <si>
    <t xml:space="preserve">AL / Statewide ETPR calibration target (decimal)</t>
  </si>
  <si>
    <t xml:space="preserve">LSD.RID.0.AL.ETPR.VALID.0</t>
  </si>
  <si>
    <t xml:space="preserve">ETPR - Statewide Total (All Industries:All Roles)</t>
  </si>
  <si>
    <t xml:space="preserve">BLS LAUS Dec 2025 (employed 2317206 / civ pop 4126524 = 0.562 to 3 decimals)</t>
  </si>
  <si>
    <t xml:space="preserve">Exact match to derived BLS figure to 3 decimals; no discrepancy.</t>
  </si>
  <si>
    <t xml:space="preserve">LSD.RID.0.AL.ETPR.VALID.1</t>
  </si>
  <si>
    <t xml:space="preserve">ETPR - Unauthorized Total</t>
  </si>
  <si>
    <t xml:space="preserve">~0.586 (est.)</t>
  </si>
  <si>
    <t xml:space="preserve">MPI/ACS 2023-2025 (employed ~46880 / civ pop ~80000 = 0.586)</t>
  </si>
  <si>
    <t xml:space="preserve">Reasonable alignment; no exact monthly figure, but consistent with high participation trends.</t>
  </si>
  <si>
    <t xml:space="preserve">LSD.RID.0.AL.ETPR.VALID.2</t>
  </si>
  <si>
    <t xml:space="preserve">ETPR - Authorized Total</t>
  </si>
  <si>
    <t xml:space="preserve">~0.514 (est.)</t>
  </si>
  <si>
    <t xml:space="preserve">FWD.us/MPI/ACS 2025 (employed ~77100 / civ pop ~150000 = 0.514)</t>
  </si>
  <si>
    <t xml:space="preserve">Plausible derivation; lower due to demographics; no precise public benchmark.</t>
  </si>
  <si>
    <t xml:space="preserve">LSD.RID.0.AL.ETPR.VALID.3</t>
  </si>
  <si>
    <t xml:space="preserve">ETPR - American Total</t>
  </si>
  <si>
    <t xml:space="preserve">~0.563 (est.)</t>
  </si>
  <si>
    <t xml:space="preserve">Residual from BLS/MPI (employed 2193226 / civ pop 3896524 = 0.563)</t>
  </si>
  <si>
    <t xml:space="preserve">Consistent with overall after group subtractions; strong fit.</t>
  </si>
  <si>
    <t xml:space="preserve">LSD.RID.0.AL.ETPR.VALID.4</t>
  </si>
  <si>
    <t xml:space="preserve">ETPR - Per-Role Contribution to Statewide ETPR</t>
  </si>
  <si>
    <t xml:space="preserve">Weighted avg per role = 0.562</t>
  </si>
  <si>
    <t xml:space="preserve">N/A (no per-role public data)</t>
  </si>
  <si>
    <t xml:space="preserve">OEWS/ACS occupational patterns</t>
  </si>
  <si>
    <t xml:space="preserve">No direct benchmarks; model uses contribution approach (per-role ETPR = (LFP_role * overall ETPR) / civ pop). Values shown are approximate contributions; add industry-specific adjustments if granular data emerges.</t>
  </si>
  <si>
    <t xml:space="preserve">LSD.RID.0.AL.ETPR.VALID.5</t>
  </si>
  <si>
    <t xml:space="preserve">Overall ETPR Table Aggregate Consistency</t>
  </si>
  <si>
    <t xml:space="preserve">Weighted avg = 0.562</t>
  </si>
  <si>
    <t xml:space="preserve">BLS LAUS</t>
  </si>
  <si>
    <t xml:space="preserve">Perfect weighted match; group residuals align exactly to 3 decimals.</t>
  </si>
  <si>
    <t xml:space="preserve">LSD.RID.0.AL.LFPR</t>
  </si>
  <si>
    <t xml:space="preserve">Alabama Labor Force Participation Rate (LFPR)</t>
  </si>
  <si>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</si>
  <si>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</si>
  <si>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LSD.RID.0.AL.U3R</t>
  </si>
  <si>
    <t xml:space="preserve">Alabama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</si>
  <si>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</si>
  <si>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AL.U6R</t>
    </r>
  </si>
  <si>
    <t xml:space="preserve">Alabama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</si>
  <si>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</si>
  <si>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AL.WAVG</t>
    </r>
  </si>
  <si>
    <t xml:space="preserve">Alabama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</si>
  <si>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</si>
  <si>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LSD.RID.0.AL.AIAVG</t>
  </si>
  <si>
    <t xml:space="preserve">Alabama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</si>
  <si>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</si>
  <si>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AL.FPITREV</t>
    </r>
  </si>
  <si>
    <t xml:space="preserve">Alabama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</si>
  <si>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</si>
  <si>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AL.FPPTR</t>
    </r>
  </si>
  <si>
    <t xml:space="preserve">Alabama Federal Personal Payrol Tax Revenue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</si>
  <si>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</si>
  <si>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AL.EITCREF</t>
    </r>
  </si>
  <si>
    <t xml:space="preserve">Alabama Earned Income Tax Credit Refund</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</si>
  <si>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</si>
  <si>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AL.ACTCREF</t>
    </r>
  </si>
  <si>
    <t xml:space="preserve">Alabama Additional Child Tax Credit Refund</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</si>
  <si>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</si>
  <si>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AL.AOTCREF</t>
    </r>
  </si>
  <si>
    <t xml:space="preserve">Alabama American Opportunity Tax Credit Refund</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</si>
  <si>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</si>
  <si>
    <t xml:space="preserve">LSD.RID.0.AL.EP</t>
  </si>
  <si>
    <t xml:space="preserve">Alabama Employed Population</t>
  </si>
  <si>
    <t xml:space="preserve">Authorized, Unauthorized, American Laborer Employed Population By Industrial Labor Role</t>
  </si>
  <si>
    <t xml:space="preserve">Alabama Average Weekly Hours Worked</t>
  </si>
  <si>
    <t xml:space="preserve">Authorized, Unauthorized, American Laborer Average Weekly Hours Worked By Industrial Labor Role</t>
  </si>
  <si>
    <t xml:space="preserve">Alabama Full-Time Employment Rate</t>
  </si>
  <si>
    <t xml:space="preserve">Authorized, Unauthorized, American Laborer Full-Time Employment Rate By Industrial Labor Role</t>
  </si>
  <si>
    <t xml:space="preserve">Alabama Part-Time Employment Rate</t>
  </si>
  <si>
    <t xml:space="preserve">Authorized, Unauthorized, American Laborer Part-Time Employment Rate By Industrial Labor Role</t>
  </si>
  <si>
    <t xml:space="preserve">Alabama Job Tenure Average (JTA)</t>
  </si>
  <si>
    <t xml:space="preserve">Authorized, Unauthorized, American Laborer Job Tenure Average By Industrial Labor Role</t>
  </si>
</sst>
</file>

<file path=xl/styles.xml><?xml version="1.0" encoding="utf-8"?>
<styleSheet xmlns="http://schemas.openxmlformats.org/spreadsheetml/2006/main">
  <numFmts count="11">
    <numFmt numFmtId="164" formatCode="General"/>
    <numFmt numFmtId="165" formatCode="\$#,##0.00_);&quot;($&quot;#,##0.00\)"/>
    <numFmt numFmtId="166" formatCode="\$#,##0_);[RED]&quot;($&quot;#,##0\)"/>
    <numFmt numFmtId="167" formatCode="mm/dd/yy"/>
    <numFmt numFmtId="168" formatCode="@"/>
    <numFmt numFmtId="169" formatCode="#,##0"/>
    <numFmt numFmtId="170" formatCode="0.00"/>
    <numFmt numFmtId="171" formatCode="0.00%"/>
    <numFmt numFmtId="172" formatCode="[$$-409]#,##0.00;[RED]\-[$$-409]#,##0.00"/>
    <numFmt numFmtId="173" formatCode="[$$-409]#,##0;[RED]\-[$$-409]#,##0"/>
    <numFmt numFmtId="174" formatCode="[$$-409]#,##0;\-[$$-409]#,##0"/>
  </numFmts>
  <fonts count="21">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sz val="10"/>
      <name val="arial"/>
      <family val="2"/>
      <charset val="1"/>
    </font>
    <font>
      <b val="true"/>
      <sz val="10"/>
      <name val="arial"/>
      <family val="2"/>
      <charset val="1"/>
    </font>
    <font>
      <b val="true"/>
      <sz val="10"/>
      <name val="Arial"/>
      <family val="2"/>
      <charset val="1"/>
    </font>
    <font>
      <sz val="10"/>
      <name val="Times New Roman"/>
      <family val="1"/>
      <charset val="1"/>
    </font>
    <font>
      <sz val="10"/>
      <name val="aRIAL"/>
      <family val="2"/>
      <charset val="1"/>
    </font>
    <font>
      <b val="true"/>
      <sz val="10"/>
      <name val="aRIAL"/>
      <family val="2"/>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8"/>
      <color rgb="FF000000"/>
      <name val="Arial"/>
      <family val="2"/>
    </font>
    <font>
      <sz val="9"/>
      <color rgb="FF000000"/>
      <name val="Arial"/>
      <family val="2"/>
    </font>
    <font>
      <sz val="10"/>
      <color rgb="FF000000"/>
      <name val="Arial"/>
      <family val="2"/>
    </font>
    <font>
      <b val="true"/>
      <sz val="7"/>
      <color rgb="FFFFFFFF"/>
      <name val="Arial"/>
      <family val="2"/>
    </font>
    <font>
      <sz val="7"/>
      <color rgb="FFFFFFFF"/>
      <name val="Arial"/>
      <family val="2"/>
    </font>
  </fonts>
  <fills count="20">
    <fill>
      <patternFill patternType="none"/>
    </fill>
    <fill>
      <patternFill patternType="gray125"/>
    </fill>
    <fill>
      <patternFill patternType="solid">
        <fgColor rgb="FF333300"/>
        <bgColor rgb="FF1C1C1C"/>
      </patternFill>
    </fill>
    <fill>
      <patternFill patternType="solid">
        <fgColor rgb="FFFFCC00"/>
        <bgColor rgb="FFFFBF00"/>
      </patternFill>
    </fill>
    <fill>
      <patternFill patternType="solid">
        <fgColor rgb="FF1C1C1C"/>
        <bgColor rgb="FF333300"/>
      </patternFill>
    </fill>
    <fill>
      <patternFill patternType="solid">
        <fgColor rgb="FF666666"/>
        <bgColor rgb="FF6B5E9B"/>
      </patternFill>
    </fill>
    <fill>
      <patternFill patternType="solid">
        <fgColor rgb="FF999999"/>
        <bgColor rgb="FFB3B3B3"/>
      </patternFill>
    </fill>
    <fill>
      <patternFill patternType="solid">
        <fgColor rgb="FFFFFFFF"/>
        <bgColor rgb="FFFFFFCC"/>
      </patternFill>
    </fill>
    <fill>
      <patternFill patternType="solid">
        <fgColor rgb="FFFFFF00"/>
        <bgColor rgb="FFE6E905"/>
      </patternFill>
    </fill>
    <fill>
      <patternFill patternType="solid">
        <fgColor rgb="FF81D41A"/>
        <bgColor rgb="FFBBE33D"/>
      </patternFill>
    </fill>
    <fill>
      <patternFill patternType="solid">
        <fgColor rgb="FF00A933"/>
        <bgColor rgb="FF158466"/>
      </patternFill>
    </fill>
    <fill>
      <patternFill patternType="solid">
        <fgColor rgb="FF158466"/>
        <bgColor rgb="FF008080"/>
      </patternFill>
    </fill>
    <fill>
      <patternFill patternType="solid">
        <fgColor rgb="FF2A6099"/>
        <bgColor rgb="FF004586"/>
      </patternFill>
    </fill>
    <fill>
      <patternFill patternType="solid">
        <fgColor rgb="FF55308D"/>
        <bgColor rgb="FF8D1D75"/>
      </patternFill>
    </fill>
    <fill>
      <patternFill patternType="solid">
        <fgColor rgb="FF800080"/>
        <bgColor rgb="FF660066"/>
      </patternFill>
    </fill>
    <fill>
      <patternFill patternType="solid">
        <fgColor rgb="FFBF0041"/>
        <bgColor rgb="FFD62E4E"/>
      </patternFill>
    </fill>
    <fill>
      <patternFill patternType="solid">
        <fgColor rgb="FFFF0000"/>
        <bgColor rgb="FFBF0041"/>
      </patternFill>
    </fill>
    <fill>
      <patternFill patternType="solid">
        <fgColor rgb="FFFF4000"/>
        <bgColor rgb="FFFF420E"/>
      </patternFill>
    </fill>
    <fill>
      <patternFill patternType="solid">
        <fgColor rgb="FFFF8000"/>
        <bgColor rgb="FFEA7500"/>
      </patternFill>
    </fill>
    <fill>
      <patternFill patternType="solid">
        <fgColor rgb="FFFFBF00"/>
        <bgColor rgb="FFFFCC0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7" fontId="7"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7" fillId="4" borderId="0" xfId="0" applyFont="true" applyBorder="false" applyAlignment="true" applyProtection="true">
      <alignment horizontal="right" vertical="bottom" textRotation="0" wrapText="false" indent="0" shrinkToFit="false"/>
      <protection locked="true" hidden="false"/>
    </xf>
    <xf numFmtId="164" fontId="7" fillId="4" borderId="0" xfId="0" applyFont="true" applyBorder="true" applyAlignment="true" applyProtection="true">
      <alignment horizontal="left" vertical="bottom" textRotation="0" wrapText="false" indent="0" shrinkToFit="false"/>
      <protection locked="true" hidden="false"/>
    </xf>
    <xf numFmtId="164" fontId="8" fillId="5" borderId="0" xfId="0" applyFont="true" applyBorder="false" applyAlignment="true" applyProtection="true">
      <alignment horizontal="right"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4" fontId="8" fillId="6" borderId="0" xfId="0" applyFont="true" applyBorder="false" applyAlignment="true" applyProtection="true">
      <alignment horizontal="right" vertical="bottom" textRotation="0" wrapText="false" indent="0" shrinkToFit="false"/>
      <protection locked="true" hidden="false"/>
    </xf>
    <xf numFmtId="164" fontId="8" fillId="7" borderId="0" xfId="0" applyFont="true" applyBorder="false" applyAlignment="true" applyProtection="true">
      <alignment horizontal="right" vertical="bottom" textRotation="0" wrapText="false" indent="0" shrinkToFit="false"/>
      <protection locked="true" hidden="false"/>
    </xf>
    <xf numFmtId="164" fontId="8" fillId="7" borderId="0" xfId="0" applyFont="true" applyBorder="false" applyAlignment="true" applyProtection="true">
      <alignment horizontal="left" vertical="bottom" textRotation="0" wrapText="false" indent="0" shrinkToFit="false"/>
      <protection locked="true" hidden="false"/>
    </xf>
    <xf numFmtId="164" fontId="8" fillId="8" borderId="0" xfId="0" applyFont="true" applyBorder="false" applyAlignment="true" applyProtection="true">
      <alignment horizontal="right" vertical="bottom" textRotation="0" wrapText="false" indent="0" shrinkToFit="false"/>
      <protection locked="true" hidden="false"/>
    </xf>
    <xf numFmtId="164" fontId="8" fillId="8" borderId="0" xfId="0" applyFont="true" applyBorder="false" applyAlignment="true" applyProtection="true">
      <alignment horizontal="left" vertical="bottom" textRotation="0" wrapText="false" indent="0" shrinkToFit="false"/>
      <protection locked="true" hidden="false"/>
    </xf>
    <xf numFmtId="164" fontId="8" fillId="9" borderId="0" xfId="0" applyFont="true" applyBorder="false" applyAlignment="true" applyProtection="true">
      <alignment horizontal="right" vertical="bottom" textRotation="0" wrapText="false" indent="0" shrinkToFit="false"/>
      <protection locked="true" hidden="false"/>
    </xf>
    <xf numFmtId="164" fontId="8" fillId="9" borderId="0" xfId="0" applyFont="true" applyBorder="false" applyAlignment="true" applyProtection="true">
      <alignment horizontal="left" vertical="bottom" textRotation="0" wrapText="false" indent="0" shrinkToFit="false"/>
      <protection locked="true" hidden="false"/>
    </xf>
    <xf numFmtId="164" fontId="8" fillId="10" borderId="0" xfId="0" applyFont="true" applyBorder="false" applyAlignment="true" applyProtection="true">
      <alignment horizontal="right" vertical="bottom" textRotation="0" wrapText="false" indent="0" shrinkToFit="false"/>
      <protection locked="true" hidden="false"/>
    </xf>
    <xf numFmtId="164" fontId="8" fillId="10" borderId="0" xfId="0" applyFont="true" applyBorder="false" applyAlignment="true" applyProtection="true">
      <alignment horizontal="left" vertical="bottom" textRotation="0" wrapText="false" indent="0" shrinkToFit="false"/>
      <protection locked="true" hidden="false"/>
    </xf>
    <xf numFmtId="164" fontId="8" fillId="11" borderId="0" xfId="0" applyFont="true" applyBorder="false" applyAlignment="true" applyProtection="true">
      <alignment horizontal="right" vertical="bottom" textRotation="0" wrapText="false" indent="0" shrinkToFit="false"/>
      <protection locked="true" hidden="false"/>
    </xf>
    <xf numFmtId="164" fontId="8" fillId="11" borderId="0" xfId="0" applyFont="true" applyBorder="false" applyAlignment="true" applyProtection="true">
      <alignment horizontal="left" vertical="bottom" textRotation="0" wrapText="false" indent="0" shrinkToFit="false"/>
      <protection locked="true" hidden="false"/>
    </xf>
    <xf numFmtId="164" fontId="8" fillId="12" borderId="0" xfId="0" applyFont="true" applyBorder="false" applyAlignment="true" applyProtection="true">
      <alignment horizontal="right" vertical="bottom" textRotation="0" wrapText="false" indent="0" shrinkToFit="false"/>
      <protection locked="true" hidden="false"/>
    </xf>
    <xf numFmtId="164" fontId="8" fillId="12" borderId="0" xfId="0" applyFont="true" applyBorder="false" applyAlignment="true" applyProtection="true">
      <alignment horizontal="left" vertical="bottom" textRotation="0" wrapText="false" indent="0" shrinkToFit="false"/>
      <protection locked="true" hidden="false"/>
    </xf>
    <xf numFmtId="164" fontId="8" fillId="13" borderId="0" xfId="0" applyFont="true" applyBorder="false" applyAlignment="true" applyProtection="true">
      <alignment horizontal="right" vertical="bottom" textRotation="0" wrapText="false" indent="0" shrinkToFit="false"/>
      <protection locked="true" hidden="false"/>
    </xf>
    <xf numFmtId="164" fontId="8" fillId="13" borderId="0" xfId="0" applyFont="true" applyBorder="false" applyAlignment="true" applyProtection="true">
      <alignment horizontal="left" vertical="bottom" textRotation="0" wrapText="false" indent="0" shrinkToFit="false"/>
      <protection locked="true" hidden="false"/>
    </xf>
    <xf numFmtId="164" fontId="8" fillId="14" borderId="0" xfId="0" applyFont="true" applyBorder="false" applyAlignment="true" applyProtection="true">
      <alignment horizontal="right" vertical="bottom" textRotation="0" wrapText="false" indent="0" shrinkToFit="false"/>
      <protection locked="true" hidden="false"/>
    </xf>
    <xf numFmtId="164" fontId="8" fillId="14" borderId="0" xfId="0" applyFont="true" applyBorder="false" applyAlignment="true" applyProtection="true">
      <alignment horizontal="left" vertical="bottom" textRotation="0" wrapText="false" indent="0" shrinkToFit="false"/>
      <protection locked="true" hidden="false"/>
    </xf>
    <xf numFmtId="164" fontId="8" fillId="15" borderId="0" xfId="0" applyFont="true" applyBorder="false" applyAlignment="true" applyProtection="true">
      <alignment horizontal="right" vertical="bottom" textRotation="0" wrapText="false" indent="0" shrinkToFit="false"/>
      <protection locked="true" hidden="false"/>
    </xf>
    <xf numFmtId="164" fontId="8" fillId="15" borderId="0" xfId="0" applyFont="true" applyBorder="false" applyAlignment="true" applyProtection="true">
      <alignment horizontal="left" vertical="bottom" textRotation="0" wrapText="false" indent="0" shrinkToFit="false"/>
      <protection locked="true" hidden="false"/>
    </xf>
    <xf numFmtId="164" fontId="8" fillId="16" borderId="0" xfId="0" applyFont="true" applyBorder="false" applyAlignment="true" applyProtection="true">
      <alignment horizontal="right" vertical="bottom" textRotation="0" wrapText="false" indent="0" shrinkToFit="false"/>
      <protection locked="true" hidden="false"/>
    </xf>
    <xf numFmtId="164" fontId="8" fillId="16" borderId="0" xfId="0" applyFont="true" applyBorder="false" applyAlignment="true" applyProtection="true">
      <alignment horizontal="left" vertical="bottom" textRotation="0" wrapText="false" indent="0" shrinkToFit="false"/>
      <protection locked="true" hidden="false"/>
    </xf>
    <xf numFmtId="164" fontId="8" fillId="17" borderId="0" xfId="0" applyFont="true" applyBorder="false" applyAlignment="true" applyProtection="true">
      <alignment horizontal="right" vertical="bottom" textRotation="0" wrapText="false" indent="0" shrinkToFit="false"/>
      <protection locked="true" hidden="false"/>
    </xf>
    <xf numFmtId="164" fontId="8" fillId="17" borderId="0" xfId="0" applyFont="true" applyBorder="false" applyAlignment="true" applyProtection="true">
      <alignment horizontal="left" vertical="bottom" textRotation="0" wrapText="false" indent="0" shrinkToFit="false"/>
      <protection locked="true" hidden="false"/>
    </xf>
    <xf numFmtId="164" fontId="8" fillId="18" borderId="0" xfId="0" applyFont="true" applyBorder="false" applyAlignment="true" applyProtection="true">
      <alignment horizontal="right" vertical="bottom" textRotation="0" wrapText="false" indent="0" shrinkToFit="false"/>
      <protection locked="true" hidden="false"/>
    </xf>
    <xf numFmtId="164" fontId="8" fillId="18" borderId="0" xfId="0" applyFont="true" applyBorder="false" applyAlignment="true" applyProtection="true">
      <alignment horizontal="left" vertical="bottom" textRotation="0" wrapText="false" indent="0" shrinkToFit="false"/>
      <protection locked="true" hidden="false"/>
    </xf>
    <xf numFmtId="164" fontId="8" fillId="19" borderId="0" xfId="0" applyFont="true" applyBorder="false" applyAlignment="true" applyProtection="true">
      <alignment horizontal="right" vertical="bottom" textRotation="0" wrapText="false" indent="0" shrinkToFit="false"/>
      <protection locked="true" hidden="false"/>
    </xf>
    <xf numFmtId="164" fontId="8" fillId="19"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left" vertical="bottom" textRotation="0" wrapText="tru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right" vertical="bottom" textRotation="0" wrapText="false" indent="0" shrinkToFit="false"/>
      <protection locked="true" hidden="false"/>
    </xf>
    <xf numFmtId="164" fontId="11" fillId="0" borderId="0" xfId="0" applyFont="true" applyBorder="false" applyAlignment="true" applyProtection="true">
      <alignment horizontal="left" vertical="bottom" textRotation="0" wrapText="false" indent="0" shrinkToFit="false"/>
      <protection locked="true" hidden="false"/>
    </xf>
    <xf numFmtId="167" fontId="11" fillId="0" borderId="0" xfId="0" applyFont="true" applyBorder="tru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9"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true" indent="0" shrinkToFit="false"/>
      <protection locked="true" hidden="false"/>
    </xf>
    <xf numFmtId="170" fontId="8" fillId="0" borderId="0" xfId="0" applyFont="true" applyBorder="false" applyAlignment="true" applyProtection="true">
      <alignment horizontal="general" vertical="bottom" textRotation="0" wrapText="true" indent="0" shrinkToFit="false"/>
      <protection locked="true" hidden="false"/>
    </xf>
    <xf numFmtId="170" fontId="0" fillId="0" borderId="0" xfId="0" applyFont="true" applyBorder="false" applyAlignment="true" applyProtection="true">
      <alignment horizontal="general" vertical="bottom" textRotation="0" wrapText="true" indent="0" shrinkToFit="false"/>
      <protection locked="true" hidden="false"/>
    </xf>
    <xf numFmtId="171" fontId="8"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71" fontId="0" fillId="0" borderId="0" xfId="0" applyFont="true" applyBorder="false" applyAlignment="true" applyProtection="true">
      <alignment horizontal="center" vertical="bottom" textRotation="0" wrapText="true" indent="0" shrinkToFit="false"/>
      <protection locked="true" hidden="false"/>
    </xf>
    <xf numFmtId="172" fontId="8" fillId="0" borderId="0" xfId="0" applyFont="true" applyBorder="false" applyAlignment="true" applyProtection="true">
      <alignment horizontal="center" vertical="bottom" textRotation="0" wrapText="true" indent="0" shrinkToFit="false"/>
      <protection locked="true" hidden="false"/>
    </xf>
    <xf numFmtId="172" fontId="0" fillId="0" borderId="0" xfId="0" applyFont="true" applyBorder="false" applyAlignment="true" applyProtection="true">
      <alignment horizontal="center" vertical="bottom" textRotation="0" wrapText="true" indent="0" shrinkToFit="false"/>
      <protection locked="true" hidden="false"/>
    </xf>
    <xf numFmtId="173" fontId="8" fillId="0" borderId="0" xfId="0" applyFont="true" applyBorder="false" applyAlignment="true" applyProtection="true">
      <alignment horizontal="center" vertical="bottom" textRotation="0" wrapText="true" indent="0" shrinkToFit="false"/>
      <protection locked="true" hidden="false"/>
    </xf>
    <xf numFmtId="173" fontId="0" fillId="0" borderId="0" xfId="0" applyFont="true" applyBorder="false" applyAlignment="true" applyProtection="true">
      <alignment horizontal="center" vertical="bottom" textRotation="0" wrapText="true" indent="0" shrinkToFit="false"/>
      <protection locked="true" hidden="false"/>
    </xf>
    <xf numFmtId="174" fontId="8" fillId="0" borderId="0" xfId="0" applyFont="true" applyBorder="false" applyAlignment="true" applyProtection="true">
      <alignment horizontal="center" vertical="bottom" textRotation="0" wrapText="true" indent="0" shrinkToFit="false"/>
      <protection locked="true" hidden="false"/>
    </xf>
    <xf numFmtId="174"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center" vertical="bottom"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0000"/>
      <rgbColor rgb="FF00FF00"/>
      <rgbColor rgb="FF0000FF"/>
      <rgbColor rgb="FFFFFF00"/>
      <rgbColor rgb="FFFF3838"/>
      <rgbColor rgb="FF00FFFF"/>
      <rgbColor rgb="FFFF420E"/>
      <rgbColor rgb="FF00A933"/>
      <rgbColor rgb="FF000080"/>
      <rgbColor rgb="FF579D1C"/>
      <rgbColor rgb="FF800080"/>
      <rgbColor rgb="FF158466"/>
      <rgbColor rgb="FFC0C0C0"/>
      <rgbColor rgb="FF666666"/>
      <rgbColor rgb="FF9999FF"/>
      <rgbColor rgb="FF8D1D75"/>
      <rgbColor rgb="FFFFFFCC"/>
      <rgbColor rgb="FFCCFFFF"/>
      <rgbColor rgb="FF660066"/>
      <rgbColor rgb="FFFF8000"/>
      <rgbColor rgb="FF2A6099"/>
      <rgbColor rgb="FFCCCCCC"/>
      <rgbColor rgb="FF000080"/>
      <rgbColor rgb="FFFF00FF"/>
      <rgbColor rgb="FFE6E905"/>
      <rgbColor rgb="FF00FFFF"/>
      <rgbColor rgb="FFBF0041"/>
      <rgbColor rgb="FF800000"/>
      <rgbColor rgb="FF008080"/>
      <rgbColor rgb="FF0000FF"/>
      <rgbColor rgb="FF00CCFF"/>
      <rgbColor rgb="FFCCFFFF"/>
      <rgbColor rgb="FFCCFFCC"/>
      <rgbColor rgb="FFBBE33D"/>
      <rgbColor rgb="FFB3B3B3"/>
      <rgbColor rgb="FFFFBF00"/>
      <rgbColor rgb="FFFF5429"/>
      <rgbColor rgb="FFFFD320"/>
      <rgbColor rgb="FF5983B0"/>
      <rgbColor rgb="FF3FAF46"/>
      <rgbColor rgb="FF81D41A"/>
      <rgbColor rgb="FFFFCC00"/>
      <rgbColor rgb="FFE8A202"/>
      <rgbColor rgb="FFEA7500"/>
      <rgbColor rgb="FF6B5E9B"/>
      <rgbColor rgb="FF999999"/>
      <rgbColor rgb="FF004586"/>
      <rgbColor rgb="FF50938A"/>
      <rgbColor rgb="FF003300"/>
      <rgbColor rgb="FF333300"/>
      <rgbColor rgb="FFFF4000"/>
      <rgbColor rgb="FFD62E4E"/>
      <rgbColor rgb="FF55308D"/>
      <rgbColor rgb="FF1C1C1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5878386371702"/>
          <c:y val="0.0107391807679992"/>
        </c:manualLayout>
      </c:layout>
      <c:overlay val="0"/>
      <c:spPr>
        <a:noFill/>
        <a:ln w="0">
          <a:noFill/>
        </a:ln>
      </c:spPr>
    </c:title>
    <c:autoTitleDeleted val="0"/>
    <c:plotArea>
      <c:layout>
        <c:manualLayout>
          <c:layoutTarget val="inner"/>
          <c:xMode val="edge"/>
          <c:yMode val="edge"/>
          <c:x val="0.25036476201743"/>
          <c:y val="0.0938200448286904"/>
          <c:w val="0.650972041484286"/>
          <c:h val="0.813271262838986"/>
        </c:manualLayout>
      </c:layout>
      <c:barChart>
        <c:barDir val="bar"/>
        <c:grouping val="clustered"/>
        <c:varyColors val="0"/>
        <c:ser>
          <c:idx val="0"/>
          <c:order val="0"/>
          <c:tx>
            <c:strRef>
              <c:f>LFP!$C$3</c:f>
              <c:strCache>
                <c:ptCount val="1"/>
                <c:pt idx="0">
                  <c:v>Overall LFP</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 Textile, etc.)</c:v>
                </c:pt>
                <c:pt idx="5">
                  <c:v>Manufacturing (Wood,
Paper, Printing, etc.)</c:v>
                </c:pt>
                <c:pt idx="6">
                  <c:v>Manufacturing (Machinery, 
Transport, etc.)</c:v>
                </c:pt>
                <c:pt idx="7">
                  <c:v>Wholesale Trade</c:v>
                </c:pt>
                <c:pt idx="8">
                  <c:v>Retail Trade (Motor 
Vehicle, Electronics, etc.)</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LFP!$C$5:$C$27</c:f>
              <c:numCache>
                <c:formatCode>General</c:formatCode>
                <c:ptCount val="23"/>
                <c:pt idx="0">
                  <c:v>35615</c:v>
                </c:pt>
                <c:pt idx="1">
                  <c:v>10077</c:v>
                </c:pt>
                <c:pt idx="2">
                  <c:v>25487</c:v>
                </c:pt>
                <c:pt idx="3">
                  <c:v>119537</c:v>
                </c:pt>
                <c:pt idx="4">
                  <c:v>68885</c:v>
                </c:pt>
                <c:pt idx="5">
                  <c:v>55169</c:v>
                </c:pt>
                <c:pt idx="6">
                  <c:v>180441</c:v>
                </c:pt>
                <c:pt idx="7">
                  <c:v>77413</c:v>
                </c:pt>
                <c:pt idx="8">
                  <c:v>86515</c:v>
                </c:pt>
                <c:pt idx="9">
                  <c:v>150232</c:v>
                </c:pt>
                <c:pt idx="10">
                  <c:v>59208</c:v>
                </c:pt>
                <c:pt idx="11">
                  <c:v>34589</c:v>
                </c:pt>
                <c:pt idx="12">
                  <c:v>24624</c:v>
                </c:pt>
                <c:pt idx="13">
                  <c:v>78514</c:v>
                </c:pt>
                <c:pt idx="14">
                  <c:v>28745</c:v>
                </c:pt>
                <c:pt idx="15">
                  <c:v>133596</c:v>
                </c:pt>
                <c:pt idx="16">
                  <c:v>143574</c:v>
                </c:pt>
                <c:pt idx="17">
                  <c:v>82371</c:v>
                </c:pt>
                <c:pt idx="18">
                  <c:v>207667</c:v>
                </c:pt>
                <c:pt idx="19">
                  <c:v>33978</c:v>
                </c:pt>
                <c:pt idx="20">
                  <c:v>197168</c:v>
                </c:pt>
                <c:pt idx="21">
                  <c:v>104892</c:v>
                </c:pt>
                <c:pt idx="22">
                  <c:v>446399</c:v>
                </c:pt>
              </c:numCache>
            </c:numRef>
          </c:val>
        </c:ser>
        <c:ser>
          <c:idx val="1"/>
          <c:order val="1"/>
          <c:tx>
            <c:strRef>
              <c:f>LFP!$D$3</c:f>
              <c:strCache>
                <c:ptCount val="1"/>
                <c:pt idx="0">
                  <c:v>Authorized LFP</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 Textile, etc.)</c:v>
                </c:pt>
                <c:pt idx="5">
                  <c:v>Manufacturing (Wood,
Paper, Printing, etc.)</c:v>
                </c:pt>
                <c:pt idx="6">
                  <c:v>Manufacturing (Machinery, 
Transport, etc.)</c:v>
                </c:pt>
                <c:pt idx="7">
                  <c:v>Wholesale Trade</c:v>
                </c:pt>
                <c:pt idx="8">
                  <c:v>Retail Trade (Motor 
Vehicle, Electronics, etc.)</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LFP!$D$5:$D$27</c:f>
              <c:numCache>
                <c:formatCode>General</c:formatCode>
                <c:ptCount val="23"/>
                <c:pt idx="0">
                  <c:v>154</c:v>
                </c:pt>
                <c:pt idx="1">
                  <c:v>122</c:v>
                </c:pt>
                <c:pt idx="2">
                  <c:v>463</c:v>
                </c:pt>
                <c:pt idx="3">
                  <c:v>3515</c:v>
                </c:pt>
                <c:pt idx="4">
                  <c:v>4289</c:v>
                </c:pt>
                <c:pt idx="5">
                  <c:v>3435</c:v>
                </c:pt>
                <c:pt idx="6">
                  <c:v>11235</c:v>
                </c:pt>
                <c:pt idx="7">
                  <c:v>1406</c:v>
                </c:pt>
                <c:pt idx="8">
                  <c:v>1571</c:v>
                </c:pt>
                <c:pt idx="9">
                  <c:v>2728</c:v>
                </c:pt>
                <c:pt idx="10">
                  <c:v>1075</c:v>
                </c:pt>
                <c:pt idx="11">
                  <c:v>628</c:v>
                </c:pt>
                <c:pt idx="12">
                  <c:v>447</c:v>
                </c:pt>
                <c:pt idx="13">
                  <c:v>1901</c:v>
                </c:pt>
                <c:pt idx="14">
                  <c:v>696</c:v>
                </c:pt>
                <c:pt idx="15">
                  <c:v>2426</c:v>
                </c:pt>
                <c:pt idx="16">
                  <c:v>2607</c:v>
                </c:pt>
                <c:pt idx="17">
                  <c:v>4844</c:v>
                </c:pt>
                <c:pt idx="18">
                  <c:v>12212</c:v>
                </c:pt>
                <c:pt idx="19">
                  <c:v>411</c:v>
                </c:pt>
                <c:pt idx="20">
                  <c:v>2387</c:v>
                </c:pt>
                <c:pt idx="21">
                  <c:v>726</c:v>
                </c:pt>
                <c:pt idx="22">
                  <c:v>3088</c:v>
                </c:pt>
              </c:numCache>
            </c:numRef>
          </c:val>
        </c:ser>
        <c:ser>
          <c:idx val="2"/>
          <c:order val="2"/>
          <c:tx>
            <c:strRef>
              <c:f>LFP!$E$3</c:f>
              <c:strCache>
                <c:ptCount val="1"/>
                <c:pt idx="0">
                  <c:v>Unauthorized LFP</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 Textile, etc.)</c:v>
                </c:pt>
                <c:pt idx="5">
                  <c:v>Manufacturing (Wood,
Paper, Printing, etc.)</c:v>
                </c:pt>
                <c:pt idx="6">
                  <c:v>Manufacturing (Machinery, 
Transport, etc.)</c:v>
                </c:pt>
                <c:pt idx="7">
                  <c:v>Wholesale Trade</c:v>
                </c:pt>
                <c:pt idx="8">
                  <c:v>Retail Trade (Motor 
Vehicle, Electronics, etc.)</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LFP!$E$5:$E$27</c:f>
              <c:numCache>
                <c:formatCode>General</c:formatCode>
                <c:ptCount val="23"/>
                <c:pt idx="0">
                  <c:v>2949</c:v>
                </c:pt>
                <c:pt idx="1">
                  <c:v>230</c:v>
                </c:pt>
                <c:pt idx="2">
                  <c:v>568</c:v>
                </c:pt>
                <c:pt idx="3">
                  <c:v>6963</c:v>
                </c:pt>
                <c:pt idx="4">
                  <c:v>1456</c:v>
                </c:pt>
                <c:pt idx="5">
                  <c:v>1166</c:v>
                </c:pt>
                <c:pt idx="6">
                  <c:v>3813</c:v>
                </c:pt>
                <c:pt idx="7">
                  <c:v>1724</c:v>
                </c:pt>
                <c:pt idx="8">
                  <c:v>1927</c:v>
                </c:pt>
                <c:pt idx="9">
                  <c:v>3346</c:v>
                </c:pt>
                <c:pt idx="10">
                  <c:v>1319</c:v>
                </c:pt>
                <c:pt idx="11">
                  <c:v>770</c:v>
                </c:pt>
                <c:pt idx="12">
                  <c:v>197</c:v>
                </c:pt>
                <c:pt idx="13">
                  <c:v>628</c:v>
                </c:pt>
                <c:pt idx="14">
                  <c:v>230</c:v>
                </c:pt>
                <c:pt idx="15">
                  <c:v>1984</c:v>
                </c:pt>
                <c:pt idx="16">
                  <c:v>2132</c:v>
                </c:pt>
                <c:pt idx="17">
                  <c:v>1223</c:v>
                </c:pt>
                <c:pt idx="18">
                  <c:v>3084</c:v>
                </c:pt>
                <c:pt idx="19">
                  <c:v>1494</c:v>
                </c:pt>
                <c:pt idx="20">
                  <c:v>8670</c:v>
                </c:pt>
                <c:pt idx="21">
                  <c:v>2336</c:v>
                </c:pt>
                <c:pt idx="22">
                  <c:v>1785</c:v>
                </c:pt>
              </c:numCache>
            </c:numRef>
          </c:val>
        </c:ser>
        <c:ser>
          <c:idx val="3"/>
          <c:order val="3"/>
          <c:tx>
            <c:strRef>
              <c:f>LFP!$F$3</c:f>
              <c:strCache>
                <c:ptCount val="1"/>
                <c:pt idx="0">
                  <c:v>American LFP</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 Textile, etc.)</c:v>
                </c:pt>
                <c:pt idx="5">
                  <c:v>Manufacturing (Wood,
Paper, Printing, etc.)</c:v>
                </c:pt>
                <c:pt idx="6">
                  <c:v>Manufacturing (Machinery, 
Transport, etc.)</c:v>
                </c:pt>
                <c:pt idx="7">
                  <c:v>Wholesale Trade</c:v>
                </c:pt>
                <c:pt idx="8">
                  <c:v>Retail Trade (Motor 
Vehicle, Electronics, etc.)</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LFP!$F$5:$F$27</c:f>
              <c:numCache>
                <c:formatCode>General</c:formatCode>
                <c:ptCount val="23"/>
                <c:pt idx="0">
                  <c:v>32512</c:v>
                </c:pt>
                <c:pt idx="1">
                  <c:v>9725</c:v>
                </c:pt>
                <c:pt idx="2">
                  <c:v>24456</c:v>
                </c:pt>
                <c:pt idx="3">
                  <c:v>109059</c:v>
                </c:pt>
                <c:pt idx="4">
                  <c:v>63140</c:v>
                </c:pt>
                <c:pt idx="5">
                  <c:v>50568</c:v>
                </c:pt>
                <c:pt idx="6">
                  <c:v>165393</c:v>
                </c:pt>
                <c:pt idx="7">
                  <c:v>74283</c:v>
                </c:pt>
                <c:pt idx="8">
                  <c:v>83017</c:v>
                </c:pt>
                <c:pt idx="9">
                  <c:v>144157</c:v>
                </c:pt>
                <c:pt idx="10">
                  <c:v>56814</c:v>
                </c:pt>
                <c:pt idx="11">
                  <c:v>33190</c:v>
                </c:pt>
                <c:pt idx="12">
                  <c:v>23979</c:v>
                </c:pt>
                <c:pt idx="13">
                  <c:v>75985</c:v>
                </c:pt>
                <c:pt idx="14">
                  <c:v>27820</c:v>
                </c:pt>
                <c:pt idx="15">
                  <c:v>129186</c:v>
                </c:pt>
                <c:pt idx="16">
                  <c:v>138835</c:v>
                </c:pt>
                <c:pt idx="17">
                  <c:v>76304</c:v>
                </c:pt>
                <c:pt idx="18">
                  <c:v>192371</c:v>
                </c:pt>
                <c:pt idx="19">
                  <c:v>32073</c:v>
                </c:pt>
                <c:pt idx="20">
                  <c:v>186110</c:v>
                </c:pt>
                <c:pt idx="21">
                  <c:v>101830</c:v>
                </c:pt>
                <c:pt idx="22">
                  <c:v>441526</c:v>
                </c:pt>
              </c:numCache>
            </c:numRef>
          </c:val>
        </c:ser>
        <c:gapWidth val="100"/>
        <c:overlap val="0"/>
        <c:axId val="20838808"/>
        <c:axId val="4256340"/>
      </c:barChart>
      <c:catAx>
        <c:axId val="2083880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801669991871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256340"/>
        <c:crossesAt val="0"/>
        <c:auto val="1"/>
        <c:lblAlgn val="ctr"/>
        <c:lblOffset val="100"/>
        <c:noMultiLvlLbl val="0"/>
      </c:catAx>
      <c:valAx>
        <c:axId val="425634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537481761899"/>
              <c:y val="0.96926032660903"/>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0838808"/>
        <c:crosses val="max"/>
        <c:crossBetween val="midCat"/>
      </c:valAx>
      <c:spPr>
        <a:noFill/>
        <a:ln w="0">
          <a:solidFill>
            <a:srgbClr val="b3b3b3"/>
          </a:solidFill>
        </a:ln>
      </c:spPr>
    </c:plotArea>
    <c:legend>
      <c:legendPos val="r"/>
      <c:layout>
        <c:manualLayout>
          <c:xMode val="edge"/>
          <c:yMode val="edge"/>
          <c:x val="0.841239796521945"/>
          <c:y val="0.0156407793295401"/>
          <c:w val="0.13517883197287"/>
          <c:h val="0.062538486169610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75889265714962"/>
          <c:y val="0.0107391807679992"/>
        </c:manualLayout>
      </c:layout>
      <c:overlay val="0"/>
      <c:spPr>
        <a:noFill/>
        <a:ln w="0">
          <a:noFill/>
        </a:ln>
      </c:spPr>
    </c:title>
    <c:autoTitleDeleted val="0"/>
    <c:plotArea>
      <c:layout>
        <c:manualLayout>
          <c:layoutTarget val="inner"/>
          <c:xMode val="edge"/>
          <c:yMode val="edge"/>
          <c:x val="0.299077214291348"/>
          <c:y val="0.04689770684007"/>
          <c:w val="0.521334490101743"/>
          <c:h val="0.874060937461514"/>
        </c:manualLayout>
      </c:layout>
      <c:barChart>
        <c:barDir val="bar"/>
        <c:grouping val="clustered"/>
        <c:varyColors val="0"/>
        <c:ser>
          <c:idx val="0"/>
          <c:order val="0"/>
          <c:tx>
            <c:strRef>
              <c:f>ETPR!$C$3</c:f>
              <c:strCache>
                <c:ptCount val="1"/>
                <c:pt idx="0">
                  <c:v>ETPR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ETPR!$B$5:$B$30</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 Support</c:v>
                </c:pt>
                <c:pt idx="23">
                  <c:v>Education: Worker</c:v>
                </c:pt>
                <c:pt idx="24">
                  <c:v>Finance &amp; Insurance: Support</c:v>
                </c:pt>
                <c:pt idx="25">
                  <c:v>Finance &amp; Insurance: Worker</c:v>
                </c:pt>
              </c:strCache>
            </c:strRef>
          </c:cat>
          <c:val>
            <c:numRef>
              <c:f>ETPR!$C$5:$C$30</c:f>
              <c:numCache>
                <c:formatCode>0.00</c:formatCode>
                <c:ptCount val="26"/>
                <c:pt idx="0">
                  <c:v>0.002</c:v>
                </c:pt>
                <c:pt idx="1">
                  <c:v>0.007</c:v>
                </c:pt>
                <c:pt idx="2">
                  <c:v>0.006</c:v>
                </c:pt>
                <c:pt idx="3">
                  <c:v>0.024</c:v>
                </c:pt>
                <c:pt idx="4">
                  <c:v>0.005</c:v>
                </c:pt>
                <c:pt idx="5">
                  <c:v>0.008</c:v>
                </c:pt>
                <c:pt idx="6">
                  <c:v>0.002</c:v>
                </c:pt>
                <c:pt idx="7">
                  <c:v>0.004</c:v>
                </c:pt>
                <c:pt idx="8">
                  <c:v>0.016</c:v>
                </c:pt>
                <c:pt idx="9">
                  <c:v>0.062</c:v>
                </c:pt>
                <c:pt idx="10">
                  <c:v>0.01</c:v>
                </c:pt>
                <c:pt idx="11">
                  <c:v>0.023</c:v>
                </c:pt>
                <c:pt idx="12">
                  <c:v>0.022</c:v>
                </c:pt>
                <c:pt idx="13">
                  <c:v>0.033</c:v>
                </c:pt>
                <c:pt idx="14">
                  <c:v>0.001</c:v>
                </c:pt>
                <c:pt idx="15">
                  <c:v>0.002</c:v>
                </c:pt>
                <c:pt idx="16">
                  <c:v>0.002</c:v>
                </c:pt>
                <c:pt idx="17">
                  <c:v>0.004</c:v>
                </c:pt>
                <c:pt idx="18">
                  <c:v>0.021</c:v>
                </c:pt>
                <c:pt idx="19">
                  <c:v>0.031</c:v>
                </c:pt>
                <c:pt idx="20">
                  <c:v>0.014</c:v>
                </c:pt>
                <c:pt idx="21">
                  <c:v>0.014</c:v>
                </c:pt>
                <c:pt idx="22">
                  <c:v>0.009</c:v>
                </c:pt>
                <c:pt idx="23">
                  <c:v>0.013</c:v>
                </c:pt>
                <c:pt idx="24">
                  <c:v>0.011</c:v>
                </c:pt>
                <c:pt idx="25">
                  <c:v>0.011</c:v>
                </c:pt>
              </c:numCache>
            </c:numRef>
          </c:val>
        </c:ser>
        <c:ser>
          <c:idx val="1"/>
          <c:order val="1"/>
          <c:tx>
            <c:strRef>
              <c:f>ETPR!$D$3</c:f>
              <c:strCache>
                <c:ptCount val="1"/>
                <c:pt idx="0">
                  <c:v>Authorized ETPR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ETPR!$B$5:$B$30</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 Support</c:v>
                </c:pt>
                <c:pt idx="23">
                  <c:v>Education: Worker</c:v>
                </c:pt>
                <c:pt idx="24">
                  <c:v>Finance &amp; Insurance: Support</c:v>
                </c:pt>
                <c:pt idx="25">
                  <c:v>Finance &amp; Insurance: Worker</c:v>
                </c:pt>
              </c:strCache>
            </c:strRef>
          </c:cat>
          <c:val>
            <c:numRef>
              <c:f>ETPR!$D$5:$D$30</c:f>
              <c:numCache>
                <c:formatCode>0.00</c:formatCode>
                <c:ptCount val="26"/>
                <c:pt idx="0">
                  <c:v>0</c:v>
                </c:pt>
                <c:pt idx="1">
                  <c:v>0.013</c:v>
                </c:pt>
                <c:pt idx="2">
                  <c:v>0.007</c:v>
                </c:pt>
                <c:pt idx="3">
                  <c:v>0.033</c:v>
                </c:pt>
                <c:pt idx="4">
                  <c:v>0.007</c:v>
                </c:pt>
                <c:pt idx="5">
                  <c:v>0.013</c:v>
                </c:pt>
                <c:pt idx="6">
                  <c:v>0</c:v>
                </c:pt>
                <c:pt idx="7">
                  <c:v>0.007</c:v>
                </c:pt>
                <c:pt idx="8">
                  <c:v>0.02</c:v>
                </c:pt>
                <c:pt idx="9">
                  <c:v>0.067</c:v>
                </c:pt>
                <c:pt idx="10">
                  <c:v>0.007</c:v>
                </c:pt>
                <c:pt idx="11">
                  <c:v>0.02</c:v>
                </c:pt>
                <c:pt idx="12">
                  <c:v>0.02</c:v>
                </c:pt>
                <c:pt idx="13">
                  <c:v>0.027</c:v>
                </c:pt>
                <c:pt idx="14">
                  <c:v>0</c:v>
                </c:pt>
                <c:pt idx="15">
                  <c:v>0.007</c:v>
                </c:pt>
                <c:pt idx="16">
                  <c:v>0</c:v>
                </c:pt>
                <c:pt idx="17">
                  <c:v>0.007</c:v>
                </c:pt>
                <c:pt idx="18">
                  <c:v>0.02</c:v>
                </c:pt>
                <c:pt idx="19">
                  <c:v>0.027</c:v>
                </c:pt>
                <c:pt idx="20">
                  <c:v>0.013</c:v>
                </c:pt>
                <c:pt idx="21">
                  <c:v>0.013</c:v>
                </c:pt>
                <c:pt idx="22">
                  <c:v>0.007</c:v>
                </c:pt>
                <c:pt idx="23">
                  <c:v>0.007</c:v>
                </c:pt>
                <c:pt idx="24">
                  <c:v>0.007</c:v>
                </c:pt>
                <c:pt idx="25">
                  <c:v>0.007</c:v>
                </c:pt>
              </c:numCache>
            </c:numRef>
          </c:val>
        </c:ser>
        <c:ser>
          <c:idx val="2"/>
          <c:order val="2"/>
          <c:tx>
            <c:strRef>
              <c:f>ETPR!$E$3</c:f>
              <c:strCache>
                <c:ptCount val="1"/>
                <c:pt idx="0">
                  <c:v>Unauthorized ETPR</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ETPR!$B$5:$B$30</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 Support</c:v>
                </c:pt>
                <c:pt idx="23">
                  <c:v>Education: Worker</c:v>
                </c:pt>
                <c:pt idx="24">
                  <c:v>Finance &amp; Insurance: Support</c:v>
                </c:pt>
                <c:pt idx="25">
                  <c:v>Finance &amp; Insurance: Worker</c:v>
                </c:pt>
              </c:strCache>
            </c:strRef>
          </c:cat>
          <c:val>
            <c:numRef>
              <c:f>ETPR!$E$5:$E$30</c:f>
              <c:numCache>
                <c:formatCode>0.00</c:formatCode>
                <c:ptCount val="26"/>
                <c:pt idx="0">
                  <c:v>0.013</c:v>
                </c:pt>
                <c:pt idx="1">
                  <c:v>0.038</c:v>
                </c:pt>
                <c:pt idx="2">
                  <c:v>0.025</c:v>
                </c:pt>
                <c:pt idx="3">
                  <c:v>0.1</c:v>
                </c:pt>
                <c:pt idx="4">
                  <c:v>0.013</c:v>
                </c:pt>
                <c:pt idx="5">
                  <c:v>0.013</c:v>
                </c:pt>
                <c:pt idx="6">
                  <c:v>0</c:v>
                </c:pt>
                <c:pt idx="7">
                  <c:v>0.013</c:v>
                </c:pt>
                <c:pt idx="8">
                  <c:v>0.013</c:v>
                </c:pt>
                <c:pt idx="9">
                  <c:v>0.05</c:v>
                </c:pt>
                <c:pt idx="10">
                  <c:v>0.013</c:v>
                </c:pt>
                <c:pt idx="11">
                  <c:v>0.038</c:v>
                </c:pt>
                <c:pt idx="12">
                  <c:v>0.013</c:v>
                </c:pt>
                <c:pt idx="13">
                  <c:v>0.025</c:v>
                </c:pt>
                <c:pt idx="14">
                  <c:v>0</c:v>
                </c:pt>
                <c:pt idx="15">
                  <c:v>0.013</c:v>
                </c:pt>
                <c:pt idx="16">
                  <c:v>0</c:v>
                </c:pt>
                <c:pt idx="17">
                  <c:v>0</c:v>
                </c:pt>
                <c:pt idx="18">
                  <c:v>0.013</c:v>
                </c:pt>
                <c:pt idx="19">
                  <c:v>0.013</c:v>
                </c:pt>
                <c:pt idx="20">
                  <c:v>0.013</c:v>
                </c:pt>
                <c:pt idx="21">
                  <c:v>0.013</c:v>
                </c:pt>
                <c:pt idx="22">
                  <c:v>0</c:v>
                </c:pt>
                <c:pt idx="23">
                  <c:v>0</c:v>
                </c:pt>
                <c:pt idx="24">
                  <c:v>0</c:v>
                </c:pt>
                <c:pt idx="25">
                  <c:v>0</c:v>
                </c:pt>
              </c:numCache>
            </c:numRef>
          </c:val>
        </c:ser>
        <c:ser>
          <c:idx val="3"/>
          <c:order val="3"/>
          <c:tx>
            <c:strRef>
              <c:f>ETPR!$F$3</c:f>
              <c:strCache>
                <c:ptCount val="1"/>
                <c:pt idx="0">
                  <c:v>American ETPR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ETPR!$B$5:$B$30</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 Support</c:v>
                </c:pt>
                <c:pt idx="23">
                  <c:v>Education: Worker</c:v>
                </c:pt>
                <c:pt idx="24">
                  <c:v>Finance &amp; Insurance: Support</c:v>
                </c:pt>
                <c:pt idx="25">
                  <c:v>Finance &amp; Insurance: Worker</c:v>
                </c:pt>
              </c:strCache>
            </c:strRef>
          </c:cat>
          <c:val>
            <c:numRef>
              <c:f>ETPR!$F$5:$F$30</c:f>
              <c:numCache>
                <c:formatCode>0.00</c:formatCode>
                <c:ptCount val="26"/>
                <c:pt idx="0">
                  <c:v>0.002</c:v>
                </c:pt>
                <c:pt idx="1">
                  <c:v>0.006</c:v>
                </c:pt>
                <c:pt idx="2">
                  <c:v>0.006</c:v>
                </c:pt>
                <c:pt idx="3">
                  <c:v>0.022</c:v>
                </c:pt>
                <c:pt idx="4">
                  <c:v>0.005</c:v>
                </c:pt>
                <c:pt idx="5">
                  <c:v>0.008</c:v>
                </c:pt>
                <c:pt idx="6">
                  <c:v>0.002</c:v>
                </c:pt>
                <c:pt idx="7">
                  <c:v>0.003</c:v>
                </c:pt>
                <c:pt idx="8">
                  <c:v>0.015</c:v>
                </c:pt>
                <c:pt idx="9">
                  <c:v>0.062</c:v>
                </c:pt>
                <c:pt idx="10">
                  <c:v>0.01</c:v>
                </c:pt>
                <c:pt idx="11">
                  <c:v>0.023</c:v>
                </c:pt>
                <c:pt idx="12">
                  <c:v>0.022</c:v>
                </c:pt>
                <c:pt idx="13">
                  <c:v>0.033</c:v>
                </c:pt>
                <c:pt idx="14">
                  <c:v>0.001</c:v>
                </c:pt>
                <c:pt idx="15">
                  <c:v>0.002</c:v>
                </c:pt>
                <c:pt idx="16">
                  <c:v>0.002</c:v>
                </c:pt>
                <c:pt idx="17">
                  <c:v>0.004</c:v>
                </c:pt>
                <c:pt idx="18">
                  <c:v>0.021</c:v>
                </c:pt>
                <c:pt idx="19">
                  <c:v>0.032</c:v>
                </c:pt>
                <c:pt idx="20">
                  <c:v>0.014</c:v>
                </c:pt>
                <c:pt idx="21">
                  <c:v>0.014</c:v>
                </c:pt>
                <c:pt idx="22">
                  <c:v>0.009</c:v>
                </c:pt>
                <c:pt idx="23">
                  <c:v>0.014</c:v>
                </c:pt>
                <c:pt idx="24">
                  <c:v>0.011</c:v>
                </c:pt>
                <c:pt idx="25">
                  <c:v>0.011</c:v>
                </c:pt>
              </c:numCache>
            </c:numRef>
          </c:val>
        </c:ser>
        <c:gapWidth val="100"/>
        <c:overlap val="0"/>
        <c:axId val="36488742"/>
        <c:axId val="20410203"/>
      </c:barChart>
      <c:catAx>
        <c:axId val="3648874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5619528354"/>
              <c:y val="0.47804133106726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0410203"/>
        <c:crossesAt val="0"/>
        <c:auto val="1"/>
        <c:lblAlgn val="ctr"/>
        <c:lblOffset val="100"/>
        <c:noMultiLvlLbl val="0"/>
      </c:catAx>
      <c:valAx>
        <c:axId val="2041020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399597760075716"/>
              <c:y val="0.9692603266090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6488742"/>
        <c:crosses val="max"/>
        <c:crossBetween val="midCat"/>
      </c:valAx>
      <c:spPr>
        <a:noFill/>
        <a:ln w="0">
          <a:solidFill>
            <a:srgbClr val="b3b3b3"/>
          </a:solidFill>
        </a:ln>
      </c:spPr>
    </c:plotArea>
    <c:legend>
      <c:legendPos val="r"/>
      <c:layout>
        <c:manualLayout>
          <c:xMode val="edge"/>
          <c:yMode val="edge"/>
          <c:x val="0.85634858044164"/>
          <c:y val="0.0782019704433498"/>
          <c:w val="0.120149842271293"/>
          <c:h val="0.075049261083743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489155296159"/>
          <c:y val="0.0107391807679992"/>
        </c:manualLayout>
      </c:layout>
      <c:overlay val="0"/>
      <c:spPr>
        <a:noFill/>
        <a:ln w="0">
          <a:noFill/>
        </a:ln>
      </c:spPr>
    </c:title>
    <c:autoTitleDeleted val="0"/>
    <c:plotArea>
      <c:layout>
        <c:manualLayout>
          <c:layoutTarget val="inner"/>
          <c:xMode val="edge"/>
          <c:yMode val="edge"/>
          <c:x val="0.299077214291348"/>
          <c:y val="0.0468730756915195"/>
          <c:w val="0.521334490101743"/>
          <c:h val="0.874060937461514"/>
        </c:manualLayout>
      </c:layout>
      <c:barChart>
        <c:barDir val="bar"/>
        <c:grouping val="clustered"/>
        <c:varyColors val="0"/>
        <c:ser>
          <c:idx val="0"/>
          <c:order val="0"/>
          <c:tx>
            <c:strRef>
              <c:f>ETPR!$C$3</c:f>
              <c:strCache>
                <c:ptCount val="1"/>
                <c:pt idx="0">
                  <c:v>ETPR</c:v>
                </c:pt>
              </c:strCache>
            </c:strRef>
          </c:tx>
          <c:spPr>
            <a:solidFill>
              <a:srgbClr val="004586"/>
            </a:solidFill>
            <a:ln w="0">
              <a:noFill/>
            </a:ln>
          </c:spPr>
          <c:invertIfNegative val="0"/>
          <c:dPt>
            <c:idx val="0"/>
            <c:invertIfNegative val="0"/>
            <c:spPr>
              <a:solidFill>
                <a:srgbClr val="004586"/>
              </a:solidFill>
              <a:ln w="0">
                <a:noFill/>
              </a:ln>
            </c:spPr>
          </c:dPt>
          <c:dPt>
            <c:idx val="8"/>
            <c:invertIfNegative val="0"/>
            <c:spPr>
              <a:solidFill>
                <a:srgbClr val="004586"/>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ETPR!$B$31:$B$56</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ETPR!$C$31:$C$56</c:f>
              <c:numCache>
                <c:formatCode>0.00</c:formatCode>
                <c:ptCount val="26"/>
                <c:pt idx="0">
                  <c:v>0.003</c:v>
                </c:pt>
                <c:pt idx="1">
                  <c:v>0.003</c:v>
                </c:pt>
                <c:pt idx="2">
                  <c:v>0.011</c:v>
                </c:pt>
                <c:pt idx="3">
                  <c:v>0.011</c:v>
                </c:pt>
                <c:pt idx="4">
                  <c:v>0.006</c:v>
                </c:pt>
                <c:pt idx="5">
                  <c:v>0.014</c:v>
                </c:pt>
                <c:pt idx="6">
                  <c:v>0.002</c:v>
                </c:pt>
                <c:pt idx="7">
                  <c:v>0.004</c:v>
                </c:pt>
                <c:pt idx="8">
                  <c:v>0</c:v>
                </c:pt>
                <c:pt idx="9">
                  <c:v>0.002</c:v>
                </c:pt>
                <c:pt idx="10">
                  <c:v>0.001</c:v>
                </c:pt>
                <c:pt idx="11">
                  <c:v>0.004</c:v>
                </c:pt>
                <c:pt idx="12">
                  <c:v>0.005</c:v>
                </c:pt>
                <c:pt idx="13">
                  <c:v>0.012</c:v>
                </c:pt>
                <c:pt idx="14">
                  <c:v>0</c:v>
                </c:pt>
                <c:pt idx="15">
                  <c:v>0</c:v>
                </c:pt>
                <c:pt idx="16">
                  <c:v>0.003</c:v>
                </c:pt>
                <c:pt idx="17">
                  <c:v>0.003</c:v>
                </c:pt>
                <c:pt idx="18">
                  <c:v>0.001</c:v>
                </c:pt>
                <c:pt idx="19">
                  <c:v>0.002</c:v>
                </c:pt>
                <c:pt idx="20">
                  <c:v>0.005</c:v>
                </c:pt>
                <c:pt idx="21">
                  <c:v>0.007</c:v>
                </c:pt>
                <c:pt idx="22">
                  <c:v>0.013</c:v>
                </c:pt>
                <c:pt idx="23">
                  <c:v>0.02</c:v>
                </c:pt>
                <c:pt idx="24">
                  <c:v>0.045</c:v>
                </c:pt>
                <c:pt idx="25">
                  <c:v>0.045</c:v>
                </c:pt>
              </c:numCache>
            </c:numRef>
          </c:val>
        </c:ser>
        <c:ser>
          <c:idx val="1"/>
          <c:order val="1"/>
          <c:tx>
            <c:strRef>
              <c:f>ETPR!$D$3</c:f>
              <c:strCache>
                <c:ptCount val="1"/>
                <c:pt idx="0">
                  <c:v>Authorized ETPR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ETPR!$B$31:$B$56</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ETPR!$D$31:$D$56</c:f>
              <c:numCache>
                <c:formatCode>0.00</c:formatCode>
                <c:ptCount val="26"/>
                <c:pt idx="0">
                  <c:v>0</c:v>
                </c:pt>
                <c:pt idx="1">
                  <c:v>0</c:v>
                </c:pt>
                <c:pt idx="2">
                  <c:v>0.007</c:v>
                </c:pt>
                <c:pt idx="3">
                  <c:v>0.007</c:v>
                </c:pt>
                <c:pt idx="4">
                  <c:v>0.007</c:v>
                </c:pt>
                <c:pt idx="5">
                  <c:v>0.013</c:v>
                </c:pt>
                <c:pt idx="6">
                  <c:v>0</c:v>
                </c:pt>
                <c:pt idx="7">
                  <c:v>0.007</c:v>
                </c:pt>
                <c:pt idx="8">
                  <c:v>0</c:v>
                </c:pt>
                <c:pt idx="9">
                  <c:v>0</c:v>
                </c:pt>
                <c:pt idx="10">
                  <c:v>0</c:v>
                </c:pt>
                <c:pt idx="11">
                  <c:v>0</c:v>
                </c:pt>
                <c:pt idx="12">
                  <c:v>0.007</c:v>
                </c:pt>
                <c:pt idx="13">
                  <c:v>0.007</c:v>
                </c:pt>
                <c:pt idx="14">
                  <c:v>0</c:v>
                </c:pt>
                <c:pt idx="15">
                  <c:v>0</c:v>
                </c:pt>
                <c:pt idx="16">
                  <c:v>0</c:v>
                </c:pt>
                <c:pt idx="17">
                  <c:v>0</c:v>
                </c:pt>
                <c:pt idx="18">
                  <c:v>0</c:v>
                </c:pt>
                <c:pt idx="19">
                  <c:v>0</c:v>
                </c:pt>
                <c:pt idx="20">
                  <c:v>0.007</c:v>
                </c:pt>
                <c:pt idx="21">
                  <c:v>0.007</c:v>
                </c:pt>
                <c:pt idx="22">
                  <c:v>0.02</c:v>
                </c:pt>
                <c:pt idx="23">
                  <c:v>0.027</c:v>
                </c:pt>
                <c:pt idx="24">
                  <c:v>0.027</c:v>
                </c:pt>
                <c:pt idx="25">
                  <c:v>0.027</c:v>
                </c:pt>
              </c:numCache>
            </c:numRef>
          </c:val>
        </c:ser>
        <c:ser>
          <c:idx val="2"/>
          <c:order val="2"/>
          <c:tx>
            <c:strRef>
              <c:f>ETPR!$E$3</c:f>
              <c:strCache>
                <c:ptCount val="1"/>
                <c:pt idx="0">
                  <c:v>Unauthorized ETPR</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ETPR!$B$31:$B$56</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ETPR!$E$31:$E$56</c:f>
              <c:numCache>
                <c:formatCode>0.00</c:formatCode>
                <c:ptCount val="26"/>
                <c:pt idx="0">
                  <c:v>0</c:v>
                </c:pt>
                <c:pt idx="1">
                  <c:v>0</c:v>
                </c:pt>
                <c:pt idx="2">
                  <c:v>0</c:v>
                </c:pt>
                <c:pt idx="3">
                  <c:v>0</c:v>
                </c:pt>
                <c:pt idx="4">
                  <c:v>0.013</c:v>
                </c:pt>
                <c:pt idx="5">
                  <c:v>0.025</c:v>
                </c:pt>
                <c:pt idx="6">
                  <c:v>0</c:v>
                </c:pt>
                <c:pt idx="7">
                  <c:v>0</c:v>
                </c:pt>
                <c:pt idx="8">
                  <c:v>0</c:v>
                </c:pt>
                <c:pt idx="9">
                  <c:v>0</c:v>
                </c:pt>
                <c:pt idx="10">
                  <c:v>0</c:v>
                </c:pt>
                <c:pt idx="11">
                  <c:v>0</c:v>
                </c:pt>
                <c:pt idx="12">
                  <c:v>0</c:v>
                </c:pt>
                <c:pt idx="13">
                  <c:v>0.013</c:v>
                </c:pt>
                <c:pt idx="14">
                  <c:v>0</c:v>
                </c:pt>
                <c:pt idx="15">
                  <c:v>0</c:v>
                </c:pt>
                <c:pt idx="16">
                  <c:v>0</c:v>
                </c:pt>
                <c:pt idx="17">
                  <c:v>0</c:v>
                </c:pt>
                <c:pt idx="18">
                  <c:v>0</c:v>
                </c:pt>
                <c:pt idx="19">
                  <c:v>0</c:v>
                </c:pt>
                <c:pt idx="20">
                  <c:v>0</c:v>
                </c:pt>
                <c:pt idx="21">
                  <c:v>0.013</c:v>
                </c:pt>
                <c:pt idx="22">
                  <c:v>0.025</c:v>
                </c:pt>
                <c:pt idx="23">
                  <c:v>0.025</c:v>
                </c:pt>
                <c:pt idx="24">
                  <c:v>0.013</c:v>
                </c:pt>
                <c:pt idx="25">
                  <c:v>0.013</c:v>
                </c:pt>
              </c:numCache>
            </c:numRef>
          </c:val>
        </c:ser>
        <c:ser>
          <c:idx val="3"/>
          <c:order val="3"/>
          <c:tx>
            <c:strRef>
              <c:f>ETPR!$F$3</c:f>
              <c:strCache>
                <c:ptCount val="1"/>
                <c:pt idx="0">
                  <c:v>American ETPR</c:v>
                </c:pt>
              </c:strCache>
            </c:strRef>
          </c:tx>
          <c:spPr>
            <a:solidFill>
              <a:srgbClr val="579d1c"/>
            </a:solidFill>
            <a:ln w="0">
              <a:noFill/>
            </a:ln>
          </c:spPr>
          <c:invertIfNegative val="0"/>
          <c:dPt>
            <c:idx val="3"/>
            <c:invertIfNegative val="0"/>
            <c:spPr>
              <a:solidFill>
                <a:srgbClr val="579d1c"/>
              </a:solidFill>
              <a:ln w="0">
                <a:noFill/>
              </a:ln>
            </c:spPr>
          </c:dPt>
          <c:dPt>
            <c:idx val="8"/>
            <c:invertIfNegative val="0"/>
            <c:spPr>
              <a:solidFill>
                <a:srgbClr val="579d1c"/>
              </a:solidFill>
              <a:ln w="0">
                <a:noFill/>
              </a:ln>
            </c:spPr>
          </c:dPt>
          <c:dLbls>
            <c:dLbl>
              <c:idx val="3"/>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ETPR!$B$31:$B$56</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ETPR!$F$31:$F$56</c:f>
              <c:numCache>
                <c:formatCode>0.00</c:formatCode>
                <c:ptCount val="26"/>
                <c:pt idx="0">
                  <c:v>0.003</c:v>
                </c:pt>
                <c:pt idx="1">
                  <c:v>0.003</c:v>
                </c:pt>
                <c:pt idx="2">
                  <c:v>0.012</c:v>
                </c:pt>
                <c:pt idx="3">
                  <c:v>0.012</c:v>
                </c:pt>
                <c:pt idx="4">
                  <c:v>0.006</c:v>
                </c:pt>
                <c:pt idx="5">
                  <c:v>0.014</c:v>
                </c:pt>
                <c:pt idx="6">
                  <c:v>0.002</c:v>
                </c:pt>
                <c:pt idx="7">
                  <c:v>0.004</c:v>
                </c:pt>
                <c:pt idx="8">
                  <c:v>0.001</c:v>
                </c:pt>
                <c:pt idx="9">
                  <c:v>0.002</c:v>
                </c:pt>
                <c:pt idx="10">
                  <c:v>0.001</c:v>
                </c:pt>
                <c:pt idx="11">
                  <c:v>0.005</c:v>
                </c:pt>
                <c:pt idx="12">
                  <c:v>0.005</c:v>
                </c:pt>
                <c:pt idx="13">
                  <c:v>0.012</c:v>
                </c:pt>
                <c:pt idx="14">
                  <c:v>0</c:v>
                </c:pt>
                <c:pt idx="15">
                  <c:v>0</c:v>
                </c:pt>
                <c:pt idx="16">
                  <c:v>0.003</c:v>
                </c:pt>
                <c:pt idx="17">
                  <c:v>0.003</c:v>
                </c:pt>
                <c:pt idx="18">
                  <c:v>0.001</c:v>
                </c:pt>
                <c:pt idx="19">
                  <c:v>0.002</c:v>
                </c:pt>
                <c:pt idx="20">
                  <c:v>0.005</c:v>
                </c:pt>
                <c:pt idx="21">
                  <c:v>0.007</c:v>
                </c:pt>
                <c:pt idx="22">
                  <c:v>0.013</c:v>
                </c:pt>
                <c:pt idx="23">
                  <c:v>0.019</c:v>
                </c:pt>
                <c:pt idx="24">
                  <c:v>0.047</c:v>
                </c:pt>
                <c:pt idx="25">
                  <c:v>0.047</c:v>
                </c:pt>
              </c:numCache>
            </c:numRef>
          </c:val>
        </c:ser>
        <c:gapWidth val="100"/>
        <c:overlap val="0"/>
        <c:axId val="37329452"/>
        <c:axId val="26582505"/>
      </c:barChart>
      <c:catAx>
        <c:axId val="3732945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5619528354"/>
              <c:y val="0.47801669991871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6582505"/>
        <c:crosses val="autoZero"/>
        <c:auto val="1"/>
        <c:lblAlgn val="ctr"/>
        <c:lblOffset val="100"/>
        <c:noMultiLvlLbl val="0"/>
      </c:catAx>
      <c:valAx>
        <c:axId val="2658250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431145989431343"/>
              <c:y val="0.9692603266090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7329452"/>
        <c:crosses val="max"/>
        <c:crossBetween val="midCat"/>
      </c:valAx>
      <c:spPr>
        <a:noFill/>
        <a:ln w="0">
          <a:solidFill>
            <a:srgbClr val="b3b3b3"/>
          </a:solidFill>
        </a:ln>
      </c:spPr>
    </c:plotArea>
    <c:legend>
      <c:legendPos val="r"/>
      <c:layout>
        <c:manualLayout>
          <c:xMode val="edge"/>
          <c:yMode val="edge"/>
          <c:x val="0.85634858044164"/>
          <c:y val="0.0782019704433498"/>
          <c:w val="0.120149842271293"/>
          <c:h val="0.075049261083743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673133798651"/>
          <c:y val="0.0105421315795956"/>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LFPR!$C$2</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LFPR!$C$4:$C$29</c:f>
              <c:numCache>
                <c:formatCode>0.00%</c:formatCode>
                <c:ptCount val="26"/>
              </c:numCache>
            </c:numRef>
          </c:val>
        </c:ser>
        <c:ser>
          <c:idx val="1"/>
          <c:order val="1"/>
          <c:tx>
            <c:strRef>
              <c:f>LFPR!$D$2</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LFPR!$D$4:$D$29</c:f>
              <c:numCache>
                <c:formatCode>0.00%</c:formatCode>
                <c:ptCount val="26"/>
              </c:numCache>
            </c:numRef>
          </c:val>
        </c:ser>
        <c:ser>
          <c:idx val="2"/>
          <c:order val="2"/>
          <c:tx>
            <c:strRef>
              <c:f>LFPR!$E$2</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LFPR!$E$4:$E$29</c:f>
              <c:numCache>
                <c:formatCode>0.00%</c:formatCode>
                <c:ptCount val="26"/>
              </c:numCache>
            </c:numRef>
          </c:val>
        </c:ser>
        <c:ser>
          <c:idx val="3"/>
          <c:order val="3"/>
          <c:tx>
            <c:strRef>
              <c:f>LFPR!$F$2</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LFPR!$F$4:$F$29</c:f>
              <c:numCache>
                <c:formatCode>0.00%</c:formatCode>
                <c:ptCount val="26"/>
              </c:numCache>
            </c:numRef>
          </c:val>
        </c:ser>
        <c:gapWidth val="100"/>
        <c:overlap val="0"/>
        <c:axId val="65852780"/>
        <c:axId val="94882524"/>
      </c:barChart>
      <c:catAx>
        <c:axId val="6585278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99206877016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4882524"/>
        <c:crosses val="autoZero"/>
        <c:auto val="1"/>
        <c:lblAlgn val="ctr"/>
        <c:lblOffset val="100"/>
        <c:noMultiLvlLbl val="0"/>
      </c:catAx>
      <c:valAx>
        <c:axId val="9488252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430300879372"/>
              <c:y val="0.9692603266090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5852780"/>
        <c:crosses val="max"/>
        <c:crossBetween val="midCat"/>
      </c:valAx>
      <c:spPr>
        <a:noFill/>
        <a:ln w="0">
          <a:solidFill>
            <a:srgbClr val="b3b3b3"/>
          </a:solidFill>
        </a:ln>
      </c:spPr>
    </c:plotArea>
    <c:legend>
      <c:legendPos val="r"/>
      <c:layout>
        <c:manualLayout>
          <c:xMode val="edge"/>
          <c:yMode val="edge"/>
          <c:x val="0.802576629107241"/>
          <c:y val="0.0768549062084585"/>
          <c:w val="0.171939639888105"/>
          <c:h val="0.11176485069299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791434993493"/>
          <c:y val="0.0105421315795956"/>
        </c:manualLayout>
      </c:layout>
      <c:overlay val="0"/>
      <c:spPr>
        <a:noFill/>
        <a:ln w="0">
          <a:noFill/>
        </a:ln>
      </c:spPr>
    </c:title>
    <c:autoTitleDeleted val="0"/>
    <c:plotArea>
      <c:layout>
        <c:manualLayout>
          <c:layoutTarget val="inner"/>
          <c:xMode val="edge"/>
          <c:yMode val="edge"/>
          <c:x val="0.299065420560748"/>
          <c:y val="0.0468730756915195"/>
          <c:w val="0.470286683228834"/>
          <c:h val="0.874060937461514"/>
        </c:manualLayout>
      </c:layout>
      <c:barChart>
        <c:barDir val="bar"/>
        <c:grouping val="clustered"/>
        <c:varyColors val="0"/>
        <c:ser>
          <c:idx val="0"/>
          <c:order val="0"/>
          <c:tx>
            <c:strRef>
              <c:f>LFPR!$C$2</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LFPR!$C$30:$C$55</c:f>
              <c:numCache>
                <c:formatCode>0.00%</c:formatCode>
                <c:ptCount val="26"/>
              </c:numCache>
            </c:numRef>
          </c:val>
        </c:ser>
        <c:ser>
          <c:idx val="1"/>
          <c:order val="1"/>
          <c:tx>
            <c:strRef>
              <c:f>LFPR!$D$2</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LFPR!$D$30:$D$55</c:f>
              <c:numCache>
                <c:formatCode>0.00%</c:formatCode>
                <c:ptCount val="26"/>
              </c:numCache>
            </c:numRef>
          </c:val>
        </c:ser>
        <c:ser>
          <c:idx val="2"/>
          <c:order val="2"/>
          <c:tx>
            <c:strRef>
              <c:f>LFPR!$E$2</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LFPR!$E$30:$E$55</c:f>
              <c:numCache>
                <c:formatCode>0.00%</c:formatCode>
                <c:ptCount val="26"/>
              </c:numCache>
            </c:numRef>
          </c:val>
        </c:ser>
        <c:ser>
          <c:idx val="3"/>
          <c:order val="3"/>
          <c:tx>
            <c:strRef>
              <c:f>LFPR!$F$2</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LFPR!$F$30:$F$55</c:f>
              <c:numCache>
                <c:formatCode>0.00%</c:formatCode>
                <c:ptCount val="26"/>
              </c:numCache>
            </c:numRef>
          </c:val>
        </c:ser>
        <c:gapWidth val="100"/>
        <c:overlap val="0"/>
        <c:axId val="83868205"/>
        <c:axId val="96959052"/>
      </c:barChart>
      <c:catAx>
        <c:axId val="8386820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91817532451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6959052"/>
        <c:crosses val="autoZero"/>
        <c:auto val="1"/>
        <c:lblAlgn val="ctr"/>
        <c:lblOffset val="100"/>
        <c:noMultiLvlLbl val="0"/>
      </c:catAx>
      <c:valAx>
        <c:axId val="9695905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5091683426"/>
              <c:y val="0.9692603266090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3868205"/>
        <c:crosses val="max"/>
        <c:crossBetween val="midCat"/>
      </c:valAx>
      <c:spPr>
        <a:noFill/>
        <a:ln w="0">
          <a:solidFill>
            <a:srgbClr val="b3b3b3"/>
          </a:solidFill>
        </a:ln>
      </c:spPr>
    </c:plotArea>
    <c:legend>
      <c:legendPos val="r"/>
      <c:layout>
        <c:manualLayout>
          <c:xMode val="edge"/>
          <c:yMode val="edge"/>
          <c:x val="0.802546013478895"/>
          <c:y val="0.0768226922414005"/>
          <c:w val="0.171921803562983"/>
          <c:h val="0.111764995567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5713553373556"/>
          <c:y val="0.0105421315795956"/>
        </c:manualLayout>
      </c:layout>
      <c:overlay val="0"/>
      <c:spPr>
        <a:noFill/>
        <a:ln w="0">
          <a:noFill/>
        </a:ln>
      </c:spPr>
    </c:title>
    <c:autoTitleDeleted val="0"/>
    <c:plotArea>
      <c:layout>
        <c:manualLayout>
          <c:layoutTarget val="inner"/>
          <c:xMode val="edge"/>
          <c:yMode val="edge"/>
          <c:x val="0.299065420560748"/>
          <c:y val="0.0468730756915195"/>
          <c:w val="0.470286683228834"/>
          <c:h val="0.874060937461514"/>
        </c:manualLayout>
      </c:layout>
      <c:barChart>
        <c:barDir val="bar"/>
        <c:grouping val="clustered"/>
        <c:varyColors val="0"/>
        <c:ser>
          <c:idx val="0"/>
          <c:order val="0"/>
          <c:tx>
            <c:strRef>
              <c:f>U3R!$C$2</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U3R!$C$30:$C$55</c:f>
              <c:numCache>
                <c:formatCode>0.00%</c:formatCode>
                <c:ptCount val="26"/>
              </c:numCache>
            </c:numRef>
          </c:val>
        </c:ser>
        <c:ser>
          <c:idx val="1"/>
          <c:order val="1"/>
          <c:tx>
            <c:strRef>
              <c:f>U3R!$D$2</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U3R!$D$30:$D$55</c:f>
              <c:numCache>
                <c:formatCode>0.00%</c:formatCode>
                <c:ptCount val="26"/>
              </c:numCache>
            </c:numRef>
          </c:val>
        </c:ser>
        <c:ser>
          <c:idx val="2"/>
          <c:order val="2"/>
          <c:tx>
            <c:strRef>
              <c:f>U3R!$E$2</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U3R!$E$30:$E$55</c:f>
              <c:numCache>
                <c:formatCode>0.00%</c:formatCode>
                <c:ptCount val="26"/>
              </c:numCache>
            </c:numRef>
          </c:val>
        </c:ser>
        <c:ser>
          <c:idx val="3"/>
          <c:order val="3"/>
          <c:tx>
            <c:strRef>
              <c:f>U3R!$F$2</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U3R!$F$30:$F$55</c:f>
              <c:numCache>
                <c:formatCode>0.00%</c:formatCode>
                <c:ptCount val="26"/>
              </c:numCache>
            </c:numRef>
          </c:val>
        </c:ser>
        <c:gapWidth val="100"/>
        <c:overlap val="0"/>
        <c:axId val="7375188"/>
        <c:axId val="68609684"/>
      </c:barChart>
      <c:catAx>
        <c:axId val="737518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91817532451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8609684"/>
        <c:crosses val="autoZero"/>
        <c:auto val="1"/>
        <c:lblAlgn val="ctr"/>
        <c:lblOffset val="100"/>
        <c:noMultiLvlLbl val="0"/>
      </c:catAx>
      <c:valAx>
        <c:axId val="6860968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5091683426"/>
              <c:y val="0.9692603266090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375188"/>
        <c:crosses val="max"/>
        <c:crossBetween val="midCat"/>
        <c:majorUnit val="0.01"/>
      </c:valAx>
      <c:spPr>
        <a:noFill/>
        <a:ln w="0">
          <a:solidFill>
            <a:srgbClr val="b3b3b3"/>
          </a:solidFill>
        </a:ln>
      </c:spPr>
    </c:plotArea>
    <c:legend>
      <c:legendPos val="r"/>
      <c:layout>
        <c:manualLayout>
          <c:xMode val="edge"/>
          <c:yMode val="edge"/>
          <c:x val="0.802585425452252"/>
          <c:y val="0.0768719375569399"/>
          <c:w val="0.171961217089705"/>
          <c:h val="0.111764995567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5713553373556"/>
          <c:y val="0.0105421315795956"/>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U3R!$C$2</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U3R!$C$4:$C$29</c:f>
              <c:numCache>
                <c:formatCode>0.00%</c:formatCode>
                <c:ptCount val="26"/>
              </c:numCache>
            </c:numRef>
          </c:val>
        </c:ser>
        <c:ser>
          <c:idx val="1"/>
          <c:order val="1"/>
          <c:tx>
            <c:strRef>
              <c:f>U3R!$D$2</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U3R!$D$4:$D$29</c:f>
              <c:numCache>
                <c:formatCode>0.00%</c:formatCode>
                <c:ptCount val="26"/>
              </c:numCache>
            </c:numRef>
          </c:val>
        </c:ser>
        <c:ser>
          <c:idx val="2"/>
          <c:order val="2"/>
          <c:tx>
            <c:strRef>
              <c:f>U3R!$E$2</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U3R!$E$4:$E$29</c:f>
              <c:numCache>
                <c:formatCode>0.00%</c:formatCode>
                <c:ptCount val="26"/>
              </c:numCache>
            </c:numRef>
          </c:val>
        </c:ser>
        <c:ser>
          <c:idx val="3"/>
          <c:order val="3"/>
          <c:tx>
            <c:strRef>
              <c:f>U3R!$F$2</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U3R!$F$4:$F$29</c:f>
              <c:numCache>
                <c:formatCode>0.00%</c:formatCode>
                <c:ptCount val="26"/>
              </c:numCache>
            </c:numRef>
          </c:val>
        </c:ser>
        <c:gapWidth val="100"/>
        <c:overlap val="0"/>
        <c:axId val="93074589"/>
        <c:axId val="2389790"/>
      </c:barChart>
      <c:catAx>
        <c:axId val="9307458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94280647306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389790"/>
        <c:crosses val="autoZero"/>
        <c:auto val="1"/>
        <c:lblAlgn val="ctr"/>
        <c:lblOffset val="100"/>
        <c:noMultiLvlLbl val="0"/>
      </c:catAx>
      <c:valAx>
        <c:axId val="238979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5091683426"/>
              <c:y val="0.9692603266090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3074589"/>
        <c:crosses val="max"/>
        <c:crossBetween val="midCat"/>
        <c:majorUnit val="0.01"/>
      </c:valAx>
      <c:spPr>
        <a:noFill/>
        <a:ln w="0">
          <a:solidFill>
            <a:srgbClr val="b3b3b3"/>
          </a:solidFill>
        </a:ln>
      </c:spPr>
    </c:plotArea>
    <c:legend>
      <c:legendPos val="r"/>
      <c:layout>
        <c:manualLayout>
          <c:xMode val="edge"/>
          <c:yMode val="edge"/>
          <c:x val="0.802562586240883"/>
          <c:y val="0.0768624553626401"/>
          <c:w val="0.171936603059454"/>
          <c:h val="0.11176238794207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0058361922789"/>
          <c:y val="0.0105421315795956"/>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U6R!$C$2</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U6R!$C$4:$C$29</c:f>
              <c:numCache>
                <c:formatCode>0.00%</c:formatCode>
                <c:ptCount val="26"/>
              </c:numCache>
            </c:numRef>
          </c:val>
        </c:ser>
        <c:ser>
          <c:idx val="1"/>
          <c:order val="1"/>
          <c:tx>
            <c:strRef>
              <c:f>U6R!$D$2</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U6R!$D$4:$D$29</c:f>
              <c:numCache>
                <c:formatCode>0.00%</c:formatCode>
                <c:ptCount val="26"/>
              </c:numCache>
            </c:numRef>
          </c:val>
        </c:ser>
        <c:ser>
          <c:idx val="2"/>
          <c:order val="2"/>
          <c:tx>
            <c:strRef>
              <c:f>U6R!$E$2</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U6R!$E$4:$E$29</c:f>
              <c:numCache>
                <c:formatCode>0.00%</c:formatCode>
                <c:ptCount val="26"/>
              </c:numCache>
            </c:numRef>
          </c:val>
        </c:ser>
        <c:ser>
          <c:idx val="3"/>
          <c:order val="3"/>
          <c:tx>
            <c:strRef>
              <c:f>U6R!$F$2</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U6R!$F$4:$F$29</c:f>
              <c:numCache>
                <c:formatCode>0.00%</c:formatCode>
                <c:ptCount val="26"/>
              </c:numCache>
            </c:numRef>
          </c:val>
        </c:ser>
        <c:gapWidth val="100"/>
        <c:overlap val="0"/>
        <c:axId val="86250436"/>
        <c:axId val="31810535"/>
      </c:barChart>
      <c:catAx>
        <c:axId val="8625043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94280647306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1810535"/>
        <c:crosses val="autoZero"/>
        <c:auto val="1"/>
        <c:lblAlgn val="ctr"/>
        <c:lblOffset val="100"/>
        <c:noMultiLvlLbl val="0"/>
      </c:catAx>
      <c:valAx>
        <c:axId val="3181053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1996529831618"/>
              <c:y val="0.9692603266090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6250436"/>
        <c:crosses val="max"/>
        <c:crossBetween val="midCat"/>
        <c:majorUnit val="0.01"/>
      </c:valAx>
      <c:spPr>
        <a:noFill/>
        <a:ln w="0">
          <a:solidFill>
            <a:srgbClr val="b3b3b3"/>
          </a:solidFill>
        </a:ln>
      </c:spPr>
    </c:plotArea>
    <c:legend>
      <c:legendPos val="r"/>
      <c:layout>
        <c:manualLayout>
          <c:xMode val="edge"/>
          <c:yMode val="edge"/>
          <c:x val="0.802562586240883"/>
          <c:y val="0.0768624553626401"/>
          <c:w val="0.171936603059454"/>
          <c:h val="0.11176238794207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0058361922789"/>
          <c:y val="0.0105421315795956"/>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U6R!$C$2</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U6R!$C$30:$C$55</c:f>
              <c:numCache>
                <c:formatCode>0.00%</c:formatCode>
                <c:ptCount val="26"/>
              </c:numCache>
            </c:numRef>
          </c:val>
        </c:ser>
        <c:ser>
          <c:idx val="1"/>
          <c:order val="1"/>
          <c:tx>
            <c:strRef>
              <c:f>U6R!$D$2</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U6R!$D$30:$D$55</c:f>
              <c:numCache>
                <c:formatCode>0.00%</c:formatCode>
                <c:ptCount val="26"/>
              </c:numCache>
            </c:numRef>
          </c:val>
        </c:ser>
        <c:ser>
          <c:idx val="2"/>
          <c:order val="2"/>
          <c:tx>
            <c:strRef>
              <c:f>U6R!$E$2</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U6R!$E$30:$E$55</c:f>
              <c:numCache>
                <c:formatCode>0.00%</c:formatCode>
                <c:ptCount val="26"/>
              </c:numCache>
            </c:numRef>
          </c:val>
        </c:ser>
        <c:ser>
          <c:idx val="3"/>
          <c:order val="3"/>
          <c:tx>
            <c:strRef>
              <c:f>U6R!$F$2</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U6R!$F$30:$F$55</c:f>
              <c:numCache>
                <c:formatCode>0.00%</c:formatCode>
                <c:ptCount val="26"/>
              </c:numCache>
            </c:numRef>
          </c:val>
        </c:ser>
        <c:gapWidth val="100"/>
        <c:overlap val="0"/>
        <c:axId val="25531499"/>
        <c:axId val="68473663"/>
      </c:barChart>
      <c:catAx>
        <c:axId val="2553149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89354417596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8473663"/>
        <c:crosses val="autoZero"/>
        <c:auto val="1"/>
        <c:lblAlgn val="ctr"/>
        <c:lblOffset val="100"/>
        <c:noMultiLvlLbl val="0"/>
      </c:catAx>
      <c:valAx>
        <c:axId val="6847366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2075397294846"/>
              <c:y val="0.9692603266090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5531499"/>
        <c:crosses val="max"/>
        <c:crossBetween val="midCat"/>
        <c:majorUnit val="0.01"/>
      </c:valAx>
      <c:spPr>
        <a:noFill/>
        <a:ln w="0">
          <a:solidFill>
            <a:srgbClr val="b3b3b3"/>
          </a:solidFill>
        </a:ln>
      </c:spPr>
    </c:plotArea>
    <c:legend>
      <c:legendPos val="r"/>
      <c:layout>
        <c:manualLayout>
          <c:xMode val="edge"/>
          <c:yMode val="edge"/>
          <c:x val="0.802523161837177"/>
          <c:y val="0.0768378278537126"/>
          <c:w val="0.171936603059454"/>
          <c:h val="0.11176238794207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7007768445128"/>
          <c:y val="0.0105421315795956"/>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WAVG!$C$2</c:f>
              <c:strCache>
                <c:ptCount val="1"/>
                <c:pt idx="0">
                  <c:v>Wage Average ($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WAVG!$C$4:$C$29</c:f>
              <c:numCache>
                <c:formatCode>[$$-409]#,##0.00;[RED]\-[$$-409]#,##0.00</c:formatCode>
                <c:ptCount val="26"/>
              </c:numCache>
            </c:numRef>
          </c:val>
        </c:ser>
        <c:ser>
          <c:idx val="1"/>
          <c:order val="1"/>
          <c:tx>
            <c:strRef>
              <c:f>WAVG!$D$2</c:f>
              <c:strCache>
                <c:ptCount val="1"/>
                <c:pt idx="0">
                  <c:v>Authorized Immigrant Wage Average ($ /hr)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WAVG!$D$4:$D$29</c:f>
              <c:numCache>
                <c:formatCode>[$$-409]#,##0.00;[RED]\-[$$-409]#,##0.00</c:formatCode>
                <c:ptCount val="26"/>
              </c:numCache>
            </c:numRef>
          </c:val>
        </c:ser>
        <c:ser>
          <c:idx val="2"/>
          <c:order val="2"/>
          <c:tx>
            <c:strRef>
              <c:f>WAVG!$E$2</c:f>
              <c:strCache>
                <c:ptCount val="1"/>
                <c:pt idx="0">
                  <c:v>Unauthorized Immigrant Wage Average ($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WAVG!$E$4:$E$29</c:f>
              <c:numCache>
                <c:formatCode>[$$-409]#,##0.00;[RED]\-[$$-409]#,##0.00</c:formatCode>
                <c:ptCount val="26"/>
              </c:numCache>
            </c:numRef>
          </c:val>
        </c:ser>
        <c:ser>
          <c:idx val="3"/>
          <c:order val="3"/>
          <c:tx>
            <c:strRef>
              <c:f>WAVG!$F$2</c:f>
              <c:strCache>
                <c:ptCount val="1"/>
                <c:pt idx="0">
                  <c:v>American Wage Average ($ /hr)</c:v>
                </c:pt>
              </c:strCache>
            </c:strRef>
          </c:tx>
          <c:spPr>
            <a:solidFill>
              <a:srgbClr val="579d1c"/>
            </a:solidFill>
            <a:ln w="0">
              <a:noFill/>
            </a:ln>
          </c:spPr>
          <c:invertIfNegative val="0"/>
          <c:dLbls>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WAVG!$F$4:$F$29</c:f>
              <c:numCache>
                <c:formatCode>[$$-409]#,##0.00;[RED]\-[$$-409]#,##0.00</c:formatCode>
                <c:ptCount val="26"/>
              </c:numCache>
            </c:numRef>
          </c:val>
        </c:ser>
        <c:gapWidth val="100"/>
        <c:overlap val="0"/>
        <c:axId val="68493836"/>
        <c:axId val="26490500"/>
      </c:barChart>
      <c:catAx>
        <c:axId val="6849383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79501958176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6490500"/>
        <c:crosses val="autoZero"/>
        <c:auto val="1"/>
        <c:lblAlgn val="ctr"/>
        <c:lblOffset val="100"/>
        <c:noMultiLvlLbl val="0"/>
      </c:catAx>
      <c:valAx>
        <c:axId val="2649050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666903269056"/>
              <c:y val="0.96926032660903"/>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8493836"/>
        <c:crosses val="max"/>
        <c:crossBetween val="midCat"/>
      </c:valAx>
      <c:spPr>
        <a:noFill/>
        <a:ln w="0">
          <a:solidFill>
            <a:srgbClr val="b3b3b3"/>
          </a:solidFill>
        </a:ln>
      </c:spPr>
    </c:plotArea>
    <c:legend>
      <c:legendPos val="r"/>
      <c:layout>
        <c:manualLayout>
          <c:xMode val="edge"/>
          <c:yMode val="edge"/>
          <c:x val="0.802523161837177"/>
          <c:y val="0.0767639453269302"/>
          <c:w val="0.171897177101404"/>
          <c:h val="0.0721850064033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712606963997"/>
          <c:y val="0.0105421315795956"/>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WAVG!$C$2</c:f>
              <c:strCache>
                <c:ptCount val="1"/>
                <c:pt idx="0">
                  <c:v>Wage Average ($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WAVG!$C$30:$C$55</c:f>
              <c:numCache>
                <c:formatCode>[$$-409]#,##0.00;[RED]\-[$$-409]#,##0.00</c:formatCode>
                <c:ptCount val="26"/>
              </c:numCache>
            </c:numRef>
          </c:val>
        </c:ser>
        <c:ser>
          <c:idx val="1"/>
          <c:order val="1"/>
          <c:tx>
            <c:strRef>
              <c:f>WAVG!$D$2</c:f>
              <c:strCache>
                <c:ptCount val="1"/>
                <c:pt idx="0">
                  <c:v>Authorized Immigrant Wage Average ($ /hr)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WAVG!$D$30:$D$55</c:f>
              <c:numCache>
                <c:formatCode>[$$-409]#,##0.00;[RED]\-[$$-409]#,##0.00</c:formatCode>
                <c:ptCount val="26"/>
              </c:numCache>
            </c:numRef>
          </c:val>
        </c:ser>
        <c:ser>
          <c:idx val="2"/>
          <c:order val="2"/>
          <c:tx>
            <c:strRef>
              <c:f>WAVG!$E$2</c:f>
              <c:strCache>
                <c:ptCount val="1"/>
                <c:pt idx="0">
                  <c:v>Unauthorized Immigrant Wage Average ($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WAVG!$E$30:$E$55</c:f>
              <c:numCache>
                <c:formatCode>[$$-409]#,##0.00;[RED]\-[$$-409]#,##0.00</c:formatCode>
                <c:ptCount val="26"/>
              </c:numCache>
            </c:numRef>
          </c:val>
        </c:ser>
        <c:ser>
          <c:idx val="3"/>
          <c:order val="3"/>
          <c:tx>
            <c:strRef>
              <c:f>WAVG!$F$2</c:f>
              <c:strCache>
                <c:ptCount val="1"/>
                <c:pt idx="0">
                  <c:v>American Wage Average ($ /hr)</c:v>
                </c:pt>
              </c:strCache>
            </c:strRef>
          </c:tx>
          <c:spPr>
            <a:solidFill>
              <a:srgbClr val="579d1c"/>
            </a:solidFill>
            <a:ln w="0">
              <a:noFill/>
            </a:ln>
          </c:spPr>
          <c:invertIfNegative val="0"/>
          <c:dLbls>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WAVG!$F$30:$F$55</c:f>
              <c:numCache>
                <c:formatCode>[$$-409]#,##0.00;[RED]\-[$$-409]#,##0.00</c:formatCode>
                <c:ptCount val="26"/>
              </c:numCache>
            </c:numRef>
          </c:val>
        </c:ser>
        <c:gapWidth val="100"/>
        <c:overlap val="0"/>
        <c:axId val="42809395"/>
        <c:axId val="87918046"/>
      </c:barChart>
      <c:catAx>
        <c:axId val="4280939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74575728466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7918046"/>
        <c:crosses val="autoZero"/>
        <c:auto val="1"/>
        <c:lblAlgn val="ctr"/>
        <c:lblOffset val="100"/>
        <c:noMultiLvlLbl val="0"/>
      </c:catAx>
      <c:valAx>
        <c:axId val="8791804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745770732284"/>
              <c:y val="0.96926032660903"/>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2809395"/>
        <c:crosses val="max"/>
        <c:crossBetween val="midCat"/>
      </c:valAx>
      <c:spPr>
        <a:noFill/>
        <a:ln w="0">
          <a:solidFill>
            <a:srgbClr val="b3b3b3"/>
          </a:solidFill>
        </a:ln>
      </c:spPr>
    </c:plotArea>
    <c:legend>
      <c:legendPos val="r"/>
      <c:layout>
        <c:manualLayout>
          <c:xMode val="edge"/>
          <c:yMode val="edge"/>
          <c:x val="0.802483737433471"/>
          <c:y val="0.0767639453269302"/>
          <c:w val="0.171857751143353"/>
          <c:h val="0.0721850064033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911747308648"/>
          <c:y val="0.0168477056085125"/>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AIAVG!$C$2</c:f>
              <c:strCache>
                <c:ptCount val="1"/>
                <c:pt idx="0">
                  <c:v>Annual Income Average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AIAVG!$C$4:$C$29</c:f>
              <c:numCache>
                <c:formatCode>[$$-409]#,##0;[RED]\-[$$-409]#,##0</c:formatCode>
                <c:ptCount val="26"/>
              </c:numCache>
            </c:numRef>
          </c:val>
        </c:ser>
        <c:ser>
          <c:idx val="1"/>
          <c:order val="1"/>
          <c:tx>
            <c:strRef>
              <c:f>AIAVG!$D$2</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AIAVG!$D$4:$D$29</c:f>
              <c:numCache>
                <c:formatCode>[$$-409]#,##0;[RED]\-[$$-409]#,##0</c:formatCode>
                <c:ptCount val="26"/>
              </c:numCache>
            </c:numRef>
          </c:val>
        </c:ser>
        <c:ser>
          <c:idx val="2"/>
          <c:order val="2"/>
          <c:tx>
            <c:strRef>
              <c:f>AIAVG!$E$2</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AIAVG!$E$4:$E$29</c:f>
              <c:numCache>
                <c:formatCode>[$$-409]#,##0;[RED]\-[$$-409]#,##0</c:formatCode>
                <c:ptCount val="26"/>
              </c:numCache>
            </c:numRef>
          </c:val>
        </c:ser>
        <c:ser>
          <c:idx val="3"/>
          <c:order val="3"/>
          <c:tx>
            <c:strRef>
              <c:f>AIAVG!$F$2</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AIAVG!$F$4:$F$29</c:f>
              <c:numCache>
                <c:formatCode>[$$-409]#,##0;[RED]\-[$$-409]#,##0</c:formatCode>
                <c:ptCount val="26"/>
              </c:numCache>
            </c:numRef>
          </c:val>
        </c:ser>
        <c:gapWidth val="100"/>
        <c:overlap val="0"/>
        <c:axId val="17210876"/>
        <c:axId val="73182787"/>
      </c:barChart>
      <c:catAx>
        <c:axId val="1721087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6472326904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3182787"/>
        <c:crosses val="autoZero"/>
        <c:auto val="1"/>
        <c:lblAlgn val="ctr"/>
        <c:lblOffset val="100"/>
        <c:noMultiLvlLbl val="0"/>
      </c:catAx>
      <c:valAx>
        <c:axId val="7318278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0892385346425"/>
              <c:y val="0.9692603266090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7210876"/>
        <c:crosses val="max"/>
        <c:crossBetween val="midCat"/>
      </c:valAx>
      <c:spPr>
        <a:noFill/>
        <a:ln w="0">
          <a:solidFill>
            <a:srgbClr val="b3b3b3"/>
          </a:solidFill>
        </a:ln>
      </c:spPr>
    </c:plotArea>
    <c:legend>
      <c:legendPos val="r"/>
      <c:layout>
        <c:manualLayout>
          <c:xMode val="edge"/>
          <c:yMode val="edge"/>
          <c:x val="0.785871877708612"/>
          <c:y val="0.0767810546009552"/>
          <c:w val="0.188526850793901"/>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911747308648"/>
          <c:y val="0.0168477056085125"/>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AIAVG!$C$2</c:f>
              <c:strCache>
                <c:ptCount val="1"/>
                <c:pt idx="0">
                  <c:v>Annual Income Average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AIAVG!$C$30:$C$55</c:f>
              <c:numCache>
                <c:formatCode>[$$-409]#,##0;[RED]\-[$$-409]#,##0</c:formatCode>
                <c:ptCount val="26"/>
              </c:numCache>
            </c:numRef>
          </c:val>
        </c:ser>
        <c:ser>
          <c:idx val="1"/>
          <c:order val="1"/>
          <c:tx>
            <c:strRef>
              <c:f>AIAVG!$D$2</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AIAVG!$D$30:$D$55</c:f>
              <c:numCache>
                <c:formatCode>[$$-409]#,##0;[RED]\-[$$-409]#,##0</c:formatCode>
                <c:ptCount val="26"/>
              </c:numCache>
            </c:numRef>
          </c:val>
        </c:ser>
        <c:ser>
          <c:idx val="2"/>
          <c:order val="2"/>
          <c:tx>
            <c:strRef>
              <c:f>AIAVG!$E$2</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AIAVG!$E$30:$E$55</c:f>
              <c:numCache>
                <c:formatCode>[$$-409]#,##0;[RED]\-[$$-409]#,##0</c:formatCode>
                <c:ptCount val="26"/>
              </c:numCache>
            </c:numRef>
          </c:val>
        </c:ser>
        <c:ser>
          <c:idx val="3"/>
          <c:order val="3"/>
          <c:tx>
            <c:strRef>
              <c:f>AIAVG!$F$2</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AIAVG!$F$30:$F$55</c:f>
              <c:numCache>
                <c:formatCode>[$$-409]#,##0;[RED]\-[$$-409]#,##0</c:formatCode>
                <c:ptCount val="26"/>
              </c:numCache>
            </c:numRef>
          </c:val>
        </c:ser>
        <c:gapWidth val="100"/>
        <c:overlap val="0"/>
        <c:axId val="90199613"/>
        <c:axId val="25605504"/>
      </c:barChart>
      <c:catAx>
        <c:axId val="9019961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52407694770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5605504"/>
        <c:crosses val="autoZero"/>
        <c:auto val="1"/>
        <c:lblAlgn val="ctr"/>
        <c:lblOffset val="100"/>
        <c:noMultiLvlLbl val="0"/>
      </c:catAx>
      <c:valAx>
        <c:axId val="2560550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0892385346425"/>
              <c:y val="0.9692603266090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0199613"/>
        <c:crosses val="max"/>
        <c:crossBetween val="midCat"/>
      </c:valAx>
      <c:spPr>
        <a:noFill/>
        <a:ln w="0">
          <a:solidFill>
            <a:srgbClr val="b3b3b3"/>
          </a:solidFill>
        </a:ln>
      </c:spPr>
    </c:plotArea>
    <c:legend>
      <c:legendPos val="r"/>
      <c:layout>
        <c:manualLayout>
          <c:xMode val="edge"/>
          <c:yMode val="edge"/>
          <c:x val="0.785807214665878"/>
          <c:y val="0.0767393178180027"/>
          <c:w val="0.188495505440782"/>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74395678063"/>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FPITREV!$C$2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FPITREV!$C$4:$C$29</c:f>
              <c:numCache>
                <c:formatCode>[$$-409]#,##0;\-[$$-409]#,##0</c:formatCode>
                <c:ptCount val="26"/>
              </c:numCache>
            </c:numRef>
          </c:val>
        </c:ser>
        <c:ser>
          <c:idx val="1"/>
          <c:order val="1"/>
          <c:tx>
            <c:strRef>
              <c:f>FPITREV!$D$2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FPITREV!$D$4:$D$29</c:f>
              <c:numCache>
                <c:formatCode>[$$-409]#,##0;\-[$$-409]#,##0</c:formatCode>
                <c:ptCount val="26"/>
              </c:numCache>
            </c:numRef>
          </c:val>
        </c:ser>
        <c:ser>
          <c:idx val="2"/>
          <c:order val="2"/>
          <c:tx>
            <c:strRef>
              <c:f>FPITREV!$E$2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FPITREV!$E$4:$E$29</c:f>
              <c:numCache>
                <c:formatCode>[$$-409]#,##0;\-[$$-409]#,##0</c:formatCode>
                <c:ptCount val="26"/>
              </c:numCache>
            </c:numRef>
          </c:val>
        </c:ser>
        <c:ser>
          <c:idx val="3"/>
          <c:order val="3"/>
          <c:tx>
            <c:strRef>
              <c:f>FPITREV!$F$2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FPITREV!$F$4:$F$29</c:f>
              <c:numCache>
                <c:formatCode>[$$-409]#,##0;\-[$$-409]#,##0</c:formatCode>
                <c:ptCount val="26"/>
              </c:numCache>
            </c:numRef>
          </c:val>
        </c:ser>
        <c:gapWidth val="100"/>
        <c:overlap val="0"/>
        <c:axId val="87570936"/>
        <c:axId val="79138567"/>
      </c:barChart>
      <c:catAx>
        <c:axId val="8757093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6472326904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9138567"/>
        <c:crosses val="autoZero"/>
        <c:auto val="1"/>
        <c:lblAlgn val="ctr"/>
        <c:lblOffset val="100"/>
        <c:noMultiLvlLbl val="0"/>
      </c:catAx>
      <c:valAx>
        <c:axId val="7913856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70633700067"/>
              <c:y val="0.9692603266090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7570936"/>
        <c:crosses val="max"/>
        <c:crossBetween val="midCat"/>
        <c:majorUnit val="1000000"/>
      </c:valAx>
      <c:spPr>
        <a:noFill/>
        <a:ln w="0">
          <a:solidFill>
            <a:srgbClr val="b3b3b3"/>
          </a:solidFill>
        </a:ln>
      </c:spPr>
    </c:plotArea>
    <c:legend>
      <c:legendPos val="r"/>
      <c:layout>
        <c:manualLayout>
          <c:xMode val="edge"/>
          <c:yMode val="edge"/>
          <c:x val="0.785840917149273"/>
          <c:y val="0.0767545479162051"/>
          <c:w val="0.18855882121188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74395678063"/>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FPITREV!$C$2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FPITREV!$C$30:$C$55</c:f>
              <c:numCache>
                <c:formatCode>[$$-409]#,##0;\-[$$-409]#,##0</c:formatCode>
                <c:ptCount val="26"/>
              </c:numCache>
            </c:numRef>
          </c:val>
        </c:ser>
        <c:ser>
          <c:idx val="1"/>
          <c:order val="1"/>
          <c:tx>
            <c:strRef>
              <c:f>FPITREV!$D$2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FPITREV!$D$30:$D$55</c:f>
              <c:numCache>
                <c:formatCode>[$$-409]#,##0;\-[$$-409]#,##0</c:formatCode>
                <c:ptCount val="26"/>
              </c:numCache>
            </c:numRef>
          </c:val>
        </c:ser>
        <c:ser>
          <c:idx val="2"/>
          <c:order val="2"/>
          <c:tx>
            <c:strRef>
              <c:f>FPITREV!$E$2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FPITREV!$E$30:$E$55</c:f>
              <c:numCache>
                <c:formatCode>[$$-409]#,##0;\-[$$-409]#,##0</c:formatCode>
                <c:ptCount val="26"/>
              </c:numCache>
            </c:numRef>
          </c:val>
        </c:ser>
        <c:ser>
          <c:idx val="3"/>
          <c:order val="3"/>
          <c:tx>
            <c:strRef>
              <c:f>FPITREV!$F$2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FPITREV!$F$30:$F$55</c:f>
              <c:numCache>
                <c:formatCode>[$$-409]#,##0;\-[$$-409]#,##0</c:formatCode>
                <c:ptCount val="26"/>
              </c:numCache>
            </c:numRef>
          </c:val>
        </c:ser>
        <c:gapWidth val="100"/>
        <c:overlap val="0"/>
        <c:axId val="39419371"/>
        <c:axId val="45725024"/>
      </c:barChart>
      <c:catAx>
        <c:axId val="3941937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49944579915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5725024"/>
        <c:crosses val="autoZero"/>
        <c:auto val="1"/>
        <c:lblAlgn val="ctr"/>
        <c:lblOffset val="100"/>
        <c:noMultiLvlLbl val="0"/>
      </c:catAx>
      <c:valAx>
        <c:axId val="4572502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903505658741"/>
              <c:y val="0.9692603266090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9419371"/>
        <c:crosses val="max"/>
        <c:crossBetween val="midCat"/>
      </c:valAx>
      <c:spPr>
        <a:noFill/>
        <a:ln w="0">
          <a:solidFill>
            <a:srgbClr val="b3b3b3"/>
          </a:solidFill>
        </a:ln>
      </c:spPr>
    </c:plotArea>
    <c:legend>
      <c:legendPos val="r"/>
      <c:layout>
        <c:manualLayout>
          <c:xMode val="edge"/>
          <c:yMode val="edge"/>
          <c:x val="0.785807214665878"/>
          <c:y val="0.0767146903090752"/>
          <c:w val="0.188534931398833"/>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617532237076"/>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FPPTREV!$C$2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FPPTREV!$C$4:$C$29</c:f>
              <c:numCache>
                <c:formatCode>[$$-409]#,##0;\-[$$-409]#,##0</c:formatCode>
                <c:ptCount val="26"/>
              </c:numCache>
            </c:numRef>
          </c:val>
        </c:ser>
        <c:ser>
          <c:idx val="1"/>
          <c:order val="1"/>
          <c:tx>
            <c:strRef>
              <c:f>FPPTREV!$D$2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FPPTREV!$D$4:$D$29</c:f>
              <c:numCache>
                <c:formatCode>[$$-409]#,##0;\-[$$-409]#,##0</c:formatCode>
                <c:ptCount val="26"/>
              </c:numCache>
            </c:numRef>
          </c:val>
        </c:ser>
        <c:ser>
          <c:idx val="2"/>
          <c:order val="2"/>
          <c:tx>
            <c:strRef>
              <c:f>FPPTREV!$E$2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FPPTREV!$E$4:$E$29</c:f>
              <c:numCache>
                <c:formatCode>[$$-409]#,##0;\-[$$-409]#,##0</c:formatCode>
                <c:ptCount val="26"/>
              </c:numCache>
            </c:numRef>
          </c:val>
        </c:ser>
        <c:ser>
          <c:idx val="3"/>
          <c:order val="3"/>
          <c:tx>
            <c:strRef>
              <c:f>FPPTREV!$F$2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FPPTREV!$F$4:$F$29</c:f>
              <c:numCache>
                <c:formatCode>[$$-409]#,##0;\-[$$-409]#,##0</c:formatCode>
                <c:ptCount val="26"/>
              </c:numCache>
            </c:numRef>
          </c:val>
        </c:ser>
        <c:gapWidth val="100"/>
        <c:overlap val="0"/>
        <c:axId val="13007185"/>
        <c:axId val="12747031"/>
      </c:barChart>
      <c:catAx>
        <c:axId val="1300718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52407694770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2747031"/>
        <c:crosses val="autoZero"/>
        <c:auto val="1"/>
        <c:lblAlgn val="ctr"/>
        <c:lblOffset val="100"/>
        <c:noMultiLvlLbl val="0"/>
      </c:catAx>
      <c:valAx>
        <c:axId val="1274703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5091683426"/>
              <c:y val="0.9692603266090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3007185"/>
        <c:crosses val="max"/>
        <c:crossBetween val="midCat"/>
        <c:majorUnit val="1000000"/>
      </c:valAx>
      <c:spPr>
        <a:noFill/>
        <a:ln w="0">
          <a:solidFill>
            <a:srgbClr val="b3b3b3"/>
          </a:solidFill>
        </a:ln>
      </c:spPr>
    </c:plotArea>
    <c:legend>
      <c:legendPos val="r"/>
      <c:layout>
        <c:manualLayout>
          <c:xMode val="edge"/>
          <c:yMode val="edge"/>
          <c:x val="0.804310141044835"/>
          <c:y val="0.0767810546009552"/>
          <c:w val="0.170166660100075"/>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617532237076"/>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FPPTREV!$C$2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FPPTREV!$C$30:$C$55</c:f>
              <c:numCache>
                <c:formatCode>[$$-409]#,##0;\-[$$-409]#,##0</c:formatCode>
                <c:ptCount val="26"/>
              </c:numCache>
            </c:numRef>
          </c:val>
        </c:ser>
        <c:ser>
          <c:idx val="1"/>
          <c:order val="1"/>
          <c:tx>
            <c:strRef>
              <c:f>FPPTREV!$D$2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FPPTREV!$D$30:$D$55</c:f>
              <c:numCache>
                <c:formatCode>[$$-409]#,##0;\-[$$-409]#,##0</c:formatCode>
                <c:ptCount val="26"/>
              </c:numCache>
            </c:numRef>
          </c:val>
        </c:ser>
        <c:ser>
          <c:idx val="2"/>
          <c:order val="2"/>
          <c:tx>
            <c:strRef>
              <c:f>FPPTREV!$E$2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FPPTREV!$E$30:$E$55</c:f>
              <c:numCache>
                <c:formatCode>[$$-409]#,##0;\-[$$-409]#,##0</c:formatCode>
                <c:ptCount val="26"/>
              </c:numCache>
            </c:numRef>
          </c:val>
        </c:ser>
        <c:ser>
          <c:idx val="3"/>
          <c:order val="3"/>
          <c:tx>
            <c:strRef>
              <c:f>FPPTREV!$F$2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FPPTREV!$F$30:$F$55</c:f>
              <c:numCache>
                <c:formatCode>[$$-409]#,##0;\-[$$-409]#,##0</c:formatCode>
                <c:ptCount val="26"/>
              </c:numCache>
            </c:numRef>
          </c:val>
        </c:ser>
        <c:gapWidth val="100"/>
        <c:overlap val="0"/>
        <c:axId val="76271271"/>
        <c:axId val="39302114"/>
      </c:barChart>
      <c:catAx>
        <c:axId val="7627127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42555235350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9302114"/>
        <c:crosses val="autoZero"/>
        <c:auto val="1"/>
        <c:lblAlgn val="ctr"/>
        <c:lblOffset val="100"/>
        <c:noMultiLvlLbl val="0"/>
      </c:catAx>
      <c:valAx>
        <c:axId val="3930211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588035805828"/>
              <c:y val="0.9692603266090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6271271"/>
        <c:crosses val="max"/>
        <c:crossBetween val="midCat"/>
      </c:valAx>
      <c:spPr>
        <a:noFill/>
        <a:ln w="0">
          <a:solidFill>
            <a:srgbClr val="b3b3b3"/>
          </a:solidFill>
        </a:ln>
      </c:spPr>
    </c:plotArea>
    <c:legend>
      <c:legendPos val="r"/>
      <c:layout>
        <c:manualLayout>
          <c:xMode val="edge"/>
          <c:yMode val="edge"/>
          <c:x val="0.804257835600237"/>
          <c:y val="0.0767393178180027"/>
          <c:w val="0.170123008989118"/>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5277810639221"/>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EITCREF!$C$4:$C$29</c:f>
              <c:numCache>
                <c:formatCode>[$$-409]#,##0;\-[$$-409]#,##0</c:formatCode>
                <c:ptCount val="26"/>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EITCREF!$D$4:$D$29</c:f>
              <c:numCache>
                <c:formatCode>[$$-409]#,##0;\-[$$-409]#,##0</c:formatCode>
                <c:ptCount val="26"/>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EITCREF!$E$4:$E$29</c:f>
              <c:numCache>
                <c:formatCode>[$$-409]#,##0;\-[$$-409]#,##0</c:formatCode>
                <c:ptCount val="26"/>
              </c:numCache>
            </c:numRef>
          </c:val>
        </c:ser>
        <c:ser>
          <c:idx val="3"/>
          <c:order val="3"/>
          <c:tx>
            <c:strRef>
              <c:f>EITCREF!$F$2</c:f>
              <c:strCache>
                <c:ptCount val="1"/>
                <c:pt idx="0">
                  <c:v>American EITC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EITCREF!$F$4:$F$29</c:f>
              <c:numCache>
                <c:formatCode>[$$-409]#,##0;\-[$$-409]#,##0</c:formatCode>
                <c:ptCount val="26"/>
              </c:numCache>
            </c:numRef>
          </c:val>
        </c:ser>
        <c:gapWidth val="100"/>
        <c:overlap val="0"/>
        <c:axId val="48962119"/>
        <c:axId val="35391246"/>
      </c:barChart>
      <c:catAx>
        <c:axId val="4896211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49944579915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5391246"/>
        <c:crosses val="autoZero"/>
        <c:auto val="1"/>
        <c:lblAlgn val="ctr"/>
        <c:lblOffset val="100"/>
        <c:noMultiLvlLbl val="0"/>
      </c:catAx>
      <c:valAx>
        <c:axId val="3539124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2942939390355"/>
              <c:y val="0.9692603266090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8962119"/>
        <c:crosses val="max"/>
        <c:crossBetween val="midCat"/>
      </c:valAx>
      <c:spPr>
        <a:noFill/>
        <a:ln w="0">
          <a:solidFill>
            <a:srgbClr val="b3b3b3"/>
          </a:solidFill>
        </a:ln>
      </c:spPr>
    </c:plotArea>
    <c:legend>
      <c:legendPos val="r"/>
      <c:layout>
        <c:manualLayout>
          <c:xMode val="edge"/>
          <c:yMode val="edge"/>
          <c:x val="0.804278454083442"/>
          <c:y val="0.0767545479162051"/>
          <c:w val="0.17015995587424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5435545565677"/>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EITCREF!$C$30:$C$55</c:f>
              <c:numCache>
                <c:formatCode>[$$-409]#,##0;\-[$$-409]#,##0</c:formatCode>
                <c:ptCount val="26"/>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EITCREF!$D$30:$D$55</c:f>
              <c:numCache>
                <c:formatCode>[$$-409]#,##0;\-[$$-409]#,##0</c:formatCode>
                <c:ptCount val="26"/>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EITCREF!$E$30:$E$55</c:f>
              <c:numCache>
                <c:formatCode>[$$-409]#,##0;\-[$$-409]#,##0</c:formatCode>
                <c:ptCount val="26"/>
              </c:numCache>
            </c:numRef>
          </c:val>
        </c:ser>
        <c:ser>
          <c:idx val="3"/>
          <c:order val="3"/>
          <c:tx>
            <c:strRef>
              <c:f>EITCREF!$F$2</c:f>
              <c:strCache>
                <c:ptCount val="1"/>
                <c:pt idx="0">
                  <c:v>American EITC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EITCREF!$F$30:$F$55</c:f>
              <c:numCache>
                <c:formatCode>[$$-409]#,##0;\-[$$-409]#,##0</c:formatCode>
                <c:ptCount val="26"/>
              </c:numCache>
            </c:numRef>
          </c:val>
        </c:ser>
        <c:gapWidth val="100"/>
        <c:overlap val="0"/>
        <c:axId val="57203782"/>
        <c:axId val="84058547"/>
      </c:barChart>
      <c:catAx>
        <c:axId val="5720378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40092120495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4058547"/>
        <c:crosses val="autoZero"/>
        <c:auto val="1"/>
        <c:lblAlgn val="ctr"/>
        <c:lblOffset val="100"/>
        <c:noMultiLvlLbl val="0"/>
      </c:catAx>
      <c:valAx>
        <c:axId val="8405854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3100674316811"/>
              <c:y val="0.9692603266090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7203782"/>
        <c:crosses val="max"/>
        <c:crossBetween val="midCat"/>
      </c:valAx>
      <c:spPr>
        <a:noFill/>
        <a:ln w="0">
          <a:solidFill>
            <a:srgbClr val="b3b3b3"/>
          </a:solidFill>
        </a:ln>
      </c:spPr>
    </c:plotArea>
    <c:legend>
      <c:legendPos val="r"/>
      <c:layout>
        <c:manualLayout>
          <c:xMode val="edge"/>
          <c:yMode val="edge"/>
          <c:x val="0.804218411196531"/>
          <c:y val="0.0767146903090752"/>
          <c:w val="0.170123008989118"/>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463858984976"/>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ACTCREF!$C$2</c:f>
              <c:strCache>
                <c:ptCount val="1"/>
                <c:pt idx="0">
                  <c:v>ACTC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ACTCREF!$C$4:$C$29</c:f>
              <c:numCache>
                <c:formatCode>[$$-409]#,##0;\-[$$-409]#,##0</c:formatCode>
                <c:ptCount val="26"/>
              </c:numCache>
            </c:numRef>
          </c:val>
        </c:ser>
        <c:ser>
          <c:idx val="1"/>
          <c:order val="1"/>
          <c:tx>
            <c:strRef>
              <c:f>ACTCREF!$D$2</c:f>
              <c:strCache>
                <c:ptCount val="1"/>
                <c:pt idx="0">
                  <c:v>Authorized Immigrant ACTC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ACTCREF!$D$4:$D$29</c:f>
              <c:numCache>
                <c:formatCode>[$$-409]#,##0;\-[$$-409]#,##0</c:formatCode>
                <c:ptCount val="26"/>
              </c:numCache>
            </c:numRef>
          </c:val>
        </c:ser>
        <c:ser>
          <c:idx val="2"/>
          <c:order val="2"/>
          <c:tx>
            <c:strRef>
              <c:f>ACTCREF!$E$2</c:f>
              <c:strCache>
                <c:ptCount val="1"/>
                <c:pt idx="0">
                  <c:v>Unauthorized Immigrant ACTC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ACTCREF!$E$4:$E$29</c:f>
              <c:numCache>
                <c:formatCode>[$$-409]#,##0;\-[$$-409]#,##0</c:formatCode>
                <c:ptCount val="26"/>
              </c:numCache>
            </c:numRef>
          </c:val>
        </c:ser>
        <c:ser>
          <c:idx val="3"/>
          <c:order val="3"/>
          <c:tx>
            <c:strRef>
              <c:f>ACTCREF!$F$2</c:f>
              <c:strCache>
                <c:ptCount val="1"/>
                <c:pt idx="0">
                  <c:v>American Tax ACTC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ACTCREF!$F$4:$F$29</c:f>
              <c:numCache>
                <c:formatCode>[$$-409]#,##0;\-[$$-409]#,##0</c:formatCode>
                <c:ptCount val="26"/>
              </c:numCache>
            </c:numRef>
          </c:val>
        </c:ser>
        <c:gapWidth val="100"/>
        <c:overlap val="0"/>
        <c:axId val="65777753"/>
        <c:axId val="36319598"/>
      </c:barChart>
      <c:catAx>
        <c:axId val="6577775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32702775930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6319598"/>
        <c:crosses val="autoZero"/>
        <c:auto val="1"/>
        <c:lblAlgn val="ctr"/>
        <c:lblOffset val="100"/>
        <c:noMultiLvlLbl val="0"/>
      </c:catAx>
      <c:valAx>
        <c:axId val="3631959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128987736109"/>
              <c:y val="0.9692603266090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5777753"/>
        <c:crosses val="max"/>
        <c:crossBetween val="midCat"/>
      </c:valAx>
      <c:spPr>
        <a:noFill/>
        <a:ln w="0">
          <a:solidFill>
            <a:srgbClr val="b3b3b3"/>
          </a:solidFill>
        </a:ln>
      </c:spPr>
    </c:plotArea>
    <c:legend>
      <c:legendPos val="r"/>
      <c:layout>
        <c:manualLayout>
          <c:xMode val="edge"/>
          <c:yMode val="edge"/>
          <c:x val="0.804257835600237"/>
          <c:y val="0.0767146903090752"/>
          <c:w val="0.170162434947169"/>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463858984976"/>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ACTCREF!$C$2</c:f>
              <c:strCache>
                <c:ptCount val="1"/>
                <c:pt idx="0">
                  <c:v>ACTC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ACTCREF!$C$30:$C$55</c:f>
              <c:numCache>
                <c:formatCode>[$$-409]#,##0;\-[$$-409]#,##0</c:formatCode>
                <c:ptCount val="26"/>
              </c:numCache>
            </c:numRef>
          </c:val>
        </c:ser>
        <c:ser>
          <c:idx val="1"/>
          <c:order val="1"/>
          <c:tx>
            <c:strRef>
              <c:f>ACTCREF!$D$2</c:f>
              <c:strCache>
                <c:ptCount val="1"/>
                <c:pt idx="0">
                  <c:v>Authorized Immigrant ACTC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ACTCREF!$D$30:$D$55</c:f>
              <c:numCache>
                <c:formatCode>[$$-409]#,##0;\-[$$-409]#,##0</c:formatCode>
                <c:ptCount val="26"/>
              </c:numCache>
            </c:numRef>
          </c:val>
        </c:ser>
        <c:ser>
          <c:idx val="2"/>
          <c:order val="2"/>
          <c:tx>
            <c:strRef>
              <c:f>ACTCREF!$E$2</c:f>
              <c:strCache>
                <c:ptCount val="1"/>
                <c:pt idx="0">
                  <c:v>Unauthorized Immigrant ACTC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ACTCREF!$E$30:$E$55</c:f>
              <c:numCache>
                <c:formatCode>[$$-409]#,##0;\-[$$-409]#,##0</c:formatCode>
                <c:ptCount val="26"/>
              </c:numCache>
            </c:numRef>
          </c:val>
        </c:ser>
        <c:ser>
          <c:idx val="3"/>
          <c:order val="3"/>
          <c:tx>
            <c:strRef>
              <c:f>ACTCREF!$F$2</c:f>
              <c:strCache>
                <c:ptCount val="1"/>
                <c:pt idx="0">
                  <c:v>American Tax ACTC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ACTCREF!$F$30:$F$55</c:f>
              <c:numCache>
                <c:formatCode>[$$-409]#,##0;\-[$$-409]#,##0</c:formatCode>
                <c:ptCount val="26"/>
              </c:numCache>
            </c:numRef>
          </c:val>
        </c:ser>
        <c:gapWidth val="100"/>
        <c:overlap val="0"/>
        <c:axId val="58186045"/>
        <c:axId val="3970640"/>
      </c:barChart>
      <c:catAx>
        <c:axId val="5818604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27776546220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970640"/>
        <c:crosses val="autoZero"/>
        <c:auto val="1"/>
        <c:lblAlgn val="ctr"/>
        <c:lblOffset val="100"/>
        <c:noMultiLvlLbl val="0"/>
      </c:catAx>
      <c:valAx>
        <c:axId val="397064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128987736109"/>
              <c:y val="0.9692603266090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8186045"/>
        <c:crosses val="max"/>
        <c:crossBetween val="midCat"/>
      </c:valAx>
      <c:spPr>
        <a:noFill/>
        <a:ln w="0">
          <a:solidFill>
            <a:srgbClr val="b3b3b3"/>
          </a:solidFill>
        </a:ln>
      </c:spPr>
    </c:plotArea>
    <c:legend>
      <c:legendPos val="r"/>
      <c:layout>
        <c:manualLayout>
          <c:xMode val="edge"/>
          <c:yMode val="edge"/>
          <c:x val="0.804218411196531"/>
          <c:y val="0.0766900628001478"/>
          <c:w val="0.170123008989118"/>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542726448204"/>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AOTCREF!$C$2</c:f>
              <c:strCache>
                <c:ptCount val="1"/>
                <c:pt idx="0">
                  <c:v>AOTC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AOTCREF!$C$4:$C$29</c:f>
              <c:numCache>
                <c:formatCode>[$$-409]#,##0;\-[$$-409]#,##0</c:formatCode>
                <c:ptCount val="26"/>
              </c:numCache>
            </c:numRef>
          </c:val>
        </c:ser>
        <c:ser>
          <c:idx val="1"/>
          <c:order val="1"/>
          <c:tx>
            <c:strRef>
              <c:f>AOTCREF!$D$2</c:f>
              <c:strCache>
                <c:ptCount val="1"/>
                <c:pt idx="0">
                  <c:v>Authorized Immigrant AOTC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AOTCREF!$D$4:$D$29</c:f>
              <c:numCache>
                <c:formatCode>[$$-409]#,##0;\-[$$-409]#,##0</c:formatCode>
                <c:ptCount val="26"/>
              </c:numCache>
            </c:numRef>
          </c:val>
        </c:ser>
        <c:ser>
          <c:idx val="2"/>
          <c:order val="2"/>
          <c:tx>
            <c:strRef>
              <c:f>AOTCREF!$E$2</c:f>
              <c:strCache>
                <c:ptCount val="1"/>
                <c:pt idx="0">
                  <c:v>Unauthorized Immigrant AOTC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AOTCREF!$E$4:$E$29</c:f>
              <c:numCache>
                <c:formatCode>[$$-409]#,##0;\-[$$-409]#,##0</c:formatCode>
                <c:ptCount val="26"/>
              </c:numCache>
            </c:numRef>
          </c:val>
        </c:ser>
        <c:ser>
          <c:idx val="3"/>
          <c:order val="3"/>
          <c:tx>
            <c:strRef>
              <c:f>AOTCREF!$F$2</c:f>
              <c:strCache>
                <c:ptCount val="1"/>
                <c:pt idx="0">
                  <c:v>American Tax AOTC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AOTCREF!$F$4:$F$29</c:f>
              <c:numCache>
                <c:formatCode>[$$-409]#,##0;\-[$$-409]#,##0</c:formatCode>
                <c:ptCount val="26"/>
              </c:numCache>
            </c:numRef>
          </c:val>
        </c:ser>
        <c:gapWidth val="100"/>
        <c:overlap val="0"/>
        <c:axId val="2414332"/>
        <c:axId val="90062249"/>
      </c:barChart>
      <c:catAx>
        <c:axId val="241433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30239661075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0062249"/>
        <c:crosses val="autoZero"/>
        <c:auto val="1"/>
        <c:lblAlgn val="ctr"/>
        <c:lblOffset val="100"/>
        <c:noMultiLvlLbl val="0"/>
      </c:catAx>
      <c:valAx>
        <c:axId val="9006224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128987736109"/>
              <c:y val="0.9692603266090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414332"/>
        <c:crosses val="max"/>
        <c:crossBetween val="midCat"/>
      </c:valAx>
      <c:spPr>
        <a:noFill/>
        <a:ln w="0">
          <a:solidFill>
            <a:srgbClr val="b3b3b3"/>
          </a:solidFill>
        </a:ln>
      </c:spPr>
    </c:plotArea>
    <c:legend>
      <c:legendPos val="r"/>
      <c:layout>
        <c:manualLayout>
          <c:xMode val="edge"/>
          <c:yMode val="edge"/>
          <c:x val="0.804270743046253"/>
          <c:y val="0.0767318201959529"/>
          <c:w val="0.17004846144754"/>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542726448204"/>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AOTCREF!$C$2</c:f>
              <c:strCache>
                <c:ptCount val="1"/>
                <c:pt idx="0">
                  <c:v>AOTC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AOTCREF!$C$30:$C$55</c:f>
              <c:numCache>
                <c:formatCode>[$$-409]#,##0;\-[$$-409]#,##0</c:formatCode>
                <c:ptCount val="26"/>
              </c:numCache>
            </c:numRef>
          </c:val>
        </c:ser>
        <c:ser>
          <c:idx val="1"/>
          <c:order val="1"/>
          <c:tx>
            <c:strRef>
              <c:f>AOTCREF!$D$2</c:f>
              <c:strCache>
                <c:ptCount val="1"/>
                <c:pt idx="0">
                  <c:v>Authorized Immigrant AOTC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AOTCREF!$D$30:$D$55</c:f>
              <c:numCache>
                <c:formatCode>[$$-409]#,##0;\-[$$-409]#,##0</c:formatCode>
                <c:ptCount val="26"/>
              </c:numCache>
            </c:numRef>
          </c:val>
        </c:ser>
        <c:ser>
          <c:idx val="2"/>
          <c:order val="2"/>
          <c:tx>
            <c:strRef>
              <c:f>AOTCREF!$E$2</c:f>
              <c:strCache>
                <c:ptCount val="1"/>
                <c:pt idx="0">
                  <c:v>Unauthorized Immigrant AOTC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AOTCREF!$E$30:$E$55</c:f>
              <c:numCache>
                <c:formatCode>[$$-409]#,##0;\-[$$-409]#,##0</c:formatCode>
                <c:ptCount val="26"/>
              </c:numCache>
            </c:numRef>
          </c:val>
        </c:ser>
        <c:ser>
          <c:idx val="3"/>
          <c:order val="3"/>
          <c:tx>
            <c:strRef>
              <c:f>AOTCREF!$F$2</c:f>
              <c:strCache>
                <c:ptCount val="1"/>
                <c:pt idx="0">
                  <c:v>American Tax AOTC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AOTCREF!$F$30:$F$55</c:f>
              <c:numCache>
                <c:formatCode>[$$-409]#,##0;\-[$$-409]#,##0</c:formatCode>
                <c:ptCount val="26"/>
              </c:numCache>
            </c:numRef>
          </c:val>
        </c:ser>
        <c:gapWidth val="100"/>
        <c:overlap val="0"/>
        <c:axId val="84325451"/>
        <c:axId val="8080774"/>
      </c:barChart>
      <c:catAx>
        <c:axId val="8432545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25313431365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080774"/>
        <c:crosses val="autoZero"/>
        <c:auto val="1"/>
        <c:lblAlgn val="ctr"/>
        <c:lblOffset val="100"/>
        <c:noMultiLvlLbl val="0"/>
      </c:catAx>
      <c:valAx>
        <c:axId val="808077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128987736109"/>
              <c:y val="0.9692603266090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4325451"/>
        <c:crosses val="max"/>
        <c:crossBetween val="midCat"/>
      </c:valAx>
      <c:spPr>
        <a:noFill/>
        <a:ln w="0">
          <a:solidFill>
            <a:srgbClr val="b3b3b3"/>
          </a:solidFill>
        </a:ln>
      </c:spPr>
    </c:plotArea>
    <c:legend>
      <c:legendPos val="r"/>
      <c:layout>
        <c:manualLayout>
          <c:xMode val="edge"/>
          <c:yMode val="edge"/>
          <c:x val="0.804241564175339"/>
          <c:y val="0.0767090228526399"/>
          <c:w val="0.170024046990184"/>
          <c:h val="0.11168025217327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Employed Population</a:t>
            </a:r>
          </a:p>
        </c:rich>
      </c:tx>
      <c:layout>
        <c:manualLayout>
          <c:xMode val="edge"/>
          <c:yMode val="edge"/>
          <c:x val="0.243542726448204"/>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EP!$C$2</c:f>
              <c:strCache>
                <c:ptCount val="1"/>
                <c:pt idx="0">
                  <c:v>Employed Population</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EP!$C$4:$C$29</c:f>
              <c:numCache>
                <c:formatCode>General</c:formatCode>
                <c:ptCount val="26"/>
              </c:numCache>
            </c:numRef>
          </c:val>
        </c:ser>
        <c:ser>
          <c:idx val="1"/>
          <c:order val="1"/>
          <c:tx>
            <c:strRef>
              <c:f>EP!$D$2</c:f>
              <c:strCache>
                <c:ptCount val="1"/>
                <c:pt idx="0">
                  <c:v>Authorized Immigrant Employed Population</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EP!$D$4:$D$29</c:f>
              <c:numCache>
                <c:formatCode>General</c:formatCode>
                <c:ptCount val="26"/>
              </c:numCache>
            </c:numRef>
          </c:val>
        </c:ser>
        <c:ser>
          <c:idx val="2"/>
          <c:order val="2"/>
          <c:tx>
            <c:strRef>
              <c:f>EP!$E$2</c:f>
              <c:strCache>
                <c:ptCount val="1"/>
                <c:pt idx="0">
                  <c:v>Unauthorized Immigrant Employed Population</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EP!$E$4:$E$29</c:f>
              <c:numCache>
                <c:formatCode>General</c:formatCode>
                <c:ptCount val="26"/>
              </c:numCache>
            </c:numRef>
          </c:val>
        </c:ser>
        <c:ser>
          <c:idx val="3"/>
          <c:order val="3"/>
          <c:tx>
            <c:strRef>
              <c:f>EP!$F$2</c:f>
              <c:strCache>
                <c:ptCount val="1"/>
                <c:pt idx="0">
                  <c:v>American Employed Population</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EP!$F$4:$F$29</c:f>
              <c:numCache>
                <c:formatCode>General</c:formatCode>
                <c:ptCount val="26"/>
              </c:numCache>
            </c:numRef>
          </c:val>
        </c:ser>
        <c:gapWidth val="100"/>
        <c:overlap val="0"/>
        <c:axId val="9881439"/>
        <c:axId val="45993479"/>
      </c:barChart>
      <c:catAx>
        <c:axId val="988143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22850316510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5993479"/>
        <c:crosses val="autoZero"/>
        <c:auto val="1"/>
        <c:lblAlgn val="ctr"/>
        <c:lblOffset val="100"/>
        <c:noMultiLvlLbl val="0"/>
      </c:catAx>
      <c:valAx>
        <c:axId val="4599347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Employed Population</a:t>
                </a:r>
              </a:p>
            </c:rich>
          </c:tx>
          <c:layout>
            <c:manualLayout>
              <c:xMode val="edge"/>
              <c:yMode val="edge"/>
              <c:x val="0.431128987736109"/>
              <c:y val="0.9692603266090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881439"/>
        <c:crosses val="max"/>
        <c:crossBetween val="midCat"/>
      </c:valAx>
      <c:spPr>
        <a:noFill/>
        <a:ln w="0">
          <a:solidFill>
            <a:srgbClr val="b3b3b3"/>
          </a:solidFill>
        </a:ln>
      </c:spPr>
    </c:plotArea>
    <c:legend>
      <c:legendPos val="r"/>
      <c:layout>
        <c:manualLayout>
          <c:xMode val="edge"/>
          <c:yMode val="edge"/>
          <c:x val="0.804250118277874"/>
          <c:y val="0.0766919515318688"/>
          <c:w val="0.170050861491149"/>
          <c:h val="0.111691254340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Employed Population</a:t>
            </a:r>
          </a:p>
        </c:rich>
      </c:tx>
      <c:layout>
        <c:manualLayout>
          <c:xMode val="edge"/>
          <c:yMode val="edge"/>
          <c:x val="0.243542726448204"/>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EP!$C$2</c:f>
              <c:strCache>
                <c:ptCount val="1"/>
                <c:pt idx="0">
                  <c:v>Employed Population</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EP!$C$30:$C$55</c:f>
              <c:numCache>
                <c:formatCode>General</c:formatCode>
                <c:ptCount val="26"/>
              </c:numCache>
            </c:numRef>
          </c:val>
        </c:ser>
        <c:ser>
          <c:idx val="1"/>
          <c:order val="1"/>
          <c:tx>
            <c:strRef>
              <c:f>EP!$D$2</c:f>
              <c:strCache>
                <c:ptCount val="1"/>
                <c:pt idx="0">
                  <c:v>Authorized Immigrant Employed Population</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EP!$D$30:$D$55</c:f>
              <c:numCache>
                <c:formatCode>General</c:formatCode>
                <c:ptCount val="26"/>
              </c:numCache>
            </c:numRef>
          </c:val>
        </c:ser>
        <c:ser>
          <c:idx val="2"/>
          <c:order val="2"/>
          <c:tx>
            <c:strRef>
              <c:f>EP!$E$2</c:f>
              <c:strCache>
                <c:ptCount val="1"/>
                <c:pt idx="0">
                  <c:v>Unauthorized Immigrant Employed Population</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EP!$E$30:$E$55</c:f>
              <c:numCache>
                <c:formatCode>General</c:formatCode>
                <c:ptCount val="26"/>
              </c:numCache>
            </c:numRef>
          </c:val>
        </c:ser>
        <c:ser>
          <c:idx val="3"/>
          <c:order val="3"/>
          <c:tx>
            <c:strRef>
              <c:f>EP!$F$2</c:f>
              <c:strCache>
                <c:ptCount val="1"/>
                <c:pt idx="0">
                  <c:v>American Employed Population</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EP!$F$30:$F$55</c:f>
              <c:numCache>
                <c:formatCode>General</c:formatCode>
                <c:ptCount val="26"/>
              </c:numCache>
            </c:numRef>
          </c:val>
        </c:ser>
        <c:gapWidth val="100"/>
        <c:overlap val="0"/>
        <c:axId val="33190944"/>
        <c:axId val="6991576"/>
      </c:barChart>
      <c:catAx>
        <c:axId val="3319094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15460971945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991576"/>
        <c:crosses val="autoZero"/>
        <c:auto val="1"/>
        <c:lblAlgn val="ctr"/>
        <c:lblOffset val="100"/>
        <c:noMultiLvlLbl val="0"/>
      </c:catAx>
      <c:valAx>
        <c:axId val="699157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Employed Population</a:t>
                </a:r>
              </a:p>
            </c:rich>
          </c:tx>
          <c:layout>
            <c:manualLayout>
              <c:xMode val="edge"/>
              <c:yMode val="edge"/>
              <c:x val="0.431128987736109"/>
              <c:y val="0.9692603266090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3190944"/>
        <c:crosses val="max"/>
        <c:crossBetween val="midCat"/>
      </c:valAx>
      <c:spPr>
        <a:noFill/>
        <a:ln w="0">
          <a:solidFill>
            <a:srgbClr val="b3b3b3"/>
          </a:solidFill>
        </a:ln>
      </c:spPr>
    </c:plotArea>
    <c:legend>
      <c:legendPos val="r"/>
      <c:layout>
        <c:manualLayout>
          <c:xMode val="edge"/>
          <c:yMode val="edge"/>
          <c:x val="0.804210692319823"/>
          <c:y val="0.0766919515318688"/>
          <c:w val="0.17001143397863"/>
          <c:h val="0.11166662561879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Average Weekly Hours Worked</a:t>
            </a:r>
          </a:p>
        </c:rich>
      </c:tx>
      <c:layout>
        <c:manualLayout>
          <c:xMode val="edge"/>
          <c:yMode val="edge"/>
          <c:x val="0.243542726448204"/>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AWHW!$C$2</c:f>
              <c:strCache>
                <c:ptCount val="1"/>
                <c:pt idx="0">
                  <c:v>Average Weekly Hours Worked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AWHW!$C$4:$C$29</c:f>
              <c:numCache>
                <c:formatCode>General</c:formatCode>
                <c:ptCount val="26"/>
              </c:numCache>
            </c:numRef>
          </c:val>
        </c:ser>
        <c:ser>
          <c:idx val="1"/>
          <c:order val="1"/>
          <c:tx>
            <c:strRef>
              <c:f>AWHW!$D$2</c:f>
              <c:strCache>
                <c:ptCount val="1"/>
                <c:pt idx="0">
                  <c:v>Authorized Immigrant Average Weekly Hours Worked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AWHW!$D$4:$D$29</c:f>
              <c:numCache>
                <c:formatCode>General</c:formatCode>
                <c:ptCount val="26"/>
              </c:numCache>
            </c:numRef>
          </c:val>
        </c:ser>
        <c:ser>
          <c:idx val="2"/>
          <c:order val="2"/>
          <c:tx>
            <c:strRef>
              <c:f>AWHW!$E$2</c:f>
              <c:strCache>
                <c:ptCount val="1"/>
                <c:pt idx="0">
                  <c:v>Unauthorized Immigrant Average Weekly Hours Worked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AWHW!$E$4:$E$29</c:f>
              <c:numCache>
                <c:formatCode>General</c:formatCode>
                <c:ptCount val="26"/>
              </c:numCache>
            </c:numRef>
          </c:val>
        </c:ser>
        <c:ser>
          <c:idx val="3"/>
          <c:order val="3"/>
          <c:tx>
            <c:strRef>
              <c:f>AWHW!$F$2</c:f>
              <c:strCache>
                <c:ptCount val="1"/>
                <c:pt idx="0">
                  <c:v>American Average Weekly Hours Worked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AWHW!$F$4:$F$29</c:f>
              <c:numCache>
                <c:formatCode>General</c:formatCode>
                <c:ptCount val="26"/>
              </c:numCache>
            </c:numRef>
          </c:val>
        </c:ser>
        <c:gapWidth val="100"/>
        <c:overlap val="0"/>
        <c:axId val="67613733"/>
        <c:axId val="30150152"/>
      </c:barChart>
      <c:catAx>
        <c:axId val="6761373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20387201655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0150152"/>
        <c:crosses val="autoZero"/>
        <c:auto val="1"/>
        <c:lblAlgn val="ctr"/>
        <c:lblOffset val="100"/>
        <c:noMultiLvlLbl val="0"/>
      </c:catAx>
      <c:valAx>
        <c:axId val="3015015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Average Weekly Hours Worked</a:t>
                </a:r>
              </a:p>
            </c:rich>
          </c:tx>
          <c:layout>
            <c:manualLayout>
              <c:xMode val="edge"/>
              <c:yMode val="edge"/>
              <c:x val="0.431128987736109"/>
              <c:y val="0.9692603266090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7613733"/>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Average Weekly Hours Worked</a:t>
            </a:r>
          </a:p>
        </c:rich>
      </c:tx>
      <c:layout>
        <c:manualLayout>
          <c:xMode val="edge"/>
          <c:yMode val="edge"/>
          <c:x val="0.243542726448204"/>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AWHW!$C$2</c:f>
              <c:strCache>
                <c:ptCount val="1"/>
                <c:pt idx="0">
                  <c:v>Average Weekly Hours Worked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AWHW!$C$30:$C$55</c:f>
              <c:numCache>
                <c:formatCode>General</c:formatCode>
                <c:ptCount val="26"/>
              </c:numCache>
            </c:numRef>
          </c:val>
        </c:ser>
        <c:ser>
          <c:idx val="1"/>
          <c:order val="1"/>
          <c:tx>
            <c:strRef>
              <c:f>AWHW!$D$2</c:f>
              <c:strCache>
                <c:ptCount val="1"/>
                <c:pt idx="0">
                  <c:v>Authorized Immigrant Average Weekly Hours Worked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AWHW!$D$30:$D$55</c:f>
              <c:numCache>
                <c:formatCode>General</c:formatCode>
                <c:ptCount val="26"/>
              </c:numCache>
            </c:numRef>
          </c:val>
        </c:ser>
        <c:ser>
          <c:idx val="2"/>
          <c:order val="2"/>
          <c:tx>
            <c:strRef>
              <c:f>AWHW!$E$2</c:f>
              <c:strCache>
                <c:ptCount val="1"/>
                <c:pt idx="0">
                  <c:v>Unauthorized Immigrant Average Weekly Hours Worked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AWHW!$E$30:$E$55</c:f>
              <c:numCache>
                <c:formatCode>General</c:formatCode>
                <c:ptCount val="26"/>
              </c:numCache>
            </c:numRef>
          </c:val>
        </c:ser>
        <c:ser>
          <c:idx val="3"/>
          <c:order val="3"/>
          <c:tx>
            <c:strRef>
              <c:f>AWHW!$F$2</c:f>
              <c:strCache>
                <c:ptCount val="1"/>
                <c:pt idx="0">
                  <c:v>American Average Weekly Hours Worked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AWHW!$F$30:$F$55</c:f>
              <c:numCache>
                <c:formatCode>General</c:formatCode>
                <c:ptCount val="26"/>
              </c:numCache>
            </c:numRef>
          </c:val>
        </c:ser>
        <c:gapWidth val="100"/>
        <c:overlap val="0"/>
        <c:axId val="45962093"/>
        <c:axId val="51992770"/>
      </c:barChart>
      <c:catAx>
        <c:axId val="4596209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12997857090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1992770"/>
        <c:crosses val="autoZero"/>
        <c:auto val="1"/>
        <c:lblAlgn val="ctr"/>
        <c:lblOffset val="100"/>
        <c:noMultiLvlLbl val="0"/>
      </c:catAx>
      <c:valAx>
        <c:axId val="5199277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Average Weekly Hours Worked</a:t>
                </a:r>
              </a:p>
            </c:rich>
          </c:tx>
          <c:layout>
            <c:manualLayout>
              <c:xMode val="edge"/>
              <c:yMode val="edge"/>
              <c:x val="0.431128987736109"/>
              <c:y val="0.9692603266090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5962093"/>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Full-Time Employment Rate</a:t>
            </a:r>
          </a:p>
        </c:rich>
      </c:tx>
      <c:layout>
        <c:manualLayout>
          <c:xMode val="edge"/>
          <c:yMode val="edge"/>
          <c:x val="0.243739895106274"/>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FTER!$C$2</c:f>
              <c:strCache>
                <c:ptCount val="1"/>
                <c:pt idx="0">
                  <c:v>Full-Time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FTER!$C$4:$C$29</c:f>
              <c:numCache>
                <c:formatCode>0.00%</c:formatCode>
                <c:ptCount val="26"/>
              </c:numCache>
            </c:numRef>
          </c:val>
        </c:ser>
        <c:ser>
          <c:idx val="1"/>
          <c:order val="1"/>
          <c:tx>
            <c:strRef>
              <c:f>FTER!$D$2</c:f>
              <c:strCache>
                <c:ptCount val="1"/>
                <c:pt idx="0">
                  <c:v>Authorized Immigrant Full-Time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FTER!$D$4:$D$29</c:f>
              <c:numCache>
                <c:formatCode>0.00%</c:formatCode>
                <c:ptCount val="26"/>
              </c:numCache>
            </c:numRef>
          </c:val>
        </c:ser>
        <c:ser>
          <c:idx val="2"/>
          <c:order val="2"/>
          <c:tx>
            <c:strRef>
              <c:f>FTER!$E$2</c:f>
              <c:strCache>
                <c:ptCount val="1"/>
                <c:pt idx="0">
                  <c:v>Unauthorized Immigrant Full-Time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FTER!$E$4:$E$29</c:f>
              <c:numCache>
                <c:formatCode>0.00%</c:formatCode>
                <c:ptCount val="26"/>
              </c:numCache>
            </c:numRef>
          </c:val>
        </c:ser>
        <c:ser>
          <c:idx val="3"/>
          <c:order val="3"/>
          <c:tx>
            <c:strRef>
              <c:f>FTER!$F$2</c:f>
              <c:strCache>
                <c:ptCount val="1"/>
                <c:pt idx="0">
                  <c:v>American Full-Time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FTER!$F$4:$F$29</c:f>
              <c:numCache>
                <c:formatCode>0.00%</c:formatCode>
                <c:ptCount val="26"/>
              </c:numCache>
            </c:numRef>
          </c:val>
        </c:ser>
        <c:gapWidth val="100"/>
        <c:overlap val="0"/>
        <c:axId val="3357884"/>
        <c:axId val="33996708"/>
      </c:barChart>
      <c:catAx>
        <c:axId val="335788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17924086800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3996708"/>
        <c:crosses val="autoZero"/>
        <c:auto val="1"/>
        <c:lblAlgn val="ctr"/>
        <c:lblOffset val="100"/>
        <c:noMultiLvlLbl val="0"/>
      </c:catAx>
      <c:valAx>
        <c:axId val="3399670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Full-Time Employment Rate</a:t>
                </a:r>
              </a:p>
            </c:rich>
          </c:tx>
          <c:layout>
            <c:manualLayout>
              <c:xMode val="edge"/>
              <c:yMode val="edge"/>
              <c:x val="0.43132615639418"/>
              <c:y val="0.9692603266090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357884"/>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Full-Time Employment Rate</a:t>
            </a:r>
          </a:p>
        </c:rich>
      </c:tx>
      <c:layout>
        <c:manualLayout>
          <c:xMode val="edge"/>
          <c:yMode val="edge"/>
          <c:x val="0.243739895106274"/>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FTER!$C$2</c:f>
              <c:strCache>
                <c:ptCount val="1"/>
                <c:pt idx="0">
                  <c:v>Full-Time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FTER!$C$30:$C$55</c:f>
              <c:numCache>
                <c:formatCode>0.00%</c:formatCode>
                <c:ptCount val="26"/>
              </c:numCache>
            </c:numRef>
          </c:val>
        </c:ser>
        <c:ser>
          <c:idx val="1"/>
          <c:order val="1"/>
          <c:tx>
            <c:strRef>
              <c:f>FTER!$D$2</c:f>
              <c:strCache>
                <c:ptCount val="1"/>
                <c:pt idx="0">
                  <c:v>Authorized Immigrant Full-Time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FTER!$D$30:$D$55</c:f>
              <c:numCache>
                <c:formatCode>0.00%</c:formatCode>
                <c:ptCount val="26"/>
              </c:numCache>
            </c:numRef>
          </c:val>
        </c:ser>
        <c:ser>
          <c:idx val="2"/>
          <c:order val="2"/>
          <c:tx>
            <c:strRef>
              <c:f>FTER!$E$2</c:f>
              <c:strCache>
                <c:ptCount val="1"/>
                <c:pt idx="0">
                  <c:v>Unauthorized Immigrant Full-Time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FTER!$E$30:$E$55</c:f>
              <c:numCache>
                <c:formatCode>0.00%</c:formatCode>
                <c:ptCount val="26"/>
              </c:numCache>
            </c:numRef>
          </c:val>
        </c:ser>
        <c:ser>
          <c:idx val="3"/>
          <c:order val="3"/>
          <c:tx>
            <c:strRef>
              <c:f>FTER!$F$2</c:f>
              <c:strCache>
                <c:ptCount val="1"/>
                <c:pt idx="0">
                  <c:v>American Full-Time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FTER!$F$30:$F$55</c:f>
              <c:numCache>
                <c:formatCode>0.00%</c:formatCode>
                <c:ptCount val="26"/>
              </c:numCache>
            </c:numRef>
          </c:val>
        </c:ser>
        <c:gapWidth val="100"/>
        <c:overlap val="0"/>
        <c:axId val="96117633"/>
        <c:axId val="53712169"/>
      </c:barChart>
      <c:catAx>
        <c:axId val="9611763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1053474223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3712169"/>
        <c:crosses val="autoZero"/>
        <c:auto val="1"/>
        <c:lblAlgn val="ctr"/>
        <c:lblOffset val="100"/>
        <c:noMultiLvlLbl val="0"/>
      </c:catAx>
      <c:valAx>
        <c:axId val="5371216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Full-Time Employment Rate</a:t>
                </a:r>
              </a:p>
            </c:rich>
          </c:tx>
          <c:layout>
            <c:manualLayout>
              <c:xMode val="edge"/>
              <c:yMode val="edge"/>
              <c:x val="0.43132615639418"/>
              <c:y val="0.9692603266090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6117633"/>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Part-Time Employment Rate</a:t>
            </a:r>
          </a:p>
        </c:rich>
      </c:tx>
      <c:layout>
        <c:manualLayout>
          <c:xMode val="edge"/>
          <c:yMode val="edge"/>
          <c:x val="0.243779328837888"/>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PTER!$C$2</c:f>
              <c:strCache>
                <c:ptCount val="1"/>
                <c:pt idx="0">
                  <c:v>Part-Time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PTER!$C$4:$C$29</c:f>
              <c:numCache>
                <c:formatCode>0.00%</c:formatCode>
                <c:ptCount val="26"/>
              </c:numCache>
            </c:numRef>
          </c:val>
        </c:ser>
        <c:ser>
          <c:idx val="1"/>
          <c:order val="1"/>
          <c:tx>
            <c:strRef>
              <c:f>PTER!$D$2</c:f>
              <c:strCache>
                <c:ptCount val="1"/>
                <c:pt idx="0">
                  <c:v>Authorized Immigrant Part-Time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PTER!$D$4:$D$29</c:f>
              <c:numCache>
                <c:formatCode>0.00%</c:formatCode>
                <c:ptCount val="26"/>
              </c:numCache>
            </c:numRef>
          </c:val>
        </c:ser>
        <c:ser>
          <c:idx val="2"/>
          <c:order val="2"/>
          <c:tx>
            <c:strRef>
              <c:f>PTER!$E$2</c:f>
              <c:strCache>
                <c:ptCount val="1"/>
                <c:pt idx="0">
                  <c:v>Unauthorized Immigrant Part-Time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PTER!$E$4:$E$29</c:f>
              <c:numCache>
                <c:formatCode>0.00%</c:formatCode>
                <c:ptCount val="26"/>
              </c:numCache>
            </c:numRef>
          </c:val>
        </c:ser>
        <c:ser>
          <c:idx val="3"/>
          <c:order val="3"/>
          <c:tx>
            <c:strRef>
              <c:f>PTER!$F$2</c:f>
              <c:strCache>
                <c:ptCount val="1"/>
                <c:pt idx="0">
                  <c:v>American Part-Time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PTER!$F$4:$F$29</c:f>
              <c:numCache>
                <c:formatCode>0.00%</c:formatCode>
                <c:ptCount val="26"/>
              </c:numCache>
            </c:numRef>
          </c:val>
        </c:ser>
        <c:gapWidth val="100"/>
        <c:overlap val="0"/>
        <c:axId val="72084137"/>
        <c:axId val="17509800"/>
      </c:barChart>
      <c:catAx>
        <c:axId val="7208413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12997857090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7509800"/>
        <c:crosses val="autoZero"/>
        <c:auto val="1"/>
        <c:lblAlgn val="ctr"/>
        <c:lblOffset val="100"/>
        <c:noMultiLvlLbl val="0"/>
      </c:catAx>
      <c:valAx>
        <c:axId val="1750980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Part-Time Employment Rate</a:t>
                </a:r>
              </a:p>
            </c:rich>
          </c:tx>
          <c:layout>
            <c:manualLayout>
              <c:xMode val="edge"/>
              <c:yMode val="edge"/>
              <c:x val="0.431168421467724"/>
              <c:y val="0.9692603266090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2084137"/>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Part-Time Employment Rate</a:t>
            </a:r>
          </a:p>
        </c:rich>
      </c:tx>
      <c:layout>
        <c:manualLayout>
          <c:xMode val="edge"/>
          <c:yMode val="edge"/>
          <c:x val="0.243779328837888"/>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PTER!$C$2</c:f>
              <c:strCache>
                <c:ptCount val="1"/>
                <c:pt idx="0">
                  <c:v>Part-Time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PTER!$C$30:$C$55</c:f>
              <c:numCache>
                <c:formatCode>0.00%</c:formatCode>
                <c:ptCount val="26"/>
              </c:numCache>
            </c:numRef>
          </c:val>
        </c:ser>
        <c:ser>
          <c:idx val="1"/>
          <c:order val="1"/>
          <c:tx>
            <c:strRef>
              <c:f>PTER!$D$2</c:f>
              <c:strCache>
                <c:ptCount val="1"/>
                <c:pt idx="0">
                  <c:v>Authorized Immigrant Part-Time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PTER!$D$30:$D$55</c:f>
              <c:numCache>
                <c:formatCode>0.00%</c:formatCode>
                <c:ptCount val="26"/>
              </c:numCache>
            </c:numRef>
          </c:val>
        </c:ser>
        <c:ser>
          <c:idx val="2"/>
          <c:order val="2"/>
          <c:tx>
            <c:strRef>
              <c:f>PTER!$E$2</c:f>
              <c:strCache>
                <c:ptCount val="1"/>
                <c:pt idx="0">
                  <c:v>Unauthorized Immigrant Part-Time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PTER!$E$30:$E$55</c:f>
              <c:numCache>
                <c:formatCode>0.00%</c:formatCode>
                <c:ptCount val="26"/>
              </c:numCache>
            </c:numRef>
          </c:val>
        </c:ser>
        <c:ser>
          <c:idx val="3"/>
          <c:order val="3"/>
          <c:tx>
            <c:strRef>
              <c:f>PTER!$F$2</c:f>
              <c:strCache>
                <c:ptCount val="1"/>
                <c:pt idx="0">
                  <c:v>American Part-Time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PTER!$F$30:$F$55</c:f>
              <c:numCache>
                <c:formatCode>0.00%</c:formatCode>
                <c:ptCount val="26"/>
              </c:numCache>
            </c:numRef>
          </c:val>
        </c:ser>
        <c:gapWidth val="100"/>
        <c:overlap val="0"/>
        <c:axId val="63560468"/>
        <c:axId val="62862529"/>
      </c:barChart>
      <c:catAx>
        <c:axId val="6356046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080716273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2862529"/>
        <c:crosses val="autoZero"/>
        <c:auto val="1"/>
        <c:lblAlgn val="ctr"/>
        <c:lblOffset val="100"/>
        <c:noMultiLvlLbl val="0"/>
      </c:catAx>
      <c:valAx>
        <c:axId val="6286252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Part-Time Employment Rate</a:t>
                </a:r>
              </a:p>
            </c:rich>
          </c:tx>
          <c:layout>
            <c:manualLayout>
              <c:xMode val="edge"/>
              <c:yMode val="edge"/>
              <c:x val="0.431168421467724"/>
              <c:y val="0.9692603266090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3560468"/>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Job Tenure Average</a:t>
            </a:r>
          </a:p>
        </c:rich>
      </c:tx>
      <c:layout>
        <c:manualLayout>
          <c:xMode val="edge"/>
          <c:yMode val="edge"/>
          <c:x val="0.243818762569502"/>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JTA!$C$2</c:f>
              <c:strCache>
                <c:ptCount val="1"/>
                <c:pt idx="0">
                  <c:v>Job Tenure Average (years)</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Pt>
            <c:idx val="21"/>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JTA!$C$4:$C$29</c:f>
              <c:numCache>
                <c:formatCode>General</c:formatCode>
                <c:ptCount val="26"/>
              </c:numCache>
            </c:numRef>
          </c:val>
        </c:ser>
        <c:ser>
          <c:idx val="1"/>
          <c:order val="1"/>
          <c:tx>
            <c:strRef>
              <c:f>JTA!$D$2</c:f>
              <c:strCache>
                <c:ptCount val="1"/>
                <c:pt idx="0">
                  <c:v>Authorized Immigrant Job Tenure Average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JTA!$D$4:$D$29</c:f>
              <c:numCache>
                <c:formatCode>General</c:formatCode>
                <c:ptCount val="26"/>
              </c:numCache>
            </c:numRef>
          </c:val>
        </c:ser>
        <c:ser>
          <c:idx val="2"/>
          <c:order val="2"/>
          <c:tx>
            <c:strRef>
              <c:f>JTA!$E$2</c:f>
              <c:strCache>
                <c:ptCount val="1"/>
                <c:pt idx="0">
                  <c:v>Unauthorized Immigrant Job Tenure Average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JTA!$E$4:$E$29</c:f>
              <c:numCache>
                <c:formatCode>General</c:formatCode>
                <c:ptCount val="26"/>
              </c:numCache>
            </c:numRef>
          </c:val>
        </c:ser>
        <c:ser>
          <c:idx val="3"/>
          <c:order val="3"/>
          <c:tx>
            <c:strRef>
              <c:f>JTA!$F$2</c:f>
              <c:strCache>
                <c:ptCount val="1"/>
                <c:pt idx="0">
                  <c:v>American Job Tenure Average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JTA!$F$4:$F$29</c:f>
              <c:numCache>
                <c:formatCode>General</c:formatCode>
                <c:ptCount val="26"/>
              </c:numCache>
            </c:numRef>
          </c:val>
        </c:ser>
        <c:gapWidth val="100"/>
        <c:overlap val="0"/>
        <c:axId val="35022015"/>
        <c:axId val="45448585"/>
      </c:barChart>
      <c:catAx>
        <c:axId val="3502201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1053474223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5448585"/>
        <c:crosses val="autoZero"/>
        <c:auto val="1"/>
        <c:lblAlgn val="ctr"/>
        <c:lblOffset val="100"/>
        <c:noMultiLvlLbl val="0"/>
      </c:catAx>
      <c:valAx>
        <c:axId val="4544858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Job Tenure Average</a:t>
                </a:r>
              </a:p>
            </c:rich>
          </c:tx>
          <c:layout>
            <c:manualLayout>
              <c:xMode val="edge"/>
              <c:yMode val="edge"/>
              <c:x val="0.431168421467724"/>
              <c:y val="0.9692603266090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5022015"/>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Job Tenure Average</a:t>
            </a:r>
          </a:p>
        </c:rich>
      </c:tx>
      <c:layout>
        <c:manualLayout>
          <c:xMode val="edge"/>
          <c:yMode val="edge"/>
          <c:x val="0.243818762569502"/>
          <c:y val="0.0113795906303111"/>
        </c:manualLayout>
      </c:layout>
      <c:overlay val="0"/>
      <c:spPr>
        <a:noFill/>
        <a:ln w="0">
          <a:noFill/>
        </a:ln>
      </c:spPr>
    </c:title>
    <c:autoTitleDeleted val="0"/>
    <c:plotArea>
      <c:layout>
        <c:manualLayout>
          <c:layoutTarget val="inner"/>
          <c:xMode val="edge"/>
          <c:yMode val="edge"/>
          <c:x val="0.299065420560748"/>
          <c:y val="0.04689770684007"/>
          <c:w val="0.470286683228834"/>
          <c:h val="0.874060937461514"/>
        </c:manualLayout>
      </c:layout>
      <c:barChart>
        <c:barDir val="bar"/>
        <c:grouping val="clustered"/>
        <c:varyColors val="0"/>
        <c:ser>
          <c:idx val="0"/>
          <c:order val="0"/>
          <c:tx>
            <c:strRef>
              <c:f>JTA!$C$2</c:f>
              <c:strCache>
                <c:ptCount val="1"/>
                <c:pt idx="0">
                  <c:v>Job Tenure Average (years)</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JTA!$C$30:$C$55</c:f>
              <c:numCache>
                <c:formatCode>General</c:formatCode>
                <c:ptCount val="26"/>
              </c:numCache>
            </c:numRef>
          </c:val>
        </c:ser>
        <c:ser>
          <c:idx val="1"/>
          <c:order val="1"/>
          <c:tx>
            <c:strRef>
              <c:f>JTA!$D$2</c:f>
              <c:strCache>
                <c:ptCount val="1"/>
                <c:pt idx="0">
                  <c:v>Authorized Immigrant Job Tenure Average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JTA!$D$30:$D$55</c:f>
              <c:numCache>
                <c:formatCode>General</c:formatCode>
                <c:ptCount val="26"/>
              </c:numCache>
            </c:numRef>
          </c:val>
        </c:ser>
        <c:ser>
          <c:idx val="2"/>
          <c:order val="2"/>
          <c:tx>
            <c:strRef>
              <c:f>JTA!$E$2</c:f>
              <c:strCache>
                <c:ptCount val="1"/>
                <c:pt idx="0">
                  <c:v>Unauthorized Immigrant Job Tenure Average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JTA!$E$30:$E$55</c:f>
              <c:numCache>
                <c:formatCode>General</c:formatCode>
                <c:ptCount val="26"/>
              </c:numCache>
            </c:numRef>
          </c:val>
        </c:ser>
        <c:ser>
          <c:idx val="3"/>
          <c:order val="3"/>
          <c:tx>
            <c:strRef>
              <c:f>JTA!$F$2</c:f>
              <c:strCache>
                <c:ptCount val="1"/>
                <c:pt idx="0">
                  <c:v>American Job Tenure Average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JTA!$F$30:$F$55</c:f>
              <c:numCache>
                <c:formatCode>General</c:formatCode>
                <c:ptCount val="26"/>
              </c:numCache>
            </c:numRef>
          </c:val>
        </c:ser>
        <c:gapWidth val="100"/>
        <c:overlap val="0"/>
        <c:axId val="1734119"/>
        <c:axId val="30463639"/>
      </c:barChart>
      <c:catAx>
        <c:axId val="173411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547813399582"/>
              <c:y val="0.4770560851252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0463639"/>
        <c:crosses val="autoZero"/>
        <c:auto val="1"/>
        <c:lblAlgn val="ctr"/>
        <c:lblOffset val="100"/>
        <c:noMultiLvlLbl val="0"/>
      </c:catAx>
      <c:valAx>
        <c:axId val="3046363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Job Tenure Average</a:t>
                </a:r>
              </a:p>
            </c:rich>
          </c:tx>
          <c:layout>
            <c:manualLayout>
              <c:xMode val="edge"/>
              <c:yMode val="edge"/>
              <c:x val="0.431168421467724"/>
              <c:y val="0.9692603266090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734119"/>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
</Relationships>
</file>

<file path=xl/drawings/_rels/drawing4.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
</Relationships>
</file>

<file path=xl/drawings/_rels/drawing6.xml.rels><?xml version="1.0" encoding="UTF-8"?>
<Relationships xmlns="http://schemas.openxmlformats.org/package/2006/relationships"><Relationship Id="rId1" Type="http://schemas.openxmlformats.org/officeDocument/2006/relationships/chart" Target="../charts/chart10.xml"/><Relationship Id="rId2" Type="http://schemas.openxmlformats.org/officeDocument/2006/relationships/chart" Target="../charts/chart11.xml"/>
</Relationships>
</file>

<file path=xl/drawings/_rels/drawing7.xml.rels><?xml version="1.0" encoding="UTF-8"?>
<Relationships xmlns="http://schemas.openxmlformats.org/package/2006/relationships"><Relationship Id="rId1" Type="http://schemas.openxmlformats.org/officeDocument/2006/relationships/chart" Target="../charts/chart12.xml"/><Relationship Id="rId2" Type="http://schemas.openxmlformats.org/officeDocument/2006/relationships/chart" Target="../charts/chart13.xml"/>
</Relationships>
</file>

<file path=xl/drawings/_rels/drawing8.xml.rels><?xml version="1.0" encoding="UTF-8"?>
<Relationships xmlns="http://schemas.openxmlformats.org/package/2006/relationships"><Relationship Id="rId1" Type="http://schemas.openxmlformats.org/officeDocument/2006/relationships/chart" Target="../charts/chart14.xml"/><Relationship Id="rId2" Type="http://schemas.openxmlformats.org/officeDocument/2006/relationships/chart" Target="../charts/chart15.xml"/>
</Relationships>
</file>

<file path=xl/drawings/_rels/drawing9.xml.rels><?xml version="1.0" encoding="UTF-8"?>
<Relationships xmlns="http://schemas.openxmlformats.org/package/2006/relationships"><Relationship Id="rId1" Type="http://schemas.openxmlformats.org/officeDocument/2006/relationships/chart" Target="../charts/chart16.xml"/><Relationship Id="rId2" Type="http://schemas.openxmlformats.org/officeDocument/2006/relationships/chart" Target="../charts/chart17.xml"/>
</Relationships>
</file>

<file path=xl/drawings/_rels/drawing10.xml.rels><?xml version="1.0" encoding="UTF-8"?>
<Relationships xmlns="http://schemas.openxmlformats.org/package/2006/relationships"><Relationship Id="rId1" Type="http://schemas.openxmlformats.org/officeDocument/2006/relationships/chart" Target="../charts/chart18.xml"/><Relationship Id="rId2" Type="http://schemas.openxmlformats.org/officeDocument/2006/relationships/chart" Target="../charts/chart19.xml"/>
</Relationships>
</file>

<file path=xl/drawings/_rels/drawing11.xml.rels><?xml version="1.0" encoding="UTF-8"?>
<Relationships xmlns="http://schemas.openxmlformats.org/package/2006/relationships"><Relationship Id="rId1" Type="http://schemas.openxmlformats.org/officeDocument/2006/relationships/chart" Target="../charts/chart20.xml"/><Relationship Id="rId2" Type="http://schemas.openxmlformats.org/officeDocument/2006/relationships/chart" Target="../charts/chart21.xml"/>
</Relationships>
</file>

<file path=xl/drawings/_rels/drawing12.xml.rels><?xml version="1.0" encoding="UTF-8"?>
<Relationships xmlns="http://schemas.openxmlformats.org/package/2006/relationships"><Relationship Id="rId1" Type="http://schemas.openxmlformats.org/officeDocument/2006/relationships/chart" Target="../charts/chart22.xml"/><Relationship Id="rId2" Type="http://schemas.openxmlformats.org/officeDocument/2006/relationships/chart" Target="../charts/chart23.xml"/>
</Relationships>
</file>

<file path=xl/drawings/_rels/drawing13.xml.rels><?xml version="1.0" encoding="UTF-8"?>
<Relationships xmlns="http://schemas.openxmlformats.org/package/2006/relationships"><Relationship Id="rId1" Type="http://schemas.openxmlformats.org/officeDocument/2006/relationships/chart" Target="../charts/chart24.xml"/><Relationship Id="rId2" Type="http://schemas.openxmlformats.org/officeDocument/2006/relationships/chart" Target="../charts/chart25.xml"/>
</Relationships>
</file>

<file path=xl/drawings/_rels/drawing14.xml.rels><?xml version="1.0" encoding="UTF-8"?>
<Relationships xmlns="http://schemas.openxmlformats.org/package/2006/relationships"><Relationship Id="rId1" Type="http://schemas.openxmlformats.org/officeDocument/2006/relationships/chart" Target="../charts/chart26.xml"/><Relationship Id="rId2" Type="http://schemas.openxmlformats.org/officeDocument/2006/relationships/chart" Target="../charts/chart27.xml"/>
</Relationships>
</file>

<file path=xl/drawings/_rels/drawing15.xml.rels><?xml version="1.0" encoding="UTF-8"?>
<Relationships xmlns="http://schemas.openxmlformats.org/package/2006/relationships"><Relationship Id="rId1" Type="http://schemas.openxmlformats.org/officeDocument/2006/relationships/chart" Target="../charts/chart28.xml"/><Relationship Id="rId2" Type="http://schemas.openxmlformats.org/officeDocument/2006/relationships/chart" Target="../charts/chart29.xml"/>
</Relationships>
</file>

<file path=xl/drawings/_rels/drawing16.xml.rels><?xml version="1.0" encoding="UTF-8"?>
<Relationships xmlns="http://schemas.openxmlformats.org/package/2006/relationships"><Relationship Id="rId1" Type="http://schemas.openxmlformats.org/officeDocument/2006/relationships/chart" Target="../charts/chart30.xml"/><Relationship Id="rId2" Type="http://schemas.openxmlformats.org/officeDocument/2006/relationships/chart" Target="../charts/chart31.xml"/>
</Relationships>
</file>

<file path=xl/drawings/_rels/drawing17.xml.rels><?xml version="1.0" encoding="UTF-8"?>
<Relationships xmlns="http://schemas.openxmlformats.org/package/2006/relationships"><Relationship Id="rId1" Type="http://schemas.openxmlformats.org/officeDocument/2006/relationships/chart" Target="../charts/chart32.xml"/><Relationship Id="rId2" Type="http://schemas.openxmlformats.org/officeDocument/2006/relationships/chart" Target="../charts/chart3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974520</xdr:colOff>
      <xdr:row>35</xdr:row>
      <xdr:rowOff>0</xdr:rowOff>
    </xdr:from>
    <xdr:to>
      <xdr:col>6</xdr:col>
      <xdr:colOff>964440</xdr:colOff>
      <xdr:row>124</xdr:row>
      <xdr:rowOff>147240</xdr:rowOff>
    </xdr:to>
    <xdr:graphicFrame>
      <xdr:nvGraphicFramePr>
        <xdr:cNvPr id="1" name=""/>
        <xdr:cNvGraphicFramePr/>
      </xdr:nvGraphicFramePr>
      <xdr:xfrm>
        <a:off x="974520" y="7793280"/>
        <a:ext cx="912888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806400</xdr:colOff>
      <xdr:row>60</xdr:row>
      <xdr:rowOff>141120</xdr:rowOff>
    </xdr:from>
    <xdr:to>
      <xdr:col>5</xdr:col>
      <xdr:colOff>846000</xdr:colOff>
      <xdr:row>150</xdr:row>
      <xdr:rowOff>126000</xdr:rowOff>
    </xdr:to>
    <xdr:graphicFrame>
      <xdr:nvGraphicFramePr>
        <xdr:cNvPr id="2" name=""/>
        <xdr:cNvGraphicFramePr/>
      </xdr:nvGraphicFramePr>
      <xdr:xfrm>
        <a:off x="806400" y="9894600"/>
        <a:ext cx="912852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806040</xdr:colOff>
      <xdr:row>160</xdr:row>
      <xdr:rowOff>151200</xdr:rowOff>
    </xdr:from>
    <xdr:to>
      <xdr:col>5</xdr:col>
      <xdr:colOff>845640</xdr:colOff>
      <xdr:row>250</xdr:row>
      <xdr:rowOff>136080</xdr:rowOff>
    </xdr:to>
    <xdr:graphicFrame>
      <xdr:nvGraphicFramePr>
        <xdr:cNvPr id="3" name=""/>
        <xdr:cNvGraphicFramePr/>
      </xdr:nvGraphicFramePr>
      <xdr:xfrm>
        <a:off x="806040" y="26160840"/>
        <a:ext cx="9128520" cy="1461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60</xdr:row>
      <xdr:rowOff>720</xdr:rowOff>
    </xdr:from>
    <xdr:to>
      <xdr:col>6</xdr:col>
      <xdr:colOff>1121400</xdr:colOff>
      <xdr:row>149</xdr:row>
      <xdr:rowOff>147960</xdr:rowOff>
    </xdr:to>
    <xdr:graphicFrame>
      <xdr:nvGraphicFramePr>
        <xdr:cNvPr id="4" name=""/>
        <xdr:cNvGraphicFramePr/>
      </xdr:nvGraphicFramePr>
      <xdr:xfrm>
        <a:off x="804960" y="10179000"/>
        <a:ext cx="912888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806040</xdr:colOff>
      <xdr:row>154</xdr:row>
      <xdr:rowOff>156600</xdr:rowOff>
    </xdr:from>
    <xdr:to>
      <xdr:col>6</xdr:col>
      <xdr:colOff>1122480</xdr:colOff>
      <xdr:row>244</xdr:row>
      <xdr:rowOff>141480</xdr:rowOff>
    </xdr:to>
    <xdr:graphicFrame>
      <xdr:nvGraphicFramePr>
        <xdr:cNvPr id="5" name=""/>
        <xdr:cNvGraphicFramePr/>
      </xdr:nvGraphicFramePr>
      <xdr:xfrm>
        <a:off x="806040" y="25615800"/>
        <a:ext cx="9128880" cy="1461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806040</xdr:colOff>
      <xdr:row>154</xdr:row>
      <xdr:rowOff>151200</xdr:rowOff>
    </xdr:from>
    <xdr:to>
      <xdr:col>6</xdr:col>
      <xdr:colOff>1122480</xdr:colOff>
      <xdr:row>244</xdr:row>
      <xdr:rowOff>136080</xdr:rowOff>
    </xdr:to>
    <xdr:graphicFrame>
      <xdr:nvGraphicFramePr>
        <xdr:cNvPr id="6" name=""/>
        <xdr:cNvGraphicFramePr/>
      </xdr:nvGraphicFramePr>
      <xdr:xfrm>
        <a:off x="806040" y="25610400"/>
        <a:ext cx="912888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60</xdr:row>
      <xdr:rowOff>720</xdr:rowOff>
    </xdr:from>
    <xdr:to>
      <xdr:col>6</xdr:col>
      <xdr:colOff>1121040</xdr:colOff>
      <xdr:row>149</xdr:row>
      <xdr:rowOff>147960</xdr:rowOff>
    </xdr:to>
    <xdr:graphicFrame>
      <xdr:nvGraphicFramePr>
        <xdr:cNvPr id="7" name=""/>
        <xdr:cNvGraphicFramePr/>
      </xdr:nvGraphicFramePr>
      <xdr:xfrm>
        <a:off x="804600" y="10179000"/>
        <a:ext cx="9128880" cy="1461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804600</xdr:colOff>
      <xdr:row>60</xdr:row>
      <xdr:rowOff>720</xdr:rowOff>
    </xdr:from>
    <xdr:to>
      <xdr:col>6</xdr:col>
      <xdr:colOff>1121040</xdr:colOff>
      <xdr:row>149</xdr:row>
      <xdr:rowOff>147960</xdr:rowOff>
    </xdr:to>
    <xdr:graphicFrame>
      <xdr:nvGraphicFramePr>
        <xdr:cNvPr id="8" name=""/>
        <xdr:cNvGraphicFramePr/>
      </xdr:nvGraphicFramePr>
      <xdr:xfrm>
        <a:off x="804600" y="10179000"/>
        <a:ext cx="912888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7200</xdr:rowOff>
    </xdr:from>
    <xdr:to>
      <xdr:col>6</xdr:col>
      <xdr:colOff>1121040</xdr:colOff>
      <xdr:row>244</xdr:row>
      <xdr:rowOff>154440</xdr:rowOff>
    </xdr:to>
    <xdr:graphicFrame>
      <xdr:nvGraphicFramePr>
        <xdr:cNvPr id="9" name=""/>
        <xdr:cNvGraphicFramePr/>
      </xdr:nvGraphicFramePr>
      <xdr:xfrm>
        <a:off x="804600" y="25628760"/>
        <a:ext cx="9128880" cy="1461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804600</xdr:colOff>
      <xdr:row>60</xdr:row>
      <xdr:rowOff>720</xdr:rowOff>
    </xdr:from>
    <xdr:to>
      <xdr:col>6</xdr:col>
      <xdr:colOff>1121040</xdr:colOff>
      <xdr:row>149</xdr:row>
      <xdr:rowOff>147960</xdr:rowOff>
    </xdr:to>
    <xdr:graphicFrame>
      <xdr:nvGraphicFramePr>
        <xdr:cNvPr id="10" name=""/>
        <xdr:cNvGraphicFramePr/>
      </xdr:nvGraphicFramePr>
      <xdr:xfrm>
        <a:off x="804600" y="10036800"/>
        <a:ext cx="912888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9720</xdr:rowOff>
    </xdr:from>
    <xdr:to>
      <xdr:col>6</xdr:col>
      <xdr:colOff>1121040</xdr:colOff>
      <xdr:row>244</xdr:row>
      <xdr:rowOff>157320</xdr:rowOff>
    </xdr:to>
    <xdr:graphicFrame>
      <xdr:nvGraphicFramePr>
        <xdr:cNvPr id="11" name=""/>
        <xdr:cNvGraphicFramePr/>
      </xdr:nvGraphicFramePr>
      <xdr:xfrm>
        <a:off x="804600" y="25489080"/>
        <a:ext cx="9128880" cy="1461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59</xdr:row>
      <xdr:rowOff>158400</xdr:rowOff>
    </xdr:from>
    <xdr:to>
      <xdr:col>6</xdr:col>
      <xdr:colOff>1121400</xdr:colOff>
      <xdr:row>149</xdr:row>
      <xdr:rowOff>143280</xdr:rowOff>
    </xdr:to>
    <xdr:graphicFrame>
      <xdr:nvGraphicFramePr>
        <xdr:cNvPr id="12" name=""/>
        <xdr:cNvGraphicFramePr/>
      </xdr:nvGraphicFramePr>
      <xdr:xfrm>
        <a:off x="804960" y="10174320"/>
        <a:ext cx="912888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7200</xdr:rowOff>
    </xdr:from>
    <xdr:to>
      <xdr:col>6</xdr:col>
      <xdr:colOff>1121040</xdr:colOff>
      <xdr:row>244</xdr:row>
      <xdr:rowOff>154440</xdr:rowOff>
    </xdr:to>
    <xdr:graphicFrame>
      <xdr:nvGraphicFramePr>
        <xdr:cNvPr id="13" name=""/>
        <xdr:cNvGraphicFramePr/>
      </xdr:nvGraphicFramePr>
      <xdr:xfrm>
        <a:off x="804600" y="25628760"/>
        <a:ext cx="9128880" cy="1461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60</xdr:row>
      <xdr:rowOff>20160</xdr:rowOff>
    </xdr:from>
    <xdr:to>
      <xdr:col>6</xdr:col>
      <xdr:colOff>1133640</xdr:colOff>
      <xdr:row>150</xdr:row>
      <xdr:rowOff>5040</xdr:rowOff>
    </xdr:to>
    <xdr:graphicFrame>
      <xdr:nvGraphicFramePr>
        <xdr:cNvPr id="14" name=""/>
        <xdr:cNvGraphicFramePr/>
      </xdr:nvGraphicFramePr>
      <xdr:xfrm>
        <a:off x="817200" y="10198440"/>
        <a:ext cx="912888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7200</xdr:rowOff>
    </xdr:from>
    <xdr:to>
      <xdr:col>6</xdr:col>
      <xdr:colOff>1121040</xdr:colOff>
      <xdr:row>244</xdr:row>
      <xdr:rowOff>154440</xdr:rowOff>
    </xdr:to>
    <xdr:graphicFrame>
      <xdr:nvGraphicFramePr>
        <xdr:cNvPr id="15" name=""/>
        <xdr:cNvGraphicFramePr/>
      </xdr:nvGraphicFramePr>
      <xdr:xfrm>
        <a:off x="804600" y="25628760"/>
        <a:ext cx="9128880" cy="1461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60</xdr:row>
      <xdr:rowOff>1080</xdr:rowOff>
    </xdr:from>
    <xdr:to>
      <xdr:col>7</xdr:col>
      <xdr:colOff>259560</xdr:colOff>
      <xdr:row>149</xdr:row>
      <xdr:rowOff>148320</xdr:rowOff>
    </xdr:to>
    <xdr:graphicFrame>
      <xdr:nvGraphicFramePr>
        <xdr:cNvPr id="16" name=""/>
        <xdr:cNvGraphicFramePr/>
      </xdr:nvGraphicFramePr>
      <xdr:xfrm>
        <a:off x="804960" y="10319760"/>
        <a:ext cx="912888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18720</xdr:rowOff>
    </xdr:from>
    <xdr:to>
      <xdr:col>7</xdr:col>
      <xdr:colOff>259200</xdr:colOff>
      <xdr:row>245</xdr:row>
      <xdr:rowOff>3600</xdr:rowOff>
    </xdr:to>
    <xdr:graphicFrame>
      <xdr:nvGraphicFramePr>
        <xdr:cNvPr id="17" name=""/>
        <xdr:cNvGraphicFramePr/>
      </xdr:nvGraphicFramePr>
      <xdr:xfrm>
        <a:off x="804600" y="25780680"/>
        <a:ext cx="9128880" cy="1461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59</xdr:row>
      <xdr:rowOff>161280</xdr:rowOff>
    </xdr:from>
    <xdr:to>
      <xdr:col>7</xdr:col>
      <xdr:colOff>271800</xdr:colOff>
      <xdr:row>149</xdr:row>
      <xdr:rowOff>146160</xdr:rowOff>
    </xdr:to>
    <xdr:graphicFrame>
      <xdr:nvGraphicFramePr>
        <xdr:cNvPr id="18" name=""/>
        <xdr:cNvGraphicFramePr/>
      </xdr:nvGraphicFramePr>
      <xdr:xfrm>
        <a:off x="979560" y="10175400"/>
        <a:ext cx="912888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155</xdr:row>
      <xdr:rowOff>21240</xdr:rowOff>
    </xdr:from>
    <xdr:to>
      <xdr:col>7</xdr:col>
      <xdr:colOff>263520</xdr:colOff>
      <xdr:row>245</xdr:row>
      <xdr:rowOff>6120</xdr:rowOff>
    </xdr:to>
    <xdr:graphicFrame>
      <xdr:nvGraphicFramePr>
        <xdr:cNvPr id="19" name=""/>
        <xdr:cNvGraphicFramePr/>
      </xdr:nvGraphicFramePr>
      <xdr:xfrm>
        <a:off x="971280" y="25641000"/>
        <a:ext cx="9128880" cy="1461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971280</xdr:colOff>
      <xdr:row>60</xdr:row>
      <xdr:rowOff>1440</xdr:rowOff>
    </xdr:from>
    <xdr:to>
      <xdr:col>7</xdr:col>
      <xdr:colOff>263520</xdr:colOff>
      <xdr:row>149</xdr:row>
      <xdr:rowOff>148680</xdr:rowOff>
    </xdr:to>
    <xdr:graphicFrame>
      <xdr:nvGraphicFramePr>
        <xdr:cNvPr id="20" name=""/>
        <xdr:cNvGraphicFramePr/>
      </xdr:nvGraphicFramePr>
      <xdr:xfrm>
        <a:off x="971280" y="10177920"/>
        <a:ext cx="912888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156</xdr:row>
      <xdr:rowOff>21960</xdr:rowOff>
    </xdr:from>
    <xdr:to>
      <xdr:col>7</xdr:col>
      <xdr:colOff>263520</xdr:colOff>
      <xdr:row>246</xdr:row>
      <xdr:rowOff>6840</xdr:rowOff>
    </xdr:to>
    <xdr:graphicFrame>
      <xdr:nvGraphicFramePr>
        <xdr:cNvPr id="21" name=""/>
        <xdr:cNvGraphicFramePr/>
      </xdr:nvGraphicFramePr>
      <xdr:xfrm>
        <a:off x="971280" y="25804080"/>
        <a:ext cx="9128880" cy="1461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32040</xdr:rowOff>
    </xdr:from>
    <xdr:to>
      <xdr:col>7</xdr:col>
      <xdr:colOff>263880</xdr:colOff>
      <xdr:row>150</xdr:row>
      <xdr:rowOff>16920</xdr:rowOff>
    </xdr:to>
    <xdr:graphicFrame>
      <xdr:nvGraphicFramePr>
        <xdr:cNvPr id="22" name=""/>
        <xdr:cNvGraphicFramePr/>
      </xdr:nvGraphicFramePr>
      <xdr:xfrm>
        <a:off x="971640" y="10208520"/>
        <a:ext cx="912888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98280</xdr:rowOff>
    </xdr:from>
    <xdr:to>
      <xdr:col>7</xdr:col>
      <xdr:colOff>267840</xdr:colOff>
      <xdr:row>246</xdr:row>
      <xdr:rowOff>83160</xdr:rowOff>
    </xdr:to>
    <xdr:graphicFrame>
      <xdr:nvGraphicFramePr>
        <xdr:cNvPr id="23" name=""/>
        <xdr:cNvGraphicFramePr/>
      </xdr:nvGraphicFramePr>
      <xdr:xfrm>
        <a:off x="975600" y="25880400"/>
        <a:ext cx="9128880" cy="1461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32040</xdr:rowOff>
    </xdr:from>
    <xdr:to>
      <xdr:col>7</xdr:col>
      <xdr:colOff>263880</xdr:colOff>
      <xdr:row>150</xdr:row>
      <xdr:rowOff>16920</xdr:rowOff>
    </xdr:to>
    <xdr:graphicFrame>
      <xdr:nvGraphicFramePr>
        <xdr:cNvPr id="24" name=""/>
        <xdr:cNvGraphicFramePr/>
      </xdr:nvGraphicFramePr>
      <xdr:xfrm>
        <a:off x="971640" y="10206000"/>
        <a:ext cx="912888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98280</xdr:rowOff>
    </xdr:from>
    <xdr:to>
      <xdr:col>7</xdr:col>
      <xdr:colOff>267840</xdr:colOff>
      <xdr:row>246</xdr:row>
      <xdr:rowOff>83160</xdr:rowOff>
    </xdr:to>
    <xdr:graphicFrame>
      <xdr:nvGraphicFramePr>
        <xdr:cNvPr id="25" name=""/>
        <xdr:cNvGraphicFramePr/>
      </xdr:nvGraphicFramePr>
      <xdr:xfrm>
        <a:off x="975600" y="25877880"/>
        <a:ext cx="9128880" cy="1461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12960</xdr:rowOff>
    </xdr:from>
    <xdr:to>
      <xdr:col>7</xdr:col>
      <xdr:colOff>263880</xdr:colOff>
      <xdr:row>149</xdr:row>
      <xdr:rowOff>160200</xdr:rowOff>
    </xdr:to>
    <xdr:graphicFrame>
      <xdr:nvGraphicFramePr>
        <xdr:cNvPr id="26" name=""/>
        <xdr:cNvGraphicFramePr/>
      </xdr:nvGraphicFramePr>
      <xdr:xfrm>
        <a:off x="971640" y="10191240"/>
        <a:ext cx="912888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79200</xdr:rowOff>
    </xdr:from>
    <xdr:to>
      <xdr:col>7</xdr:col>
      <xdr:colOff>267840</xdr:colOff>
      <xdr:row>246</xdr:row>
      <xdr:rowOff>64080</xdr:rowOff>
    </xdr:to>
    <xdr:graphicFrame>
      <xdr:nvGraphicFramePr>
        <xdr:cNvPr id="27" name=""/>
        <xdr:cNvGraphicFramePr/>
      </xdr:nvGraphicFramePr>
      <xdr:xfrm>
        <a:off x="975600" y="25863480"/>
        <a:ext cx="9128880" cy="1461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89280</xdr:rowOff>
    </xdr:from>
    <xdr:to>
      <xdr:col>7</xdr:col>
      <xdr:colOff>263880</xdr:colOff>
      <xdr:row>149</xdr:row>
      <xdr:rowOff>74160</xdr:rowOff>
    </xdr:to>
    <xdr:graphicFrame>
      <xdr:nvGraphicFramePr>
        <xdr:cNvPr id="28" name=""/>
        <xdr:cNvGraphicFramePr/>
      </xdr:nvGraphicFramePr>
      <xdr:xfrm>
        <a:off x="971640" y="10105200"/>
        <a:ext cx="912888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155</xdr:row>
      <xdr:rowOff>155520</xdr:rowOff>
    </xdr:from>
    <xdr:to>
      <xdr:col>7</xdr:col>
      <xdr:colOff>267840</xdr:colOff>
      <xdr:row>245</xdr:row>
      <xdr:rowOff>140400</xdr:rowOff>
    </xdr:to>
    <xdr:graphicFrame>
      <xdr:nvGraphicFramePr>
        <xdr:cNvPr id="29" name=""/>
        <xdr:cNvGraphicFramePr/>
      </xdr:nvGraphicFramePr>
      <xdr:xfrm>
        <a:off x="975600" y="25777080"/>
        <a:ext cx="9128880" cy="1461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89280</xdr:rowOff>
    </xdr:from>
    <xdr:to>
      <xdr:col>7</xdr:col>
      <xdr:colOff>263880</xdr:colOff>
      <xdr:row>149</xdr:row>
      <xdr:rowOff>74160</xdr:rowOff>
    </xdr:to>
    <xdr:graphicFrame>
      <xdr:nvGraphicFramePr>
        <xdr:cNvPr id="30" name=""/>
        <xdr:cNvGraphicFramePr/>
      </xdr:nvGraphicFramePr>
      <xdr:xfrm>
        <a:off x="971640" y="10105200"/>
        <a:ext cx="912888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155</xdr:row>
      <xdr:rowOff>155520</xdr:rowOff>
    </xdr:from>
    <xdr:to>
      <xdr:col>7</xdr:col>
      <xdr:colOff>267840</xdr:colOff>
      <xdr:row>245</xdr:row>
      <xdr:rowOff>140400</xdr:rowOff>
    </xdr:to>
    <xdr:graphicFrame>
      <xdr:nvGraphicFramePr>
        <xdr:cNvPr id="31" name=""/>
        <xdr:cNvGraphicFramePr/>
      </xdr:nvGraphicFramePr>
      <xdr:xfrm>
        <a:off x="975600" y="25777080"/>
        <a:ext cx="9128880" cy="1461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110520</xdr:rowOff>
    </xdr:from>
    <xdr:to>
      <xdr:col>7</xdr:col>
      <xdr:colOff>263880</xdr:colOff>
      <xdr:row>149</xdr:row>
      <xdr:rowOff>95400</xdr:rowOff>
    </xdr:to>
    <xdr:graphicFrame>
      <xdr:nvGraphicFramePr>
        <xdr:cNvPr id="32" name=""/>
        <xdr:cNvGraphicFramePr/>
      </xdr:nvGraphicFramePr>
      <xdr:xfrm>
        <a:off x="971640" y="9984240"/>
        <a:ext cx="9128880" cy="1461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14400</xdr:rowOff>
    </xdr:from>
    <xdr:to>
      <xdr:col>7</xdr:col>
      <xdr:colOff>267840</xdr:colOff>
      <xdr:row>245</xdr:row>
      <xdr:rowOff>162000</xdr:rowOff>
    </xdr:to>
    <xdr:graphicFrame>
      <xdr:nvGraphicFramePr>
        <xdr:cNvPr id="33" name=""/>
        <xdr:cNvGraphicFramePr/>
      </xdr:nvGraphicFramePr>
      <xdr:xfrm>
        <a:off x="975600" y="25656480"/>
        <a:ext cx="9128880" cy="1461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_rels/sheet14.xml.rels><?xml version="1.0" encoding="UTF-8"?>
<Relationships xmlns="http://schemas.openxmlformats.org/package/2006/relationships"><Relationship Id="rId1" Type="http://schemas.openxmlformats.org/officeDocument/2006/relationships/drawing" Target="../drawings/drawing9.xml"/>
</Relationships>
</file>

<file path=xl/worksheets/_rels/sheet15.xml.rels><?xml version="1.0" encoding="UTF-8"?>
<Relationships xmlns="http://schemas.openxmlformats.org/package/2006/relationships"><Relationship Id="rId1" Type="http://schemas.openxmlformats.org/officeDocument/2006/relationships/drawing" Target="../drawings/drawing10.xml"/>
</Relationships>
</file>

<file path=xl/worksheets/_rels/sheet16.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_rels/sheet20.xml.rels><?xml version="1.0" encoding="UTF-8"?>
<Relationships xmlns="http://schemas.openxmlformats.org/package/2006/relationships"><Relationship Id="rId1" Type="http://schemas.openxmlformats.org/officeDocument/2006/relationships/drawing" Target="../drawings/drawing15.xml"/>
</Relationships>
</file>

<file path=xl/worksheets/_rels/sheet21.xml.rels><?xml version="1.0" encoding="UTF-8"?>
<Relationships xmlns="http://schemas.openxmlformats.org/package/2006/relationships"><Relationship Id="rId1" Type="http://schemas.openxmlformats.org/officeDocument/2006/relationships/drawing" Target="../drawings/drawing16.xml"/>
</Relationships>
</file>

<file path=xl/worksheets/_rels/sheet22.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DK7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3" activeCellId="1" sqref="D3:E3 C3"/>
    </sheetView>
  </sheetViews>
  <sheetFormatPr defaultColWidth="11.53515625" defaultRowHeight="12.8" customHeight="false" zeroHeight="false" outlineLevelRow="1" outlineLevelCol="0"/>
  <cols>
    <col collapsed="false" customWidth="true" hidden="false" outlineLevel="0" max="1" min="1" style="1" width="23.07"/>
    <col collapsed="false" customWidth="true" hidden="false" outlineLevel="0" max="2" min="2" style="2" width="50.73"/>
    <col collapsed="false" customWidth="true" hidden="false" outlineLevel="0" max="3" min="3" style="2" width="32.28"/>
    <col collapsed="false" customWidth="true" hidden="false" outlineLevel="0" max="4" min="4" style="2" width="6.93"/>
    <col collapsed="false" customWidth="false" hidden="false" outlineLevel="0" max="115" min="5" style="2" width="11.53"/>
    <col collapsed="false" customWidth="false" hidden="false" outlineLevel="0" max="16384" min="116" style="3" width="11.53"/>
  </cols>
  <sheetData>
    <row r="1" s="2" customFormat="true" ht="12.8" hidden="false" customHeight="false" outlineLevel="0" collapsed="false">
      <c r="A1" s="4" t="s">
        <v>0</v>
      </c>
      <c r="B1" s="5" t="s">
        <v>1</v>
      </c>
      <c r="C1" s="6" t="s">
        <v>2</v>
      </c>
      <c r="D1" s="5"/>
    </row>
    <row r="2" s="2" customFormat="true" ht="12.8" hidden="false" customHeight="false" outlineLevel="1" collapsed="false">
      <c r="A2" s="4" t="s">
        <v>3</v>
      </c>
      <c r="B2" s="5" t="s">
        <v>4</v>
      </c>
      <c r="C2" s="5" t="s">
        <v>5</v>
      </c>
      <c r="D2" s="7"/>
    </row>
    <row r="3" s="2" customFormat="true" ht="12.8" hidden="false" customHeight="false" outlineLevel="1" collapsed="false">
      <c r="A3" s="8" t="str">
        <f aca="false">INVOKE!A$1</f>
        <v>LSD.REF.AL.INVOKE</v>
      </c>
      <c r="B3" s="9" t="str">
        <f aca="false">INVOKE!B$1</f>
        <v>Alabama Labor Statistic Logic Formulae</v>
      </c>
      <c r="C3" s="9" t="str">
        <f aca="false">INVOKE!C$1</f>
        <v>December 2025</v>
      </c>
      <c r="D3" s="7"/>
    </row>
    <row r="4" s="2" customFormat="true" ht="12.8" hidden="false" customHeight="false" outlineLevel="1" collapsed="false">
      <c r="A4" s="10" t="str">
        <f aca="false">FORM!A$1</f>
        <v>LSD.REF.AL.FORM</v>
      </c>
      <c r="B4" s="10" t="str">
        <f aca="false">FORM!B$1</f>
        <v>Alabama Labor Statistic Logic Interdependent Formulae</v>
      </c>
      <c r="C4" s="10" t="str">
        <f aca="false">FORM!C$1</f>
        <v>December, 2025</v>
      </c>
      <c r="D4" s="11"/>
    </row>
    <row r="5" s="2" customFormat="true" ht="12.8" hidden="false" customHeight="false" outlineLevel="1" collapsed="false">
      <c r="A5" s="12" t="str">
        <f aca="false">PARAM!A$1</f>
        <v>LSD.REF.AL.PARAM</v>
      </c>
      <c r="B5" s="12" t="str">
        <f aca="false">PARAM!B$1</f>
        <v>Alabama Labor Statistic Logic Interdependent Parameters</v>
      </c>
      <c r="C5" s="12" t="str">
        <f aca="false">PARAM!C$1</f>
        <v>December, 2025</v>
      </c>
      <c r="D5" s="11"/>
    </row>
    <row r="6" s="2" customFormat="true" ht="12.8" hidden="false" customHeight="false" outlineLevel="1" collapsed="false">
      <c r="A6" s="13" t="str">
        <f aca="false">CALC!A1</f>
        <v>LSD.RID.0.AL.CALC</v>
      </c>
      <c r="B6" s="13" t="str">
        <f aca="false">CALC!B1</f>
        <v>Alabama Labor Statistic Calculations</v>
      </c>
      <c r="C6" s="14" t="str">
        <f aca="false">CALC!C1</f>
        <v>December 2025</v>
      </c>
      <c r="D6" s="11"/>
    </row>
    <row r="7" s="2" customFormat="true" ht="12.8" hidden="false" customHeight="false" outlineLevel="1" collapsed="false">
      <c r="A7" s="15" t="e">
        <f aca="false">#REF!</f>
        <v>#REF!</v>
      </c>
      <c r="B7" s="15" t="e">
        <f aca="false">#REF!</f>
        <v>#REF!</v>
      </c>
      <c r="C7" s="16" t="e">
        <f aca="false">#REF!</f>
        <v>#REF!</v>
      </c>
      <c r="D7" s="11"/>
    </row>
    <row r="8" s="2" customFormat="true" ht="12.8" hidden="false" customHeight="false" outlineLevel="1" collapsed="false">
      <c r="A8" s="17" t="str">
        <f aca="false">LFP!A1</f>
        <v>LSD.RID.0.AL.LFP</v>
      </c>
      <c r="B8" s="17" t="str">
        <f aca="false">LFP!B1</f>
        <v>Alabama Labor Force Population</v>
      </c>
      <c r="C8" s="18" t="str">
        <f aca="false">LFP!C1</f>
        <v>December 2025</v>
      </c>
      <c r="D8" s="11"/>
    </row>
    <row r="9" s="2" customFormat="true" ht="12.8" hidden="false" customHeight="false" outlineLevel="1" collapsed="false">
      <c r="A9" s="19" t="str">
        <f aca="false">ETPR!A1</f>
        <v>LSD.RID.0.AL.ETPR</v>
      </c>
      <c r="B9" s="19" t="str">
        <f aca="false">ETPR!B1</f>
        <v>Alabama Employment-to-Population Ratio (ETPR)</v>
      </c>
      <c r="C9" s="20" t="str">
        <f aca="false">ETPR!C1</f>
        <v>December 2025</v>
      </c>
      <c r="D9" s="11"/>
    </row>
    <row r="10" s="2" customFormat="true" ht="12.8" hidden="false" customHeight="false" outlineLevel="1" collapsed="false">
      <c r="A10" s="21" t="str">
        <f aca="false">LFPR!A1</f>
        <v>LSD.RID.0.AL.LFPR</v>
      </c>
      <c r="B10" s="21" t="str">
        <f aca="false">LFPR!B1</f>
        <v>Alabama Labor Force Participation Rate (LFPR)</v>
      </c>
      <c r="C10" s="22" t="str">
        <f aca="false">LFPR!C1</f>
        <v>December 2025</v>
      </c>
      <c r="D10" s="11"/>
    </row>
    <row r="11" s="2" customFormat="true" ht="12.8" hidden="false" customHeight="false" outlineLevel="1" collapsed="false">
      <c r="A11" s="23" t="str">
        <f aca="false">U3R!A1</f>
        <v>LSD.RID.0.AL.U3R</v>
      </c>
      <c r="B11" s="23" t="str">
        <f aca="false">U3R!B1</f>
        <v>Alabama Unemployment Rate (U3R)</v>
      </c>
      <c r="C11" s="24" t="str">
        <f aca="false">U3R!C1</f>
        <v>December 2025</v>
      </c>
      <c r="D11" s="11"/>
    </row>
    <row r="12" s="2" customFormat="true" ht="12.8" hidden="false" customHeight="false" outlineLevel="1" collapsed="false">
      <c r="A12" s="25" t="str">
        <f aca="false">U6R!A1</f>
        <v>LSD.RID.0.AL.U6R</v>
      </c>
      <c r="B12" s="25" t="str">
        <f aca="false">U6R!B1</f>
        <v>Alabama Underemployment Rate (U6R)</v>
      </c>
      <c r="C12" s="26" t="str">
        <f aca="false">U6R!C1</f>
        <v>December 2025</v>
      </c>
      <c r="D12" s="11"/>
    </row>
    <row r="13" s="2" customFormat="true" ht="12.8" hidden="false" customHeight="false" outlineLevel="1" collapsed="false">
      <c r="A13" s="27" t="str">
        <f aca="false">WAVG!A1</f>
        <v>LSD.RID.0.AL.WAVG</v>
      </c>
      <c r="B13" s="27" t="str">
        <f aca="false">WAVG!B1</f>
        <v>Alabama Wage Average (WAVG)</v>
      </c>
      <c r="C13" s="28" t="str">
        <f aca="false">WAVG!C1</f>
        <v>December 2025</v>
      </c>
      <c r="D13" s="11"/>
    </row>
    <row r="14" s="2" customFormat="true" ht="12.8" hidden="false" customHeight="false" outlineLevel="1" collapsed="false">
      <c r="A14" s="29" t="str">
        <f aca="false">AIAVG!A1</f>
        <v>LSD.RID.0.AL.AIAVG</v>
      </c>
      <c r="B14" s="29" t="str">
        <f aca="false">AIAVG!B1</f>
        <v>Alabama Annual Income Average (AIAVG)</v>
      </c>
      <c r="C14" s="30" t="str">
        <f aca="false">AIAVG!C1</f>
        <v>December 2025</v>
      </c>
      <c r="D14" s="11"/>
    </row>
    <row r="15" s="2" customFormat="true" ht="12.8" hidden="false" customHeight="false" outlineLevel="1" collapsed="false">
      <c r="A15" s="31" t="str">
        <f aca="false">FPITREV!A1</f>
        <v>LSD.RID.0.AL.FPITREV</v>
      </c>
      <c r="B15" s="31" t="str">
        <f aca="false">FPITREV!B1</f>
        <v>Alabama Federal Personal Income Tax Revenue (FPITREV)</v>
      </c>
      <c r="C15" s="32" t="str">
        <f aca="false">FPITREV!C1</f>
        <v>December 2025</v>
      </c>
      <c r="D15" s="11"/>
    </row>
    <row r="16" s="2" customFormat="true" ht="12.8" hidden="false" customHeight="false" outlineLevel="1" collapsed="false">
      <c r="A16" s="33" t="str">
        <f aca="false">FPPTREV!A1</f>
        <v>LSD.RID.0.AL.FPPTR</v>
      </c>
      <c r="B16" s="33" t="str">
        <f aca="false">FPPTREV!B1</f>
        <v>Alabama Federal Personal Payrol Tax Revenue</v>
      </c>
      <c r="C16" s="34" t="str">
        <f aca="false">FPPTREV!C1</f>
        <v>December 2025</v>
      </c>
      <c r="D16" s="11"/>
    </row>
    <row r="17" s="2" customFormat="true" ht="12.8" hidden="false" customHeight="false" outlineLevel="1" collapsed="false">
      <c r="A17" s="35" t="str">
        <f aca="false">EITCREF!A1</f>
        <v>LSD.RID.0.AL.EITCREF</v>
      </c>
      <c r="B17" s="35" t="str">
        <f aca="false">EITCREF!B1</f>
        <v>Alabama Earned Income Tax Credit Refund</v>
      </c>
      <c r="C17" s="36" t="str">
        <f aca="false">EITCREF!C1</f>
        <v>December 2025</v>
      </c>
      <c r="D17" s="11"/>
    </row>
    <row r="18" s="2" customFormat="true" ht="12.8" hidden="false" customHeight="false" outlineLevel="1" collapsed="false">
      <c r="A18" s="37" t="str">
        <f aca="false">ACTCREF!A1</f>
        <v>LSD.RID.0.AL.ACTCREF</v>
      </c>
      <c r="B18" s="37" t="str">
        <f aca="false">ACTCREF!B1</f>
        <v>Alabama Additional Child Tax Credit Refund</v>
      </c>
      <c r="C18" s="38" t="str">
        <f aca="false">ACTCREF!C1</f>
        <v>December 2025</v>
      </c>
      <c r="D18" s="11"/>
    </row>
    <row r="19" s="2" customFormat="true" ht="12.8" hidden="false" customHeight="false" outlineLevel="1" collapsed="false">
      <c r="A19" s="15" t="str">
        <f aca="false">AOTCREF!A1</f>
        <v>LSD.RID.0.AL.AOTCREF</v>
      </c>
      <c r="B19" s="15" t="str">
        <f aca="false">AOTCREF!B1</f>
        <v>Alabama American Opportunity Tax Credit Refund</v>
      </c>
      <c r="C19" s="16" t="str">
        <f aca="false">AOTCREF!C1</f>
        <v>December 2025</v>
      </c>
      <c r="D19" s="11"/>
    </row>
    <row r="20" s="2" customFormat="true" ht="12.8" hidden="false" customHeight="false" outlineLevel="0" collapsed="false">
      <c r="A20" s="11"/>
      <c r="B20" s="11"/>
      <c r="C20" s="11"/>
      <c r="D20" s="11"/>
    </row>
    <row r="21" s="2" customFormat="true" ht="12.8" hidden="false" customHeight="false" outlineLevel="0" collapsed="false">
      <c r="A21" s="4" t="s">
        <v>6</v>
      </c>
      <c r="B21" s="7" t="s">
        <v>7</v>
      </c>
      <c r="C21" s="7" t="s">
        <v>8</v>
      </c>
    </row>
    <row r="22" s="2" customFormat="true" ht="12.8" hidden="false" customHeight="false" outlineLevel="1" collapsed="false">
      <c r="A22" s="4" t="s">
        <v>9</v>
      </c>
      <c r="B22" s="7" t="s">
        <v>10</v>
      </c>
      <c r="C22" s="7" t="s">
        <v>11</v>
      </c>
    </row>
    <row r="23" s="2" customFormat="true" ht="12.8" hidden="false" customHeight="false" outlineLevel="1" collapsed="false">
      <c r="A23" s="39" t="s">
        <v>12</v>
      </c>
      <c r="B23" s="2" t="s">
        <v>13</v>
      </c>
      <c r="C23" s="2" t="s">
        <v>14</v>
      </c>
    </row>
    <row r="24" s="2" customFormat="true" ht="12.8" hidden="false" customHeight="false" outlineLevel="1" collapsed="false">
      <c r="A24" s="39" t="s">
        <v>15</v>
      </c>
      <c r="B24" s="2" t="s">
        <v>16</v>
      </c>
      <c r="C24" s="2" t="s">
        <v>17</v>
      </c>
    </row>
    <row r="25" s="2" customFormat="true" ht="12.8" hidden="false" customHeight="false" outlineLevel="1" collapsed="false">
      <c r="A25" s="39" t="s">
        <v>18</v>
      </c>
      <c r="B25" s="2" t="s">
        <v>19</v>
      </c>
      <c r="C25" s="2" t="s">
        <v>20</v>
      </c>
    </row>
    <row r="26" s="2" customFormat="true" ht="12.8" hidden="false" customHeight="false" outlineLevel="1" collapsed="false">
      <c r="A26" s="39" t="s">
        <v>21</v>
      </c>
      <c r="B26" s="2" t="s">
        <v>22</v>
      </c>
      <c r="C26" s="2" t="s">
        <v>23</v>
      </c>
    </row>
    <row r="27" s="2" customFormat="true" ht="12.8" hidden="false" customHeight="false" outlineLevel="1" collapsed="false">
      <c r="A27" s="39" t="s">
        <v>24</v>
      </c>
      <c r="B27" s="2" t="s">
        <v>25</v>
      </c>
      <c r="C27" s="2" t="s">
        <v>26</v>
      </c>
    </row>
    <row r="28" s="2" customFormat="true" ht="12.8" hidden="false" customHeight="false" outlineLevel="1" collapsed="false">
      <c r="A28" s="39" t="s">
        <v>27</v>
      </c>
      <c r="B28" s="2" t="s">
        <v>28</v>
      </c>
      <c r="C28" s="2" t="s">
        <v>29</v>
      </c>
    </row>
    <row r="29" s="2" customFormat="true" ht="12.8" hidden="false" customHeight="false" outlineLevel="1" collapsed="false">
      <c r="A29" s="39" t="s">
        <v>30</v>
      </c>
      <c r="B29" s="2" t="s">
        <v>13</v>
      </c>
      <c r="C29" s="2" t="s">
        <v>14</v>
      </c>
    </row>
    <row r="30" s="2" customFormat="true" ht="12.8" hidden="false" customHeight="false" outlineLevel="1" collapsed="false">
      <c r="A30" s="39" t="s">
        <v>31</v>
      </c>
      <c r="B30" s="2" t="s">
        <v>32</v>
      </c>
      <c r="C30" s="2" t="s">
        <v>33</v>
      </c>
    </row>
    <row r="31" s="2" customFormat="true" ht="12.8" hidden="false" customHeight="false" outlineLevel="1" collapsed="false">
      <c r="A31" s="39" t="s">
        <v>34</v>
      </c>
      <c r="B31" s="2" t="s">
        <v>35</v>
      </c>
      <c r="C31" s="2" t="s">
        <v>36</v>
      </c>
    </row>
    <row r="32" s="2" customFormat="true" ht="12.8" hidden="false" customHeight="false" outlineLevel="1" collapsed="false">
      <c r="A32" s="39" t="s">
        <v>37</v>
      </c>
      <c r="B32" s="2" t="s">
        <v>38</v>
      </c>
      <c r="C32" s="2" t="s">
        <v>39</v>
      </c>
    </row>
    <row r="33" s="2" customFormat="true" ht="12.8" hidden="false" customHeight="false" outlineLevel="1" collapsed="false">
      <c r="A33" s="39" t="s">
        <v>40</v>
      </c>
      <c r="B33" s="2" t="s">
        <v>41</v>
      </c>
      <c r="C33" s="2" t="s">
        <v>42</v>
      </c>
    </row>
    <row r="34" s="2" customFormat="true" ht="12.8" hidden="false" customHeight="false" outlineLevel="1" collapsed="false">
      <c r="A34" s="39" t="s">
        <v>43</v>
      </c>
      <c r="B34" s="2" t="s">
        <v>44</v>
      </c>
      <c r="C34" s="2" t="s">
        <v>45</v>
      </c>
    </row>
    <row r="35" s="2" customFormat="true" ht="12.8" hidden="false" customHeight="false" outlineLevel="1" collapsed="false">
      <c r="A35" s="39" t="s">
        <v>46</v>
      </c>
      <c r="B35" s="2" t="s">
        <v>47</v>
      </c>
      <c r="C35" s="2" t="s">
        <v>48</v>
      </c>
    </row>
    <row r="36" s="2" customFormat="true" ht="12.8" hidden="false" customHeight="false" outlineLevel="1" collapsed="false">
      <c r="A36" s="39" t="s">
        <v>49</v>
      </c>
      <c r="B36" s="2" t="s">
        <v>50</v>
      </c>
      <c r="C36" s="2" t="s">
        <v>51</v>
      </c>
    </row>
    <row r="37" s="2" customFormat="true" ht="12.8" hidden="false" customHeight="false" outlineLevel="1" collapsed="false">
      <c r="A37" s="39" t="s">
        <v>52</v>
      </c>
      <c r="B37" s="2" t="s">
        <v>53</v>
      </c>
      <c r="C37" s="2" t="s">
        <v>54</v>
      </c>
    </row>
    <row r="38" s="2" customFormat="true" ht="12.8" hidden="false" customHeight="false" outlineLevel="1" collapsed="false">
      <c r="A38" s="39" t="s">
        <v>55</v>
      </c>
      <c r="B38" s="2" t="s">
        <v>56</v>
      </c>
      <c r="C38" s="2" t="s">
        <v>57</v>
      </c>
    </row>
    <row r="39" s="2" customFormat="true" ht="12.8" hidden="false" customHeight="false" outlineLevel="1" collapsed="false">
      <c r="A39" s="39" t="s">
        <v>58</v>
      </c>
      <c r="B39" s="2" t="s">
        <v>59</v>
      </c>
      <c r="C39" s="2" t="s">
        <v>60</v>
      </c>
    </row>
    <row r="40" s="2" customFormat="true" ht="12.8" hidden="false" customHeight="false" outlineLevel="1" collapsed="false">
      <c r="A40" s="39" t="s">
        <v>61</v>
      </c>
      <c r="B40" s="2" t="s">
        <v>62</v>
      </c>
      <c r="C40" s="2" t="s">
        <v>63</v>
      </c>
    </row>
    <row r="41" s="2" customFormat="true" ht="12.8" hidden="false" customHeight="false" outlineLevel="1" collapsed="false">
      <c r="A41" s="39" t="s">
        <v>64</v>
      </c>
      <c r="B41" s="2" t="s">
        <v>65</v>
      </c>
      <c r="C41" s="2" t="s">
        <v>66</v>
      </c>
    </row>
    <row r="42" s="2" customFormat="true" ht="12.8" hidden="false" customHeight="false" outlineLevel="1" collapsed="false">
      <c r="A42" s="39" t="s">
        <v>67</v>
      </c>
      <c r="B42" s="40" t="s">
        <v>68</v>
      </c>
      <c r="C42" s="2" t="s">
        <v>69</v>
      </c>
    </row>
    <row r="43" s="2" customFormat="true" ht="12.8" hidden="false" customHeight="false" outlineLevel="1" collapsed="false">
      <c r="A43" s="39" t="s">
        <v>70</v>
      </c>
      <c r="B43" s="40" t="s">
        <v>71</v>
      </c>
      <c r="C43" s="2" t="s">
        <v>72</v>
      </c>
    </row>
    <row r="44" s="2" customFormat="true" ht="12.8" hidden="false" customHeight="false" outlineLevel="1" collapsed="false">
      <c r="A44" s="39" t="s">
        <v>73</v>
      </c>
      <c r="B44" s="40" t="s">
        <v>74</v>
      </c>
      <c r="C44" s="2" t="s">
        <v>75</v>
      </c>
    </row>
    <row r="45" s="2" customFormat="true" ht="12.8" hidden="false" customHeight="false" outlineLevel="1" collapsed="false">
      <c r="A45" s="39" t="s">
        <v>76</v>
      </c>
      <c r="B45" s="40" t="s">
        <v>77</v>
      </c>
      <c r="C45" s="2" t="s">
        <v>78</v>
      </c>
    </row>
    <row r="46" s="2" customFormat="true" ht="12.8" hidden="false" customHeight="false" outlineLevel="1" collapsed="false">
      <c r="A46" s="39" t="s">
        <v>79</v>
      </c>
      <c r="B46" s="40" t="s">
        <v>80</v>
      </c>
      <c r="C46" s="2" t="s">
        <v>81</v>
      </c>
    </row>
    <row r="47" s="2" customFormat="true" ht="12.8" hidden="false" customHeight="false" outlineLevel="1" collapsed="false">
      <c r="A47" s="39" t="s">
        <v>82</v>
      </c>
      <c r="B47" s="40" t="s">
        <v>83</v>
      </c>
      <c r="C47" s="2" t="s">
        <v>84</v>
      </c>
    </row>
    <row r="48" s="2" customFormat="true" ht="12.8" hidden="false" customHeight="false" outlineLevel="1" collapsed="false">
      <c r="A48" s="39" t="s">
        <v>85</v>
      </c>
      <c r="B48" s="40" t="s">
        <v>86</v>
      </c>
      <c r="C48" s="2" t="s">
        <v>87</v>
      </c>
    </row>
    <row r="49" s="2" customFormat="true" ht="12.8" hidden="false" customHeight="false" outlineLevel="1" collapsed="false">
      <c r="A49" s="39" t="s">
        <v>88</v>
      </c>
      <c r="B49" s="40" t="s">
        <v>89</v>
      </c>
      <c r="C49" s="2" t="s">
        <v>90</v>
      </c>
    </row>
    <row r="50" s="2" customFormat="true" ht="12.8" hidden="false" customHeight="false" outlineLevel="1" collapsed="false">
      <c r="A50" s="39" t="s">
        <v>91</v>
      </c>
      <c r="B50" s="40" t="s">
        <v>92</v>
      </c>
      <c r="C50" s="2" t="s">
        <v>93</v>
      </c>
    </row>
    <row r="51" s="2" customFormat="true" ht="12.8" hidden="false" customHeight="false" outlineLevel="1" collapsed="false">
      <c r="A51" s="39" t="s">
        <v>94</v>
      </c>
      <c r="B51" s="40" t="s">
        <v>95</v>
      </c>
      <c r="C51" s="2" t="s">
        <v>96</v>
      </c>
    </row>
    <row r="52" s="2" customFormat="true" ht="12.8" hidden="false" customHeight="false" outlineLevel="1" collapsed="false">
      <c r="A52" s="39" t="s">
        <v>97</v>
      </c>
      <c r="B52" s="40" t="s">
        <v>98</v>
      </c>
      <c r="C52" s="2" t="s">
        <v>99</v>
      </c>
    </row>
    <row r="53" s="2" customFormat="true" ht="12.8" hidden="false" customHeight="false" outlineLevel="1" collapsed="false">
      <c r="A53" s="39" t="s">
        <v>100</v>
      </c>
      <c r="B53" s="2" t="s">
        <v>101</v>
      </c>
      <c r="C53" s="2" t="s">
        <v>102</v>
      </c>
    </row>
    <row r="54" s="2" customFormat="true" ht="12.8" hidden="false" customHeight="false" outlineLevel="1" collapsed="false">
      <c r="A54" s="39" t="s">
        <v>103</v>
      </c>
      <c r="B54" s="2" t="s">
        <v>104</v>
      </c>
      <c r="C54" s="2" t="s">
        <v>105</v>
      </c>
    </row>
    <row r="55" s="2" customFormat="true" ht="12.8" hidden="false" customHeight="false" outlineLevel="1" collapsed="false">
      <c r="A55" s="39" t="s">
        <v>106</v>
      </c>
      <c r="B55" s="2" t="s">
        <v>107</v>
      </c>
      <c r="C55" s="2" t="s">
        <v>108</v>
      </c>
    </row>
    <row r="56" s="2" customFormat="true" ht="12.8" hidden="false" customHeight="false" outlineLevel="1" collapsed="false">
      <c r="A56" s="39" t="s">
        <v>109</v>
      </c>
      <c r="B56" s="2" t="s">
        <v>110</v>
      </c>
      <c r="C56" s="2" t="s">
        <v>111</v>
      </c>
    </row>
    <row r="57" s="2" customFormat="true" ht="12.8" hidden="false" customHeight="false" outlineLevel="1" collapsed="false">
      <c r="A57" s="39" t="s">
        <v>112</v>
      </c>
      <c r="B57" s="2" t="s">
        <v>113</v>
      </c>
      <c r="C57" s="2" t="s">
        <v>114</v>
      </c>
    </row>
    <row r="58" s="2" customFormat="true" ht="12.8" hidden="false" customHeight="false" outlineLevel="0" collapsed="false">
      <c r="A58" s="1"/>
    </row>
    <row r="59" s="2" customFormat="true" ht="12.8" hidden="false" customHeight="false" outlineLevel="0" collapsed="false">
      <c r="A59" s="1"/>
    </row>
    <row r="60" s="2" customFormat="true" ht="12.8" hidden="false" customHeight="fals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row>
    <row r="61" s="2" customFormat="true" ht="12.8" hidden="false" customHeight="fals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row>
    <row r="62" s="2" customFormat="true" ht="12.8" hidden="false" customHeight="fals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row>
    <row r="63" s="2" customFormat="true" ht="12.8" hidden="false" customHeight="fals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row>
    <row r="64" s="2" customFormat="true" ht="12.8" hidden="false" customHeight="fals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row>
    <row r="65" s="2" customFormat="true" ht="12.8" hidden="false" customHeight="fals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row>
    <row r="66" s="2" customFormat="true" ht="12.8" hidden="false" customHeight="fals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row>
    <row r="67" s="2" customFormat="true" ht="12.8" hidden="false" customHeight="fals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row>
    <row r="68" s="2" customFormat="true" ht="12.8" hidden="false" customHeight="fals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row>
    <row r="69" s="3" customFormat="true" ht="12.8" hidden="false" customHeight="false" outlineLevel="0" collapsed="false"/>
    <row r="70" s="3" customFormat="true" ht="12.8" hidden="false" customHeight="false" outlineLevel="0" collapsed="false"/>
    <row r="71" s="3" customFormat="true" ht="12.8" hidden="false" customHeight="false" outlineLevel="0" collapsed="false"/>
    <row r="72" s="3" customFormat="true" ht="12.8" hidden="false" customHeight="false" outlineLevel="0" collapsed="false"/>
    <row r="73" s="3" customFormat="true" ht="12.8" hidden="false" customHeight="false" outlineLevel="0" collapsed="false"/>
    <row r="74" s="3" customFormat="true" ht="12.8" hidden="false" customHeight="false" outlineLevel="0" collapsed="false"/>
    <row r="75" s="3" customFormat="true" ht="12.8" hidden="false" customHeight="false" outlineLevel="0" collapsed="false"/>
    <row r="76" s="3" customFormat="true" ht="12.8" hidden="false" customHeight="false" outlineLevel="0" collapsed="false"/>
    <row r="77" s="3" customFormat="tru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1C1C"/>
    <pageSetUpPr fitToPage="false"/>
  </sheetPr>
  <dimension ref="A1:DK21"/>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2" ySplit="2" topLeftCell="D3" activePane="bottomRight" state="frozen"/>
      <selection pane="topLeft" activeCell="A1" activeCellId="0" sqref="A1"/>
      <selection pane="topRight" activeCell="D1" activeCellId="0" sqref="D1"/>
      <selection pane="bottomLeft" activeCell="A3" activeCellId="0" sqref="A3"/>
      <selection pane="bottomRight" activeCell="D3" activeCellId="0" sqref="D3:E3"/>
    </sheetView>
  </sheetViews>
  <sheetFormatPr defaultColWidth="11.53515625" defaultRowHeight="12.8" customHeight="false" zeroHeight="false" outlineLevelRow="0" outlineLevelCol="0"/>
  <cols>
    <col collapsed="false" customWidth="true" hidden="false" outlineLevel="0" max="1" min="1" style="3" width="9.21"/>
    <col collapsed="false" customWidth="true" hidden="false" outlineLevel="0" max="2" min="2" style="3" width="48.43"/>
    <col collapsed="false" customWidth="true" hidden="false" outlineLevel="0" max="3" min="3" style="3" width="87.64"/>
    <col collapsed="false" customWidth="true" hidden="false" outlineLevel="0" max="4" min="4" style="3" width="53.06"/>
    <col collapsed="false" customWidth="false" hidden="false" outlineLevel="0" max="16384" min="5" style="3" width="11.53"/>
  </cols>
  <sheetData>
    <row r="1" customFormat="false" ht="12.8" hidden="false" customHeight="false" outlineLevel="0" collapsed="false">
      <c r="A1" s="41" t="s">
        <v>115</v>
      </c>
      <c r="B1" s="42" t="s">
        <v>116</v>
      </c>
      <c r="C1" s="43" t="s">
        <v>2</v>
      </c>
    </row>
    <row r="2" customFormat="false" ht="12.8" hidden="false" customHeight="false" outlineLevel="0" collapsed="false">
      <c r="A2" s="4" t="s">
        <v>28</v>
      </c>
      <c r="B2" s="7" t="s">
        <v>117</v>
      </c>
      <c r="C2" s="7" t="s">
        <v>118</v>
      </c>
      <c r="D2" s="7" t="s">
        <v>119</v>
      </c>
      <c r="E2" s="7" t="s">
        <v>120</v>
      </c>
      <c r="F2" s="7" t="s">
        <v>121</v>
      </c>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c r="CD2" s="2"/>
      <c r="CE2" s="2"/>
      <c r="CF2" s="2"/>
      <c r="CG2" s="2"/>
      <c r="CH2" s="2"/>
      <c r="CI2" s="2"/>
      <c r="CJ2" s="2"/>
      <c r="CK2" s="2"/>
      <c r="CL2" s="2"/>
      <c r="CM2" s="2"/>
      <c r="CN2" s="2"/>
      <c r="CO2" s="2"/>
      <c r="CP2" s="2"/>
      <c r="CQ2" s="2"/>
      <c r="CR2" s="2"/>
      <c r="CS2" s="2"/>
      <c r="CT2" s="2"/>
      <c r="CU2" s="2"/>
      <c r="CV2" s="2"/>
      <c r="CW2" s="2"/>
      <c r="CX2" s="2"/>
      <c r="CY2" s="2"/>
      <c r="CZ2" s="2"/>
      <c r="DA2" s="2"/>
      <c r="DB2" s="2"/>
      <c r="DC2" s="2"/>
      <c r="DD2" s="2"/>
      <c r="DE2" s="2"/>
      <c r="DF2" s="2"/>
      <c r="DG2" s="2"/>
      <c r="DH2" s="2"/>
      <c r="DI2" s="2"/>
      <c r="DJ2" s="2"/>
      <c r="DK2" s="2"/>
    </row>
    <row r="3" customFormat="false" ht="12.8" hidden="false" customHeight="false" outlineLevel="0" collapsed="false">
      <c r="A3" s="4" t="s">
        <v>64</v>
      </c>
      <c r="B3" s="7" t="s">
        <v>122</v>
      </c>
      <c r="C3" s="7" t="s">
        <v>123</v>
      </c>
      <c r="D3" s="7" t="s">
        <v>124</v>
      </c>
      <c r="E3" s="7" t="s">
        <v>125</v>
      </c>
      <c r="F3" s="0"/>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c r="CD3" s="2"/>
      <c r="CE3" s="2"/>
      <c r="CF3" s="2"/>
      <c r="CG3" s="2"/>
      <c r="CH3" s="2"/>
      <c r="CI3" s="2"/>
      <c r="CJ3" s="2"/>
      <c r="CK3" s="2"/>
      <c r="CL3" s="2"/>
      <c r="CM3" s="2"/>
      <c r="CN3" s="2"/>
      <c r="CO3" s="2"/>
      <c r="CP3" s="2"/>
      <c r="CQ3" s="2"/>
      <c r="CR3" s="2"/>
      <c r="CS3" s="2"/>
      <c r="CT3" s="2"/>
      <c r="CU3" s="2"/>
      <c r="CV3" s="2"/>
      <c r="CW3" s="2"/>
      <c r="CX3" s="2"/>
      <c r="CY3" s="2"/>
      <c r="CZ3" s="2"/>
      <c r="DA3" s="2"/>
      <c r="DB3" s="2"/>
      <c r="DC3" s="2"/>
      <c r="DD3" s="2"/>
      <c r="DE3" s="2"/>
      <c r="DF3" s="2"/>
      <c r="DG3" s="2"/>
      <c r="DH3" s="2"/>
      <c r="DI3" s="2"/>
      <c r="DJ3" s="2"/>
      <c r="DK3" s="2"/>
    </row>
    <row r="4" customFormat="false" ht="113.4" hidden="false" customHeight="false" outlineLevel="0" collapsed="false">
      <c r="A4" s="4" t="n">
        <v>17</v>
      </c>
      <c r="B4" s="7" t="s">
        <v>7</v>
      </c>
      <c r="C4" s="44" t="s">
        <v>126</v>
      </c>
      <c r="D4" s="7" t="s">
        <v>127</v>
      </c>
      <c r="E4" s="39" t="s">
        <v>128</v>
      </c>
      <c r="F4" s="7"/>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row>
    <row r="5" customFormat="false" ht="180.55" hidden="false" customHeight="false" outlineLevel="0" collapsed="false">
      <c r="A5" s="4" t="n">
        <v>16</v>
      </c>
      <c r="B5" s="7" t="s">
        <v>129</v>
      </c>
      <c r="C5" s="44" t="s">
        <v>130</v>
      </c>
      <c r="D5" s="7" t="s">
        <v>131</v>
      </c>
      <c r="E5" s="39" t="s">
        <v>125</v>
      </c>
      <c r="F5" s="7"/>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c r="BZ5" s="2"/>
      <c r="CA5" s="2"/>
      <c r="CB5" s="2"/>
      <c r="CC5" s="2"/>
      <c r="CD5" s="2"/>
      <c r="CE5" s="2"/>
      <c r="CF5" s="2"/>
      <c r="CG5" s="2"/>
      <c r="CH5" s="2"/>
      <c r="CI5" s="2"/>
      <c r="CJ5" s="2"/>
      <c r="CK5" s="2"/>
      <c r="CL5" s="2"/>
      <c r="CM5" s="2"/>
      <c r="CN5" s="2"/>
      <c r="CO5" s="2"/>
      <c r="CP5" s="2"/>
      <c r="CQ5" s="2"/>
      <c r="CR5" s="2"/>
      <c r="CS5" s="2"/>
      <c r="CT5" s="2"/>
      <c r="CU5" s="2"/>
      <c r="CV5" s="2"/>
      <c r="CW5" s="2"/>
      <c r="CX5" s="2"/>
      <c r="CY5" s="2"/>
      <c r="CZ5" s="2"/>
      <c r="DA5" s="2"/>
      <c r="DB5" s="2"/>
      <c r="DC5" s="2"/>
      <c r="DD5" s="2"/>
      <c r="DE5" s="2"/>
      <c r="DF5" s="2"/>
      <c r="DG5" s="2"/>
      <c r="DH5" s="2"/>
      <c r="DI5" s="2"/>
      <c r="DJ5" s="2"/>
      <c r="DK5" s="2"/>
    </row>
    <row r="6" customFormat="false" ht="158.2" hidden="false" customHeight="false" outlineLevel="0" collapsed="false">
      <c r="A6" s="4" t="n">
        <v>15</v>
      </c>
      <c r="B6" s="2" t="s">
        <v>132</v>
      </c>
      <c r="C6" s="44" t="s">
        <v>133</v>
      </c>
      <c r="D6" s="7" t="s">
        <v>134</v>
      </c>
      <c r="E6" s="7" t="s">
        <v>128</v>
      </c>
      <c r="F6" s="7"/>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row>
    <row r="7" customFormat="false" ht="12.8" hidden="false" customHeight="false" outlineLevel="0" collapsed="false">
      <c r="A7" s="4" t="n">
        <v>14</v>
      </c>
      <c r="B7" s="2" t="s">
        <v>132</v>
      </c>
      <c r="C7" s="7" t="s">
        <v>135</v>
      </c>
      <c r="D7" s="7" t="s">
        <v>136</v>
      </c>
      <c r="E7" s="7" t="s">
        <v>125</v>
      </c>
      <c r="F7" s="7"/>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row>
    <row r="8" customFormat="false" ht="12.8" hidden="false" customHeight="false" outlineLevel="0" collapsed="false">
      <c r="A8" s="4" t="n">
        <v>13</v>
      </c>
      <c r="B8" s="2" t="s">
        <v>132</v>
      </c>
      <c r="C8" s="7" t="s">
        <v>135</v>
      </c>
      <c r="D8" s="7" t="s">
        <v>137</v>
      </c>
      <c r="E8" s="7" t="s">
        <v>125</v>
      </c>
      <c r="F8" s="7"/>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row>
    <row r="9" customFormat="false" ht="158.2" hidden="false" customHeight="false" outlineLevel="0" collapsed="false">
      <c r="A9" s="4" t="n">
        <v>12</v>
      </c>
      <c r="B9" s="2" t="s">
        <v>132</v>
      </c>
      <c r="C9" s="45" t="s">
        <v>138</v>
      </c>
      <c r="D9" s="7" t="s">
        <v>139</v>
      </c>
      <c r="E9" s="46" t="s">
        <v>128</v>
      </c>
      <c r="F9" s="7"/>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row>
    <row r="10" customFormat="false" ht="1020.1" hidden="false" customHeight="false" outlineLevel="0" collapsed="false">
      <c r="A10" s="1" t="n">
        <v>11</v>
      </c>
      <c r="B10" s="2" t="s">
        <v>132</v>
      </c>
      <c r="C10" s="45" t="s">
        <v>138</v>
      </c>
      <c r="D10" s="2" t="s">
        <v>140</v>
      </c>
      <c r="E10" s="2" t="s">
        <v>141</v>
      </c>
      <c r="F10" s="45" t="s">
        <v>142</v>
      </c>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2"/>
      <c r="BZ10" s="2"/>
      <c r="CA10" s="2"/>
      <c r="CB10" s="2"/>
      <c r="CC10" s="2"/>
      <c r="CD10" s="2"/>
      <c r="CE10" s="2"/>
      <c r="CF10" s="2"/>
      <c r="CG10" s="2"/>
      <c r="CH10" s="2"/>
      <c r="CI10" s="2"/>
      <c r="CJ10" s="2"/>
      <c r="CK10" s="2"/>
      <c r="CL10" s="2"/>
      <c r="CM10" s="2"/>
      <c r="CN10" s="2"/>
      <c r="CO10" s="2"/>
      <c r="CP10" s="2"/>
      <c r="CQ10" s="2"/>
      <c r="CR10" s="2"/>
      <c r="CS10" s="2"/>
      <c r="CT10" s="2"/>
      <c r="CU10" s="2"/>
      <c r="CV10" s="2"/>
      <c r="CW10" s="2"/>
      <c r="CX10" s="2"/>
      <c r="CY10" s="2"/>
      <c r="CZ10" s="2"/>
      <c r="DA10" s="2"/>
      <c r="DB10" s="2"/>
      <c r="DC10" s="2"/>
      <c r="DD10" s="2"/>
      <c r="DE10" s="2"/>
      <c r="DF10" s="2"/>
      <c r="DG10" s="2"/>
      <c r="DH10" s="2"/>
      <c r="DI10" s="2"/>
      <c r="DJ10" s="2"/>
      <c r="DK10" s="2"/>
    </row>
    <row r="11" customFormat="false" ht="12.8" hidden="false" customHeight="false" outlineLevel="0" collapsed="false">
      <c r="A11" s="1" t="s">
        <v>40</v>
      </c>
      <c r="B11" s="2" t="s">
        <v>143</v>
      </c>
      <c r="C11" s="2" t="s">
        <v>144</v>
      </c>
      <c r="D11" s="2" t="s">
        <v>145</v>
      </c>
      <c r="E11" s="2" t="s">
        <v>128</v>
      </c>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E11" s="2"/>
      <c r="DF11" s="2"/>
      <c r="DG11" s="2"/>
      <c r="DH11" s="2"/>
      <c r="DI11" s="2"/>
      <c r="DJ11" s="2"/>
      <c r="DK11" s="2"/>
    </row>
    <row r="12" customFormat="false" ht="147" hidden="false" customHeight="false" outlineLevel="0" collapsed="false">
      <c r="A12" s="1" t="s">
        <v>37</v>
      </c>
      <c r="B12" s="2" t="s">
        <v>7</v>
      </c>
      <c r="C12" s="45" t="s">
        <v>146</v>
      </c>
      <c r="D12" s="2" t="s">
        <v>147</v>
      </c>
      <c r="E12" s="46" t="s">
        <v>141</v>
      </c>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c r="CI12" s="2"/>
      <c r="CJ12" s="2"/>
      <c r="CK12" s="2"/>
      <c r="CL12" s="2"/>
      <c r="CM12" s="2"/>
      <c r="CN12" s="2"/>
      <c r="CO12" s="2"/>
      <c r="CP12" s="2"/>
      <c r="CQ12" s="2"/>
      <c r="CR12" s="2"/>
      <c r="CS12" s="2"/>
      <c r="CT12" s="2"/>
      <c r="CU12" s="2"/>
      <c r="CV12" s="2"/>
      <c r="CW12" s="2"/>
      <c r="CX12" s="2"/>
      <c r="CY12" s="2"/>
      <c r="CZ12" s="2"/>
      <c r="DA12" s="2"/>
      <c r="DB12" s="2"/>
      <c r="DC12" s="2"/>
      <c r="DD12" s="2"/>
      <c r="DE12" s="2"/>
      <c r="DF12" s="2"/>
      <c r="DG12" s="2"/>
      <c r="DH12" s="2"/>
      <c r="DI12" s="2"/>
      <c r="DJ12" s="2"/>
      <c r="DK12" s="2"/>
    </row>
    <row r="13" customFormat="false" ht="169.4" hidden="false" customHeight="false" outlineLevel="0" collapsed="false">
      <c r="A13" s="1" t="n">
        <v>8</v>
      </c>
      <c r="B13" s="2" t="s">
        <v>7</v>
      </c>
      <c r="C13" s="45" t="s">
        <v>148</v>
      </c>
      <c r="D13" s="2"/>
      <c r="E13" s="46" t="s">
        <v>128</v>
      </c>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row>
    <row r="14" customFormat="false" ht="169.4" hidden="false" customHeight="false" outlineLevel="0" collapsed="false">
      <c r="A14" s="1" t="n">
        <v>7</v>
      </c>
      <c r="B14" s="2" t="s">
        <v>7</v>
      </c>
      <c r="C14" s="45" t="s">
        <v>148</v>
      </c>
      <c r="D14" s="2" t="s">
        <v>147</v>
      </c>
      <c r="E14" s="46" t="s">
        <v>141</v>
      </c>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row>
    <row r="15" customFormat="false" ht="135.8" hidden="false" customHeight="false" outlineLevel="0" collapsed="false">
      <c r="A15" s="1" t="n">
        <v>6</v>
      </c>
      <c r="B15" s="2" t="s">
        <v>149</v>
      </c>
      <c r="C15" s="45" t="s">
        <v>150</v>
      </c>
      <c r="D15" s="2" t="s">
        <v>151</v>
      </c>
      <c r="E15" s="2" t="s">
        <v>141</v>
      </c>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row>
    <row r="16" customFormat="false" ht="158.2" hidden="false" customHeight="false" outlineLevel="0" collapsed="false">
      <c r="A16" s="1" t="n">
        <v>5</v>
      </c>
      <c r="B16" s="2" t="s">
        <v>152</v>
      </c>
      <c r="C16" s="47" t="s">
        <v>153</v>
      </c>
      <c r="D16" s="2" t="s">
        <v>154</v>
      </c>
      <c r="E16" s="46" t="s">
        <v>128</v>
      </c>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row>
    <row r="17" customFormat="false" ht="12.8" hidden="false" customHeight="false" outlineLevel="0" collapsed="false">
      <c r="A17" s="1" t="s">
        <v>24</v>
      </c>
      <c r="B17" s="2" t="s">
        <v>155</v>
      </c>
      <c r="C17" s="2" t="s">
        <v>156</v>
      </c>
      <c r="D17" s="2" t="s">
        <v>157</v>
      </c>
      <c r="E17" s="2" t="s">
        <v>141</v>
      </c>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row>
    <row r="18" customFormat="false" ht="12.8" hidden="false" customHeight="false" outlineLevel="0" collapsed="false">
      <c r="A18" s="1" t="s">
        <v>21</v>
      </c>
      <c r="B18" s="2" t="s">
        <v>158</v>
      </c>
      <c r="C18" s="2" t="s">
        <v>156</v>
      </c>
      <c r="D18" s="2" t="s">
        <v>159</v>
      </c>
      <c r="E18" s="2" t="s">
        <v>125</v>
      </c>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row>
    <row r="19" customFormat="false" ht="102.2" hidden="false" customHeight="false" outlineLevel="0" collapsed="false">
      <c r="A19" s="1" t="s">
        <v>18</v>
      </c>
      <c r="B19" s="2" t="s">
        <v>160</v>
      </c>
      <c r="C19" s="45" t="s">
        <v>161</v>
      </c>
      <c r="D19" s="2" t="s">
        <v>162</v>
      </c>
      <c r="E19" s="2" t="s">
        <v>128</v>
      </c>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row>
    <row r="20" customFormat="false" ht="113.4" hidden="false" customHeight="false" outlineLevel="0" collapsed="false">
      <c r="A20" s="1" t="s">
        <v>15</v>
      </c>
      <c r="B20" s="2" t="s">
        <v>163</v>
      </c>
      <c r="C20" s="45" t="s">
        <v>164</v>
      </c>
      <c r="D20" s="2" t="s">
        <v>165</v>
      </c>
      <c r="E20" s="2" t="s">
        <v>141</v>
      </c>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row>
    <row r="21" customFormat="false" ht="113.4" hidden="false" customHeight="false" outlineLevel="0" collapsed="false">
      <c r="A21" s="1" t="s">
        <v>12</v>
      </c>
      <c r="B21" s="2" t="s">
        <v>166</v>
      </c>
      <c r="C21" s="45" t="s">
        <v>164</v>
      </c>
      <c r="D21" s="2" t="s">
        <v>167</v>
      </c>
      <c r="E21" s="2" t="s">
        <v>128</v>
      </c>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1" sqref="D3:E3 A1"/>
    </sheetView>
  </sheetViews>
  <sheetFormatPr defaultColWidth="11.53515625" defaultRowHeight="12.8" customHeight="false" zeroHeight="false" outlineLevelRow="0" outlineLevelCol="0"/>
  <cols>
    <col collapsed="false" customWidth="true" hidden="false" outlineLevel="0" max="1" min="1" style="48" width="20.76"/>
    <col collapsed="false" customWidth="true" hidden="false" outlineLevel="0" max="2" min="2" style="3" width="18.45"/>
    <col collapsed="false" customWidth="true" hidden="false" outlineLevel="0" max="3" min="3" style="3" width="46.13"/>
    <col collapsed="false" customWidth="true" hidden="false" outlineLevel="0" max="4" min="4" style="3" width="20.76"/>
  </cols>
  <sheetData>
    <row r="1" customFormat="false" ht="12.8" hidden="false" customHeight="false" outlineLevel="0" collapsed="false">
      <c r="A1" s="11" t="s">
        <v>168</v>
      </c>
      <c r="B1" s="39" t="s">
        <v>169</v>
      </c>
      <c r="C1" s="39" t="s">
        <v>170</v>
      </c>
      <c r="D1" s="39"/>
      <c r="E1" s="39"/>
      <c r="F1" s="39"/>
    </row>
    <row r="2" customFormat="false" ht="12.8" hidden="false" customHeight="false" outlineLevel="0" collapsed="false">
      <c r="A2" s="49" t="s">
        <v>171</v>
      </c>
      <c r="B2" s="49" t="s">
        <v>172</v>
      </c>
      <c r="C2" s="49" t="s">
        <v>173</v>
      </c>
      <c r="D2" s="49" t="s">
        <v>174</v>
      </c>
      <c r="E2" s="49" t="s">
        <v>175</v>
      </c>
      <c r="F2" s="49" t="s">
        <v>176</v>
      </c>
    </row>
    <row r="3" customFormat="false" ht="12.8" hidden="false" customHeight="false" outlineLevel="0" collapsed="false">
      <c r="A3" s="39" t="s">
        <v>177</v>
      </c>
      <c r="B3" s="39" t="s">
        <v>178</v>
      </c>
      <c r="C3" s="39" t="s">
        <v>179</v>
      </c>
      <c r="D3" s="39" t="s">
        <v>180</v>
      </c>
      <c r="E3" s="39" t="s">
        <v>181</v>
      </c>
      <c r="F3" s="39" t="s">
        <v>182</v>
      </c>
    </row>
    <row r="4" customFormat="false" ht="12.8" hidden="false" customHeight="false" outlineLevel="0" collapsed="false">
      <c r="A4" s="39" t="s">
        <v>183</v>
      </c>
      <c r="B4" s="39" t="s">
        <v>178</v>
      </c>
      <c r="C4" s="39" t="s">
        <v>184</v>
      </c>
      <c r="D4" s="39" t="s">
        <v>185</v>
      </c>
      <c r="E4" s="39" t="s">
        <v>186</v>
      </c>
      <c r="F4" s="39" t="s">
        <v>187</v>
      </c>
    </row>
    <row r="5" customFormat="false" ht="12.8" hidden="false" customHeight="false" outlineLevel="0" collapsed="false">
      <c r="A5" s="39" t="s">
        <v>188</v>
      </c>
      <c r="B5" s="39" t="s">
        <v>178</v>
      </c>
      <c r="C5" s="39" t="s">
        <v>189</v>
      </c>
      <c r="D5" s="39" t="s">
        <v>190</v>
      </c>
      <c r="E5" s="39" t="s">
        <v>191</v>
      </c>
      <c r="F5" s="39" t="s">
        <v>192</v>
      </c>
    </row>
    <row r="6" customFormat="false" ht="12.8" hidden="false" customHeight="false" outlineLevel="0" collapsed="false">
      <c r="A6" s="39" t="s">
        <v>193</v>
      </c>
      <c r="B6" s="39" t="s">
        <v>178</v>
      </c>
      <c r="C6" s="39" t="s">
        <v>194</v>
      </c>
      <c r="D6" s="39" t="s">
        <v>195</v>
      </c>
      <c r="E6" s="39" t="s">
        <v>196</v>
      </c>
      <c r="F6" s="39" t="s">
        <v>197</v>
      </c>
    </row>
    <row r="7" customFormat="false" ht="12.8" hidden="false" customHeight="false" outlineLevel="0" collapsed="false">
      <c r="A7" s="39" t="s">
        <v>198</v>
      </c>
      <c r="B7" s="39" t="s">
        <v>178</v>
      </c>
      <c r="C7" s="39" t="s">
        <v>199</v>
      </c>
      <c r="D7" s="39" t="s">
        <v>200</v>
      </c>
      <c r="E7" s="39" t="s">
        <v>201</v>
      </c>
      <c r="F7" s="39" t="s">
        <v>202</v>
      </c>
    </row>
    <row r="8" customFormat="false" ht="12.8" hidden="false" customHeight="false" outlineLevel="0" collapsed="false">
      <c r="A8" s="39" t="s">
        <v>203</v>
      </c>
      <c r="B8" s="39" t="s">
        <v>178</v>
      </c>
      <c r="C8" s="39" t="s">
        <v>204</v>
      </c>
      <c r="D8" s="39" t="s">
        <v>205</v>
      </c>
      <c r="E8" s="39" t="s">
        <v>206</v>
      </c>
      <c r="F8" s="39" t="s">
        <v>207</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2" topLeftCell="H3" activePane="bottomRight" state="frozen"/>
      <selection pane="topLeft" activeCell="A1" activeCellId="0" sqref="A1"/>
      <selection pane="topRight" activeCell="H1" activeCellId="0" sqref="H1"/>
      <selection pane="bottomLeft" activeCell="A3" activeCellId="0" sqref="A3"/>
      <selection pane="bottomRight" activeCell="K125" activeCellId="1" sqref="D3:E3 K125"/>
    </sheetView>
  </sheetViews>
  <sheetFormatPr defaultColWidth="11.53515625" defaultRowHeight="12.8" customHeight="false" zeroHeight="false" outlineLevelRow="0" outlineLevelCol="0"/>
  <cols>
    <col collapsed="false" customWidth="true" hidden="false" outlineLevel="0" max="1" min="1" style="48" width="23.07"/>
    <col collapsed="false" customWidth="true" hidden="false" outlineLevel="0" max="2" min="2" style="3" width="32.29"/>
    <col collapsed="false" customWidth="true" hidden="false" outlineLevel="0" max="4" min="4" style="3" width="20.76"/>
  </cols>
  <sheetData>
    <row r="1" customFormat="false" ht="12.8" hidden="false" customHeight="false" outlineLevel="0" collapsed="false">
      <c r="A1" s="50" t="s">
        <v>208</v>
      </c>
      <c r="B1" s="39" t="s">
        <v>209</v>
      </c>
      <c r="C1" s="39" t="s">
        <v>170</v>
      </c>
      <c r="E1" s="39"/>
      <c r="F1" s="39"/>
      <c r="G1" s="39"/>
    </row>
    <row r="2" customFormat="false" ht="12.8" hidden="false" customHeight="false" outlineLevel="0" collapsed="false">
      <c r="A2" s="49" t="s">
        <v>171</v>
      </c>
      <c r="B2" s="49" t="s">
        <v>173</v>
      </c>
      <c r="C2" s="49" t="s">
        <v>210</v>
      </c>
      <c r="D2" s="49" t="s">
        <v>175</v>
      </c>
      <c r="E2" s="49" t="s">
        <v>211</v>
      </c>
      <c r="F2" s="49" t="s">
        <v>212</v>
      </c>
      <c r="G2" s="49" t="s">
        <v>213</v>
      </c>
    </row>
    <row r="3" customFormat="false" ht="12.8" hidden="false" customHeight="false" outlineLevel="0" collapsed="false">
      <c r="A3" s="39" t="s">
        <v>214</v>
      </c>
      <c r="B3" s="39" t="s">
        <v>215</v>
      </c>
      <c r="C3" s="39" t="n">
        <v>2215000</v>
      </c>
      <c r="D3" s="39" t="s">
        <v>216</v>
      </c>
      <c r="E3" s="39" t="s">
        <v>217</v>
      </c>
      <c r="F3" s="39" t="s">
        <v>218</v>
      </c>
      <c r="G3" s="51" t="s">
        <v>219</v>
      </c>
    </row>
    <row r="4" customFormat="false" ht="12.8" hidden="false" customHeight="false" outlineLevel="0" collapsed="false">
      <c r="A4" s="39" t="s">
        <v>220</v>
      </c>
      <c r="B4" s="39" t="s">
        <v>221</v>
      </c>
      <c r="C4" s="39" t="n">
        <v>33500</v>
      </c>
      <c r="D4" s="39" t="s">
        <v>222</v>
      </c>
      <c r="E4" s="39" t="s">
        <v>223</v>
      </c>
      <c r="F4" s="39" t="s">
        <v>224</v>
      </c>
      <c r="G4" s="51" t="s">
        <v>219</v>
      </c>
    </row>
    <row r="5" customFormat="false" ht="12.8" hidden="false" customHeight="false" outlineLevel="0" collapsed="false">
      <c r="A5" s="39" t="s">
        <v>225</v>
      </c>
      <c r="B5" s="39" t="s">
        <v>226</v>
      </c>
      <c r="C5" s="39" t="n">
        <v>9500</v>
      </c>
      <c r="D5" s="39" t="s">
        <v>227</v>
      </c>
      <c r="E5" s="39" t="s">
        <v>217</v>
      </c>
      <c r="F5" s="39" t="s">
        <v>228</v>
      </c>
      <c r="G5" s="51" t="s">
        <v>219</v>
      </c>
    </row>
    <row r="6" customFormat="false" ht="12.8" hidden="false" customHeight="false" outlineLevel="0" collapsed="false">
      <c r="A6" s="39" t="s">
        <v>229</v>
      </c>
      <c r="B6" s="39" t="s">
        <v>230</v>
      </c>
      <c r="C6" s="39" t="n">
        <v>112500</v>
      </c>
      <c r="D6" s="39" t="s">
        <v>231</v>
      </c>
      <c r="E6" s="39" t="s">
        <v>217</v>
      </c>
      <c r="F6" s="39" t="s">
        <v>228</v>
      </c>
      <c r="G6" s="51" t="s">
        <v>219</v>
      </c>
    </row>
    <row r="7" customFormat="false" ht="12.8" hidden="false" customHeight="false" outlineLevel="0" collapsed="false">
      <c r="A7" s="39" t="s">
        <v>232</v>
      </c>
      <c r="B7" s="39" t="s">
        <v>233</v>
      </c>
      <c r="C7" s="39" t="n">
        <v>287500</v>
      </c>
      <c r="D7" s="39" t="s">
        <v>234</v>
      </c>
      <c r="E7" s="39" t="s">
        <v>217</v>
      </c>
      <c r="F7" s="39" t="s">
        <v>228</v>
      </c>
      <c r="G7" s="51" t="s">
        <v>219</v>
      </c>
    </row>
    <row r="8" customFormat="false" ht="12.8" hidden="false" customHeight="false" outlineLevel="0" collapsed="false">
      <c r="A8" s="39" t="s">
        <v>235</v>
      </c>
      <c r="B8" s="39" t="s">
        <v>236</v>
      </c>
      <c r="C8" s="39" t="n">
        <v>408500</v>
      </c>
      <c r="D8" s="39" t="s">
        <v>237</v>
      </c>
      <c r="E8" s="39" t="s">
        <v>217</v>
      </c>
      <c r="F8" s="39" t="s">
        <v>228</v>
      </c>
      <c r="G8" s="51" t="s">
        <v>219</v>
      </c>
    </row>
    <row r="9" customFormat="false" ht="12.8" hidden="false" customHeight="false" outlineLevel="0" collapsed="false">
      <c r="A9" s="39" t="s">
        <v>238</v>
      </c>
      <c r="B9" s="39" t="s">
        <v>239</v>
      </c>
      <c r="C9" s="39" t="n">
        <v>23200</v>
      </c>
      <c r="D9" s="39" t="s">
        <v>240</v>
      </c>
      <c r="E9" s="39" t="s">
        <v>217</v>
      </c>
      <c r="F9" s="39" t="s">
        <v>228</v>
      </c>
      <c r="G9" s="51" t="s">
        <v>219</v>
      </c>
    </row>
    <row r="10" customFormat="false" ht="12.8" hidden="false" customHeight="false" outlineLevel="0" collapsed="false">
      <c r="A10" s="39" t="s">
        <v>241</v>
      </c>
      <c r="B10" s="39" t="s">
        <v>242</v>
      </c>
      <c r="C10" s="39" t="n">
        <v>101200</v>
      </c>
      <c r="D10" s="39" t="s">
        <v>243</v>
      </c>
      <c r="E10" s="39" t="s">
        <v>217</v>
      </c>
      <c r="F10" s="39" t="s">
        <v>228</v>
      </c>
      <c r="G10" s="51" t="s">
        <v>219</v>
      </c>
    </row>
    <row r="11" customFormat="false" ht="12.8" hidden="false" customHeight="false" outlineLevel="0" collapsed="false">
      <c r="A11" s="39" t="s">
        <v>244</v>
      </c>
      <c r="B11" s="39" t="s">
        <v>245</v>
      </c>
      <c r="C11" s="39" t="n">
        <v>261000</v>
      </c>
      <c r="D11" s="39" t="s">
        <v>246</v>
      </c>
      <c r="E11" s="39" t="s">
        <v>217</v>
      </c>
      <c r="F11" s="39" t="s">
        <v>228</v>
      </c>
      <c r="G11" s="51" t="s">
        <v>219</v>
      </c>
    </row>
    <row r="12" customFormat="false" ht="12.8" hidden="false" customHeight="false" outlineLevel="0" collapsed="false">
      <c r="A12" s="39" t="s">
        <v>247</v>
      </c>
      <c r="B12" s="39" t="s">
        <v>248</v>
      </c>
      <c r="C12" s="39" t="n">
        <v>273500</v>
      </c>
      <c r="D12" s="39" t="s">
        <v>249</v>
      </c>
      <c r="E12" s="39" t="s">
        <v>217</v>
      </c>
      <c r="F12" s="39" t="s">
        <v>228</v>
      </c>
      <c r="G12" s="51" t="s">
        <v>219</v>
      </c>
    </row>
    <row r="13" customFormat="false" ht="12.8" hidden="false" customHeight="false" outlineLevel="0" collapsed="false">
      <c r="A13" s="39" t="s">
        <v>250</v>
      </c>
      <c r="B13" s="39" t="s">
        <v>251</v>
      </c>
      <c r="C13" s="39" t="n">
        <v>217600</v>
      </c>
      <c r="D13" s="39" t="s">
        <v>252</v>
      </c>
      <c r="E13" s="39" t="s">
        <v>217</v>
      </c>
      <c r="F13" s="39" t="s">
        <v>228</v>
      </c>
      <c r="G13" s="51" t="s">
        <v>219</v>
      </c>
    </row>
    <row r="14" customFormat="false" ht="12.8" hidden="false" customHeight="false" outlineLevel="0" collapsed="false">
      <c r="A14" s="39" t="s">
        <v>253</v>
      </c>
      <c r="B14" s="39" t="s">
        <v>254</v>
      </c>
      <c r="C14" s="39" t="n">
        <v>98800</v>
      </c>
      <c r="D14" s="39" t="s">
        <v>255</v>
      </c>
      <c r="E14" s="39" t="s">
        <v>217</v>
      </c>
      <c r="F14" s="39" t="s">
        <v>228</v>
      </c>
      <c r="G14" s="51" t="s">
        <v>219</v>
      </c>
    </row>
    <row r="15" customFormat="false" ht="12.8" hidden="false" customHeight="false" outlineLevel="0" collapsed="false">
      <c r="A15" s="39" t="s">
        <v>256</v>
      </c>
      <c r="B15" s="39" t="s">
        <v>257</v>
      </c>
      <c r="C15" s="39" t="n">
        <v>421300</v>
      </c>
      <c r="D15" s="39" t="s">
        <v>258</v>
      </c>
      <c r="E15" s="39" t="s">
        <v>217</v>
      </c>
      <c r="F15" s="39" t="s">
        <v>228</v>
      </c>
      <c r="G15" s="51" t="s">
        <v>219</v>
      </c>
    </row>
    <row r="16" customFormat="false" ht="12.8" hidden="false" customHeight="false" outlineLevel="0" collapsed="false">
      <c r="A16" s="39" t="s">
        <v>259</v>
      </c>
      <c r="B16" s="39" t="s">
        <v>260</v>
      </c>
      <c r="C16" s="39" t="n">
        <v>50000</v>
      </c>
      <c r="D16" s="39" t="s">
        <v>261</v>
      </c>
      <c r="E16" s="39" t="s">
        <v>223</v>
      </c>
      <c r="F16" s="39" t="s">
        <v>262</v>
      </c>
      <c r="G16" s="51" t="s">
        <v>219</v>
      </c>
    </row>
    <row r="17" customFormat="false" ht="12.8" hidden="false" customHeight="false" outlineLevel="0" collapsed="false">
      <c r="A17" s="39" t="s">
        <v>263</v>
      </c>
      <c r="B17" s="39" t="s">
        <v>264</v>
      </c>
      <c r="C17" s="39" t="n">
        <v>4500</v>
      </c>
      <c r="D17" s="39" t="s">
        <v>265</v>
      </c>
      <c r="E17" s="39" t="s">
        <v>217</v>
      </c>
      <c r="F17" s="39" t="s">
        <v>266</v>
      </c>
      <c r="G17" s="51" t="s">
        <v>219</v>
      </c>
    </row>
    <row r="18" customFormat="false" ht="12.8" hidden="false" customHeight="false" outlineLevel="0" collapsed="false">
      <c r="A18" s="39" t="s">
        <v>267</v>
      </c>
      <c r="B18" s="39" t="s">
        <v>268</v>
      </c>
      <c r="C18" s="39" t="n">
        <v>0.05</v>
      </c>
      <c r="D18" s="39" t="s">
        <v>269</v>
      </c>
      <c r="E18" s="39" t="s">
        <v>217</v>
      </c>
      <c r="F18" s="39" t="s">
        <v>270</v>
      </c>
      <c r="G18" s="51" t="s">
        <v>219</v>
      </c>
    </row>
    <row r="19" customFormat="false" ht="12.8" hidden="false" customHeight="false" outlineLevel="0" collapsed="false">
      <c r="A19" s="39" t="s">
        <v>271</v>
      </c>
      <c r="B19" s="39" t="s">
        <v>272</v>
      </c>
      <c r="C19" s="39" t="n">
        <v>0.01</v>
      </c>
      <c r="D19" s="39" t="s">
        <v>273</v>
      </c>
      <c r="E19" s="39" t="s">
        <v>217</v>
      </c>
      <c r="F19" s="39" t="s">
        <v>270</v>
      </c>
      <c r="G19" s="51" t="s">
        <v>219</v>
      </c>
    </row>
    <row r="20" customFormat="false" ht="12.8" hidden="false" customHeight="false" outlineLevel="0" collapsed="false">
      <c r="A20" s="39" t="s">
        <v>274</v>
      </c>
      <c r="B20" s="39" t="s">
        <v>275</v>
      </c>
      <c r="C20" s="39" t="n">
        <v>4130000</v>
      </c>
      <c r="D20" s="39" t="s">
        <v>276</v>
      </c>
      <c r="E20" s="39" t="s">
        <v>217</v>
      </c>
      <c r="F20" s="39" t="s">
        <v>277</v>
      </c>
      <c r="G20" s="51" t="s">
        <v>219</v>
      </c>
    </row>
    <row r="21" customFormat="false" ht="12.8" hidden="false" customHeight="false" outlineLevel="0" collapsed="false">
      <c r="A21" s="39" t="s">
        <v>278</v>
      </c>
      <c r="B21" s="39" t="s">
        <v>279</v>
      </c>
      <c r="C21" s="39" t="n">
        <v>152000</v>
      </c>
      <c r="D21" s="39" t="s">
        <v>280</v>
      </c>
      <c r="E21" s="39" t="s">
        <v>223</v>
      </c>
      <c r="F21" s="39" t="s">
        <v>281</v>
      </c>
      <c r="G21" s="51" t="s">
        <v>219</v>
      </c>
    </row>
    <row r="22" customFormat="false" ht="12.8" hidden="false" customHeight="false" outlineLevel="0" collapsed="false">
      <c r="A22" s="39" t="s">
        <v>282</v>
      </c>
      <c r="B22" s="39" t="s">
        <v>283</v>
      </c>
      <c r="C22" s="39" t="n">
        <v>82000</v>
      </c>
      <c r="D22" s="39" t="s">
        <v>284</v>
      </c>
      <c r="E22" s="39" t="s">
        <v>285</v>
      </c>
      <c r="F22" s="39" t="s">
        <v>286</v>
      </c>
      <c r="G22" s="51" t="s">
        <v>219</v>
      </c>
    </row>
    <row r="23" customFormat="false" ht="12.8" hidden="false" customHeight="false" outlineLevel="0" collapsed="false">
      <c r="A23" s="39" t="s">
        <v>287</v>
      </c>
      <c r="B23" s="39" t="s">
        <v>288</v>
      </c>
      <c r="C23" s="39" t="n">
        <v>3896000</v>
      </c>
      <c r="D23" s="39" t="s">
        <v>289</v>
      </c>
      <c r="E23" s="39" t="s">
        <v>217</v>
      </c>
      <c r="F23" s="39" t="s">
        <v>290</v>
      </c>
      <c r="G23" s="51" t="s">
        <v>219</v>
      </c>
    </row>
    <row r="24" customFormat="false" ht="12.8" hidden="false" customHeight="false" outlineLevel="0" collapsed="false">
      <c r="A24" s="39" t="s">
        <v>291</v>
      </c>
      <c r="B24" s="39" t="s">
        <v>292</v>
      </c>
      <c r="C24" s="39" t="n">
        <v>0.562</v>
      </c>
      <c r="D24" s="39" t="s">
        <v>293</v>
      </c>
      <c r="E24" s="39" t="s">
        <v>217</v>
      </c>
      <c r="F24" s="39" t="s">
        <v>294</v>
      </c>
      <c r="G24" s="51" t="s">
        <v>219</v>
      </c>
    </row>
    <row r="25" customFormat="false" ht="12.8" hidden="false" customHeight="false" outlineLevel="0" collapsed="false">
      <c r="A25" s="39" t="s">
        <v>295</v>
      </c>
      <c r="B25" s="39" t="s">
        <v>296</v>
      </c>
      <c r="C25" s="39" t="n">
        <v>0.92</v>
      </c>
      <c r="D25" s="39" t="s">
        <v>297</v>
      </c>
      <c r="E25" s="39" t="s">
        <v>223</v>
      </c>
      <c r="F25" s="39" t="s">
        <v>298</v>
      </c>
      <c r="G25" s="51" t="s">
        <v>219</v>
      </c>
    </row>
    <row r="26" customFormat="false" ht="12.8" hidden="false" customHeight="false" outlineLevel="0" collapsed="false">
      <c r="A26" s="39" t="s">
        <v>299</v>
      </c>
      <c r="B26" s="39" t="s">
        <v>300</v>
      </c>
      <c r="C26" s="39" t="n">
        <v>1.05</v>
      </c>
      <c r="D26" s="39" t="s">
        <v>301</v>
      </c>
      <c r="E26" s="39" t="s">
        <v>223</v>
      </c>
      <c r="F26" s="39" t="s">
        <v>302</v>
      </c>
      <c r="G26" s="51" t="s">
        <v>219</v>
      </c>
    </row>
    <row r="27" customFormat="false" ht="12.8" hidden="false" customHeight="false" outlineLevel="0" collapsed="false">
      <c r="A27" s="39" t="s">
        <v>303</v>
      </c>
      <c r="B27" s="39" t="s">
        <v>304</v>
      </c>
      <c r="C27" s="39" t="n">
        <v>0.03</v>
      </c>
      <c r="D27" s="39" t="s">
        <v>305</v>
      </c>
      <c r="E27" s="39" t="s">
        <v>285</v>
      </c>
      <c r="F27" s="39" t="s">
        <v>306</v>
      </c>
      <c r="G27" s="51" t="s">
        <v>219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DO2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20" activeCellId="1" sqref="D3:E3 C20"/>
    </sheetView>
  </sheetViews>
  <sheetFormatPr defaultColWidth="11.53515625" defaultRowHeight="12.8" customHeight="false" zeroHeight="false" outlineLevelRow="0" outlineLevelCol="0"/>
  <cols>
    <col collapsed="false" customWidth="true" hidden="false" outlineLevel="0" max="1" min="1" style="50" width="6.92"/>
    <col collapsed="false" customWidth="true" hidden="false" outlineLevel="0" max="2" min="2" style="39" width="6.92"/>
    <col collapsed="false" customWidth="true" hidden="false" outlineLevel="0" max="3" min="3" style="39" width="28.39"/>
    <col collapsed="false" customWidth="true" hidden="false" outlineLevel="0" max="4" min="4" style="39" width="14.55"/>
    <col collapsed="false" customWidth="true" hidden="false" outlineLevel="0" max="35" min="5" style="39" width="16.84"/>
    <col collapsed="false" customWidth="true" hidden="false" outlineLevel="0" max="49" min="36" style="39" width="17.78"/>
    <col collapsed="false" customWidth="true" hidden="false" outlineLevel="0" max="51" min="50" style="39" width="15.48"/>
    <col collapsed="false" customWidth="true" hidden="false" outlineLevel="0" max="52" min="52" style="3" width="15.48"/>
    <col collapsed="false" customWidth="false" hidden="false" outlineLevel="0" max="56" min="56" style="39" width="11.53"/>
    <col collapsed="false" customWidth="true" hidden="false" outlineLevel="0" max="57" min="57" style="39" width="18.45"/>
    <col collapsed="false" customWidth="true" hidden="false" outlineLevel="0" max="60" min="58" style="39" width="16.14"/>
    <col collapsed="false" customWidth="true" hidden="false" outlineLevel="0" max="67" min="61" style="39" width="13.84"/>
    <col collapsed="false" customWidth="true" hidden="false" outlineLevel="0" max="68" min="68" style="3" width="13.84"/>
  </cols>
  <sheetData>
    <row r="1" customFormat="false" ht="79.85" hidden="false" customHeight="false" outlineLevel="0" collapsed="false">
      <c r="A1" s="4" t="s">
        <v>307</v>
      </c>
      <c r="B1" s="52" t="s">
        <v>7</v>
      </c>
      <c r="C1" s="6" t="s">
        <v>2</v>
      </c>
      <c r="D1" s="42"/>
      <c r="E1" s="42"/>
      <c r="F1" s="42"/>
      <c r="G1" s="42"/>
      <c r="H1" s="42"/>
      <c r="I1" s="42"/>
      <c r="J1" s="42"/>
      <c r="K1" s="42"/>
      <c r="L1" s="42"/>
      <c r="M1" s="42"/>
      <c r="N1" s="42"/>
      <c r="O1" s="42"/>
      <c r="P1" s="42"/>
      <c r="Q1" s="42"/>
      <c r="R1" s="42"/>
      <c r="S1" s="42"/>
      <c r="T1" s="42"/>
      <c r="U1" s="42"/>
      <c r="V1" s="42"/>
      <c r="W1" s="42"/>
      <c r="X1" s="42"/>
      <c r="Y1" s="42"/>
      <c r="Z1" s="42"/>
      <c r="AA1" s="42"/>
      <c r="AB1" s="42"/>
      <c r="AC1" s="42"/>
      <c r="AD1" s="42"/>
      <c r="AE1" s="42"/>
      <c r="AF1" s="42"/>
      <c r="AG1" s="42"/>
      <c r="AH1" s="42"/>
      <c r="AI1" s="42"/>
      <c r="AJ1" s="42"/>
      <c r="AK1" s="42"/>
      <c r="AL1" s="42"/>
      <c r="AM1" s="42"/>
      <c r="AN1" s="42"/>
      <c r="AO1" s="42"/>
      <c r="AP1" s="42"/>
      <c r="AQ1" s="42"/>
      <c r="AR1" s="42"/>
      <c r="AS1" s="42"/>
      <c r="AT1" s="42"/>
      <c r="AU1" s="42"/>
      <c r="AV1" s="42"/>
      <c r="AW1" s="42"/>
      <c r="AX1" s="42"/>
      <c r="AY1" s="42"/>
      <c r="AZ1" s="42"/>
      <c r="BA1" s="42"/>
      <c r="BB1" s="42"/>
      <c r="BC1" s="42"/>
      <c r="BD1" s="42"/>
      <c r="BE1" s="42"/>
      <c r="BF1" s="42"/>
      <c r="BG1" s="42"/>
      <c r="BH1" s="42"/>
      <c r="BI1" s="42"/>
      <c r="BJ1" s="42"/>
      <c r="BK1" s="42"/>
      <c r="BL1" s="42"/>
      <c r="BM1" s="42"/>
      <c r="BN1" s="42"/>
      <c r="BO1" s="42"/>
    </row>
    <row r="2" customFormat="false" ht="12.8" hidden="false" customHeight="false" outlineLevel="0" collapsed="false">
      <c r="A2" s="5" t="s">
        <v>308</v>
      </c>
      <c r="B2" s="5"/>
      <c r="C2" s="5"/>
      <c r="D2" s="5" t="str">
        <f aca="false">LFP!C2</f>
        <v>Labor Force Population (LFP)</v>
      </c>
      <c r="E2" s="5"/>
      <c r="F2" s="5"/>
      <c r="G2" s="5"/>
      <c r="H2" s="5" t="s">
        <v>309</v>
      </c>
      <c r="I2" s="5"/>
      <c r="J2" s="5"/>
      <c r="K2" s="5"/>
      <c r="L2" s="5" t="s">
        <v>310</v>
      </c>
      <c r="M2" s="5"/>
      <c r="N2" s="5"/>
      <c r="O2" s="5"/>
      <c r="P2" s="5" t="s">
        <v>311</v>
      </c>
      <c r="Q2" s="5"/>
      <c r="R2" s="5"/>
      <c r="S2" s="5"/>
      <c r="T2" s="5" t="s">
        <v>312</v>
      </c>
      <c r="U2" s="5"/>
      <c r="V2" s="5"/>
      <c r="W2" s="5"/>
      <c r="X2" s="5" t="s">
        <v>313</v>
      </c>
      <c r="Y2" s="5"/>
      <c r="Z2" s="5"/>
      <c r="AA2" s="5" t="s">
        <v>314</v>
      </c>
      <c r="AB2" s="5"/>
      <c r="AC2" s="5"/>
      <c r="AD2" s="5" t="s">
        <v>315</v>
      </c>
      <c r="AE2" s="5"/>
      <c r="AF2" s="5"/>
      <c r="AG2" s="5" t="s">
        <v>316</v>
      </c>
      <c r="AH2" s="5"/>
      <c r="AI2" s="5"/>
      <c r="AJ2" s="5" t="s">
        <v>317</v>
      </c>
      <c r="AK2" s="5"/>
      <c r="AL2" s="5"/>
      <c r="AM2" s="5" t="s">
        <v>318</v>
      </c>
      <c r="AN2" s="5"/>
      <c r="AO2" s="5"/>
      <c r="AP2" s="5" t="s">
        <v>319</v>
      </c>
      <c r="AQ2" s="5"/>
      <c r="AR2" s="5"/>
      <c r="AS2" s="5" t="s">
        <v>320</v>
      </c>
      <c r="AT2" s="5"/>
      <c r="AU2" s="5"/>
      <c r="AV2" s="5" t="s">
        <v>321</v>
      </c>
      <c r="AW2" s="5"/>
      <c r="AX2" s="5"/>
      <c r="AY2" s="5"/>
      <c r="AZ2" s="5" t="s">
        <v>322</v>
      </c>
      <c r="BA2" s="5"/>
      <c r="BB2" s="5"/>
      <c r="BC2" s="5"/>
      <c r="BD2" s="5" t="s">
        <v>323</v>
      </c>
      <c r="BE2" s="5"/>
      <c r="BF2" s="5"/>
      <c r="BG2" s="5"/>
      <c r="BH2" s="5" t="s">
        <v>324</v>
      </c>
      <c r="BI2" s="5"/>
      <c r="BJ2" s="5"/>
      <c r="BK2" s="5"/>
      <c r="BL2" s="5" t="s">
        <v>325</v>
      </c>
      <c r="BM2" s="5"/>
      <c r="BN2" s="5"/>
      <c r="BO2" s="5"/>
      <c r="BP2" s="53" t="s">
        <v>326</v>
      </c>
      <c r="BQ2" s="53"/>
      <c r="BR2" s="53"/>
      <c r="BS2" s="53"/>
      <c r="BT2" s="53" t="s">
        <v>327</v>
      </c>
      <c r="BU2" s="53"/>
      <c r="BV2" s="53"/>
      <c r="BW2" s="53"/>
      <c r="BX2" s="53"/>
      <c r="BY2" s="53"/>
      <c r="BZ2" s="53" t="s">
        <v>328</v>
      </c>
      <c r="CA2" s="53"/>
      <c r="CB2" s="53"/>
      <c r="CC2" s="53"/>
      <c r="CD2" s="53" t="s">
        <v>329</v>
      </c>
      <c r="CE2" s="53"/>
      <c r="CF2" s="53"/>
      <c r="CG2" s="53"/>
      <c r="CH2" s="53" t="s">
        <v>330</v>
      </c>
      <c r="CI2" s="53"/>
      <c r="CJ2" s="53"/>
      <c r="CK2" s="53"/>
      <c r="CL2" s="53"/>
      <c r="CM2" s="53"/>
      <c r="CN2" s="53" t="s">
        <v>331</v>
      </c>
      <c r="CO2" s="53"/>
      <c r="CP2" s="53"/>
      <c r="CQ2" s="53"/>
      <c r="CR2" s="53" t="s">
        <v>332</v>
      </c>
      <c r="CS2" s="53"/>
      <c r="CT2" s="53"/>
      <c r="CU2" s="53"/>
      <c r="CV2" s="53" t="s">
        <v>333</v>
      </c>
      <c r="CW2" s="53"/>
      <c r="CX2" s="53"/>
      <c r="CY2" s="53"/>
      <c r="CZ2" s="53" t="s">
        <v>334</v>
      </c>
      <c r="DA2" s="53"/>
      <c r="DB2" s="53"/>
      <c r="DC2" s="53"/>
      <c r="DD2" s="53" t="s">
        <v>335</v>
      </c>
      <c r="DE2" s="53"/>
      <c r="DF2" s="53"/>
      <c r="DG2" s="53"/>
      <c r="DH2" s="53" t="s">
        <v>336</v>
      </c>
      <c r="DI2" s="53"/>
      <c r="DJ2" s="53"/>
      <c r="DK2" s="53"/>
      <c r="DL2" s="53"/>
      <c r="DM2" s="53"/>
      <c r="DN2" s="53"/>
      <c r="DO2" s="53"/>
    </row>
    <row r="3" customFormat="false" ht="12.8" hidden="false" customHeight="false" outlineLevel="0" collapsed="false">
      <c r="A3" s="11" t="s">
        <v>337</v>
      </c>
      <c r="B3" s="42" t="s">
        <v>338</v>
      </c>
      <c r="C3" s="42" t="s">
        <v>339</v>
      </c>
      <c r="D3" s="42" t="str">
        <f aca="false">LFP!C3</f>
        <v>Overall LFP</v>
      </c>
      <c r="E3" s="42" t="str">
        <f aca="false">LFP!D3</f>
        <v>Authorized LFP</v>
      </c>
      <c r="F3" s="42" t="str">
        <f aca="false">LFP!E3</f>
        <v>Unauthorized LFP</v>
      </c>
      <c r="G3" s="42" t="str">
        <f aca="false">LFP!F3</f>
        <v>American LFP</v>
      </c>
      <c r="H3" s="42" t="s">
        <v>36</v>
      </c>
      <c r="I3" s="42" t="s">
        <v>340</v>
      </c>
      <c r="J3" s="42" t="s">
        <v>341</v>
      </c>
      <c r="K3" s="42" t="s">
        <v>342</v>
      </c>
      <c r="L3" s="42" t="s">
        <v>310</v>
      </c>
      <c r="M3" s="42" t="s">
        <v>343</v>
      </c>
      <c r="N3" s="42" t="s">
        <v>344</v>
      </c>
      <c r="O3" s="42" t="s">
        <v>345</v>
      </c>
      <c r="P3" s="42" t="s">
        <v>42</v>
      </c>
      <c r="Q3" s="42" t="s">
        <v>346</v>
      </c>
      <c r="R3" s="42" t="s">
        <v>347</v>
      </c>
      <c r="S3" s="42" t="s">
        <v>348</v>
      </c>
      <c r="T3" s="42" t="s">
        <v>45</v>
      </c>
      <c r="U3" s="42" t="s">
        <v>349</v>
      </c>
      <c r="V3" s="42" t="s">
        <v>350</v>
      </c>
      <c r="W3" s="42" t="s">
        <v>351</v>
      </c>
      <c r="X3" s="42" t="s">
        <v>352</v>
      </c>
      <c r="Y3" s="42" t="s">
        <v>353</v>
      </c>
      <c r="Z3" s="42" t="s">
        <v>354</v>
      </c>
      <c r="AA3" s="42" t="s">
        <v>355</v>
      </c>
      <c r="AB3" s="42" t="s">
        <v>356</v>
      </c>
      <c r="AC3" s="42" t="s">
        <v>357</v>
      </c>
      <c r="AD3" s="42" t="s">
        <v>358</v>
      </c>
      <c r="AE3" s="42" t="s">
        <v>359</v>
      </c>
      <c r="AF3" s="42" t="s">
        <v>360</v>
      </c>
      <c r="AG3" s="42" t="s">
        <v>361</v>
      </c>
      <c r="AH3" s="42" t="s">
        <v>362</v>
      </c>
      <c r="AI3" s="42" t="s">
        <v>363</v>
      </c>
      <c r="AJ3" s="42" t="s">
        <v>364</v>
      </c>
      <c r="AK3" s="42" t="s">
        <v>365</v>
      </c>
      <c r="AL3" s="42" t="s">
        <v>366</v>
      </c>
      <c r="AM3" s="42" t="s">
        <v>367</v>
      </c>
      <c r="AN3" s="42" t="s">
        <v>368</v>
      </c>
      <c r="AO3" s="42" t="s">
        <v>369</v>
      </c>
      <c r="AP3" s="42" t="s">
        <v>370</v>
      </c>
      <c r="AQ3" s="42" t="s">
        <v>371</v>
      </c>
      <c r="AR3" s="42" t="s">
        <v>372</v>
      </c>
      <c r="AS3" s="42" t="s">
        <v>373</v>
      </c>
      <c r="AT3" s="42" t="s">
        <v>374</v>
      </c>
      <c r="AU3" s="42" t="s">
        <v>375</v>
      </c>
      <c r="AV3" s="42" t="s">
        <v>376</v>
      </c>
      <c r="AW3" s="42" t="s">
        <v>377</v>
      </c>
      <c r="AX3" s="42" t="s">
        <v>378</v>
      </c>
      <c r="AY3" s="42" t="s">
        <v>379</v>
      </c>
      <c r="AZ3" s="42" t="s">
        <v>380</v>
      </c>
      <c r="BA3" s="42" t="s">
        <v>381</v>
      </c>
      <c r="BB3" s="42" t="s">
        <v>382</v>
      </c>
      <c r="BC3" s="42" t="s">
        <v>383</v>
      </c>
      <c r="BD3" s="42" t="s">
        <v>384</v>
      </c>
      <c r="BE3" s="42" t="s">
        <v>385</v>
      </c>
      <c r="BF3" s="42" t="s">
        <v>386</v>
      </c>
      <c r="BG3" s="42" t="s">
        <v>387</v>
      </c>
      <c r="BH3" s="42" t="s">
        <v>388</v>
      </c>
      <c r="BI3" s="42" t="s">
        <v>389</v>
      </c>
      <c r="BJ3" s="42" t="s">
        <v>390</v>
      </c>
      <c r="BK3" s="42" t="s">
        <v>391</v>
      </c>
      <c r="BL3" s="42" t="s">
        <v>392</v>
      </c>
      <c r="BM3" s="42" t="s">
        <v>393</v>
      </c>
      <c r="BN3" s="42" t="s">
        <v>394</v>
      </c>
      <c r="BO3" s="42" t="s">
        <v>395</v>
      </c>
      <c r="BP3" s="42" t="s">
        <v>69</v>
      </c>
      <c r="BQ3" s="42" t="s">
        <v>396</v>
      </c>
      <c r="BR3" s="42" t="s">
        <v>397</v>
      </c>
      <c r="BS3" s="42" t="s">
        <v>398</v>
      </c>
      <c r="BT3" s="42" t="s">
        <v>72</v>
      </c>
      <c r="BU3" s="42" t="s">
        <v>399</v>
      </c>
      <c r="BV3" s="42" t="s">
        <v>400</v>
      </c>
      <c r="BW3" s="42" t="s">
        <v>401</v>
      </c>
      <c r="BX3" s="42" t="s">
        <v>402</v>
      </c>
      <c r="BY3" s="42" t="s">
        <v>403</v>
      </c>
      <c r="BZ3" s="42" t="s">
        <v>75</v>
      </c>
      <c r="CA3" s="42" t="s">
        <v>404</v>
      </c>
      <c r="CB3" s="42" t="s">
        <v>405</v>
      </c>
      <c r="CC3" s="42" t="s">
        <v>406</v>
      </c>
      <c r="CD3" s="42" t="s">
        <v>78</v>
      </c>
      <c r="CE3" s="42" t="s">
        <v>407</v>
      </c>
      <c r="CF3" s="42" t="s">
        <v>408</v>
      </c>
      <c r="CG3" s="42" t="s">
        <v>409</v>
      </c>
      <c r="CH3" s="42" t="s">
        <v>410</v>
      </c>
      <c r="CI3" s="42" t="s">
        <v>411</v>
      </c>
      <c r="CJ3" s="42" t="s">
        <v>412</v>
      </c>
      <c r="CK3" s="42" t="s">
        <v>413</v>
      </c>
      <c r="CL3" s="42" t="s">
        <v>414</v>
      </c>
      <c r="CM3" s="42" t="s">
        <v>415</v>
      </c>
      <c r="CN3" s="42" t="s">
        <v>84</v>
      </c>
      <c r="CO3" s="42" t="s">
        <v>416</v>
      </c>
      <c r="CP3" s="42" t="s">
        <v>417</v>
      </c>
      <c r="CQ3" s="42" t="s">
        <v>418</v>
      </c>
      <c r="CR3" s="42" t="s">
        <v>419</v>
      </c>
      <c r="CS3" s="42" t="s">
        <v>420</v>
      </c>
      <c r="CT3" s="42" t="s">
        <v>421</v>
      </c>
      <c r="CU3" s="42" t="s">
        <v>422</v>
      </c>
      <c r="CV3" s="42" t="s">
        <v>423</v>
      </c>
      <c r="CW3" s="42" t="s">
        <v>424</v>
      </c>
      <c r="CX3" s="42" t="s">
        <v>425</v>
      </c>
      <c r="CY3" s="42" t="s">
        <v>426</v>
      </c>
      <c r="CZ3" s="42" t="s">
        <v>427</v>
      </c>
      <c r="DA3" s="42" t="s">
        <v>428</v>
      </c>
      <c r="DB3" s="42" t="s">
        <v>429</v>
      </c>
      <c r="DC3" s="42" t="s">
        <v>430</v>
      </c>
      <c r="DD3" s="42" t="s">
        <v>431</v>
      </c>
      <c r="DE3" s="42" t="s">
        <v>432</v>
      </c>
      <c r="DF3" s="42" t="s">
        <v>433</v>
      </c>
      <c r="DG3" s="42" t="s">
        <v>434</v>
      </c>
      <c r="DH3" s="42" t="s">
        <v>99</v>
      </c>
      <c r="DI3" s="42" t="s">
        <v>435</v>
      </c>
      <c r="DJ3" s="42" t="s">
        <v>436</v>
      </c>
      <c r="DK3" s="42" t="s">
        <v>437</v>
      </c>
    </row>
    <row r="4" customFormat="false" ht="12.8" hidden="false" customHeight="false" outlineLevel="0" collapsed="false">
      <c r="A4" s="50" t="n">
        <v>0</v>
      </c>
      <c r="B4" s="39" t="s">
        <v>438</v>
      </c>
      <c r="C4" s="39" t="s">
        <v>439</v>
      </c>
      <c r="D4" s="42" t="n">
        <f aca="false">LFP!C4</f>
        <v>2385000</v>
      </c>
      <c r="E4" s="42" t="n">
        <f aca="false">LFP!D4</f>
        <v>62388</v>
      </c>
      <c r="F4" s="42" t="n">
        <f aca="false">LFP!E4</f>
        <v>50000</v>
      </c>
      <c r="G4" s="42" t="n">
        <f aca="false">LFP!F4</f>
        <v>2272612</v>
      </c>
      <c r="AZ4" s="39"/>
      <c r="BD4" s="3"/>
      <c r="BP4" s="39"/>
    </row>
    <row r="5" customFormat="false" ht="23.85" hidden="false" customHeight="false" outlineLevel="0" collapsed="false">
      <c r="A5" s="50" t="n">
        <v>1</v>
      </c>
      <c r="B5" s="39" t="n">
        <v>11</v>
      </c>
      <c r="C5" s="40" t="s">
        <v>440</v>
      </c>
      <c r="D5" s="42" t="n">
        <f aca="false">LFP!C5</f>
        <v>35615</v>
      </c>
      <c r="E5" s="42" t="n">
        <f aca="false">LFP!D5</f>
        <v>154</v>
      </c>
      <c r="F5" s="42" t="n">
        <f aca="false">LFP!E5</f>
        <v>2949</v>
      </c>
      <c r="G5" s="42" t="n">
        <f aca="false">LFP!F5</f>
        <v>32512</v>
      </c>
      <c r="AZ5" s="39"/>
      <c r="BD5" s="3"/>
      <c r="BP5" s="39"/>
    </row>
    <row r="6" customFormat="false" ht="23.85" hidden="false" customHeight="false" outlineLevel="0" collapsed="false">
      <c r="A6" s="50" t="n">
        <v>2</v>
      </c>
      <c r="B6" s="39" t="n">
        <v>21</v>
      </c>
      <c r="C6" s="40" t="s">
        <v>441</v>
      </c>
      <c r="D6" s="42" t="n">
        <f aca="false">LFP!C6</f>
        <v>10077</v>
      </c>
      <c r="E6" s="42" t="n">
        <f aca="false">LFP!D6</f>
        <v>122</v>
      </c>
      <c r="F6" s="42" t="n">
        <f aca="false">LFP!E6</f>
        <v>230</v>
      </c>
      <c r="G6" s="42" t="n">
        <f aca="false">LFP!F6</f>
        <v>9725</v>
      </c>
      <c r="AZ6" s="39"/>
      <c r="BD6" s="3"/>
      <c r="BP6" s="39"/>
    </row>
    <row r="7" customFormat="false" ht="12.8" hidden="false" customHeight="false" outlineLevel="0" collapsed="false">
      <c r="A7" s="3" t="n">
        <v>3</v>
      </c>
      <c r="B7" s="3" t="n">
        <v>22</v>
      </c>
      <c r="C7" s="3" t="s">
        <v>442</v>
      </c>
      <c r="D7" s="42" t="n">
        <f aca="false">LFP!C7</f>
        <v>25487</v>
      </c>
      <c r="E7" s="42" t="n">
        <f aca="false">LFP!D7</f>
        <v>463</v>
      </c>
      <c r="F7" s="42" t="n">
        <f aca="false">LFP!E7</f>
        <v>568</v>
      </c>
      <c r="G7" s="42" t="n">
        <f aca="false">LFP!F7</f>
        <v>24456</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BD7" s="3"/>
      <c r="BE7" s="3"/>
      <c r="BF7" s="3"/>
      <c r="BG7" s="3"/>
      <c r="BH7" s="3"/>
      <c r="BI7" s="3"/>
      <c r="BJ7" s="3"/>
      <c r="BK7" s="3"/>
      <c r="BL7" s="3"/>
      <c r="BM7" s="3"/>
      <c r="BN7" s="3"/>
      <c r="BO7" s="3"/>
    </row>
    <row r="8" customFormat="false" ht="12.8" hidden="false" customHeight="false" outlineLevel="0" collapsed="false">
      <c r="A8" s="3" t="n">
        <v>4</v>
      </c>
      <c r="B8" s="3" t="n">
        <v>23</v>
      </c>
      <c r="C8" s="3" t="s">
        <v>443</v>
      </c>
      <c r="D8" s="42" t="n">
        <f aca="false">LFP!C8</f>
        <v>119537</v>
      </c>
      <c r="E8" s="42" t="n">
        <f aca="false">LFP!D8</f>
        <v>3515</v>
      </c>
      <c r="F8" s="42" t="n">
        <f aca="false">LFP!E8</f>
        <v>6963</v>
      </c>
      <c r="G8" s="42" t="n">
        <f aca="false">LFP!F8</f>
        <v>109059</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BD8" s="3"/>
      <c r="BE8" s="3"/>
      <c r="BF8" s="3"/>
      <c r="BG8" s="3"/>
      <c r="BH8" s="3"/>
      <c r="BI8" s="3"/>
      <c r="BJ8" s="3"/>
      <c r="BK8" s="3"/>
      <c r="BL8" s="3"/>
      <c r="BM8" s="3"/>
      <c r="BN8" s="3"/>
      <c r="BO8" s="3"/>
    </row>
    <row r="9" customFormat="false" ht="23.85" hidden="false" customHeight="false" outlineLevel="0" collapsed="false">
      <c r="A9" s="3" t="n">
        <v>5</v>
      </c>
      <c r="B9" s="3" t="n">
        <v>31</v>
      </c>
      <c r="C9" s="40" t="s">
        <v>444</v>
      </c>
      <c r="D9" s="42" t="n">
        <f aca="false">LFP!C9</f>
        <v>68885</v>
      </c>
      <c r="E9" s="42" t="n">
        <f aca="false">LFP!D9</f>
        <v>4289</v>
      </c>
      <c r="F9" s="42" t="n">
        <f aca="false">LFP!E9</f>
        <v>1456</v>
      </c>
      <c r="G9" s="42" t="n">
        <f aca="false">LFP!F9</f>
        <v>63140</v>
      </c>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BD9" s="3"/>
      <c r="BE9" s="3"/>
      <c r="BF9" s="3"/>
      <c r="BG9" s="3"/>
      <c r="BH9" s="3"/>
      <c r="BI9" s="3"/>
      <c r="BJ9" s="3"/>
      <c r="BK9" s="3"/>
      <c r="BL9" s="3"/>
      <c r="BM9" s="3"/>
      <c r="BN9" s="3"/>
      <c r="BO9" s="3"/>
    </row>
    <row r="10" customFormat="false" ht="23.85" hidden="false" customHeight="false" outlineLevel="0" collapsed="false">
      <c r="A10" s="3" t="n">
        <v>6</v>
      </c>
      <c r="B10" s="3" t="n">
        <v>32</v>
      </c>
      <c r="C10" s="40" t="s">
        <v>445</v>
      </c>
      <c r="D10" s="42" t="n">
        <f aca="false">LFP!C10</f>
        <v>55169</v>
      </c>
      <c r="E10" s="42" t="n">
        <f aca="false">LFP!D10</f>
        <v>3435</v>
      </c>
      <c r="F10" s="42" t="n">
        <f aca="false">LFP!E10</f>
        <v>1166</v>
      </c>
      <c r="G10" s="42" t="n">
        <f aca="false">LFP!F10</f>
        <v>50568</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BD10" s="3"/>
      <c r="BE10" s="3"/>
      <c r="BF10" s="3"/>
      <c r="BG10" s="3"/>
      <c r="BH10" s="3"/>
      <c r="BI10" s="3"/>
      <c r="BJ10" s="3"/>
      <c r="BK10" s="3"/>
      <c r="BL10" s="3"/>
      <c r="BM10" s="3"/>
      <c r="BN10" s="3"/>
      <c r="BO10" s="3"/>
    </row>
    <row r="11" customFormat="false" ht="23.85" hidden="false" customHeight="false" outlineLevel="0" collapsed="false">
      <c r="A11" s="3" t="n">
        <v>7</v>
      </c>
      <c r="B11" s="3" t="n">
        <v>33</v>
      </c>
      <c r="C11" s="40" t="s">
        <v>446</v>
      </c>
      <c r="D11" s="42" t="n">
        <f aca="false">LFP!C11</f>
        <v>180441</v>
      </c>
      <c r="E11" s="42" t="n">
        <f aca="false">LFP!D11</f>
        <v>11235</v>
      </c>
      <c r="F11" s="42" t="n">
        <f aca="false">LFP!E11</f>
        <v>3813</v>
      </c>
      <c r="G11" s="42" t="n">
        <f aca="false">LFP!F11</f>
        <v>165393</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BD11" s="3"/>
      <c r="BE11" s="3"/>
      <c r="BF11" s="3"/>
      <c r="BG11" s="3"/>
      <c r="BH11" s="3"/>
      <c r="BI11" s="3"/>
      <c r="BJ11" s="3"/>
      <c r="BK11" s="3"/>
      <c r="BL11" s="3"/>
      <c r="BM11" s="3"/>
      <c r="BN11" s="3"/>
      <c r="BO11" s="3"/>
    </row>
    <row r="12" customFormat="false" ht="12.8" hidden="false" customHeight="false" outlineLevel="0" collapsed="false">
      <c r="A12" s="3" t="n">
        <v>8</v>
      </c>
      <c r="B12" s="3" t="n">
        <v>42</v>
      </c>
      <c r="C12" s="3" t="s">
        <v>447</v>
      </c>
      <c r="D12" s="42" t="n">
        <f aca="false">LFP!C12</f>
        <v>77413</v>
      </c>
      <c r="E12" s="42" t="n">
        <f aca="false">LFP!D12</f>
        <v>1406</v>
      </c>
      <c r="F12" s="42" t="n">
        <f aca="false">LFP!E12</f>
        <v>1724</v>
      </c>
      <c r="G12" s="42" t="n">
        <f aca="false">LFP!F12</f>
        <v>74283</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BD12" s="3"/>
      <c r="BE12" s="3"/>
      <c r="BF12" s="3"/>
      <c r="BG12" s="3"/>
      <c r="BH12" s="3"/>
      <c r="BI12" s="3"/>
      <c r="BJ12" s="3"/>
      <c r="BK12" s="3"/>
      <c r="BL12" s="3"/>
      <c r="BM12" s="3"/>
      <c r="BN12" s="3"/>
      <c r="BO12" s="3"/>
    </row>
    <row r="13" customFormat="false" ht="23.85" hidden="false" customHeight="false" outlineLevel="0" collapsed="false">
      <c r="A13" s="3" t="n">
        <v>9</v>
      </c>
      <c r="B13" s="3" t="n">
        <v>44</v>
      </c>
      <c r="C13" s="40" t="s">
        <v>448</v>
      </c>
      <c r="D13" s="42" t="n">
        <f aca="false">LFP!C13</f>
        <v>86515</v>
      </c>
      <c r="E13" s="42" t="n">
        <f aca="false">LFP!D13</f>
        <v>1571</v>
      </c>
      <c r="F13" s="42" t="n">
        <f aca="false">LFP!E13</f>
        <v>1927</v>
      </c>
      <c r="G13" s="42" t="n">
        <f aca="false">LFP!F13</f>
        <v>83017</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BD13" s="3"/>
      <c r="BE13" s="3"/>
      <c r="BF13" s="3"/>
      <c r="BG13" s="3"/>
      <c r="BH13" s="3"/>
      <c r="BI13" s="3"/>
      <c r="BJ13" s="3"/>
      <c r="BK13" s="3"/>
      <c r="BL13" s="3"/>
      <c r="BM13" s="3"/>
      <c r="BN13" s="3"/>
      <c r="BO13" s="3"/>
    </row>
    <row r="14" customFormat="false" ht="23.85" hidden="false" customHeight="false" outlineLevel="0" collapsed="false">
      <c r="A14" s="3" t="n">
        <v>10</v>
      </c>
      <c r="B14" s="3" t="n">
        <v>45</v>
      </c>
      <c r="C14" s="40" t="s">
        <v>449</v>
      </c>
      <c r="D14" s="42" t="n">
        <f aca="false">LFP!C14</f>
        <v>150232</v>
      </c>
      <c r="E14" s="42" t="n">
        <f aca="false">LFP!D14</f>
        <v>2728</v>
      </c>
      <c r="F14" s="42" t="n">
        <f aca="false">LFP!E14</f>
        <v>3346</v>
      </c>
      <c r="G14" s="42" t="n">
        <f aca="false">LFP!F14</f>
        <v>144157</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BD14" s="3"/>
      <c r="BE14" s="3"/>
      <c r="BF14" s="3"/>
      <c r="BG14" s="3"/>
      <c r="BH14" s="3"/>
      <c r="BI14" s="3"/>
      <c r="BJ14" s="3"/>
      <c r="BK14" s="3"/>
      <c r="BL14" s="3"/>
      <c r="BM14" s="3"/>
      <c r="BN14" s="3"/>
      <c r="BO14" s="3"/>
    </row>
    <row r="15" customFormat="false" ht="12.8" hidden="false" customHeight="false" outlineLevel="0" collapsed="false">
      <c r="A15" s="3" t="n">
        <v>11</v>
      </c>
      <c r="B15" s="3" t="n">
        <v>48</v>
      </c>
      <c r="C15" s="3" t="s">
        <v>450</v>
      </c>
      <c r="D15" s="42" t="n">
        <f aca="false">LFP!C15</f>
        <v>59208</v>
      </c>
      <c r="E15" s="42" t="n">
        <f aca="false">LFP!D15</f>
        <v>1075</v>
      </c>
      <c r="F15" s="42" t="n">
        <f aca="false">LFP!E15</f>
        <v>1319</v>
      </c>
      <c r="G15" s="42" t="n">
        <f aca="false">LFP!F15</f>
        <v>56814</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BD15" s="3"/>
      <c r="BE15" s="3"/>
      <c r="BF15" s="3"/>
      <c r="BG15" s="3"/>
      <c r="BH15" s="3"/>
      <c r="BI15" s="3"/>
      <c r="BJ15" s="3"/>
      <c r="BK15" s="3"/>
      <c r="BL15" s="3"/>
      <c r="BM15" s="3"/>
      <c r="BN15" s="3"/>
      <c r="BO15" s="3"/>
    </row>
    <row r="16" customFormat="false" ht="12.8" hidden="false" customHeight="false" outlineLevel="0" collapsed="false">
      <c r="A16" s="3" t="n">
        <v>12</v>
      </c>
      <c r="B16" s="3" t="n">
        <v>49</v>
      </c>
      <c r="C16" s="3" t="s">
        <v>451</v>
      </c>
      <c r="D16" s="42" t="n">
        <f aca="false">LFP!C16</f>
        <v>34589</v>
      </c>
      <c r="E16" s="42" t="n">
        <f aca="false">LFP!D16</f>
        <v>628</v>
      </c>
      <c r="F16" s="42" t="n">
        <f aca="false">LFP!E16</f>
        <v>770</v>
      </c>
      <c r="G16" s="42" t="n">
        <f aca="false">LFP!F16</f>
        <v>33190</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BD16" s="3"/>
      <c r="BE16" s="3"/>
      <c r="BF16" s="3"/>
      <c r="BG16" s="3"/>
      <c r="BH16" s="3"/>
      <c r="BI16" s="3"/>
      <c r="BJ16" s="3"/>
      <c r="BK16" s="3"/>
      <c r="BL16" s="3"/>
      <c r="BM16" s="3"/>
      <c r="BN16" s="3"/>
      <c r="BO16" s="3"/>
    </row>
    <row r="17" customFormat="false" ht="12.8" hidden="false" customHeight="false" outlineLevel="0" collapsed="false">
      <c r="A17" s="3" t="n">
        <v>13</v>
      </c>
      <c r="B17" s="3" t="n">
        <v>51</v>
      </c>
      <c r="C17" s="3" t="s">
        <v>452</v>
      </c>
      <c r="D17" s="42" t="n">
        <f aca="false">LFP!C17</f>
        <v>24624</v>
      </c>
      <c r="E17" s="42" t="n">
        <f aca="false">LFP!D17</f>
        <v>447</v>
      </c>
      <c r="F17" s="42" t="n">
        <f aca="false">LFP!E17</f>
        <v>197</v>
      </c>
      <c r="G17" s="42" t="n">
        <f aca="false">LFP!F17</f>
        <v>23979</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BD17" s="3"/>
      <c r="BE17" s="3"/>
      <c r="BF17" s="3"/>
      <c r="BG17" s="3"/>
      <c r="BH17" s="3"/>
      <c r="BI17" s="3"/>
      <c r="BJ17" s="3"/>
      <c r="BK17" s="3"/>
      <c r="BL17" s="3"/>
      <c r="BM17" s="3"/>
      <c r="BN17" s="3"/>
      <c r="BO17" s="3"/>
    </row>
    <row r="18" customFormat="false" ht="12.8" hidden="false" customHeight="false" outlineLevel="0" collapsed="false">
      <c r="A18" s="50" t="n">
        <v>14</v>
      </c>
      <c r="B18" s="39" t="n">
        <v>52</v>
      </c>
      <c r="C18" s="39" t="s">
        <v>453</v>
      </c>
      <c r="D18" s="42" t="n">
        <f aca="false">LFP!C18</f>
        <v>78514</v>
      </c>
      <c r="E18" s="42" t="n">
        <f aca="false">LFP!D18</f>
        <v>1901</v>
      </c>
      <c r="F18" s="42" t="n">
        <f aca="false">LFP!E18</f>
        <v>628</v>
      </c>
      <c r="G18" s="42" t="n">
        <f aca="false">LFP!F18</f>
        <v>75985</v>
      </c>
      <c r="AZ18" s="39"/>
      <c r="BD18" s="3"/>
      <c r="BP18" s="39"/>
    </row>
    <row r="19" customFormat="false" ht="23.85" hidden="false" customHeight="false" outlineLevel="0" collapsed="false">
      <c r="A19" s="50" t="n">
        <v>15</v>
      </c>
      <c r="B19" s="39" t="n">
        <v>53</v>
      </c>
      <c r="C19" s="40" t="s">
        <v>454</v>
      </c>
      <c r="D19" s="42" t="n">
        <f aca="false">LFP!C19</f>
        <v>28745</v>
      </c>
      <c r="E19" s="42" t="n">
        <f aca="false">LFP!D19</f>
        <v>696</v>
      </c>
      <c r="F19" s="42" t="n">
        <f aca="false">LFP!E19</f>
        <v>230</v>
      </c>
      <c r="G19" s="42" t="n">
        <f aca="false">LFP!F19</f>
        <v>27820</v>
      </c>
      <c r="AZ19" s="39"/>
      <c r="BD19" s="3"/>
      <c r="BP19" s="39"/>
    </row>
    <row r="20" customFormat="false" ht="23.85" hidden="false" customHeight="false" outlineLevel="0" collapsed="false">
      <c r="A20" s="50" t="n">
        <v>16</v>
      </c>
      <c r="B20" s="39" t="n">
        <v>54</v>
      </c>
      <c r="C20" s="40" t="s">
        <v>455</v>
      </c>
      <c r="D20" s="42" t="n">
        <f aca="false">LFP!C20</f>
        <v>133596</v>
      </c>
      <c r="E20" s="42" t="n">
        <f aca="false">LFP!D20</f>
        <v>2426</v>
      </c>
      <c r="F20" s="42" t="n">
        <f aca="false">LFP!E20</f>
        <v>1984</v>
      </c>
      <c r="G20" s="42" t="n">
        <f aca="false">LFP!F20</f>
        <v>129186</v>
      </c>
      <c r="AZ20" s="39"/>
      <c r="BD20" s="3"/>
      <c r="BP20" s="39"/>
    </row>
    <row r="21" customFormat="false" ht="34.8" hidden="false" customHeight="false" outlineLevel="0" collapsed="false">
      <c r="A21" s="50" t="n">
        <v>17</v>
      </c>
      <c r="B21" s="39" t="n">
        <v>56</v>
      </c>
      <c r="C21" s="40" t="s">
        <v>456</v>
      </c>
      <c r="D21" s="42" t="n">
        <f aca="false">LFP!C21</f>
        <v>143574</v>
      </c>
      <c r="E21" s="42" t="n">
        <f aca="false">LFP!D21</f>
        <v>2607</v>
      </c>
      <c r="F21" s="42" t="n">
        <f aca="false">LFP!E21</f>
        <v>2132</v>
      </c>
      <c r="G21" s="42" t="n">
        <f aca="false">LFP!F21</f>
        <v>138835</v>
      </c>
      <c r="AZ21" s="39"/>
      <c r="BD21" s="3"/>
      <c r="BP21" s="39"/>
    </row>
    <row r="22" customFormat="false" ht="12.8" hidden="false" customHeight="false" outlineLevel="0" collapsed="false">
      <c r="A22" s="50" t="n">
        <v>18</v>
      </c>
      <c r="B22" s="39" t="n">
        <v>61</v>
      </c>
      <c r="C22" s="39" t="s">
        <v>457</v>
      </c>
      <c r="D22" s="42" t="n">
        <f aca="false">LFP!C22</f>
        <v>82371</v>
      </c>
      <c r="E22" s="42" t="n">
        <f aca="false">LFP!D22</f>
        <v>4844</v>
      </c>
      <c r="F22" s="42" t="n">
        <f aca="false">LFP!E22</f>
        <v>1223</v>
      </c>
      <c r="G22" s="42" t="n">
        <f aca="false">LFP!F22</f>
        <v>76304</v>
      </c>
      <c r="AZ22" s="39"/>
      <c r="BD22" s="3"/>
      <c r="BP22" s="39"/>
    </row>
    <row r="23" customFormat="false" ht="23.85" hidden="false" customHeight="false" outlineLevel="0" collapsed="false">
      <c r="A23" s="50" t="n">
        <v>19</v>
      </c>
      <c r="B23" s="39" t="n">
        <v>62</v>
      </c>
      <c r="C23" s="40" t="s">
        <v>458</v>
      </c>
      <c r="D23" s="42" t="n">
        <f aca="false">LFP!C23</f>
        <v>207667</v>
      </c>
      <c r="E23" s="42" t="n">
        <f aca="false">LFP!D23</f>
        <v>12212</v>
      </c>
      <c r="F23" s="42" t="n">
        <f aca="false">LFP!E23</f>
        <v>3084</v>
      </c>
      <c r="G23" s="42" t="n">
        <f aca="false">LFP!F23</f>
        <v>192371</v>
      </c>
      <c r="AZ23" s="39"/>
      <c r="BD23" s="3"/>
      <c r="BP23" s="39"/>
    </row>
    <row r="24" customFormat="false" ht="23.85" hidden="false" customHeight="false" outlineLevel="0" collapsed="false">
      <c r="A24" s="50" t="n">
        <v>20</v>
      </c>
      <c r="B24" s="39" t="n">
        <v>71</v>
      </c>
      <c r="C24" s="40" t="s">
        <v>459</v>
      </c>
      <c r="D24" s="42" t="n">
        <f aca="false">LFP!C24</f>
        <v>33978</v>
      </c>
      <c r="E24" s="42" t="n">
        <f aca="false">LFP!D24</f>
        <v>411</v>
      </c>
      <c r="F24" s="42" t="n">
        <f aca="false">LFP!E24</f>
        <v>1494</v>
      </c>
      <c r="G24" s="42" t="n">
        <f aca="false">LFP!F24</f>
        <v>32073</v>
      </c>
      <c r="AZ24" s="39"/>
      <c r="BD24" s="3"/>
      <c r="BP24" s="39"/>
    </row>
    <row r="25" customFormat="false" ht="23.85" hidden="false" customHeight="false" outlineLevel="0" collapsed="false">
      <c r="A25" s="50" t="n">
        <v>21</v>
      </c>
      <c r="B25" s="39" t="n">
        <v>72</v>
      </c>
      <c r="C25" s="40" t="s">
        <v>460</v>
      </c>
      <c r="D25" s="42" t="n">
        <f aca="false">LFP!C25</f>
        <v>197168</v>
      </c>
      <c r="E25" s="42" t="n">
        <f aca="false">LFP!D25</f>
        <v>2387</v>
      </c>
      <c r="F25" s="42" t="n">
        <f aca="false">LFP!E25</f>
        <v>8670</v>
      </c>
      <c r="G25" s="42" t="n">
        <f aca="false">LFP!F25</f>
        <v>186110</v>
      </c>
      <c r="AZ25" s="39"/>
      <c r="BD25" s="3"/>
      <c r="BP25" s="39"/>
    </row>
    <row r="26" customFormat="false" ht="23.85" hidden="false" customHeight="false" outlineLevel="0" collapsed="false">
      <c r="A26" s="50" t="n">
        <v>22</v>
      </c>
      <c r="B26" s="39" t="n">
        <v>81</v>
      </c>
      <c r="C26" s="40" t="s">
        <v>461</v>
      </c>
      <c r="D26" s="42" t="n">
        <f aca="false">LFP!C26</f>
        <v>104892</v>
      </c>
      <c r="E26" s="42" t="n">
        <f aca="false">LFP!D26</f>
        <v>726</v>
      </c>
      <c r="F26" s="42" t="n">
        <f aca="false">LFP!E26</f>
        <v>2336</v>
      </c>
      <c r="G26" s="42" t="n">
        <f aca="false">LFP!F26</f>
        <v>101830</v>
      </c>
      <c r="AZ26" s="39"/>
      <c r="BD26" s="3"/>
      <c r="BP26" s="39"/>
    </row>
    <row r="27" customFormat="false" ht="12.8" hidden="false" customHeight="false" outlineLevel="0" collapsed="false">
      <c r="A27" s="50" t="n">
        <v>23</v>
      </c>
      <c r="B27" s="39" t="n">
        <v>92</v>
      </c>
      <c r="C27" s="39" t="s">
        <v>462</v>
      </c>
      <c r="D27" s="42" t="n">
        <f aca="false">LFP!C27</f>
        <v>446399</v>
      </c>
      <c r="E27" s="42" t="n">
        <f aca="false">LFP!D27</f>
        <v>3088</v>
      </c>
      <c r="F27" s="42" t="n">
        <f aca="false">LFP!E27</f>
        <v>1785</v>
      </c>
      <c r="G27" s="42" t="n">
        <f aca="false">LFP!F27</f>
        <v>441526</v>
      </c>
      <c r="AZ27" s="39"/>
      <c r="BD27" s="3"/>
      <c r="BP27" s="39"/>
    </row>
  </sheetData>
  <mergeCells count="30">
    <mergeCell ref="A2:C2"/>
    <mergeCell ref="D2:G2"/>
    <mergeCell ref="H2:K2"/>
    <mergeCell ref="L2:O2"/>
    <mergeCell ref="P2:S2"/>
    <mergeCell ref="T2:W2"/>
    <mergeCell ref="X2:Z2"/>
    <mergeCell ref="AA2:AC2"/>
    <mergeCell ref="AD2:AF2"/>
    <mergeCell ref="AG2:AI2"/>
    <mergeCell ref="AJ2:AL2"/>
    <mergeCell ref="AM2:AO2"/>
    <mergeCell ref="AP2:AR2"/>
    <mergeCell ref="AS2:AU2"/>
    <mergeCell ref="AV2:AY2"/>
    <mergeCell ref="AZ2:BC2"/>
    <mergeCell ref="BD2:BG2"/>
    <mergeCell ref="BH2:BK2"/>
    <mergeCell ref="BL2:BO2"/>
    <mergeCell ref="BP2:BS2"/>
    <mergeCell ref="BT2:BY2"/>
    <mergeCell ref="BZ2:CC2"/>
    <mergeCell ref="CD2:CG2"/>
    <mergeCell ref="CH2:CM2"/>
    <mergeCell ref="CN2:CQ2"/>
    <mergeCell ref="CR2:CU2"/>
    <mergeCell ref="CV2:CY2"/>
    <mergeCell ref="CZ2:DC2"/>
    <mergeCell ref="DD2:DG2"/>
    <mergeCell ref="DH2:DK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BE33D"/>
    <pageSetUpPr fitToPage="false"/>
  </sheetPr>
  <dimension ref="A1:BQ221"/>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H81" activeCellId="1" sqref="D3:E3 H81"/>
    </sheetView>
  </sheetViews>
  <sheetFormatPr defaultColWidth="11.53515625" defaultRowHeight="12.8" customHeight="false" zeroHeight="false" outlineLevelRow="1" outlineLevelCol="0"/>
  <cols>
    <col collapsed="false" customWidth="true" hidden="false" outlineLevel="0" max="1" min="1" style="54" width="23.07"/>
    <col collapsed="false" customWidth="true" hidden="false" outlineLevel="0" max="2" min="2" style="55" width="29.97"/>
    <col collapsed="false" customWidth="true" hidden="false" outlineLevel="0" max="3" min="3" style="55" width="21.47"/>
    <col collapsed="false" customWidth="true" hidden="false" outlineLevel="0" max="4" min="4" style="56" width="21.47"/>
    <col collapsed="false" customWidth="true" hidden="false" outlineLevel="0" max="35" min="5" style="56" width="16.84"/>
    <col collapsed="false" customWidth="true" hidden="false" outlineLevel="0" max="49" min="36" style="56" width="17.78"/>
    <col collapsed="false" customWidth="true" hidden="false" outlineLevel="0" max="52" min="50" style="56" width="15.48"/>
    <col collapsed="false" customWidth="false" hidden="false" outlineLevel="0" max="56" min="53" style="56" width="11.53"/>
    <col collapsed="false" customWidth="true" hidden="false" outlineLevel="0" max="57" min="57" style="56" width="18.45"/>
    <col collapsed="false" customWidth="true" hidden="false" outlineLevel="0" max="60" min="58" style="56" width="16.14"/>
    <col collapsed="false" customWidth="true" hidden="false" outlineLevel="0" max="68" min="61" style="56" width="13.84"/>
    <col collapsed="false" customWidth="false" hidden="false" outlineLevel="0" max="69" min="69" style="56" width="11.53"/>
    <col collapsed="false" customWidth="false" hidden="false" outlineLevel="0" max="16384" min="73" style="56" width="11.53"/>
  </cols>
  <sheetData>
    <row r="1" customFormat="false" ht="12.8" hidden="false" customHeight="false" outlineLevel="0" collapsed="false">
      <c r="A1" s="57" t="s">
        <v>463</v>
      </c>
      <c r="B1" s="58" t="s">
        <v>464</v>
      </c>
      <c r="C1" s="59" t="s">
        <v>2</v>
      </c>
      <c r="D1" s="60" t="s">
        <v>465</v>
      </c>
      <c r="BG1" s="3"/>
      <c r="BH1" s="3"/>
      <c r="BI1" s="3"/>
      <c r="BJ1" s="3"/>
      <c r="BK1" s="3"/>
      <c r="BL1" s="3"/>
      <c r="BM1" s="3"/>
      <c r="BN1" s="3"/>
      <c r="BO1" s="3"/>
      <c r="BP1" s="3"/>
      <c r="BQ1" s="3"/>
    </row>
    <row r="2" customFormat="false" ht="12.8" hidden="false" customHeight="false" outlineLevel="0" collapsed="false">
      <c r="A2" s="57" t="str">
        <f aca="false">_xlfn.CONCAT($A$1, ".", "CALC")</f>
        <v>LSD.RID.0.AL.LFP.CALC</v>
      </c>
      <c r="B2" s="58" t="str">
        <f aca="false">_xlfn.CONCAT($B$1, " ", "Calculations")</f>
        <v>Alabama Labor Force Population Calculations</v>
      </c>
      <c r="C2" s="59" t="s">
        <v>466</v>
      </c>
      <c r="D2" s="59"/>
      <c r="E2" s="59"/>
      <c r="F2" s="59"/>
      <c r="BG2" s="3"/>
      <c r="BH2" s="3"/>
      <c r="BI2" s="3"/>
      <c r="BJ2" s="3"/>
      <c r="BK2" s="3"/>
      <c r="BL2" s="3"/>
      <c r="BM2" s="3"/>
      <c r="BN2" s="3"/>
      <c r="BO2" s="3"/>
      <c r="BP2" s="3"/>
      <c r="BQ2" s="3"/>
    </row>
    <row r="3" customFormat="false" ht="12.8" hidden="false" customHeight="false" outlineLevel="0" collapsed="false">
      <c r="A3" s="57" t="s">
        <v>337</v>
      </c>
      <c r="B3" s="42" t="str">
        <f aca="false">CALC!C3</f>
        <v>Labor Sector</v>
      </c>
      <c r="C3" s="61" t="s">
        <v>467</v>
      </c>
      <c r="D3" s="61" t="s">
        <v>468</v>
      </c>
      <c r="E3" s="61" t="s">
        <v>469</v>
      </c>
      <c r="F3" s="61" t="s">
        <v>470</v>
      </c>
      <c r="BG3" s="3"/>
      <c r="BH3" s="3"/>
      <c r="BI3" s="3"/>
      <c r="BJ3" s="3"/>
      <c r="BK3" s="3"/>
      <c r="BL3" s="3"/>
      <c r="BM3" s="3"/>
      <c r="BN3" s="3"/>
      <c r="BO3" s="3"/>
      <c r="BP3" s="3"/>
      <c r="BQ3" s="3"/>
    </row>
    <row r="4" customFormat="false" ht="12.8" hidden="false" customHeight="false" outlineLevel="0" collapsed="false">
      <c r="A4" s="57" t="str">
        <f aca="false">_xlfn.CONCAT($A$1, ".", CALC!A4)</f>
        <v>LSD.RID.0.AL.LFP.0</v>
      </c>
      <c r="B4" s="42" t="str">
        <f aca="false">CALC!C4</f>
        <v>All Industries</v>
      </c>
      <c r="C4" s="56" t="n">
        <v>2385000</v>
      </c>
      <c r="D4" s="56" t="n">
        <v>62388</v>
      </c>
      <c r="E4" s="56" t="n">
        <v>50000</v>
      </c>
      <c r="F4" s="56" t="n">
        <v>2272612</v>
      </c>
      <c r="BG4" s="3"/>
      <c r="BH4" s="3"/>
      <c r="BI4" s="3"/>
      <c r="BJ4" s="3"/>
      <c r="BK4" s="3"/>
      <c r="BL4" s="3"/>
      <c r="BM4" s="3"/>
      <c r="BN4" s="3"/>
      <c r="BO4" s="3"/>
      <c r="BP4" s="3"/>
      <c r="BQ4" s="3"/>
    </row>
    <row r="5" customFormat="false" ht="23.85" hidden="false" customHeight="false" outlineLevel="0" collapsed="false">
      <c r="A5" s="57" t="str">
        <f aca="false">_xlfn.CONCAT($A$1, ".", CALC!A5)</f>
        <v>LSD.RID.0.AL.LFP.1</v>
      </c>
      <c r="B5" s="52" t="str">
        <f aca="false">CALC!C5</f>
        <v>Agriculture, Forestry, 
Fishing and Hunting</v>
      </c>
      <c r="C5" s="56" t="n">
        <v>35615</v>
      </c>
      <c r="D5" s="56" t="n">
        <v>154</v>
      </c>
      <c r="E5" s="56" t="n">
        <v>2949</v>
      </c>
      <c r="F5" s="56" t="n">
        <v>32512</v>
      </c>
      <c r="BG5" s="3"/>
      <c r="BH5" s="3"/>
      <c r="BI5" s="3"/>
      <c r="BJ5" s="3"/>
      <c r="BK5" s="3"/>
      <c r="BL5" s="3"/>
      <c r="BM5" s="3"/>
      <c r="BN5" s="3"/>
      <c r="BO5" s="3"/>
      <c r="BP5" s="3"/>
      <c r="BQ5" s="3"/>
    </row>
    <row r="6" customFormat="false" ht="23.85" hidden="false" customHeight="false" outlineLevel="0" collapsed="false">
      <c r="A6" s="57" t="str">
        <f aca="false">_xlfn.CONCAT($A$1, ".", CALC!A6)</f>
        <v>LSD.RID.0.AL.LFP.2</v>
      </c>
      <c r="B6" s="52" t="str">
        <f aca="false">CALC!C6</f>
        <v>Mining, Quarrying, and 
Oil and Gas Extraction</v>
      </c>
      <c r="C6" s="56" t="n">
        <v>10077</v>
      </c>
      <c r="D6" s="56" t="n">
        <v>122</v>
      </c>
      <c r="E6" s="56" t="n">
        <v>230</v>
      </c>
      <c r="F6" s="56" t="n">
        <v>9725</v>
      </c>
      <c r="BG6" s="3"/>
      <c r="BH6" s="3"/>
      <c r="BI6" s="3"/>
      <c r="BJ6" s="3"/>
      <c r="BK6" s="3"/>
      <c r="BL6" s="3"/>
      <c r="BM6" s="3"/>
      <c r="BN6" s="3"/>
      <c r="BO6" s="3"/>
      <c r="BP6" s="3"/>
      <c r="BQ6" s="3"/>
    </row>
    <row r="7" customFormat="false" ht="12.8" hidden="false" customHeight="false" outlineLevel="0" collapsed="false">
      <c r="A7" s="57" t="str">
        <f aca="false">_xlfn.CONCAT($A$1, ".", CALC!A7)</f>
        <v>LSD.RID.0.AL.LFP.3</v>
      </c>
      <c r="B7" s="42" t="str">
        <f aca="false">CALC!C7</f>
        <v>Utilities</v>
      </c>
      <c r="C7" s="56" t="n">
        <v>25487</v>
      </c>
      <c r="D7" s="56" t="n">
        <v>463</v>
      </c>
      <c r="E7" s="56" t="n">
        <v>568</v>
      </c>
      <c r="F7" s="56" t="n">
        <v>24456</v>
      </c>
      <c r="BG7" s="3"/>
      <c r="BH7" s="3"/>
      <c r="BI7" s="3"/>
      <c r="BJ7" s="3"/>
      <c r="BK7" s="3"/>
      <c r="BL7" s="3"/>
      <c r="BM7" s="3"/>
      <c r="BN7" s="3"/>
      <c r="BO7" s="3"/>
      <c r="BP7" s="3"/>
      <c r="BQ7" s="3"/>
    </row>
    <row r="8" customFormat="false" ht="12.8" hidden="false" customHeight="false" outlineLevel="0" collapsed="false">
      <c r="A8" s="57" t="str">
        <f aca="false">_xlfn.CONCAT($A$1, ".", CALC!A8)</f>
        <v>LSD.RID.0.AL.LFP.4</v>
      </c>
      <c r="B8" s="42" t="str">
        <f aca="false">CALC!C8</f>
        <v>Construction</v>
      </c>
      <c r="C8" s="56" t="n">
        <v>119537</v>
      </c>
      <c r="D8" s="56" t="n">
        <v>3515</v>
      </c>
      <c r="E8" s="56" t="n">
        <v>6963</v>
      </c>
      <c r="F8" s="56" t="n">
        <v>109059</v>
      </c>
      <c r="BG8" s="3"/>
      <c r="BH8" s="3"/>
      <c r="BI8" s="3"/>
      <c r="BJ8" s="3"/>
      <c r="BK8" s="3"/>
      <c r="BL8" s="3"/>
      <c r="BM8" s="3"/>
      <c r="BN8" s="3"/>
      <c r="BO8" s="3"/>
      <c r="BP8" s="3"/>
      <c r="BQ8" s="3"/>
    </row>
    <row r="9" customFormat="false" ht="23.85" hidden="false" customHeight="false" outlineLevel="0" collapsed="false">
      <c r="A9" s="57" t="str">
        <f aca="false">_xlfn.CONCAT($A$1, ".", CALC!A9)</f>
        <v>LSD.RID.0.AL.LFP.5</v>
      </c>
      <c r="B9" s="52" t="str">
        <f aca="false">CALC!C9</f>
        <v>Manufacturing 
(Food, Textile, etc.)</v>
      </c>
      <c r="C9" s="56" t="n">
        <v>68885</v>
      </c>
      <c r="D9" s="56" t="n">
        <v>4289</v>
      </c>
      <c r="E9" s="56" t="n">
        <v>1456</v>
      </c>
      <c r="F9" s="56" t="n">
        <v>63140</v>
      </c>
      <c r="BG9" s="3"/>
      <c r="BH9" s="3"/>
      <c r="BI9" s="3"/>
      <c r="BJ9" s="3"/>
      <c r="BK9" s="3"/>
      <c r="BL9" s="3"/>
      <c r="BM9" s="3"/>
      <c r="BN9" s="3"/>
      <c r="BO9" s="3"/>
      <c r="BP9" s="3"/>
      <c r="BQ9" s="3"/>
    </row>
    <row r="10" customFormat="false" ht="23.85" hidden="false" customHeight="false" outlineLevel="0" collapsed="false">
      <c r="A10" s="57" t="str">
        <f aca="false">_xlfn.CONCAT($A$1, ".", CALC!A10)</f>
        <v>LSD.RID.0.AL.LFP.6</v>
      </c>
      <c r="B10" s="52" t="str">
        <f aca="false">CALC!C10</f>
        <v>Manufacturing (Wood,
Paper, Printing, etc.)</v>
      </c>
      <c r="C10" s="56" t="n">
        <v>55169</v>
      </c>
      <c r="D10" s="56" t="n">
        <v>3435</v>
      </c>
      <c r="E10" s="56" t="n">
        <v>1166</v>
      </c>
      <c r="F10" s="56" t="n">
        <v>50568</v>
      </c>
      <c r="BG10" s="3"/>
      <c r="BH10" s="3"/>
      <c r="BI10" s="3"/>
      <c r="BJ10" s="3"/>
      <c r="BK10" s="3"/>
      <c r="BL10" s="3"/>
      <c r="BM10" s="3"/>
      <c r="BN10" s="3"/>
      <c r="BO10" s="3"/>
      <c r="BP10" s="3"/>
      <c r="BQ10" s="3"/>
    </row>
    <row r="11" customFormat="false" ht="23.85" hidden="false" customHeight="false" outlineLevel="0" collapsed="false">
      <c r="A11" s="57" t="str">
        <f aca="false">_xlfn.CONCAT($A$1, ".", CALC!A11)</f>
        <v>LSD.RID.0.AL.LFP.7</v>
      </c>
      <c r="B11" s="52" t="str">
        <f aca="false">CALC!C11</f>
        <v>Manufacturing (Machinery, 
Transport, etc.)</v>
      </c>
      <c r="C11" s="56" t="n">
        <v>180441</v>
      </c>
      <c r="D11" s="56" t="n">
        <v>11235</v>
      </c>
      <c r="E11" s="56" t="n">
        <v>3813</v>
      </c>
      <c r="F11" s="56" t="n">
        <v>165393</v>
      </c>
      <c r="BG11" s="3"/>
      <c r="BH11" s="3"/>
      <c r="BI11" s="3"/>
      <c r="BJ11" s="3"/>
      <c r="BK11" s="3"/>
      <c r="BL11" s="3"/>
      <c r="BM11" s="3"/>
      <c r="BN11" s="3"/>
      <c r="BO11" s="3"/>
      <c r="BP11" s="3"/>
      <c r="BQ11" s="3"/>
    </row>
    <row r="12" customFormat="false" ht="12.8" hidden="false" customHeight="false" outlineLevel="0" collapsed="false">
      <c r="A12" s="57" t="str">
        <f aca="false">_xlfn.CONCAT($A$1, ".", CALC!A12)</f>
        <v>LSD.RID.0.AL.LFP.8</v>
      </c>
      <c r="B12" s="42" t="str">
        <f aca="false">CALC!C12</f>
        <v>Wholesale Trade</v>
      </c>
      <c r="C12" s="56" t="n">
        <v>77413</v>
      </c>
      <c r="D12" s="56" t="n">
        <v>1406</v>
      </c>
      <c r="E12" s="56" t="n">
        <v>1724</v>
      </c>
      <c r="F12" s="56" t="n">
        <v>74283</v>
      </c>
      <c r="BG12" s="3"/>
      <c r="BH12" s="3"/>
      <c r="BI12" s="3"/>
      <c r="BJ12" s="3"/>
      <c r="BK12" s="3"/>
      <c r="BL12" s="3"/>
      <c r="BM12" s="3"/>
      <c r="BN12" s="3"/>
      <c r="BO12" s="3"/>
      <c r="BP12" s="3"/>
      <c r="BQ12" s="3"/>
    </row>
    <row r="13" customFormat="false" ht="23.85" hidden="false" customHeight="false" outlineLevel="0" collapsed="false">
      <c r="A13" s="57" t="str">
        <f aca="false">_xlfn.CONCAT($A$1, ".", CALC!A13)</f>
        <v>LSD.RID.0.AL.LFP.9</v>
      </c>
      <c r="B13" s="52" t="str">
        <f aca="false">CALC!C13</f>
        <v>Retail Trade (Motor 
Vehicle, Electronics, etc.)</v>
      </c>
      <c r="C13" s="56" t="n">
        <v>86515</v>
      </c>
      <c r="D13" s="56" t="n">
        <v>1571</v>
      </c>
      <c r="E13" s="56" t="n">
        <v>1927</v>
      </c>
      <c r="F13" s="56" t="n">
        <v>83017</v>
      </c>
      <c r="BG13" s="3"/>
      <c r="BH13" s="3"/>
      <c r="BI13" s="3"/>
      <c r="BJ13" s="3"/>
      <c r="BK13" s="3"/>
      <c r="BL13" s="3"/>
      <c r="BM13" s="3"/>
      <c r="BN13" s="3"/>
      <c r="BO13" s="3"/>
      <c r="BP13" s="3"/>
      <c r="BQ13" s="3"/>
    </row>
    <row r="14" customFormat="false" ht="23.85" hidden="false" customHeight="false" outlineLevel="0" collapsed="false">
      <c r="A14" s="57" t="str">
        <f aca="false">_xlfn.CONCAT($A$1, ".", CALC!A14)</f>
        <v>LSD.RID.0.AL.LFP.10</v>
      </c>
      <c r="B14" s="52" t="str">
        <f aca="false">CALC!C14</f>
        <v>Retail Trade (Food, Clothing, 
General Merchandise, etc.)</v>
      </c>
      <c r="C14" s="56" t="n">
        <v>150232</v>
      </c>
      <c r="D14" s="56" t="n">
        <v>2728</v>
      </c>
      <c r="E14" s="56" t="n">
        <v>3346</v>
      </c>
      <c r="F14" s="56" t="n">
        <v>144157</v>
      </c>
      <c r="BG14" s="3"/>
      <c r="BH14" s="3"/>
      <c r="BI14" s="3"/>
      <c r="BJ14" s="3"/>
      <c r="BK14" s="3"/>
      <c r="BL14" s="3"/>
      <c r="BM14" s="3"/>
      <c r="BN14" s="3"/>
      <c r="BO14" s="3"/>
      <c r="BP14" s="3"/>
      <c r="BQ14" s="3"/>
    </row>
    <row r="15" customFormat="false" ht="12.8" hidden="false" customHeight="false" outlineLevel="0" collapsed="false">
      <c r="A15" s="57" t="str">
        <f aca="false">_xlfn.CONCAT($A$1, ".", CALC!A15)</f>
        <v>LSD.RID.0.AL.LFP.11</v>
      </c>
      <c r="B15" s="42" t="str">
        <f aca="false">CALC!C15</f>
        <v>Transportation</v>
      </c>
      <c r="C15" s="56" t="n">
        <v>59208</v>
      </c>
      <c r="D15" s="56" t="n">
        <v>1075</v>
      </c>
      <c r="E15" s="56" t="n">
        <v>1319</v>
      </c>
      <c r="F15" s="56" t="n">
        <v>56814</v>
      </c>
      <c r="BG15" s="3"/>
      <c r="BH15" s="3"/>
      <c r="BI15" s="3"/>
      <c r="BJ15" s="3"/>
      <c r="BK15" s="3"/>
      <c r="BL15" s="3"/>
      <c r="BM15" s="3"/>
      <c r="BN15" s="3"/>
      <c r="BO15" s="3"/>
      <c r="BP15" s="3"/>
      <c r="BQ15" s="3"/>
    </row>
    <row r="16" customFormat="false" ht="12.8" hidden="false" customHeight="false" outlineLevel="0" collapsed="false">
      <c r="A16" s="57" t="str">
        <f aca="false">_xlfn.CONCAT($A$1, ".", CALC!A16)</f>
        <v>LSD.RID.0.AL.LFP.12</v>
      </c>
      <c r="B16" s="42" t="str">
        <f aca="false">CALC!C16</f>
        <v>Warehousing and Storage</v>
      </c>
      <c r="C16" s="56" t="n">
        <v>34589</v>
      </c>
      <c r="D16" s="56" t="n">
        <v>628</v>
      </c>
      <c r="E16" s="56" t="n">
        <v>770</v>
      </c>
      <c r="F16" s="56" t="n">
        <v>33190</v>
      </c>
      <c r="BG16" s="3"/>
      <c r="BH16" s="3"/>
      <c r="BI16" s="3"/>
      <c r="BJ16" s="3"/>
      <c r="BK16" s="3"/>
      <c r="BL16" s="3"/>
      <c r="BM16" s="3"/>
      <c r="BN16" s="3"/>
      <c r="BO16" s="3"/>
      <c r="BP16" s="3"/>
      <c r="BQ16" s="3"/>
    </row>
    <row r="17" customFormat="false" ht="12.8" hidden="false" customHeight="false" outlineLevel="0" collapsed="false">
      <c r="A17" s="57" t="str">
        <f aca="false">_xlfn.CONCAT($A$1, ".", CALC!A17)</f>
        <v>LSD.RID.0.AL.LFP.13</v>
      </c>
      <c r="B17" s="42" t="str">
        <f aca="false">CALC!C17</f>
        <v>Information</v>
      </c>
      <c r="C17" s="56" t="n">
        <v>24624</v>
      </c>
      <c r="D17" s="56" t="n">
        <v>447</v>
      </c>
      <c r="E17" s="56" t="n">
        <v>197</v>
      </c>
      <c r="F17" s="56" t="n">
        <v>23979</v>
      </c>
      <c r="BG17" s="3"/>
      <c r="BH17" s="3"/>
      <c r="BI17" s="3"/>
      <c r="BJ17" s="3"/>
      <c r="BK17" s="3"/>
      <c r="BL17" s="3"/>
      <c r="BM17" s="3"/>
      <c r="BN17" s="3"/>
      <c r="BO17" s="3"/>
      <c r="BP17" s="3"/>
      <c r="BQ17" s="3"/>
    </row>
    <row r="18" customFormat="false" ht="12.8" hidden="false" customHeight="false" outlineLevel="0" collapsed="false">
      <c r="A18" s="57" t="str">
        <f aca="false">_xlfn.CONCAT($A$1, ".", CALC!A18)</f>
        <v>LSD.RID.0.AL.LFP.14</v>
      </c>
      <c r="B18" s="42" t="str">
        <f aca="false">CALC!C18</f>
        <v>Finance and Insurance</v>
      </c>
      <c r="C18" s="56" t="n">
        <v>78514</v>
      </c>
      <c r="D18" s="56" t="n">
        <v>1901</v>
      </c>
      <c r="E18" s="56" t="n">
        <v>628</v>
      </c>
      <c r="F18" s="56" t="n">
        <v>75985</v>
      </c>
      <c r="BG18" s="3"/>
      <c r="BH18" s="3"/>
      <c r="BI18" s="3"/>
      <c r="BJ18" s="3"/>
      <c r="BK18" s="3"/>
      <c r="BL18" s="3"/>
      <c r="BM18" s="3"/>
      <c r="BN18" s="3"/>
      <c r="BO18" s="3"/>
      <c r="BP18" s="3"/>
      <c r="BQ18" s="3"/>
    </row>
    <row r="19" customFormat="false" ht="23.85" hidden="false" customHeight="false" outlineLevel="0" collapsed="false">
      <c r="A19" s="57" t="str">
        <f aca="false">_xlfn.CONCAT($A$1, ".", CALC!A19)</f>
        <v>LSD.RID.0.AL.LFP.15</v>
      </c>
      <c r="B19" s="52" t="str">
        <f aca="false">CALC!C19</f>
        <v>Real Estate and 
Rental and Leasing</v>
      </c>
      <c r="C19" s="56" t="n">
        <v>28745</v>
      </c>
      <c r="D19" s="56" t="n">
        <v>696</v>
      </c>
      <c r="E19" s="56" t="n">
        <v>230</v>
      </c>
      <c r="F19" s="56" t="n">
        <v>27820</v>
      </c>
      <c r="BG19" s="3"/>
      <c r="BH19" s="3"/>
      <c r="BI19" s="3"/>
      <c r="BJ19" s="3"/>
      <c r="BK19" s="3"/>
      <c r="BL19" s="3"/>
      <c r="BM19" s="3"/>
      <c r="BN19" s="3"/>
      <c r="BO19" s="3"/>
      <c r="BP19" s="3"/>
      <c r="BQ19" s="3"/>
    </row>
    <row r="20" customFormat="false" ht="23.85" hidden="false" customHeight="false" outlineLevel="0" collapsed="false">
      <c r="A20" s="57" t="str">
        <f aca="false">_xlfn.CONCAT($A$1, ".", CALC!A20)</f>
        <v>LSD.RID.0.AL.LFP.16</v>
      </c>
      <c r="B20" s="52" t="str">
        <f aca="false">CALC!C20</f>
        <v>Professional, Scientific, 
and Technical Services</v>
      </c>
      <c r="C20" s="56" t="n">
        <v>133596</v>
      </c>
      <c r="D20" s="56" t="n">
        <v>2426</v>
      </c>
      <c r="E20" s="56" t="n">
        <v>1984</v>
      </c>
      <c r="F20" s="56" t="n">
        <v>129186</v>
      </c>
      <c r="BG20" s="3"/>
      <c r="BH20" s="3"/>
      <c r="BI20" s="3"/>
      <c r="BJ20" s="3"/>
      <c r="BK20" s="3"/>
      <c r="BL20" s="3"/>
      <c r="BM20" s="3"/>
      <c r="BN20" s="3"/>
      <c r="BO20" s="3"/>
      <c r="BP20" s="3"/>
      <c r="BQ20" s="3"/>
    </row>
    <row r="21" customFormat="false" ht="34.8" hidden="false" customHeight="false" outlineLevel="0" collapsed="false">
      <c r="A21" s="57" t="str">
        <f aca="false">_xlfn.CONCAT($A$1, ".", CALC!A21)</f>
        <v>LSD.RID.0.AL.LFP.17</v>
      </c>
      <c r="B21" s="52" t="str">
        <f aca="false">CALC!C21</f>
        <v>Administrative and Support 
and Waste Management 
and Remediation Services</v>
      </c>
      <c r="C21" s="56" t="n">
        <v>143574</v>
      </c>
      <c r="D21" s="56" t="n">
        <v>2607</v>
      </c>
      <c r="E21" s="56" t="n">
        <v>2132</v>
      </c>
      <c r="F21" s="56" t="n">
        <v>138835</v>
      </c>
      <c r="BG21" s="3"/>
      <c r="BH21" s="3"/>
      <c r="BI21" s="3"/>
      <c r="BJ21" s="3"/>
      <c r="BK21" s="3"/>
      <c r="BL21" s="3"/>
      <c r="BM21" s="3"/>
      <c r="BN21" s="3"/>
      <c r="BO21" s="3"/>
      <c r="BP21" s="3"/>
      <c r="BQ21" s="3"/>
    </row>
    <row r="22" customFormat="false" ht="12.8" hidden="false" customHeight="false" outlineLevel="0" collapsed="false">
      <c r="A22" s="57" t="str">
        <f aca="false">_xlfn.CONCAT($A$1, ".", CALC!A22)</f>
        <v>LSD.RID.0.AL.LFP.18</v>
      </c>
      <c r="B22" s="42" t="str">
        <f aca="false">CALC!C22</f>
        <v>Educational Services</v>
      </c>
      <c r="C22" s="56" t="n">
        <v>82371</v>
      </c>
      <c r="D22" s="56" t="n">
        <v>4844</v>
      </c>
      <c r="E22" s="56" t="n">
        <v>1223</v>
      </c>
      <c r="F22" s="56" t="n">
        <v>76304</v>
      </c>
      <c r="BG22" s="3"/>
      <c r="BH22" s="3"/>
      <c r="BI22" s="3"/>
      <c r="BJ22" s="3"/>
      <c r="BK22" s="3"/>
      <c r="BL22" s="3"/>
      <c r="BM22" s="3"/>
      <c r="BN22" s="3"/>
      <c r="BO22" s="3"/>
      <c r="BP22" s="3"/>
      <c r="BQ22" s="3"/>
    </row>
    <row r="23" customFormat="false" ht="23.85" hidden="false" customHeight="false" outlineLevel="0" collapsed="false">
      <c r="A23" s="57" t="str">
        <f aca="false">_xlfn.CONCAT($A$1, ".", CALC!A23)</f>
        <v>LSD.RID.0.AL.LFP.19</v>
      </c>
      <c r="B23" s="52" t="str">
        <f aca="false">CALC!C23</f>
        <v>Health Care and 
Social Assistance</v>
      </c>
      <c r="C23" s="56" t="n">
        <v>207667</v>
      </c>
      <c r="D23" s="56" t="n">
        <v>12212</v>
      </c>
      <c r="E23" s="56" t="n">
        <v>3084</v>
      </c>
      <c r="F23" s="56" t="n">
        <v>192371</v>
      </c>
      <c r="BG23" s="3"/>
      <c r="BH23" s="3"/>
      <c r="BI23" s="3"/>
      <c r="BJ23" s="3"/>
      <c r="BK23" s="3"/>
      <c r="BL23" s="3"/>
      <c r="BM23" s="3"/>
      <c r="BN23" s="3"/>
      <c r="BO23" s="3"/>
      <c r="BP23" s="3"/>
      <c r="BQ23" s="3"/>
    </row>
    <row r="24" customFormat="false" ht="23.85" hidden="false" customHeight="false" outlineLevel="0" collapsed="false">
      <c r="A24" s="57" t="str">
        <f aca="false">_xlfn.CONCAT($A$1, ".", CALC!A24)</f>
        <v>LSD.RID.0.AL.LFP.20</v>
      </c>
      <c r="B24" s="52" t="str">
        <f aca="false">CALC!C24</f>
        <v>Arts, Entertainment, 
and Recreation</v>
      </c>
      <c r="C24" s="56" t="n">
        <v>33978</v>
      </c>
      <c r="D24" s="56" t="n">
        <v>411</v>
      </c>
      <c r="E24" s="56" t="n">
        <v>1494</v>
      </c>
      <c r="F24" s="56" t="n">
        <v>32073</v>
      </c>
      <c r="BG24" s="3"/>
      <c r="BH24" s="3"/>
      <c r="BI24" s="3"/>
      <c r="BJ24" s="3"/>
      <c r="BK24" s="3"/>
      <c r="BL24" s="3"/>
      <c r="BM24" s="3"/>
      <c r="BN24" s="3"/>
      <c r="BO24" s="3"/>
      <c r="BP24" s="3"/>
      <c r="BQ24" s="3"/>
    </row>
    <row r="25" customFormat="false" ht="23.85" hidden="false" customHeight="false" outlineLevel="0" collapsed="false">
      <c r="A25" s="57" t="str">
        <f aca="false">_xlfn.CONCAT($A$1, ".", CALC!A25)</f>
        <v>LSD.RID.0.AL.LFP.21</v>
      </c>
      <c r="B25" s="52" t="str">
        <f aca="false">CALC!C25</f>
        <v>Accommodation 
and Food Services</v>
      </c>
      <c r="C25" s="56" t="n">
        <v>197168</v>
      </c>
      <c r="D25" s="56" t="n">
        <v>2387</v>
      </c>
      <c r="E25" s="56" t="n">
        <v>8670</v>
      </c>
      <c r="F25" s="56" t="n">
        <v>186110</v>
      </c>
      <c r="BG25" s="3"/>
      <c r="BH25" s="3"/>
      <c r="BI25" s="3"/>
      <c r="BJ25" s="3"/>
      <c r="BK25" s="3"/>
      <c r="BL25" s="3"/>
      <c r="BM25" s="3"/>
      <c r="BN25" s="3"/>
      <c r="BO25" s="3"/>
      <c r="BP25" s="3"/>
      <c r="BQ25" s="3"/>
    </row>
    <row r="26" customFormat="false" ht="23.85" hidden="false" customHeight="false" outlineLevel="0" collapsed="false">
      <c r="A26" s="57" t="str">
        <f aca="false">_xlfn.CONCAT($A$1, ".", CALC!A26)</f>
        <v>LSD.RID.0.AL.LFP.22</v>
      </c>
      <c r="B26" s="52" t="str">
        <f aca="false">CALC!C26</f>
        <v>Other Services (except 
Public Administration)</v>
      </c>
      <c r="C26" s="56" t="n">
        <v>104892</v>
      </c>
      <c r="D26" s="56" t="n">
        <v>726</v>
      </c>
      <c r="E26" s="56" t="n">
        <v>2336</v>
      </c>
      <c r="F26" s="56" t="n">
        <v>101830</v>
      </c>
      <c r="BG26" s="3"/>
      <c r="BH26" s="3"/>
      <c r="BI26" s="3"/>
      <c r="BJ26" s="3"/>
      <c r="BK26" s="3"/>
      <c r="BL26" s="3"/>
      <c r="BM26" s="3"/>
      <c r="BN26" s="3"/>
      <c r="BO26" s="3"/>
      <c r="BP26" s="3"/>
      <c r="BQ26" s="3"/>
    </row>
    <row r="27" customFormat="false" ht="12.8" hidden="false" customHeight="false" outlineLevel="0" collapsed="false">
      <c r="A27" s="57" t="str">
        <f aca="false">_xlfn.CONCAT($A$1, ".", CALC!A27)</f>
        <v>LSD.RID.0.AL.LFP.23</v>
      </c>
      <c r="B27" s="42" t="str">
        <f aca="false">CALC!C27</f>
        <v>Public Administration</v>
      </c>
      <c r="C27" s="56" t="n">
        <v>446399</v>
      </c>
      <c r="D27" s="56" t="n">
        <v>3088</v>
      </c>
      <c r="E27" s="56" t="n">
        <v>1785</v>
      </c>
      <c r="F27" s="56" t="n">
        <v>441526</v>
      </c>
      <c r="BJ27" s="3"/>
      <c r="BK27" s="3"/>
      <c r="BL27" s="3"/>
      <c r="BM27" s="3"/>
      <c r="BN27" s="3"/>
      <c r="BO27" s="3"/>
      <c r="BP27" s="3"/>
      <c r="BQ27" s="3"/>
    </row>
    <row r="28" customFormat="false" ht="12.8" hidden="false" customHeight="false" outlineLevel="0" collapsed="false">
      <c r="B28" s="39"/>
      <c r="C28" s="39"/>
      <c r="BK28" s="3"/>
      <c r="BL28" s="3"/>
      <c r="BM28" s="3"/>
      <c r="BN28" s="3"/>
      <c r="BO28" s="3"/>
      <c r="BP28" s="3"/>
      <c r="BQ28" s="3"/>
    </row>
    <row r="29" customFormat="false" ht="12.8" hidden="false" customHeight="false" outlineLevel="0" collapsed="false">
      <c r="B29" s="39"/>
      <c r="C29" s="39"/>
      <c r="BK29" s="3"/>
      <c r="BL29" s="3"/>
      <c r="BM29" s="3"/>
      <c r="BN29" s="3"/>
      <c r="BO29" s="3"/>
      <c r="BP29" s="3"/>
      <c r="BQ29" s="3"/>
    </row>
    <row r="30" customFormat="false" ht="12.8" hidden="false" customHeight="false" outlineLevel="0" collapsed="false">
      <c r="B30" s="39"/>
      <c r="C30" s="39"/>
      <c r="BK30" s="3"/>
      <c r="BL30" s="3"/>
      <c r="BM30" s="3"/>
      <c r="BN30" s="3"/>
      <c r="BO30" s="3"/>
      <c r="BP30" s="3"/>
      <c r="BQ30" s="3"/>
    </row>
    <row r="31" customFormat="false" ht="12.8" hidden="false" customHeight="false" outlineLevel="0" collapsed="false">
      <c r="B31" s="39"/>
      <c r="C31" s="39"/>
    </row>
    <row r="35" customFormat="false" ht="12.8" hidden="false" customHeight="false" outlineLevel="1" collapsed="false">
      <c r="D35" s="62"/>
      <c r="E35" s="62"/>
      <c r="F35" s="62"/>
      <c r="G35" s="62"/>
    </row>
    <row r="36" customFormat="false" ht="12.8" hidden="false" customHeight="false" outlineLevel="1" collapsed="false"/>
    <row r="37" customFormat="false" ht="12.8" hidden="false" customHeight="false" outlineLevel="1" collapsed="false"/>
    <row r="38" customFormat="false" ht="12.8" hidden="false" customHeight="false" outlineLevel="1" collapsed="false"/>
    <row r="39" customFormat="false" ht="12.8" hidden="false" customHeight="false" outlineLevel="1" collapsed="false"/>
    <row r="40" customFormat="false" ht="12.8" hidden="false" customHeight="false" outlineLevel="1" collapsed="false"/>
    <row r="41" customFormat="false" ht="12.8" hidden="false" customHeight="false" outlineLevel="1" collapsed="false"/>
    <row r="42" customFormat="false" ht="12.8" hidden="false" customHeight="false" outlineLevel="1" collapsed="false"/>
    <row r="43" customFormat="false" ht="12.8" hidden="false" customHeight="false" outlineLevel="1" collapsed="false"/>
    <row r="44" customFormat="false" ht="12.8" hidden="false" customHeight="false" outlineLevel="1" collapsed="false"/>
    <row r="45" customFormat="false" ht="12.8" hidden="false" customHeight="false" outlineLevel="1" collapsed="false"/>
    <row r="46" customFormat="false" ht="12.8" hidden="false" customHeight="false" outlineLevel="1" collapsed="false"/>
    <row r="47" customFormat="false" ht="12.8" hidden="false" customHeight="false" outlineLevel="1" collapsed="false"/>
    <row r="48" customFormat="false" ht="12.8" hidden="false" customHeight="false" outlineLevel="1" collapsed="false"/>
    <row r="49" customFormat="false" ht="12.8" hidden="false" customHeight="false" outlineLevel="1" collapsed="false"/>
    <row r="50" customFormat="false" ht="12.8" hidden="false" customHeight="false" outlineLevel="1" collapsed="false"/>
    <row r="51" customFormat="false" ht="12.8" hidden="false" customHeight="false" outlineLevel="1" collapsed="false"/>
    <row r="52" customFormat="false" ht="12.8" hidden="false" customHeight="false" outlineLevel="1" collapsed="false"/>
    <row r="53" customFormat="false" ht="12.8" hidden="false" customHeight="false" outlineLevel="1" collapsed="false"/>
    <row r="54" customFormat="false" ht="12.8" hidden="false" customHeight="false" outlineLevel="1" collapsed="false"/>
    <row r="55" customFormat="false" ht="12.8" hidden="false" customHeight="false" outlineLevel="1" collapsed="false"/>
    <row r="56" customFormat="false" ht="12.8" hidden="false" customHeight="false" outlineLevel="1" collapsed="false"/>
    <row r="57" customFormat="false" ht="12.8" hidden="false" customHeight="false" outlineLevel="1" collapsed="false"/>
    <row r="58" customFormat="false" ht="12.8" hidden="false" customHeight="false" outlineLevel="1" collapsed="false"/>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35" customFormat="false" ht="12.8" hidden="false" customHeight="false" outlineLevel="0" collapsed="false">
      <c r="A135" s="57" t="str">
        <f aca="false">_xlfn.CONCAT($A$1, ".", "FORM")</f>
        <v>LSD.RID.0.AL.LFP.FORM</v>
      </c>
      <c r="B135" s="58" t="str">
        <f aca="false">_xlfn.CONCAT($B$1, " ", "Formulae")</f>
        <v>Alabama Labor Force Population Formulae</v>
      </c>
      <c r="C135" s="58"/>
    </row>
    <row r="136" customFormat="false" ht="12.8" hidden="false" customHeight="false" outlineLevel="0" collapsed="false">
      <c r="A136" s="49" t="s">
        <v>171</v>
      </c>
      <c r="B136" s="49" t="s">
        <v>172</v>
      </c>
      <c r="C136" s="49" t="s">
        <v>173</v>
      </c>
      <c r="D136" s="49" t="s">
        <v>174</v>
      </c>
      <c r="E136" s="49" t="s">
        <v>175</v>
      </c>
      <c r="F136" s="49" t="s">
        <v>176</v>
      </c>
      <c r="G136" s="49" t="s">
        <v>176</v>
      </c>
    </row>
    <row r="137" customFormat="false" ht="12.8" hidden="false" customHeight="false" outlineLevel="0" collapsed="false">
      <c r="A137" s="39" t="s">
        <v>471</v>
      </c>
      <c r="B137" s="39" t="s">
        <v>472</v>
      </c>
      <c r="C137" s="39" t="s">
        <v>473</v>
      </c>
      <c r="D137" s="39" t="s">
        <v>474</v>
      </c>
      <c r="E137" s="39" t="s">
        <v>475</v>
      </c>
      <c r="F137" s="39" t="s">
        <v>476</v>
      </c>
      <c r="G137" s="39" t="s">
        <v>477</v>
      </c>
    </row>
    <row r="138" customFormat="false" ht="12.8" hidden="false" customHeight="false" outlineLevel="0" collapsed="false">
      <c r="A138" s="39" t="s">
        <v>478</v>
      </c>
      <c r="B138" s="39" t="s">
        <v>479</v>
      </c>
      <c r="C138" s="39" t="s">
        <v>480</v>
      </c>
      <c r="D138" s="39" t="s">
        <v>481</v>
      </c>
      <c r="E138" s="39" t="s">
        <v>482</v>
      </c>
      <c r="F138" s="39" t="s">
        <v>483</v>
      </c>
      <c r="G138" s="39" t="s">
        <v>484</v>
      </c>
    </row>
    <row r="139" customFormat="false" ht="12.8" hidden="false" customHeight="false" outlineLevel="0" collapsed="false">
      <c r="A139" s="39" t="s">
        <v>485</v>
      </c>
      <c r="B139" s="39" t="s">
        <v>486</v>
      </c>
      <c r="C139" s="39" t="s">
        <v>487</v>
      </c>
      <c r="D139" s="39" t="s">
        <v>488</v>
      </c>
      <c r="E139" s="39" t="s">
        <v>489</v>
      </c>
      <c r="F139" s="39" t="s">
        <v>490</v>
      </c>
      <c r="G139" s="39" t="s">
        <v>491</v>
      </c>
    </row>
    <row r="140" customFormat="false" ht="12.8" hidden="false" customHeight="false" outlineLevel="0" collapsed="false">
      <c r="A140" s="39" t="s">
        <v>492</v>
      </c>
      <c r="B140" s="39" t="s">
        <v>493</v>
      </c>
      <c r="C140" s="39" t="s">
        <v>494</v>
      </c>
      <c r="D140" s="39" t="s">
        <v>495</v>
      </c>
      <c r="E140" s="39" t="s">
        <v>496</v>
      </c>
      <c r="F140" s="39" t="s">
        <v>497</v>
      </c>
      <c r="G140" s="39" t="s">
        <v>498</v>
      </c>
    </row>
    <row r="141" customFormat="false" ht="12.8" hidden="false" customHeight="false" outlineLevel="0" collapsed="false">
      <c r="A141" s="39" t="s">
        <v>499</v>
      </c>
      <c r="B141" s="39" t="s">
        <v>500</v>
      </c>
      <c r="C141" s="39" t="s">
        <v>501</v>
      </c>
      <c r="D141" s="39" t="s">
        <v>502</v>
      </c>
      <c r="E141" s="39" t="s">
        <v>503</v>
      </c>
      <c r="F141" s="39" t="s">
        <v>504</v>
      </c>
      <c r="G141" s="39" t="s">
        <v>505</v>
      </c>
    </row>
    <row r="142" customFormat="false" ht="12.8" hidden="false" customHeight="false" outlineLevel="0" collapsed="false">
      <c r="A142" s="39" t="s">
        <v>506</v>
      </c>
      <c r="B142" s="39" t="s">
        <v>507</v>
      </c>
      <c r="C142" s="39" t="s">
        <v>508</v>
      </c>
      <c r="D142" s="39" t="s">
        <v>509</v>
      </c>
      <c r="E142" s="39" t="s">
        <v>510</v>
      </c>
      <c r="F142" s="39" t="s">
        <v>511</v>
      </c>
      <c r="G142" s="39"/>
    </row>
    <row r="143" customFormat="false" ht="12.8" hidden="false" customHeight="false" outlineLevel="0" collapsed="false">
      <c r="A143" s="50"/>
      <c r="B143" s="63"/>
      <c r="C143" s="63"/>
      <c r="D143" s="39"/>
      <c r="E143" s="39"/>
      <c r="F143" s="39"/>
      <c r="G143" s="39"/>
    </row>
    <row r="144" customFormat="false" ht="12.8" hidden="false" customHeight="false" outlineLevel="0" collapsed="false">
      <c r="A144" s="57" t="str">
        <f aca="false">_xlfn.CONCAT($A$1, ".", "PARAM")</f>
        <v>LSD.RID.0.AL.LFP.PARAM</v>
      </c>
      <c r="B144" s="58" t="str">
        <f aca="false">_xlfn.CONCAT($B$1, " ", "Parameters")</f>
        <v>Alabama Labor Force Population Parameters</v>
      </c>
      <c r="C144" s="58"/>
    </row>
    <row r="145" customFormat="false" ht="12.8" hidden="false" customHeight="false" outlineLevel="0" collapsed="false">
      <c r="A145" s="49" t="s">
        <v>171</v>
      </c>
      <c r="B145" s="49" t="s">
        <v>173</v>
      </c>
      <c r="C145" s="49" t="s">
        <v>210</v>
      </c>
      <c r="D145" s="49" t="s">
        <v>175</v>
      </c>
      <c r="E145" s="49" t="s">
        <v>211</v>
      </c>
      <c r="F145" s="49" t="s">
        <v>212</v>
      </c>
      <c r="G145" s="49" t="s">
        <v>213</v>
      </c>
      <c r="H145" s="49" t="s">
        <v>213</v>
      </c>
    </row>
    <row r="146" customFormat="false" ht="12.8" hidden="false" customHeight="false" outlineLevel="0" collapsed="false">
      <c r="A146" s="39" t="s">
        <v>512</v>
      </c>
      <c r="B146" s="39" t="s">
        <v>513</v>
      </c>
      <c r="C146" s="39" t="n">
        <v>2385000</v>
      </c>
      <c r="D146" s="39" t="s">
        <v>514</v>
      </c>
      <c r="E146" s="39" t="s">
        <v>217</v>
      </c>
      <c r="F146" s="39" t="s">
        <v>294</v>
      </c>
      <c r="G146" s="51" t="s">
        <v>219</v>
      </c>
      <c r="H146" s="49"/>
    </row>
    <row r="147" customFormat="false" ht="12.8" hidden="false" customHeight="false" outlineLevel="0" collapsed="false">
      <c r="A147" s="39" t="s">
        <v>515</v>
      </c>
      <c r="B147" s="39" t="s">
        <v>516</v>
      </c>
      <c r="C147" s="39" t="n">
        <v>0.075</v>
      </c>
      <c r="D147" s="39" t="s">
        <v>517</v>
      </c>
      <c r="E147" s="39" t="s">
        <v>223</v>
      </c>
      <c r="F147" s="39" t="s">
        <v>518</v>
      </c>
      <c r="G147" s="51" t="s">
        <v>219</v>
      </c>
      <c r="H147" s="49"/>
    </row>
    <row r="148" customFormat="false" ht="12.8" hidden="false" customHeight="false" outlineLevel="0" collapsed="false">
      <c r="A148" s="39" t="s">
        <v>519</v>
      </c>
      <c r="B148" s="39" t="s">
        <v>520</v>
      </c>
      <c r="C148" s="39" t="n">
        <v>0.035</v>
      </c>
      <c r="D148" s="39" t="s">
        <v>521</v>
      </c>
      <c r="E148" s="39" t="s">
        <v>217</v>
      </c>
      <c r="F148" s="39" t="s">
        <v>522</v>
      </c>
      <c r="G148" s="51" t="s">
        <v>219</v>
      </c>
      <c r="H148" s="49"/>
    </row>
    <row r="149" customFormat="false" ht="12.8" hidden="false" customHeight="false" outlineLevel="0" collapsed="false">
      <c r="A149" s="39" t="s">
        <v>523</v>
      </c>
      <c r="B149" s="39" t="s">
        <v>524</v>
      </c>
      <c r="C149" s="39" t="n">
        <v>0.065</v>
      </c>
      <c r="D149" s="39" t="s">
        <v>525</v>
      </c>
      <c r="E149" s="39" t="s">
        <v>217</v>
      </c>
      <c r="F149" s="39" t="s">
        <v>526</v>
      </c>
      <c r="G149" s="51" t="s">
        <v>219</v>
      </c>
      <c r="H149" s="49"/>
    </row>
    <row r="150" customFormat="false" ht="12.8" hidden="false" customHeight="false" outlineLevel="0" collapsed="false">
      <c r="A150" s="39" t="s">
        <v>527</v>
      </c>
      <c r="B150" s="39" t="s">
        <v>528</v>
      </c>
      <c r="C150" s="39" t="n">
        <v>0.025</v>
      </c>
      <c r="D150" s="39" t="s">
        <v>529</v>
      </c>
      <c r="E150" s="39" t="s">
        <v>217</v>
      </c>
      <c r="F150" s="39" t="s">
        <v>530</v>
      </c>
      <c r="G150" s="51" t="s">
        <v>219</v>
      </c>
      <c r="H150" s="49"/>
    </row>
    <row r="151" customFormat="false" ht="12.8" hidden="false" customHeight="false" outlineLevel="0" collapsed="false">
      <c r="A151" s="39" t="s">
        <v>531</v>
      </c>
      <c r="B151" s="39" t="s">
        <v>532</v>
      </c>
      <c r="C151" s="39" t="n">
        <v>0.04</v>
      </c>
      <c r="D151" s="39" t="s">
        <v>533</v>
      </c>
      <c r="E151" s="39" t="s">
        <v>217</v>
      </c>
      <c r="F151" s="39" t="s">
        <v>530</v>
      </c>
      <c r="G151" s="51" t="s">
        <v>219</v>
      </c>
      <c r="H151" s="49"/>
    </row>
    <row r="152" customFormat="false" ht="12.8" hidden="false" customHeight="false" outlineLevel="0" collapsed="false">
      <c r="A152" s="39" t="s">
        <v>534</v>
      </c>
      <c r="B152" s="39" t="s">
        <v>535</v>
      </c>
      <c r="C152" s="39" t="n">
        <v>0.045</v>
      </c>
      <c r="D152" s="39" t="s">
        <v>536</v>
      </c>
      <c r="E152" s="39" t="s">
        <v>223</v>
      </c>
      <c r="F152" s="39" t="s">
        <v>537</v>
      </c>
      <c r="G152" s="51" t="s">
        <v>219</v>
      </c>
      <c r="H152" s="49"/>
    </row>
    <row r="153" customFormat="false" ht="12.8" hidden="false" customHeight="false" outlineLevel="0" collapsed="false">
      <c r="A153" s="39" t="s">
        <v>538</v>
      </c>
      <c r="B153" s="39" t="s">
        <v>539</v>
      </c>
      <c r="C153" s="39" t="n">
        <v>0.02</v>
      </c>
      <c r="D153" s="39" t="s">
        <v>540</v>
      </c>
      <c r="E153" s="39" t="s">
        <v>217</v>
      </c>
      <c r="F153" s="39" t="s">
        <v>530</v>
      </c>
      <c r="G153" s="51" t="s">
        <v>219</v>
      </c>
      <c r="H153" s="49"/>
    </row>
    <row r="154" customFormat="false" ht="12.8" hidden="false" customHeight="false" outlineLevel="0" collapsed="false">
      <c r="A154" s="39" t="s">
        <v>541</v>
      </c>
      <c r="B154" s="39" t="s">
        <v>542</v>
      </c>
      <c r="C154" s="39" t="n">
        <v>0.055</v>
      </c>
      <c r="D154" s="39" t="s">
        <v>543</v>
      </c>
      <c r="E154" s="39" t="s">
        <v>217</v>
      </c>
      <c r="F154" s="39" t="s">
        <v>530</v>
      </c>
      <c r="G154" s="51" t="s">
        <v>219</v>
      </c>
      <c r="H154" s="49"/>
    </row>
    <row r="155" customFormat="false" ht="12.8" hidden="false" customHeight="false" outlineLevel="0" collapsed="false">
      <c r="A155" s="39" t="s">
        <v>544</v>
      </c>
      <c r="B155" s="39" t="s">
        <v>545</v>
      </c>
      <c r="C155" s="39" t="n">
        <v>0.03</v>
      </c>
      <c r="D155" s="39" t="s">
        <v>546</v>
      </c>
      <c r="E155" s="39" t="s">
        <v>217</v>
      </c>
      <c r="F155" s="39" t="s">
        <v>530</v>
      </c>
      <c r="G155" s="51" t="s">
        <v>219</v>
      </c>
      <c r="H155" s="49"/>
    </row>
    <row r="156" customFormat="false" ht="12.8" hidden="false" customHeight="false" outlineLevel="0" collapsed="false">
      <c r="A156" s="39" t="s">
        <v>547</v>
      </c>
      <c r="B156" s="39" t="s">
        <v>548</v>
      </c>
      <c r="C156" s="39" t="n">
        <v>0.06</v>
      </c>
      <c r="D156" s="39" t="s">
        <v>549</v>
      </c>
      <c r="E156" s="39" t="s">
        <v>217</v>
      </c>
      <c r="F156" s="39" t="s">
        <v>530</v>
      </c>
      <c r="G156" s="51" t="s">
        <v>219</v>
      </c>
      <c r="H156" s="49"/>
    </row>
    <row r="157" customFormat="false" ht="12.8" hidden="false" customHeight="false" outlineLevel="0" collapsed="false">
      <c r="A157" s="39" t="s">
        <v>550</v>
      </c>
      <c r="B157" s="39" t="s">
        <v>551</v>
      </c>
      <c r="C157" s="39" t="n">
        <v>0.05</v>
      </c>
      <c r="D157" s="39" t="s">
        <v>552</v>
      </c>
      <c r="E157" s="39" t="s">
        <v>223</v>
      </c>
      <c r="F157" s="39" t="s">
        <v>537</v>
      </c>
      <c r="G157" s="51" t="s">
        <v>219</v>
      </c>
      <c r="H157" s="49"/>
    </row>
    <row r="158" customFormat="false" ht="12.8" hidden="false" customHeight="false" outlineLevel="0" collapsed="false">
      <c r="A158" s="39" t="s">
        <v>553</v>
      </c>
      <c r="B158" s="39" t="s">
        <v>554</v>
      </c>
      <c r="C158" s="39" t="n">
        <v>0.015</v>
      </c>
      <c r="D158" s="39" t="s">
        <v>555</v>
      </c>
      <c r="E158" s="39" t="s">
        <v>217</v>
      </c>
      <c r="F158" s="39" t="s">
        <v>530</v>
      </c>
      <c r="G158" s="51" t="s">
        <v>219</v>
      </c>
      <c r="H158" s="49"/>
    </row>
    <row r="159" customFormat="false" ht="12.8" hidden="false" customHeight="false" outlineLevel="0" collapsed="false">
      <c r="A159" s="39" t="s">
        <v>556</v>
      </c>
      <c r="B159" s="39" t="s">
        <v>557</v>
      </c>
      <c r="C159" s="39" t="n">
        <v>0.94</v>
      </c>
      <c r="D159" s="39" t="s">
        <v>558</v>
      </c>
      <c r="E159" s="39" t="s">
        <v>223</v>
      </c>
      <c r="F159" s="39" t="s">
        <v>559</v>
      </c>
      <c r="G159" s="51" t="s">
        <v>219</v>
      </c>
      <c r="H159" s="49"/>
    </row>
    <row r="160" customFormat="false" ht="12.8" hidden="false" customHeight="false" outlineLevel="0" collapsed="false">
      <c r="A160" s="39" t="s">
        <v>560</v>
      </c>
      <c r="B160" s="39" t="s">
        <v>561</v>
      </c>
      <c r="C160" s="39" t="n">
        <v>1.06</v>
      </c>
      <c r="D160" s="39" t="s">
        <v>562</v>
      </c>
      <c r="E160" s="39" t="s">
        <v>223</v>
      </c>
      <c r="F160" s="39" t="s">
        <v>563</v>
      </c>
      <c r="G160" s="51" t="s">
        <v>219</v>
      </c>
      <c r="H160" s="49"/>
    </row>
    <row r="161" customFormat="false" ht="12.8" hidden="false" customHeight="false" outlineLevel="0" collapsed="false">
      <c r="A161" s="39" t="s">
        <v>564</v>
      </c>
      <c r="B161" s="39" t="s">
        <v>565</v>
      </c>
      <c r="C161" s="39" t="n">
        <v>0.92</v>
      </c>
      <c r="D161" s="39" t="s">
        <v>566</v>
      </c>
      <c r="E161" s="39" t="s">
        <v>217</v>
      </c>
      <c r="F161" s="39" t="s">
        <v>567</v>
      </c>
      <c r="G161" s="51" t="s">
        <v>219</v>
      </c>
      <c r="H161" s="49"/>
    </row>
    <row r="162" customFormat="false" ht="12.8" hidden="false" customHeight="false" outlineLevel="0" collapsed="false">
      <c r="A162" s="39" t="s">
        <v>568</v>
      </c>
      <c r="B162" s="39" t="s">
        <v>569</v>
      </c>
      <c r="C162" s="39" t="n">
        <v>0.75</v>
      </c>
      <c r="D162" s="39" t="s">
        <v>570</v>
      </c>
      <c r="E162" s="39" t="s">
        <v>223</v>
      </c>
      <c r="F162" s="39" t="s">
        <v>270</v>
      </c>
      <c r="G162" s="51" t="s">
        <v>219</v>
      </c>
      <c r="H162" s="49"/>
    </row>
    <row r="163" customFormat="false" ht="12.8" hidden="false" customHeight="false" outlineLevel="0" collapsed="false">
      <c r="A163" s="39" t="s">
        <v>571</v>
      </c>
      <c r="B163" s="39" t="s">
        <v>572</v>
      </c>
      <c r="C163" s="39" t="n">
        <v>0.65</v>
      </c>
      <c r="D163" s="39" t="s">
        <v>573</v>
      </c>
      <c r="E163" s="39" t="s">
        <v>223</v>
      </c>
      <c r="F163" s="39" t="s">
        <v>270</v>
      </c>
      <c r="G163" s="51" t="s">
        <v>219</v>
      </c>
      <c r="H163" s="49"/>
    </row>
    <row r="164" customFormat="false" ht="12.8" hidden="false" customHeight="false" outlineLevel="0" collapsed="false">
      <c r="A164" s="39" t="s">
        <v>574</v>
      </c>
      <c r="B164" s="39" t="s">
        <v>575</v>
      </c>
      <c r="C164" s="39" t="n">
        <v>0.005</v>
      </c>
      <c r="D164" s="39" t="s">
        <v>576</v>
      </c>
      <c r="E164" s="39" t="s">
        <v>223</v>
      </c>
      <c r="F164" s="39" t="s">
        <v>577</v>
      </c>
      <c r="G164" s="51" t="s">
        <v>219</v>
      </c>
      <c r="H164" s="49"/>
    </row>
    <row r="165" customFormat="false" ht="12.8" hidden="false" customHeight="false" outlineLevel="0" collapsed="false">
      <c r="A165" s="39" t="s">
        <v>578</v>
      </c>
      <c r="B165" s="39" t="s">
        <v>579</v>
      </c>
      <c r="C165" s="39" t="n">
        <v>0.145</v>
      </c>
      <c r="D165" s="39" t="s">
        <v>580</v>
      </c>
      <c r="E165" s="39" t="s">
        <v>223</v>
      </c>
      <c r="F165" s="39" t="s">
        <v>581</v>
      </c>
      <c r="G165" s="51" t="s">
        <v>219</v>
      </c>
      <c r="H165" s="49"/>
    </row>
    <row r="166" customFormat="false" ht="12.8" hidden="false" customHeight="false" outlineLevel="0" collapsed="false">
      <c r="A166" s="39" t="s">
        <v>582</v>
      </c>
      <c r="B166" s="39" t="s">
        <v>583</v>
      </c>
      <c r="C166" s="39" t="n">
        <v>0.072</v>
      </c>
      <c r="D166" s="39" t="s">
        <v>584</v>
      </c>
      <c r="E166" s="39" t="s">
        <v>223</v>
      </c>
      <c r="F166" s="39" t="s">
        <v>577</v>
      </c>
      <c r="G166" s="51" t="s">
        <v>219</v>
      </c>
      <c r="H166" s="49"/>
    </row>
    <row r="167" customFormat="false" ht="12.8" hidden="false" customHeight="false" outlineLevel="0" collapsed="false">
      <c r="A167" s="39" t="s">
        <v>585</v>
      </c>
      <c r="B167" s="39" t="s">
        <v>586</v>
      </c>
      <c r="C167" s="39" t="n">
        <v>0.037</v>
      </c>
      <c r="D167" s="39" t="s">
        <v>587</v>
      </c>
      <c r="E167" s="39" t="s">
        <v>223</v>
      </c>
      <c r="F167" s="39" t="s">
        <v>581</v>
      </c>
      <c r="G167" s="51" t="s">
        <v>219</v>
      </c>
      <c r="H167" s="49"/>
    </row>
    <row r="168" customFormat="false" ht="12.8" hidden="false" customHeight="false" outlineLevel="0" collapsed="false">
      <c r="A168" s="39" t="s">
        <v>588</v>
      </c>
      <c r="B168" s="39" t="s">
        <v>589</v>
      </c>
      <c r="C168" s="39" t="n">
        <v>0.014</v>
      </c>
      <c r="D168" s="39" t="s">
        <v>590</v>
      </c>
      <c r="E168" s="39" t="s">
        <v>223</v>
      </c>
      <c r="F168" s="39" t="s">
        <v>577</v>
      </c>
      <c r="G168" s="51" t="s">
        <v>219</v>
      </c>
      <c r="H168" s="49"/>
    </row>
    <row r="169" customFormat="false" ht="12.8" hidden="false" customHeight="false" outlineLevel="0" collapsed="false">
      <c r="A169" s="39" t="s">
        <v>591</v>
      </c>
      <c r="B169" s="39" t="s">
        <v>592</v>
      </c>
      <c r="C169" s="39" t="n">
        <v>0.04</v>
      </c>
      <c r="D169" s="39" t="s">
        <v>593</v>
      </c>
      <c r="E169" s="39" t="s">
        <v>223</v>
      </c>
      <c r="F169" s="39" t="s">
        <v>581</v>
      </c>
      <c r="G169" s="51" t="s">
        <v>219</v>
      </c>
      <c r="H169" s="49"/>
    </row>
    <row r="170" customFormat="false" ht="12.8" hidden="false" customHeight="false" outlineLevel="0" collapsed="false">
      <c r="A170" s="39" t="s">
        <v>594</v>
      </c>
      <c r="B170" s="39" t="s">
        <v>595</v>
      </c>
      <c r="C170" s="39" t="n">
        <v>0.034</v>
      </c>
      <c r="D170" s="39" t="s">
        <v>596</v>
      </c>
      <c r="E170" s="39" t="s">
        <v>223</v>
      </c>
      <c r="F170" s="39" t="s">
        <v>577</v>
      </c>
      <c r="G170" s="51" t="s">
        <v>219</v>
      </c>
      <c r="H170" s="49"/>
    </row>
    <row r="171" customFormat="false" ht="12.8" hidden="false" customHeight="false" outlineLevel="0" collapsed="false">
      <c r="A171" s="39" t="s">
        <v>597</v>
      </c>
      <c r="B171" s="39" t="s">
        <v>598</v>
      </c>
      <c r="C171" s="39" t="n">
        <v>0.102</v>
      </c>
      <c r="D171" s="39" t="s">
        <v>599</v>
      </c>
      <c r="E171" s="39" t="s">
        <v>223</v>
      </c>
      <c r="F171" s="39" t="s">
        <v>581</v>
      </c>
      <c r="G171" s="51" t="s">
        <v>219</v>
      </c>
      <c r="H171" s="49"/>
    </row>
    <row r="172" customFormat="false" ht="12.8" hidden="false" customHeight="false" outlineLevel="0" collapsed="false">
      <c r="A172" s="39" t="s">
        <v>600</v>
      </c>
      <c r="B172" s="39" t="s">
        <v>601</v>
      </c>
      <c r="C172" s="39" t="n">
        <v>0.021</v>
      </c>
      <c r="D172" s="39" t="s">
        <v>602</v>
      </c>
      <c r="E172" s="39" t="s">
        <v>223</v>
      </c>
      <c r="F172" s="39" t="s">
        <v>577</v>
      </c>
      <c r="G172" s="51" t="s">
        <v>219</v>
      </c>
      <c r="H172" s="49"/>
    </row>
    <row r="173" customFormat="false" ht="12.8" hidden="false" customHeight="false" outlineLevel="0" collapsed="false">
      <c r="A173" s="39" t="s">
        <v>603</v>
      </c>
      <c r="B173" s="39" t="s">
        <v>604</v>
      </c>
      <c r="C173" s="39" t="n">
        <v>0.039</v>
      </c>
      <c r="D173" s="39" t="s">
        <v>605</v>
      </c>
      <c r="E173" s="39" t="s">
        <v>223</v>
      </c>
      <c r="F173" s="39" t="s">
        <v>581</v>
      </c>
      <c r="G173" s="51" t="s">
        <v>219</v>
      </c>
      <c r="H173" s="49"/>
    </row>
    <row r="174" customFormat="false" ht="12.8" hidden="false" customHeight="false" outlineLevel="0" collapsed="false">
      <c r="A174" s="39" t="s">
        <v>606</v>
      </c>
      <c r="B174" s="39" t="s">
        <v>607</v>
      </c>
      <c r="C174" s="39" t="n">
        <v>0.021</v>
      </c>
      <c r="D174" s="39" t="s">
        <v>608</v>
      </c>
      <c r="E174" s="39" t="s">
        <v>223</v>
      </c>
      <c r="F174" s="39" t="s">
        <v>577</v>
      </c>
      <c r="G174" s="51" t="s">
        <v>219</v>
      </c>
      <c r="H174" s="49"/>
    </row>
    <row r="175" customFormat="false" ht="12.8" hidden="false" customHeight="false" outlineLevel="0" collapsed="false">
      <c r="A175" s="39" t="s">
        <v>609</v>
      </c>
      <c r="B175" s="39" t="s">
        <v>610</v>
      </c>
      <c r="C175" s="39" t="n">
        <v>0.014</v>
      </c>
      <c r="D175" s="39" t="s">
        <v>611</v>
      </c>
      <c r="E175" s="39" t="s">
        <v>223</v>
      </c>
      <c r="F175" s="39" t="s">
        <v>581</v>
      </c>
      <c r="G175" s="51" t="s">
        <v>219</v>
      </c>
      <c r="H175" s="49"/>
    </row>
    <row r="176" customFormat="false" ht="12.8" hidden="false" customHeight="false" outlineLevel="0" collapsed="false">
      <c r="A176" s="39" t="s">
        <v>612</v>
      </c>
      <c r="B176" s="39" t="s">
        <v>613</v>
      </c>
      <c r="C176" s="39" t="n">
        <v>0.028</v>
      </c>
      <c r="D176" s="39" t="s">
        <v>614</v>
      </c>
      <c r="E176" s="39" t="s">
        <v>223</v>
      </c>
      <c r="F176" s="39" t="s">
        <v>577</v>
      </c>
      <c r="G176" s="51" t="s">
        <v>219</v>
      </c>
      <c r="H176" s="49"/>
    </row>
    <row r="177" customFormat="false" ht="12.8" hidden="false" customHeight="false" outlineLevel="0" collapsed="false">
      <c r="A177" s="39" t="s">
        <v>615</v>
      </c>
      <c r="B177" s="39" t="s">
        <v>616</v>
      </c>
      <c r="C177" s="39" t="n">
        <v>0.014</v>
      </c>
      <c r="D177" s="39" t="s">
        <v>617</v>
      </c>
      <c r="E177" s="39" t="s">
        <v>223</v>
      </c>
      <c r="F177" s="39" t="s">
        <v>581</v>
      </c>
      <c r="G177" s="51" t="s">
        <v>219</v>
      </c>
      <c r="H177" s="49"/>
    </row>
    <row r="178" customFormat="false" ht="12.8" hidden="false" customHeight="false" outlineLevel="0" collapsed="false">
      <c r="A178" s="39" t="s">
        <v>618</v>
      </c>
      <c r="B178" s="39" t="s">
        <v>619</v>
      </c>
      <c r="C178" s="39" t="n">
        <v>0.021</v>
      </c>
      <c r="D178" s="39" t="s">
        <v>620</v>
      </c>
      <c r="E178" s="39" t="s">
        <v>223</v>
      </c>
      <c r="F178" s="39" t="s">
        <v>577</v>
      </c>
      <c r="G178" s="51" t="s">
        <v>219</v>
      </c>
      <c r="H178" s="49"/>
    </row>
    <row r="179" customFormat="false" ht="12.8" hidden="false" customHeight="false" outlineLevel="0" collapsed="false">
      <c r="A179" s="39" t="s">
        <v>621</v>
      </c>
      <c r="B179" s="39" t="s">
        <v>622</v>
      </c>
      <c r="C179" s="39" t="n">
        <v>0.026</v>
      </c>
      <c r="D179" s="39" t="s">
        <v>623</v>
      </c>
      <c r="E179" s="39" t="s">
        <v>223</v>
      </c>
      <c r="F179" s="39" t="s">
        <v>581</v>
      </c>
      <c r="G179" s="51" t="s">
        <v>219</v>
      </c>
      <c r="H179" s="49"/>
    </row>
    <row r="180" customFormat="false" ht="12.8" hidden="false" customHeight="false" outlineLevel="0" collapsed="false">
      <c r="A180" s="39" t="s">
        <v>624</v>
      </c>
      <c r="B180" s="39" t="s">
        <v>625</v>
      </c>
      <c r="C180" s="39" t="n">
        <v>0.068</v>
      </c>
      <c r="D180" s="39" t="s">
        <v>626</v>
      </c>
      <c r="E180" s="39" t="s">
        <v>223</v>
      </c>
      <c r="F180" s="39" t="s">
        <v>577</v>
      </c>
      <c r="G180" s="51" t="s">
        <v>219</v>
      </c>
      <c r="H180" s="49"/>
    </row>
    <row r="181" customFormat="false" ht="12.8" hidden="false" customHeight="false" outlineLevel="0" collapsed="false">
      <c r="A181" s="39" t="s">
        <v>627</v>
      </c>
      <c r="B181" s="39" t="s">
        <v>628</v>
      </c>
      <c r="C181" s="39" t="n">
        <v>0.026</v>
      </c>
      <c r="D181" s="39" t="s">
        <v>629</v>
      </c>
      <c r="E181" s="39" t="s">
        <v>223</v>
      </c>
      <c r="F181" s="39" t="s">
        <v>581</v>
      </c>
      <c r="G181" s="51" t="s">
        <v>219</v>
      </c>
      <c r="H181" s="49"/>
    </row>
    <row r="182" customFormat="false" ht="12.8" hidden="false" customHeight="false" outlineLevel="0" collapsed="false">
      <c r="A182" s="39" t="s">
        <v>630</v>
      </c>
      <c r="B182" s="39" t="s">
        <v>631</v>
      </c>
      <c r="C182" s="39" t="n">
        <v>0.014</v>
      </c>
      <c r="D182" s="39" t="s">
        <v>632</v>
      </c>
      <c r="E182" s="39" t="s">
        <v>223</v>
      </c>
      <c r="F182" s="39" t="s">
        <v>577</v>
      </c>
      <c r="G182" s="51" t="s">
        <v>219</v>
      </c>
      <c r="H182" s="49"/>
    </row>
    <row r="183" customFormat="false" ht="12.8" hidden="false" customHeight="false" outlineLevel="0" collapsed="false">
      <c r="A183" s="39" t="s">
        <v>633</v>
      </c>
      <c r="B183" s="39" t="s">
        <v>634</v>
      </c>
      <c r="C183" s="39" t="n">
        <v>0.077</v>
      </c>
      <c r="D183" s="39" t="s">
        <v>635</v>
      </c>
      <c r="E183" s="39" t="s">
        <v>223</v>
      </c>
      <c r="F183" s="39" t="s">
        <v>581</v>
      </c>
      <c r="G183" s="51" t="s">
        <v>219</v>
      </c>
      <c r="H183" s="49"/>
    </row>
    <row r="184" customFormat="false" ht="12.8" hidden="false" customHeight="false" outlineLevel="0" collapsed="false">
      <c r="A184" s="39" t="s">
        <v>636</v>
      </c>
      <c r="B184" s="39" t="s">
        <v>637</v>
      </c>
      <c r="C184" s="39" t="n">
        <v>0.008</v>
      </c>
      <c r="D184" s="39" t="s">
        <v>638</v>
      </c>
      <c r="E184" s="39" t="s">
        <v>223</v>
      </c>
      <c r="F184" s="39" t="s">
        <v>577</v>
      </c>
      <c r="G184" s="51" t="s">
        <v>219</v>
      </c>
      <c r="H184" s="49"/>
    </row>
    <row r="185" customFormat="false" ht="12.8" hidden="false" customHeight="false" outlineLevel="0" collapsed="false">
      <c r="A185" s="39" t="s">
        <v>639</v>
      </c>
      <c r="B185" s="39" t="s">
        <v>640</v>
      </c>
      <c r="C185" s="39" t="n">
        <v>0.039</v>
      </c>
      <c r="D185" s="39" t="s">
        <v>641</v>
      </c>
      <c r="E185" s="39" t="s">
        <v>223</v>
      </c>
      <c r="F185" s="39" t="s">
        <v>581</v>
      </c>
      <c r="G185" s="51" t="s">
        <v>219</v>
      </c>
      <c r="H185" s="49"/>
    </row>
    <row r="186" customFormat="false" ht="12.8" hidden="false" customHeight="false" outlineLevel="0" collapsed="false">
      <c r="A186" s="39" t="s">
        <v>642</v>
      </c>
      <c r="B186" s="39" t="s">
        <v>643</v>
      </c>
      <c r="C186" s="39" t="n">
        <v>0.008</v>
      </c>
      <c r="D186" s="39" t="s">
        <v>644</v>
      </c>
      <c r="E186" s="39" t="s">
        <v>223</v>
      </c>
      <c r="F186" s="39" t="s">
        <v>577</v>
      </c>
      <c r="G186" s="51" t="s">
        <v>219</v>
      </c>
      <c r="H186" s="49"/>
    </row>
    <row r="187" customFormat="false" ht="12.8" hidden="false" customHeight="false" outlineLevel="0" collapsed="false">
      <c r="A187" s="39" t="s">
        <v>645</v>
      </c>
      <c r="B187" s="39" t="s">
        <v>646</v>
      </c>
      <c r="C187" s="39" t="n">
        <v>0.007</v>
      </c>
      <c r="D187" s="39" t="s">
        <v>647</v>
      </c>
      <c r="E187" s="39" t="s">
        <v>223</v>
      </c>
      <c r="F187" s="39" t="s">
        <v>581</v>
      </c>
      <c r="G187" s="51" t="s">
        <v>219</v>
      </c>
      <c r="H187" s="49"/>
    </row>
    <row r="188" customFormat="false" ht="12.8" hidden="false" customHeight="false" outlineLevel="0" collapsed="false">
      <c r="A188" s="39" t="s">
        <v>648</v>
      </c>
      <c r="B188" s="39" t="s">
        <v>649</v>
      </c>
      <c r="C188" s="39" t="n">
        <v>0.02</v>
      </c>
      <c r="D188" s="39" t="s">
        <v>650</v>
      </c>
      <c r="E188" s="39" t="s">
        <v>285</v>
      </c>
      <c r="F188" s="39" t="s">
        <v>651</v>
      </c>
      <c r="G188" s="51" t="s">
        <v>219</v>
      </c>
      <c r="H188" s="49"/>
    </row>
    <row r="189" customFormat="false" ht="12.8" hidden="false" customHeight="false" outlineLevel="0" collapsed="false">
      <c r="A189" s="39" t="s">
        <v>652</v>
      </c>
      <c r="B189" s="39" t="s">
        <v>653</v>
      </c>
      <c r="C189" s="39" t="n">
        <v>0.018</v>
      </c>
      <c r="D189" s="39" t="s">
        <v>654</v>
      </c>
      <c r="E189" s="39" t="s">
        <v>223</v>
      </c>
      <c r="F189" s="39" t="s">
        <v>655</v>
      </c>
      <c r="G189" s="51" t="s">
        <v>219</v>
      </c>
      <c r="H189" s="49"/>
    </row>
    <row r="190" customFormat="false" ht="12.8" hidden="false" customHeight="false" outlineLevel="0" collapsed="false">
      <c r="A190" s="39" t="s">
        <v>656</v>
      </c>
      <c r="B190" s="39" t="s">
        <v>657</v>
      </c>
      <c r="C190" s="39" t="n">
        <v>0.012</v>
      </c>
      <c r="D190" s="39" t="s">
        <v>658</v>
      </c>
      <c r="E190" s="39" t="s">
        <v>217</v>
      </c>
      <c r="F190" s="39" t="s">
        <v>659</v>
      </c>
      <c r="G190" s="51" t="s">
        <v>219</v>
      </c>
      <c r="H190" s="49"/>
    </row>
    <row r="191" customFormat="false" ht="12.8" hidden="false" customHeight="false" outlineLevel="0" collapsed="false">
      <c r="A191" s="39" t="s">
        <v>660</v>
      </c>
      <c r="B191" s="39" t="s">
        <v>661</v>
      </c>
      <c r="C191" s="39" t="n">
        <v>0.028</v>
      </c>
      <c r="D191" s="39" t="s">
        <v>662</v>
      </c>
      <c r="E191" s="39" t="s">
        <v>217</v>
      </c>
      <c r="F191" s="39" t="s">
        <v>663</v>
      </c>
      <c r="G191" s="51" t="s">
        <v>219</v>
      </c>
      <c r="H191" s="49"/>
    </row>
    <row r="192" customFormat="false" ht="12.8" hidden="false" customHeight="false" outlineLevel="0" collapsed="false">
      <c r="A192" s="39" t="s">
        <v>664</v>
      </c>
      <c r="B192" s="39" t="s">
        <v>665</v>
      </c>
      <c r="C192" s="39" t="n">
        <v>0.017</v>
      </c>
      <c r="D192" s="39" t="s">
        <v>666</v>
      </c>
      <c r="E192" s="39" t="s">
        <v>223</v>
      </c>
      <c r="F192" s="39" t="s">
        <v>667</v>
      </c>
      <c r="G192" s="51" t="s">
        <v>219</v>
      </c>
      <c r="H192" s="49"/>
    </row>
    <row r="193" customFormat="false" ht="12.8" hidden="false" customHeight="false" outlineLevel="0" collapsed="false">
      <c r="A193" s="39" t="s">
        <v>668</v>
      </c>
      <c r="B193" s="39" t="s">
        <v>669</v>
      </c>
      <c r="C193" s="39" t="n">
        <v>0.019</v>
      </c>
      <c r="D193" s="39" t="s">
        <v>670</v>
      </c>
      <c r="E193" s="39" t="s">
        <v>223</v>
      </c>
      <c r="F193" s="39" t="s">
        <v>667</v>
      </c>
      <c r="G193" s="51" t="s">
        <v>219</v>
      </c>
      <c r="H193" s="49"/>
    </row>
    <row r="194" customFormat="false" ht="12.8" hidden="false" customHeight="false" outlineLevel="0" collapsed="false">
      <c r="A194" s="39" t="s">
        <v>671</v>
      </c>
      <c r="B194" s="39" t="s">
        <v>672</v>
      </c>
      <c r="C194" s="39" t="n">
        <v>0.015</v>
      </c>
      <c r="D194" s="39" t="s">
        <v>673</v>
      </c>
      <c r="E194" s="39" t="s">
        <v>217</v>
      </c>
      <c r="F194" s="39" t="s">
        <v>667</v>
      </c>
      <c r="G194" s="51" t="s">
        <v>219</v>
      </c>
      <c r="H194" s="49"/>
    </row>
    <row r="195" customFormat="false" ht="12.8" hidden="false" customHeight="false" outlineLevel="0" collapsed="false">
      <c r="A195" s="39" t="s">
        <v>674</v>
      </c>
      <c r="B195" s="39" t="s">
        <v>675</v>
      </c>
      <c r="C195" s="39" t="n">
        <v>0.014</v>
      </c>
      <c r="D195" s="39" t="s">
        <v>676</v>
      </c>
      <c r="E195" s="39" t="s">
        <v>217</v>
      </c>
      <c r="F195" s="39" t="s">
        <v>677</v>
      </c>
      <c r="G195" s="51" t="s">
        <v>219</v>
      </c>
      <c r="H195" s="49"/>
    </row>
    <row r="196" customFormat="false" ht="12.8" hidden="false" customHeight="false" outlineLevel="0" collapsed="false">
      <c r="A196" s="39" t="s">
        <v>678</v>
      </c>
      <c r="B196" s="39" t="s">
        <v>679</v>
      </c>
      <c r="C196" s="39" t="n">
        <v>0.022</v>
      </c>
      <c r="D196" s="39" t="s">
        <v>680</v>
      </c>
      <c r="E196" s="39" t="s">
        <v>223</v>
      </c>
      <c r="F196" s="39" t="s">
        <v>681</v>
      </c>
      <c r="G196" s="51" t="s">
        <v>219</v>
      </c>
      <c r="H196" s="49"/>
    </row>
    <row r="197" customFormat="false" ht="12.8" hidden="false" customHeight="false" outlineLevel="0" collapsed="false">
      <c r="A197" s="39" t="s">
        <v>682</v>
      </c>
      <c r="B197" s="39" t="s">
        <v>683</v>
      </c>
      <c r="C197" s="39" t="n">
        <v>0.025</v>
      </c>
      <c r="D197" s="39" t="s">
        <v>684</v>
      </c>
      <c r="E197" s="39" t="s">
        <v>223</v>
      </c>
      <c r="F197" s="39" t="s">
        <v>681</v>
      </c>
      <c r="G197" s="51" t="s">
        <v>219</v>
      </c>
      <c r="H197" s="49"/>
    </row>
    <row r="198" customFormat="false" ht="12.8" hidden="false" customHeight="false" outlineLevel="0" collapsed="false">
      <c r="A198" s="39" t="s">
        <v>685</v>
      </c>
      <c r="B198" s="39" t="s">
        <v>686</v>
      </c>
      <c r="C198" s="39" t="n">
        <v>0.02</v>
      </c>
      <c r="D198" s="39" t="s">
        <v>687</v>
      </c>
      <c r="E198" s="39" t="s">
        <v>223</v>
      </c>
      <c r="F198" s="39" t="s">
        <v>688</v>
      </c>
      <c r="G198" s="51" t="s">
        <v>219</v>
      </c>
      <c r="H198" s="49"/>
    </row>
    <row r="199" customFormat="false" ht="12.8" hidden="false" customHeight="false" outlineLevel="0" collapsed="false">
      <c r="A199" s="39" t="s">
        <v>689</v>
      </c>
      <c r="B199" s="39" t="s">
        <v>690</v>
      </c>
      <c r="C199" s="39" t="n">
        <v>0.026</v>
      </c>
      <c r="D199" s="39" t="s">
        <v>691</v>
      </c>
      <c r="E199" s="39" t="s">
        <v>223</v>
      </c>
      <c r="F199" s="39" t="s">
        <v>692</v>
      </c>
      <c r="G199" s="51" t="s">
        <v>219</v>
      </c>
      <c r="H199" s="49"/>
    </row>
    <row r="200" customFormat="false" ht="12.8" hidden="false" customHeight="false" outlineLevel="0" collapsed="false">
      <c r="A200" s="39" t="s">
        <v>693</v>
      </c>
      <c r="B200" s="39" t="s">
        <v>694</v>
      </c>
      <c r="C200" s="39" t="n">
        <v>0.016</v>
      </c>
      <c r="D200" s="39" t="s">
        <v>695</v>
      </c>
      <c r="E200" s="39" t="s">
        <v>285</v>
      </c>
      <c r="F200" s="39" t="s">
        <v>696</v>
      </c>
      <c r="G200" s="51" t="s">
        <v>219</v>
      </c>
      <c r="H200" s="49"/>
    </row>
    <row r="201" customFormat="false" ht="12.8" hidden="false" customHeight="false" outlineLevel="0" collapsed="false">
      <c r="A201" s="39" t="s">
        <v>697</v>
      </c>
      <c r="B201" s="39" t="s">
        <v>698</v>
      </c>
      <c r="C201" s="39" t="n">
        <v>0.011</v>
      </c>
      <c r="D201" s="39" t="s">
        <v>699</v>
      </c>
      <c r="E201" s="39" t="s">
        <v>217</v>
      </c>
      <c r="F201" s="39" t="s">
        <v>700</v>
      </c>
      <c r="G201" s="51" t="s">
        <v>219</v>
      </c>
      <c r="H201" s="49"/>
    </row>
    <row r="202" customFormat="false" ht="12.8" hidden="false" customHeight="false" outlineLevel="0" collapsed="false">
      <c r="A202" s="39" t="s">
        <v>701</v>
      </c>
      <c r="B202" s="39" t="s">
        <v>702</v>
      </c>
      <c r="C202" s="39" t="n">
        <v>0.018</v>
      </c>
      <c r="D202" s="39" t="s">
        <v>703</v>
      </c>
      <c r="E202" s="39" t="s">
        <v>223</v>
      </c>
      <c r="F202" s="39" t="s">
        <v>704</v>
      </c>
      <c r="G202" s="51" t="s">
        <v>219</v>
      </c>
      <c r="H202" s="49"/>
    </row>
    <row r="203" customFormat="false" ht="12.8" hidden="false" customHeight="false" outlineLevel="0" collapsed="false">
      <c r="A203" s="39" t="s">
        <v>705</v>
      </c>
      <c r="B203" s="39" t="s">
        <v>706</v>
      </c>
      <c r="C203" s="39" t="n">
        <v>0.019</v>
      </c>
      <c r="D203" s="39" t="s">
        <v>707</v>
      </c>
      <c r="E203" s="39" t="s">
        <v>223</v>
      </c>
      <c r="F203" s="39" t="s">
        <v>708</v>
      </c>
      <c r="G203" s="51" t="s">
        <v>219</v>
      </c>
      <c r="H203" s="49"/>
    </row>
    <row r="204" customFormat="false" ht="12.8" hidden="false" customHeight="false" outlineLevel="0" collapsed="false">
      <c r="A204" s="39" t="s">
        <v>709</v>
      </c>
      <c r="B204" s="39" t="s">
        <v>710</v>
      </c>
      <c r="C204" s="39" t="n">
        <v>0.023</v>
      </c>
      <c r="D204" s="39" t="s">
        <v>711</v>
      </c>
      <c r="E204" s="39" t="s">
        <v>223</v>
      </c>
      <c r="F204" s="39" t="s">
        <v>712</v>
      </c>
      <c r="G204" s="51" t="s">
        <v>219</v>
      </c>
      <c r="H204" s="49"/>
    </row>
    <row r="205" customFormat="false" ht="12.8" hidden="false" customHeight="false" outlineLevel="0" collapsed="false">
      <c r="A205" s="39" t="s">
        <v>713</v>
      </c>
      <c r="B205" s="39" t="s">
        <v>714</v>
      </c>
      <c r="C205" s="39" t="n">
        <v>0.013</v>
      </c>
      <c r="D205" s="39" t="s">
        <v>715</v>
      </c>
      <c r="E205" s="39" t="s">
        <v>217</v>
      </c>
      <c r="F205" s="39" t="s">
        <v>716</v>
      </c>
      <c r="G205" s="51" t="s">
        <v>219</v>
      </c>
      <c r="H205" s="49"/>
    </row>
    <row r="206" customFormat="false" ht="12.8" hidden="false" customHeight="false" outlineLevel="0" collapsed="false">
      <c r="A206" s="39" t="s">
        <v>717</v>
      </c>
      <c r="B206" s="39" t="s">
        <v>718</v>
      </c>
      <c r="C206" s="39" t="n">
        <v>0.012</v>
      </c>
      <c r="D206" s="39" t="s">
        <v>719</v>
      </c>
      <c r="E206" s="39" t="s">
        <v>217</v>
      </c>
      <c r="F206" s="39" t="s">
        <v>700</v>
      </c>
      <c r="G206" s="51" t="s">
        <v>219</v>
      </c>
      <c r="H206" s="49"/>
    </row>
    <row r="207" customFormat="false" ht="12.8" hidden="false" customHeight="false" outlineLevel="0" collapsed="false">
      <c r="A207" s="39" t="s">
        <v>720</v>
      </c>
      <c r="B207" s="39" t="s">
        <v>721</v>
      </c>
      <c r="C207" s="39" t="n">
        <v>0.027</v>
      </c>
      <c r="D207" s="39" t="s">
        <v>722</v>
      </c>
      <c r="E207" s="39" t="s">
        <v>285</v>
      </c>
      <c r="F207" s="39" t="s">
        <v>723</v>
      </c>
      <c r="G207" s="51" t="s">
        <v>219</v>
      </c>
      <c r="H207" s="49"/>
    </row>
    <row r="208" customFormat="false" ht="12.8" hidden="false" customHeight="false" outlineLevel="0" collapsed="false">
      <c r="A208" s="39" t="s">
        <v>724</v>
      </c>
      <c r="B208" s="39" t="s">
        <v>725</v>
      </c>
      <c r="C208" s="39" t="n">
        <v>0.03</v>
      </c>
      <c r="D208" s="39" t="s">
        <v>726</v>
      </c>
      <c r="E208" s="39" t="s">
        <v>285</v>
      </c>
      <c r="F208" s="39" t="s">
        <v>727</v>
      </c>
      <c r="G208" s="51" t="s">
        <v>219</v>
      </c>
      <c r="H208" s="49"/>
    </row>
    <row r="209" customFormat="false" ht="12.8" hidden="false" customHeight="false" outlineLevel="0" collapsed="false">
      <c r="A209" s="39" t="s">
        <v>728</v>
      </c>
      <c r="B209" s="39" t="s">
        <v>729</v>
      </c>
      <c r="C209" s="39" t="n">
        <v>0.024</v>
      </c>
      <c r="D209" s="39" t="s">
        <v>730</v>
      </c>
      <c r="E209" s="39" t="s">
        <v>285</v>
      </c>
      <c r="F209" s="39" t="s">
        <v>731</v>
      </c>
      <c r="G209" s="51" t="s">
        <v>219</v>
      </c>
      <c r="H209" s="49"/>
    </row>
    <row r="210" customFormat="false" ht="12.8" hidden="false" customHeight="false" outlineLevel="0" collapsed="false">
      <c r="A210" s="39" t="s">
        <v>732</v>
      </c>
      <c r="B210" s="39" t="s">
        <v>733</v>
      </c>
      <c r="C210" s="39" t="n">
        <v>0.008</v>
      </c>
      <c r="D210" s="39" t="s">
        <v>734</v>
      </c>
      <c r="E210" s="39" t="s">
        <v>217</v>
      </c>
      <c r="F210" s="39" t="s">
        <v>735</v>
      </c>
      <c r="G210" s="51" t="s">
        <v>219</v>
      </c>
      <c r="H210" s="49"/>
    </row>
    <row r="211" customFormat="false" ht="12.8" hidden="false" customHeight="false" outlineLevel="0" collapsed="false">
      <c r="A211" s="39"/>
      <c r="B211" s="39"/>
      <c r="C211" s="39"/>
      <c r="D211" s="39"/>
      <c r="E211" s="39"/>
      <c r="F211" s="39"/>
      <c r="G211" s="39"/>
      <c r="H211" s="49"/>
    </row>
    <row r="212" customFormat="false" ht="12.8" hidden="false" customHeight="false" outlineLevel="0" collapsed="false">
      <c r="A212" s="57" t="str">
        <f aca="false">_xlfn.CONCAT($A$1, ".", "VALID")</f>
        <v>LSD.RID.0.AL.LFP.VALID</v>
      </c>
      <c r="B212" s="58" t="str">
        <f aca="false">_xlfn.CONCAT($B$1, " ", "Validation")</f>
        <v>Alabama Labor Force Population Validation</v>
      </c>
      <c r="C212" s="58"/>
    </row>
    <row r="213" customFormat="false" ht="12.8" hidden="false" customHeight="false" outlineLevel="0" collapsed="false">
      <c r="A213" s="49" t="s">
        <v>113</v>
      </c>
      <c r="B213" s="49" t="s">
        <v>736</v>
      </c>
      <c r="C213" s="49" t="s">
        <v>737</v>
      </c>
      <c r="D213" s="49" t="s">
        <v>738</v>
      </c>
      <c r="E213" s="49" t="s">
        <v>212</v>
      </c>
      <c r="F213" s="49" t="s">
        <v>739</v>
      </c>
      <c r="G213" s="49" t="s">
        <v>740</v>
      </c>
      <c r="H213" s="49" t="s">
        <v>740</v>
      </c>
    </row>
    <row r="214" customFormat="false" ht="12.8" hidden="false" customHeight="false" outlineLevel="0" collapsed="false">
      <c r="A214" s="39" t="s">
        <v>741</v>
      </c>
      <c r="B214" s="39" t="s">
        <v>742</v>
      </c>
      <c r="C214" s="39" t="n">
        <v>2385000</v>
      </c>
      <c r="D214" s="39" t="n">
        <v>2385000</v>
      </c>
      <c r="E214" s="39" t="s">
        <v>743</v>
      </c>
      <c r="F214" s="39" t="s">
        <v>217</v>
      </c>
      <c r="G214" s="39" t="s">
        <v>744</v>
      </c>
      <c r="H214" s="39" t="s">
        <v>745</v>
      </c>
    </row>
    <row r="215" customFormat="false" ht="12.8" hidden="false" customHeight="false" outlineLevel="0" collapsed="false">
      <c r="A215" s="39" t="s">
        <v>746</v>
      </c>
      <c r="B215" s="39" t="s">
        <v>747</v>
      </c>
      <c r="C215" s="39" t="n">
        <v>62388</v>
      </c>
      <c r="D215" s="39" t="s">
        <v>748</v>
      </c>
      <c r="E215" s="39" t="s">
        <v>749</v>
      </c>
      <c r="F215" s="39" t="s">
        <v>217</v>
      </c>
      <c r="G215" s="39" t="s">
        <v>750</v>
      </c>
      <c r="H215" s="39" t="s">
        <v>751</v>
      </c>
    </row>
    <row r="216" customFormat="false" ht="12.8" hidden="false" customHeight="false" outlineLevel="0" collapsed="false">
      <c r="A216" s="39" t="s">
        <v>752</v>
      </c>
      <c r="B216" s="39" t="s">
        <v>753</v>
      </c>
      <c r="C216" s="39" t="n">
        <v>50000</v>
      </c>
      <c r="D216" s="39" t="s">
        <v>754</v>
      </c>
      <c r="E216" s="39" t="s">
        <v>755</v>
      </c>
      <c r="F216" s="39" t="s">
        <v>223</v>
      </c>
      <c r="G216" s="39" t="s">
        <v>756</v>
      </c>
      <c r="H216" s="39" t="s">
        <v>757</v>
      </c>
    </row>
    <row r="217" customFormat="false" ht="12.8" hidden="false" customHeight="false" outlineLevel="0" collapsed="false">
      <c r="A217" s="39" t="s">
        <v>758</v>
      </c>
      <c r="B217" s="39" t="s">
        <v>759</v>
      </c>
      <c r="C217" s="39" t="n">
        <v>2272612</v>
      </c>
      <c r="D217" s="39" t="s">
        <v>760</v>
      </c>
      <c r="E217" s="39" t="s">
        <v>761</v>
      </c>
      <c r="F217" s="39" t="s">
        <v>217</v>
      </c>
      <c r="G217" s="39" t="s">
        <v>762</v>
      </c>
      <c r="H217" s="39" t="s">
        <v>763</v>
      </c>
    </row>
    <row r="218" customFormat="false" ht="12.8" hidden="false" customHeight="false" outlineLevel="0" collapsed="false">
      <c r="A218" s="39" t="s">
        <v>764</v>
      </c>
      <c r="B218" s="39" t="s">
        <v>765</v>
      </c>
      <c r="C218" s="39" t="n">
        <v>304495</v>
      </c>
      <c r="D218" s="39" t="s">
        <v>766</v>
      </c>
      <c r="E218" s="39" t="s">
        <v>767</v>
      </c>
      <c r="F218" s="39" t="s">
        <v>217</v>
      </c>
      <c r="G218" s="39" t="s">
        <v>768</v>
      </c>
      <c r="H218" s="39" t="s">
        <v>769</v>
      </c>
    </row>
    <row r="219" customFormat="false" ht="12.8" hidden="false" customHeight="false" outlineLevel="0" collapsed="false">
      <c r="A219" s="39" t="s">
        <v>770</v>
      </c>
      <c r="B219" s="39" t="s">
        <v>771</v>
      </c>
      <c r="C219" s="39" t="s">
        <v>772</v>
      </c>
      <c r="D219" s="39" t="s">
        <v>773</v>
      </c>
      <c r="E219" s="39" t="s">
        <v>774</v>
      </c>
      <c r="F219" s="39" t="s">
        <v>217</v>
      </c>
      <c r="G219" s="39" t="s">
        <v>775</v>
      </c>
      <c r="H219" s="39" t="s">
        <v>776</v>
      </c>
    </row>
    <row r="220" customFormat="false" ht="12.8" hidden="false" customHeight="false" outlineLevel="0" collapsed="false">
      <c r="A220" s="39" t="s">
        <v>777</v>
      </c>
      <c r="B220" s="39" t="s">
        <v>778</v>
      </c>
      <c r="C220" s="39" t="s">
        <v>779</v>
      </c>
      <c r="D220" s="39" t="s">
        <v>780</v>
      </c>
      <c r="E220" s="39" t="s">
        <v>781</v>
      </c>
      <c r="F220" s="39" t="s">
        <v>217</v>
      </c>
      <c r="G220" s="39" t="s">
        <v>782</v>
      </c>
      <c r="H220" s="39" t="s">
        <v>783</v>
      </c>
    </row>
    <row r="221" customFormat="false" ht="12.8" hidden="false" customHeight="false" outlineLevel="0" collapsed="false">
      <c r="A221" s="39" t="s">
        <v>784</v>
      </c>
      <c r="B221" s="39" t="s">
        <v>785</v>
      </c>
      <c r="C221" s="39" t="s">
        <v>786</v>
      </c>
      <c r="D221" s="39" t="n">
        <v>2385000</v>
      </c>
      <c r="E221" s="39" t="s">
        <v>787</v>
      </c>
      <c r="F221" s="39" t="s">
        <v>217</v>
      </c>
      <c r="G221" s="39" t="s">
        <v>788</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AF46"/>
    <pageSetUpPr fitToPage="false"/>
  </sheetPr>
  <dimension ref="A1:BP287"/>
  <sheetViews>
    <sheetView showFormulas="false" showGridLines="true" showRowColHeaders="true" showZeros="true" rightToLeft="false" tabSelected="false" showOutlineSymbols="true" defaultGridColor="true" view="normal" topLeftCell="A181" colorId="64" zoomScale="75" zoomScaleNormal="75" zoomScalePageLayoutView="100" workbookViewId="0">
      <selection pane="topLeft" activeCell="B280" activeCellId="1" sqref="D3:E3 B280"/>
    </sheetView>
  </sheetViews>
  <sheetFormatPr defaultColWidth="11.53515625" defaultRowHeight="12.8" customHeight="false" zeroHeight="false" outlineLevelRow="1" outlineLevelCol="0"/>
  <cols>
    <col collapsed="false" customWidth="true" hidden="false" outlineLevel="0" max="1" min="1" style="50" width="27.68"/>
    <col collapsed="false" customWidth="true" hidden="false" outlineLevel="0" max="2" min="2" style="39" width="41.51"/>
    <col collapsed="false" customWidth="true" hidden="false" outlineLevel="0" max="3" min="3" style="39" width="21.47"/>
    <col collapsed="false" customWidth="true" hidden="false" outlineLevel="0" max="6" min="4" style="39" width="19.14"/>
    <col collapsed="false" customWidth="true" hidden="false" outlineLevel="0" max="34" min="7"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789</v>
      </c>
      <c r="B1" s="42" t="s">
        <v>790</v>
      </c>
      <c r="C1" s="6" t="s">
        <v>2</v>
      </c>
      <c r="D1" s="60" t="s">
        <v>791</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customFormat="false" ht="12.8" hidden="false" customHeight="false" outlineLevel="0" collapsed="false">
      <c r="A2" s="57" t="str">
        <f aca="false">_xlfn.CONCAT($A$1, ".", "CALC")</f>
        <v>LSD.RID.0.AL.ETPR.CALC</v>
      </c>
      <c r="B2" s="58" t="str">
        <f aca="false">_xlfn.CONCAT($B$1, " ", "Calculations")</f>
        <v>Alabama Employment-to-Population Ratio (ETPR) Calculations</v>
      </c>
      <c r="C2" s="59" t="s">
        <v>309</v>
      </c>
      <c r="D2" s="59"/>
      <c r="E2" s="59"/>
      <c r="F2" s="59"/>
      <c r="G2" s="56"/>
      <c r="H2" s="56"/>
      <c r="I2" s="56"/>
      <c r="J2" s="56"/>
      <c r="K2" s="56"/>
      <c r="L2" s="56"/>
      <c r="M2" s="56"/>
      <c r="N2" s="56"/>
      <c r="O2" s="56"/>
      <c r="P2" s="56"/>
      <c r="Q2" s="56"/>
      <c r="R2" s="56"/>
      <c r="S2" s="56"/>
      <c r="T2" s="56"/>
      <c r="U2" s="56"/>
      <c r="V2" s="56"/>
      <c r="W2" s="56"/>
      <c r="X2" s="56"/>
      <c r="Y2" s="56"/>
      <c r="Z2" s="56"/>
      <c r="AA2" s="56"/>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row>
    <row r="3" customFormat="false" ht="12.8" hidden="false" customHeight="false" outlineLevel="0" collapsed="false">
      <c r="A3" s="64" t="s">
        <v>792</v>
      </c>
      <c r="B3" s="52" t="s">
        <v>793</v>
      </c>
      <c r="C3" s="65" t="s">
        <v>35</v>
      </c>
      <c r="D3" s="65" t="s">
        <v>794</v>
      </c>
      <c r="E3" s="65" t="s">
        <v>795</v>
      </c>
      <c r="F3" s="65" t="s">
        <v>796</v>
      </c>
    </row>
    <row r="4" customFormat="false" ht="12.8" hidden="false" customHeight="false" outlineLevel="0" collapsed="false">
      <c r="A4" s="4" t="s">
        <v>797</v>
      </c>
      <c r="B4" s="41" t="s">
        <v>798</v>
      </c>
      <c r="C4" s="65" t="n">
        <v>0.562</v>
      </c>
      <c r="D4" s="65" t="n">
        <v>0.514</v>
      </c>
      <c r="E4" s="65" t="n">
        <v>0.586</v>
      </c>
      <c r="F4" s="65" t="n">
        <v>0.563</v>
      </c>
    </row>
    <row r="5" customFormat="false" ht="12.8" hidden="false" customHeight="false" outlineLevel="0" collapsed="false">
      <c r="A5" s="50" t="s">
        <v>799</v>
      </c>
      <c r="B5" s="63" t="s">
        <v>800</v>
      </c>
      <c r="C5" s="66" t="n">
        <v>0.002</v>
      </c>
      <c r="D5" s="66" t="n">
        <v>0</v>
      </c>
      <c r="E5" s="66" t="n">
        <v>0.013</v>
      </c>
      <c r="F5" s="66" t="n">
        <v>0.002</v>
      </c>
    </row>
    <row r="6" customFormat="false" ht="12.8" hidden="false" customHeight="false" outlineLevel="0" collapsed="false">
      <c r="A6" s="50" t="s">
        <v>801</v>
      </c>
      <c r="B6" s="63" t="s">
        <v>802</v>
      </c>
      <c r="C6" s="66" t="n">
        <v>0.007</v>
      </c>
      <c r="D6" s="66" t="n">
        <v>0.013</v>
      </c>
      <c r="E6" s="66" t="n">
        <v>0.038</v>
      </c>
      <c r="F6" s="66" t="n">
        <v>0.006</v>
      </c>
    </row>
    <row r="7" customFormat="false" ht="12.8" hidden="false" customHeight="false" outlineLevel="0" collapsed="false">
      <c r="A7" s="50" t="s">
        <v>803</v>
      </c>
      <c r="B7" s="63" t="s">
        <v>804</v>
      </c>
      <c r="C7" s="66" t="n">
        <v>0.006</v>
      </c>
      <c r="D7" s="66" t="n">
        <v>0.007</v>
      </c>
      <c r="E7" s="66" t="n">
        <v>0.025</v>
      </c>
      <c r="F7" s="66" t="n">
        <v>0.006</v>
      </c>
    </row>
    <row r="8" customFormat="false" ht="12.8" hidden="false" customHeight="false" outlineLevel="0" collapsed="false">
      <c r="A8" s="50" t="s">
        <v>805</v>
      </c>
      <c r="B8" s="63" t="s">
        <v>806</v>
      </c>
      <c r="C8" s="66" t="n">
        <v>0.024</v>
      </c>
      <c r="D8" s="66" t="n">
        <v>0.033</v>
      </c>
      <c r="E8" s="66" t="n">
        <v>0.1</v>
      </c>
      <c r="F8" s="66" t="n">
        <v>0.022</v>
      </c>
    </row>
    <row r="9" customFormat="false" ht="12.8" hidden="false" customHeight="false" outlineLevel="0" collapsed="false">
      <c r="A9" s="50" t="s">
        <v>807</v>
      </c>
      <c r="B9" s="63" t="s">
        <v>808</v>
      </c>
      <c r="C9" s="66" t="n">
        <v>0.005</v>
      </c>
      <c r="D9" s="66" t="n">
        <v>0.007</v>
      </c>
      <c r="E9" s="66" t="n">
        <v>0.013</v>
      </c>
      <c r="F9" s="66" t="n">
        <v>0.005</v>
      </c>
    </row>
    <row r="10" customFormat="false" ht="12.8" hidden="false" customHeight="false" outlineLevel="0" collapsed="false">
      <c r="A10" s="50" t="s">
        <v>809</v>
      </c>
      <c r="B10" s="63" t="s">
        <v>810</v>
      </c>
      <c r="C10" s="66" t="n">
        <v>0.008</v>
      </c>
      <c r="D10" s="66" t="n">
        <v>0.013</v>
      </c>
      <c r="E10" s="66" t="n">
        <v>0.013</v>
      </c>
      <c r="F10" s="66" t="n">
        <v>0.008</v>
      </c>
    </row>
    <row r="11" customFormat="false" ht="12.8" hidden="false" customHeight="false" outlineLevel="0" collapsed="false">
      <c r="A11" s="50" t="s">
        <v>811</v>
      </c>
      <c r="B11" s="63" t="s">
        <v>812</v>
      </c>
      <c r="C11" s="66" t="n">
        <v>0.002</v>
      </c>
      <c r="D11" s="66" t="n">
        <v>0</v>
      </c>
      <c r="E11" s="66" t="n">
        <v>0</v>
      </c>
      <c r="F11" s="66" t="n">
        <v>0.002</v>
      </c>
    </row>
    <row r="12" customFormat="false" ht="12.8" hidden="false" customHeight="false" outlineLevel="0" collapsed="false">
      <c r="A12" s="50" t="s">
        <v>813</v>
      </c>
      <c r="B12" s="63" t="s">
        <v>814</v>
      </c>
      <c r="C12" s="66" t="n">
        <v>0.004</v>
      </c>
      <c r="D12" s="66" t="n">
        <v>0.007</v>
      </c>
      <c r="E12" s="66" t="n">
        <v>0.013</v>
      </c>
      <c r="F12" s="66" t="n">
        <v>0.003</v>
      </c>
    </row>
    <row r="13" customFormat="false" ht="12.8" hidden="false" customHeight="false" outlineLevel="0" collapsed="false">
      <c r="A13" s="50" t="s">
        <v>815</v>
      </c>
      <c r="B13" s="63" t="s">
        <v>816</v>
      </c>
      <c r="C13" s="66" t="n">
        <v>0.016</v>
      </c>
      <c r="D13" s="66" t="n">
        <v>0.02</v>
      </c>
      <c r="E13" s="66" t="n">
        <v>0.013</v>
      </c>
      <c r="F13" s="66" t="n">
        <v>0.015</v>
      </c>
    </row>
    <row r="14" customFormat="false" ht="12.8" hidden="false" customHeight="false" outlineLevel="0" collapsed="false">
      <c r="A14" s="50" t="s">
        <v>817</v>
      </c>
      <c r="B14" s="63" t="s">
        <v>818</v>
      </c>
      <c r="C14" s="66" t="n">
        <v>0.062</v>
      </c>
      <c r="D14" s="66" t="n">
        <v>0.067</v>
      </c>
      <c r="E14" s="66" t="n">
        <v>0.05</v>
      </c>
      <c r="F14" s="66" t="n">
        <v>0.062</v>
      </c>
    </row>
    <row r="15" customFormat="false" ht="12.8" hidden="false" customHeight="false" outlineLevel="0" collapsed="false">
      <c r="A15" s="50" t="s">
        <v>819</v>
      </c>
      <c r="B15" s="63" t="s">
        <v>820</v>
      </c>
      <c r="C15" s="66" t="n">
        <v>0.01</v>
      </c>
      <c r="D15" s="66" t="n">
        <v>0.007</v>
      </c>
      <c r="E15" s="66" t="n">
        <v>0.013</v>
      </c>
      <c r="F15" s="66" t="n">
        <v>0.01</v>
      </c>
    </row>
    <row r="16" customFormat="false" ht="12.8" hidden="false" customHeight="false" outlineLevel="0" collapsed="false">
      <c r="A16" s="50" t="s">
        <v>821</v>
      </c>
      <c r="B16" s="63" t="s">
        <v>822</v>
      </c>
      <c r="C16" s="66" t="n">
        <v>0.023</v>
      </c>
      <c r="D16" s="66" t="n">
        <v>0.02</v>
      </c>
      <c r="E16" s="66" t="n">
        <v>0.038</v>
      </c>
      <c r="F16" s="66" t="n">
        <v>0.023</v>
      </c>
    </row>
    <row r="17" customFormat="false" ht="12.8" hidden="false" customHeight="false" outlineLevel="0" collapsed="false">
      <c r="A17" s="50" t="s">
        <v>823</v>
      </c>
      <c r="B17" s="63" t="s">
        <v>824</v>
      </c>
      <c r="C17" s="66" t="n">
        <v>0.022</v>
      </c>
      <c r="D17" s="66" t="n">
        <v>0.02</v>
      </c>
      <c r="E17" s="66" t="n">
        <v>0.013</v>
      </c>
      <c r="F17" s="66" t="n">
        <v>0.022</v>
      </c>
    </row>
    <row r="18" customFormat="false" ht="12.8" hidden="false" customHeight="false" outlineLevel="0" collapsed="false">
      <c r="A18" s="50" t="s">
        <v>825</v>
      </c>
      <c r="B18" s="63" t="s">
        <v>826</v>
      </c>
      <c r="C18" s="66" t="n">
        <v>0.033</v>
      </c>
      <c r="D18" s="66" t="n">
        <v>0.027</v>
      </c>
      <c r="E18" s="66" t="n">
        <v>0.025</v>
      </c>
      <c r="F18" s="66" t="n">
        <v>0.033</v>
      </c>
    </row>
    <row r="19" customFormat="false" ht="12.8" hidden="false" customHeight="false" outlineLevel="0" collapsed="false">
      <c r="A19" s="50" t="s">
        <v>827</v>
      </c>
      <c r="B19" s="63" t="s">
        <v>828</v>
      </c>
      <c r="C19" s="66" t="n">
        <v>0.001</v>
      </c>
      <c r="D19" s="66" t="n">
        <v>0</v>
      </c>
      <c r="E19" s="66" t="n">
        <v>0</v>
      </c>
      <c r="F19" s="66" t="n">
        <v>0.001</v>
      </c>
    </row>
    <row r="20" customFormat="false" ht="12.8" hidden="false" customHeight="false" outlineLevel="0" collapsed="false">
      <c r="A20" s="50" t="s">
        <v>829</v>
      </c>
      <c r="B20" s="63" t="s">
        <v>830</v>
      </c>
      <c r="C20" s="66" t="n">
        <v>0.002</v>
      </c>
      <c r="D20" s="66" t="n">
        <v>0.007</v>
      </c>
      <c r="E20" s="66" t="n">
        <v>0.013</v>
      </c>
      <c r="F20" s="66" t="n">
        <v>0.002</v>
      </c>
    </row>
    <row r="21" customFormat="false" ht="12.8" hidden="false" customHeight="false" outlineLevel="0" collapsed="false">
      <c r="A21" s="50" t="s">
        <v>831</v>
      </c>
      <c r="B21" s="63" t="s">
        <v>832</v>
      </c>
      <c r="C21" s="66" t="n">
        <v>0.002</v>
      </c>
      <c r="D21" s="66" t="n">
        <v>0</v>
      </c>
      <c r="E21" s="66" t="n">
        <v>0</v>
      </c>
      <c r="F21" s="66" t="n">
        <v>0.002</v>
      </c>
    </row>
    <row r="22" customFormat="false" ht="12.8" hidden="false" customHeight="false" outlineLevel="0" collapsed="false">
      <c r="A22" s="50" t="s">
        <v>833</v>
      </c>
      <c r="B22" s="63" t="s">
        <v>834</v>
      </c>
      <c r="C22" s="66" t="n">
        <v>0.004</v>
      </c>
      <c r="D22" s="66" t="n">
        <v>0.007</v>
      </c>
      <c r="E22" s="66" t="n">
        <v>0</v>
      </c>
      <c r="F22" s="66" t="n">
        <v>0.004</v>
      </c>
    </row>
    <row r="23" customFormat="false" ht="12.8" hidden="false" customHeight="false" outlineLevel="0" collapsed="false">
      <c r="A23" s="50" t="s">
        <v>835</v>
      </c>
      <c r="B23" s="63" t="s">
        <v>836</v>
      </c>
      <c r="C23" s="66" t="n">
        <v>0.021</v>
      </c>
      <c r="D23" s="66" t="n">
        <v>0.02</v>
      </c>
      <c r="E23" s="66" t="n">
        <v>0.013</v>
      </c>
      <c r="F23" s="66" t="n">
        <v>0.021</v>
      </c>
    </row>
    <row r="24" customFormat="false" ht="12.8" hidden="false" customHeight="false" outlineLevel="0" collapsed="false">
      <c r="A24" s="50" t="s">
        <v>837</v>
      </c>
      <c r="B24" s="63" t="s">
        <v>838</v>
      </c>
      <c r="C24" s="66" t="n">
        <v>0.031</v>
      </c>
      <c r="D24" s="66" t="n">
        <v>0.027</v>
      </c>
      <c r="E24" s="66" t="n">
        <v>0.013</v>
      </c>
      <c r="F24" s="66" t="n">
        <v>0.032</v>
      </c>
    </row>
    <row r="25" customFormat="false" ht="12.8" hidden="false" customHeight="false" outlineLevel="0" collapsed="false">
      <c r="A25" s="50" t="s">
        <v>839</v>
      </c>
      <c r="B25" s="63" t="s">
        <v>840</v>
      </c>
      <c r="C25" s="66" t="n">
        <v>0.014</v>
      </c>
      <c r="D25" s="66" t="n">
        <v>0.013</v>
      </c>
      <c r="E25" s="66" t="n">
        <v>0.013</v>
      </c>
      <c r="F25" s="66" t="n">
        <v>0.014</v>
      </c>
    </row>
    <row r="26" customFormat="false" ht="12.8" hidden="false" customHeight="false" outlineLevel="0" collapsed="false">
      <c r="A26" s="50" t="s">
        <v>841</v>
      </c>
      <c r="B26" s="63" t="s">
        <v>842</v>
      </c>
      <c r="C26" s="66" t="n">
        <v>0.014</v>
      </c>
      <c r="D26" s="66" t="n">
        <v>0.013</v>
      </c>
      <c r="E26" s="66" t="n">
        <v>0.013</v>
      </c>
      <c r="F26" s="66" t="n">
        <v>0.014</v>
      </c>
    </row>
    <row r="27" customFormat="false" ht="12.8" hidden="false" customHeight="false" outlineLevel="0" collapsed="false">
      <c r="A27" s="50" t="s">
        <v>843</v>
      </c>
      <c r="B27" s="63" t="s">
        <v>844</v>
      </c>
      <c r="C27" s="66" t="n">
        <v>0.009</v>
      </c>
      <c r="D27" s="66" t="n">
        <v>0.007</v>
      </c>
      <c r="E27" s="66" t="n">
        <v>0</v>
      </c>
      <c r="F27" s="66" t="n">
        <v>0.009</v>
      </c>
    </row>
    <row r="28" customFormat="false" ht="12.8" hidden="false" customHeight="false" outlineLevel="0" collapsed="false">
      <c r="A28" s="50" t="s">
        <v>845</v>
      </c>
      <c r="B28" s="63" t="s">
        <v>846</v>
      </c>
      <c r="C28" s="66" t="n">
        <v>0.013</v>
      </c>
      <c r="D28" s="66" t="n">
        <v>0.007</v>
      </c>
      <c r="E28" s="66" t="n">
        <v>0</v>
      </c>
      <c r="F28" s="66" t="n">
        <v>0.014</v>
      </c>
    </row>
    <row r="29" customFormat="false" ht="12.8" hidden="false" customHeight="false" outlineLevel="0" collapsed="false">
      <c r="A29" s="50" t="s">
        <v>847</v>
      </c>
      <c r="B29" s="63" t="s">
        <v>848</v>
      </c>
      <c r="C29" s="66" t="n">
        <v>0.011</v>
      </c>
      <c r="D29" s="66" t="n">
        <v>0.007</v>
      </c>
      <c r="E29" s="66" t="n">
        <v>0</v>
      </c>
      <c r="F29" s="66" t="n">
        <v>0.011</v>
      </c>
    </row>
    <row r="30" customFormat="false" ht="12.8" hidden="false" customHeight="false" outlineLevel="0" collapsed="false">
      <c r="A30" s="50" t="s">
        <v>849</v>
      </c>
      <c r="B30" s="63" t="s">
        <v>850</v>
      </c>
      <c r="C30" s="66" t="n">
        <v>0.011</v>
      </c>
      <c r="D30" s="66" t="n">
        <v>0.007</v>
      </c>
      <c r="E30" s="66" t="n">
        <v>0</v>
      </c>
      <c r="F30" s="66" t="n">
        <v>0.011</v>
      </c>
    </row>
    <row r="31" customFormat="false" ht="12.8" hidden="false" customHeight="false" outlineLevel="0" collapsed="false">
      <c r="A31" s="50" t="s">
        <v>851</v>
      </c>
      <c r="B31" s="63" t="s">
        <v>852</v>
      </c>
      <c r="C31" s="66" t="n">
        <v>0.003</v>
      </c>
      <c r="D31" s="66" t="n">
        <v>0</v>
      </c>
      <c r="E31" s="66" t="n">
        <v>0</v>
      </c>
      <c r="F31" s="66" t="n">
        <v>0.003</v>
      </c>
    </row>
    <row r="32" customFormat="false" ht="12.8" hidden="false" customHeight="false" outlineLevel="0" collapsed="false">
      <c r="A32" s="50" t="s">
        <v>853</v>
      </c>
      <c r="B32" s="63" t="s">
        <v>854</v>
      </c>
      <c r="C32" s="66" t="n">
        <v>0.003</v>
      </c>
      <c r="D32" s="66" t="n">
        <v>0</v>
      </c>
      <c r="E32" s="66" t="n">
        <v>0</v>
      </c>
      <c r="F32" s="66" t="n">
        <v>0.003</v>
      </c>
    </row>
    <row r="33" customFormat="false" ht="12.8" hidden="false" customHeight="false" outlineLevel="0" collapsed="false">
      <c r="A33" s="50" t="s">
        <v>855</v>
      </c>
      <c r="B33" s="63" t="s">
        <v>856</v>
      </c>
      <c r="C33" s="66" t="n">
        <v>0.011</v>
      </c>
      <c r="D33" s="66" t="n">
        <v>0.007</v>
      </c>
      <c r="E33" s="66" t="n">
        <v>0</v>
      </c>
      <c r="F33" s="66" t="n">
        <v>0.012</v>
      </c>
    </row>
    <row r="34" customFormat="false" ht="12.8" hidden="false" customHeight="false" outlineLevel="0" collapsed="false">
      <c r="A34" s="50" t="s">
        <v>857</v>
      </c>
      <c r="B34" s="63" t="s">
        <v>858</v>
      </c>
      <c r="C34" s="66" t="n">
        <v>0.011</v>
      </c>
      <c r="D34" s="66" t="n">
        <v>0.007</v>
      </c>
      <c r="E34" s="66" t="n">
        <v>0</v>
      </c>
      <c r="F34" s="66" t="n">
        <v>0.012</v>
      </c>
    </row>
    <row r="35" customFormat="false" ht="12.8" hidden="false" customHeight="false" outlineLevel="0" collapsed="false">
      <c r="A35" s="50" t="s">
        <v>859</v>
      </c>
      <c r="B35" s="63" t="s">
        <v>860</v>
      </c>
      <c r="C35" s="66" t="n">
        <v>0.006</v>
      </c>
      <c r="D35" s="66" t="n">
        <v>0.007</v>
      </c>
      <c r="E35" s="66" t="n">
        <v>0.013</v>
      </c>
      <c r="F35" s="66" t="n">
        <v>0.006</v>
      </c>
    </row>
    <row r="36" customFormat="false" ht="12.8" hidden="false" customHeight="false" outlineLevel="0" collapsed="false">
      <c r="A36" s="50" t="s">
        <v>861</v>
      </c>
      <c r="B36" s="63" t="s">
        <v>862</v>
      </c>
      <c r="C36" s="66" t="n">
        <v>0.014</v>
      </c>
      <c r="D36" s="66" t="n">
        <v>0.013</v>
      </c>
      <c r="E36" s="66" t="n">
        <v>0.025</v>
      </c>
      <c r="F36" s="66" t="n">
        <v>0.014</v>
      </c>
    </row>
    <row r="37" customFormat="false" ht="12.8" hidden="false" customHeight="false" outlineLevel="0" collapsed="false">
      <c r="A37" s="50" t="s">
        <v>863</v>
      </c>
      <c r="B37" s="63" t="s">
        <v>864</v>
      </c>
      <c r="C37" s="66" t="n">
        <v>0.002</v>
      </c>
      <c r="D37" s="66" t="n">
        <v>0</v>
      </c>
      <c r="E37" s="66" t="n">
        <v>0</v>
      </c>
      <c r="F37" s="66" t="n">
        <v>0.002</v>
      </c>
    </row>
    <row r="38" customFormat="false" ht="12.8" hidden="false" customHeight="false" outlineLevel="0" collapsed="false">
      <c r="A38" s="50" t="s">
        <v>865</v>
      </c>
      <c r="B38" s="63" t="s">
        <v>866</v>
      </c>
      <c r="C38" s="66" t="n">
        <v>0.004</v>
      </c>
      <c r="D38" s="66" t="n">
        <v>0.007</v>
      </c>
      <c r="E38" s="66" t="n">
        <v>0</v>
      </c>
      <c r="F38" s="66" t="n">
        <v>0.004</v>
      </c>
    </row>
    <row r="39" customFormat="false" ht="12.8" hidden="false" customHeight="false" outlineLevel="0" collapsed="false">
      <c r="A39" s="50" t="s">
        <v>867</v>
      </c>
      <c r="B39" s="63" t="s">
        <v>868</v>
      </c>
      <c r="C39" s="66" t="n">
        <v>0</v>
      </c>
      <c r="D39" s="66" t="n">
        <v>0</v>
      </c>
      <c r="E39" s="66" t="n">
        <v>0</v>
      </c>
      <c r="F39" s="66" t="n">
        <v>0.001</v>
      </c>
    </row>
    <row r="40" customFormat="false" ht="12.8" hidden="false" customHeight="false" outlineLevel="0" collapsed="false">
      <c r="A40" s="50" t="s">
        <v>869</v>
      </c>
      <c r="B40" s="63" t="s">
        <v>870</v>
      </c>
      <c r="C40" s="66" t="n">
        <v>0.002</v>
      </c>
      <c r="D40" s="66" t="n">
        <v>0</v>
      </c>
      <c r="E40" s="66" t="n">
        <v>0</v>
      </c>
      <c r="F40" s="66" t="n">
        <v>0.002</v>
      </c>
    </row>
    <row r="41" customFormat="false" ht="12.8" hidden="false" customHeight="false" outlineLevel="0" collapsed="false">
      <c r="A41" s="50" t="s">
        <v>871</v>
      </c>
      <c r="B41" s="63" t="s">
        <v>872</v>
      </c>
      <c r="C41" s="66" t="n">
        <v>0.001</v>
      </c>
      <c r="D41" s="66" t="n">
        <v>0</v>
      </c>
      <c r="E41" s="66" t="n">
        <v>0</v>
      </c>
      <c r="F41" s="66" t="n">
        <v>0.001</v>
      </c>
    </row>
    <row r="42" customFormat="false" ht="12.8" hidden="false" customHeight="false" outlineLevel="0" collapsed="false">
      <c r="A42" s="50" t="s">
        <v>873</v>
      </c>
      <c r="B42" s="63" t="s">
        <v>874</v>
      </c>
      <c r="C42" s="66" t="n">
        <v>0.004</v>
      </c>
      <c r="D42" s="66" t="n">
        <v>0</v>
      </c>
      <c r="E42" s="66" t="n">
        <v>0</v>
      </c>
      <c r="F42" s="66" t="n">
        <v>0.005</v>
      </c>
    </row>
    <row r="43" customFormat="false" ht="12.8" hidden="false" customHeight="false" outlineLevel="0" collapsed="false">
      <c r="A43" s="50" t="s">
        <v>875</v>
      </c>
      <c r="B43" s="63" t="s">
        <v>876</v>
      </c>
      <c r="C43" s="66" t="n">
        <v>0.005</v>
      </c>
      <c r="D43" s="66" t="n">
        <v>0.007</v>
      </c>
      <c r="E43" s="66" t="n">
        <v>0</v>
      </c>
      <c r="F43" s="66" t="n">
        <v>0.005</v>
      </c>
    </row>
    <row r="44" customFormat="false" ht="12.8" hidden="false" customHeight="false" outlineLevel="0" collapsed="false">
      <c r="A44" s="50" t="s">
        <v>877</v>
      </c>
      <c r="B44" s="63" t="s">
        <v>878</v>
      </c>
      <c r="C44" s="66" t="n">
        <v>0.012</v>
      </c>
      <c r="D44" s="66" t="n">
        <v>0.007</v>
      </c>
      <c r="E44" s="66" t="n">
        <v>0.013</v>
      </c>
      <c r="F44" s="66" t="n">
        <v>0.012</v>
      </c>
    </row>
    <row r="45" customFormat="false" ht="12.8" hidden="false" customHeight="false" outlineLevel="0" collapsed="false">
      <c r="A45" s="50" t="s">
        <v>879</v>
      </c>
      <c r="B45" s="63" t="s">
        <v>880</v>
      </c>
      <c r="C45" s="66" t="n">
        <v>0</v>
      </c>
      <c r="D45" s="66" t="n">
        <v>0</v>
      </c>
      <c r="E45" s="66" t="n">
        <v>0</v>
      </c>
      <c r="F45" s="66" t="n">
        <v>0</v>
      </c>
    </row>
    <row r="46" customFormat="false" ht="12.8" hidden="false" customHeight="false" outlineLevel="0" collapsed="false">
      <c r="A46" s="50" t="s">
        <v>881</v>
      </c>
      <c r="B46" s="63" t="s">
        <v>882</v>
      </c>
      <c r="C46" s="66" t="n">
        <v>0</v>
      </c>
      <c r="D46" s="66" t="n">
        <v>0</v>
      </c>
      <c r="E46" s="66" t="n">
        <v>0</v>
      </c>
      <c r="F46" s="66" t="n">
        <v>0</v>
      </c>
    </row>
    <row r="47" customFormat="false" ht="12.8" hidden="false" customHeight="false" outlineLevel="0" collapsed="false">
      <c r="A47" s="50" t="s">
        <v>883</v>
      </c>
      <c r="B47" s="63" t="s">
        <v>884</v>
      </c>
      <c r="C47" s="66" t="n">
        <v>0.003</v>
      </c>
      <c r="D47" s="66" t="n">
        <v>0</v>
      </c>
      <c r="E47" s="66" t="n">
        <v>0</v>
      </c>
      <c r="F47" s="66" t="n">
        <v>0.003</v>
      </c>
    </row>
    <row r="48" customFormat="false" ht="12.8" hidden="false" customHeight="false" outlineLevel="0" collapsed="false">
      <c r="A48" s="50" t="s">
        <v>885</v>
      </c>
      <c r="B48" s="63" t="s">
        <v>886</v>
      </c>
      <c r="C48" s="66" t="n">
        <v>0.003</v>
      </c>
      <c r="D48" s="66" t="n">
        <v>0</v>
      </c>
      <c r="E48" s="66" t="n">
        <v>0</v>
      </c>
      <c r="F48" s="66" t="n">
        <v>0.003</v>
      </c>
    </row>
    <row r="49" customFormat="false" ht="12.8" hidden="false" customHeight="false" outlineLevel="0" collapsed="false">
      <c r="A49" s="50" t="s">
        <v>887</v>
      </c>
      <c r="B49" s="63" t="s">
        <v>888</v>
      </c>
      <c r="C49" s="66" t="n">
        <v>0.001</v>
      </c>
      <c r="D49" s="66" t="n">
        <v>0</v>
      </c>
      <c r="E49" s="66" t="n">
        <v>0</v>
      </c>
      <c r="F49" s="66" t="n">
        <v>0.001</v>
      </c>
    </row>
    <row r="50" customFormat="false" ht="12.8" hidden="false" customHeight="false" outlineLevel="0" collapsed="false">
      <c r="A50" s="50" t="s">
        <v>889</v>
      </c>
      <c r="B50" s="63" t="s">
        <v>890</v>
      </c>
      <c r="C50" s="66" t="n">
        <v>0.002</v>
      </c>
      <c r="D50" s="66" t="n">
        <v>0</v>
      </c>
      <c r="E50" s="66" t="n">
        <v>0</v>
      </c>
      <c r="F50" s="66" t="n">
        <v>0.002</v>
      </c>
    </row>
    <row r="51" customFormat="false" ht="12.8" hidden="false" customHeight="false" outlineLevel="0" collapsed="false">
      <c r="A51" s="50" t="s">
        <v>891</v>
      </c>
      <c r="B51" s="63" t="s">
        <v>892</v>
      </c>
      <c r="C51" s="66" t="n">
        <v>0.005</v>
      </c>
      <c r="D51" s="66" t="n">
        <v>0.007</v>
      </c>
      <c r="E51" s="66" t="n">
        <v>0</v>
      </c>
      <c r="F51" s="66" t="n">
        <v>0.005</v>
      </c>
    </row>
    <row r="52" customFormat="false" ht="12.8" hidden="false" customHeight="false" outlineLevel="0" collapsed="false">
      <c r="A52" s="50" t="s">
        <v>893</v>
      </c>
      <c r="B52" s="63" t="s">
        <v>894</v>
      </c>
      <c r="C52" s="66" t="n">
        <v>0.007</v>
      </c>
      <c r="D52" s="66" t="n">
        <v>0.007</v>
      </c>
      <c r="E52" s="66" t="n">
        <v>0.013</v>
      </c>
      <c r="F52" s="66" t="n">
        <v>0.007</v>
      </c>
    </row>
    <row r="53" customFormat="false" ht="12.8" hidden="false" customHeight="false" outlineLevel="0" collapsed="false">
      <c r="A53" s="50" t="s">
        <v>895</v>
      </c>
      <c r="B53" s="63" t="s">
        <v>896</v>
      </c>
      <c r="C53" s="66" t="n">
        <v>0.013</v>
      </c>
      <c r="D53" s="66" t="n">
        <v>0.02</v>
      </c>
      <c r="E53" s="66" t="n">
        <v>0.025</v>
      </c>
      <c r="F53" s="66" t="n">
        <v>0.013</v>
      </c>
    </row>
    <row r="54" customFormat="false" ht="12.8" hidden="false" customHeight="false" outlineLevel="0" collapsed="false">
      <c r="A54" s="50" t="s">
        <v>897</v>
      </c>
      <c r="B54" s="63" t="s">
        <v>898</v>
      </c>
      <c r="C54" s="66" t="n">
        <v>0.02</v>
      </c>
      <c r="D54" s="66" t="n">
        <v>0.027</v>
      </c>
      <c r="E54" s="66" t="n">
        <v>0.025</v>
      </c>
      <c r="F54" s="66" t="n">
        <v>0.019</v>
      </c>
    </row>
    <row r="55" customFormat="false" ht="12.8" hidden="false" customHeight="false" outlineLevel="0" collapsed="false">
      <c r="A55" s="50" t="s">
        <v>899</v>
      </c>
      <c r="B55" s="63" t="s">
        <v>900</v>
      </c>
      <c r="C55" s="66" t="n">
        <v>0.045</v>
      </c>
      <c r="D55" s="66" t="n">
        <v>0.027</v>
      </c>
      <c r="E55" s="66" t="n">
        <v>0.013</v>
      </c>
      <c r="F55" s="66" t="n">
        <v>0.047</v>
      </c>
    </row>
    <row r="56" customFormat="false" ht="12.8" hidden="false" customHeight="false" outlineLevel="0" collapsed="false">
      <c r="A56" s="50" t="s">
        <v>901</v>
      </c>
      <c r="B56" s="63" t="s">
        <v>902</v>
      </c>
      <c r="C56" s="66" t="n">
        <v>0.045</v>
      </c>
      <c r="D56" s="66" t="n">
        <v>0.027</v>
      </c>
      <c r="E56" s="66" t="n">
        <v>0.013</v>
      </c>
      <c r="F56" s="66" t="n">
        <v>0.047</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row r="250" customFormat="false" ht="12.8" hidden="false" customHeight="false" outlineLevel="1" collapsed="false"/>
    <row r="251" customFormat="false" ht="12.8" hidden="false" customHeight="false" outlineLevel="1" collapsed="false"/>
    <row r="252" customFormat="false" ht="12.8" hidden="false" customHeight="false" outlineLevel="1" collapsed="false"/>
    <row r="260" customFormat="false" ht="12.8" hidden="false" customHeight="false" outlineLevel="0" collapsed="false">
      <c r="A260" s="57" t="str">
        <f aca="false">_xlfn.CONCAT($A$1, ".", "FORM")</f>
        <v>LSD.RID.0.AL.ETPR.FORM</v>
      </c>
      <c r="B260" s="58" t="str">
        <f aca="false">_xlfn.CONCAT($B$1, " ", "Formulae")</f>
        <v>Alabama Employment-to-Population Ratio (ETPR) Formulae</v>
      </c>
    </row>
    <row r="261" customFormat="false" ht="12.8" hidden="false" customHeight="false" outlineLevel="0" collapsed="false">
      <c r="A261" s="50" t="s">
        <v>903</v>
      </c>
      <c r="B261" s="39" t="s">
        <v>172</v>
      </c>
      <c r="C261" s="39" t="s">
        <v>173</v>
      </c>
      <c r="D261" s="39" t="s">
        <v>174</v>
      </c>
      <c r="E261" s="39" t="s">
        <v>175</v>
      </c>
      <c r="F261" s="39" t="s">
        <v>176</v>
      </c>
    </row>
    <row r="262" customFormat="false" ht="12.8" hidden="false" customHeight="false" outlineLevel="0" collapsed="false">
      <c r="A262" s="50" t="s">
        <v>904</v>
      </c>
      <c r="B262" s="39" t="s">
        <v>905</v>
      </c>
      <c r="C262" s="39" t="s">
        <v>906</v>
      </c>
      <c r="D262" s="39" t="s">
        <v>907</v>
      </c>
      <c r="E262" s="39" t="s">
        <v>908</v>
      </c>
      <c r="F262" s="39" t="s">
        <v>909</v>
      </c>
    </row>
    <row r="263" customFormat="false" ht="12.8" hidden="false" customHeight="false" outlineLevel="0" collapsed="false">
      <c r="A263" s="50" t="s">
        <v>910</v>
      </c>
      <c r="B263" s="39" t="s">
        <v>905</v>
      </c>
      <c r="C263" s="39" t="s">
        <v>911</v>
      </c>
      <c r="D263" s="39" t="s">
        <v>912</v>
      </c>
      <c r="E263" s="39" t="s">
        <v>913</v>
      </c>
      <c r="F263" s="39" t="s">
        <v>914</v>
      </c>
    </row>
    <row r="264" customFormat="false" ht="12.8" hidden="false" customHeight="false" outlineLevel="0" collapsed="false">
      <c r="A264" s="50" t="s">
        <v>915</v>
      </c>
      <c r="B264" s="39" t="s">
        <v>905</v>
      </c>
      <c r="C264" s="39" t="s">
        <v>916</v>
      </c>
      <c r="D264" s="39" t="s">
        <v>917</v>
      </c>
      <c r="E264" s="39" t="s">
        <v>918</v>
      </c>
      <c r="F264" s="39" t="s">
        <v>919</v>
      </c>
    </row>
    <row r="265" customFormat="false" ht="12.8" hidden="false" customHeight="false" outlineLevel="0" collapsed="false">
      <c r="A265" s="50" t="s">
        <v>920</v>
      </c>
      <c r="B265" s="39" t="s">
        <v>905</v>
      </c>
      <c r="C265" s="39" t="s">
        <v>796</v>
      </c>
      <c r="D265" s="39" t="s">
        <v>921</v>
      </c>
      <c r="E265" s="39" t="s">
        <v>922</v>
      </c>
      <c r="F265" s="39" t="s">
        <v>923</v>
      </c>
    </row>
    <row r="266" customFormat="false" ht="12.8" hidden="false" customHeight="false" outlineLevel="0" collapsed="false">
      <c r="A266" s="50" t="s">
        <v>924</v>
      </c>
      <c r="B266" s="39" t="s">
        <v>905</v>
      </c>
      <c r="C266" s="39" t="s">
        <v>925</v>
      </c>
      <c r="D266" s="39" t="s">
        <v>926</v>
      </c>
      <c r="E266" s="39" t="s">
        <v>927</v>
      </c>
      <c r="F266" s="39" t="s">
        <v>928</v>
      </c>
    </row>
    <row r="269" customFormat="false" ht="12.8" hidden="false" customHeight="false" outlineLevel="0" collapsed="false">
      <c r="A269" s="57" t="str">
        <f aca="false">_xlfn.CONCAT($A$1, ".", "PARAM")</f>
        <v>LSD.RID.0.AL.ETPR.PARAM</v>
      </c>
      <c r="B269" s="58" t="str">
        <f aca="false">_xlfn.CONCAT($B$1, " ", "Parameters")</f>
        <v>Alabama Employment-to-Population Ratio (ETPR) Parameters</v>
      </c>
    </row>
    <row r="270" customFormat="false" ht="12.8" hidden="false" customHeight="false" outlineLevel="0" collapsed="false">
      <c r="A270" s="50" t="s">
        <v>929</v>
      </c>
      <c r="B270" s="39" t="s">
        <v>173</v>
      </c>
      <c r="C270" s="39" t="s">
        <v>210</v>
      </c>
      <c r="D270" s="39" t="s">
        <v>175</v>
      </c>
      <c r="E270" s="39" t="s">
        <v>211</v>
      </c>
      <c r="F270" s="39" t="s">
        <v>212</v>
      </c>
      <c r="G270" s="39" t="s">
        <v>213</v>
      </c>
    </row>
    <row r="271" customFormat="false" ht="12.8" hidden="false" customHeight="false" outlineLevel="0" collapsed="false">
      <c r="A271" s="50" t="s">
        <v>930</v>
      </c>
      <c r="B271" s="39" t="s">
        <v>275</v>
      </c>
      <c r="C271" s="39" t="n">
        <v>4126524</v>
      </c>
      <c r="D271" s="39" t="s">
        <v>276</v>
      </c>
      <c r="E271" s="39" t="s">
        <v>217</v>
      </c>
      <c r="F271" s="39" t="s">
        <v>931</v>
      </c>
      <c r="G271" s="51" t="s">
        <v>219</v>
      </c>
    </row>
    <row r="272" customFormat="false" ht="12.8" hidden="false" customHeight="false" outlineLevel="0" collapsed="false">
      <c r="A272" s="50" t="s">
        <v>932</v>
      </c>
      <c r="B272" s="39" t="s">
        <v>279</v>
      </c>
      <c r="C272" s="39" t="n">
        <v>150000</v>
      </c>
      <c r="D272" s="39" t="s">
        <v>280</v>
      </c>
      <c r="E272" s="39" t="s">
        <v>285</v>
      </c>
      <c r="F272" s="39" t="s">
        <v>933</v>
      </c>
      <c r="G272" s="51" t="s">
        <v>219</v>
      </c>
    </row>
    <row r="273" customFormat="false" ht="12.8" hidden="false" customHeight="false" outlineLevel="0" collapsed="false">
      <c r="A273" s="50" t="s">
        <v>934</v>
      </c>
      <c r="B273" s="39" t="s">
        <v>283</v>
      </c>
      <c r="C273" s="39" t="n">
        <v>80000</v>
      </c>
      <c r="D273" s="39" t="s">
        <v>284</v>
      </c>
      <c r="E273" s="39" t="s">
        <v>285</v>
      </c>
      <c r="F273" s="39" t="s">
        <v>935</v>
      </c>
      <c r="G273" s="51" t="s">
        <v>219</v>
      </c>
    </row>
    <row r="274" customFormat="false" ht="12.8" hidden="false" customHeight="false" outlineLevel="0" collapsed="false">
      <c r="A274" s="50" t="s">
        <v>936</v>
      </c>
      <c r="B274" s="39" t="s">
        <v>288</v>
      </c>
      <c r="C274" s="39" t="n">
        <v>3896524</v>
      </c>
      <c r="D274" s="39" t="s">
        <v>289</v>
      </c>
      <c r="E274" s="39" t="s">
        <v>217</v>
      </c>
      <c r="F274" s="39" t="s">
        <v>937</v>
      </c>
      <c r="G274" s="51" t="s">
        <v>219</v>
      </c>
    </row>
    <row r="275" customFormat="false" ht="12.8" hidden="false" customHeight="false" outlineLevel="0" collapsed="false">
      <c r="A275" s="50" t="s">
        <v>938</v>
      </c>
      <c r="B275" s="39" t="s">
        <v>292</v>
      </c>
      <c r="C275" s="39" t="n">
        <v>0.56152</v>
      </c>
      <c r="D275" s="39" t="s">
        <v>293</v>
      </c>
      <c r="E275" s="39" t="s">
        <v>217</v>
      </c>
      <c r="F275" s="39" t="s">
        <v>939</v>
      </c>
      <c r="G275" s="51" t="s">
        <v>219</v>
      </c>
    </row>
    <row r="276" customFormat="false" ht="12.8" hidden="false" customHeight="false" outlineLevel="0" collapsed="false">
      <c r="A276" s="50" t="s">
        <v>940</v>
      </c>
      <c r="B276" s="39" t="s">
        <v>296</v>
      </c>
      <c r="C276" s="39" t="n">
        <v>0.915</v>
      </c>
      <c r="D276" s="39" t="s">
        <v>297</v>
      </c>
      <c r="E276" s="39" t="s">
        <v>285</v>
      </c>
      <c r="F276" s="39" t="s">
        <v>941</v>
      </c>
      <c r="G276" s="51" t="s">
        <v>219</v>
      </c>
    </row>
    <row r="277" customFormat="false" ht="12.8" hidden="false" customHeight="false" outlineLevel="0" collapsed="false">
      <c r="A277" s="50" t="s">
        <v>942</v>
      </c>
      <c r="B277" s="39" t="s">
        <v>300</v>
      </c>
      <c r="C277" s="39" t="n">
        <v>1.044</v>
      </c>
      <c r="D277" s="39" t="s">
        <v>301</v>
      </c>
      <c r="E277" s="39" t="s">
        <v>285</v>
      </c>
      <c r="F277" s="39" t="s">
        <v>943</v>
      </c>
      <c r="G277" s="51" t="s">
        <v>219</v>
      </c>
    </row>
    <row r="278" customFormat="false" ht="12.8" hidden="false" customHeight="false" outlineLevel="0" collapsed="false">
      <c r="A278" s="50" t="s">
        <v>944</v>
      </c>
      <c r="B278" s="39" t="s">
        <v>945</v>
      </c>
      <c r="C278" s="39" t="n">
        <v>0.56152</v>
      </c>
      <c r="D278" s="39" t="s">
        <v>946</v>
      </c>
      <c r="E278" s="39" t="s">
        <v>217</v>
      </c>
      <c r="F278" s="39" t="s">
        <v>530</v>
      </c>
      <c r="G278" s="51" t="s">
        <v>219</v>
      </c>
    </row>
    <row r="280" customFormat="false" ht="12.8" hidden="false" customHeight="false" outlineLevel="0" collapsed="false">
      <c r="A280" s="57" t="str">
        <f aca="false">_xlfn.CONCAT($A$1, ".", "VALID")</f>
        <v>LSD.RID.0.AL.ETPR.VALID</v>
      </c>
      <c r="B280" s="58" t="str">
        <f aca="false">_xlfn.CONCAT($B$1, " ", "Validation")</f>
        <v>Alabama Employment-to-Population Ratio (ETPR) Validation</v>
      </c>
    </row>
    <row r="281" customFormat="false" ht="12.8" hidden="false" customHeight="false" outlineLevel="0" collapsed="false">
      <c r="A281" s="50" t="s">
        <v>113</v>
      </c>
      <c r="B281" s="39" t="s">
        <v>736</v>
      </c>
      <c r="C281" s="39" t="s">
        <v>737</v>
      </c>
      <c r="D281" s="39" t="s">
        <v>738</v>
      </c>
      <c r="E281" s="39" t="s">
        <v>212</v>
      </c>
      <c r="F281" s="39" t="s">
        <v>739</v>
      </c>
      <c r="G281" s="39" t="s">
        <v>740</v>
      </c>
    </row>
    <row r="282" customFormat="false" ht="12.8" hidden="false" customHeight="false" outlineLevel="0" collapsed="false">
      <c r="A282" s="50" t="s">
        <v>947</v>
      </c>
      <c r="B282" s="39" t="s">
        <v>948</v>
      </c>
      <c r="C282" s="39" t="n">
        <v>0.562</v>
      </c>
      <c r="D282" s="39" t="n">
        <v>0.562</v>
      </c>
      <c r="E282" s="39" t="s">
        <v>949</v>
      </c>
      <c r="F282" s="39" t="s">
        <v>217</v>
      </c>
      <c r="G282" s="39" t="s">
        <v>950</v>
      </c>
    </row>
    <row r="283" customFormat="false" ht="12.8" hidden="false" customHeight="false" outlineLevel="0" collapsed="false">
      <c r="A283" s="50" t="s">
        <v>951</v>
      </c>
      <c r="B283" s="39" t="s">
        <v>952</v>
      </c>
      <c r="C283" s="39" t="n">
        <v>0.586</v>
      </c>
      <c r="D283" s="39" t="s">
        <v>953</v>
      </c>
      <c r="E283" s="39" t="s">
        <v>954</v>
      </c>
      <c r="F283" s="39" t="s">
        <v>285</v>
      </c>
      <c r="G283" s="39" t="s">
        <v>955</v>
      </c>
    </row>
    <row r="284" customFormat="false" ht="12.8" hidden="false" customHeight="false" outlineLevel="0" collapsed="false">
      <c r="A284" s="50" t="s">
        <v>956</v>
      </c>
      <c r="B284" s="39" t="s">
        <v>957</v>
      </c>
      <c r="C284" s="39" t="n">
        <v>0.514</v>
      </c>
      <c r="D284" s="39" t="s">
        <v>958</v>
      </c>
      <c r="E284" s="39" t="s">
        <v>959</v>
      </c>
      <c r="F284" s="39" t="s">
        <v>285</v>
      </c>
      <c r="G284" s="39" t="s">
        <v>960</v>
      </c>
    </row>
    <row r="285" customFormat="false" ht="12.8" hidden="false" customHeight="false" outlineLevel="0" collapsed="false">
      <c r="A285" s="50" t="s">
        <v>961</v>
      </c>
      <c r="B285" s="39" t="s">
        <v>962</v>
      </c>
      <c r="C285" s="39" t="n">
        <v>0.563</v>
      </c>
      <c r="D285" s="39" t="s">
        <v>963</v>
      </c>
      <c r="E285" s="39" t="s">
        <v>964</v>
      </c>
      <c r="F285" s="39" t="s">
        <v>217</v>
      </c>
      <c r="G285" s="39" t="s">
        <v>965</v>
      </c>
    </row>
    <row r="286" customFormat="false" ht="12.8" hidden="false" customHeight="false" outlineLevel="0" collapsed="false">
      <c r="A286" s="50" t="s">
        <v>966</v>
      </c>
      <c r="B286" s="39" t="s">
        <v>967</v>
      </c>
      <c r="C286" s="39" t="s">
        <v>968</v>
      </c>
      <c r="D286" s="39" t="s">
        <v>969</v>
      </c>
      <c r="E286" s="39" t="s">
        <v>970</v>
      </c>
      <c r="F286" s="39" t="s">
        <v>285</v>
      </c>
      <c r="G286" s="39" t="s">
        <v>971</v>
      </c>
    </row>
    <row r="287" customFormat="false" ht="12.8" hidden="false" customHeight="false" outlineLevel="0" collapsed="false">
      <c r="A287" s="50" t="s">
        <v>972</v>
      </c>
      <c r="B287" s="39" t="s">
        <v>973</v>
      </c>
      <c r="C287" s="39" t="s">
        <v>974</v>
      </c>
      <c r="D287" s="39" t="n">
        <v>0.562</v>
      </c>
      <c r="E287" s="39" t="s">
        <v>975</v>
      </c>
      <c r="F287" s="39" t="s">
        <v>217</v>
      </c>
      <c r="G287" s="39" t="s">
        <v>976</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0938A"/>
    <pageSetUpPr fitToPage="false"/>
  </sheetPr>
  <dimension ref="A1:BC247"/>
  <sheetViews>
    <sheetView showFormulas="false" showGridLines="true" showRowColHeaders="true" showZeros="true" rightToLeft="false" tabSelected="false" showOutlineSymbols="true" defaultGridColor="true" view="normal" topLeftCell="A84" colorId="64" zoomScale="75" zoomScaleNormal="75" zoomScalePageLayoutView="100" workbookViewId="0">
      <selection pane="topLeft" activeCell="A1" activeCellId="1" sqref="D3:E3 A1"/>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11" t="s">
        <v>977</v>
      </c>
      <c r="B1" s="42" t="s">
        <v>978</v>
      </c>
      <c r="C1" s="6" t="s">
        <v>2</v>
      </c>
      <c r="D1" s="42" t="s">
        <v>979</v>
      </c>
      <c r="E1" s="60" t="s">
        <v>980</v>
      </c>
      <c r="AZ1" s="39"/>
      <c r="BA1" s="39"/>
      <c r="BB1" s="39"/>
      <c r="BC1" s="39"/>
    </row>
    <row r="2" customFormat="false" ht="46.25" hidden="false" customHeight="false" outlineLevel="0" collapsed="false">
      <c r="A2" s="64" t="s">
        <v>792</v>
      </c>
      <c r="B2" s="52" t="s">
        <v>793</v>
      </c>
      <c r="C2" s="67" t="str">
        <f aca="false">CALC!L3</f>
        <v>Labor Force Participation Rate (LFPR)</v>
      </c>
      <c r="D2" s="67" t="str">
        <f aca="false">CALC!M3</f>
        <v>Authorized Immigrant Labor Force Participation Rate (LFPR)</v>
      </c>
      <c r="E2" s="67" t="str">
        <f aca="false">CALC!N3</f>
        <v>Unauthorized Immigrant Labor Force Participation Rate (LFPR)</v>
      </c>
      <c r="F2" s="67" t="str">
        <f aca="false">CALC!O3</f>
        <v>American Labor Force Participation Rate (LFPR)</v>
      </c>
    </row>
    <row r="3" customFormat="false" ht="12.8" hidden="false" customHeight="false" outlineLevel="0" collapsed="false">
      <c r="A3" s="4" t="e">
        <f aca="false">_xlfn.CONCAT($A$1, ".", #REF!)</f>
        <v>#REF!</v>
      </c>
      <c r="B3" s="49" t="e">
        <f aca="false">_xlfn.CONCAT(#REF!, ":", #REF!)</f>
        <v>#REF!</v>
      </c>
      <c r="C3" s="67" t="e">
        <f aca="false">#REF!</f>
        <v>#REF!</v>
      </c>
      <c r="D3" s="67" t="e">
        <f aca="false">#REF!</f>
        <v>#REF!</v>
      </c>
      <c r="E3" s="67" t="e">
        <f aca="false">#REF!</f>
        <v>#REF!</v>
      </c>
      <c r="F3" s="67" t="e">
        <f aca="false">#REF!</f>
        <v>#REF!</v>
      </c>
    </row>
    <row r="4" customFormat="false" ht="12.8" hidden="false" customHeight="false" outlineLevel="0" collapsed="false">
      <c r="A4" s="4" t="e">
        <f aca="false">_xlfn.CONCAT($A$1, ".", #REF!)</f>
        <v>#REF!</v>
      </c>
      <c r="B4" s="49" t="e">
        <f aca="false">_xlfn.CONCAT(#REF!, ":", #REF!)</f>
        <v>#REF!</v>
      </c>
      <c r="C4" s="67" t="e">
        <f aca="false">#REF!</f>
        <v>#REF!</v>
      </c>
      <c r="D4" s="67" t="e">
        <f aca="false">#REF!</f>
        <v>#REF!</v>
      </c>
      <c r="E4" s="67" t="e">
        <f aca="false">#REF!</f>
        <v>#REF!</v>
      </c>
      <c r="F4" s="67" t="e">
        <f aca="false">#REF!</f>
        <v>#REF!</v>
      </c>
    </row>
    <row r="5" customFormat="false" ht="12.8" hidden="false" customHeight="false" outlineLevel="0" collapsed="false">
      <c r="A5" s="4" t="e">
        <f aca="false">_xlfn.CONCAT($A$1, ".", #REF!)</f>
        <v>#REF!</v>
      </c>
      <c r="B5" s="49" t="e">
        <f aca="false">_xlfn.CONCAT(#REF!, ":", #REF!)</f>
        <v>#REF!</v>
      </c>
      <c r="C5" s="67" t="e">
        <f aca="false">#REF!</f>
        <v>#REF!</v>
      </c>
      <c r="D5" s="67" t="e">
        <f aca="false">#REF!</f>
        <v>#REF!</v>
      </c>
      <c r="E5" s="67" t="e">
        <f aca="false">#REF!</f>
        <v>#REF!</v>
      </c>
      <c r="F5" s="67" t="e">
        <f aca="false">#REF!</f>
        <v>#REF!</v>
      </c>
    </row>
    <row r="6" customFormat="false" ht="12.8" hidden="false" customHeight="false" outlineLevel="0" collapsed="false">
      <c r="A6" s="4" t="e">
        <f aca="false">_xlfn.CONCAT($A$1, ".", #REF!)</f>
        <v>#REF!</v>
      </c>
      <c r="B6" s="49" t="e">
        <f aca="false">_xlfn.CONCAT(#REF!, ":", #REF!)</f>
        <v>#REF!</v>
      </c>
      <c r="C6" s="67" t="e">
        <f aca="false">#REF!</f>
        <v>#REF!</v>
      </c>
      <c r="D6" s="67" t="e">
        <f aca="false">#REF!</f>
        <v>#REF!</v>
      </c>
      <c r="E6" s="67" t="e">
        <f aca="false">#REF!</f>
        <v>#REF!</v>
      </c>
      <c r="F6" s="67" t="e">
        <f aca="false">#REF!</f>
        <v>#REF!</v>
      </c>
    </row>
    <row r="7" customFormat="false" ht="12.8" hidden="false" customHeight="false" outlineLevel="0" collapsed="false">
      <c r="A7" s="4" t="e">
        <f aca="false">_xlfn.CONCAT($A$1, ".", #REF!)</f>
        <v>#REF!</v>
      </c>
      <c r="B7" s="49" t="e">
        <f aca="false">_xlfn.CONCAT(#REF!, ":", #REF!)</f>
        <v>#REF!</v>
      </c>
      <c r="C7" s="67" t="e">
        <f aca="false">#REF!</f>
        <v>#REF!</v>
      </c>
      <c r="D7" s="67" t="e">
        <f aca="false">#REF!</f>
        <v>#REF!</v>
      </c>
      <c r="E7" s="67" t="e">
        <f aca="false">#REF!</f>
        <v>#REF!</v>
      </c>
      <c r="F7" s="67" t="e">
        <f aca="false">#REF!</f>
        <v>#REF!</v>
      </c>
    </row>
    <row r="8" customFormat="false" ht="12.8" hidden="false" customHeight="false" outlineLevel="0" collapsed="false">
      <c r="A8" s="4" t="e">
        <f aca="false">_xlfn.CONCAT($A$1, ".", #REF!)</f>
        <v>#REF!</v>
      </c>
      <c r="B8" s="49" t="e">
        <f aca="false">_xlfn.CONCAT(#REF!, ":", #REF!)</f>
        <v>#REF!</v>
      </c>
      <c r="C8" s="67" t="e">
        <f aca="false">#REF!</f>
        <v>#REF!</v>
      </c>
      <c r="D8" s="67" t="e">
        <f aca="false">#REF!</f>
        <v>#REF!</v>
      </c>
      <c r="E8" s="67" t="e">
        <f aca="false">#REF!</f>
        <v>#REF!</v>
      </c>
      <c r="F8" s="67" t="e">
        <f aca="false">#REF!</f>
        <v>#REF!</v>
      </c>
    </row>
    <row r="9" customFormat="false" ht="12.8" hidden="false" customHeight="false" outlineLevel="0" collapsed="false">
      <c r="A9" s="4" t="e">
        <f aca="false">_xlfn.CONCAT($A$1, ".", #REF!)</f>
        <v>#REF!</v>
      </c>
      <c r="B9" s="49" t="e">
        <f aca="false">_xlfn.CONCAT(#REF!, ":", #REF!)</f>
        <v>#REF!</v>
      </c>
      <c r="C9" s="67" t="e">
        <f aca="false">#REF!</f>
        <v>#REF!</v>
      </c>
      <c r="D9" s="67" t="e">
        <f aca="false">#REF!</f>
        <v>#REF!</v>
      </c>
      <c r="E9" s="67" t="e">
        <f aca="false">#REF!</f>
        <v>#REF!</v>
      </c>
      <c r="F9" s="67" t="e">
        <f aca="false">#REF!</f>
        <v>#REF!</v>
      </c>
    </row>
    <row r="10" customFormat="false" ht="12.8" hidden="false" customHeight="false" outlineLevel="0" collapsed="false">
      <c r="A10" s="4" t="e">
        <f aca="false">_xlfn.CONCAT($A$1, ".", #REF!)</f>
        <v>#REF!</v>
      </c>
      <c r="B10" s="49" t="e">
        <f aca="false">_xlfn.CONCAT(#REF!, ":", #REF!)</f>
        <v>#REF!</v>
      </c>
      <c r="C10" s="67" t="e">
        <f aca="false">#REF!</f>
        <v>#REF!</v>
      </c>
      <c r="D10" s="67" t="e">
        <f aca="false">#REF!</f>
        <v>#REF!</v>
      </c>
      <c r="E10" s="67" t="e">
        <f aca="false">#REF!</f>
        <v>#REF!</v>
      </c>
      <c r="F10" s="67" t="e">
        <f aca="false">#REF!</f>
        <v>#REF!</v>
      </c>
    </row>
    <row r="11" customFormat="false" ht="12.8" hidden="false" customHeight="false" outlineLevel="0" collapsed="false">
      <c r="A11" s="4" t="e">
        <f aca="false">_xlfn.CONCAT($A$1, ".", #REF!)</f>
        <v>#REF!</v>
      </c>
      <c r="B11" s="49" t="e">
        <f aca="false">_xlfn.CONCAT(#REF!, ":", #REF!)</f>
        <v>#REF!</v>
      </c>
      <c r="C11" s="67" t="e">
        <f aca="false">#REF!</f>
        <v>#REF!</v>
      </c>
      <c r="D11" s="67" t="e">
        <f aca="false">#REF!</f>
        <v>#REF!</v>
      </c>
      <c r="E11" s="67" t="e">
        <f aca="false">#REF!</f>
        <v>#REF!</v>
      </c>
      <c r="F11" s="67" t="e">
        <f aca="false">#REF!</f>
        <v>#REF!</v>
      </c>
    </row>
    <row r="12" customFormat="false" ht="12.8" hidden="false" customHeight="false" outlineLevel="0" collapsed="false">
      <c r="A12" s="4" t="e">
        <f aca="false">_xlfn.CONCAT($A$1, ".", #REF!)</f>
        <v>#REF!</v>
      </c>
      <c r="B12" s="49" t="e">
        <f aca="false">_xlfn.CONCAT(#REF!, ":", #REF!)</f>
        <v>#REF!</v>
      </c>
      <c r="C12" s="67" t="e">
        <f aca="false">#REF!</f>
        <v>#REF!</v>
      </c>
      <c r="D12" s="67" t="e">
        <f aca="false">#REF!</f>
        <v>#REF!</v>
      </c>
      <c r="E12" s="67" t="e">
        <f aca="false">#REF!</f>
        <v>#REF!</v>
      </c>
      <c r="F12" s="67" t="e">
        <f aca="false">#REF!</f>
        <v>#REF!</v>
      </c>
    </row>
    <row r="13" customFormat="false" ht="12.8" hidden="false" customHeight="false" outlineLevel="0" collapsed="false">
      <c r="A13" s="4" t="e">
        <f aca="false">_xlfn.CONCAT($A$1, ".", #REF!)</f>
        <v>#REF!</v>
      </c>
      <c r="B13" s="49" t="e">
        <f aca="false">_xlfn.CONCAT(#REF!, ":", #REF!)</f>
        <v>#REF!</v>
      </c>
      <c r="C13" s="67" t="e">
        <f aca="false">#REF!</f>
        <v>#REF!</v>
      </c>
      <c r="D13" s="67" t="e">
        <f aca="false">#REF!</f>
        <v>#REF!</v>
      </c>
      <c r="E13" s="67" t="e">
        <f aca="false">#REF!</f>
        <v>#REF!</v>
      </c>
      <c r="F13" s="67" t="e">
        <f aca="false">#REF!</f>
        <v>#REF!</v>
      </c>
    </row>
    <row r="14" customFormat="false" ht="12.8" hidden="false" customHeight="false" outlineLevel="0" collapsed="false">
      <c r="A14" s="4" t="e">
        <f aca="false">_xlfn.CONCAT($A$1, ".", #REF!)</f>
        <v>#REF!</v>
      </c>
      <c r="B14" s="49" t="e">
        <f aca="false">_xlfn.CONCAT(#REF!, ":", #REF!)</f>
        <v>#REF!</v>
      </c>
      <c r="C14" s="67" t="e">
        <f aca="false">#REF!</f>
        <v>#REF!</v>
      </c>
      <c r="D14" s="67" t="e">
        <f aca="false">#REF!</f>
        <v>#REF!</v>
      </c>
      <c r="E14" s="67" t="e">
        <f aca="false">#REF!</f>
        <v>#REF!</v>
      </c>
      <c r="F14" s="67" t="e">
        <f aca="false">#REF!</f>
        <v>#REF!</v>
      </c>
    </row>
    <row r="15" customFormat="false" ht="12.8" hidden="false" customHeight="false" outlineLevel="0" collapsed="false">
      <c r="A15" s="4" t="e">
        <f aca="false">_xlfn.CONCAT($A$1, ".", #REF!)</f>
        <v>#REF!</v>
      </c>
      <c r="B15" s="49" t="e">
        <f aca="false">_xlfn.CONCAT(#REF!, ":", #REF!)</f>
        <v>#REF!</v>
      </c>
      <c r="C15" s="67" t="e">
        <f aca="false">#REF!</f>
        <v>#REF!</v>
      </c>
      <c r="D15" s="67" t="e">
        <f aca="false">#REF!</f>
        <v>#REF!</v>
      </c>
      <c r="E15" s="67" t="e">
        <f aca="false">#REF!</f>
        <v>#REF!</v>
      </c>
      <c r="F15" s="67" t="e">
        <f aca="false">#REF!</f>
        <v>#REF!</v>
      </c>
    </row>
    <row r="16" customFormat="false" ht="12.8" hidden="false" customHeight="false" outlineLevel="0" collapsed="false">
      <c r="A16" s="4" t="e">
        <f aca="false">_xlfn.CONCAT($A$1, ".", #REF!)</f>
        <v>#REF!</v>
      </c>
      <c r="B16" s="49" t="e">
        <f aca="false">_xlfn.CONCAT(#REF!, ":", #REF!)</f>
        <v>#REF!</v>
      </c>
      <c r="C16" s="67" t="e">
        <f aca="false">#REF!</f>
        <v>#REF!</v>
      </c>
      <c r="D16" s="67" t="e">
        <f aca="false">#REF!</f>
        <v>#REF!</v>
      </c>
      <c r="E16" s="67" t="e">
        <f aca="false">#REF!</f>
        <v>#REF!</v>
      </c>
      <c r="F16" s="67" t="e">
        <f aca="false">#REF!</f>
        <v>#REF!</v>
      </c>
    </row>
    <row r="17" customFormat="false" ht="12.8" hidden="false" customHeight="false" outlineLevel="0" collapsed="false">
      <c r="A17" s="4" t="e">
        <f aca="false">_xlfn.CONCAT($A$1, ".", #REF!)</f>
        <v>#REF!</v>
      </c>
      <c r="B17" s="49" t="e">
        <f aca="false">_xlfn.CONCAT(#REF!, ":", #REF!)</f>
        <v>#REF!</v>
      </c>
      <c r="C17" s="67" t="e">
        <f aca="false">#REF!</f>
        <v>#REF!</v>
      </c>
      <c r="D17" s="67" t="e">
        <f aca="false">#REF!</f>
        <v>#REF!</v>
      </c>
      <c r="E17" s="67" t="e">
        <f aca="false">#REF!</f>
        <v>#REF!</v>
      </c>
      <c r="F17" s="67" t="e">
        <f aca="false">#REF!</f>
        <v>#REF!</v>
      </c>
    </row>
    <row r="18" customFormat="false" ht="12.8" hidden="false" customHeight="false" outlineLevel="0" collapsed="false">
      <c r="A18" s="4" t="e">
        <f aca="false">_xlfn.CONCAT($A$1, ".", #REF!)</f>
        <v>#REF!</v>
      </c>
      <c r="B18" s="49" t="e">
        <f aca="false">_xlfn.CONCAT(#REF!, ":", #REF!)</f>
        <v>#REF!</v>
      </c>
      <c r="C18" s="67" t="e">
        <f aca="false">#REF!</f>
        <v>#REF!</v>
      </c>
      <c r="D18" s="67" t="e">
        <f aca="false">#REF!</f>
        <v>#REF!</v>
      </c>
      <c r="E18" s="67" t="e">
        <f aca="false">#REF!</f>
        <v>#REF!</v>
      </c>
      <c r="F18" s="67" t="e">
        <f aca="false">#REF!</f>
        <v>#REF!</v>
      </c>
    </row>
    <row r="19" customFormat="false" ht="12.8" hidden="false" customHeight="false" outlineLevel="0" collapsed="false">
      <c r="A19" s="4" t="e">
        <f aca="false">_xlfn.CONCAT($A$1, ".", #REF!)</f>
        <v>#REF!</v>
      </c>
      <c r="B19" s="49" t="e">
        <f aca="false">_xlfn.CONCAT(#REF!, ":", #REF!)</f>
        <v>#REF!</v>
      </c>
      <c r="C19" s="67" t="e">
        <f aca="false">#REF!</f>
        <v>#REF!</v>
      </c>
      <c r="D19" s="67" t="e">
        <f aca="false">#REF!</f>
        <v>#REF!</v>
      </c>
      <c r="E19" s="67" t="e">
        <f aca="false">#REF!</f>
        <v>#REF!</v>
      </c>
      <c r="F19" s="67" t="e">
        <f aca="false">#REF!</f>
        <v>#REF!</v>
      </c>
    </row>
    <row r="20" customFormat="false" ht="12.8" hidden="false" customHeight="false" outlineLevel="0" collapsed="false">
      <c r="A20" s="4" t="e">
        <f aca="false">_xlfn.CONCAT($A$1, ".", #REF!)</f>
        <v>#REF!</v>
      </c>
      <c r="B20" s="49" t="e">
        <f aca="false">_xlfn.CONCAT(#REF!, ":", #REF!)</f>
        <v>#REF!</v>
      </c>
      <c r="C20" s="67" t="e">
        <f aca="false">#REF!</f>
        <v>#REF!</v>
      </c>
      <c r="D20" s="67" t="e">
        <f aca="false">#REF!</f>
        <v>#REF!</v>
      </c>
      <c r="E20" s="67" t="e">
        <f aca="false">#REF!</f>
        <v>#REF!</v>
      </c>
      <c r="F20" s="67" t="e">
        <f aca="false">#REF!</f>
        <v>#REF!</v>
      </c>
    </row>
    <row r="21" customFormat="false" ht="12.8" hidden="false" customHeight="false" outlineLevel="0" collapsed="false">
      <c r="A21" s="4" t="e">
        <f aca="false">_xlfn.CONCAT($A$1, ".", #REF!)</f>
        <v>#REF!</v>
      </c>
      <c r="B21" s="49" t="e">
        <f aca="false">_xlfn.CONCAT(#REF!, ":", #REF!)</f>
        <v>#REF!</v>
      </c>
      <c r="C21" s="67" t="e">
        <f aca="false">#REF!</f>
        <v>#REF!</v>
      </c>
      <c r="D21" s="67" t="e">
        <f aca="false">#REF!</f>
        <v>#REF!</v>
      </c>
      <c r="E21" s="67" t="e">
        <f aca="false">#REF!</f>
        <v>#REF!</v>
      </c>
      <c r="F21" s="67" t="e">
        <f aca="false">#REF!</f>
        <v>#REF!</v>
      </c>
    </row>
    <row r="22" customFormat="false" ht="12.8" hidden="false" customHeight="false" outlineLevel="0" collapsed="false">
      <c r="A22" s="4" t="e">
        <f aca="false">_xlfn.CONCAT($A$1, ".", #REF!)</f>
        <v>#REF!</v>
      </c>
      <c r="B22" s="49" t="e">
        <f aca="false">_xlfn.CONCAT(#REF!, ":", #REF!)</f>
        <v>#REF!</v>
      </c>
      <c r="C22" s="67" t="e">
        <f aca="false">#REF!</f>
        <v>#REF!</v>
      </c>
      <c r="D22" s="67" t="e">
        <f aca="false">#REF!</f>
        <v>#REF!</v>
      </c>
      <c r="E22" s="67" t="e">
        <f aca="false">#REF!</f>
        <v>#REF!</v>
      </c>
      <c r="F22" s="67" t="e">
        <f aca="false">#REF!</f>
        <v>#REF!</v>
      </c>
    </row>
    <row r="23" customFormat="false" ht="12.8" hidden="false" customHeight="false" outlineLevel="0" collapsed="false">
      <c r="A23" s="4" t="e">
        <f aca="false">_xlfn.CONCAT($A$1, ".", #REF!)</f>
        <v>#REF!</v>
      </c>
      <c r="B23" s="49" t="e">
        <f aca="false">_xlfn.CONCAT(#REF!, ":", #REF!)</f>
        <v>#REF!</v>
      </c>
      <c r="C23" s="67" t="e">
        <f aca="false">#REF!</f>
        <v>#REF!</v>
      </c>
      <c r="D23" s="67" t="e">
        <f aca="false">#REF!</f>
        <v>#REF!</v>
      </c>
      <c r="E23" s="67" t="e">
        <f aca="false">#REF!</f>
        <v>#REF!</v>
      </c>
      <c r="F23" s="67" t="e">
        <f aca="false">#REF!</f>
        <v>#REF!</v>
      </c>
    </row>
    <row r="24" customFormat="false" ht="12.8" hidden="false" customHeight="false" outlineLevel="0" collapsed="false">
      <c r="A24" s="4" t="e">
        <f aca="false">_xlfn.CONCAT($A$1, ".", #REF!)</f>
        <v>#REF!</v>
      </c>
      <c r="B24" s="49" t="e">
        <f aca="false">_xlfn.CONCAT(#REF!, ":", #REF!)</f>
        <v>#REF!</v>
      </c>
      <c r="C24" s="67" t="e">
        <f aca="false">#REF!</f>
        <v>#REF!</v>
      </c>
      <c r="D24" s="67" t="e">
        <f aca="false">#REF!</f>
        <v>#REF!</v>
      </c>
      <c r="E24" s="67" t="e">
        <f aca="false">#REF!</f>
        <v>#REF!</v>
      </c>
      <c r="F24" s="67" t="e">
        <f aca="false">#REF!</f>
        <v>#REF!</v>
      </c>
    </row>
    <row r="25" customFormat="false" ht="12.8" hidden="false" customHeight="false" outlineLevel="0" collapsed="false">
      <c r="A25" s="4" t="e">
        <f aca="false">_xlfn.CONCAT($A$1, ".", #REF!)</f>
        <v>#REF!</v>
      </c>
      <c r="B25" s="49" t="e">
        <f aca="false">_xlfn.CONCAT(#REF!, ":", #REF!)</f>
        <v>#REF!</v>
      </c>
      <c r="C25" s="67" t="e">
        <f aca="false">#REF!</f>
        <v>#REF!</v>
      </c>
      <c r="D25" s="67" t="e">
        <f aca="false">#REF!</f>
        <v>#REF!</v>
      </c>
      <c r="E25" s="67" t="e">
        <f aca="false">#REF!</f>
        <v>#REF!</v>
      </c>
      <c r="F25" s="67" t="e">
        <f aca="false">#REF!</f>
        <v>#REF!</v>
      </c>
    </row>
    <row r="26" customFormat="false" ht="12.8" hidden="false" customHeight="false" outlineLevel="0" collapsed="false">
      <c r="A26" s="4" t="e">
        <f aca="false">_xlfn.CONCAT($A$1, ".", #REF!)</f>
        <v>#REF!</v>
      </c>
      <c r="B26" s="49" t="e">
        <f aca="false">_xlfn.CONCAT(#REF!, ":", #REF!)</f>
        <v>#REF!</v>
      </c>
      <c r="C26" s="67" t="e">
        <f aca="false">#REF!</f>
        <v>#REF!</v>
      </c>
      <c r="D26" s="67" t="e">
        <f aca="false">#REF!</f>
        <v>#REF!</v>
      </c>
      <c r="E26" s="67" t="e">
        <f aca="false">#REF!</f>
        <v>#REF!</v>
      </c>
      <c r="F26" s="67" t="e">
        <f aca="false">#REF!</f>
        <v>#REF!</v>
      </c>
    </row>
    <row r="27" customFormat="false" ht="12.8" hidden="false" customHeight="false" outlineLevel="0" collapsed="false">
      <c r="A27" s="4" t="e">
        <f aca="false">_xlfn.CONCAT($A$1, ".", #REF!)</f>
        <v>#REF!</v>
      </c>
      <c r="B27" s="49" t="e">
        <f aca="false">_xlfn.CONCAT(#REF!, ":", #REF!)</f>
        <v>#REF!</v>
      </c>
      <c r="C27" s="67" t="e">
        <f aca="false">#REF!</f>
        <v>#REF!</v>
      </c>
      <c r="D27" s="67" t="e">
        <f aca="false">#REF!</f>
        <v>#REF!</v>
      </c>
      <c r="E27" s="67" t="e">
        <f aca="false">#REF!</f>
        <v>#REF!</v>
      </c>
      <c r="F27" s="67" t="e">
        <f aca="false">#REF!</f>
        <v>#REF!</v>
      </c>
    </row>
    <row r="28" customFormat="false" ht="12.8" hidden="false" customHeight="false" outlineLevel="0" collapsed="false">
      <c r="A28" s="4" t="e">
        <f aca="false">_xlfn.CONCAT($A$1, ".", #REF!)</f>
        <v>#REF!</v>
      </c>
      <c r="B28" s="49" t="e">
        <f aca="false">_xlfn.CONCAT(#REF!, ":", #REF!)</f>
        <v>#REF!</v>
      </c>
      <c r="C28" s="67" t="e">
        <f aca="false">#REF!</f>
        <v>#REF!</v>
      </c>
      <c r="D28" s="67" t="e">
        <f aca="false">#REF!</f>
        <v>#REF!</v>
      </c>
      <c r="E28" s="67" t="e">
        <f aca="false">#REF!</f>
        <v>#REF!</v>
      </c>
      <c r="F28" s="67" t="e">
        <f aca="false">#REF!</f>
        <v>#REF!</v>
      </c>
    </row>
    <row r="29" customFormat="false" ht="12.8" hidden="false" customHeight="false" outlineLevel="0" collapsed="false">
      <c r="A29" s="4" t="e">
        <f aca="false">_xlfn.CONCAT($A$1, ".", #REF!)</f>
        <v>#REF!</v>
      </c>
      <c r="B29" s="49" t="e">
        <f aca="false">_xlfn.CONCAT(#REF!, ":", #REF!)</f>
        <v>#REF!</v>
      </c>
      <c r="C29" s="67" t="e">
        <f aca="false">#REF!</f>
        <v>#REF!</v>
      </c>
      <c r="D29" s="67" t="e">
        <f aca="false">#REF!</f>
        <v>#REF!</v>
      </c>
      <c r="E29" s="67" t="e">
        <f aca="false">#REF!</f>
        <v>#REF!</v>
      </c>
      <c r="F29" s="67" t="e">
        <f aca="false">#REF!</f>
        <v>#REF!</v>
      </c>
    </row>
    <row r="30" customFormat="false" ht="12.8" hidden="false" customHeight="false" outlineLevel="0" collapsed="false">
      <c r="A30" s="4" t="e">
        <f aca="false">_xlfn.CONCAT($A$1, ".", #REF!)</f>
        <v>#REF!</v>
      </c>
      <c r="B30" s="49" t="e">
        <f aca="false">_xlfn.CONCAT(#REF!, ":", #REF!)</f>
        <v>#REF!</v>
      </c>
      <c r="C30" s="67" t="e">
        <f aca="false">#REF!</f>
        <v>#REF!</v>
      </c>
      <c r="D30" s="67" t="e">
        <f aca="false">#REF!</f>
        <v>#REF!</v>
      </c>
      <c r="E30" s="67" t="e">
        <f aca="false">#REF!</f>
        <v>#REF!</v>
      </c>
      <c r="F30" s="67" t="e">
        <f aca="false">#REF!</f>
        <v>#REF!</v>
      </c>
    </row>
    <row r="31" customFormat="false" ht="12.8" hidden="false" customHeight="false" outlineLevel="0" collapsed="false">
      <c r="A31" s="4" t="e">
        <f aca="false">_xlfn.CONCAT($A$1, ".", #REF!)</f>
        <v>#REF!</v>
      </c>
      <c r="B31" s="49" t="e">
        <f aca="false">_xlfn.CONCAT(#REF!, ":", #REF!)</f>
        <v>#REF!</v>
      </c>
      <c r="C31" s="67" t="e">
        <f aca="false">#REF!</f>
        <v>#REF!</v>
      </c>
      <c r="D31" s="67" t="e">
        <f aca="false">#REF!</f>
        <v>#REF!</v>
      </c>
      <c r="E31" s="67" t="e">
        <f aca="false">#REF!</f>
        <v>#REF!</v>
      </c>
      <c r="F31" s="67" t="e">
        <f aca="false">#REF!</f>
        <v>#REF!</v>
      </c>
    </row>
    <row r="32" customFormat="false" ht="12.8" hidden="false" customHeight="false" outlineLevel="0" collapsed="false">
      <c r="A32" s="4" t="e">
        <f aca="false">_xlfn.CONCAT($A$1, ".", #REF!)</f>
        <v>#REF!</v>
      </c>
      <c r="B32" s="49" t="e">
        <f aca="false">_xlfn.CONCAT(#REF!, ":", #REF!)</f>
        <v>#REF!</v>
      </c>
      <c r="C32" s="67" t="e">
        <f aca="false">#REF!</f>
        <v>#REF!</v>
      </c>
      <c r="D32" s="67" t="e">
        <f aca="false">#REF!</f>
        <v>#REF!</v>
      </c>
      <c r="E32" s="67" t="e">
        <f aca="false">#REF!</f>
        <v>#REF!</v>
      </c>
      <c r="F32" s="67" t="e">
        <f aca="false">#REF!</f>
        <v>#REF!</v>
      </c>
    </row>
    <row r="33" customFormat="false" ht="12.8" hidden="false" customHeight="false" outlineLevel="0" collapsed="false">
      <c r="A33" s="4" t="e">
        <f aca="false">_xlfn.CONCAT($A$1, ".", #REF!)</f>
        <v>#REF!</v>
      </c>
      <c r="B33" s="49" t="e">
        <f aca="false">_xlfn.CONCAT(#REF!, ":", #REF!)</f>
        <v>#REF!</v>
      </c>
      <c r="C33" s="67" t="e">
        <f aca="false">#REF!</f>
        <v>#REF!</v>
      </c>
      <c r="D33" s="67" t="e">
        <f aca="false">#REF!</f>
        <v>#REF!</v>
      </c>
      <c r="E33" s="67" t="e">
        <f aca="false">#REF!</f>
        <v>#REF!</v>
      </c>
      <c r="F33" s="67" t="e">
        <f aca="false">#REF!</f>
        <v>#REF!</v>
      </c>
    </row>
    <row r="34" customFormat="false" ht="12.8" hidden="false" customHeight="false" outlineLevel="0" collapsed="false">
      <c r="A34" s="4" t="e">
        <f aca="false">_xlfn.CONCAT($A$1, ".", #REF!)</f>
        <v>#REF!</v>
      </c>
      <c r="B34" s="49" t="e">
        <f aca="false">_xlfn.CONCAT(#REF!, ":", #REF!)</f>
        <v>#REF!</v>
      </c>
      <c r="C34" s="67" t="e">
        <f aca="false">#REF!</f>
        <v>#REF!</v>
      </c>
      <c r="D34" s="67" t="e">
        <f aca="false">#REF!</f>
        <v>#REF!</v>
      </c>
      <c r="E34" s="67" t="e">
        <f aca="false">#REF!</f>
        <v>#REF!</v>
      </c>
      <c r="F34" s="67" t="e">
        <f aca="false">#REF!</f>
        <v>#REF!</v>
      </c>
    </row>
    <row r="35" customFormat="false" ht="12.8" hidden="false" customHeight="false" outlineLevel="0" collapsed="false">
      <c r="A35" s="4" t="e">
        <f aca="false">_xlfn.CONCAT($A$1, ".", #REF!)</f>
        <v>#REF!</v>
      </c>
      <c r="B35" s="49" t="e">
        <f aca="false">_xlfn.CONCAT(#REF!, ":", #REF!)</f>
        <v>#REF!</v>
      </c>
      <c r="C35" s="67" t="e">
        <f aca="false">#REF!</f>
        <v>#REF!</v>
      </c>
      <c r="D35" s="67" t="e">
        <f aca="false">#REF!</f>
        <v>#REF!</v>
      </c>
      <c r="E35" s="67" t="e">
        <f aca="false">#REF!</f>
        <v>#REF!</v>
      </c>
      <c r="F35" s="67" t="e">
        <f aca="false">#REF!</f>
        <v>#REF!</v>
      </c>
    </row>
    <row r="36" customFormat="false" ht="12.8" hidden="false" customHeight="false" outlineLevel="0" collapsed="false">
      <c r="A36" s="4" t="e">
        <f aca="false">_xlfn.CONCAT($A$1, ".", #REF!)</f>
        <v>#REF!</v>
      </c>
      <c r="B36" s="49" t="e">
        <f aca="false">_xlfn.CONCAT(#REF!, ":", #REF!)</f>
        <v>#REF!</v>
      </c>
      <c r="C36" s="67" t="e">
        <f aca="false">#REF!</f>
        <v>#REF!</v>
      </c>
      <c r="D36" s="67" t="e">
        <f aca="false">#REF!</f>
        <v>#REF!</v>
      </c>
      <c r="E36" s="67" t="e">
        <f aca="false">#REF!</f>
        <v>#REF!</v>
      </c>
      <c r="F36" s="67" t="e">
        <f aca="false">#REF!</f>
        <v>#REF!</v>
      </c>
    </row>
    <row r="37" customFormat="false" ht="12.8" hidden="false" customHeight="false" outlineLevel="0" collapsed="false">
      <c r="A37" s="4" t="e">
        <f aca="false">_xlfn.CONCAT($A$1, ".", #REF!)</f>
        <v>#REF!</v>
      </c>
      <c r="B37" s="49" t="e">
        <f aca="false">_xlfn.CONCAT(#REF!, ":", #REF!)</f>
        <v>#REF!</v>
      </c>
      <c r="C37" s="67" t="e">
        <f aca="false">#REF!</f>
        <v>#REF!</v>
      </c>
      <c r="D37" s="67" t="e">
        <f aca="false">#REF!</f>
        <v>#REF!</v>
      </c>
      <c r="E37" s="67" t="e">
        <f aca="false">#REF!</f>
        <v>#REF!</v>
      </c>
      <c r="F37" s="67" t="e">
        <f aca="false">#REF!</f>
        <v>#REF!</v>
      </c>
    </row>
    <row r="38" customFormat="false" ht="12.8" hidden="false" customHeight="false" outlineLevel="0" collapsed="false">
      <c r="A38" s="4" t="e">
        <f aca="false">_xlfn.CONCAT($A$1, ".", #REF!)</f>
        <v>#REF!</v>
      </c>
      <c r="B38" s="49" t="e">
        <f aca="false">_xlfn.CONCAT(#REF!, ":", #REF!)</f>
        <v>#REF!</v>
      </c>
      <c r="C38" s="67" t="e">
        <f aca="false">#REF!</f>
        <v>#REF!</v>
      </c>
      <c r="D38" s="67" t="e">
        <f aca="false">#REF!</f>
        <v>#REF!</v>
      </c>
      <c r="E38" s="67" t="e">
        <f aca="false">#REF!</f>
        <v>#REF!</v>
      </c>
      <c r="F38" s="67" t="e">
        <f aca="false">#REF!</f>
        <v>#REF!</v>
      </c>
    </row>
    <row r="39" customFormat="false" ht="12.8" hidden="false" customHeight="false" outlineLevel="0" collapsed="false">
      <c r="A39" s="4" t="e">
        <f aca="false">_xlfn.CONCAT($A$1, ".", #REF!)</f>
        <v>#REF!</v>
      </c>
      <c r="B39" s="49" t="e">
        <f aca="false">_xlfn.CONCAT(#REF!, ":", #REF!)</f>
        <v>#REF!</v>
      </c>
      <c r="C39" s="67" t="e">
        <f aca="false">#REF!</f>
        <v>#REF!</v>
      </c>
      <c r="D39" s="67" t="e">
        <f aca="false">#REF!</f>
        <v>#REF!</v>
      </c>
      <c r="E39" s="67" t="e">
        <f aca="false">#REF!</f>
        <v>#REF!</v>
      </c>
      <c r="F39" s="67" t="e">
        <f aca="false">#REF!</f>
        <v>#REF!</v>
      </c>
    </row>
    <row r="40" customFormat="false" ht="12.8" hidden="false" customHeight="false" outlineLevel="0" collapsed="false">
      <c r="A40" s="4" t="e">
        <f aca="false">_xlfn.CONCAT($A$1, ".", #REF!)</f>
        <v>#REF!</v>
      </c>
      <c r="B40" s="49" t="e">
        <f aca="false">_xlfn.CONCAT(#REF!, ":", #REF!)</f>
        <v>#REF!</v>
      </c>
      <c r="C40" s="67" t="e">
        <f aca="false">#REF!</f>
        <v>#REF!</v>
      </c>
      <c r="D40" s="67" t="e">
        <f aca="false">#REF!</f>
        <v>#REF!</v>
      </c>
      <c r="E40" s="67" t="e">
        <f aca="false">#REF!</f>
        <v>#REF!</v>
      </c>
      <c r="F40" s="67" t="e">
        <f aca="false">#REF!</f>
        <v>#REF!</v>
      </c>
    </row>
    <row r="41" customFormat="false" ht="12.8" hidden="false" customHeight="false" outlineLevel="0" collapsed="false">
      <c r="A41" s="4" t="e">
        <f aca="false">_xlfn.CONCAT($A$1, ".", #REF!)</f>
        <v>#REF!</v>
      </c>
      <c r="B41" s="49" t="e">
        <f aca="false">_xlfn.CONCAT(#REF!, ":", #REF!)</f>
        <v>#REF!</v>
      </c>
      <c r="C41" s="67" t="e">
        <f aca="false">#REF!</f>
        <v>#REF!</v>
      </c>
      <c r="D41" s="67" t="e">
        <f aca="false">#REF!</f>
        <v>#REF!</v>
      </c>
      <c r="E41" s="67" t="e">
        <f aca="false">#REF!</f>
        <v>#REF!</v>
      </c>
      <c r="F41" s="67" t="e">
        <f aca="false">#REF!</f>
        <v>#REF!</v>
      </c>
    </row>
    <row r="42" customFormat="false" ht="12.8" hidden="false" customHeight="false" outlineLevel="0" collapsed="false">
      <c r="A42" s="4" t="e">
        <f aca="false">_xlfn.CONCAT($A$1, ".", #REF!)</f>
        <v>#REF!</v>
      </c>
      <c r="B42" s="49" t="e">
        <f aca="false">_xlfn.CONCAT(#REF!, ":", #REF!)</f>
        <v>#REF!</v>
      </c>
      <c r="C42" s="67" t="e">
        <f aca="false">#REF!</f>
        <v>#REF!</v>
      </c>
      <c r="D42" s="67" t="e">
        <f aca="false">#REF!</f>
        <v>#REF!</v>
      </c>
      <c r="E42" s="67" t="e">
        <f aca="false">#REF!</f>
        <v>#REF!</v>
      </c>
      <c r="F42" s="67" t="e">
        <f aca="false">#REF!</f>
        <v>#REF!</v>
      </c>
    </row>
    <row r="43" customFormat="false" ht="12.8" hidden="false" customHeight="false" outlineLevel="0" collapsed="false">
      <c r="A43" s="4" t="e">
        <f aca="false">_xlfn.CONCAT($A$1, ".", #REF!)</f>
        <v>#REF!</v>
      </c>
      <c r="B43" s="49" t="e">
        <f aca="false">_xlfn.CONCAT(#REF!, ":", #REF!)</f>
        <v>#REF!</v>
      </c>
      <c r="C43" s="67" t="e">
        <f aca="false">#REF!</f>
        <v>#REF!</v>
      </c>
      <c r="D43" s="67" t="e">
        <f aca="false">#REF!</f>
        <v>#REF!</v>
      </c>
      <c r="E43" s="67" t="e">
        <f aca="false">#REF!</f>
        <v>#REF!</v>
      </c>
      <c r="F43" s="67" t="e">
        <f aca="false">#REF!</f>
        <v>#REF!</v>
      </c>
    </row>
    <row r="44" customFormat="false" ht="12.8" hidden="false" customHeight="false" outlineLevel="0" collapsed="false">
      <c r="A44" s="4" t="e">
        <f aca="false">_xlfn.CONCAT($A$1, ".", #REF!)</f>
        <v>#REF!</v>
      </c>
      <c r="B44" s="49" t="e">
        <f aca="false">_xlfn.CONCAT(#REF!, ":", #REF!)</f>
        <v>#REF!</v>
      </c>
      <c r="C44" s="67" t="e">
        <f aca="false">#REF!</f>
        <v>#REF!</v>
      </c>
      <c r="D44" s="67" t="e">
        <f aca="false">#REF!</f>
        <v>#REF!</v>
      </c>
      <c r="E44" s="67" t="e">
        <f aca="false">#REF!</f>
        <v>#REF!</v>
      </c>
      <c r="F44" s="67" t="e">
        <f aca="false">#REF!</f>
        <v>#REF!</v>
      </c>
    </row>
    <row r="45" customFormat="false" ht="12.8" hidden="false" customHeight="false" outlineLevel="0" collapsed="false">
      <c r="A45" s="4" t="e">
        <f aca="false">_xlfn.CONCAT($A$1, ".", #REF!)</f>
        <v>#REF!</v>
      </c>
      <c r="B45" s="49" t="e">
        <f aca="false">_xlfn.CONCAT(#REF!, ":", #REF!)</f>
        <v>#REF!</v>
      </c>
      <c r="C45" s="67" t="e">
        <f aca="false">#REF!</f>
        <v>#REF!</v>
      </c>
      <c r="D45" s="67" t="e">
        <f aca="false">#REF!</f>
        <v>#REF!</v>
      </c>
      <c r="E45" s="67" t="e">
        <f aca="false">#REF!</f>
        <v>#REF!</v>
      </c>
      <c r="F45" s="67" t="e">
        <f aca="false">#REF!</f>
        <v>#REF!</v>
      </c>
    </row>
    <row r="46" customFormat="false" ht="12.8" hidden="false" customHeight="false" outlineLevel="0" collapsed="false">
      <c r="A46" s="4" t="e">
        <f aca="false">_xlfn.CONCAT($A$1, ".", #REF!)</f>
        <v>#REF!</v>
      </c>
      <c r="B46" s="49" t="e">
        <f aca="false">_xlfn.CONCAT(#REF!, ":", #REF!)</f>
        <v>#REF!</v>
      </c>
      <c r="C46" s="67" t="e">
        <f aca="false">#REF!</f>
        <v>#REF!</v>
      </c>
      <c r="D46" s="67" t="e">
        <f aca="false">#REF!</f>
        <v>#REF!</v>
      </c>
      <c r="E46" s="67" t="e">
        <f aca="false">#REF!</f>
        <v>#REF!</v>
      </c>
      <c r="F46" s="67" t="e">
        <f aca="false">#REF!</f>
        <v>#REF!</v>
      </c>
    </row>
    <row r="47" customFormat="false" ht="12.8" hidden="false" customHeight="false" outlineLevel="0" collapsed="false">
      <c r="A47" s="4" t="e">
        <f aca="false">_xlfn.CONCAT($A$1, ".", #REF!)</f>
        <v>#REF!</v>
      </c>
      <c r="B47" s="49" t="e">
        <f aca="false">_xlfn.CONCAT(#REF!, ":", #REF!)</f>
        <v>#REF!</v>
      </c>
      <c r="C47" s="67" t="e">
        <f aca="false">#REF!</f>
        <v>#REF!</v>
      </c>
      <c r="D47" s="67" t="e">
        <f aca="false">#REF!</f>
        <v>#REF!</v>
      </c>
      <c r="E47" s="67" t="e">
        <f aca="false">#REF!</f>
        <v>#REF!</v>
      </c>
      <c r="F47" s="67" t="e">
        <f aca="false">#REF!</f>
        <v>#REF!</v>
      </c>
    </row>
    <row r="48" customFormat="false" ht="12.8" hidden="false" customHeight="false" outlineLevel="0" collapsed="false">
      <c r="A48" s="4" t="e">
        <f aca="false">_xlfn.CONCAT($A$1, ".", #REF!)</f>
        <v>#REF!</v>
      </c>
      <c r="B48" s="49" t="e">
        <f aca="false">_xlfn.CONCAT(#REF!, ":", #REF!)</f>
        <v>#REF!</v>
      </c>
      <c r="C48" s="67" t="e">
        <f aca="false">#REF!</f>
        <v>#REF!</v>
      </c>
      <c r="D48" s="67" t="e">
        <f aca="false">#REF!</f>
        <v>#REF!</v>
      </c>
      <c r="E48" s="67" t="e">
        <f aca="false">#REF!</f>
        <v>#REF!</v>
      </c>
      <c r="F48" s="67" t="e">
        <f aca="false">#REF!</f>
        <v>#REF!</v>
      </c>
    </row>
    <row r="49" customFormat="false" ht="12.8" hidden="false" customHeight="false" outlineLevel="0" collapsed="false">
      <c r="A49" s="4" t="e">
        <f aca="false">_xlfn.CONCAT($A$1, ".", #REF!)</f>
        <v>#REF!</v>
      </c>
      <c r="B49" s="49" t="e">
        <f aca="false">_xlfn.CONCAT(#REF!, ":", #REF!)</f>
        <v>#REF!</v>
      </c>
      <c r="C49" s="67" t="e">
        <f aca="false">#REF!</f>
        <v>#REF!</v>
      </c>
      <c r="D49" s="67" t="e">
        <f aca="false">#REF!</f>
        <v>#REF!</v>
      </c>
      <c r="E49" s="67" t="e">
        <f aca="false">#REF!</f>
        <v>#REF!</v>
      </c>
      <c r="F49" s="67" t="e">
        <f aca="false">#REF!</f>
        <v>#REF!</v>
      </c>
    </row>
    <row r="50" customFormat="false" ht="12.8" hidden="false" customHeight="false" outlineLevel="0" collapsed="false">
      <c r="A50" s="4" t="e">
        <f aca="false">_xlfn.CONCAT($A$1, ".", #REF!)</f>
        <v>#REF!</v>
      </c>
      <c r="B50" s="49" t="e">
        <f aca="false">_xlfn.CONCAT(#REF!, ":", #REF!)</f>
        <v>#REF!</v>
      </c>
      <c r="C50" s="67" t="e">
        <f aca="false">#REF!</f>
        <v>#REF!</v>
      </c>
      <c r="D50" s="67" t="e">
        <f aca="false">#REF!</f>
        <v>#REF!</v>
      </c>
      <c r="E50" s="67" t="e">
        <f aca="false">#REF!</f>
        <v>#REF!</v>
      </c>
      <c r="F50" s="67" t="e">
        <f aca="false">#REF!</f>
        <v>#REF!</v>
      </c>
    </row>
    <row r="51" customFormat="false" ht="12.8" hidden="false" customHeight="false" outlineLevel="0" collapsed="false">
      <c r="A51" s="4" t="e">
        <f aca="false">_xlfn.CONCAT($A$1, ".", #REF!)</f>
        <v>#REF!</v>
      </c>
      <c r="B51" s="49" t="e">
        <f aca="false">_xlfn.CONCAT(#REF!, ":", #REF!)</f>
        <v>#REF!</v>
      </c>
      <c r="C51" s="67" t="e">
        <f aca="false">#REF!</f>
        <v>#REF!</v>
      </c>
      <c r="D51" s="67" t="e">
        <f aca="false">#REF!</f>
        <v>#REF!</v>
      </c>
      <c r="E51" s="67" t="e">
        <f aca="false">#REF!</f>
        <v>#REF!</v>
      </c>
      <c r="F51" s="67" t="e">
        <f aca="false">#REF!</f>
        <v>#REF!</v>
      </c>
    </row>
    <row r="52" customFormat="false" ht="12.8" hidden="false" customHeight="false" outlineLevel="0" collapsed="false">
      <c r="A52" s="4" t="e">
        <f aca="false">_xlfn.CONCAT($A$1, ".", #REF!)</f>
        <v>#REF!</v>
      </c>
      <c r="B52" s="49" t="e">
        <f aca="false">_xlfn.CONCAT(#REF!, ":", #REF!)</f>
        <v>#REF!</v>
      </c>
      <c r="C52" s="67" t="e">
        <f aca="false">#REF!</f>
        <v>#REF!</v>
      </c>
      <c r="D52" s="67" t="e">
        <f aca="false">#REF!</f>
        <v>#REF!</v>
      </c>
      <c r="E52" s="67" t="e">
        <f aca="false">#REF!</f>
        <v>#REF!</v>
      </c>
      <c r="F52" s="67" t="e">
        <f aca="false">#REF!</f>
        <v>#REF!</v>
      </c>
    </row>
    <row r="53" customFormat="false" ht="12.8" hidden="false" customHeight="false" outlineLevel="0" collapsed="false">
      <c r="A53" s="4" t="e">
        <f aca="false">_xlfn.CONCAT($A$1, ".", #REF!)</f>
        <v>#REF!</v>
      </c>
      <c r="B53" s="49" t="e">
        <f aca="false">_xlfn.CONCAT(#REF!, ":", #REF!)</f>
        <v>#REF!</v>
      </c>
      <c r="C53" s="67" t="e">
        <f aca="false">#REF!</f>
        <v>#REF!</v>
      </c>
      <c r="D53" s="67" t="e">
        <f aca="false">#REF!</f>
        <v>#REF!</v>
      </c>
      <c r="E53" s="67" t="e">
        <f aca="false">#REF!</f>
        <v>#REF!</v>
      </c>
      <c r="F53" s="67" t="e">
        <f aca="false">#REF!</f>
        <v>#REF!</v>
      </c>
    </row>
    <row r="54" customFormat="false" ht="12.8" hidden="false" customHeight="false" outlineLevel="0" collapsed="false">
      <c r="A54" s="4" t="e">
        <f aca="false">_xlfn.CONCAT($A$1, ".", #REF!)</f>
        <v>#REF!</v>
      </c>
      <c r="B54" s="49" t="e">
        <f aca="false">_xlfn.CONCAT(#REF!, ":", #REF!)</f>
        <v>#REF!</v>
      </c>
      <c r="C54" s="67" t="e">
        <f aca="false">#REF!</f>
        <v>#REF!</v>
      </c>
      <c r="D54" s="67" t="e">
        <f aca="false">#REF!</f>
        <v>#REF!</v>
      </c>
      <c r="E54" s="67" t="e">
        <f aca="false">#REF!</f>
        <v>#REF!</v>
      </c>
      <c r="F54" s="67" t="e">
        <f aca="false">#REF!</f>
        <v>#REF!</v>
      </c>
    </row>
    <row r="55" customFormat="false" ht="12.8" hidden="false" customHeight="false" outlineLevel="0" collapsed="false">
      <c r="A55" s="4" t="e">
        <f aca="false">_xlfn.CONCAT($A$1, ".", #REF!)</f>
        <v>#REF!</v>
      </c>
      <c r="B55" s="49" t="e">
        <f aca="false">_xlfn.CONCAT(#REF!, ":", #REF!)</f>
        <v>#REF!</v>
      </c>
      <c r="C55" s="67" t="e">
        <f aca="false">#REF!</f>
        <v>#REF!</v>
      </c>
      <c r="D55" s="67" t="e">
        <f aca="false">#REF!</f>
        <v>#REF!</v>
      </c>
      <c r="E55" s="67" t="e">
        <f aca="false">#REF!</f>
        <v>#REF!</v>
      </c>
      <c r="F55" s="67" t="e">
        <f aca="false">#REF!</f>
        <v>#REF!</v>
      </c>
    </row>
    <row r="56" customFormat="false" ht="12.8" hidden="false" customHeight="false" outlineLevel="0" collapsed="false">
      <c r="A56" s="4"/>
      <c r="B56" s="49"/>
      <c r="C56" s="67"/>
      <c r="D56" s="67"/>
      <c r="E56" s="67"/>
      <c r="F56" s="67"/>
    </row>
    <row r="57" customFormat="false" ht="12.8" hidden="false" customHeight="false" outlineLevel="0" collapsed="false">
      <c r="A57" s="4"/>
      <c r="B57" s="49"/>
      <c r="C57" s="67"/>
      <c r="D57" s="67"/>
      <c r="E57" s="67"/>
      <c r="F57" s="67"/>
    </row>
    <row r="58" customFormat="false" ht="12.8" hidden="false" customHeight="false" outlineLevel="0" collapsed="false">
      <c r="A58" s="4"/>
      <c r="B58" s="49"/>
      <c r="C58" s="67"/>
      <c r="D58" s="67"/>
      <c r="E58" s="67"/>
      <c r="F58" s="67"/>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83B0"/>
    <pageSetUpPr fitToPage="false"/>
  </sheetPr>
  <dimension ref="A1:BP247"/>
  <sheetViews>
    <sheetView showFormulas="false" showGridLines="true" showRowColHeaders="true" showZeros="true" rightToLeft="false" tabSelected="false" showOutlineSymbols="true" defaultGridColor="true" view="normal" topLeftCell="A100" colorId="64" zoomScale="75" zoomScaleNormal="75" zoomScalePageLayoutView="100" workbookViewId="0">
      <selection pane="topLeft" activeCell="A152" activeCellId="1" sqref="D3:E3 A152"/>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11" t="s">
        <v>981</v>
      </c>
      <c r="B1" s="52" t="s">
        <v>982</v>
      </c>
      <c r="C1" s="6" t="s">
        <v>2</v>
      </c>
      <c r="D1" s="60" t="s">
        <v>983</v>
      </c>
      <c r="AZ1" s="39"/>
      <c r="BP1" s="39"/>
    </row>
    <row r="2" customFormat="false" ht="46.25" hidden="false" customHeight="false" outlineLevel="0" collapsed="false">
      <c r="A2" s="64" t="s">
        <v>792</v>
      </c>
      <c r="B2" s="52" t="s">
        <v>793</v>
      </c>
      <c r="C2" s="67" t="str">
        <f aca="false">CALC!P3</f>
        <v>Unemployment Rate</v>
      </c>
      <c r="D2" s="67" t="str">
        <f aca="false">CALC!Q3</f>
        <v>Authorized Immigrant Unemployment Rate</v>
      </c>
      <c r="E2" s="67" t="str">
        <f aca="false">CALC!R3</f>
        <v>Unauthorized Immigrant Unemployment Rate</v>
      </c>
      <c r="F2" s="67" t="str">
        <f aca="false">CALC!S3</f>
        <v>American Unemployment Rate</v>
      </c>
    </row>
    <row r="3" customFormat="false" ht="12.8" hidden="false" customHeight="false" outlineLevel="0" collapsed="false">
      <c r="A3" s="4" t="e">
        <f aca="false">_xlfn.CONCAT($A$1, ".", #REF!)</f>
        <v>#REF!</v>
      </c>
      <c r="B3" s="49" t="e">
        <f aca="false">_xlfn.CONCAT(#REF!, ":", #REF!)</f>
        <v>#REF!</v>
      </c>
      <c r="C3" s="67" t="e">
        <f aca="false">#REF!</f>
        <v>#REF!</v>
      </c>
      <c r="D3" s="67" t="e">
        <f aca="false">#REF!</f>
        <v>#REF!</v>
      </c>
      <c r="E3" s="67" t="e">
        <f aca="false">#REF!</f>
        <v>#REF!</v>
      </c>
      <c r="F3" s="67" t="e">
        <f aca="false">#REF!</f>
        <v>#REF!</v>
      </c>
    </row>
    <row r="4" customFormat="false" ht="12.8" hidden="false" customHeight="false" outlineLevel="0" collapsed="false">
      <c r="A4" s="50" t="e">
        <f aca="false">_xlfn.CONCAT($A$1, ".", #REF!)</f>
        <v>#REF!</v>
      </c>
      <c r="B4" s="68" t="e">
        <f aca="false">_xlfn.CONCAT(#REF!, ":", #REF!)</f>
        <v>#REF!</v>
      </c>
      <c r="C4" s="69" t="e">
        <f aca="false">#REF!</f>
        <v>#REF!</v>
      </c>
      <c r="D4" s="69" t="e">
        <f aca="false">#REF!</f>
        <v>#REF!</v>
      </c>
      <c r="E4" s="69" t="e">
        <f aca="false">#REF!</f>
        <v>#REF!</v>
      </c>
      <c r="F4" s="69" t="e">
        <f aca="false">#REF!</f>
        <v>#REF!</v>
      </c>
    </row>
    <row r="5" customFormat="false" ht="12.8" hidden="false" customHeight="false" outlineLevel="0" collapsed="false">
      <c r="A5" s="50" t="e">
        <f aca="false">_xlfn.CONCAT($A$1, ".", #REF!)</f>
        <v>#REF!</v>
      </c>
      <c r="B5" s="68" t="e">
        <f aca="false">_xlfn.CONCAT(#REF!, ":", #REF!)</f>
        <v>#REF!</v>
      </c>
      <c r="C5" s="69" t="e">
        <f aca="false">#REF!</f>
        <v>#REF!</v>
      </c>
      <c r="D5" s="69" t="e">
        <f aca="false">#REF!</f>
        <v>#REF!</v>
      </c>
      <c r="E5" s="69" t="e">
        <f aca="false">#REF!</f>
        <v>#REF!</v>
      </c>
      <c r="F5" s="69" t="e">
        <f aca="false">#REF!</f>
        <v>#REF!</v>
      </c>
    </row>
    <row r="6" customFormat="false" ht="12.8" hidden="false" customHeight="false" outlineLevel="0" collapsed="false">
      <c r="A6" s="50" t="e">
        <f aca="false">_xlfn.CONCAT($A$1, ".", #REF!)</f>
        <v>#REF!</v>
      </c>
      <c r="B6" s="68" t="e">
        <f aca="false">_xlfn.CONCAT(#REF!, ":", #REF!)</f>
        <v>#REF!</v>
      </c>
      <c r="C6" s="69" t="e">
        <f aca="false">#REF!</f>
        <v>#REF!</v>
      </c>
      <c r="D6" s="69" t="e">
        <f aca="false">#REF!</f>
        <v>#REF!</v>
      </c>
      <c r="E6" s="69" t="e">
        <f aca="false">#REF!</f>
        <v>#REF!</v>
      </c>
      <c r="F6" s="69" t="e">
        <f aca="false">#REF!</f>
        <v>#REF!</v>
      </c>
    </row>
    <row r="7" customFormat="false" ht="12.8" hidden="false" customHeight="false" outlineLevel="0" collapsed="false">
      <c r="A7" s="50" t="e">
        <f aca="false">_xlfn.CONCAT($A$1, ".", #REF!)</f>
        <v>#REF!</v>
      </c>
      <c r="B7" s="68" t="e">
        <f aca="false">_xlfn.CONCAT(#REF!, ":", #REF!)</f>
        <v>#REF!</v>
      </c>
      <c r="C7" s="69" t="e">
        <f aca="false">#REF!</f>
        <v>#REF!</v>
      </c>
      <c r="D7" s="69" t="e">
        <f aca="false">#REF!</f>
        <v>#REF!</v>
      </c>
      <c r="E7" s="69" t="e">
        <f aca="false">#REF!</f>
        <v>#REF!</v>
      </c>
      <c r="F7" s="69" t="e">
        <f aca="false">#REF!</f>
        <v>#REF!</v>
      </c>
    </row>
    <row r="8" customFormat="false" ht="12.8" hidden="false" customHeight="false" outlineLevel="0" collapsed="false">
      <c r="A8" s="50" t="e">
        <f aca="false">_xlfn.CONCAT($A$1, ".", #REF!)</f>
        <v>#REF!</v>
      </c>
      <c r="B8" s="68" t="e">
        <f aca="false">_xlfn.CONCAT(#REF!, ":", #REF!)</f>
        <v>#REF!</v>
      </c>
      <c r="C8" s="69" t="e">
        <f aca="false">#REF!</f>
        <v>#REF!</v>
      </c>
      <c r="D8" s="69" t="e">
        <f aca="false">#REF!</f>
        <v>#REF!</v>
      </c>
      <c r="E8" s="69" t="e">
        <f aca="false">#REF!</f>
        <v>#REF!</v>
      </c>
      <c r="F8" s="69" t="e">
        <f aca="false">#REF!</f>
        <v>#REF!</v>
      </c>
    </row>
    <row r="9" customFormat="false" ht="12.8" hidden="false" customHeight="false" outlineLevel="0" collapsed="false">
      <c r="A9" s="50" t="e">
        <f aca="false">_xlfn.CONCAT($A$1, ".", #REF!)</f>
        <v>#REF!</v>
      </c>
      <c r="B9" s="68" t="e">
        <f aca="false">_xlfn.CONCAT(#REF!, ":", #REF!)</f>
        <v>#REF!</v>
      </c>
      <c r="C9" s="69" t="e">
        <f aca="false">#REF!</f>
        <v>#REF!</v>
      </c>
      <c r="D9" s="69" t="e">
        <f aca="false">#REF!</f>
        <v>#REF!</v>
      </c>
      <c r="E9" s="69" t="e">
        <f aca="false">#REF!</f>
        <v>#REF!</v>
      </c>
      <c r="F9" s="69" t="e">
        <f aca="false">#REF!</f>
        <v>#REF!</v>
      </c>
    </row>
    <row r="10" customFormat="false" ht="12.8" hidden="false" customHeight="false" outlineLevel="0" collapsed="false">
      <c r="A10" s="50" t="e">
        <f aca="false">_xlfn.CONCAT($A$1, ".", #REF!)</f>
        <v>#REF!</v>
      </c>
      <c r="B10" s="68" t="e">
        <f aca="false">_xlfn.CONCAT(#REF!, ":", #REF!)</f>
        <v>#REF!</v>
      </c>
      <c r="C10" s="69" t="e">
        <f aca="false">#REF!</f>
        <v>#REF!</v>
      </c>
      <c r="D10" s="69" t="e">
        <f aca="false">#REF!</f>
        <v>#REF!</v>
      </c>
      <c r="E10" s="69" t="e">
        <f aca="false">#REF!</f>
        <v>#REF!</v>
      </c>
      <c r="F10" s="69" t="e">
        <f aca="false">#REF!</f>
        <v>#REF!</v>
      </c>
    </row>
    <row r="11" customFormat="false" ht="12.8" hidden="false" customHeight="false" outlineLevel="0" collapsed="false">
      <c r="A11" s="50" t="e">
        <f aca="false">_xlfn.CONCAT($A$1, ".", #REF!)</f>
        <v>#REF!</v>
      </c>
      <c r="B11" s="68" t="e">
        <f aca="false">_xlfn.CONCAT(#REF!, ":", #REF!)</f>
        <v>#REF!</v>
      </c>
      <c r="C11" s="69" t="e">
        <f aca="false">#REF!</f>
        <v>#REF!</v>
      </c>
      <c r="D11" s="69" t="e">
        <f aca="false">#REF!</f>
        <v>#REF!</v>
      </c>
      <c r="E11" s="69" t="e">
        <f aca="false">#REF!</f>
        <v>#REF!</v>
      </c>
      <c r="F11" s="69" t="e">
        <f aca="false">#REF!</f>
        <v>#REF!</v>
      </c>
    </row>
    <row r="12" customFormat="false" ht="12.8" hidden="false" customHeight="false" outlineLevel="0" collapsed="false">
      <c r="A12" s="50" t="e">
        <f aca="false">_xlfn.CONCAT($A$1, ".", #REF!)</f>
        <v>#REF!</v>
      </c>
      <c r="B12" s="68" t="e">
        <f aca="false">_xlfn.CONCAT(#REF!, ":", #REF!)</f>
        <v>#REF!</v>
      </c>
      <c r="C12" s="69" t="e">
        <f aca="false">#REF!</f>
        <v>#REF!</v>
      </c>
      <c r="D12" s="69" t="e">
        <f aca="false">#REF!</f>
        <v>#REF!</v>
      </c>
      <c r="E12" s="69" t="e">
        <f aca="false">#REF!</f>
        <v>#REF!</v>
      </c>
      <c r="F12" s="69" t="e">
        <f aca="false">#REF!</f>
        <v>#REF!</v>
      </c>
    </row>
    <row r="13" customFormat="false" ht="12.8" hidden="false" customHeight="false" outlineLevel="0" collapsed="false">
      <c r="A13" s="50" t="e">
        <f aca="false">_xlfn.CONCAT($A$1, ".", #REF!)</f>
        <v>#REF!</v>
      </c>
      <c r="B13" s="68" t="e">
        <f aca="false">_xlfn.CONCAT(#REF!, ":", #REF!)</f>
        <v>#REF!</v>
      </c>
      <c r="C13" s="69" t="e">
        <f aca="false">#REF!</f>
        <v>#REF!</v>
      </c>
      <c r="D13" s="69" t="e">
        <f aca="false">#REF!</f>
        <v>#REF!</v>
      </c>
      <c r="E13" s="69" t="e">
        <f aca="false">#REF!</f>
        <v>#REF!</v>
      </c>
      <c r="F13" s="69" t="e">
        <f aca="false">#REF!</f>
        <v>#REF!</v>
      </c>
    </row>
    <row r="14" customFormat="false" ht="12.8" hidden="false" customHeight="false" outlineLevel="0" collapsed="false">
      <c r="A14" s="50" t="e">
        <f aca="false">_xlfn.CONCAT($A$1, ".", #REF!)</f>
        <v>#REF!</v>
      </c>
      <c r="B14" s="68" t="e">
        <f aca="false">_xlfn.CONCAT(#REF!, ":", #REF!)</f>
        <v>#REF!</v>
      </c>
      <c r="C14" s="69" t="e">
        <f aca="false">#REF!</f>
        <v>#REF!</v>
      </c>
      <c r="D14" s="69" t="e">
        <f aca="false">#REF!</f>
        <v>#REF!</v>
      </c>
      <c r="E14" s="69" t="e">
        <f aca="false">#REF!</f>
        <v>#REF!</v>
      </c>
      <c r="F14" s="69" t="e">
        <f aca="false">#REF!</f>
        <v>#REF!</v>
      </c>
    </row>
    <row r="15" customFormat="false" ht="12.8" hidden="false" customHeight="false" outlineLevel="0" collapsed="false">
      <c r="A15" s="50" t="e">
        <f aca="false">_xlfn.CONCAT($A$1, ".", #REF!)</f>
        <v>#REF!</v>
      </c>
      <c r="B15" s="68" t="e">
        <f aca="false">_xlfn.CONCAT(#REF!, ":", #REF!)</f>
        <v>#REF!</v>
      </c>
      <c r="C15" s="69" t="e">
        <f aca="false">#REF!</f>
        <v>#REF!</v>
      </c>
      <c r="D15" s="69" t="e">
        <f aca="false">#REF!</f>
        <v>#REF!</v>
      </c>
      <c r="E15" s="69" t="e">
        <f aca="false">#REF!</f>
        <v>#REF!</v>
      </c>
      <c r="F15" s="69" t="e">
        <f aca="false">#REF!</f>
        <v>#REF!</v>
      </c>
    </row>
    <row r="16" customFormat="false" ht="12.8" hidden="false" customHeight="false" outlineLevel="0" collapsed="false">
      <c r="A16" s="50" t="e">
        <f aca="false">_xlfn.CONCAT($A$1, ".", #REF!)</f>
        <v>#REF!</v>
      </c>
      <c r="B16" s="68" t="e">
        <f aca="false">_xlfn.CONCAT(#REF!, ":", #REF!)</f>
        <v>#REF!</v>
      </c>
      <c r="C16" s="69" t="e">
        <f aca="false">#REF!</f>
        <v>#REF!</v>
      </c>
      <c r="D16" s="69" t="e">
        <f aca="false">#REF!</f>
        <v>#REF!</v>
      </c>
      <c r="E16" s="69" t="e">
        <f aca="false">#REF!</f>
        <v>#REF!</v>
      </c>
      <c r="F16" s="69" t="e">
        <f aca="false">#REF!</f>
        <v>#REF!</v>
      </c>
    </row>
    <row r="17" customFormat="false" ht="12.8" hidden="false" customHeight="false" outlineLevel="0" collapsed="false">
      <c r="A17" s="50" t="e">
        <f aca="false">_xlfn.CONCAT($A$1, ".", #REF!)</f>
        <v>#REF!</v>
      </c>
      <c r="B17" s="68" t="e">
        <f aca="false">_xlfn.CONCAT(#REF!, ":", #REF!)</f>
        <v>#REF!</v>
      </c>
      <c r="C17" s="69" t="e">
        <f aca="false">#REF!</f>
        <v>#REF!</v>
      </c>
      <c r="D17" s="69" t="e">
        <f aca="false">#REF!</f>
        <v>#REF!</v>
      </c>
      <c r="E17" s="69" t="e">
        <f aca="false">#REF!</f>
        <v>#REF!</v>
      </c>
      <c r="F17" s="69" t="e">
        <f aca="false">#REF!</f>
        <v>#REF!</v>
      </c>
    </row>
    <row r="18" customFormat="false" ht="12.8" hidden="false" customHeight="false" outlineLevel="0" collapsed="false">
      <c r="A18" s="50" t="e">
        <f aca="false">_xlfn.CONCAT($A$1, ".", #REF!)</f>
        <v>#REF!</v>
      </c>
      <c r="B18" s="68" t="e">
        <f aca="false">_xlfn.CONCAT(#REF!, ":", #REF!)</f>
        <v>#REF!</v>
      </c>
      <c r="C18" s="69" t="e">
        <f aca="false">#REF!</f>
        <v>#REF!</v>
      </c>
      <c r="D18" s="69" t="e">
        <f aca="false">#REF!</f>
        <v>#REF!</v>
      </c>
      <c r="E18" s="69" t="e">
        <f aca="false">#REF!</f>
        <v>#REF!</v>
      </c>
      <c r="F18" s="69" t="e">
        <f aca="false">#REF!</f>
        <v>#REF!</v>
      </c>
    </row>
    <row r="19" customFormat="false" ht="12.8" hidden="false" customHeight="false" outlineLevel="0" collapsed="false">
      <c r="A19" s="50" t="e">
        <f aca="false">_xlfn.CONCAT($A$1, ".", #REF!)</f>
        <v>#REF!</v>
      </c>
      <c r="B19" s="68" t="e">
        <f aca="false">_xlfn.CONCAT(#REF!, ":", #REF!)</f>
        <v>#REF!</v>
      </c>
      <c r="C19" s="69" t="e">
        <f aca="false">#REF!</f>
        <v>#REF!</v>
      </c>
      <c r="D19" s="69" t="e">
        <f aca="false">#REF!</f>
        <v>#REF!</v>
      </c>
      <c r="E19" s="69" t="e">
        <f aca="false">#REF!</f>
        <v>#REF!</v>
      </c>
      <c r="F19" s="69" t="e">
        <f aca="false">#REF!</f>
        <v>#REF!</v>
      </c>
    </row>
    <row r="20" customFormat="false" ht="12.8" hidden="false" customHeight="false" outlineLevel="0" collapsed="false">
      <c r="A20" s="50" t="e">
        <f aca="false">_xlfn.CONCAT($A$1, ".", #REF!)</f>
        <v>#REF!</v>
      </c>
      <c r="B20" s="68" t="e">
        <f aca="false">_xlfn.CONCAT(#REF!, ":", #REF!)</f>
        <v>#REF!</v>
      </c>
      <c r="C20" s="69" t="e">
        <f aca="false">#REF!</f>
        <v>#REF!</v>
      </c>
      <c r="D20" s="69" t="e">
        <f aca="false">#REF!</f>
        <v>#REF!</v>
      </c>
      <c r="E20" s="69" t="e">
        <f aca="false">#REF!</f>
        <v>#REF!</v>
      </c>
      <c r="F20" s="69" t="e">
        <f aca="false">#REF!</f>
        <v>#REF!</v>
      </c>
    </row>
    <row r="21" customFormat="false" ht="12.8" hidden="false" customHeight="false" outlineLevel="0" collapsed="false">
      <c r="A21" s="50" t="e">
        <f aca="false">_xlfn.CONCAT($A$1, ".", #REF!)</f>
        <v>#REF!</v>
      </c>
      <c r="B21" s="68" t="e">
        <f aca="false">_xlfn.CONCAT(#REF!, ":", #REF!)</f>
        <v>#REF!</v>
      </c>
      <c r="C21" s="69" t="e">
        <f aca="false">#REF!</f>
        <v>#REF!</v>
      </c>
      <c r="D21" s="69" t="e">
        <f aca="false">#REF!</f>
        <v>#REF!</v>
      </c>
      <c r="E21" s="69" t="e">
        <f aca="false">#REF!</f>
        <v>#REF!</v>
      </c>
      <c r="F21" s="69" t="e">
        <f aca="false">#REF!</f>
        <v>#REF!</v>
      </c>
    </row>
    <row r="22" customFormat="false" ht="12.8" hidden="false" customHeight="false" outlineLevel="0" collapsed="false">
      <c r="A22" s="50" t="e">
        <f aca="false">_xlfn.CONCAT($A$1, ".", #REF!)</f>
        <v>#REF!</v>
      </c>
      <c r="B22" s="68" t="e">
        <f aca="false">_xlfn.CONCAT(#REF!, ":", #REF!)</f>
        <v>#REF!</v>
      </c>
      <c r="C22" s="69" t="e">
        <f aca="false">#REF!</f>
        <v>#REF!</v>
      </c>
      <c r="D22" s="69" t="e">
        <f aca="false">#REF!</f>
        <v>#REF!</v>
      </c>
      <c r="E22" s="69" t="e">
        <f aca="false">#REF!</f>
        <v>#REF!</v>
      </c>
      <c r="F22" s="69" t="e">
        <f aca="false">#REF!</f>
        <v>#REF!</v>
      </c>
    </row>
    <row r="23" customFormat="false" ht="12.8" hidden="false" customHeight="false" outlineLevel="0" collapsed="false">
      <c r="A23" s="50" t="e">
        <f aca="false">_xlfn.CONCAT($A$1, ".", #REF!)</f>
        <v>#REF!</v>
      </c>
      <c r="B23" s="68" t="e">
        <f aca="false">_xlfn.CONCAT(#REF!, ":", #REF!)</f>
        <v>#REF!</v>
      </c>
      <c r="C23" s="69" t="e">
        <f aca="false">#REF!</f>
        <v>#REF!</v>
      </c>
      <c r="D23" s="69" t="e">
        <f aca="false">#REF!</f>
        <v>#REF!</v>
      </c>
      <c r="E23" s="69" t="e">
        <f aca="false">#REF!</f>
        <v>#REF!</v>
      </c>
      <c r="F23" s="69" t="e">
        <f aca="false">#REF!</f>
        <v>#REF!</v>
      </c>
    </row>
    <row r="24" customFormat="false" ht="12.8" hidden="false" customHeight="false" outlineLevel="0" collapsed="false">
      <c r="A24" s="50" t="e">
        <f aca="false">_xlfn.CONCAT($A$1, ".", #REF!)</f>
        <v>#REF!</v>
      </c>
      <c r="B24" s="68" t="e">
        <f aca="false">_xlfn.CONCAT(#REF!, ":", #REF!)</f>
        <v>#REF!</v>
      </c>
      <c r="C24" s="69" t="e">
        <f aca="false">#REF!</f>
        <v>#REF!</v>
      </c>
      <c r="D24" s="69" t="e">
        <f aca="false">#REF!</f>
        <v>#REF!</v>
      </c>
      <c r="E24" s="69" t="e">
        <f aca="false">#REF!</f>
        <v>#REF!</v>
      </c>
      <c r="F24" s="69" t="e">
        <f aca="false">#REF!</f>
        <v>#REF!</v>
      </c>
    </row>
    <row r="25" customFormat="false" ht="12.8" hidden="false" customHeight="false" outlineLevel="0" collapsed="false">
      <c r="A25" s="50" t="e">
        <f aca="false">_xlfn.CONCAT($A$1, ".", #REF!)</f>
        <v>#REF!</v>
      </c>
      <c r="B25" s="68" t="e">
        <f aca="false">_xlfn.CONCAT(#REF!, ":", #REF!)</f>
        <v>#REF!</v>
      </c>
      <c r="C25" s="69" t="e">
        <f aca="false">#REF!</f>
        <v>#REF!</v>
      </c>
      <c r="D25" s="69" t="e">
        <f aca="false">#REF!</f>
        <v>#REF!</v>
      </c>
      <c r="E25" s="69" t="e">
        <f aca="false">#REF!</f>
        <v>#REF!</v>
      </c>
      <c r="F25" s="69" t="e">
        <f aca="false">#REF!</f>
        <v>#REF!</v>
      </c>
    </row>
    <row r="26" customFormat="false" ht="12.8" hidden="false" customHeight="false" outlineLevel="0" collapsed="false">
      <c r="A26" s="50" t="e">
        <f aca="false">_xlfn.CONCAT($A$1, ".", #REF!)</f>
        <v>#REF!</v>
      </c>
      <c r="B26" s="68" t="e">
        <f aca="false">_xlfn.CONCAT(#REF!, ":", #REF!)</f>
        <v>#REF!</v>
      </c>
      <c r="C26" s="69" t="e">
        <f aca="false">#REF!</f>
        <v>#REF!</v>
      </c>
      <c r="D26" s="69" t="e">
        <f aca="false">#REF!</f>
        <v>#REF!</v>
      </c>
      <c r="E26" s="69" t="e">
        <f aca="false">#REF!</f>
        <v>#REF!</v>
      </c>
      <c r="F26" s="69" t="e">
        <f aca="false">#REF!</f>
        <v>#REF!</v>
      </c>
    </row>
    <row r="27" customFormat="false" ht="12.8" hidden="false" customHeight="false" outlineLevel="0" collapsed="false">
      <c r="A27" s="50" t="e">
        <f aca="false">_xlfn.CONCAT($A$1, ".", #REF!)</f>
        <v>#REF!</v>
      </c>
      <c r="B27" s="68" t="e">
        <f aca="false">_xlfn.CONCAT(#REF!, ":", #REF!)</f>
        <v>#REF!</v>
      </c>
      <c r="C27" s="69" t="e">
        <f aca="false">#REF!</f>
        <v>#REF!</v>
      </c>
      <c r="D27" s="69" t="e">
        <f aca="false">#REF!</f>
        <v>#REF!</v>
      </c>
      <c r="E27" s="69" t="e">
        <f aca="false">#REF!</f>
        <v>#REF!</v>
      </c>
      <c r="F27" s="69" t="e">
        <f aca="false">#REF!</f>
        <v>#REF!</v>
      </c>
    </row>
    <row r="28" customFormat="false" ht="12.8" hidden="false" customHeight="false" outlineLevel="0" collapsed="false">
      <c r="A28" s="50" t="e">
        <f aca="false">_xlfn.CONCAT($A$1, ".", #REF!)</f>
        <v>#REF!</v>
      </c>
      <c r="B28" s="68" t="e">
        <f aca="false">_xlfn.CONCAT(#REF!, ":", #REF!)</f>
        <v>#REF!</v>
      </c>
      <c r="C28" s="69" t="e">
        <f aca="false">#REF!</f>
        <v>#REF!</v>
      </c>
      <c r="D28" s="69" t="e">
        <f aca="false">#REF!</f>
        <v>#REF!</v>
      </c>
      <c r="E28" s="69" t="e">
        <f aca="false">#REF!</f>
        <v>#REF!</v>
      </c>
      <c r="F28" s="69" t="e">
        <f aca="false">#REF!</f>
        <v>#REF!</v>
      </c>
    </row>
    <row r="29" customFormat="false" ht="12.8" hidden="false" customHeight="false" outlineLevel="0" collapsed="false">
      <c r="A29" s="50" t="e">
        <f aca="false">_xlfn.CONCAT($A$1, ".", #REF!)</f>
        <v>#REF!</v>
      </c>
      <c r="B29" s="68" t="e">
        <f aca="false">_xlfn.CONCAT(#REF!, ":", #REF!)</f>
        <v>#REF!</v>
      </c>
      <c r="C29" s="69" t="e">
        <f aca="false">#REF!</f>
        <v>#REF!</v>
      </c>
      <c r="D29" s="69" t="e">
        <f aca="false">#REF!</f>
        <v>#REF!</v>
      </c>
      <c r="E29" s="69" t="e">
        <f aca="false">#REF!</f>
        <v>#REF!</v>
      </c>
      <c r="F29" s="69" t="e">
        <f aca="false">#REF!</f>
        <v>#REF!</v>
      </c>
    </row>
    <row r="30" customFormat="false" ht="12.8" hidden="false" customHeight="false" outlineLevel="0" collapsed="false">
      <c r="A30" s="50" t="e">
        <f aca="false">_xlfn.CONCAT($A$1, ".", #REF!)</f>
        <v>#REF!</v>
      </c>
      <c r="B30" s="68" t="e">
        <f aca="false">_xlfn.CONCAT(#REF!, ":", #REF!)</f>
        <v>#REF!</v>
      </c>
      <c r="C30" s="69" t="e">
        <f aca="false">#REF!</f>
        <v>#REF!</v>
      </c>
      <c r="D30" s="69" t="e">
        <f aca="false">#REF!</f>
        <v>#REF!</v>
      </c>
      <c r="E30" s="69" t="e">
        <f aca="false">#REF!</f>
        <v>#REF!</v>
      </c>
      <c r="F30" s="69" t="e">
        <f aca="false">#REF!</f>
        <v>#REF!</v>
      </c>
    </row>
    <row r="31" customFormat="false" ht="12.8" hidden="false" customHeight="false" outlineLevel="0" collapsed="false">
      <c r="A31" s="50" t="e">
        <f aca="false">_xlfn.CONCAT($A$1, ".", #REF!)</f>
        <v>#REF!</v>
      </c>
      <c r="B31" s="68" t="e">
        <f aca="false">_xlfn.CONCAT(#REF!, ":", #REF!)</f>
        <v>#REF!</v>
      </c>
      <c r="C31" s="69" t="e">
        <f aca="false">#REF!</f>
        <v>#REF!</v>
      </c>
      <c r="D31" s="69" t="e">
        <f aca="false">#REF!</f>
        <v>#REF!</v>
      </c>
      <c r="E31" s="69" t="e">
        <f aca="false">#REF!</f>
        <v>#REF!</v>
      </c>
      <c r="F31" s="69" t="e">
        <f aca="false">#REF!</f>
        <v>#REF!</v>
      </c>
    </row>
    <row r="32" customFormat="false" ht="12.8" hidden="false" customHeight="false" outlineLevel="0" collapsed="false">
      <c r="A32" s="50" t="e">
        <f aca="false">_xlfn.CONCAT($A$1, ".", #REF!)</f>
        <v>#REF!</v>
      </c>
      <c r="B32" s="68" t="e">
        <f aca="false">_xlfn.CONCAT(#REF!, ":", #REF!)</f>
        <v>#REF!</v>
      </c>
      <c r="C32" s="69" t="e">
        <f aca="false">#REF!</f>
        <v>#REF!</v>
      </c>
      <c r="D32" s="69" t="e">
        <f aca="false">#REF!</f>
        <v>#REF!</v>
      </c>
      <c r="E32" s="69" t="e">
        <f aca="false">#REF!</f>
        <v>#REF!</v>
      </c>
      <c r="F32" s="69" t="e">
        <f aca="false">#REF!</f>
        <v>#REF!</v>
      </c>
    </row>
    <row r="33" customFormat="false" ht="12.8" hidden="false" customHeight="false" outlineLevel="0" collapsed="false">
      <c r="A33" s="50" t="e">
        <f aca="false">_xlfn.CONCAT($A$1, ".", #REF!)</f>
        <v>#REF!</v>
      </c>
      <c r="B33" s="68" t="e">
        <f aca="false">_xlfn.CONCAT(#REF!, ":", #REF!)</f>
        <v>#REF!</v>
      </c>
      <c r="C33" s="69" t="e">
        <f aca="false">#REF!</f>
        <v>#REF!</v>
      </c>
      <c r="D33" s="69" t="e">
        <f aca="false">#REF!</f>
        <v>#REF!</v>
      </c>
      <c r="E33" s="69" t="e">
        <f aca="false">#REF!</f>
        <v>#REF!</v>
      </c>
      <c r="F33" s="69" t="e">
        <f aca="false">#REF!</f>
        <v>#REF!</v>
      </c>
    </row>
    <row r="34" customFormat="false" ht="12.8" hidden="false" customHeight="false" outlineLevel="0" collapsed="false">
      <c r="A34" s="50" t="e">
        <f aca="false">_xlfn.CONCAT($A$1, ".", #REF!)</f>
        <v>#REF!</v>
      </c>
      <c r="B34" s="68" t="e">
        <f aca="false">_xlfn.CONCAT(#REF!, ":", #REF!)</f>
        <v>#REF!</v>
      </c>
      <c r="C34" s="69" t="e">
        <f aca="false">#REF!</f>
        <v>#REF!</v>
      </c>
      <c r="D34" s="69" t="e">
        <f aca="false">#REF!</f>
        <v>#REF!</v>
      </c>
      <c r="E34" s="69" t="e">
        <f aca="false">#REF!</f>
        <v>#REF!</v>
      </c>
      <c r="F34" s="69" t="e">
        <f aca="false">#REF!</f>
        <v>#REF!</v>
      </c>
    </row>
    <row r="35" customFormat="false" ht="12.8" hidden="false" customHeight="false" outlineLevel="0" collapsed="false">
      <c r="A35" s="50" t="e">
        <f aca="false">_xlfn.CONCAT($A$1, ".", #REF!)</f>
        <v>#REF!</v>
      </c>
      <c r="B35" s="68" t="e">
        <f aca="false">_xlfn.CONCAT(#REF!, ":", #REF!)</f>
        <v>#REF!</v>
      </c>
      <c r="C35" s="69" t="e">
        <f aca="false">#REF!</f>
        <v>#REF!</v>
      </c>
      <c r="D35" s="69" t="e">
        <f aca="false">#REF!</f>
        <v>#REF!</v>
      </c>
      <c r="E35" s="69" t="e">
        <f aca="false">#REF!</f>
        <v>#REF!</v>
      </c>
      <c r="F35" s="69" t="e">
        <f aca="false">#REF!</f>
        <v>#REF!</v>
      </c>
    </row>
    <row r="36" customFormat="false" ht="12.8" hidden="false" customHeight="false" outlineLevel="0" collapsed="false">
      <c r="A36" s="50" t="e">
        <f aca="false">_xlfn.CONCAT($A$1, ".", #REF!)</f>
        <v>#REF!</v>
      </c>
      <c r="B36" s="68" t="e">
        <f aca="false">_xlfn.CONCAT(#REF!, ":", #REF!)</f>
        <v>#REF!</v>
      </c>
      <c r="C36" s="69" t="e">
        <f aca="false">#REF!</f>
        <v>#REF!</v>
      </c>
      <c r="D36" s="69" t="e">
        <f aca="false">#REF!</f>
        <v>#REF!</v>
      </c>
      <c r="E36" s="69" t="e">
        <f aca="false">#REF!</f>
        <v>#REF!</v>
      </c>
      <c r="F36" s="69" t="e">
        <f aca="false">#REF!</f>
        <v>#REF!</v>
      </c>
    </row>
    <row r="37" customFormat="false" ht="12.8" hidden="false" customHeight="false" outlineLevel="0" collapsed="false">
      <c r="A37" s="50" t="e">
        <f aca="false">_xlfn.CONCAT($A$1, ".", #REF!)</f>
        <v>#REF!</v>
      </c>
      <c r="B37" s="68" t="e">
        <f aca="false">_xlfn.CONCAT(#REF!, ":", #REF!)</f>
        <v>#REF!</v>
      </c>
      <c r="C37" s="69" t="e">
        <f aca="false">#REF!</f>
        <v>#REF!</v>
      </c>
      <c r="D37" s="69" t="e">
        <f aca="false">#REF!</f>
        <v>#REF!</v>
      </c>
      <c r="E37" s="69" t="e">
        <f aca="false">#REF!</f>
        <v>#REF!</v>
      </c>
      <c r="F37" s="69" t="e">
        <f aca="false">#REF!</f>
        <v>#REF!</v>
      </c>
    </row>
    <row r="38" customFormat="false" ht="12.8" hidden="false" customHeight="false" outlineLevel="0" collapsed="false">
      <c r="A38" s="50" t="e">
        <f aca="false">_xlfn.CONCAT($A$1, ".", #REF!)</f>
        <v>#REF!</v>
      </c>
      <c r="B38" s="68" t="e">
        <f aca="false">_xlfn.CONCAT(#REF!, ":", #REF!)</f>
        <v>#REF!</v>
      </c>
      <c r="C38" s="69" t="e">
        <f aca="false">#REF!</f>
        <v>#REF!</v>
      </c>
      <c r="D38" s="69" t="e">
        <f aca="false">#REF!</f>
        <v>#REF!</v>
      </c>
      <c r="E38" s="69" t="e">
        <f aca="false">#REF!</f>
        <v>#REF!</v>
      </c>
      <c r="F38" s="69" t="e">
        <f aca="false">#REF!</f>
        <v>#REF!</v>
      </c>
    </row>
    <row r="39" customFormat="false" ht="12.8" hidden="false" customHeight="false" outlineLevel="0" collapsed="false">
      <c r="A39" s="50" t="e">
        <f aca="false">_xlfn.CONCAT($A$1, ".", #REF!)</f>
        <v>#REF!</v>
      </c>
      <c r="B39" s="68" t="e">
        <f aca="false">_xlfn.CONCAT(#REF!, ":", #REF!)</f>
        <v>#REF!</v>
      </c>
      <c r="C39" s="69" t="e">
        <f aca="false">#REF!</f>
        <v>#REF!</v>
      </c>
      <c r="D39" s="69" t="e">
        <f aca="false">#REF!</f>
        <v>#REF!</v>
      </c>
      <c r="E39" s="69" t="e">
        <f aca="false">#REF!</f>
        <v>#REF!</v>
      </c>
      <c r="F39" s="69" t="e">
        <f aca="false">#REF!</f>
        <v>#REF!</v>
      </c>
    </row>
    <row r="40" customFormat="false" ht="12.8" hidden="false" customHeight="false" outlineLevel="0" collapsed="false">
      <c r="A40" s="50" t="e">
        <f aca="false">_xlfn.CONCAT($A$1, ".", #REF!)</f>
        <v>#REF!</v>
      </c>
      <c r="B40" s="68" t="e">
        <f aca="false">_xlfn.CONCAT(#REF!, ":", #REF!)</f>
        <v>#REF!</v>
      </c>
      <c r="C40" s="69" t="e">
        <f aca="false">#REF!</f>
        <v>#REF!</v>
      </c>
      <c r="D40" s="69" t="e">
        <f aca="false">#REF!</f>
        <v>#REF!</v>
      </c>
      <c r="E40" s="69" t="e">
        <f aca="false">#REF!</f>
        <v>#REF!</v>
      </c>
      <c r="F40" s="69" t="e">
        <f aca="false">#REF!</f>
        <v>#REF!</v>
      </c>
    </row>
    <row r="41" customFormat="false" ht="12.8" hidden="false" customHeight="false" outlineLevel="0" collapsed="false">
      <c r="A41" s="50" t="e">
        <f aca="false">_xlfn.CONCAT($A$1, ".", #REF!)</f>
        <v>#REF!</v>
      </c>
      <c r="B41" s="68" t="e">
        <f aca="false">_xlfn.CONCAT(#REF!, ":", #REF!)</f>
        <v>#REF!</v>
      </c>
      <c r="C41" s="69" t="e">
        <f aca="false">#REF!</f>
        <v>#REF!</v>
      </c>
      <c r="D41" s="69" t="e">
        <f aca="false">#REF!</f>
        <v>#REF!</v>
      </c>
      <c r="E41" s="69" t="e">
        <f aca="false">#REF!</f>
        <v>#REF!</v>
      </c>
      <c r="F41" s="69" t="e">
        <f aca="false">#REF!</f>
        <v>#REF!</v>
      </c>
    </row>
    <row r="42" customFormat="false" ht="12.8" hidden="false" customHeight="false" outlineLevel="0" collapsed="false">
      <c r="A42" s="50" t="e">
        <f aca="false">_xlfn.CONCAT($A$1, ".", #REF!)</f>
        <v>#REF!</v>
      </c>
      <c r="B42" s="68" t="e">
        <f aca="false">_xlfn.CONCAT(#REF!, ":", #REF!)</f>
        <v>#REF!</v>
      </c>
      <c r="C42" s="69" t="e">
        <f aca="false">#REF!</f>
        <v>#REF!</v>
      </c>
      <c r="D42" s="69" t="e">
        <f aca="false">#REF!</f>
        <v>#REF!</v>
      </c>
      <c r="E42" s="69" t="e">
        <f aca="false">#REF!</f>
        <v>#REF!</v>
      </c>
      <c r="F42" s="69" t="e">
        <f aca="false">#REF!</f>
        <v>#REF!</v>
      </c>
    </row>
    <row r="43" customFormat="false" ht="12.8" hidden="false" customHeight="false" outlineLevel="0" collapsed="false">
      <c r="A43" s="50" t="e">
        <f aca="false">_xlfn.CONCAT($A$1, ".", #REF!)</f>
        <v>#REF!</v>
      </c>
      <c r="B43" s="68" t="e">
        <f aca="false">_xlfn.CONCAT(#REF!, ":", #REF!)</f>
        <v>#REF!</v>
      </c>
      <c r="C43" s="69" t="e">
        <f aca="false">#REF!</f>
        <v>#REF!</v>
      </c>
      <c r="D43" s="69" t="e">
        <f aca="false">#REF!</f>
        <v>#REF!</v>
      </c>
      <c r="E43" s="69" t="e">
        <f aca="false">#REF!</f>
        <v>#REF!</v>
      </c>
      <c r="F43" s="69" t="e">
        <f aca="false">#REF!</f>
        <v>#REF!</v>
      </c>
    </row>
    <row r="44" customFormat="false" ht="12.8" hidden="false" customHeight="false" outlineLevel="0" collapsed="false">
      <c r="A44" s="50" t="e">
        <f aca="false">_xlfn.CONCAT($A$1, ".", #REF!)</f>
        <v>#REF!</v>
      </c>
      <c r="B44" s="68" t="e">
        <f aca="false">_xlfn.CONCAT(#REF!, ":", #REF!)</f>
        <v>#REF!</v>
      </c>
      <c r="C44" s="69" t="e">
        <f aca="false">#REF!</f>
        <v>#REF!</v>
      </c>
      <c r="D44" s="69" t="e">
        <f aca="false">#REF!</f>
        <v>#REF!</v>
      </c>
      <c r="E44" s="69" t="e">
        <f aca="false">#REF!</f>
        <v>#REF!</v>
      </c>
      <c r="F44" s="69" t="e">
        <f aca="false">#REF!</f>
        <v>#REF!</v>
      </c>
    </row>
    <row r="45" customFormat="false" ht="12.8" hidden="false" customHeight="false" outlineLevel="0" collapsed="false">
      <c r="A45" s="50" t="e">
        <f aca="false">_xlfn.CONCAT($A$1, ".", #REF!)</f>
        <v>#REF!</v>
      </c>
      <c r="B45" s="68" t="e">
        <f aca="false">_xlfn.CONCAT(#REF!, ":", #REF!)</f>
        <v>#REF!</v>
      </c>
      <c r="C45" s="69" t="e">
        <f aca="false">#REF!</f>
        <v>#REF!</v>
      </c>
      <c r="D45" s="69" t="e">
        <f aca="false">#REF!</f>
        <v>#REF!</v>
      </c>
      <c r="E45" s="69" t="e">
        <f aca="false">#REF!</f>
        <v>#REF!</v>
      </c>
      <c r="F45" s="69" t="e">
        <f aca="false">#REF!</f>
        <v>#REF!</v>
      </c>
    </row>
    <row r="46" customFormat="false" ht="12.8" hidden="false" customHeight="false" outlineLevel="0" collapsed="false">
      <c r="A46" s="50" t="e">
        <f aca="false">_xlfn.CONCAT($A$1, ".", #REF!)</f>
        <v>#REF!</v>
      </c>
      <c r="B46" s="68" t="e">
        <f aca="false">_xlfn.CONCAT(#REF!, ":", #REF!)</f>
        <v>#REF!</v>
      </c>
      <c r="C46" s="69" t="e">
        <f aca="false">#REF!</f>
        <v>#REF!</v>
      </c>
      <c r="D46" s="69" t="e">
        <f aca="false">#REF!</f>
        <v>#REF!</v>
      </c>
      <c r="E46" s="69" t="e">
        <f aca="false">#REF!</f>
        <v>#REF!</v>
      </c>
      <c r="F46" s="69" t="e">
        <f aca="false">#REF!</f>
        <v>#REF!</v>
      </c>
    </row>
    <row r="47" customFormat="false" ht="12.8" hidden="false" customHeight="false" outlineLevel="0" collapsed="false">
      <c r="A47" s="50" t="e">
        <f aca="false">_xlfn.CONCAT($A$1, ".", #REF!)</f>
        <v>#REF!</v>
      </c>
      <c r="B47" s="68" t="e">
        <f aca="false">_xlfn.CONCAT(#REF!, ":", #REF!)</f>
        <v>#REF!</v>
      </c>
      <c r="C47" s="69" t="e">
        <f aca="false">#REF!</f>
        <v>#REF!</v>
      </c>
      <c r="D47" s="69" t="e">
        <f aca="false">#REF!</f>
        <v>#REF!</v>
      </c>
      <c r="E47" s="69" t="e">
        <f aca="false">#REF!</f>
        <v>#REF!</v>
      </c>
      <c r="F47" s="69" t="e">
        <f aca="false">#REF!</f>
        <v>#REF!</v>
      </c>
    </row>
    <row r="48" customFormat="false" ht="12.8" hidden="false" customHeight="false" outlineLevel="0" collapsed="false">
      <c r="A48" s="50" t="e">
        <f aca="false">_xlfn.CONCAT($A$1, ".", #REF!)</f>
        <v>#REF!</v>
      </c>
      <c r="B48" s="68" t="e">
        <f aca="false">_xlfn.CONCAT(#REF!, ":", #REF!)</f>
        <v>#REF!</v>
      </c>
      <c r="C48" s="69" t="e">
        <f aca="false">#REF!</f>
        <v>#REF!</v>
      </c>
      <c r="D48" s="69" t="e">
        <f aca="false">#REF!</f>
        <v>#REF!</v>
      </c>
      <c r="E48" s="69" t="e">
        <f aca="false">#REF!</f>
        <v>#REF!</v>
      </c>
      <c r="F48" s="69" t="e">
        <f aca="false">#REF!</f>
        <v>#REF!</v>
      </c>
    </row>
    <row r="49" customFormat="false" ht="12.8" hidden="false" customHeight="false" outlineLevel="0" collapsed="false">
      <c r="A49" s="50" t="e">
        <f aca="false">_xlfn.CONCAT($A$1, ".", #REF!)</f>
        <v>#REF!</v>
      </c>
      <c r="B49" s="68" t="e">
        <f aca="false">_xlfn.CONCAT(#REF!, ":", #REF!)</f>
        <v>#REF!</v>
      </c>
      <c r="C49" s="69" t="e">
        <f aca="false">#REF!</f>
        <v>#REF!</v>
      </c>
      <c r="D49" s="69" t="e">
        <f aca="false">#REF!</f>
        <v>#REF!</v>
      </c>
      <c r="E49" s="69" t="e">
        <f aca="false">#REF!</f>
        <v>#REF!</v>
      </c>
      <c r="F49" s="69" t="e">
        <f aca="false">#REF!</f>
        <v>#REF!</v>
      </c>
    </row>
    <row r="50" customFormat="false" ht="12.8" hidden="false" customHeight="false" outlineLevel="0" collapsed="false">
      <c r="A50" s="50" t="e">
        <f aca="false">_xlfn.CONCAT($A$1, ".", #REF!)</f>
        <v>#REF!</v>
      </c>
      <c r="B50" s="68" t="e">
        <f aca="false">_xlfn.CONCAT(#REF!, ":", #REF!)</f>
        <v>#REF!</v>
      </c>
      <c r="C50" s="69" t="e">
        <f aca="false">#REF!</f>
        <v>#REF!</v>
      </c>
      <c r="D50" s="69" t="e">
        <f aca="false">#REF!</f>
        <v>#REF!</v>
      </c>
      <c r="E50" s="69" t="e">
        <f aca="false">#REF!</f>
        <v>#REF!</v>
      </c>
      <c r="F50" s="69" t="e">
        <f aca="false">#REF!</f>
        <v>#REF!</v>
      </c>
    </row>
    <row r="51" customFormat="false" ht="12.8" hidden="false" customHeight="false" outlineLevel="0" collapsed="false">
      <c r="A51" s="50" t="e">
        <f aca="false">_xlfn.CONCAT($A$1, ".", #REF!)</f>
        <v>#REF!</v>
      </c>
      <c r="B51" s="68" t="e">
        <f aca="false">_xlfn.CONCAT(#REF!, ":", #REF!)</f>
        <v>#REF!</v>
      </c>
      <c r="C51" s="69" t="e">
        <f aca="false">#REF!</f>
        <v>#REF!</v>
      </c>
      <c r="D51" s="69" t="e">
        <f aca="false">#REF!</f>
        <v>#REF!</v>
      </c>
      <c r="E51" s="69" t="e">
        <f aca="false">#REF!</f>
        <v>#REF!</v>
      </c>
      <c r="F51" s="69" t="e">
        <f aca="false">#REF!</f>
        <v>#REF!</v>
      </c>
    </row>
    <row r="52" customFormat="false" ht="12.8" hidden="false" customHeight="false" outlineLevel="0" collapsed="false">
      <c r="A52" s="50" t="e">
        <f aca="false">_xlfn.CONCAT($A$1, ".", #REF!)</f>
        <v>#REF!</v>
      </c>
      <c r="B52" s="68" t="e">
        <f aca="false">_xlfn.CONCAT(#REF!, ":", #REF!)</f>
        <v>#REF!</v>
      </c>
      <c r="C52" s="69" t="e">
        <f aca="false">#REF!</f>
        <v>#REF!</v>
      </c>
      <c r="D52" s="69" t="e">
        <f aca="false">#REF!</f>
        <v>#REF!</v>
      </c>
      <c r="E52" s="69" t="e">
        <f aca="false">#REF!</f>
        <v>#REF!</v>
      </c>
      <c r="F52" s="69" t="e">
        <f aca="false">#REF!</f>
        <v>#REF!</v>
      </c>
    </row>
    <row r="53" customFormat="false" ht="12.8" hidden="false" customHeight="false" outlineLevel="0" collapsed="false">
      <c r="A53" s="50" t="e">
        <f aca="false">_xlfn.CONCAT($A$1, ".", #REF!)</f>
        <v>#REF!</v>
      </c>
      <c r="B53" s="68" t="e">
        <f aca="false">_xlfn.CONCAT(#REF!, ":", #REF!)</f>
        <v>#REF!</v>
      </c>
      <c r="C53" s="69" t="e">
        <f aca="false">#REF!</f>
        <v>#REF!</v>
      </c>
      <c r="D53" s="69" t="e">
        <f aca="false">#REF!</f>
        <v>#REF!</v>
      </c>
      <c r="E53" s="69" t="e">
        <f aca="false">#REF!</f>
        <v>#REF!</v>
      </c>
      <c r="F53" s="69" t="e">
        <f aca="false">#REF!</f>
        <v>#REF!</v>
      </c>
    </row>
    <row r="54" customFormat="false" ht="12.8" hidden="false" customHeight="false" outlineLevel="0" collapsed="false">
      <c r="A54" s="50" t="e">
        <f aca="false">_xlfn.CONCAT($A$1, ".", #REF!)</f>
        <v>#REF!</v>
      </c>
      <c r="B54" s="68" t="e">
        <f aca="false">_xlfn.CONCAT(#REF!, ":", #REF!)</f>
        <v>#REF!</v>
      </c>
      <c r="C54" s="69" t="e">
        <f aca="false">#REF!</f>
        <v>#REF!</v>
      </c>
      <c r="D54" s="69" t="e">
        <f aca="false">#REF!</f>
        <v>#REF!</v>
      </c>
      <c r="E54" s="69" t="e">
        <f aca="false">#REF!</f>
        <v>#REF!</v>
      </c>
      <c r="F54" s="69" t="e">
        <f aca="false">#REF!</f>
        <v>#REF!</v>
      </c>
    </row>
    <row r="55" customFormat="false" ht="12.8" hidden="false" customHeight="false" outlineLevel="0" collapsed="false">
      <c r="A55" s="50" t="e">
        <f aca="false">_xlfn.CONCAT($A$1, ".", #REF!)</f>
        <v>#REF!</v>
      </c>
      <c r="B55" s="68" t="e">
        <f aca="false">_xlfn.CONCAT(#REF!, ":", #REF!)</f>
        <v>#REF!</v>
      </c>
      <c r="C55" s="69" t="e">
        <f aca="false">#REF!</f>
        <v>#REF!</v>
      </c>
      <c r="D55" s="69" t="e">
        <f aca="false">#REF!</f>
        <v>#REF!</v>
      </c>
      <c r="E55" s="69" t="e">
        <f aca="false">#REF!</f>
        <v>#REF!</v>
      </c>
      <c r="F55" s="69"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5E9B"/>
    <pageSetUpPr fitToPage="false"/>
  </sheetPr>
  <dimension ref="A1:BP247"/>
  <sheetViews>
    <sheetView showFormulas="false" showGridLines="true" showRowColHeaders="true" showZeros="true" rightToLeft="false" tabSelected="false" showOutlineSymbols="true" defaultGridColor="true" view="normal" topLeftCell="A53" colorId="64" zoomScale="75" zoomScaleNormal="75" zoomScalePageLayoutView="100" workbookViewId="0">
      <selection pane="topLeft" activeCell="A152" activeCellId="1" sqref="D3:E3 A152"/>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984</v>
      </c>
      <c r="B1" s="52" t="s">
        <v>985</v>
      </c>
      <c r="C1" s="6" t="s">
        <v>2</v>
      </c>
      <c r="D1" s="60" t="s">
        <v>986</v>
      </c>
      <c r="AZ1" s="39"/>
      <c r="BP1" s="39"/>
    </row>
    <row r="2" customFormat="false" ht="46.25" hidden="false" customHeight="false" outlineLevel="0" collapsed="false">
      <c r="A2" s="64" t="s">
        <v>792</v>
      </c>
      <c r="B2" s="52" t="s">
        <v>793</v>
      </c>
      <c r="C2" s="67" t="str">
        <f aca="false">CALC!T3</f>
        <v>Underemployment Rate</v>
      </c>
      <c r="D2" s="67" t="str">
        <f aca="false">CALC!U3</f>
        <v>Authorized Immigrant Underemployment Rate</v>
      </c>
      <c r="E2" s="67" t="str">
        <f aca="false">CALC!V3</f>
        <v>Unauthorized Immigrant Underemployment Rate</v>
      </c>
      <c r="F2" s="67" t="str">
        <f aca="false">CALC!W3</f>
        <v>American Underemployment Rate</v>
      </c>
    </row>
    <row r="3" customFormat="false" ht="12.8" hidden="false" customHeight="false" outlineLevel="0" collapsed="false">
      <c r="A3" s="4" t="e">
        <f aca="false">_xlfn.CONCAT($A$1, ".", #REF!)</f>
        <v>#REF!</v>
      </c>
      <c r="B3" s="49" t="e">
        <f aca="false">_xlfn.CONCAT(#REF!, ":", #REF!)</f>
        <v>#REF!</v>
      </c>
      <c r="C3" s="67" t="e">
        <f aca="false">#REF!</f>
        <v>#REF!</v>
      </c>
      <c r="D3" s="67" t="e">
        <f aca="false">#REF!</f>
        <v>#REF!</v>
      </c>
      <c r="E3" s="67" t="e">
        <f aca="false">#REF!</f>
        <v>#REF!</v>
      </c>
      <c r="F3" s="67" t="e">
        <f aca="false">#REF!</f>
        <v>#REF!</v>
      </c>
    </row>
    <row r="4" customFormat="false" ht="12.8" hidden="false" customHeight="false" outlineLevel="0" collapsed="false">
      <c r="A4" s="50" t="e">
        <f aca="false">_xlfn.CONCAT($A$1, ".", #REF!)</f>
        <v>#REF!</v>
      </c>
      <c r="B4" s="68" t="e">
        <f aca="false">_xlfn.CONCAT(#REF!, ":", #REF!)</f>
        <v>#REF!</v>
      </c>
      <c r="C4" s="69" t="e">
        <f aca="false">#REF!</f>
        <v>#REF!</v>
      </c>
      <c r="D4" s="69" t="e">
        <f aca="false">#REF!</f>
        <v>#REF!</v>
      </c>
      <c r="E4" s="69" t="e">
        <f aca="false">#REF!</f>
        <v>#REF!</v>
      </c>
      <c r="F4" s="69" t="e">
        <f aca="false">#REF!</f>
        <v>#REF!</v>
      </c>
    </row>
    <row r="5" customFormat="false" ht="12.8" hidden="false" customHeight="false" outlineLevel="0" collapsed="false">
      <c r="A5" s="50" t="e">
        <f aca="false">_xlfn.CONCAT($A$1, ".", #REF!)</f>
        <v>#REF!</v>
      </c>
      <c r="B5" s="68" t="e">
        <f aca="false">_xlfn.CONCAT(#REF!, ":", #REF!)</f>
        <v>#REF!</v>
      </c>
      <c r="C5" s="69" t="e">
        <f aca="false">#REF!</f>
        <v>#REF!</v>
      </c>
      <c r="D5" s="69" t="e">
        <f aca="false">#REF!</f>
        <v>#REF!</v>
      </c>
      <c r="E5" s="69" t="e">
        <f aca="false">#REF!</f>
        <v>#REF!</v>
      </c>
      <c r="F5" s="69" t="e">
        <f aca="false">#REF!</f>
        <v>#REF!</v>
      </c>
    </row>
    <row r="6" customFormat="false" ht="12.8" hidden="false" customHeight="false" outlineLevel="0" collapsed="false">
      <c r="A6" s="50" t="e">
        <f aca="false">_xlfn.CONCAT($A$1, ".", #REF!)</f>
        <v>#REF!</v>
      </c>
      <c r="B6" s="68" t="e">
        <f aca="false">_xlfn.CONCAT(#REF!, ":", #REF!)</f>
        <v>#REF!</v>
      </c>
      <c r="C6" s="69" t="e">
        <f aca="false">#REF!</f>
        <v>#REF!</v>
      </c>
      <c r="D6" s="69" t="e">
        <f aca="false">#REF!</f>
        <v>#REF!</v>
      </c>
      <c r="E6" s="69" t="e">
        <f aca="false">#REF!</f>
        <v>#REF!</v>
      </c>
      <c r="F6" s="69" t="e">
        <f aca="false">#REF!</f>
        <v>#REF!</v>
      </c>
    </row>
    <row r="7" customFormat="false" ht="12.8" hidden="false" customHeight="false" outlineLevel="0" collapsed="false">
      <c r="A7" s="50" t="e">
        <f aca="false">_xlfn.CONCAT($A$1, ".", #REF!)</f>
        <v>#REF!</v>
      </c>
      <c r="B7" s="68" t="e">
        <f aca="false">_xlfn.CONCAT(#REF!, ":", #REF!)</f>
        <v>#REF!</v>
      </c>
      <c r="C7" s="69" t="e">
        <f aca="false">#REF!</f>
        <v>#REF!</v>
      </c>
      <c r="D7" s="69" t="e">
        <f aca="false">#REF!</f>
        <v>#REF!</v>
      </c>
      <c r="E7" s="69" t="e">
        <f aca="false">#REF!</f>
        <v>#REF!</v>
      </c>
      <c r="F7" s="69" t="e">
        <f aca="false">#REF!</f>
        <v>#REF!</v>
      </c>
    </row>
    <row r="8" customFormat="false" ht="12.8" hidden="false" customHeight="false" outlineLevel="0" collapsed="false">
      <c r="A8" s="50" t="e">
        <f aca="false">_xlfn.CONCAT($A$1, ".", #REF!)</f>
        <v>#REF!</v>
      </c>
      <c r="B8" s="68" t="e">
        <f aca="false">_xlfn.CONCAT(#REF!, ":", #REF!)</f>
        <v>#REF!</v>
      </c>
      <c r="C8" s="69" t="e">
        <f aca="false">#REF!</f>
        <v>#REF!</v>
      </c>
      <c r="D8" s="69" t="e">
        <f aca="false">#REF!</f>
        <v>#REF!</v>
      </c>
      <c r="E8" s="69" t="e">
        <f aca="false">#REF!</f>
        <v>#REF!</v>
      </c>
      <c r="F8" s="69" t="e">
        <f aca="false">#REF!</f>
        <v>#REF!</v>
      </c>
    </row>
    <row r="9" customFormat="false" ht="12.8" hidden="false" customHeight="false" outlineLevel="0" collapsed="false">
      <c r="A9" s="50" t="e">
        <f aca="false">_xlfn.CONCAT($A$1, ".", #REF!)</f>
        <v>#REF!</v>
      </c>
      <c r="B9" s="68" t="e">
        <f aca="false">_xlfn.CONCAT(#REF!, ":", #REF!)</f>
        <v>#REF!</v>
      </c>
      <c r="C9" s="69" t="e">
        <f aca="false">#REF!</f>
        <v>#REF!</v>
      </c>
      <c r="D9" s="69" t="e">
        <f aca="false">#REF!</f>
        <v>#REF!</v>
      </c>
      <c r="E9" s="69" t="e">
        <f aca="false">#REF!</f>
        <v>#REF!</v>
      </c>
      <c r="F9" s="69" t="e">
        <f aca="false">#REF!</f>
        <v>#REF!</v>
      </c>
    </row>
    <row r="10" customFormat="false" ht="12.8" hidden="false" customHeight="false" outlineLevel="0" collapsed="false">
      <c r="A10" s="50" t="e">
        <f aca="false">_xlfn.CONCAT($A$1, ".", #REF!)</f>
        <v>#REF!</v>
      </c>
      <c r="B10" s="68" t="e">
        <f aca="false">_xlfn.CONCAT(#REF!, ":", #REF!)</f>
        <v>#REF!</v>
      </c>
      <c r="C10" s="69" t="e">
        <f aca="false">#REF!</f>
        <v>#REF!</v>
      </c>
      <c r="D10" s="69" t="e">
        <f aca="false">#REF!</f>
        <v>#REF!</v>
      </c>
      <c r="E10" s="69" t="e">
        <f aca="false">#REF!</f>
        <v>#REF!</v>
      </c>
      <c r="F10" s="69" t="e">
        <f aca="false">#REF!</f>
        <v>#REF!</v>
      </c>
    </row>
    <row r="11" customFormat="false" ht="12.8" hidden="false" customHeight="false" outlineLevel="0" collapsed="false">
      <c r="A11" s="50" t="e">
        <f aca="false">_xlfn.CONCAT($A$1, ".", #REF!)</f>
        <v>#REF!</v>
      </c>
      <c r="B11" s="68" t="e">
        <f aca="false">_xlfn.CONCAT(#REF!, ":", #REF!)</f>
        <v>#REF!</v>
      </c>
      <c r="C11" s="69" t="e">
        <f aca="false">#REF!</f>
        <v>#REF!</v>
      </c>
      <c r="D11" s="69" t="e">
        <f aca="false">#REF!</f>
        <v>#REF!</v>
      </c>
      <c r="E11" s="69" t="e">
        <f aca="false">#REF!</f>
        <v>#REF!</v>
      </c>
      <c r="F11" s="69" t="e">
        <f aca="false">#REF!</f>
        <v>#REF!</v>
      </c>
    </row>
    <row r="12" customFormat="false" ht="12.8" hidden="false" customHeight="false" outlineLevel="0" collapsed="false">
      <c r="A12" s="50" t="e">
        <f aca="false">_xlfn.CONCAT($A$1, ".", #REF!)</f>
        <v>#REF!</v>
      </c>
      <c r="B12" s="68" t="e">
        <f aca="false">_xlfn.CONCAT(#REF!, ":", #REF!)</f>
        <v>#REF!</v>
      </c>
      <c r="C12" s="69" t="e">
        <f aca="false">#REF!</f>
        <v>#REF!</v>
      </c>
      <c r="D12" s="69" t="e">
        <f aca="false">#REF!</f>
        <v>#REF!</v>
      </c>
      <c r="E12" s="69" t="e">
        <f aca="false">#REF!</f>
        <v>#REF!</v>
      </c>
      <c r="F12" s="69" t="e">
        <f aca="false">#REF!</f>
        <v>#REF!</v>
      </c>
    </row>
    <row r="13" customFormat="false" ht="12.8" hidden="false" customHeight="false" outlineLevel="0" collapsed="false">
      <c r="A13" s="50" t="e">
        <f aca="false">_xlfn.CONCAT($A$1, ".", #REF!)</f>
        <v>#REF!</v>
      </c>
      <c r="B13" s="68" t="e">
        <f aca="false">_xlfn.CONCAT(#REF!, ":", #REF!)</f>
        <v>#REF!</v>
      </c>
      <c r="C13" s="69" t="e">
        <f aca="false">#REF!</f>
        <v>#REF!</v>
      </c>
      <c r="D13" s="69" t="e">
        <f aca="false">#REF!</f>
        <v>#REF!</v>
      </c>
      <c r="E13" s="69" t="e">
        <f aca="false">#REF!</f>
        <v>#REF!</v>
      </c>
      <c r="F13" s="69" t="e">
        <f aca="false">#REF!</f>
        <v>#REF!</v>
      </c>
    </row>
    <row r="14" customFormat="false" ht="12.8" hidden="false" customHeight="false" outlineLevel="0" collapsed="false">
      <c r="A14" s="50" t="e">
        <f aca="false">_xlfn.CONCAT($A$1, ".", #REF!)</f>
        <v>#REF!</v>
      </c>
      <c r="B14" s="68" t="e">
        <f aca="false">_xlfn.CONCAT(#REF!, ":", #REF!)</f>
        <v>#REF!</v>
      </c>
      <c r="C14" s="69" t="e">
        <f aca="false">#REF!</f>
        <v>#REF!</v>
      </c>
      <c r="D14" s="69" t="e">
        <f aca="false">#REF!</f>
        <v>#REF!</v>
      </c>
      <c r="E14" s="69" t="e">
        <f aca="false">#REF!</f>
        <v>#REF!</v>
      </c>
      <c r="F14" s="69" t="e">
        <f aca="false">#REF!</f>
        <v>#REF!</v>
      </c>
    </row>
    <row r="15" customFormat="false" ht="12.8" hidden="false" customHeight="false" outlineLevel="0" collapsed="false">
      <c r="A15" s="50" t="e">
        <f aca="false">_xlfn.CONCAT($A$1, ".", #REF!)</f>
        <v>#REF!</v>
      </c>
      <c r="B15" s="68" t="e">
        <f aca="false">_xlfn.CONCAT(#REF!, ":", #REF!)</f>
        <v>#REF!</v>
      </c>
      <c r="C15" s="69" t="e">
        <f aca="false">#REF!</f>
        <v>#REF!</v>
      </c>
      <c r="D15" s="69" t="e">
        <f aca="false">#REF!</f>
        <v>#REF!</v>
      </c>
      <c r="E15" s="69" t="e">
        <f aca="false">#REF!</f>
        <v>#REF!</v>
      </c>
      <c r="F15" s="69" t="e">
        <f aca="false">#REF!</f>
        <v>#REF!</v>
      </c>
    </row>
    <row r="16" customFormat="false" ht="12.8" hidden="false" customHeight="false" outlineLevel="0" collapsed="false">
      <c r="A16" s="50" t="e">
        <f aca="false">_xlfn.CONCAT($A$1, ".", #REF!)</f>
        <v>#REF!</v>
      </c>
      <c r="B16" s="68" t="e">
        <f aca="false">_xlfn.CONCAT(#REF!, ":", #REF!)</f>
        <v>#REF!</v>
      </c>
      <c r="C16" s="69" t="e">
        <f aca="false">#REF!</f>
        <v>#REF!</v>
      </c>
      <c r="D16" s="69" t="e">
        <f aca="false">#REF!</f>
        <v>#REF!</v>
      </c>
      <c r="E16" s="69" t="e">
        <f aca="false">#REF!</f>
        <v>#REF!</v>
      </c>
      <c r="F16" s="69" t="e">
        <f aca="false">#REF!</f>
        <v>#REF!</v>
      </c>
    </row>
    <row r="17" customFormat="false" ht="12.8" hidden="false" customHeight="false" outlineLevel="0" collapsed="false">
      <c r="A17" s="50" t="e">
        <f aca="false">_xlfn.CONCAT($A$1, ".", #REF!)</f>
        <v>#REF!</v>
      </c>
      <c r="B17" s="68" t="e">
        <f aca="false">_xlfn.CONCAT(#REF!, ":", #REF!)</f>
        <v>#REF!</v>
      </c>
      <c r="C17" s="69" t="e">
        <f aca="false">#REF!</f>
        <v>#REF!</v>
      </c>
      <c r="D17" s="69" t="e">
        <f aca="false">#REF!</f>
        <v>#REF!</v>
      </c>
      <c r="E17" s="69" t="e">
        <f aca="false">#REF!</f>
        <v>#REF!</v>
      </c>
      <c r="F17" s="69" t="e">
        <f aca="false">#REF!</f>
        <v>#REF!</v>
      </c>
    </row>
    <row r="18" customFormat="false" ht="12.8" hidden="false" customHeight="false" outlineLevel="0" collapsed="false">
      <c r="A18" s="50" t="e">
        <f aca="false">_xlfn.CONCAT($A$1, ".", #REF!)</f>
        <v>#REF!</v>
      </c>
      <c r="B18" s="68" t="e">
        <f aca="false">_xlfn.CONCAT(#REF!, ":", #REF!)</f>
        <v>#REF!</v>
      </c>
      <c r="C18" s="69" t="e">
        <f aca="false">#REF!</f>
        <v>#REF!</v>
      </c>
      <c r="D18" s="69" t="e">
        <f aca="false">#REF!</f>
        <v>#REF!</v>
      </c>
      <c r="E18" s="69" t="e">
        <f aca="false">#REF!</f>
        <v>#REF!</v>
      </c>
      <c r="F18" s="69" t="e">
        <f aca="false">#REF!</f>
        <v>#REF!</v>
      </c>
    </row>
    <row r="19" customFormat="false" ht="12.8" hidden="false" customHeight="false" outlineLevel="0" collapsed="false">
      <c r="A19" s="50" t="e">
        <f aca="false">_xlfn.CONCAT($A$1, ".", #REF!)</f>
        <v>#REF!</v>
      </c>
      <c r="B19" s="68" t="e">
        <f aca="false">_xlfn.CONCAT(#REF!, ":", #REF!)</f>
        <v>#REF!</v>
      </c>
      <c r="C19" s="69" t="e">
        <f aca="false">#REF!</f>
        <v>#REF!</v>
      </c>
      <c r="D19" s="69" t="e">
        <f aca="false">#REF!</f>
        <v>#REF!</v>
      </c>
      <c r="E19" s="69" t="e">
        <f aca="false">#REF!</f>
        <v>#REF!</v>
      </c>
      <c r="F19" s="69" t="e">
        <f aca="false">#REF!</f>
        <v>#REF!</v>
      </c>
    </row>
    <row r="20" customFormat="false" ht="12.8" hidden="false" customHeight="false" outlineLevel="0" collapsed="false">
      <c r="A20" s="50" t="e">
        <f aca="false">_xlfn.CONCAT($A$1, ".", #REF!)</f>
        <v>#REF!</v>
      </c>
      <c r="B20" s="68" t="e">
        <f aca="false">_xlfn.CONCAT(#REF!, ":", #REF!)</f>
        <v>#REF!</v>
      </c>
      <c r="C20" s="69" t="e">
        <f aca="false">#REF!</f>
        <v>#REF!</v>
      </c>
      <c r="D20" s="69" t="e">
        <f aca="false">#REF!</f>
        <v>#REF!</v>
      </c>
      <c r="E20" s="69" t="e">
        <f aca="false">#REF!</f>
        <v>#REF!</v>
      </c>
      <c r="F20" s="69" t="e">
        <f aca="false">#REF!</f>
        <v>#REF!</v>
      </c>
    </row>
    <row r="21" customFormat="false" ht="12.8" hidden="false" customHeight="false" outlineLevel="0" collapsed="false">
      <c r="A21" s="50" t="e">
        <f aca="false">_xlfn.CONCAT($A$1, ".", #REF!)</f>
        <v>#REF!</v>
      </c>
      <c r="B21" s="68" t="e">
        <f aca="false">_xlfn.CONCAT(#REF!, ":", #REF!)</f>
        <v>#REF!</v>
      </c>
      <c r="C21" s="69" t="e">
        <f aca="false">#REF!</f>
        <v>#REF!</v>
      </c>
      <c r="D21" s="69" t="e">
        <f aca="false">#REF!</f>
        <v>#REF!</v>
      </c>
      <c r="E21" s="69" t="e">
        <f aca="false">#REF!</f>
        <v>#REF!</v>
      </c>
      <c r="F21" s="69" t="e">
        <f aca="false">#REF!</f>
        <v>#REF!</v>
      </c>
    </row>
    <row r="22" customFormat="false" ht="12.8" hidden="false" customHeight="false" outlineLevel="0" collapsed="false">
      <c r="A22" s="50" t="e">
        <f aca="false">_xlfn.CONCAT($A$1, ".", #REF!)</f>
        <v>#REF!</v>
      </c>
      <c r="B22" s="68" t="e">
        <f aca="false">_xlfn.CONCAT(#REF!, ":", #REF!)</f>
        <v>#REF!</v>
      </c>
      <c r="C22" s="69" t="e">
        <f aca="false">#REF!</f>
        <v>#REF!</v>
      </c>
      <c r="D22" s="69" t="e">
        <f aca="false">#REF!</f>
        <v>#REF!</v>
      </c>
      <c r="E22" s="69" t="e">
        <f aca="false">#REF!</f>
        <v>#REF!</v>
      </c>
      <c r="F22" s="69" t="e">
        <f aca="false">#REF!</f>
        <v>#REF!</v>
      </c>
    </row>
    <row r="23" customFormat="false" ht="12.8" hidden="false" customHeight="false" outlineLevel="0" collapsed="false">
      <c r="A23" s="50" t="e">
        <f aca="false">_xlfn.CONCAT($A$1, ".", #REF!)</f>
        <v>#REF!</v>
      </c>
      <c r="B23" s="68" t="e">
        <f aca="false">_xlfn.CONCAT(#REF!, ":", #REF!)</f>
        <v>#REF!</v>
      </c>
      <c r="C23" s="69" t="e">
        <f aca="false">#REF!</f>
        <v>#REF!</v>
      </c>
      <c r="D23" s="69" t="e">
        <f aca="false">#REF!</f>
        <v>#REF!</v>
      </c>
      <c r="E23" s="69" t="e">
        <f aca="false">#REF!</f>
        <v>#REF!</v>
      </c>
      <c r="F23" s="69" t="e">
        <f aca="false">#REF!</f>
        <v>#REF!</v>
      </c>
    </row>
    <row r="24" customFormat="false" ht="12.8" hidden="false" customHeight="false" outlineLevel="0" collapsed="false">
      <c r="A24" s="50" t="e">
        <f aca="false">_xlfn.CONCAT($A$1, ".", #REF!)</f>
        <v>#REF!</v>
      </c>
      <c r="B24" s="68" t="e">
        <f aca="false">_xlfn.CONCAT(#REF!, ":", #REF!)</f>
        <v>#REF!</v>
      </c>
      <c r="C24" s="69" t="e">
        <f aca="false">#REF!</f>
        <v>#REF!</v>
      </c>
      <c r="D24" s="69" t="e">
        <f aca="false">#REF!</f>
        <v>#REF!</v>
      </c>
      <c r="E24" s="69" t="e">
        <f aca="false">#REF!</f>
        <v>#REF!</v>
      </c>
      <c r="F24" s="69" t="e">
        <f aca="false">#REF!</f>
        <v>#REF!</v>
      </c>
    </row>
    <row r="25" customFormat="false" ht="12.8" hidden="false" customHeight="false" outlineLevel="0" collapsed="false">
      <c r="A25" s="50" t="e">
        <f aca="false">_xlfn.CONCAT($A$1, ".", #REF!)</f>
        <v>#REF!</v>
      </c>
      <c r="B25" s="68" t="e">
        <f aca="false">_xlfn.CONCAT(#REF!, ":", #REF!)</f>
        <v>#REF!</v>
      </c>
      <c r="C25" s="69" t="e">
        <f aca="false">#REF!</f>
        <v>#REF!</v>
      </c>
      <c r="D25" s="69" t="e">
        <f aca="false">#REF!</f>
        <v>#REF!</v>
      </c>
      <c r="E25" s="69" t="e">
        <f aca="false">#REF!</f>
        <v>#REF!</v>
      </c>
      <c r="F25" s="69" t="e">
        <f aca="false">#REF!</f>
        <v>#REF!</v>
      </c>
    </row>
    <row r="26" customFormat="false" ht="12.8" hidden="false" customHeight="false" outlineLevel="0" collapsed="false">
      <c r="A26" s="50" t="e">
        <f aca="false">_xlfn.CONCAT($A$1, ".", #REF!)</f>
        <v>#REF!</v>
      </c>
      <c r="B26" s="68" t="e">
        <f aca="false">_xlfn.CONCAT(#REF!, ":", #REF!)</f>
        <v>#REF!</v>
      </c>
      <c r="C26" s="69" t="e">
        <f aca="false">#REF!</f>
        <v>#REF!</v>
      </c>
      <c r="D26" s="69" t="e">
        <f aca="false">#REF!</f>
        <v>#REF!</v>
      </c>
      <c r="E26" s="69" t="e">
        <f aca="false">#REF!</f>
        <v>#REF!</v>
      </c>
      <c r="F26" s="69" t="e">
        <f aca="false">#REF!</f>
        <v>#REF!</v>
      </c>
    </row>
    <row r="27" customFormat="false" ht="12.8" hidden="false" customHeight="false" outlineLevel="0" collapsed="false">
      <c r="A27" s="50" t="e">
        <f aca="false">_xlfn.CONCAT($A$1, ".", #REF!)</f>
        <v>#REF!</v>
      </c>
      <c r="B27" s="68" t="e">
        <f aca="false">_xlfn.CONCAT(#REF!, ":", #REF!)</f>
        <v>#REF!</v>
      </c>
      <c r="C27" s="69" t="e">
        <f aca="false">#REF!</f>
        <v>#REF!</v>
      </c>
      <c r="D27" s="69" t="e">
        <f aca="false">#REF!</f>
        <v>#REF!</v>
      </c>
      <c r="E27" s="69" t="e">
        <f aca="false">#REF!</f>
        <v>#REF!</v>
      </c>
      <c r="F27" s="69" t="e">
        <f aca="false">#REF!</f>
        <v>#REF!</v>
      </c>
    </row>
    <row r="28" customFormat="false" ht="12.8" hidden="false" customHeight="false" outlineLevel="0" collapsed="false">
      <c r="A28" s="50" t="e">
        <f aca="false">_xlfn.CONCAT($A$1, ".", #REF!)</f>
        <v>#REF!</v>
      </c>
      <c r="B28" s="68" t="e">
        <f aca="false">_xlfn.CONCAT(#REF!, ":", #REF!)</f>
        <v>#REF!</v>
      </c>
      <c r="C28" s="69" t="e">
        <f aca="false">#REF!</f>
        <v>#REF!</v>
      </c>
      <c r="D28" s="69" t="e">
        <f aca="false">#REF!</f>
        <v>#REF!</v>
      </c>
      <c r="E28" s="69" t="e">
        <f aca="false">#REF!</f>
        <v>#REF!</v>
      </c>
      <c r="F28" s="69" t="e">
        <f aca="false">#REF!</f>
        <v>#REF!</v>
      </c>
    </row>
    <row r="29" customFormat="false" ht="12.8" hidden="false" customHeight="false" outlineLevel="0" collapsed="false">
      <c r="A29" s="50" t="e">
        <f aca="false">_xlfn.CONCAT($A$1, ".", #REF!)</f>
        <v>#REF!</v>
      </c>
      <c r="B29" s="68" t="e">
        <f aca="false">_xlfn.CONCAT(#REF!, ":", #REF!)</f>
        <v>#REF!</v>
      </c>
      <c r="C29" s="69" t="e">
        <f aca="false">#REF!</f>
        <v>#REF!</v>
      </c>
      <c r="D29" s="69" t="e">
        <f aca="false">#REF!</f>
        <v>#REF!</v>
      </c>
      <c r="E29" s="69" t="e">
        <f aca="false">#REF!</f>
        <v>#REF!</v>
      </c>
      <c r="F29" s="69" t="e">
        <f aca="false">#REF!</f>
        <v>#REF!</v>
      </c>
    </row>
    <row r="30" customFormat="false" ht="12.8" hidden="false" customHeight="false" outlineLevel="0" collapsed="false">
      <c r="A30" s="50" t="e">
        <f aca="false">_xlfn.CONCAT($A$1, ".", #REF!)</f>
        <v>#REF!</v>
      </c>
      <c r="B30" s="68" t="e">
        <f aca="false">_xlfn.CONCAT(#REF!, ":", #REF!)</f>
        <v>#REF!</v>
      </c>
      <c r="C30" s="69" t="e">
        <f aca="false">#REF!</f>
        <v>#REF!</v>
      </c>
      <c r="D30" s="69" t="e">
        <f aca="false">#REF!</f>
        <v>#REF!</v>
      </c>
      <c r="E30" s="69" t="e">
        <f aca="false">#REF!</f>
        <v>#REF!</v>
      </c>
      <c r="F30" s="69" t="e">
        <f aca="false">#REF!</f>
        <v>#REF!</v>
      </c>
    </row>
    <row r="31" customFormat="false" ht="12.8" hidden="false" customHeight="false" outlineLevel="0" collapsed="false">
      <c r="A31" s="50" t="e">
        <f aca="false">_xlfn.CONCAT($A$1, ".", #REF!)</f>
        <v>#REF!</v>
      </c>
      <c r="B31" s="68" t="e">
        <f aca="false">_xlfn.CONCAT(#REF!, ":", #REF!)</f>
        <v>#REF!</v>
      </c>
      <c r="C31" s="69" t="e">
        <f aca="false">#REF!</f>
        <v>#REF!</v>
      </c>
      <c r="D31" s="69" t="e">
        <f aca="false">#REF!</f>
        <v>#REF!</v>
      </c>
      <c r="E31" s="69" t="e">
        <f aca="false">#REF!</f>
        <v>#REF!</v>
      </c>
      <c r="F31" s="69" t="e">
        <f aca="false">#REF!</f>
        <v>#REF!</v>
      </c>
    </row>
    <row r="32" customFormat="false" ht="12.8" hidden="false" customHeight="false" outlineLevel="0" collapsed="false">
      <c r="A32" s="50" t="e">
        <f aca="false">_xlfn.CONCAT($A$1, ".", #REF!)</f>
        <v>#REF!</v>
      </c>
      <c r="B32" s="68" t="e">
        <f aca="false">_xlfn.CONCAT(#REF!, ":", #REF!)</f>
        <v>#REF!</v>
      </c>
      <c r="C32" s="69" t="e">
        <f aca="false">#REF!</f>
        <v>#REF!</v>
      </c>
      <c r="D32" s="69" t="e">
        <f aca="false">#REF!</f>
        <v>#REF!</v>
      </c>
      <c r="E32" s="69" t="e">
        <f aca="false">#REF!</f>
        <v>#REF!</v>
      </c>
      <c r="F32" s="69" t="e">
        <f aca="false">#REF!</f>
        <v>#REF!</v>
      </c>
    </row>
    <row r="33" customFormat="false" ht="12.8" hidden="false" customHeight="false" outlineLevel="0" collapsed="false">
      <c r="A33" s="50" t="e">
        <f aca="false">_xlfn.CONCAT($A$1, ".", #REF!)</f>
        <v>#REF!</v>
      </c>
      <c r="B33" s="68" t="e">
        <f aca="false">_xlfn.CONCAT(#REF!, ":", #REF!)</f>
        <v>#REF!</v>
      </c>
      <c r="C33" s="69" t="e">
        <f aca="false">#REF!</f>
        <v>#REF!</v>
      </c>
      <c r="D33" s="69" t="e">
        <f aca="false">#REF!</f>
        <v>#REF!</v>
      </c>
      <c r="E33" s="69" t="e">
        <f aca="false">#REF!</f>
        <v>#REF!</v>
      </c>
      <c r="F33" s="69" t="e">
        <f aca="false">#REF!</f>
        <v>#REF!</v>
      </c>
    </row>
    <row r="34" customFormat="false" ht="12.8" hidden="false" customHeight="false" outlineLevel="0" collapsed="false">
      <c r="A34" s="50" t="e">
        <f aca="false">_xlfn.CONCAT($A$1, ".", #REF!)</f>
        <v>#REF!</v>
      </c>
      <c r="B34" s="68" t="e">
        <f aca="false">_xlfn.CONCAT(#REF!, ":", #REF!)</f>
        <v>#REF!</v>
      </c>
      <c r="C34" s="69" t="e">
        <f aca="false">#REF!</f>
        <v>#REF!</v>
      </c>
      <c r="D34" s="69" t="e">
        <f aca="false">#REF!</f>
        <v>#REF!</v>
      </c>
      <c r="E34" s="69" t="e">
        <f aca="false">#REF!</f>
        <v>#REF!</v>
      </c>
      <c r="F34" s="69" t="e">
        <f aca="false">#REF!</f>
        <v>#REF!</v>
      </c>
    </row>
    <row r="35" customFormat="false" ht="12.8" hidden="false" customHeight="false" outlineLevel="0" collapsed="false">
      <c r="A35" s="50" t="e">
        <f aca="false">_xlfn.CONCAT($A$1, ".", #REF!)</f>
        <v>#REF!</v>
      </c>
      <c r="B35" s="68" t="e">
        <f aca="false">_xlfn.CONCAT(#REF!, ":", #REF!)</f>
        <v>#REF!</v>
      </c>
      <c r="C35" s="69" t="e">
        <f aca="false">#REF!</f>
        <v>#REF!</v>
      </c>
      <c r="D35" s="69" t="e">
        <f aca="false">#REF!</f>
        <v>#REF!</v>
      </c>
      <c r="E35" s="69" t="e">
        <f aca="false">#REF!</f>
        <v>#REF!</v>
      </c>
      <c r="F35" s="69" t="e">
        <f aca="false">#REF!</f>
        <v>#REF!</v>
      </c>
    </row>
    <row r="36" customFormat="false" ht="12.8" hidden="false" customHeight="false" outlineLevel="0" collapsed="false">
      <c r="A36" s="50" t="e">
        <f aca="false">_xlfn.CONCAT($A$1, ".", #REF!)</f>
        <v>#REF!</v>
      </c>
      <c r="B36" s="68" t="e">
        <f aca="false">_xlfn.CONCAT(#REF!, ":", #REF!)</f>
        <v>#REF!</v>
      </c>
      <c r="C36" s="69" t="e">
        <f aca="false">#REF!</f>
        <v>#REF!</v>
      </c>
      <c r="D36" s="69" t="e">
        <f aca="false">#REF!</f>
        <v>#REF!</v>
      </c>
      <c r="E36" s="69" t="e">
        <f aca="false">#REF!</f>
        <v>#REF!</v>
      </c>
      <c r="F36" s="69" t="e">
        <f aca="false">#REF!</f>
        <v>#REF!</v>
      </c>
    </row>
    <row r="37" customFormat="false" ht="12.8" hidden="false" customHeight="false" outlineLevel="0" collapsed="false">
      <c r="A37" s="50" t="e">
        <f aca="false">_xlfn.CONCAT($A$1, ".", #REF!)</f>
        <v>#REF!</v>
      </c>
      <c r="B37" s="68" t="e">
        <f aca="false">_xlfn.CONCAT(#REF!, ":", #REF!)</f>
        <v>#REF!</v>
      </c>
      <c r="C37" s="69" t="e">
        <f aca="false">#REF!</f>
        <v>#REF!</v>
      </c>
      <c r="D37" s="69" t="e">
        <f aca="false">#REF!</f>
        <v>#REF!</v>
      </c>
      <c r="E37" s="69" t="e">
        <f aca="false">#REF!</f>
        <v>#REF!</v>
      </c>
      <c r="F37" s="69" t="e">
        <f aca="false">#REF!</f>
        <v>#REF!</v>
      </c>
    </row>
    <row r="38" customFormat="false" ht="12.8" hidden="false" customHeight="false" outlineLevel="0" collapsed="false">
      <c r="A38" s="50" t="e">
        <f aca="false">_xlfn.CONCAT($A$1, ".", #REF!)</f>
        <v>#REF!</v>
      </c>
      <c r="B38" s="68" t="e">
        <f aca="false">_xlfn.CONCAT(#REF!, ":", #REF!)</f>
        <v>#REF!</v>
      </c>
      <c r="C38" s="69" t="e">
        <f aca="false">#REF!</f>
        <v>#REF!</v>
      </c>
      <c r="D38" s="69" t="e">
        <f aca="false">#REF!</f>
        <v>#REF!</v>
      </c>
      <c r="E38" s="69" t="e">
        <f aca="false">#REF!</f>
        <v>#REF!</v>
      </c>
      <c r="F38" s="69" t="e">
        <f aca="false">#REF!</f>
        <v>#REF!</v>
      </c>
    </row>
    <row r="39" customFormat="false" ht="12.8" hidden="false" customHeight="false" outlineLevel="0" collapsed="false">
      <c r="A39" s="50" t="e">
        <f aca="false">_xlfn.CONCAT($A$1, ".", #REF!)</f>
        <v>#REF!</v>
      </c>
      <c r="B39" s="68" t="e">
        <f aca="false">_xlfn.CONCAT(#REF!, ":", #REF!)</f>
        <v>#REF!</v>
      </c>
      <c r="C39" s="69" t="e">
        <f aca="false">#REF!</f>
        <v>#REF!</v>
      </c>
      <c r="D39" s="69" t="e">
        <f aca="false">#REF!</f>
        <v>#REF!</v>
      </c>
      <c r="E39" s="69" t="e">
        <f aca="false">#REF!</f>
        <v>#REF!</v>
      </c>
      <c r="F39" s="69" t="e">
        <f aca="false">#REF!</f>
        <v>#REF!</v>
      </c>
    </row>
    <row r="40" customFormat="false" ht="12.8" hidden="false" customHeight="false" outlineLevel="0" collapsed="false">
      <c r="A40" s="50" t="e">
        <f aca="false">_xlfn.CONCAT($A$1, ".", #REF!)</f>
        <v>#REF!</v>
      </c>
      <c r="B40" s="68" t="e">
        <f aca="false">_xlfn.CONCAT(#REF!, ":", #REF!)</f>
        <v>#REF!</v>
      </c>
      <c r="C40" s="69" t="e">
        <f aca="false">#REF!</f>
        <v>#REF!</v>
      </c>
      <c r="D40" s="69" t="e">
        <f aca="false">#REF!</f>
        <v>#REF!</v>
      </c>
      <c r="E40" s="69" t="e">
        <f aca="false">#REF!</f>
        <v>#REF!</v>
      </c>
      <c r="F40" s="69" t="e">
        <f aca="false">#REF!</f>
        <v>#REF!</v>
      </c>
    </row>
    <row r="41" customFormat="false" ht="12.8" hidden="false" customHeight="false" outlineLevel="0" collapsed="false">
      <c r="A41" s="50" t="e">
        <f aca="false">_xlfn.CONCAT($A$1, ".", #REF!)</f>
        <v>#REF!</v>
      </c>
      <c r="B41" s="68" t="e">
        <f aca="false">_xlfn.CONCAT(#REF!, ":", #REF!)</f>
        <v>#REF!</v>
      </c>
      <c r="C41" s="69" t="e">
        <f aca="false">#REF!</f>
        <v>#REF!</v>
      </c>
      <c r="D41" s="69" t="e">
        <f aca="false">#REF!</f>
        <v>#REF!</v>
      </c>
      <c r="E41" s="69" t="e">
        <f aca="false">#REF!</f>
        <v>#REF!</v>
      </c>
      <c r="F41" s="69" t="e">
        <f aca="false">#REF!</f>
        <v>#REF!</v>
      </c>
    </row>
    <row r="42" customFormat="false" ht="12.8" hidden="false" customHeight="false" outlineLevel="0" collapsed="false">
      <c r="A42" s="50" t="e">
        <f aca="false">_xlfn.CONCAT($A$1, ".", #REF!)</f>
        <v>#REF!</v>
      </c>
      <c r="B42" s="68" t="e">
        <f aca="false">_xlfn.CONCAT(#REF!, ":", #REF!)</f>
        <v>#REF!</v>
      </c>
      <c r="C42" s="69" t="e">
        <f aca="false">#REF!</f>
        <v>#REF!</v>
      </c>
      <c r="D42" s="69" t="e">
        <f aca="false">#REF!</f>
        <v>#REF!</v>
      </c>
      <c r="E42" s="69" t="e">
        <f aca="false">#REF!</f>
        <v>#REF!</v>
      </c>
      <c r="F42" s="69" t="e">
        <f aca="false">#REF!</f>
        <v>#REF!</v>
      </c>
    </row>
    <row r="43" customFormat="false" ht="12.8" hidden="false" customHeight="false" outlineLevel="0" collapsed="false">
      <c r="A43" s="50" t="e">
        <f aca="false">_xlfn.CONCAT($A$1, ".", #REF!)</f>
        <v>#REF!</v>
      </c>
      <c r="B43" s="68" t="e">
        <f aca="false">_xlfn.CONCAT(#REF!, ":", #REF!)</f>
        <v>#REF!</v>
      </c>
      <c r="C43" s="69" t="e">
        <f aca="false">#REF!</f>
        <v>#REF!</v>
      </c>
      <c r="D43" s="69" t="e">
        <f aca="false">#REF!</f>
        <v>#REF!</v>
      </c>
      <c r="E43" s="69" t="e">
        <f aca="false">#REF!</f>
        <v>#REF!</v>
      </c>
      <c r="F43" s="69" t="e">
        <f aca="false">#REF!</f>
        <v>#REF!</v>
      </c>
    </row>
    <row r="44" customFormat="false" ht="12.8" hidden="false" customHeight="false" outlineLevel="0" collapsed="false">
      <c r="A44" s="50" t="e">
        <f aca="false">_xlfn.CONCAT($A$1, ".", #REF!)</f>
        <v>#REF!</v>
      </c>
      <c r="B44" s="68" t="e">
        <f aca="false">_xlfn.CONCAT(#REF!, ":", #REF!)</f>
        <v>#REF!</v>
      </c>
      <c r="C44" s="69" t="e">
        <f aca="false">#REF!</f>
        <v>#REF!</v>
      </c>
      <c r="D44" s="69" t="e">
        <f aca="false">#REF!</f>
        <v>#REF!</v>
      </c>
      <c r="E44" s="69" t="e">
        <f aca="false">#REF!</f>
        <v>#REF!</v>
      </c>
      <c r="F44" s="69" t="e">
        <f aca="false">#REF!</f>
        <v>#REF!</v>
      </c>
    </row>
    <row r="45" customFormat="false" ht="12.8" hidden="false" customHeight="false" outlineLevel="0" collapsed="false">
      <c r="A45" s="50" t="e">
        <f aca="false">_xlfn.CONCAT($A$1, ".", #REF!)</f>
        <v>#REF!</v>
      </c>
      <c r="B45" s="68" t="e">
        <f aca="false">_xlfn.CONCAT(#REF!, ":", #REF!)</f>
        <v>#REF!</v>
      </c>
      <c r="C45" s="69" t="e">
        <f aca="false">#REF!</f>
        <v>#REF!</v>
      </c>
      <c r="D45" s="69" t="e">
        <f aca="false">#REF!</f>
        <v>#REF!</v>
      </c>
      <c r="E45" s="69" t="e">
        <f aca="false">#REF!</f>
        <v>#REF!</v>
      </c>
      <c r="F45" s="69" t="e">
        <f aca="false">#REF!</f>
        <v>#REF!</v>
      </c>
    </row>
    <row r="46" customFormat="false" ht="12.8" hidden="false" customHeight="false" outlineLevel="0" collapsed="false">
      <c r="A46" s="50" t="e">
        <f aca="false">_xlfn.CONCAT($A$1, ".", #REF!)</f>
        <v>#REF!</v>
      </c>
      <c r="B46" s="68" t="e">
        <f aca="false">_xlfn.CONCAT(#REF!, ":", #REF!)</f>
        <v>#REF!</v>
      </c>
      <c r="C46" s="69" t="e">
        <f aca="false">#REF!</f>
        <v>#REF!</v>
      </c>
      <c r="D46" s="69" t="e">
        <f aca="false">#REF!</f>
        <v>#REF!</v>
      </c>
      <c r="E46" s="69" t="e">
        <f aca="false">#REF!</f>
        <v>#REF!</v>
      </c>
      <c r="F46" s="69" t="e">
        <f aca="false">#REF!</f>
        <v>#REF!</v>
      </c>
    </row>
    <row r="47" customFormat="false" ht="12.8" hidden="false" customHeight="false" outlineLevel="0" collapsed="false">
      <c r="A47" s="50" t="e">
        <f aca="false">_xlfn.CONCAT($A$1, ".", #REF!)</f>
        <v>#REF!</v>
      </c>
      <c r="B47" s="68" t="e">
        <f aca="false">_xlfn.CONCAT(#REF!, ":", #REF!)</f>
        <v>#REF!</v>
      </c>
      <c r="C47" s="69" t="e">
        <f aca="false">#REF!</f>
        <v>#REF!</v>
      </c>
      <c r="D47" s="69" t="e">
        <f aca="false">#REF!</f>
        <v>#REF!</v>
      </c>
      <c r="E47" s="69" t="e">
        <f aca="false">#REF!</f>
        <v>#REF!</v>
      </c>
      <c r="F47" s="69" t="e">
        <f aca="false">#REF!</f>
        <v>#REF!</v>
      </c>
    </row>
    <row r="48" customFormat="false" ht="12.8" hidden="false" customHeight="false" outlineLevel="0" collapsed="false">
      <c r="A48" s="50" t="e">
        <f aca="false">_xlfn.CONCAT($A$1, ".", #REF!)</f>
        <v>#REF!</v>
      </c>
      <c r="B48" s="68" t="e">
        <f aca="false">_xlfn.CONCAT(#REF!, ":", #REF!)</f>
        <v>#REF!</v>
      </c>
      <c r="C48" s="69" t="e">
        <f aca="false">#REF!</f>
        <v>#REF!</v>
      </c>
      <c r="D48" s="69" t="e">
        <f aca="false">#REF!</f>
        <v>#REF!</v>
      </c>
      <c r="E48" s="69" t="e">
        <f aca="false">#REF!</f>
        <v>#REF!</v>
      </c>
      <c r="F48" s="69" t="e">
        <f aca="false">#REF!</f>
        <v>#REF!</v>
      </c>
    </row>
    <row r="49" customFormat="false" ht="12.8" hidden="false" customHeight="false" outlineLevel="0" collapsed="false">
      <c r="A49" s="50" t="e">
        <f aca="false">_xlfn.CONCAT($A$1, ".", #REF!)</f>
        <v>#REF!</v>
      </c>
      <c r="B49" s="68" t="e">
        <f aca="false">_xlfn.CONCAT(#REF!, ":", #REF!)</f>
        <v>#REF!</v>
      </c>
      <c r="C49" s="69" t="e">
        <f aca="false">#REF!</f>
        <v>#REF!</v>
      </c>
      <c r="D49" s="69" t="e">
        <f aca="false">#REF!</f>
        <v>#REF!</v>
      </c>
      <c r="E49" s="69" t="e">
        <f aca="false">#REF!</f>
        <v>#REF!</v>
      </c>
      <c r="F49" s="69" t="e">
        <f aca="false">#REF!</f>
        <v>#REF!</v>
      </c>
    </row>
    <row r="50" customFormat="false" ht="12.8" hidden="false" customHeight="false" outlineLevel="0" collapsed="false">
      <c r="A50" s="50" t="e">
        <f aca="false">_xlfn.CONCAT($A$1, ".", #REF!)</f>
        <v>#REF!</v>
      </c>
      <c r="B50" s="68" t="e">
        <f aca="false">_xlfn.CONCAT(#REF!, ":", #REF!)</f>
        <v>#REF!</v>
      </c>
      <c r="C50" s="69" t="e">
        <f aca="false">#REF!</f>
        <v>#REF!</v>
      </c>
      <c r="D50" s="69" t="e">
        <f aca="false">#REF!</f>
        <v>#REF!</v>
      </c>
      <c r="E50" s="69" t="e">
        <f aca="false">#REF!</f>
        <v>#REF!</v>
      </c>
      <c r="F50" s="69" t="e">
        <f aca="false">#REF!</f>
        <v>#REF!</v>
      </c>
    </row>
    <row r="51" customFormat="false" ht="12.8" hidden="false" customHeight="false" outlineLevel="0" collapsed="false">
      <c r="A51" s="50" t="e">
        <f aca="false">_xlfn.CONCAT($A$1, ".", #REF!)</f>
        <v>#REF!</v>
      </c>
      <c r="B51" s="68" t="e">
        <f aca="false">_xlfn.CONCAT(#REF!, ":", #REF!)</f>
        <v>#REF!</v>
      </c>
      <c r="C51" s="69" t="e">
        <f aca="false">#REF!</f>
        <v>#REF!</v>
      </c>
      <c r="D51" s="69" t="e">
        <f aca="false">#REF!</f>
        <v>#REF!</v>
      </c>
      <c r="E51" s="69" t="e">
        <f aca="false">#REF!</f>
        <v>#REF!</v>
      </c>
      <c r="F51" s="69" t="e">
        <f aca="false">#REF!</f>
        <v>#REF!</v>
      </c>
    </row>
    <row r="52" customFormat="false" ht="12.8" hidden="false" customHeight="false" outlineLevel="0" collapsed="false">
      <c r="A52" s="50" t="e">
        <f aca="false">_xlfn.CONCAT($A$1, ".", #REF!)</f>
        <v>#REF!</v>
      </c>
      <c r="B52" s="68" t="e">
        <f aca="false">_xlfn.CONCAT(#REF!, ":", #REF!)</f>
        <v>#REF!</v>
      </c>
      <c r="C52" s="69" t="e">
        <f aca="false">#REF!</f>
        <v>#REF!</v>
      </c>
      <c r="D52" s="69" t="e">
        <f aca="false">#REF!</f>
        <v>#REF!</v>
      </c>
      <c r="E52" s="69" t="e">
        <f aca="false">#REF!</f>
        <v>#REF!</v>
      </c>
      <c r="F52" s="69" t="e">
        <f aca="false">#REF!</f>
        <v>#REF!</v>
      </c>
    </row>
    <row r="53" customFormat="false" ht="12.8" hidden="false" customHeight="false" outlineLevel="0" collapsed="false">
      <c r="A53" s="50" t="e">
        <f aca="false">_xlfn.CONCAT($A$1, ".", #REF!)</f>
        <v>#REF!</v>
      </c>
      <c r="B53" s="68" t="e">
        <f aca="false">_xlfn.CONCAT(#REF!, ":", #REF!)</f>
        <v>#REF!</v>
      </c>
      <c r="C53" s="69" t="e">
        <f aca="false">#REF!</f>
        <v>#REF!</v>
      </c>
      <c r="D53" s="69" t="e">
        <f aca="false">#REF!</f>
        <v>#REF!</v>
      </c>
      <c r="E53" s="69" t="e">
        <f aca="false">#REF!</f>
        <v>#REF!</v>
      </c>
      <c r="F53" s="69" t="e">
        <f aca="false">#REF!</f>
        <v>#REF!</v>
      </c>
    </row>
    <row r="54" customFormat="false" ht="12.8" hidden="false" customHeight="false" outlineLevel="0" collapsed="false">
      <c r="A54" s="50" t="e">
        <f aca="false">_xlfn.CONCAT($A$1, ".", #REF!)</f>
        <v>#REF!</v>
      </c>
      <c r="B54" s="68" t="e">
        <f aca="false">_xlfn.CONCAT(#REF!, ":", #REF!)</f>
        <v>#REF!</v>
      </c>
      <c r="C54" s="69" t="e">
        <f aca="false">#REF!</f>
        <v>#REF!</v>
      </c>
      <c r="D54" s="69" t="e">
        <f aca="false">#REF!</f>
        <v>#REF!</v>
      </c>
      <c r="E54" s="69" t="e">
        <f aca="false">#REF!</f>
        <v>#REF!</v>
      </c>
      <c r="F54" s="69" t="e">
        <f aca="false">#REF!</f>
        <v>#REF!</v>
      </c>
    </row>
    <row r="55" customFormat="false" ht="12.8" hidden="false" customHeight="false" outlineLevel="0" collapsed="false">
      <c r="A55" s="50" t="e">
        <f aca="false">_xlfn.CONCAT($A$1, ".", #REF!)</f>
        <v>#REF!</v>
      </c>
      <c r="B55" s="68" t="e">
        <f aca="false">_xlfn.CONCAT(#REF!, ":", #REF!)</f>
        <v>#REF!</v>
      </c>
      <c r="C55" s="69" t="e">
        <f aca="false">#REF!</f>
        <v>#REF!</v>
      </c>
      <c r="D55" s="69" t="e">
        <f aca="false">#REF!</f>
        <v>#REF!</v>
      </c>
      <c r="E55" s="69" t="e">
        <f aca="false">#REF!</f>
        <v>#REF!</v>
      </c>
      <c r="F55" s="69"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1D75"/>
    <pageSetUpPr fitToPage="false"/>
  </sheetPr>
  <dimension ref="A1:BP247"/>
  <sheetViews>
    <sheetView showFormulas="false" showGridLines="true" showRowColHeaders="true" showZeros="true" rightToLeft="false" tabSelected="false" showOutlineSymbols="true" defaultGridColor="true" view="normal" topLeftCell="A92" colorId="64" zoomScale="75" zoomScaleNormal="75" zoomScalePageLayoutView="100" workbookViewId="0">
      <selection pane="topLeft" activeCell="A1" activeCellId="1" sqref="D3:E3 A1"/>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987</v>
      </c>
      <c r="B1" s="52" t="s">
        <v>988</v>
      </c>
      <c r="C1" s="6" t="s">
        <v>2</v>
      </c>
      <c r="D1" s="60" t="s">
        <v>989</v>
      </c>
      <c r="AZ1" s="39"/>
      <c r="BP1" s="39"/>
    </row>
    <row r="2" customFormat="false" ht="35.05" hidden="false" customHeight="false" outlineLevel="0" collapsed="false">
      <c r="A2" s="64" t="s">
        <v>792</v>
      </c>
      <c r="B2" s="52" t="s">
        <v>793</v>
      </c>
      <c r="C2" s="70" t="str">
        <f aca="false">CALC!X3</f>
        <v>Wage Average ($ /hr)</v>
      </c>
      <c r="D2" s="70" t="str">
        <f aca="false">CALC!AD3</f>
        <v>Authorized Immigrant Wage Average ($ /hr)</v>
      </c>
      <c r="E2" s="70" t="str">
        <f aca="false">CALC!AJ3</f>
        <v>Unauthorized Immigrant Wage Average ($ /hr)</v>
      </c>
      <c r="F2" s="70" t="str">
        <f aca="false">CALC!AP3</f>
        <v>American Wage Average ($ /hr)</v>
      </c>
    </row>
    <row r="3" customFormat="false" ht="12.8" hidden="false" customHeight="false" outlineLevel="0" collapsed="false">
      <c r="A3" s="4" t="e">
        <f aca="false">_xlfn.CONCAT($A$1, ".", #REF!)</f>
        <v>#REF!</v>
      </c>
      <c r="B3" s="49" t="e">
        <f aca="false">_xlfn.CONCAT(#REF!, ":", #REF!)</f>
        <v>#REF!</v>
      </c>
      <c r="C3" s="70" t="e">
        <f aca="false">#REF!</f>
        <v>#REF!</v>
      </c>
      <c r="D3" s="70" t="e">
        <f aca="false">#REF!</f>
        <v>#REF!</v>
      </c>
      <c r="E3" s="70" t="e">
        <f aca="false">#REF!</f>
        <v>#REF!</v>
      </c>
      <c r="F3" s="70" t="e">
        <f aca="false">#REF!</f>
        <v>#REF!</v>
      </c>
    </row>
    <row r="4" customFormat="false" ht="12.8" hidden="false" customHeight="false" outlineLevel="0" collapsed="false">
      <c r="A4" s="50" t="e">
        <f aca="false">_xlfn.CONCAT($A$1, ".", #REF!)</f>
        <v>#REF!</v>
      </c>
      <c r="B4" s="68" t="e">
        <f aca="false">_xlfn.CONCAT(#REF!, ":", #REF!)</f>
        <v>#REF!</v>
      </c>
      <c r="C4" s="71" t="e">
        <f aca="false">#REF!</f>
        <v>#REF!</v>
      </c>
      <c r="D4" s="71" t="e">
        <f aca="false">#REF!</f>
        <v>#REF!</v>
      </c>
      <c r="E4" s="71" t="e">
        <f aca="false">#REF!</f>
        <v>#REF!</v>
      </c>
      <c r="F4" s="71" t="e">
        <f aca="false">#REF!</f>
        <v>#REF!</v>
      </c>
    </row>
    <row r="5" customFormat="false" ht="12.8" hidden="false" customHeight="false" outlineLevel="0" collapsed="false">
      <c r="A5" s="50" t="e">
        <f aca="false">_xlfn.CONCAT($A$1, ".", #REF!)</f>
        <v>#REF!</v>
      </c>
      <c r="B5" s="68" t="e">
        <f aca="false">_xlfn.CONCAT(#REF!, ":", #REF!)</f>
        <v>#REF!</v>
      </c>
      <c r="C5" s="71" t="e">
        <f aca="false">#REF!</f>
        <v>#REF!</v>
      </c>
      <c r="D5" s="71" t="e">
        <f aca="false">#REF!</f>
        <v>#REF!</v>
      </c>
      <c r="E5" s="71" t="e">
        <f aca="false">#REF!</f>
        <v>#REF!</v>
      </c>
      <c r="F5" s="71" t="e">
        <f aca="false">#REF!</f>
        <v>#REF!</v>
      </c>
    </row>
    <row r="6" customFormat="false" ht="12.8" hidden="false" customHeight="false" outlineLevel="0" collapsed="false">
      <c r="A6" s="50" t="e">
        <f aca="false">_xlfn.CONCAT($A$1, ".", #REF!)</f>
        <v>#REF!</v>
      </c>
      <c r="B6" s="68" t="e">
        <f aca="false">_xlfn.CONCAT(#REF!, ":", #REF!)</f>
        <v>#REF!</v>
      </c>
      <c r="C6" s="71" t="e">
        <f aca="false">#REF!</f>
        <v>#REF!</v>
      </c>
      <c r="D6" s="71" t="e">
        <f aca="false">#REF!</f>
        <v>#REF!</v>
      </c>
      <c r="E6" s="71" t="e">
        <f aca="false">#REF!</f>
        <v>#REF!</v>
      </c>
      <c r="F6" s="71" t="e">
        <f aca="false">#REF!</f>
        <v>#REF!</v>
      </c>
    </row>
    <row r="7" customFormat="false" ht="12.8" hidden="false" customHeight="false" outlineLevel="0" collapsed="false">
      <c r="A7" s="50" t="e">
        <f aca="false">_xlfn.CONCAT($A$1, ".", #REF!)</f>
        <v>#REF!</v>
      </c>
      <c r="B7" s="68" t="e">
        <f aca="false">_xlfn.CONCAT(#REF!, ":", #REF!)</f>
        <v>#REF!</v>
      </c>
      <c r="C7" s="71" t="e">
        <f aca="false">#REF!</f>
        <v>#REF!</v>
      </c>
      <c r="D7" s="71" t="e">
        <f aca="false">#REF!</f>
        <v>#REF!</v>
      </c>
      <c r="E7" s="71" t="e">
        <f aca="false">#REF!</f>
        <v>#REF!</v>
      </c>
      <c r="F7" s="71" t="e">
        <f aca="false">#REF!</f>
        <v>#REF!</v>
      </c>
    </row>
    <row r="8" customFormat="false" ht="12.8" hidden="false" customHeight="false" outlineLevel="0" collapsed="false">
      <c r="A8" s="50" t="e">
        <f aca="false">_xlfn.CONCAT($A$1, ".", #REF!)</f>
        <v>#REF!</v>
      </c>
      <c r="B8" s="68" t="e">
        <f aca="false">_xlfn.CONCAT(#REF!, ":", #REF!)</f>
        <v>#REF!</v>
      </c>
      <c r="C8" s="71" t="e">
        <f aca="false">#REF!</f>
        <v>#REF!</v>
      </c>
      <c r="D8" s="71" t="e">
        <f aca="false">#REF!</f>
        <v>#REF!</v>
      </c>
      <c r="E8" s="71" t="e">
        <f aca="false">#REF!</f>
        <v>#REF!</v>
      </c>
      <c r="F8" s="71" t="e">
        <f aca="false">#REF!</f>
        <v>#REF!</v>
      </c>
    </row>
    <row r="9" customFormat="false" ht="12.8" hidden="false" customHeight="false" outlineLevel="0" collapsed="false">
      <c r="A9" s="50" t="e">
        <f aca="false">_xlfn.CONCAT($A$1, ".", #REF!)</f>
        <v>#REF!</v>
      </c>
      <c r="B9" s="68" t="e">
        <f aca="false">_xlfn.CONCAT(#REF!, ":", #REF!)</f>
        <v>#REF!</v>
      </c>
      <c r="C9" s="71" t="e">
        <f aca="false">#REF!</f>
        <v>#REF!</v>
      </c>
      <c r="D9" s="71" t="e">
        <f aca="false">#REF!</f>
        <v>#REF!</v>
      </c>
      <c r="E9" s="71" t="e">
        <f aca="false">#REF!</f>
        <v>#REF!</v>
      </c>
      <c r="F9" s="71" t="e">
        <f aca="false">#REF!</f>
        <v>#REF!</v>
      </c>
    </row>
    <row r="10" customFormat="false" ht="12.8" hidden="false" customHeight="false" outlineLevel="0" collapsed="false">
      <c r="A10" s="50" t="e">
        <f aca="false">_xlfn.CONCAT($A$1, ".", #REF!)</f>
        <v>#REF!</v>
      </c>
      <c r="B10" s="68" t="e">
        <f aca="false">_xlfn.CONCAT(#REF!, ":", #REF!)</f>
        <v>#REF!</v>
      </c>
      <c r="C10" s="71" t="e">
        <f aca="false">#REF!</f>
        <v>#REF!</v>
      </c>
      <c r="D10" s="71" t="e">
        <f aca="false">#REF!</f>
        <v>#REF!</v>
      </c>
      <c r="E10" s="71" t="e">
        <f aca="false">#REF!</f>
        <v>#REF!</v>
      </c>
      <c r="F10" s="71" t="e">
        <f aca="false">#REF!</f>
        <v>#REF!</v>
      </c>
    </row>
    <row r="11" customFormat="false" ht="12.8" hidden="false" customHeight="false" outlineLevel="0" collapsed="false">
      <c r="A11" s="50" t="e">
        <f aca="false">_xlfn.CONCAT($A$1, ".", #REF!)</f>
        <v>#REF!</v>
      </c>
      <c r="B11" s="68" t="e">
        <f aca="false">_xlfn.CONCAT(#REF!, ":", #REF!)</f>
        <v>#REF!</v>
      </c>
      <c r="C11" s="71" t="e">
        <f aca="false">#REF!</f>
        <v>#REF!</v>
      </c>
      <c r="D11" s="71" t="e">
        <f aca="false">#REF!</f>
        <v>#REF!</v>
      </c>
      <c r="E11" s="71" t="e">
        <f aca="false">#REF!</f>
        <v>#REF!</v>
      </c>
      <c r="F11" s="71" t="e">
        <f aca="false">#REF!</f>
        <v>#REF!</v>
      </c>
    </row>
    <row r="12" customFormat="false" ht="12.8" hidden="false" customHeight="false" outlineLevel="0" collapsed="false">
      <c r="A12" s="50" t="e">
        <f aca="false">_xlfn.CONCAT($A$1, ".", #REF!)</f>
        <v>#REF!</v>
      </c>
      <c r="B12" s="68" t="e">
        <f aca="false">_xlfn.CONCAT(#REF!, ":", #REF!)</f>
        <v>#REF!</v>
      </c>
      <c r="C12" s="71" t="e">
        <f aca="false">#REF!</f>
        <v>#REF!</v>
      </c>
      <c r="D12" s="71" t="e">
        <f aca="false">#REF!</f>
        <v>#REF!</v>
      </c>
      <c r="E12" s="71" t="e">
        <f aca="false">#REF!</f>
        <v>#REF!</v>
      </c>
      <c r="F12" s="71" t="e">
        <f aca="false">#REF!</f>
        <v>#REF!</v>
      </c>
    </row>
    <row r="13" customFormat="false" ht="12.8" hidden="false" customHeight="false" outlineLevel="0" collapsed="false">
      <c r="A13" s="50" t="e">
        <f aca="false">_xlfn.CONCAT($A$1, ".", #REF!)</f>
        <v>#REF!</v>
      </c>
      <c r="B13" s="68" t="e">
        <f aca="false">_xlfn.CONCAT(#REF!, ":", #REF!)</f>
        <v>#REF!</v>
      </c>
      <c r="C13" s="71" t="e">
        <f aca="false">#REF!</f>
        <v>#REF!</v>
      </c>
      <c r="D13" s="71" t="e">
        <f aca="false">#REF!</f>
        <v>#REF!</v>
      </c>
      <c r="E13" s="71" t="e">
        <f aca="false">#REF!</f>
        <v>#REF!</v>
      </c>
      <c r="F13" s="71" t="e">
        <f aca="false">#REF!</f>
        <v>#REF!</v>
      </c>
    </row>
    <row r="14" customFormat="false" ht="12.8" hidden="false" customHeight="false" outlineLevel="0" collapsed="false">
      <c r="A14" s="50" t="e">
        <f aca="false">_xlfn.CONCAT($A$1, ".", #REF!)</f>
        <v>#REF!</v>
      </c>
      <c r="B14" s="68" t="e">
        <f aca="false">_xlfn.CONCAT(#REF!, ":", #REF!)</f>
        <v>#REF!</v>
      </c>
      <c r="C14" s="71" t="e">
        <f aca="false">#REF!</f>
        <v>#REF!</v>
      </c>
      <c r="D14" s="71" t="e">
        <f aca="false">#REF!</f>
        <v>#REF!</v>
      </c>
      <c r="E14" s="71" t="e">
        <f aca="false">#REF!</f>
        <v>#REF!</v>
      </c>
      <c r="F14" s="71" t="e">
        <f aca="false">#REF!</f>
        <v>#REF!</v>
      </c>
    </row>
    <row r="15" customFormat="false" ht="12.8" hidden="false" customHeight="false" outlineLevel="0" collapsed="false">
      <c r="A15" s="50" t="e">
        <f aca="false">_xlfn.CONCAT($A$1, ".", #REF!)</f>
        <v>#REF!</v>
      </c>
      <c r="B15" s="68" t="e">
        <f aca="false">_xlfn.CONCAT(#REF!, ":", #REF!)</f>
        <v>#REF!</v>
      </c>
      <c r="C15" s="71" t="e">
        <f aca="false">#REF!</f>
        <v>#REF!</v>
      </c>
      <c r="D15" s="71" t="e">
        <f aca="false">#REF!</f>
        <v>#REF!</v>
      </c>
      <c r="E15" s="71" t="e">
        <f aca="false">#REF!</f>
        <v>#REF!</v>
      </c>
      <c r="F15" s="71" t="e">
        <f aca="false">#REF!</f>
        <v>#REF!</v>
      </c>
    </row>
    <row r="16" customFormat="false" ht="12.8" hidden="false" customHeight="false" outlineLevel="0" collapsed="false">
      <c r="A16" s="50" t="e">
        <f aca="false">_xlfn.CONCAT($A$1, ".", #REF!)</f>
        <v>#REF!</v>
      </c>
      <c r="B16" s="68" t="e">
        <f aca="false">_xlfn.CONCAT(#REF!, ":", #REF!)</f>
        <v>#REF!</v>
      </c>
      <c r="C16" s="71" t="e">
        <f aca="false">#REF!</f>
        <v>#REF!</v>
      </c>
      <c r="D16" s="71" t="e">
        <f aca="false">#REF!</f>
        <v>#REF!</v>
      </c>
      <c r="E16" s="71" t="e">
        <f aca="false">#REF!</f>
        <v>#REF!</v>
      </c>
      <c r="F16" s="71" t="e">
        <f aca="false">#REF!</f>
        <v>#REF!</v>
      </c>
    </row>
    <row r="17" customFormat="false" ht="12.8" hidden="false" customHeight="false" outlineLevel="0" collapsed="false">
      <c r="A17" s="50" t="e">
        <f aca="false">_xlfn.CONCAT($A$1, ".", #REF!)</f>
        <v>#REF!</v>
      </c>
      <c r="B17" s="68" t="e">
        <f aca="false">_xlfn.CONCAT(#REF!, ":", #REF!)</f>
        <v>#REF!</v>
      </c>
      <c r="C17" s="71" t="e">
        <f aca="false">#REF!</f>
        <v>#REF!</v>
      </c>
      <c r="D17" s="71" t="e">
        <f aca="false">#REF!</f>
        <v>#REF!</v>
      </c>
      <c r="E17" s="71" t="e">
        <f aca="false">#REF!</f>
        <v>#REF!</v>
      </c>
      <c r="F17" s="71" t="e">
        <f aca="false">#REF!</f>
        <v>#REF!</v>
      </c>
    </row>
    <row r="18" customFormat="false" ht="12.8" hidden="false" customHeight="false" outlineLevel="0" collapsed="false">
      <c r="A18" s="50" t="e">
        <f aca="false">_xlfn.CONCAT($A$1, ".", #REF!)</f>
        <v>#REF!</v>
      </c>
      <c r="B18" s="68" t="e">
        <f aca="false">_xlfn.CONCAT(#REF!, ":", #REF!)</f>
        <v>#REF!</v>
      </c>
      <c r="C18" s="71" t="e">
        <f aca="false">#REF!</f>
        <v>#REF!</v>
      </c>
      <c r="D18" s="71" t="e">
        <f aca="false">#REF!</f>
        <v>#REF!</v>
      </c>
      <c r="E18" s="71" t="e">
        <f aca="false">#REF!</f>
        <v>#REF!</v>
      </c>
      <c r="F18" s="71" t="e">
        <f aca="false">#REF!</f>
        <v>#REF!</v>
      </c>
    </row>
    <row r="19" customFormat="false" ht="12.8" hidden="false" customHeight="false" outlineLevel="0" collapsed="false">
      <c r="A19" s="50" t="e">
        <f aca="false">_xlfn.CONCAT($A$1, ".", #REF!)</f>
        <v>#REF!</v>
      </c>
      <c r="B19" s="68" t="e">
        <f aca="false">_xlfn.CONCAT(#REF!, ":", #REF!)</f>
        <v>#REF!</v>
      </c>
      <c r="C19" s="71" t="e">
        <f aca="false">#REF!</f>
        <v>#REF!</v>
      </c>
      <c r="D19" s="71" t="e">
        <f aca="false">#REF!</f>
        <v>#REF!</v>
      </c>
      <c r="E19" s="71" t="e">
        <f aca="false">#REF!</f>
        <v>#REF!</v>
      </c>
      <c r="F19" s="71" t="e">
        <f aca="false">#REF!</f>
        <v>#REF!</v>
      </c>
    </row>
    <row r="20" customFormat="false" ht="12.8" hidden="false" customHeight="false" outlineLevel="0" collapsed="false">
      <c r="A20" s="50" t="e">
        <f aca="false">_xlfn.CONCAT($A$1, ".", #REF!)</f>
        <v>#REF!</v>
      </c>
      <c r="B20" s="68" t="e">
        <f aca="false">_xlfn.CONCAT(#REF!, ":", #REF!)</f>
        <v>#REF!</v>
      </c>
      <c r="C20" s="71" t="e">
        <f aca="false">#REF!</f>
        <v>#REF!</v>
      </c>
      <c r="D20" s="71" t="e">
        <f aca="false">#REF!</f>
        <v>#REF!</v>
      </c>
      <c r="E20" s="71" t="e">
        <f aca="false">#REF!</f>
        <v>#REF!</v>
      </c>
      <c r="F20" s="71" t="e">
        <f aca="false">#REF!</f>
        <v>#REF!</v>
      </c>
    </row>
    <row r="21" customFormat="false" ht="12.8" hidden="false" customHeight="false" outlineLevel="0" collapsed="false">
      <c r="A21" s="50" t="e">
        <f aca="false">_xlfn.CONCAT($A$1, ".", #REF!)</f>
        <v>#REF!</v>
      </c>
      <c r="B21" s="68" t="e">
        <f aca="false">_xlfn.CONCAT(#REF!, ":", #REF!)</f>
        <v>#REF!</v>
      </c>
      <c r="C21" s="71" t="e">
        <f aca="false">#REF!</f>
        <v>#REF!</v>
      </c>
      <c r="D21" s="71" t="e">
        <f aca="false">#REF!</f>
        <v>#REF!</v>
      </c>
      <c r="E21" s="71" t="e">
        <f aca="false">#REF!</f>
        <v>#REF!</v>
      </c>
      <c r="F21" s="71" t="e">
        <f aca="false">#REF!</f>
        <v>#REF!</v>
      </c>
    </row>
    <row r="22" customFormat="false" ht="12.8" hidden="false" customHeight="false" outlineLevel="0" collapsed="false">
      <c r="A22" s="50" t="e">
        <f aca="false">_xlfn.CONCAT($A$1, ".", #REF!)</f>
        <v>#REF!</v>
      </c>
      <c r="B22" s="68" t="e">
        <f aca="false">_xlfn.CONCAT(#REF!, ":", #REF!)</f>
        <v>#REF!</v>
      </c>
      <c r="C22" s="71" t="e">
        <f aca="false">#REF!</f>
        <v>#REF!</v>
      </c>
      <c r="D22" s="71" t="e">
        <f aca="false">#REF!</f>
        <v>#REF!</v>
      </c>
      <c r="E22" s="71" t="e">
        <f aca="false">#REF!</f>
        <v>#REF!</v>
      </c>
      <c r="F22" s="71" t="e">
        <f aca="false">#REF!</f>
        <v>#REF!</v>
      </c>
    </row>
    <row r="23" customFormat="false" ht="12.8" hidden="false" customHeight="false" outlineLevel="0" collapsed="false">
      <c r="A23" s="50" t="e">
        <f aca="false">_xlfn.CONCAT($A$1, ".", #REF!)</f>
        <v>#REF!</v>
      </c>
      <c r="B23" s="68" t="e">
        <f aca="false">_xlfn.CONCAT(#REF!, ":", #REF!)</f>
        <v>#REF!</v>
      </c>
      <c r="C23" s="71" t="e">
        <f aca="false">#REF!</f>
        <v>#REF!</v>
      </c>
      <c r="D23" s="71" t="e">
        <f aca="false">#REF!</f>
        <v>#REF!</v>
      </c>
      <c r="E23" s="71" t="e">
        <f aca="false">#REF!</f>
        <v>#REF!</v>
      </c>
      <c r="F23" s="71" t="e">
        <f aca="false">#REF!</f>
        <v>#REF!</v>
      </c>
    </row>
    <row r="24" customFormat="false" ht="12.8" hidden="false" customHeight="false" outlineLevel="0" collapsed="false">
      <c r="A24" s="50" t="e">
        <f aca="false">_xlfn.CONCAT($A$1, ".", #REF!)</f>
        <v>#REF!</v>
      </c>
      <c r="B24" s="68" t="e">
        <f aca="false">_xlfn.CONCAT(#REF!, ":", #REF!)</f>
        <v>#REF!</v>
      </c>
      <c r="C24" s="71" t="e">
        <f aca="false">#REF!</f>
        <v>#REF!</v>
      </c>
      <c r="D24" s="71" t="e">
        <f aca="false">#REF!</f>
        <v>#REF!</v>
      </c>
      <c r="E24" s="71" t="e">
        <f aca="false">#REF!</f>
        <v>#REF!</v>
      </c>
      <c r="F24" s="71" t="e">
        <f aca="false">#REF!</f>
        <v>#REF!</v>
      </c>
    </row>
    <row r="25" customFormat="false" ht="12.8" hidden="false" customHeight="false" outlineLevel="0" collapsed="false">
      <c r="A25" s="50" t="e">
        <f aca="false">_xlfn.CONCAT($A$1, ".", #REF!)</f>
        <v>#REF!</v>
      </c>
      <c r="B25" s="68" t="e">
        <f aca="false">_xlfn.CONCAT(#REF!, ":", #REF!)</f>
        <v>#REF!</v>
      </c>
      <c r="C25" s="71" t="e">
        <f aca="false">#REF!</f>
        <v>#REF!</v>
      </c>
      <c r="D25" s="71" t="e">
        <f aca="false">#REF!</f>
        <v>#REF!</v>
      </c>
      <c r="E25" s="71" t="e">
        <f aca="false">#REF!</f>
        <v>#REF!</v>
      </c>
      <c r="F25" s="71" t="e">
        <f aca="false">#REF!</f>
        <v>#REF!</v>
      </c>
    </row>
    <row r="26" customFormat="false" ht="12.8" hidden="false" customHeight="false" outlineLevel="0" collapsed="false">
      <c r="A26" s="50" t="e">
        <f aca="false">_xlfn.CONCAT($A$1, ".", #REF!)</f>
        <v>#REF!</v>
      </c>
      <c r="B26" s="68" t="e">
        <f aca="false">_xlfn.CONCAT(#REF!, ":", #REF!)</f>
        <v>#REF!</v>
      </c>
      <c r="C26" s="71" t="e">
        <f aca="false">#REF!</f>
        <v>#REF!</v>
      </c>
      <c r="D26" s="71" t="e">
        <f aca="false">#REF!</f>
        <v>#REF!</v>
      </c>
      <c r="E26" s="71" t="e">
        <f aca="false">#REF!</f>
        <v>#REF!</v>
      </c>
      <c r="F26" s="71" t="e">
        <f aca="false">#REF!</f>
        <v>#REF!</v>
      </c>
    </row>
    <row r="27" customFormat="false" ht="12.8" hidden="false" customHeight="false" outlineLevel="0" collapsed="false">
      <c r="A27" s="50" t="e">
        <f aca="false">_xlfn.CONCAT($A$1, ".", #REF!)</f>
        <v>#REF!</v>
      </c>
      <c r="B27" s="68" t="e">
        <f aca="false">_xlfn.CONCAT(#REF!, ":", #REF!)</f>
        <v>#REF!</v>
      </c>
      <c r="C27" s="71" t="e">
        <f aca="false">#REF!</f>
        <v>#REF!</v>
      </c>
      <c r="D27" s="71" t="e">
        <f aca="false">#REF!</f>
        <v>#REF!</v>
      </c>
      <c r="E27" s="71" t="e">
        <f aca="false">#REF!</f>
        <v>#REF!</v>
      </c>
      <c r="F27" s="71" t="e">
        <f aca="false">#REF!</f>
        <v>#REF!</v>
      </c>
    </row>
    <row r="28" customFormat="false" ht="12.8" hidden="false" customHeight="false" outlineLevel="0" collapsed="false">
      <c r="A28" s="50" t="e">
        <f aca="false">_xlfn.CONCAT($A$1, ".", #REF!)</f>
        <v>#REF!</v>
      </c>
      <c r="B28" s="68" t="e">
        <f aca="false">_xlfn.CONCAT(#REF!, ":", #REF!)</f>
        <v>#REF!</v>
      </c>
      <c r="C28" s="71" t="e">
        <f aca="false">#REF!</f>
        <v>#REF!</v>
      </c>
      <c r="D28" s="71" t="e">
        <f aca="false">#REF!</f>
        <v>#REF!</v>
      </c>
      <c r="E28" s="71" t="e">
        <f aca="false">#REF!</f>
        <v>#REF!</v>
      </c>
      <c r="F28" s="71" t="e">
        <f aca="false">#REF!</f>
        <v>#REF!</v>
      </c>
    </row>
    <row r="29" customFormat="false" ht="12.8" hidden="false" customHeight="false" outlineLevel="0" collapsed="false">
      <c r="A29" s="50" t="e">
        <f aca="false">_xlfn.CONCAT($A$1, ".", #REF!)</f>
        <v>#REF!</v>
      </c>
      <c r="B29" s="68" t="e">
        <f aca="false">_xlfn.CONCAT(#REF!, ":", #REF!)</f>
        <v>#REF!</v>
      </c>
      <c r="C29" s="71" t="e">
        <f aca="false">#REF!</f>
        <v>#REF!</v>
      </c>
      <c r="D29" s="71" t="e">
        <f aca="false">#REF!</f>
        <v>#REF!</v>
      </c>
      <c r="E29" s="71" t="e">
        <f aca="false">#REF!</f>
        <v>#REF!</v>
      </c>
      <c r="F29" s="71" t="e">
        <f aca="false">#REF!</f>
        <v>#REF!</v>
      </c>
    </row>
    <row r="30" customFormat="false" ht="12.8" hidden="false" customHeight="false" outlineLevel="0" collapsed="false">
      <c r="A30" s="50" t="e">
        <f aca="false">_xlfn.CONCAT($A$1, ".", #REF!)</f>
        <v>#REF!</v>
      </c>
      <c r="B30" s="68" t="e">
        <f aca="false">_xlfn.CONCAT(#REF!, ":", #REF!)</f>
        <v>#REF!</v>
      </c>
      <c r="C30" s="71" t="e">
        <f aca="false">#REF!</f>
        <v>#REF!</v>
      </c>
      <c r="D30" s="71" t="e">
        <f aca="false">#REF!</f>
        <v>#REF!</v>
      </c>
      <c r="E30" s="71" t="e">
        <f aca="false">#REF!</f>
        <v>#REF!</v>
      </c>
      <c r="F30" s="71" t="e">
        <f aca="false">#REF!</f>
        <v>#REF!</v>
      </c>
    </row>
    <row r="31" customFormat="false" ht="12.8" hidden="false" customHeight="false" outlineLevel="0" collapsed="false">
      <c r="A31" s="50" t="e">
        <f aca="false">_xlfn.CONCAT($A$1, ".", #REF!)</f>
        <v>#REF!</v>
      </c>
      <c r="B31" s="68" t="e">
        <f aca="false">_xlfn.CONCAT(#REF!, ":", #REF!)</f>
        <v>#REF!</v>
      </c>
      <c r="C31" s="71" t="e">
        <f aca="false">#REF!</f>
        <v>#REF!</v>
      </c>
      <c r="D31" s="71" t="e">
        <f aca="false">#REF!</f>
        <v>#REF!</v>
      </c>
      <c r="E31" s="71" t="e">
        <f aca="false">#REF!</f>
        <v>#REF!</v>
      </c>
      <c r="F31" s="71" t="e">
        <f aca="false">#REF!</f>
        <v>#REF!</v>
      </c>
    </row>
    <row r="32" customFormat="false" ht="12.8" hidden="false" customHeight="false" outlineLevel="0" collapsed="false">
      <c r="A32" s="50" t="e">
        <f aca="false">_xlfn.CONCAT($A$1, ".", #REF!)</f>
        <v>#REF!</v>
      </c>
      <c r="B32" s="68" t="e">
        <f aca="false">_xlfn.CONCAT(#REF!, ":", #REF!)</f>
        <v>#REF!</v>
      </c>
      <c r="C32" s="71" t="e">
        <f aca="false">#REF!</f>
        <v>#REF!</v>
      </c>
      <c r="D32" s="71" t="e">
        <f aca="false">#REF!</f>
        <v>#REF!</v>
      </c>
      <c r="E32" s="71" t="e">
        <f aca="false">#REF!</f>
        <v>#REF!</v>
      </c>
      <c r="F32" s="71" t="e">
        <f aca="false">#REF!</f>
        <v>#REF!</v>
      </c>
    </row>
    <row r="33" customFormat="false" ht="12.8" hidden="false" customHeight="false" outlineLevel="0" collapsed="false">
      <c r="A33" s="50" t="e">
        <f aca="false">_xlfn.CONCAT($A$1, ".", #REF!)</f>
        <v>#REF!</v>
      </c>
      <c r="B33" s="68" t="e">
        <f aca="false">_xlfn.CONCAT(#REF!, ":", #REF!)</f>
        <v>#REF!</v>
      </c>
      <c r="C33" s="71" t="e">
        <f aca="false">#REF!</f>
        <v>#REF!</v>
      </c>
      <c r="D33" s="71" t="e">
        <f aca="false">#REF!</f>
        <v>#REF!</v>
      </c>
      <c r="E33" s="71" t="e">
        <f aca="false">#REF!</f>
        <v>#REF!</v>
      </c>
      <c r="F33" s="71" t="e">
        <f aca="false">#REF!</f>
        <v>#REF!</v>
      </c>
    </row>
    <row r="34" customFormat="false" ht="12.8" hidden="false" customHeight="false" outlineLevel="0" collapsed="false">
      <c r="A34" s="50" t="e">
        <f aca="false">_xlfn.CONCAT($A$1, ".", #REF!)</f>
        <v>#REF!</v>
      </c>
      <c r="B34" s="68" t="e">
        <f aca="false">_xlfn.CONCAT(#REF!, ":", #REF!)</f>
        <v>#REF!</v>
      </c>
      <c r="C34" s="71" t="e">
        <f aca="false">#REF!</f>
        <v>#REF!</v>
      </c>
      <c r="D34" s="71" t="e">
        <f aca="false">#REF!</f>
        <v>#REF!</v>
      </c>
      <c r="E34" s="71" t="e">
        <f aca="false">#REF!</f>
        <v>#REF!</v>
      </c>
      <c r="F34" s="71" t="e">
        <f aca="false">#REF!</f>
        <v>#REF!</v>
      </c>
    </row>
    <row r="35" customFormat="false" ht="12.8" hidden="false" customHeight="false" outlineLevel="0" collapsed="false">
      <c r="A35" s="50" t="e">
        <f aca="false">_xlfn.CONCAT($A$1, ".", #REF!)</f>
        <v>#REF!</v>
      </c>
      <c r="B35" s="68" t="e">
        <f aca="false">_xlfn.CONCAT(#REF!, ":", #REF!)</f>
        <v>#REF!</v>
      </c>
      <c r="C35" s="71" t="e">
        <f aca="false">#REF!</f>
        <v>#REF!</v>
      </c>
      <c r="D35" s="71" t="e">
        <f aca="false">#REF!</f>
        <v>#REF!</v>
      </c>
      <c r="E35" s="71" t="e">
        <f aca="false">#REF!</f>
        <v>#REF!</v>
      </c>
      <c r="F35" s="71" t="e">
        <f aca="false">#REF!</f>
        <v>#REF!</v>
      </c>
    </row>
    <row r="36" customFormat="false" ht="12.8" hidden="false" customHeight="false" outlineLevel="0" collapsed="false">
      <c r="A36" s="50" t="e">
        <f aca="false">_xlfn.CONCAT($A$1, ".", #REF!)</f>
        <v>#REF!</v>
      </c>
      <c r="B36" s="68" t="e">
        <f aca="false">_xlfn.CONCAT(#REF!, ":", #REF!)</f>
        <v>#REF!</v>
      </c>
      <c r="C36" s="71" t="e">
        <f aca="false">#REF!</f>
        <v>#REF!</v>
      </c>
      <c r="D36" s="71" t="e">
        <f aca="false">#REF!</f>
        <v>#REF!</v>
      </c>
      <c r="E36" s="71" t="e">
        <f aca="false">#REF!</f>
        <v>#REF!</v>
      </c>
      <c r="F36" s="71" t="e">
        <f aca="false">#REF!</f>
        <v>#REF!</v>
      </c>
    </row>
    <row r="37" customFormat="false" ht="12.8" hidden="false" customHeight="false" outlineLevel="0" collapsed="false">
      <c r="A37" s="50" t="e">
        <f aca="false">_xlfn.CONCAT($A$1, ".", #REF!)</f>
        <v>#REF!</v>
      </c>
      <c r="B37" s="68" t="e">
        <f aca="false">_xlfn.CONCAT(#REF!, ":", #REF!)</f>
        <v>#REF!</v>
      </c>
      <c r="C37" s="71" t="e">
        <f aca="false">#REF!</f>
        <v>#REF!</v>
      </c>
      <c r="D37" s="71" t="e">
        <f aca="false">#REF!</f>
        <v>#REF!</v>
      </c>
      <c r="E37" s="71" t="e">
        <f aca="false">#REF!</f>
        <v>#REF!</v>
      </c>
      <c r="F37" s="71" t="e">
        <f aca="false">#REF!</f>
        <v>#REF!</v>
      </c>
    </row>
    <row r="38" customFormat="false" ht="12.8" hidden="false" customHeight="false" outlineLevel="0" collapsed="false">
      <c r="A38" s="50" t="e">
        <f aca="false">_xlfn.CONCAT($A$1, ".", #REF!)</f>
        <v>#REF!</v>
      </c>
      <c r="B38" s="68" t="e">
        <f aca="false">_xlfn.CONCAT(#REF!, ":", #REF!)</f>
        <v>#REF!</v>
      </c>
      <c r="C38" s="71" t="e">
        <f aca="false">#REF!</f>
        <v>#REF!</v>
      </c>
      <c r="D38" s="71" t="e">
        <f aca="false">#REF!</f>
        <v>#REF!</v>
      </c>
      <c r="E38" s="71" t="e">
        <f aca="false">#REF!</f>
        <v>#REF!</v>
      </c>
      <c r="F38" s="71" t="e">
        <f aca="false">#REF!</f>
        <v>#REF!</v>
      </c>
    </row>
    <row r="39" customFormat="false" ht="12.8" hidden="false" customHeight="false" outlineLevel="0" collapsed="false">
      <c r="A39" s="50" t="e">
        <f aca="false">_xlfn.CONCAT($A$1, ".", #REF!)</f>
        <v>#REF!</v>
      </c>
      <c r="B39" s="68" t="e">
        <f aca="false">_xlfn.CONCAT(#REF!, ":", #REF!)</f>
        <v>#REF!</v>
      </c>
      <c r="C39" s="71" t="e">
        <f aca="false">#REF!</f>
        <v>#REF!</v>
      </c>
      <c r="D39" s="71" t="e">
        <f aca="false">#REF!</f>
        <v>#REF!</v>
      </c>
      <c r="E39" s="71" t="e">
        <f aca="false">#REF!</f>
        <v>#REF!</v>
      </c>
      <c r="F39" s="71" t="e">
        <f aca="false">#REF!</f>
        <v>#REF!</v>
      </c>
    </row>
    <row r="40" customFormat="false" ht="12.8" hidden="false" customHeight="false" outlineLevel="0" collapsed="false">
      <c r="A40" s="50" t="e">
        <f aca="false">_xlfn.CONCAT($A$1, ".", #REF!)</f>
        <v>#REF!</v>
      </c>
      <c r="B40" s="68" t="e">
        <f aca="false">_xlfn.CONCAT(#REF!, ":", #REF!)</f>
        <v>#REF!</v>
      </c>
      <c r="C40" s="71" t="e">
        <f aca="false">#REF!</f>
        <v>#REF!</v>
      </c>
      <c r="D40" s="71" t="e">
        <f aca="false">#REF!</f>
        <v>#REF!</v>
      </c>
      <c r="E40" s="71" t="e">
        <f aca="false">#REF!</f>
        <v>#REF!</v>
      </c>
      <c r="F40" s="71" t="e">
        <f aca="false">#REF!</f>
        <v>#REF!</v>
      </c>
    </row>
    <row r="41" customFormat="false" ht="12.8" hidden="false" customHeight="false" outlineLevel="0" collapsed="false">
      <c r="A41" s="50" t="e">
        <f aca="false">_xlfn.CONCAT($A$1, ".", #REF!)</f>
        <v>#REF!</v>
      </c>
      <c r="B41" s="68" t="e">
        <f aca="false">_xlfn.CONCAT(#REF!, ":", #REF!)</f>
        <v>#REF!</v>
      </c>
      <c r="C41" s="71" t="e">
        <f aca="false">#REF!</f>
        <v>#REF!</v>
      </c>
      <c r="D41" s="71" t="e">
        <f aca="false">#REF!</f>
        <v>#REF!</v>
      </c>
      <c r="E41" s="71" t="e">
        <f aca="false">#REF!</f>
        <v>#REF!</v>
      </c>
      <c r="F41" s="71" t="e">
        <f aca="false">#REF!</f>
        <v>#REF!</v>
      </c>
    </row>
    <row r="42" customFormat="false" ht="12.8" hidden="false" customHeight="false" outlineLevel="0" collapsed="false">
      <c r="A42" s="50" t="e">
        <f aca="false">_xlfn.CONCAT($A$1, ".", #REF!)</f>
        <v>#REF!</v>
      </c>
      <c r="B42" s="68" t="e">
        <f aca="false">_xlfn.CONCAT(#REF!, ":", #REF!)</f>
        <v>#REF!</v>
      </c>
      <c r="C42" s="71" t="e">
        <f aca="false">#REF!</f>
        <v>#REF!</v>
      </c>
      <c r="D42" s="71" t="e">
        <f aca="false">#REF!</f>
        <v>#REF!</v>
      </c>
      <c r="E42" s="71" t="e">
        <f aca="false">#REF!</f>
        <v>#REF!</v>
      </c>
      <c r="F42" s="71" t="e">
        <f aca="false">#REF!</f>
        <v>#REF!</v>
      </c>
    </row>
    <row r="43" customFormat="false" ht="12.8" hidden="false" customHeight="false" outlineLevel="0" collapsed="false">
      <c r="A43" s="50" t="e">
        <f aca="false">_xlfn.CONCAT($A$1, ".", #REF!)</f>
        <v>#REF!</v>
      </c>
      <c r="B43" s="68" t="e">
        <f aca="false">_xlfn.CONCAT(#REF!, ":", #REF!)</f>
        <v>#REF!</v>
      </c>
      <c r="C43" s="71" t="e">
        <f aca="false">#REF!</f>
        <v>#REF!</v>
      </c>
      <c r="D43" s="71" t="e">
        <f aca="false">#REF!</f>
        <v>#REF!</v>
      </c>
      <c r="E43" s="71" t="e">
        <f aca="false">#REF!</f>
        <v>#REF!</v>
      </c>
      <c r="F43" s="71" t="e">
        <f aca="false">#REF!</f>
        <v>#REF!</v>
      </c>
    </row>
    <row r="44" customFormat="false" ht="12.8" hidden="false" customHeight="false" outlineLevel="0" collapsed="false">
      <c r="A44" s="50" t="e">
        <f aca="false">_xlfn.CONCAT($A$1, ".", #REF!)</f>
        <v>#REF!</v>
      </c>
      <c r="B44" s="68" t="e">
        <f aca="false">_xlfn.CONCAT(#REF!, ":", #REF!)</f>
        <v>#REF!</v>
      </c>
      <c r="C44" s="71" t="e">
        <f aca="false">#REF!</f>
        <v>#REF!</v>
      </c>
      <c r="D44" s="71" t="e">
        <f aca="false">#REF!</f>
        <v>#REF!</v>
      </c>
      <c r="E44" s="71" t="e">
        <f aca="false">#REF!</f>
        <v>#REF!</v>
      </c>
      <c r="F44" s="71" t="e">
        <f aca="false">#REF!</f>
        <v>#REF!</v>
      </c>
    </row>
    <row r="45" customFormat="false" ht="12.8" hidden="false" customHeight="false" outlineLevel="0" collapsed="false">
      <c r="A45" s="50" t="e">
        <f aca="false">_xlfn.CONCAT($A$1, ".", #REF!)</f>
        <v>#REF!</v>
      </c>
      <c r="B45" s="68" t="e">
        <f aca="false">_xlfn.CONCAT(#REF!, ":", #REF!)</f>
        <v>#REF!</v>
      </c>
      <c r="C45" s="71" t="e">
        <f aca="false">#REF!</f>
        <v>#REF!</v>
      </c>
      <c r="D45" s="71" t="e">
        <f aca="false">#REF!</f>
        <v>#REF!</v>
      </c>
      <c r="E45" s="71" t="e">
        <f aca="false">#REF!</f>
        <v>#REF!</v>
      </c>
      <c r="F45" s="71" t="e">
        <f aca="false">#REF!</f>
        <v>#REF!</v>
      </c>
    </row>
    <row r="46" customFormat="false" ht="12.8" hidden="false" customHeight="false" outlineLevel="0" collapsed="false">
      <c r="A46" s="50" t="e">
        <f aca="false">_xlfn.CONCAT($A$1, ".", #REF!)</f>
        <v>#REF!</v>
      </c>
      <c r="B46" s="68" t="e">
        <f aca="false">_xlfn.CONCAT(#REF!, ":", #REF!)</f>
        <v>#REF!</v>
      </c>
      <c r="C46" s="71" t="e">
        <f aca="false">#REF!</f>
        <v>#REF!</v>
      </c>
      <c r="D46" s="71" t="e">
        <f aca="false">#REF!</f>
        <v>#REF!</v>
      </c>
      <c r="E46" s="71" t="e">
        <f aca="false">#REF!</f>
        <v>#REF!</v>
      </c>
      <c r="F46" s="71" t="e">
        <f aca="false">#REF!</f>
        <v>#REF!</v>
      </c>
    </row>
    <row r="47" customFormat="false" ht="12.8" hidden="false" customHeight="false" outlineLevel="0" collapsed="false">
      <c r="A47" s="50" t="e">
        <f aca="false">_xlfn.CONCAT($A$1, ".", #REF!)</f>
        <v>#REF!</v>
      </c>
      <c r="B47" s="68" t="e">
        <f aca="false">_xlfn.CONCAT(#REF!, ":", #REF!)</f>
        <v>#REF!</v>
      </c>
      <c r="C47" s="71" t="e">
        <f aca="false">#REF!</f>
        <v>#REF!</v>
      </c>
      <c r="D47" s="71" t="e">
        <f aca="false">#REF!</f>
        <v>#REF!</v>
      </c>
      <c r="E47" s="71" t="e">
        <f aca="false">#REF!</f>
        <v>#REF!</v>
      </c>
      <c r="F47" s="71" t="e">
        <f aca="false">#REF!</f>
        <v>#REF!</v>
      </c>
    </row>
    <row r="48" customFormat="false" ht="12.8" hidden="false" customHeight="false" outlineLevel="0" collapsed="false">
      <c r="A48" s="50" t="e">
        <f aca="false">_xlfn.CONCAT($A$1, ".", #REF!)</f>
        <v>#REF!</v>
      </c>
      <c r="B48" s="68" t="e">
        <f aca="false">_xlfn.CONCAT(#REF!, ":", #REF!)</f>
        <v>#REF!</v>
      </c>
      <c r="C48" s="71" t="e">
        <f aca="false">#REF!</f>
        <v>#REF!</v>
      </c>
      <c r="D48" s="71" t="e">
        <f aca="false">#REF!</f>
        <v>#REF!</v>
      </c>
      <c r="E48" s="71" t="e">
        <f aca="false">#REF!</f>
        <v>#REF!</v>
      </c>
      <c r="F48" s="71" t="e">
        <f aca="false">#REF!</f>
        <v>#REF!</v>
      </c>
    </row>
    <row r="49" customFormat="false" ht="12.8" hidden="false" customHeight="false" outlineLevel="0" collapsed="false">
      <c r="A49" s="50" t="e">
        <f aca="false">_xlfn.CONCAT($A$1, ".", #REF!)</f>
        <v>#REF!</v>
      </c>
      <c r="B49" s="68" t="e">
        <f aca="false">_xlfn.CONCAT(#REF!, ":", #REF!)</f>
        <v>#REF!</v>
      </c>
      <c r="C49" s="71" t="e">
        <f aca="false">#REF!</f>
        <v>#REF!</v>
      </c>
      <c r="D49" s="71" t="e">
        <f aca="false">#REF!</f>
        <v>#REF!</v>
      </c>
      <c r="E49" s="71" t="e">
        <f aca="false">#REF!</f>
        <v>#REF!</v>
      </c>
      <c r="F49" s="71" t="e">
        <f aca="false">#REF!</f>
        <v>#REF!</v>
      </c>
    </row>
    <row r="50" customFormat="false" ht="12.8" hidden="false" customHeight="false" outlineLevel="0" collapsed="false">
      <c r="A50" s="50" t="e">
        <f aca="false">_xlfn.CONCAT($A$1, ".", #REF!)</f>
        <v>#REF!</v>
      </c>
      <c r="B50" s="68" t="e">
        <f aca="false">_xlfn.CONCAT(#REF!, ":", #REF!)</f>
        <v>#REF!</v>
      </c>
      <c r="C50" s="71" t="e">
        <f aca="false">#REF!</f>
        <v>#REF!</v>
      </c>
      <c r="D50" s="71" t="e">
        <f aca="false">#REF!</f>
        <v>#REF!</v>
      </c>
      <c r="E50" s="71" t="e">
        <f aca="false">#REF!</f>
        <v>#REF!</v>
      </c>
      <c r="F50" s="71" t="e">
        <f aca="false">#REF!</f>
        <v>#REF!</v>
      </c>
    </row>
    <row r="51" customFormat="false" ht="12.8" hidden="false" customHeight="false" outlineLevel="0" collapsed="false">
      <c r="A51" s="50" t="e">
        <f aca="false">_xlfn.CONCAT($A$1, ".", #REF!)</f>
        <v>#REF!</v>
      </c>
      <c r="B51" s="68" t="e">
        <f aca="false">_xlfn.CONCAT(#REF!, ":", #REF!)</f>
        <v>#REF!</v>
      </c>
      <c r="C51" s="71" t="e">
        <f aca="false">#REF!</f>
        <v>#REF!</v>
      </c>
      <c r="D51" s="71" t="e">
        <f aca="false">#REF!</f>
        <v>#REF!</v>
      </c>
      <c r="E51" s="71" t="e">
        <f aca="false">#REF!</f>
        <v>#REF!</v>
      </c>
      <c r="F51" s="71" t="e">
        <f aca="false">#REF!</f>
        <v>#REF!</v>
      </c>
    </row>
    <row r="52" customFormat="false" ht="12.8" hidden="false" customHeight="false" outlineLevel="0" collapsed="false">
      <c r="A52" s="50" t="e">
        <f aca="false">_xlfn.CONCAT($A$1, ".", #REF!)</f>
        <v>#REF!</v>
      </c>
      <c r="B52" s="68" t="e">
        <f aca="false">_xlfn.CONCAT(#REF!, ":", #REF!)</f>
        <v>#REF!</v>
      </c>
      <c r="C52" s="71" t="e">
        <f aca="false">#REF!</f>
        <v>#REF!</v>
      </c>
      <c r="D52" s="71" t="e">
        <f aca="false">#REF!</f>
        <v>#REF!</v>
      </c>
      <c r="E52" s="71" t="e">
        <f aca="false">#REF!</f>
        <v>#REF!</v>
      </c>
      <c r="F52" s="71" t="e">
        <f aca="false">#REF!</f>
        <v>#REF!</v>
      </c>
    </row>
    <row r="53" customFormat="false" ht="12.8" hidden="false" customHeight="false" outlineLevel="0" collapsed="false">
      <c r="A53" s="50" t="e">
        <f aca="false">_xlfn.CONCAT($A$1, ".", #REF!)</f>
        <v>#REF!</v>
      </c>
      <c r="B53" s="68" t="e">
        <f aca="false">_xlfn.CONCAT(#REF!, ":", #REF!)</f>
        <v>#REF!</v>
      </c>
      <c r="C53" s="71" t="e">
        <f aca="false">#REF!</f>
        <v>#REF!</v>
      </c>
      <c r="D53" s="71" t="e">
        <f aca="false">#REF!</f>
        <v>#REF!</v>
      </c>
      <c r="E53" s="71" t="e">
        <f aca="false">#REF!</f>
        <v>#REF!</v>
      </c>
      <c r="F53" s="71" t="e">
        <f aca="false">#REF!</f>
        <v>#REF!</v>
      </c>
    </row>
    <row r="54" customFormat="false" ht="12.8" hidden="false" customHeight="false" outlineLevel="0" collapsed="false">
      <c r="A54" s="50" t="e">
        <f aca="false">_xlfn.CONCAT($A$1, ".", #REF!)</f>
        <v>#REF!</v>
      </c>
      <c r="B54" s="68" t="e">
        <f aca="false">_xlfn.CONCAT(#REF!, ":", #REF!)</f>
        <v>#REF!</v>
      </c>
      <c r="C54" s="71" t="e">
        <f aca="false">#REF!</f>
        <v>#REF!</v>
      </c>
      <c r="D54" s="71" t="e">
        <f aca="false">#REF!</f>
        <v>#REF!</v>
      </c>
      <c r="E54" s="71" t="e">
        <f aca="false">#REF!</f>
        <v>#REF!</v>
      </c>
      <c r="F54" s="71" t="e">
        <f aca="false">#REF!</f>
        <v>#REF!</v>
      </c>
    </row>
    <row r="55" customFormat="false" ht="12.8" hidden="false" customHeight="false" outlineLevel="0" collapsed="false">
      <c r="A55" s="50" t="e">
        <f aca="false">_xlfn.CONCAT($A$1, ".", #REF!)</f>
        <v>#REF!</v>
      </c>
      <c r="B55" s="68" t="e">
        <f aca="false">_xlfn.CONCAT(#REF!, ":", #REF!)</f>
        <v>#REF!</v>
      </c>
      <c r="C55" s="71" t="e">
        <f aca="false">#REF!</f>
        <v>#REF!</v>
      </c>
      <c r="D55" s="71" t="e">
        <f aca="false">#REF!</f>
        <v>#REF!</v>
      </c>
      <c r="E55" s="71" t="e">
        <f aca="false">#REF!</f>
        <v>#REF!</v>
      </c>
      <c r="F55" s="71"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false"/>
  </sheetPr>
  <dimension ref="A1:BP247"/>
  <sheetViews>
    <sheetView showFormulas="false" showGridLines="true" showRowColHeaders="true" showZeros="true" rightToLeft="false" tabSelected="false" showOutlineSymbols="true" defaultGridColor="true" view="normal" topLeftCell="A58" colorId="64" zoomScale="75" zoomScaleNormal="75" zoomScalePageLayoutView="100" workbookViewId="0">
      <selection pane="topLeft" activeCell="A152" activeCellId="1" sqref="D3:E3 A152"/>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990</v>
      </c>
      <c r="B1" s="52" t="s">
        <v>991</v>
      </c>
      <c r="C1" s="6" t="s">
        <v>2</v>
      </c>
      <c r="D1" s="60" t="s">
        <v>992</v>
      </c>
      <c r="AZ1" s="39"/>
      <c r="BP1" s="39"/>
    </row>
    <row r="2" customFormat="false" ht="46.25" hidden="false" customHeight="false" outlineLevel="0" collapsed="false">
      <c r="A2" s="64" t="s">
        <v>792</v>
      </c>
      <c r="B2" s="52" t="s">
        <v>793</v>
      </c>
      <c r="C2" s="72" t="str">
        <f aca="false">CALC!AA3</f>
        <v>Annual Income Average ($)</v>
      </c>
      <c r="D2" s="72" t="str">
        <f aca="false">CALC!AG3</f>
        <v>Authorized Immigrant Annual Income Average ($)</v>
      </c>
      <c r="E2" s="72" t="str">
        <f aca="false">CALC!AM3</f>
        <v>Unauthorized Immigrant Annual Income Average ($)</v>
      </c>
      <c r="F2" s="72" t="str">
        <f aca="false">CALC!AS3</f>
        <v>American Annual Income Average ($)</v>
      </c>
    </row>
    <row r="3" customFormat="false" ht="12.8" hidden="false" customHeight="false" outlineLevel="0" collapsed="false">
      <c r="A3" s="4" t="e">
        <f aca="false">_xlfn.CONCAT($A$1, ".", #REF!)</f>
        <v>#REF!</v>
      </c>
      <c r="B3" s="49" t="e">
        <f aca="false">_xlfn.CONCAT(#REF!, ":", #REF!)</f>
        <v>#REF!</v>
      </c>
      <c r="C3" s="72" t="e">
        <f aca="false">#REF!</f>
        <v>#REF!</v>
      </c>
      <c r="D3" s="72" t="e">
        <f aca="false">#REF!</f>
        <v>#REF!</v>
      </c>
      <c r="E3" s="72" t="e">
        <f aca="false">#REF!</f>
        <v>#REF!</v>
      </c>
      <c r="F3" s="72" t="e">
        <f aca="false">#REF!</f>
        <v>#REF!</v>
      </c>
    </row>
    <row r="4" customFormat="false" ht="12.8" hidden="false" customHeight="false" outlineLevel="0" collapsed="false">
      <c r="A4" s="50" t="e">
        <f aca="false">_xlfn.CONCAT($A$1, ".", #REF!)</f>
        <v>#REF!</v>
      </c>
      <c r="B4" s="68" t="e">
        <f aca="false">_xlfn.CONCAT(#REF!, ":", #REF!)</f>
        <v>#REF!</v>
      </c>
      <c r="C4" s="73" t="e">
        <f aca="false">#REF!</f>
        <v>#REF!</v>
      </c>
      <c r="D4" s="73" t="e">
        <f aca="false">#REF!</f>
        <v>#REF!</v>
      </c>
      <c r="E4" s="73" t="e">
        <f aca="false">#REF!</f>
        <v>#REF!</v>
      </c>
      <c r="F4" s="73" t="e">
        <f aca="false">#REF!</f>
        <v>#REF!</v>
      </c>
    </row>
    <row r="5" customFormat="false" ht="12.8" hidden="false" customHeight="false" outlineLevel="0" collapsed="false">
      <c r="A5" s="50" t="e">
        <f aca="false">_xlfn.CONCAT($A$1, ".", #REF!)</f>
        <v>#REF!</v>
      </c>
      <c r="B5" s="68" t="e">
        <f aca="false">_xlfn.CONCAT(#REF!, ":", #REF!)</f>
        <v>#REF!</v>
      </c>
      <c r="C5" s="73" t="e">
        <f aca="false">#REF!</f>
        <v>#REF!</v>
      </c>
      <c r="D5" s="73" t="e">
        <f aca="false">#REF!</f>
        <v>#REF!</v>
      </c>
      <c r="E5" s="73" t="e">
        <f aca="false">#REF!</f>
        <v>#REF!</v>
      </c>
      <c r="F5" s="73" t="e">
        <f aca="false">#REF!</f>
        <v>#REF!</v>
      </c>
    </row>
    <row r="6" customFormat="false" ht="12.8" hidden="false" customHeight="false" outlineLevel="0" collapsed="false">
      <c r="A6" s="50" t="e">
        <f aca="false">_xlfn.CONCAT($A$1, ".", #REF!)</f>
        <v>#REF!</v>
      </c>
      <c r="B6" s="68" t="e">
        <f aca="false">_xlfn.CONCAT(#REF!, ":", #REF!)</f>
        <v>#REF!</v>
      </c>
      <c r="C6" s="73" t="e">
        <f aca="false">#REF!</f>
        <v>#REF!</v>
      </c>
      <c r="D6" s="73" t="e">
        <f aca="false">#REF!</f>
        <v>#REF!</v>
      </c>
      <c r="E6" s="73" t="e">
        <f aca="false">#REF!</f>
        <v>#REF!</v>
      </c>
      <c r="F6" s="73" t="e">
        <f aca="false">#REF!</f>
        <v>#REF!</v>
      </c>
    </row>
    <row r="7" customFormat="false" ht="12.8" hidden="false" customHeight="false" outlineLevel="0" collapsed="false">
      <c r="A7" s="50" t="e">
        <f aca="false">_xlfn.CONCAT($A$1, ".", #REF!)</f>
        <v>#REF!</v>
      </c>
      <c r="B7" s="68" t="e">
        <f aca="false">_xlfn.CONCAT(#REF!, ":", #REF!)</f>
        <v>#REF!</v>
      </c>
      <c r="C7" s="73" t="e">
        <f aca="false">#REF!</f>
        <v>#REF!</v>
      </c>
      <c r="D7" s="73" t="e">
        <f aca="false">#REF!</f>
        <v>#REF!</v>
      </c>
      <c r="E7" s="73" t="e">
        <f aca="false">#REF!</f>
        <v>#REF!</v>
      </c>
      <c r="F7" s="73" t="e">
        <f aca="false">#REF!</f>
        <v>#REF!</v>
      </c>
    </row>
    <row r="8" customFormat="false" ht="12.8" hidden="false" customHeight="false" outlineLevel="0" collapsed="false">
      <c r="A8" s="50" t="e">
        <f aca="false">_xlfn.CONCAT($A$1, ".", #REF!)</f>
        <v>#REF!</v>
      </c>
      <c r="B8" s="68" t="e">
        <f aca="false">_xlfn.CONCAT(#REF!, ":", #REF!)</f>
        <v>#REF!</v>
      </c>
      <c r="C8" s="73" t="e">
        <f aca="false">#REF!</f>
        <v>#REF!</v>
      </c>
      <c r="D8" s="73" t="e">
        <f aca="false">#REF!</f>
        <v>#REF!</v>
      </c>
      <c r="E8" s="73" t="e">
        <f aca="false">#REF!</f>
        <v>#REF!</v>
      </c>
      <c r="F8" s="73" t="e">
        <f aca="false">#REF!</f>
        <v>#REF!</v>
      </c>
    </row>
    <row r="9" customFormat="false" ht="12.8" hidden="false" customHeight="false" outlineLevel="0" collapsed="false">
      <c r="A9" s="50" t="e">
        <f aca="false">_xlfn.CONCAT($A$1, ".", #REF!)</f>
        <v>#REF!</v>
      </c>
      <c r="B9" s="68" t="e">
        <f aca="false">_xlfn.CONCAT(#REF!, ":", #REF!)</f>
        <v>#REF!</v>
      </c>
      <c r="C9" s="73" t="e">
        <f aca="false">#REF!</f>
        <v>#REF!</v>
      </c>
      <c r="D9" s="73" t="e">
        <f aca="false">#REF!</f>
        <v>#REF!</v>
      </c>
      <c r="E9" s="73" t="e">
        <f aca="false">#REF!</f>
        <v>#REF!</v>
      </c>
      <c r="F9" s="73" t="e">
        <f aca="false">#REF!</f>
        <v>#REF!</v>
      </c>
    </row>
    <row r="10" customFormat="false" ht="12.8" hidden="false" customHeight="false" outlineLevel="0" collapsed="false">
      <c r="A10" s="50" t="e">
        <f aca="false">_xlfn.CONCAT($A$1, ".", #REF!)</f>
        <v>#REF!</v>
      </c>
      <c r="B10" s="68" t="e">
        <f aca="false">_xlfn.CONCAT(#REF!, ":", #REF!)</f>
        <v>#REF!</v>
      </c>
      <c r="C10" s="73" t="e">
        <f aca="false">#REF!</f>
        <v>#REF!</v>
      </c>
      <c r="D10" s="73" t="e">
        <f aca="false">#REF!</f>
        <v>#REF!</v>
      </c>
      <c r="E10" s="73" t="e">
        <f aca="false">#REF!</f>
        <v>#REF!</v>
      </c>
      <c r="F10" s="73" t="e">
        <f aca="false">#REF!</f>
        <v>#REF!</v>
      </c>
    </row>
    <row r="11" customFormat="false" ht="12.8" hidden="false" customHeight="false" outlineLevel="0" collapsed="false">
      <c r="A11" s="50" t="e">
        <f aca="false">_xlfn.CONCAT($A$1, ".", #REF!)</f>
        <v>#REF!</v>
      </c>
      <c r="B11" s="68" t="e">
        <f aca="false">_xlfn.CONCAT(#REF!, ":", #REF!)</f>
        <v>#REF!</v>
      </c>
      <c r="C11" s="73" t="e">
        <f aca="false">#REF!</f>
        <v>#REF!</v>
      </c>
      <c r="D11" s="73" t="e">
        <f aca="false">#REF!</f>
        <v>#REF!</v>
      </c>
      <c r="E11" s="73" t="e">
        <f aca="false">#REF!</f>
        <v>#REF!</v>
      </c>
      <c r="F11" s="73" t="e">
        <f aca="false">#REF!</f>
        <v>#REF!</v>
      </c>
    </row>
    <row r="12" customFormat="false" ht="12.8" hidden="false" customHeight="false" outlineLevel="0" collapsed="false">
      <c r="A12" s="50" t="e">
        <f aca="false">_xlfn.CONCAT($A$1, ".", #REF!)</f>
        <v>#REF!</v>
      </c>
      <c r="B12" s="68" t="e">
        <f aca="false">_xlfn.CONCAT(#REF!, ":", #REF!)</f>
        <v>#REF!</v>
      </c>
      <c r="C12" s="73" t="e">
        <f aca="false">#REF!</f>
        <v>#REF!</v>
      </c>
      <c r="D12" s="73" t="e">
        <f aca="false">#REF!</f>
        <v>#REF!</v>
      </c>
      <c r="E12" s="73" t="e">
        <f aca="false">#REF!</f>
        <v>#REF!</v>
      </c>
      <c r="F12" s="73" t="e">
        <f aca="false">#REF!</f>
        <v>#REF!</v>
      </c>
    </row>
    <row r="13" customFormat="false" ht="12.8" hidden="false" customHeight="false" outlineLevel="0" collapsed="false">
      <c r="A13" s="50" t="e">
        <f aca="false">_xlfn.CONCAT($A$1, ".", #REF!)</f>
        <v>#REF!</v>
      </c>
      <c r="B13" s="68" t="e">
        <f aca="false">_xlfn.CONCAT(#REF!, ":", #REF!)</f>
        <v>#REF!</v>
      </c>
      <c r="C13" s="73" t="e">
        <f aca="false">#REF!</f>
        <v>#REF!</v>
      </c>
      <c r="D13" s="73" t="e">
        <f aca="false">#REF!</f>
        <v>#REF!</v>
      </c>
      <c r="E13" s="73" t="e">
        <f aca="false">#REF!</f>
        <v>#REF!</v>
      </c>
      <c r="F13" s="73" t="e">
        <f aca="false">#REF!</f>
        <v>#REF!</v>
      </c>
    </row>
    <row r="14" customFormat="false" ht="12.8" hidden="false" customHeight="false" outlineLevel="0" collapsed="false">
      <c r="A14" s="50" t="e">
        <f aca="false">_xlfn.CONCAT($A$1, ".", #REF!)</f>
        <v>#REF!</v>
      </c>
      <c r="B14" s="68" t="e">
        <f aca="false">_xlfn.CONCAT(#REF!, ":", #REF!)</f>
        <v>#REF!</v>
      </c>
      <c r="C14" s="73" t="e">
        <f aca="false">#REF!</f>
        <v>#REF!</v>
      </c>
      <c r="D14" s="73" t="e">
        <f aca="false">#REF!</f>
        <v>#REF!</v>
      </c>
      <c r="E14" s="73" t="e">
        <f aca="false">#REF!</f>
        <v>#REF!</v>
      </c>
      <c r="F14" s="73" t="e">
        <f aca="false">#REF!</f>
        <v>#REF!</v>
      </c>
    </row>
    <row r="15" customFormat="false" ht="12.8" hidden="false" customHeight="false" outlineLevel="0" collapsed="false">
      <c r="A15" s="50" t="e">
        <f aca="false">_xlfn.CONCAT($A$1, ".", #REF!)</f>
        <v>#REF!</v>
      </c>
      <c r="B15" s="68" t="e">
        <f aca="false">_xlfn.CONCAT(#REF!, ":", #REF!)</f>
        <v>#REF!</v>
      </c>
      <c r="C15" s="73" t="e">
        <f aca="false">#REF!</f>
        <v>#REF!</v>
      </c>
      <c r="D15" s="73" t="e">
        <f aca="false">#REF!</f>
        <v>#REF!</v>
      </c>
      <c r="E15" s="73" t="e">
        <f aca="false">#REF!</f>
        <v>#REF!</v>
      </c>
      <c r="F15" s="73" t="e">
        <f aca="false">#REF!</f>
        <v>#REF!</v>
      </c>
    </row>
    <row r="16" customFormat="false" ht="12.8" hidden="false" customHeight="false" outlineLevel="0" collapsed="false">
      <c r="A16" s="50" t="e">
        <f aca="false">_xlfn.CONCAT($A$1, ".", #REF!)</f>
        <v>#REF!</v>
      </c>
      <c r="B16" s="68" t="e">
        <f aca="false">_xlfn.CONCAT(#REF!, ":", #REF!)</f>
        <v>#REF!</v>
      </c>
      <c r="C16" s="73" t="e">
        <f aca="false">#REF!</f>
        <v>#REF!</v>
      </c>
      <c r="D16" s="73" t="e">
        <f aca="false">#REF!</f>
        <v>#REF!</v>
      </c>
      <c r="E16" s="73" t="e">
        <f aca="false">#REF!</f>
        <v>#REF!</v>
      </c>
      <c r="F16" s="73" t="e">
        <f aca="false">#REF!</f>
        <v>#REF!</v>
      </c>
    </row>
    <row r="17" customFormat="false" ht="12.8" hidden="false" customHeight="false" outlineLevel="0" collapsed="false">
      <c r="A17" s="50" t="e">
        <f aca="false">_xlfn.CONCAT($A$1, ".", #REF!)</f>
        <v>#REF!</v>
      </c>
      <c r="B17" s="68" t="e">
        <f aca="false">_xlfn.CONCAT(#REF!, ":", #REF!)</f>
        <v>#REF!</v>
      </c>
      <c r="C17" s="73" t="e">
        <f aca="false">#REF!</f>
        <v>#REF!</v>
      </c>
      <c r="D17" s="73" t="e">
        <f aca="false">#REF!</f>
        <v>#REF!</v>
      </c>
      <c r="E17" s="73" t="e">
        <f aca="false">#REF!</f>
        <v>#REF!</v>
      </c>
      <c r="F17" s="73" t="e">
        <f aca="false">#REF!</f>
        <v>#REF!</v>
      </c>
    </row>
    <row r="18" customFormat="false" ht="12.8" hidden="false" customHeight="false" outlineLevel="0" collapsed="false">
      <c r="A18" s="50" t="e">
        <f aca="false">_xlfn.CONCAT($A$1, ".", #REF!)</f>
        <v>#REF!</v>
      </c>
      <c r="B18" s="68" t="e">
        <f aca="false">_xlfn.CONCAT(#REF!, ":", #REF!)</f>
        <v>#REF!</v>
      </c>
      <c r="C18" s="73" t="e">
        <f aca="false">#REF!</f>
        <v>#REF!</v>
      </c>
      <c r="D18" s="73" t="e">
        <f aca="false">#REF!</f>
        <v>#REF!</v>
      </c>
      <c r="E18" s="73" t="e">
        <f aca="false">#REF!</f>
        <v>#REF!</v>
      </c>
      <c r="F18" s="73" t="e">
        <f aca="false">#REF!</f>
        <v>#REF!</v>
      </c>
    </row>
    <row r="19" customFormat="false" ht="12.8" hidden="false" customHeight="false" outlineLevel="0" collapsed="false">
      <c r="A19" s="50" t="e">
        <f aca="false">_xlfn.CONCAT($A$1, ".", #REF!)</f>
        <v>#REF!</v>
      </c>
      <c r="B19" s="68" t="e">
        <f aca="false">_xlfn.CONCAT(#REF!, ":", #REF!)</f>
        <v>#REF!</v>
      </c>
      <c r="C19" s="73" t="e">
        <f aca="false">#REF!</f>
        <v>#REF!</v>
      </c>
      <c r="D19" s="73" t="e">
        <f aca="false">#REF!</f>
        <v>#REF!</v>
      </c>
      <c r="E19" s="73" t="e">
        <f aca="false">#REF!</f>
        <v>#REF!</v>
      </c>
      <c r="F19" s="73" t="e">
        <f aca="false">#REF!</f>
        <v>#REF!</v>
      </c>
    </row>
    <row r="20" customFormat="false" ht="12.8" hidden="false" customHeight="false" outlineLevel="0" collapsed="false">
      <c r="A20" s="50" t="e">
        <f aca="false">_xlfn.CONCAT($A$1, ".", #REF!)</f>
        <v>#REF!</v>
      </c>
      <c r="B20" s="68" t="e">
        <f aca="false">_xlfn.CONCAT(#REF!, ":", #REF!)</f>
        <v>#REF!</v>
      </c>
      <c r="C20" s="73" t="e">
        <f aca="false">#REF!</f>
        <v>#REF!</v>
      </c>
      <c r="D20" s="73" t="e">
        <f aca="false">#REF!</f>
        <v>#REF!</v>
      </c>
      <c r="E20" s="73" t="e">
        <f aca="false">#REF!</f>
        <v>#REF!</v>
      </c>
      <c r="F20" s="73" t="e">
        <f aca="false">#REF!</f>
        <v>#REF!</v>
      </c>
    </row>
    <row r="21" customFormat="false" ht="12.8" hidden="false" customHeight="false" outlineLevel="0" collapsed="false">
      <c r="A21" s="50" t="e">
        <f aca="false">_xlfn.CONCAT($A$1, ".", #REF!)</f>
        <v>#REF!</v>
      </c>
      <c r="B21" s="68" t="e">
        <f aca="false">_xlfn.CONCAT(#REF!, ":", #REF!)</f>
        <v>#REF!</v>
      </c>
      <c r="C21" s="73" t="e">
        <f aca="false">#REF!</f>
        <v>#REF!</v>
      </c>
      <c r="D21" s="73" t="e">
        <f aca="false">#REF!</f>
        <v>#REF!</v>
      </c>
      <c r="E21" s="73" t="e">
        <f aca="false">#REF!</f>
        <v>#REF!</v>
      </c>
      <c r="F21" s="73" t="e">
        <f aca="false">#REF!</f>
        <v>#REF!</v>
      </c>
    </row>
    <row r="22" customFormat="false" ht="12.8" hidden="false" customHeight="false" outlineLevel="0" collapsed="false">
      <c r="A22" s="50" t="e">
        <f aca="false">_xlfn.CONCAT($A$1, ".", #REF!)</f>
        <v>#REF!</v>
      </c>
      <c r="B22" s="68" t="e">
        <f aca="false">_xlfn.CONCAT(#REF!, ":", #REF!)</f>
        <v>#REF!</v>
      </c>
      <c r="C22" s="73" t="e">
        <f aca="false">#REF!</f>
        <v>#REF!</v>
      </c>
      <c r="D22" s="73" t="e">
        <f aca="false">#REF!</f>
        <v>#REF!</v>
      </c>
      <c r="E22" s="73" t="e">
        <f aca="false">#REF!</f>
        <v>#REF!</v>
      </c>
      <c r="F22" s="73" t="e">
        <f aca="false">#REF!</f>
        <v>#REF!</v>
      </c>
    </row>
    <row r="23" customFormat="false" ht="12.8" hidden="false" customHeight="false" outlineLevel="0" collapsed="false">
      <c r="A23" s="50" t="e">
        <f aca="false">_xlfn.CONCAT($A$1, ".", #REF!)</f>
        <v>#REF!</v>
      </c>
      <c r="B23" s="68" t="e">
        <f aca="false">_xlfn.CONCAT(#REF!, ":", #REF!)</f>
        <v>#REF!</v>
      </c>
      <c r="C23" s="73" t="e">
        <f aca="false">#REF!</f>
        <v>#REF!</v>
      </c>
      <c r="D23" s="73" t="e">
        <f aca="false">#REF!</f>
        <v>#REF!</v>
      </c>
      <c r="E23" s="73" t="e">
        <f aca="false">#REF!</f>
        <v>#REF!</v>
      </c>
      <c r="F23" s="73" t="e">
        <f aca="false">#REF!</f>
        <v>#REF!</v>
      </c>
    </row>
    <row r="24" customFormat="false" ht="12.8" hidden="false" customHeight="false" outlineLevel="0" collapsed="false">
      <c r="A24" s="50" t="e">
        <f aca="false">_xlfn.CONCAT($A$1, ".", #REF!)</f>
        <v>#REF!</v>
      </c>
      <c r="B24" s="68" t="e">
        <f aca="false">_xlfn.CONCAT(#REF!, ":", #REF!)</f>
        <v>#REF!</v>
      </c>
      <c r="C24" s="73" t="e">
        <f aca="false">#REF!</f>
        <v>#REF!</v>
      </c>
      <c r="D24" s="73" t="e">
        <f aca="false">#REF!</f>
        <v>#REF!</v>
      </c>
      <c r="E24" s="73" t="e">
        <f aca="false">#REF!</f>
        <v>#REF!</v>
      </c>
      <c r="F24" s="73" t="e">
        <f aca="false">#REF!</f>
        <v>#REF!</v>
      </c>
    </row>
    <row r="25" customFormat="false" ht="12.8" hidden="false" customHeight="false" outlineLevel="0" collapsed="false">
      <c r="A25" s="50" t="e">
        <f aca="false">_xlfn.CONCAT($A$1, ".", #REF!)</f>
        <v>#REF!</v>
      </c>
      <c r="B25" s="68" t="e">
        <f aca="false">_xlfn.CONCAT(#REF!, ":", #REF!)</f>
        <v>#REF!</v>
      </c>
      <c r="C25" s="73" t="e">
        <f aca="false">#REF!</f>
        <v>#REF!</v>
      </c>
      <c r="D25" s="73" t="e">
        <f aca="false">#REF!</f>
        <v>#REF!</v>
      </c>
      <c r="E25" s="73" t="e">
        <f aca="false">#REF!</f>
        <v>#REF!</v>
      </c>
      <c r="F25" s="73" t="e">
        <f aca="false">#REF!</f>
        <v>#REF!</v>
      </c>
    </row>
    <row r="26" customFormat="false" ht="12.8" hidden="false" customHeight="false" outlineLevel="0" collapsed="false">
      <c r="A26" s="50" t="e">
        <f aca="false">_xlfn.CONCAT($A$1, ".", #REF!)</f>
        <v>#REF!</v>
      </c>
      <c r="B26" s="68" t="e">
        <f aca="false">_xlfn.CONCAT(#REF!, ":", #REF!)</f>
        <v>#REF!</v>
      </c>
      <c r="C26" s="73" t="e">
        <f aca="false">#REF!</f>
        <v>#REF!</v>
      </c>
      <c r="D26" s="73" t="e">
        <f aca="false">#REF!</f>
        <v>#REF!</v>
      </c>
      <c r="E26" s="73" t="e">
        <f aca="false">#REF!</f>
        <v>#REF!</v>
      </c>
      <c r="F26" s="73" t="e">
        <f aca="false">#REF!</f>
        <v>#REF!</v>
      </c>
    </row>
    <row r="27" customFormat="false" ht="12.8" hidden="false" customHeight="false" outlineLevel="0" collapsed="false">
      <c r="A27" s="50" t="e">
        <f aca="false">_xlfn.CONCAT($A$1, ".", #REF!)</f>
        <v>#REF!</v>
      </c>
      <c r="B27" s="68" t="e">
        <f aca="false">_xlfn.CONCAT(#REF!, ":", #REF!)</f>
        <v>#REF!</v>
      </c>
      <c r="C27" s="73" t="e">
        <f aca="false">#REF!</f>
        <v>#REF!</v>
      </c>
      <c r="D27" s="73" t="e">
        <f aca="false">#REF!</f>
        <v>#REF!</v>
      </c>
      <c r="E27" s="73" t="e">
        <f aca="false">#REF!</f>
        <v>#REF!</v>
      </c>
      <c r="F27" s="73" t="e">
        <f aca="false">#REF!</f>
        <v>#REF!</v>
      </c>
    </row>
    <row r="28" customFormat="false" ht="12.8" hidden="false" customHeight="false" outlineLevel="0" collapsed="false">
      <c r="A28" s="50" t="e">
        <f aca="false">_xlfn.CONCAT($A$1, ".", #REF!)</f>
        <v>#REF!</v>
      </c>
      <c r="B28" s="68" t="e">
        <f aca="false">_xlfn.CONCAT(#REF!, ":", #REF!)</f>
        <v>#REF!</v>
      </c>
      <c r="C28" s="73" t="e">
        <f aca="false">#REF!</f>
        <v>#REF!</v>
      </c>
      <c r="D28" s="73" t="e">
        <f aca="false">#REF!</f>
        <v>#REF!</v>
      </c>
      <c r="E28" s="73" t="e">
        <f aca="false">#REF!</f>
        <v>#REF!</v>
      </c>
      <c r="F28" s="73" t="e">
        <f aca="false">#REF!</f>
        <v>#REF!</v>
      </c>
    </row>
    <row r="29" customFormat="false" ht="12.8" hidden="false" customHeight="false" outlineLevel="0" collapsed="false">
      <c r="A29" s="50" t="e">
        <f aca="false">_xlfn.CONCAT($A$1, ".", #REF!)</f>
        <v>#REF!</v>
      </c>
      <c r="B29" s="68" t="e">
        <f aca="false">_xlfn.CONCAT(#REF!, ":", #REF!)</f>
        <v>#REF!</v>
      </c>
      <c r="C29" s="73" t="e">
        <f aca="false">#REF!</f>
        <v>#REF!</v>
      </c>
      <c r="D29" s="73" t="e">
        <f aca="false">#REF!</f>
        <v>#REF!</v>
      </c>
      <c r="E29" s="73" t="e">
        <f aca="false">#REF!</f>
        <v>#REF!</v>
      </c>
      <c r="F29" s="73" t="e">
        <f aca="false">#REF!</f>
        <v>#REF!</v>
      </c>
    </row>
    <row r="30" customFormat="false" ht="12.8" hidden="false" customHeight="false" outlineLevel="0" collapsed="false">
      <c r="A30" s="50" t="e">
        <f aca="false">_xlfn.CONCAT($A$1, ".", #REF!)</f>
        <v>#REF!</v>
      </c>
      <c r="B30" s="68" t="e">
        <f aca="false">_xlfn.CONCAT(#REF!, ":", #REF!)</f>
        <v>#REF!</v>
      </c>
      <c r="C30" s="73" t="e">
        <f aca="false">#REF!</f>
        <v>#REF!</v>
      </c>
      <c r="D30" s="73" t="e">
        <f aca="false">#REF!</f>
        <v>#REF!</v>
      </c>
      <c r="E30" s="73" t="e">
        <f aca="false">#REF!</f>
        <v>#REF!</v>
      </c>
      <c r="F30" s="73" t="e">
        <f aca="false">#REF!</f>
        <v>#REF!</v>
      </c>
    </row>
    <row r="31" customFormat="false" ht="12.8" hidden="false" customHeight="false" outlineLevel="0" collapsed="false">
      <c r="A31" s="50" t="e">
        <f aca="false">_xlfn.CONCAT($A$1, ".", #REF!)</f>
        <v>#REF!</v>
      </c>
      <c r="B31" s="68" t="e">
        <f aca="false">_xlfn.CONCAT(#REF!, ":", #REF!)</f>
        <v>#REF!</v>
      </c>
      <c r="C31" s="73" t="e">
        <f aca="false">#REF!</f>
        <v>#REF!</v>
      </c>
      <c r="D31" s="73" t="e">
        <f aca="false">#REF!</f>
        <v>#REF!</v>
      </c>
      <c r="E31" s="73" t="e">
        <f aca="false">#REF!</f>
        <v>#REF!</v>
      </c>
      <c r="F31" s="73" t="e">
        <f aca="false">#REF!</f>
        <v>#REF!</v>
      </c>
    </row>
    <row r="32" customFormat="false" ht="12.8" hidden="false" customHeight="false" outlineLevel="0" collapsed="false">
      <c r="A32" s="50" t="e">
        <f aca="false">_xlfn.CONCAT($A$1, ".", #REF!)</f>
        <v>#REF!</v>
      </c>
      <c r="B32" s="68" t="e">
        <f aca="false">_xlfn.CONCAT(#REF!, ":", #REF!)</f>
        <v>#REF!</v>
      </c>
      <c r="C32" s="73" t="e">
        <f aca="false">#REF!</f>
        <v>#REF!</v>
      </c>
      <c r="D32" s="73" t="e">
        <f aca="false">#REF!</f>
        <v>#REF!</v>
      </c>
      <c r="E32" s="73" t="e">
        <f aca="false">#REF!</f>
        <v>#REF!</v>
      </c>
      <c r="F32" s="73" t="e">
        <f aca="false">#REF!</f>
        <v>#REF!</v>
      </c>
    </row>
    <row r="33" customFormat="false" ht="12.8" hidden="false" customHeight="false" outlineLevel="0" collapsed="false">
      <c r="A33" s="50" t="e">
        <f aca="false">_xlfn.CONCAT($A$1, ".", #REF!)</f>
        <v>#REF!</v>
      </c>
      <c r="B33" s="68" t="e">
        <f aca="false">_xlfn.CONCAT(#REF!, ":", #REF!)</f>
        <v>#REF!</v>
      </c>
      <c r="C33" s="73" t="e">
        <f aca="false">#REF!</f>
        <v>#REF!</v>
      </c>
      <c r="D33" s="73" t="e">
        <f aca="false">#REF!</f>
        <v>#REF!</v>
      </c>
      <c r="E33" s="73" t="e">
        <f aca="false">#REF!</f>
        <v>#REF!</v>
      </c>
      <c r="F33" s="73" t="e">
        <f aca="false">#REF!</f>
        <v>#REF!</v>
      </c>
    </row>
    <row r="34" customFormat="false" ht="12.8" hidden="false" customHeight="false" outlineLevel="0" collapsed="false">
      <c r="A34" s="50" t="e">
        <f aca="false">_xlfn.CONCAT($A$1, ".", #REF!)</f>
        <v>#REF!</v>
      </c>
      <c r="B34" s="68" t="e">
        <f aca="false">_xlfn.CONCAT(#REF!, ":", #REF!)</f>
        <v>#REF!</v>
      </c>
      <c r="C34" s="73" t="e">
        <f aca="false">#REF!</f>
        <v>#REF!</v>
      </c>
      <c r="D34" s="73" t="e">
        <f aca="false">#REF!</f>
        <v>#REF!</v>
      </c>
      <c r="E34" s="73" t="e">
        <f aca="false">#REF!</f>
        <v>#REF!</v>
      </c>
      <c r="F34" s="73" t="e">
        <f aca="false">#REF!</f>
        <v>#REF!</v>
      </c>
    </row>
    <row r="35" customFormat="false" ht="12.8" hidden="false" customHeight="false" outlineLevel="0" collapsed="false">
      <c r="A35" s="50" t="e">
        <f aca="false">_xlfn.CONCAT($A$1, ".", #REF!)</f>
        <v>#REF!</v>
      </c>
      <c r="B35" s="68" t="e">
        <f aca="false">_xlfn.CONCAT(#REF!, ":", #REF!)</f>
        <v>#REF!</v>
      </c>
      <c r="C35" s="73" t="e">
        <f aca="false">#REF!</f>
        <v>#REF!</v>
      </c>
      <c r="D35" s="73" t="e">
        <f aca="false">#REF!</f>
        <v>#REF!</v>
      </c>
      <c r="E35" s="73" t="e">
        <f aca="false">#REF!</f>
        <v>#REF!</v>
      </c>
      <c r="F35" s="73" t="e">
        <f aca="false">#REF!</f>
        <v>#REF!</v>
      </c>
    </row>
    <row r="36" customFormat="false" ht="12.8" hidden="false" customHeight="false" outlineLevel="0" collapsed="false">
      <c r="A36" s="50" t="e">
        <f aca="false">_xlfn.CONCAT($A$1, ".", #REF!)</f>
        <v>#REF!</v>
      </c>
      <c r="B36" s="68" t="e">
        <f aca="false">_xlfn.CONCAT(#REF!, ":", #REF!)</f>
        <v>#REF!</v>
      </c>
      <c r="C36" s="73" t="e">
        <f aca="false">#REF!</f>
        <v>#REF!</v>
      </c>
      <c r="D36" s="73" t="e">
        <f aca="false">#REF!</f>
        <v>#REF!</v>
      </c>
      <c r="E36" s="73" t="e">
        <f aca="false">#REF!</f>
        <v>#REF!</v>
      </c>
      <c r="F36" s="73" t="e">
        <f aca="false">#REF!</f>
        <v>#REF!</v>
      </c>
    </row>
    <row r="37" customFormat="false" ht="12.8" hidden="false" customHeight="false" outlineLevel="0" collapsed="false">
      <c r="A37" s="50" t="e">
        <f aca="false">_xlfn.CONCAT($A$1, ".", #REF!)</f>
        <v>#REF!</v>
      </c>
      <c r="B37" s="68" t="e">
        <f aca="false">_xlfn.CONCAT(#REF!, ":", #REF!)</f>
        <v>#REF!</v>
      </c>
      <c r="C37" s="73" t="e">
        <f aca="false">#REF!</f>
        <v>#REF!</v>
      </c>
      <c r="D37" s="73" t="e">
        <f aca="false">#REF!</f>
        <v>#REF!</v>
      </c>
      <c r="E37" s="73" t="e">
        <f aca="false">#REF!</f>
        <v>#REF!</v>
      </c>
      <c r="F37" s="73" t="e">
        <f aca="false">#REF!</f>
        <v>#REF!</v>
      </c>
    </row>
    <row r="38" customFormat="false" ht="12.8" hidden="false" customHeight="false" outlineLevel="0" collapsed="false">
      <c r="A38" s="50" t="e">
        <f aca="false">_xlfn.CONCAT($A$1, ".", #REF!)</f>
        <v>#REF!</v>
      </c>
      <c r="B38" s="68" t="e">
        <f aca="false">_xlfn.CONCAT(#REF!, ":", #REF!)</f>
        <v>#REF!</v>
      </c>
      <c r="C38" s="73" t="e">
        <f aca="false">#REF!</f>
        <v>#REF!</v>
      </c>
      <c r="D38" s="73" t="e">
        <f aca="false">#REF!</f>
        <v>#REF!</v>
      </c>
      <c r="E38" s="73" t="e">
        <f aca="false">#REF!</f>
        <v>#REF!</v>
      </c>
      <c r="F38" s="73" t="e">
        <f aca="false">#REF!</f>
        <v>#REF!</v>
      </c>
    </row>
    <row r="39" customFormat="false" ht="12.8" hidden="false" customHeight="false" outlineLevel="0" collapsed="false">
      <c r="A39" s="50" t="e">
        <f aca="false">_xlfn.CONCAT($A$1, ".", #REF!)</f>
        <v>#REF!</v>
      </c>
      <c r="B39" s="68" t="e">
        <f aca="false">_xlfn.CONCAT(#REF!, ":", #REF!)</f>
        <v>#REF!</v>
      </c>
      <c r="C39" s="73" t="e">
        <f aca="false">#REF!</f>
        <v>#REF!</v>
      </c>
      <c r="D39" s="73" t="e">
        <f aca="false">#REF!</f>
        <v>#REF!</v>
      </c>
      <c r="E39" s="73" t="e">
        <f aca="false">#REF!</f>
        <v>#REF!</v>
      </c>
      <c r="F39" s="73" t="e">
        <f aca="false">#REF!</f>
        <v>#REF!</v>
      </c>
    </row>
    <row r="40" customFormat="false" ht="12.8" hidden="false" customHeight="false" outlineLevel="0" collapsed="false">
      <c r="A40" s="50" t="e">
        <f aca="false">_xlfn.CONCAT($A$1, ".", #REF!)</f>
        <v>#REF!</v>
      </c>
      <c r="B40" s="68" t="e">
        <f aca="false">_xlfn.CONCAT(#REF!, ":", #REF!)</f>
        <v>#REF!</v>
      </c>
      <c r="C40" s="73" t="e">
        <f aca="false">#REF!</f>
        <v>#REF!</v>
      </c>
      <c r="D40" s="73" t="e">
        <f aca="false">#REF!</f>
        <v>#REF!</v>
      </c>
      <c r="E40" s="73" t="e">
        <f aca="false">#REF!</f>
        <v>#REF!</v>
      </c>
      <c r="F40" s="73" t="e">
        <f aca="false">#REF!</f>
        <v>#REF!</v>
      </c>
    </row>
    <row r="41" customFormat="false" ht="12.8" hidden="false" customHeight="false" outlineLevel="0" collapsed="false">
      <c r="A41" s="50" t="e">
        <f aca="false">_xlfn.CONCAT($A$1, ".", #REF!)</f>
        <v>#REF!</v>
      </c>
      <c r="B41" s="68" t="e">
        <f aca="false">_xlfn.CONCAT(#REF!, ":", #REF!)</f>
        <v>#REF!</v>
      </c>
      <c r="C41" s="73" t="e">
        <f aca="false">#REF!</f>
        <v>#REF!</v>
      </c>
      <c r="D41" s="73" t="e">
        <f aca="false">#REF!</f>
        <v>#REF!</v>
      </c>
      <c r="E41" s="73" t="e">
        <f aca="false">#REF!</f>
        <v>#REF!</v>
      </c>
      <c r="F41" s="73" t="e">
        <f aca="false">#REF!</f>
        <v>#REF!</v>
      </c>
    </row>
    <row r="42" customFormat="false" ht="12.8" hidden="false" customHeight="false" outlineLevel="0" collapsed="false">
      <c r="A42" s="50" t="e">
        <f aca="false">_xlfn.CONCAT($A$1, ".", #REF!)</f>
        <v>#REF!</v>
      </c>
      <c r="B42" s="68" t="e">
        <f aca="false">_xlfn.CONCAT(#REF!, ":", #REF!)</f>
        <v>#REF!</v>
      </c>
      <c r="C42" s="73" t="e">
        <f aca="false">#REF!</f>
        <v>#REF!</v>
      </c>
      <c r="D42" s="73" t="e">
        <f aca="false">#REF!</f>
        <v>#REF!</v>
      </c>
      <c r="E42" s="73" t="e">
        <f aca="false">#REF!</f>
        <v>#REF!</v>
      </c>
      <c r="F42" s="73" t="e">
        <f aca="false">#REF!</f>
        <v>#REF!</v>
      </c>
    </row>
    <row r="43" customFormat="false" ht="12.8" hidden="false" customHeight="false" outlineLevel="0" collapsed="false">
      <c r="A43" s="50" t="e">
        <f aca="false">_xlfn.CONCAT($A$1, ".", #REF!)</f>
        <v>#REF!</v>
      </c>
      <c r="B43" s="68" t="e">
        <f aca="false">_xlfn.CONCAT(#REF!, ":", #REF!)</f>
        <v>#REF!</v>
      </c>
      <c r="C43" s="73" t="e">
        <f aca="false">#REF!</f>
        <v>#REF!</v>
      </c>
      <c r="D43" s="73" t="e">
        <f aca="false">#REF!</f>
        <v>#REF!</v>
      </c>
      <c r="E43" s="73" t="e">
        <f aca="false">#REF!</f>
        <v>#REF!</v>
      </c>
      <c r="F43" s="73" t="e">
        <f aca="false">#REF!</f>
        <v>#REF!</v>
      </c>
    </row>
    <row r="44" customFormat="false" ht="12.8" hidden="false" customHeight="false" outlineLevel="0" collapsed="false">
      <c r="A44" s="50" t="e">
        <f aca="false">_xlfn.CONCAT($A$1, ".", #REF!)</f>
        <v>#REF!</v>
      </c>
      <c r="B44" s="68" t="e">
        <f aca="false">_xlfn.CONCAT(#REF!, ":", #REF!)</f>
        <v>#REF!</v>
      </c>
      <c r="C44" s="73" t="e">
        <f aca="false">#REF!</f>
        <v>#REF!</v>
      </c>
      <c r="D44" s="73" t="e">
        <f aca="false">#REF!</f>
        <v>#REF!</v>
      </c>
      <c r="E44" s="73" t="e">
        <f aca="false">#REF!</f>
        <v>#REF!</v>
      </c>
      <c r="F44" s="73" t="e">
        <f aca="false">#REF!</f>
        <v>#REF!</v>
      </c>
    </row>
    <row r="45" customFormat="false" ht="12.8" hidden="false" customHeight="false" outlineLevel="0" collapsed="false">
      <c r="A45" s="50" t="e">
        <f aca="false">_xlfn.CONCAT($A$1, ".", #REF!)</f>
        <v>#REF!</v>
      </c>
      <c r="B45" s="68" t="e">
        <f aca="false">_xlfn.CONCAT(#REF!, ":", #REF!)</f>
        <v>#REF!</v>
      </c>
      <c r="C45" s="73" t="e">
        <f aca="false">#REF!</f>
        <v>#REF!</v>
      </c>
      <c r="D45" s="73" t="e">
        <f aca="false">#REF!</f>
        <v>#REF!</v>
      </c>
      <c r="E45" s="73" t="e">
        <f aca="false">#REF!</f>
        <v>#REF!</v>
      </c>
      <c r="F45" s="73" t="e">
        <f aca="false">#REF!</f>
        <v>#REF!</v>
      </c>
    </row>
    <row r="46" customFormat="false" ht="12.8" hidden="false" customHeight="false" outlineLevel="0" collapsed="false">
      <c r="A46" s="50" t="e">
        <f aca="false">_xlfn.CONCAT($A$1, ".", #REF!)</f>
        <v>#REF!</v>
      </c>
      <c r="B46" s="68" t="e">
        <f aca="false">_xlfn.CONCAT(#REF!, ":", #REF!)</f>
        <v>#REF!</v>
      </c>
      <c r="C46" s="73" t="e">
        <f aca="false">#REF!</f>
        <v>#REF!</v>
      </c>
      <c r="D46" s="73" t="e">
        <f aca="false">#REF!</f>
        <v>#REF!</v>
      </c>
      <c r="E46" s="73" t="e">
        <f aca="false">#REF!</f>
        <v>#REF!</v>
      </c>
      <c r="F46" s="73" t="e">
        <f aca="false">#REF!</f>
        <v>#REF!</v>
      </c>
    </row>
    <row r="47" customFormat="false" ht="12.8" hidden="false" customHeight="false" outlineLevel="0" collapsed="false">
      <c r="A47" s="50" t="e">
        <f aca="false">_xlfn.CONCAT($A$1, ".", #REF!)</f>
        <v>#REF!</v>
      </c>
      <c r="B47" s="68" t="e">
        <f aca="false">_xlfn.CONCAT(#REF!, ":", #REF!)</f>
        <v>#REF!</v>
      </c>
      <c r="C47" s="73" t="e">
        <f aca="false">#REF!</f>
        <v>#REF!</v>
      </c>
      <c r="D47" s="73" t="e">
        <f aca="false">#REF!</f>
        <v>#REF!</v>
      </c>
      <c r="E47" s="73" t="e">
        <f aca="false">#REF!</f>
        <v>#REF!</v>
      </c>
      <c r="F47" s="73" t="e">
        <f aca="false">#REF!</f>
        <v>#REF!</v>
      </c>
    </row>
    <row r="48" customFormat="false" ht="12.8" hidden="false" customHeight="false" outlineLevel="0" collapsed="false">
      <c r="A48" s="50" t="e">
        <f aca="false">_xlfn.CONCAT($A$1, ".", #REF!)</f>
        <v>#REF!</v>
      </c>
      <c r="B48" s="68" t="e">
        <f aca="false">_xlfn.CONCAT(#REF!, ":", #REF!)</f>
        <v>#REF!</v>
      </c>
      <c r="C48" s="73" t="e">
        <f aca="false">#REF!</f>
        <v>#REF!</v>
      </c>
      <c r="D48" s="73" t="e">
        <f aca="false">#REF!</f>
        <v>#REF!</v>
      </c>
      <c r="E48" s="73" t="e">
        <f aca="false">#REF!</f>
        <v>#REF!</v>
      </c>
      <c r="F48" s="73" t="e">
        <f aca="false">#REF!</f>
        <v>#REF!</v>
      </c>
    </row>
    <row r="49" customFormat="false" ht="12.8" hidden="false" customHeight="false" outlineLevel="0" collapsed="false">
      <c r="A49" s="50" t="e">
        <f aca="false">_xlfn.CONCAT($A$1, ".", #REF!)</f>
        <v>#REF!</v>
      </c>
      <c r="B49" s="68" t="e">
        <f aca="false">_xlfn.CONCAT(#REF!, ":", #REF!)</f>
        <v>#REF!</v>
      </c>
      <c r="C49" s="73" t="e">
        <f aca="false">#REF!</f>
        <v>#REF!</v>
      </c>
      <c r="D49" s="73" t="e">
        <f aca="false">#REF!</f>
        <v>#REF!</v>
      </c>
      <c r="E49" s="73" t="e">
        <f aca="false">#REF!</f>
        <v>#REF!</v>
      </c>
      <c r="F49" s="73" t="e">
        <f aca="false">#REF!</f>
        <v>#REF!</v>
      </c>
    </row>
    <row r="50" customFormat="false" ht="12.8" hidden="false" customHeight="false" outlineLevel="0" collapsed="false">
      <c r="A50" s="50" t="e">
        <f aca="false">_xlfn.CONCAT($A$1, ".", #REF!)</f>
        <v>#REF!</v>
      </c>
      <c r="B50" s="68" t="e">
        <f aca="false">_xlfn.CONCAT(#REF!, ":", #REF!)</f>
        <v>#REF!</v>
      </c>
      <c r="C50" s="73" t="e">
        <f aca="false">#REF!</f>
        <v>#REF!</v>
      </c>
      <c r="D50" s="73" t="e">
        <f aca="false">#REF!</f>
        <v>#REF!</v>
      </c>
      <c r="E50" s="73" t="e">
        <f aca="false">#REF!</f>
        <v>#REF!</v>
      </c>
      <c r="F50" s="73" t="e">
        <f aca="false">#REF!</f>
        <v>#REF!</v>
      </c>
    </row>
    <row r="51" customFormat="false" ht="12.8" hidden="false" customHeight="false" outlineLevel="0" collapsed="false">
      <c r="A51" s="50" t="e">
        <f aca="false">_xlfn.CONCAT($A$1, ".", #REF!)</f>
        <v>#REF!</v>
      </c>
      <c r="B51" s="68" t="e">
        <f aca="false">_xlfn.CONCAT(#REF!, ":", #REF!)</f>
        <v>#REF!</v>
      </c>
      <c r="C51" s="73" t="e">
        <f aca="false">#REF!</f>
        <v>#REF!</v>
      </c>
      <c r="D51" s="73" t="e">
        <f aca="false">#REF!</f>
        <v>#REF!</v>
      </c>
      <c r="E51" s="73" t="e">
        <f aca="false">#REF!</f>
        <v>#REF!</v>
      </c>
      <c r="F51" s="73" t="e">
        <f aca="false">#REF!</f>
        <v>#REF!</v>
      </c>
    </row>
    <row r="52" customFormat="false" ht="12.8" hidden="false" customHeight="false" outlineLevel="0" collapsed="false">
      <c r="A52" s="50" t="e">
        <f aca="false">_xlfn.CONCAT($A$1, ".", #REF!)</f>
        <v>#REF!</v>
      </c>
      <c r="B52" s="68" t="e">
        <f aca="false">_xlfn.CONCAT(#REF!, ":", #REF!)</f>
        <v>#REF!</v>
      </c>
      <c r="C52" s="73" t="e">
        <f aca="false">#REF!</f>
        <v>#REF!</v>
      </c>
      <c r="D52" s="73" t="e">
        <f aca="false">#REF!</f>
        <v>#REF!</v>
      </c>
      <c r="E52" s="73" t="e">
        <f aca="false">#REF!</f>
        <v>#REF!</v>
      </c>
      <c r="F52" s="73" t="e">
        <f aca="false">#REF!</f>
        <v>#REF!</v>
      </c>
    </row>
    <row r="53" customFormat="false" ht="12.8" hidden="false" customHeight="false" outlineLevel="0" collapsed="false">
      <c r="A53" s="50" t="e">
        <f aca="false">_xlfn.CONCAT($A$1, ".", #REF!)</f>
        <v>#REF!</v>
      </c>
      <c r="B53" s="68" t="e">
        <f aca="false">_xlfn.CONCAT(#REF!, ":", #REF!)</f>
        <v>#REF!</v>
      </c>
      <c r="C53" s="73" t="e">
        <f aca="false">#REF!</f>
        <v>#REF!</v>
      </c>
      <c r="D53" s="73" t="e">
        <f aca="false">#REF!</f>
        <v>#REF!</v>
      </c>
      <c r="E53" s="73" t="e">
        <f aca="false">#REF!</f>
        <v>#REF!</v>
      </c>
      <c r="F53" s="73" t="e">
        <f aca="false">#REF!</f>
        <v>#REF!</v>
      </c>
    </row>
    <row r="54" customFormat="false" ht="12.8" hidden="false" customHeight="false" outlineLevel="0" collapsed="false">
      <c r="A54" s="50" t="e">
        <f aca="false">_xlfn.CONCAT($A$1, ".", #REF!)</f>
        <v>#REF!</v>
      </c>
      <c r="B54" s="68" t="e">
        <f aca="false">_xlfn.CONCAT(#REF!, ":", #REF!)</f>
        <v>#REF!</v>
      </c>
      <c r="C54" s="73" t="e">
        <f aca="false">#REF!</f>
        <v>#REF!</v>
      </c>
      <c r="D54" s="73" t="e">
        <f aca="false">#REF!</f>
        <v>#REF!</v>
      </c>
      <c r="E54" s="73" t="e">
        <f aca="false">#REF!</f>
        <v>#REF!</v>
      </c>
      <c r="F54" s="73" t="e">
        <f aca="false">#REF!</f>
        <v>#REF!</v>
      </c>
    </row>
    <row r="55" customFormat="false" ht="12.8" hidden="false" customHeight="false" outlineLevel="0" collapsed="false">
      <c r="A55" s="50" t="e">
        <f aca="false">_xlfn.CONCAT($A$1, ".", #REF!)</f>
        <v>#REF!</v>
      </c>
      <c r="B55" s="68" t="e">
        <f aca="false">_xlfn.CONCAT(#REF!, ":", #REF!)</f>
        <v>#REF!</v>
      </c>
      <c r="C55" s="73" t="e">
        <f aca="false">#REF!</f>
        <v>#REF!</v>
      </c>
      <c r="D55" s="73" t="e">
        <f aca="false">#REF!</f>
        <v>#REF!</v>
      </c>
      <c r="E55" s="73" t="e">
        <f aca="false">#REF!</f>
        <v>#REF!</v>
      </c>
      <c r="F55" s="73" t="e">
        <f aca="false">#REF!</f>
        <v>#REF!</v>
      </c>
    </row>
    <row r="56" customFormat="false" ht="12.8" hidden="false" customHeight="false" outlineLevel="0" collapsed="false">
      <c r="C56" s="72"/>
      <c r="D56" s="72"/>
      <c r="E56" s="72"/>
      <c r="F56" s="72"/>
    </row>
    <row r="57" customFormat="false" ht="12.8" hidden="false" customHeight="false" outlineLevel="0" collapsed="false">
      <c r="C57" s="72"/>
      <c r="D57" s="72"/>
      <c r="E57" s="72"/>
      <c r="F57" s="72"/>
    </row>
    <row r="58" customFormat="false" ht="12.8" hidden="false" customHeight="false" outlineLevel="0" collapsed="false">
      <c r="C58" s="72"/>
      <c r="D58" s="72"/>
      <c r="E58" s="72"/>
      <c r="F58" s="72"/>
    </row>
    <row r="59" customFormat="false" ht="12.8" hidden="false" customHeight="false" outlineLevel="1" collapsed="false">
      <c r="C59" s="72"/>
      <c r="D59" s="72"/>
      <c r="E59" s="72"/>
      <c r="F59" s="72"/>
    </row>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C247"/>
  <sheetViews>
    <sheetView showFormulas="false" showGridLines="true" showRowColHeaders="true" showZeros="true" rightToLeft="false" tabSelected="false" showOutlineSymbols="true" defaultGridColor="true" view="normal" topLeftCell="A105" colorId="64" zoomScale="75" zoomScaleNormal="75" zoomScalePageLayoutView="100" workbookViewId="0">
      <selection pane="topLeft" activeCell="A1" activeCellId="1" sqref="D3:E3 A1"/>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993</v>
      </c>
      <c r="B1" s="42" t="s">
        <v>994</v>
      </c>
      <c r="C1" s="6" t="s">
        <v>2</v>
      </c>
      <c r="D1" s="60" t="s">
        <v>995</v>
      </c>
      <c r="AZ1" s="39"/>
      <c r="BA1" s="39"/>
      <c r="BB1" s="39"/>
      <c r="BC1" s="39"/>
    </row>
    <row r="2" customFormat="false" ht="46.25" hidden="false" customHeight="false" outlineLevel="0" collapsed="false">
      <c r="A2" s="64" t="s">
        <v>792</v>
      </c>
      <c r="B2" s="52" t="s">
        <v>793</v>
      </c>
      <c r="C2" s="74" t="str">
        <f aca="false">CALC!AV3</f>
        <v>Federal Personal Income Tax Revenue ($)</v>
      </c>
      <c r="D2" s="74" t="str">
        <f aca="false">CALC!AW3</f>
        <v>Authorized Immigrant Federal Personal Income Tax Revenue ($)</v>
      </c>
      <c r="E2" s="74" t="str">
        <f aca="false">CALC!AX3</f>
        <v>Unauthorized Immigrant Federal Personal Income Tax Revenue ($)</v>
      </c>
      <c r="F2" s="74" t="str">
        <f aca="false">CALC!AY3</f>
        <v>American Federal Personal Income Tax Revenue ($)</v>
      </c>
    </row>
    <row r="3" customFormat="false" ht="12.8" hidden="false" customHeight="false" outlineLevel="0" collapsed="false">
      <c r="A3" s="4" t="e">
        <f aca="false">_xlfn.CONCAT($A$1, ".", #REF!)</f>
        <v>#REF!</v>
      </c>
      <c r="B3" s="49" t="e">
        <f aca="false">_xlfn.CONCAT(#REF!, ":", #REF!)</f>
        <v>#REF!</v>
      </c>
      <c r="C3" s="74" t="e">
        <f aca="false">#REF!</f>
        <v>#REF!</v>
      </c>
      <c r="D3" s="74" t="e">
        <f aca="false">#REF!</f>
        <v>#REF!</v>
      </c>
      <c r="E3" s="74" t="e">
        <f aca="false">#REF!</f>
        <v>#REF!</v>
      </c>
      <c r="F3" s="74" t="e">
        <f aca="false">#REF!</f>
        <v>#REF!</v>
      </c>
    </row>
    <row r="4" customFormat="false" ht="12.8" hidden="false" customHeight="false" outlineLevel="0" collapsed="false">
      <c r="A4" s="50" t="e">
        <f aca="false">_xlfn.CONCAT($A$1, ".", #REF!)</f>
        <v>#REF!</v>
      </c>
      <c r="B4" s="68" t="e">
        <f aca="false">_xlfn.CONCAT(#REF!, ":", #REF!)</f>
        <v>#REF!</v>
      </c>
      <c r="C4" s="75" t="e">
        <f aca="false">#REF!</f>
        <v>#REF!</v>
      </c>
      <c r="D4" s="75" t="e">
        <f aca="false">#REF!</f>
        <v>#REF!</v>
      </c>
      <c r="E4" s="75" t="e">
        <f aca="false">#REF!</f>
        <v>#REF!</v>
      </c>
      <c r="F4" s="75" t="e">
        <f aca="false">#REF!</f>
        <v>#REF!</v>
      </c>
    </row>
    <row r="5" customFormat="false" ht="12.8" hidden="false" customHeight="false" outlineLevel="0" collapsed="false">
      <c r="A5" s="50" t="e">
        <f aca="false">_xlfn.CONCAT($A$1, ".", #REF!)</f>
        <v>#REF!</v>
      </c>
      <c r="B5" s="68" t="e">
        <f aca="false">_xlfn.CONCAT(#REF!, ":", #REF!)</f>
        <v>#REF!</v>
      </c>
      <c r="C5" s="75" t="e">
        <f aca="false">#REF!</f>
        <v>#REF!</v>
      </c>
      <c r="D5" s="75" t="e">
        <f aca="false">#REF!</f>
        <v>#REF!</v>
      </c>
      <c r="E5" s="75" t="e">
        <f aca="false">#REF!</f>
        <v>#REF!</v>
      </c>
      <c r="F5" s="75" t="e">
        <f aca="false">#REF!</f>
        <v>#REF!</v>
      </c>
    </row>
    <row r="6" customFormat="false" ht="12.8" hidden="false" customHeight="false" outlineLevel="0" collapsed="false">
      <c r="A6" s="50" t="e">
        <f aca="false">_xlfn.CONCAT($A$1, ".", #REF!)</f>
        <v>#REF!</v>
      </c>
      <c r="B6" s="68" t="e">
        <f aca="false">_xlfn.CONCAT(#REF!, ":", #REF!)</f>
        <v>#REF!</v>
      </c>
      <c r="C6" s="75" t="e">
        <f aca="false">#REF!</f>
        <v>#REF!</v>
      </c>
      <c r="D6" s="75" t="e">
        <f aca="false">#REF!</f>
        <v>#REF!</v>
      </c>
      <c r="E6" s="75" t="e">
        <f aca="false">#REF!</f>
        <v>#REF!</v>
      </c>
      <c r="F6" s="75" t="e">
        <f aca="false">#REF!</f>
        <v>#REF!</v>
      </c>
    </row>
    <row r="7" customFormat="false" ht="12.8" hidden="false" customHeight="false" outlineLevel="0" collapsed="false">
      <c r="A7" s="50" t="e">
        <f aca="false">_xlfn.CONCAT($A$1, ".", #REF!)</f>
        <v>#REF!</v>
      </c>
      <c r="B7" s="68" t="e">
        <f aca="false">_xlfn.CONCAT(#REF!, ":", #REF!)</f>
        <v>#REF!</v>
      </c>
      <c r="C7" s="75" t="e">
        <f aca="false">#REF!</f>
        <v>#REF!</v>
      </c>
      <c r="D7" s="75" t="e">
        <f aca="false">#REF!</f>
        <v>#REF!</v>
      </c>
      <c r="E7" s="75" t="e">
        <f aca="false">#REF!</f>
        <v>#REF!</v>
      </c>
      <c r="F7" s="75" t="e">
        <f aca="false">#REF!</f>
        <v>#REF!</v>
      </c>
    </row>
    <row r="8" customFormat="false" ht="12.8" hidden="false" customHeight="false" outlineLevel="0" collapsed="false">
      <c r="A8" s="50" t="e">
        <f aca="false">_xlfn.CONCAT($A$1, ".", #REF!)</f>
        <v>#REF!</v>
      </c>
      <c r="B8" s="68" t="e">
        <f aca="false">_xlfn.CONCAT(#REF!, ":", #REF!)</f>
        <v>#REF!</v>
      </c>
      <c r="C8" s="75" t="e">
        <f aca="false">#REF!</f>
        <v>#REF!</v>
      </c>
      <c r="D8" s="75" t="e">
        <f aca="false">#REF!</f>
        <v>#REF!</v>
      </c>
      <c r="E8" s="75" t="e">
        <f aca="false">#REF!</f>
        <v>#REF!</v>
      </c>
      <c r="F8" s="75" t="e">
        <f aca="false">#REF!</f>
        <v>#REF!</v>
      </c>
    </row>
    <row r="9" customFormat="false" ht="12.8" hidden="false" customHeight="false" outlineLevel="0" collapsed="false">
      <c r="A9" s="50" t="e">
        <f aca="false">_xlfn.CONCAT($A$1, ".", #REF!)</f>
        <v>#REF!</v>
      </c>
      <c r="B9" s="68" t="e">
        <f aca="false">_xlfn.CONCAT(#REF!, ":", #REF!)</f>
        <v>#REF!</v>
      </c>
      <c r="C9" s="75" t="e">
        <f aca="false">#REF!</f>
        <v>#REF!</v>
      </c>
      <c r="D9" s="75" t="e">
        <f aca="false">#REF!</f>
        <v>#REF!</v>
      </c>
      <c r="E9" s="75" t="e">
        <f aca="false">#REF!</f>
        <v>#REF!</v>
      </c>
      <c r="F9" s="75" t="e">
        <f aca="false">#REF!</f>
        <v>#REF!</v>
      </c>
    </row>
    <row r="10" customFormat="false" ht="12.8" hidden="false" customHeight="false" outlineLevel="0" collapsed="false">
      <c r="A10" s="50" t="e">
        <f aca="false">_xlfn.CONCAT($A$1, ".", #REF!)</f>
        <v>#REF!</v>
      </c>
      <c r="B10" s="68" t="e">
        <f aca="false">_xlfn.CONCAT(#REF!, ":", #REF!)</f>
        <v>#REF!</v>
      </c>
      <c r="C10" s="75" t="e">
        <f aca="false">#REF!</f>
        <v>#REF!</v>
      </c>
      <c r="D10" s="75" t="e">
        <f aca="false">#REF!</f>
        <v>#REF!</v>
      </c>
      <c r="E10" s="75" t="e">
        <f aca="false">#REF!</f>
        <v>#REF!</v>
      </c>
      <c r="F10" s="75" t="e">
        <f aca="false">#REF!</f>
        <v>#REF!</v>
      </c>
    </row>
    <row r="11" customFormat="false" ht="12.8" hidden="false" customHeight="false" outlineLevel="0" collapsed="false">
      <c r="A11" s="50" t="e">
        <f aca="false">_xlfn.CONCAT($A$1, ".", #REF!)</f>
        <v>#REF!</v>
      </c>
      <c r="B11" s="68" t="e">
        <f aca="false">_xlfn.CONCAT(#REF!, ":", #REF!)</f>
        <v>#REF!</v>
      </c>
      <c r="C11" s="75" t="e">
        <f aca="false">#REF!</f>
        <v>#REF!</v>
      </c>
      <c r="D11" s="75" t="e">
        <f aca="false">#REF!</f>
        <v>#REF!</v>
      </c>
      <c r="E11" s="75" t="e">
        <f aca="false">#REF!</f>
        <v>#REF!</v>
      </c>
      <c r="F11" s="75" t="e">
        <f aca="false">#REF!</f>
        <v>#REF!</v>
      </c>
    </row>
    <row r="12" customFormat="false" ht="12.8" hidden="false" customHeight="false" outlineLevel="0" collapsed="false">
      <c r="A12" s="50" t="e">
        <f aca="false">_xlfn.CONCAT($A$1, ".", #REF!)</f>
        <v>#REF!</v>
      </c>
      <c r="B12" s="68" t="e">
        <f aca="false">_xlfn.CONCAT(#REF!, ":", #REF!)</f>
        <v>#REF!</v>
      </c>
      <c r="C12" s="75" t="e">
        <f aca="false">#REF!</f>
        <v>#REF!</v>
      </c>
      <c r="D12" s="75" t="e">
        <f aca="false">#REF!</f>
        <v>#REF!</v>
      </c>
      <c r="E12" s="75" t="e">
        <f aca="false">#REF!</f>
        <v>#REF!</v>
      </c>
      <c r="F12" s="75" t="e">
        <f aca="false">#REF!</f>
        <v>#REF!</v>
      </c>
    </row>
    <row r="13" customFormat="false" ht="12.8" hidden="false" customHeight="false" outlineLevel="0" collapsed="false">
      <c r="A13" s="50" t="e">
        <f aca="false">_xlfn.CONCAT($A$1, ".", #REF!)</f>
        <v>#REF!</v>
      </c>
      <c r="B13" s="68" t="e">
        <f aca="false">_xlfn.CONCAT(#REF!, ":", #REF!)</f>
        <v>#REF!</v>
      </c>
      <c r="C13" s="75" t="e">
        <f aca="false">#REF!</f>
        <v>#REF!</v>
      </c>
      <c r="D13" s="75" t="e">
        <f aca="false">#REF!</f>
        <v>#REF!</v>
      </c>
      <c r="E13" s="75" t="e">
        <f aca="false">#REF!</f>
        <v>#REF!</v>
      </c>
      <c r="F13" s="75" t="e">
        <f aca="false">#REF!</f>
        <v>#REF!</v>
      </c>
    </row>
    <row r="14" customFormat="false" ht="12.8" hidden="false" customHeight="false" outlineLevel="0" collapsed="false">
      <c r="A14" s="50" t="e">
        <f aca="false">_xlfn.CONCAT($A$1, ".", #REF!)</f>
        <v>#REF!</v>
      </c>
      <c r="B14" s="68" t="e">
        <f aca="false">_xlfn.CONCAT(#REF!, ":", #REF!)</f>
        <v>#REF!</v>
      </c>
      <c r="C14" s="75" t="e">
        <f aca="false">#REF!</f>
        <v>#REF!</v>
      </c>
      <c r="D14" s="75" t="e">
        <f aca="false">#REF!</f>
        <v>#REF!</v>
      </c>
      <c r="E14" s="75" t="e">
        <f aca="false">#REF!</f>
        <v>#REF!</v>
      </c>
      <c r="F14" s="75" t="e">
        <f aca="false">#REF!</f>
        <v>#REF!</v>
      </c>
    </row>
    <row r="15" customFormat="false" ht="12.8" hidden="false" customHeight="false" outlineLevel="0" collapsed="false">
      <c r="A15" s="50" t="e">
        <f aca="false">_xlfn.CONCAT($A$1, ".", #REF!)</f>
        <v>#REF!</v>
      </c>
      <c r="B15" s="68" t="e">
        <f aca="false">_xlfn.CONCAT(#REF!, ":", #REF!)</f>
        <v>#REF!</v>
      </c>
      <c r="C15" s="75" t="e">
        <f aca="false">#REF!</f>
        <v>#REF!</v>
      </c>
      <c r="D15" s="75" t="e">
        <f aca="false">#REF!</f>
        <v>#REF!</v>
      </c>
      <c r="E15" s="75" t="e">
        <f aca="false">#REF!</f>
        <v>#REF!</v>
      </c>
      <c r="F15" s="75" t="e">
        <f aca="false">#REF!</f>
        <v>#REF!</v>
      </c>
    </row>
    <row r="16" customFormat="false" ht="12.8" hidden="false" customHeight="false" outlineLevel="0" collapsed="false">
      <c r="A16" s="50" t="e">
        <f aca="false">_xlfn.CONCAT($A$1, ".", #REF!)</f>
        <v>#REF!</v>
      </c>
      <c r="B16" s="68" t="e">
        <f aca="false">_xlfn.CONCAT(#REF!, ":", #REF!)</f>
        <v>#REF!</v>
      </c>
      <c r="C16" s="75" t="e">
        <f aca="false">#REF!</f>
        <v>#REF!</v>
      </c>
      <c r="D16" s="75" t="e">
        <f aca="false">#REF!</f>
        <v>#REF!</v>
      </c>
      <c r="E16" s="75" t="e">
        <f aca="false">#REF!</f>
        <v>#REF!</v>
      </c>
      <c r="F16" s="75" t="e">
        <f aca="false">#REF!</f>
        <v>#REF!</v>
      </c>
    </row>
    <row r="17" customFormat="false" ht="12.8" hidden="false" customHeight="false" outlineLevel="0" collapsed="false">
      <c r="A17" s="50" t="e">
        <f aca="false">_xlfn.CONCAT($A$1, ".", #REF!)</f>
        <v>#REF!</v>
      </c>
      <c r="B17" s="68" t="e">
        <f aca="false">_xlfn.CONCAT(#REF!, ":", #REF!)</f>
        <v>#REF!</v>
      </c>
      <c r="C17" s="75" t="e">
        <f aca="false">#REF!</f>
        <v>#REF!</v>
      </c>
      <c r="D17" s="75" t="e">
        <f aca="false">#REF!</f>
        <v>#REF!</v>
      </c>
      <c r="E17" s="75" t="e">
        <f aca="false">#REF!</f>
        <v>#REF!</v>
      </c>
      <c r="F17" s="75" t="e">
        <f aca="false">#REF!</f>
        <v>#REF!</v>
      </c>
    </row>
    <row r="18" customFormat="false" ht="12.8" hidden="false" customHeight="false" outlineLevel="0" collapsed="false">
      <c r="A18" s="50" t="e">
        <f aca="false">_xlfn.CONCAT($A$1, ".", #REF!)</f>
        <v>#REF!</v>
      </c>
      <c r="B18" s="68" t="e">
        <f aca="false">_xlfn.CONCAT(#REF!, ":", #REF!)</f>
        <v>#REF!</v>
      </c>
      <c r="C18" s="75" t="e">
        <f aca="false">#REF!</f>
        <v>#REF!</v>
      </c>
      <c r="D18" s="75" t="e">
        <f aca="false">#REF!</f>
        <v>#REF!</v>
      </c>
      <c r="E18" s="75" t="e">
        <f aca="false">#REF!</f>
        <v>#REF!</v>
      </c>
      <c r="F18" s="75" t="e">
        <f aca="false">#REF!</f>
        <v>#REF!</v>
      </c>
    </row>
    <row r="19" customFormat="false" ht="12.8" hidden="false" customHeight="false" outlineLevel="0" collapsed="false">
      <c r="A19" s="50" t="e">
        <f aca="false">_xlfn.CONCAT($A$1, ".", #REF!)</f>
        <v>#REF!</v>
      </c>
      <c r="B19" s="68" t="e">
        <f aca="false">_xlfn.CONCAT(#REF!, ":", #REF!)</f>
        <v>#REF!</v>
      </c>
      <c r="C19" s="75" t="e">
        <f aca="false">#REF!</f>
        <v>#REF!</v>
      </c>
      <c r="D19" s="75" t="e">
        <f aca="false">#REF!</f>
        <v>#REF!</v>
      </c>
      <c r="E19" s="75" t="e">
        <f aca="false">#REF!</f>
        <v>#REF!</v>
      </c>
      <c r="F19" s="75" t="e">
        <f aca="false">#REF!</f>
        <v>#REF!</v>
      </c>
    </row>
    <row r="20" customFormat="false" ht="12.8" hidden="false" customHeight="false" outlineLevel="0" collapsed="false">
      <c r="A20" s="50" t="e">
        <f aca="false">_xlfn.CONCAT($A$1, ".", #REF!)</f>
        <v>#REF!</v>
      </c>
      <c r="B20" s="68" t="e">
        <f aca="false">_xlfn.CONCAT(#REF!, ":", #REF!)</f>
        <v>#REF!</v>
      </c>
      <c r="C20" s="75" t="e">
        <f aca="false">#REF!</f>
        <v>#REF!</v>
      </c>
      <c r="D20" s="75" t="e">
        <f aca="false">#REF!</f>
        <v>#REF!</v>
      </c>
      <c r="E20" s="75" t="e">
        <f aca="false">#REF!</f>
        <v>#REF!</v>
      </c>
      <c r="F20" s="75" t="e">
        <f aca="false">#REF!</f>
        <v>#REF!</v>
      </c>
    </row>
    <row r="21" customFormat="false" ht="12.8" hidden="false" customHeight="false" outlineLevel="0" collapsed="false">
      <c r="A21" s="50" t="e">
        <f aca="false">_xlfn.CONCAT($A$1, ".", #REF!)</f>
        <v>#REF!</v>
      </c>
      <c r="B21" s="68" t="e">
        <f aca="false">_xlfn.CONCAT(#REF!, ":", #REF!)</f>
        <v>#REF!</v>
      </c>
      <c r="C21" s="75" t="e">
        <f aca="false">#REF!</f>
        <v>#REF!</v>
      </c>
      <c r="D21" s="75" t="e">
        <f aca="false">#REF!</f>
        <v>#REF!</v>
      </c>
      <c r="E21" s="75" t="e">
        <f aca="false">#REF!</f>
        <v>#REF!</v>
      </c>
      <c r="F21" s="75" t="e">
        <f aca="false">#REF!</f>
        <v>#REF!</v>
      </c>
    </row>
    <row r="22" customFormat="false" ht="12.8" hidden="false" customHeight="false" outlineLevel="0" collapsed="false">
      <c r="A22" s="50" t="e">
        <f aca="false">_xlfn.CONCAT($A$1, ".", #REF!)</f>
        <v>#REF!</v>
      </c>
      <c r="B22" s="68" t="e">
        <f aca="false">_xlfn.CONCAT(#REF!, ":", #REF!)</f>
        <v>#REF!</v>
      </c>
      <c r="C22" s="75" t="e">
        <f aca="false">#REF!</f>
        <v>#REF!</v>
      </c>
      <c r="D22" s="75" t="e">
        <f aca="false">#REF!</f>
        <v>#REF!</v>
      </c>
      <c r="E22" s="75" t="e">
        <f aca="false">#REF!</f>
        <v>#REF!</v>
      </c>
      <c r="F22" s="75" t="e">
        <f aca="false">#REF!</f>
        <v>#REF!</v>
      </c>
    </row>
    <row r="23" customFormat="false" ht="12.8" hidden="false" customHeight="false" outlineLevel="0" collapsed="false">
      <c r="A23" s="50" t="e">
        <f aca="false">_xlfn.CONCAT($A$1, ".", #REF!)</f>
        <v>#REF!</v>
      </c>
      <c r="B23" s="68" t="e">
        <f aca="false">_xlfn.CONCAT(#REF!, ":", #REF!)</f>
        <v>#REF!</v>
      </c>
      <c r="C23" s="75" t="e">
        <f aca="false">#REF!</f>
        <v>#REF!</v>
      </c>
      <c r="D23" s="75" t="e">
        <f aca="false">#REF!</f>
        <v>#REF!</v>
      </c>
      <c r="E23" s="75" t="e">
        <f aca="false">#REF!</f>
        <v>#REF!</v>
      </c>
      <c r="F23" s="75" t="e">
        <f aca="false">#REF!</f>
        <v>#REF!</v>
      </c>
    </row>
    <row r="24" customFormat="false" ht="12.8" hidden="false" customHeight="false" outlineLevel="0" collapsed="false">
      <c r="A24" s="50" t="e">
        <f aca="false">_xlfn.CONCAT($A$1, ".", #REF!)</f>
        <v>#REF!</v>
      </c>
      <c r="B24" s="68" t="e">
        <f aca="false">_xlfn.CONCAT(#REF!, ":", #REF!)</f>
        <v>#REF!</v>
      </c>
      <c r="C24" s="75" t="e">
        <f aca="false">#REF!</f>
        <v>#REF!</v>
      </c>
      <c r="D24" s="75" t="e">
        <f aca="false">#REF!</f>
        <v>#REF!</v>
      </c>
      <c r="E24" s="75" t="e">
        <f aca="false">#REF!</f>
        <v>#REF!</v>
      </c>
      <c r="F24" s="75" t="e">
        <f aca="false">#REF!</f>
        <v>#REF!</v>
      </c>
    </row>
    <row r="25" customFormat="false" ht="12.8" hidden="false" customHeight="false" outlineLevel="0" collapsed="false">
      <c r="A25" s="50" t="e">
        <f aca="false">_xlfn.CONCAT($A$1, ".", #REF!)</f>
        <v>#REF!</v>
      </c>
      <c r="B25" s="68" t="e">
        <f aca="false">_xlfn.CONCAT(#REF!, ":", #REF!)</f>
        <v>#REF!</v>
      </c>
      <c r="C25" s="75" t="e">
        <f aca="false">#REF!</f>
        <v>#REF!</v>
      </c>
      <c r="D25" s="75" t="e">
        <f aca="false">#REF!</f>
        <v>#REF!</v>
      </c>
      <c r="E25" s="75" t="e">
        <f aca="false">#REF!</f>
        <v>#REF!</v>
      </c>
      <c r="F25" s="75" t="e">
        <f aca="false">#REF!</f>
        <v>#REF!</v>
      </c>
    </row>
    <row r="26" customFormat="false" ht="12.8" hidden="false" customHeight="false" outlineLevel="0" collapsed="false">
      <c r="A26" s="50" t="e">
        <f aca="false">_xlfn.CONCAT($A$1, ".", #REF!)</f>
        <v>#REF!</v>
      </c>
      <c r="B26" s="68" t="e">
        <f aca="false">_xlfn.CONCAT(#REF!, ":", #REF!)</f>
        <v>#REF!</v>
      </c>
      <c r="C26" s="75" t="e">
        <f aca="false">#REF!</f>
        <v>#REF!</v>
      </c>
      <c r="D26" s="75" t="e">
        <f aca="false">#REF!</f>
        <v>#REF!</v>
      </c>
      <c r="E26" s="75" t="e">
        <f aca="false">#REF!</f>
        <v>#REF!</v>
      </c>
      <c r="F26" s="75" t="e">
        <f aca="false">#REF!</f>
        <v>#REF!</v>
      </c>
    </row>
    <row r="27" customFormat="false" ht="12.8" hidden="false" customHeight="false" outlineLevel="0" collapsed="false">
      <c r="A27" s="50" t="e">
        <f aca="false">_xlfn.CONCAT($A$1, ".", #REF!)</f>
        <v>#REF!</v>
      </c>
      <c r="B27" s="68" t="e">
        <f aca="false">_xlfn.CONCAT(#REF!, ":", #REF!)</f>
        <v>#REF!</v>
      </c>
      <c r="C27" s="75" t="e">
        <f aca="false">#REF!</f>
        <v>#REF!</v>
      </c>
      <c r="D27" s="75" t="e">
        <f aca="false">#REF!</f>
        <v>#REF!</v>
      </c>
      <c r="E27" s="75" t="e">
        <f aca="false">#REF!</f>
        <v>#REF!</v>
      </c>
      <c r="F27" s="75" t="e">
        <f aca="false">#REF!</f>
        <v>#REF!</v>
      </c>
    </row>
    <row r="28" customFormat="false" ht="12.8" hidden="false" customHeight="false" outlineLevel="0" collapsed="false">
      <c r="A28" s="50" t="e">
        <f aca="false">_xlfn.CONCAT($A$1, ".", #REF!)</f>
        <v>#REF!</v>
      </c>
      <c r="B28" s="68" t="e">
        <f aca="false">_xlfn.CONCAT(#REF!, ":", #REF!)</f>
        <v>#REF!</v>
      </c>
      <c r="C28" s="75" t="e">
        <f aca="false">#REF!</f>
        <v>#REF!</v>
      </c>
      <c r="D28" s="75" t="e">
        <f aca="false">#REF!</f>
        <v>#REF!</v>
      </c>
      <c r="E28" s="75" t="e">
        <f aca="false">#REF!</f>
        <v>#REF!</v>
      </c>
      <c r="F28" s="75" t="e">
        <f aca="false">#REF!</f>
        <v>#REF!</v>
      </c>
    </row>
    <row r="29" customFormat="false" ht="12.8" hidden="false" customHeight="false" outlineLevel="0" collapsed="false">
      <c r="A29" s="50" t="e">
        <f aca="false">_xlfn.CONCAT($A$1, ".", #REF!)</f>
        <v>#REF!</v>
      </c>
      <c r="B29" s="68" t="e">
        <f aca="false">_xlfn.CONCAT(#REF!, ":", #REF!)</f>
        <v>#REF!</v>
      </c>
      <c r="C29" s="75" t="e">
        <f aca="false">#REF!</f>
        <v>#REF!</v>
      </c>
      <c r="D29" s="75" t="e">
        <f aca="false">#REF!</f>
        <v>#REF!</v>
      </c>
      <c r="E29" s="75" t="e">
        <f aca="false">#REF!</f>
        <v>#REF!</v>
      </c>
      <c r="F29" s="75" t="e">
        <f aca="false">#REF!</f>
        <v>#REF!</v>
      </c>
    </row>
    <row r="30" customFormat="false" ht="12.8" hidden="false" customHeight="false" outlineLevel="0" collapsed="false">
      <c r="A30" s="50" t="e">
        <f aca="false">_xlfn.CONCAT($A$1, ".", #REF!)</f>
        <v>#REF!</v>
      </c>
      <c r="B30" s="68" t="e">
        <f aca="false">_xlfn.CONCAT(#REF!, ":", #REF!)</f>
        <v>#REF!</v>
      </c>
      <c r="C30" s="75" t="e">
        <f aca="false">#REF!</f>
        <v>#REF!</v>
      </c>
      <c r="D30" s="75" t="e">
        <f aca="false">#REF!</f>
        <v>#REF!</v>
      </c>
      <c r="E30" s="75" t="e">
        <f aca="false">#REF!</f>
        <v>#REF!</v>
      </c>
      <c r="F30" s="75" t="e">
        <f aca="false">#REF!</f>
        <v>#REF!</v>
      </c>
    </row>
    <row r="31" customFormat="false" ht="12.8" hidden="false" customHeight="false" outlineLevel="0" collapsed="false">
      <c r="A31" s="50" t="e">
        <f aca="false">_xlfn.CONCAT($A$1, ".", #REF!)</f>
        <v>#REF!</v>
      </c>
      <c r="B31" s="68" t="e">
        <f aca="false">_xlfn.CONCAT(#REF!, ":", #REF!)</f>
        <v>#REF!</v>
      </c>
      <c r="C31" s="75" t="e">
        <f aca="false">#REF!</f>
        <v>#REF!</v>
      </c>
      <c r="D31" s="75" t="e">
        <f aca="false">#REF!</f>
        <v>#REF!</v>
      </c>
      <c r="E31" s="75" t="e">
        <f aca="false">#REF!</f>
        <v>#REF!</v>
      </c>
      <c r="F31" s="75" t="e">
        <f aca="false">#REF!</f>
        <v>#REF!</v>
      </c>
    </row>
    <row r="32" customFormat="false" ht="12.8" hidden="false" customHeight="false" outlineLevel="0" collapsed="false">
      <c r="A32" s="50" t="e">
        <f aca="false">_xlfn.CONCAT($A$1, ".", #REF!)</f>
        <v>#REF!</v>
      </c>
      <c r="B32" s="68" t="e">
        <f aca="false">_xlfn.CONCAT(#REF!, ":", #REF!)</f>
        <v>#REF!</v>
      </c>
      <c r="C32" s="75" t="e">
        <f aca="false">#REF!</f>
        <v>#REF!</v>
      </c>
      <c r="D32" s="75" t="e">
        <f aca="false">#REF!</f>
        <v>#REF!</v>
      </c>
      <c r="E32" s="75" t="e">
        <f aca="false">#REF!</f>
        <v>#REF!</v>
      </c>
      <c r="F32" s="75" t="e">
        <f aca="false">#REF!</f>
        <v>#REF!</v>
      </c>
    </row>
    <row r="33" customFormat="false" ht="12.8" hidden="false" customHeight="false" outlineLevel="0" collapsed="false">
      <c r="A33" s="50" t="e">
        <f aca="false">_xlfn.CONCAT($A$1, ".", #REF!)</f>
        <v>#REF!</v>
      </c>
      <c r="B33" s="68" t="e">
        <f aca="false">_xlfn.CONCAT(#REF!, ":", #REF!)</f>
        <v>#REF!</v>
      </c>
      <c r="C33" s="75" t="e">
        <f aca="false">#REF!</f>
        <v>#REF!</v>
      </c>
      <c r="D33" s="75" t="e">
        <f aca="false">#REF!</f>
        <v>#REF!</v>
      </c>
      <c r="E33" s="75" t="e">
        <f aca="false">#REF!</f>
        <v>#REF!</v>
      </c>
      <c r="F33" s="75" t="e">
        <f aca="false">#REF!</f>
        <v>#REF!</v>
      </c>
    </row>
    <row r="34" customFormat="false" ht="12.8" hidden="false" customHeight="false" outlineLevel="0" collapsed="false">
      <c r="A34" s="50" t="e">
        <f aca="false">_xlfn.CONCAT($A$1, ".", #REF!)</f>
        <v>#REF!</v>
      </c>
      <c r="B34" s="68" t="e">
        <f aca="false">_xlfn.CONCAT(#REF!, ":", #REF!)</f>
        <v>#REF!</v>
      </c>
      <c r="C34" s="75" t="e">
        <f aca="false">#REF!</f>
        <v>#REF!</v>
      </c>
      <c r="D34" s="75" t="e">
        <f aca="false">#REF!</f>
        <v>#REF!</v>
      </c>
      <c r="E34" s="75" t="e">
        <f aca="false">#REF!</f>
        <v>#REF!</v>
      </c>
      <c r="F34" s="75" t="e">
        <f aca="false">#REF!</f>
        <v>#REF!</v>
      </c>
    </row>
    <row r="35" customFormat="false" ht="12.8" hidden="false" customHeight="false" outlineLevel="0" collapsed="false">
      <c r="A35" s="50" t="e">
        <f aca="false">_xlfn.CONCAT($A$1, ".", #REF!)</f>
        <v>#REF!</v>
      </c>
      <c r="B35" s="68" t="e">
        <f aca="false">_xlfn.CONCAT(#REF!, ":", #REF!)</f>
        <v>#REF!</v>
      </c>
      <c r="C35" s="75" t="e">
        <f aca="false">#REF!</f>
        <v>#REF!</v>
      </c>
      <c r="D35" s="75" t="e">
        <f aca="false">#REF!</f>
        <v>#REF!</v>
      </c>
      <c r="E35" s="75" t="e">
        <f aca="false">#REF!</f>
        <v>#REF!</v>
      </c>
      <c r="F35" s="75" t="e">
        <f aca="false">#REF!</f>
        <v>#REF!</v>
      </c>
    </row>
    <row r="36" customFormat="false" ht="12.8" hidden="false" customHeight="false" outlineLevel="0" collapsed="false">
      <c r="A36" s="50" t="e">
        <f aca="false">_xlfn.CONCAT($A$1, ".", #REF!)</f>
        <v>#REF!</v>
      </c>
      <c r="B36" s="68" t="e">
        <f aca="false">_xlfn.CONCAT(#REF!, ":", #REF!)</f>
        <v>#REF!</v>
      </c>
      <c r="C36" s="75" t="e">
        <f aca="false">#REF!</f>
        <v>#REF!</v>
      </c>
      <c r="D36" s="75" t="e">
        <f aca="false">#REF!</f>
        <v>#REF!</v>
      </c>
      <c r="E36" s="75" t="e">
        <f aca="false">#REF!</f>
        <v>#REF!</v>
      </c>
      <c r="F36" s="75" t="e">
        <f aca="false">#REF!</f>
        <v>#REF!</v>
      </c>
    </row>
    <row r="37" customFormat="false" ht="12.8" hidden="false" customHeight="false" outlineLevel="0" collapsed="false">
      <c r="A37" s="50" t="e">
        <f aca="false">_xlfn.CONCAT($A$1, ".", #REF!)</f>
        <v>#REF!</v>
      </c>
      <c r="B37" s="68" t="e">
        <f aca="false">_xlfn.CONCAT(#REF!, ":", #REF!)</f>
        <v>#REF!</v>
      </c>
      <c r="C37" s="75" t="e">
        <f aca="false">#REF!</f>
        <v>#REF!</v>
      </c>
      <c r="D37" s="75" t="e">
        <f aca="false">#REF!</f>
        <v>#REF!</v>
      </c>
      <c r="E37" s="75" t="e">
        <f aca="false">#REF!</f>
        <v>#REF!</v>
      </c>
      <c r="F37" s="75" t="e">
        <f aca="false">#REF!</f>
        <v>#REF!</v>
      </c>
    </row>
    <row r="38" customFormat="false" ht="12.8" hidden="false" customHeight="false" outlineLevel="0" collapsed="false">
      <c r="A38" s="50" t="e">
        <f aca="false">_xlfn.CONCAT($A$1, ".", #REF!)</f>
        <v>#REF!</v>
      </c>
      <c r="B38" s="68" t="e">
        <f aca="false">_xlfn.CONCAT(#REF!, ":", #REF!)</f>
        <v>#REF!</v>
      </c>
      <c r="C38" s="75" t="e">
        <f aca="false">#REF!</f>
        <v>#REF!</v>
      </c>
      <c r="D38" s="75" t="e">
        <f aca="false">#REF!</f>
        <v>#REF!</v>
      </c>
      <c r="E38" s="75" t="e">
        <f aca="false">#REF!</f>
        <v>#REF!</v>
      </c>
      <c r="F38" s="75" t="e">
        <f aca="false">#REF!</f>
        <v>#REF!</v>
      </c>
    </row>
    <row r="39" customFormat="false" ht="12.8" hidden="false" customHeight="false" outlineLevel="0" collapsed="false">
      <c r="A39" s="50" t="e">
        <f aca="false">_xlfn.CONCAT($A$1, ".", #REF!)</f>
        <v>#REF!</v>
      </c>
      <c r="B39" s="68" t="e">
        <f aca="false">_xlfn.CONCAT(#REF!, ":", #REF!)</f>
        <v>#REF!</v>
      </c>
      <c r="C39" s="75" t="e">
        <f aca="false">#REF!</f>
        <v>#REF!</v>
      </c>
      <c r="D39" s="75" t="e">
        <f aca="false">#REF!</f>
        <v>#REF!</v>
      </c>
      <c r="E39" s="75" t="e">
        <f aca="false">#REF!</f>
        <v>#REF!</v>
      </c>
      <c r="F39" s="75" t="e">
        <f aca="false">#REF!</f>
        <v>#REF!</v>
      </c>
    </row>
    <row r="40" customFormat="false" ht="12.8" hidden="false" customHeight="false" outlineLevel="0" collapsed="false">
      <c r="A40" s="50" t="e">
        <f aca="false">_xlfn.CONCAT($A$1, ".", #REF!)</f>
        <v>#REF!</v>
      </c>
      <c r="B40" s="68" t="e">
        <f aca="false">_xlfn.CONCAT(#REF!, ":", #REF!)</f>
        <v>#REF!</v>
      </c>
      <c r="C40" s="75" t="e">
        <f aca="false">#REF!</f>
        <v>#REF!</v>
      </c>
      <c r="D40" s="75" t="e">
        <f aca="false">#REF!</f>
        <v>#REF!</v>
      </c>
      <c r="E40" s="75" t="e">
        <f aca="false">#REF!</f>
        <v>#REF!</v>
      </c>
      <c r="F40" s="75" t="e">
        <f aca="false">#REF!</f>
        <v>#REF!</v>
      </c>
    </row>
    <row r="41" customFormat="false" ht="12.8" hidden="false" customHeight="false" outlineLevel="0" collapsed="false">
      <c r="A41" s="50" t="e">
        <f aca="false">_xlfn.CONCAT($A$1, ".", #REF!)</f>
        <v>#REF!</v>
      </c>
      <c r="B41" s="68" t="e">
        <f aca="false">_xlfn.CONCAT(#REF!, ":", #REF!)</f>
        <v>#REF!</v>
      </c>
      <c r="C41" s="75" t="e">
        <f aca="false">#REF!</f>
        <v>#REF!</v>
      </c>
      <c r="D41" s="75" t="e">
        <f aca="false">#REF!</f>
        <v>#REF!</v>
      </c>
      <c r="E41" s="75" t="e">
        <f aca="false">#REF!</f>
        <v>#REF!</v>
      </c>
      <c r="F41" s="75" t="e">
        <f aca="false">#REF!</f>
        <v>#REF!</v>
      </c>
    </row>
    <row r="42" customFormat="false" ht="12.8" hidden="false" customHeight="false" outlineLevel="0" collapsed="false">
      <c r="A42" s="50" t="e">
        <f aca="false">_xlfn.CONCAT($A$1, ".", #REF!)</f>
        <v>#REF!</v>
      </c>
      <c r="B42" s="68" t="e">
        <f aca="false">_xlfn.CONCAT(#REF!, ":", #REF!)</f>
        <v>#REF!</v>
      </c>
      <c r="C42" s="75" t="e">
        <f aca="false">#REF!</f>
        <v>#REF!</v>
      </c>
      <c r="D42" s="75" t="e">
        <f aca="false">#REF!</f>
        <v>#REF!</v>
      </c>
      <c r="E42" s="75" t="e">
        <f aca="false">#REF!</f>
        <v>#REF!</v>
      </c>
      <c r="F42" s="75" t="e">
        <f aca="false">#REF!</f>
        <v>#REF!</v>
      </c>
    </row>
    <row r="43" customFormat="false" ht="12.8" hidden="false" customHeight="false" outlineLevel="0" collapsed="false">
      <c r="A43" s="50" t="e">
        <f aca="false">_xlfn.CONCAT($A$1, ".", #REF!)</f>
        <v>#REF!</v>
      </c>
      <c r="B43" s="68" t="e">
        <f aca="false">_xlfn.CONCAT(#REF!, ":", #REF!)</f>
        <v>#REF!</v>
      </c>
      <c r="C43" s="75" t="e">
        <f aca="false">#REF!</f>
        <v>#REF!</v>
      </c>
      <c r="D43" s="75" t="e">
        <f aca="false">#REF!</f>
        <v>#REF!</v>
      </c>
      <c r="E43" s="75" t="e">
        <f aca="false">#REF!</f>
        <v>#REF!</v>
      </c>
      <c r="F43" s="75" t="e">
        <f aca="false">#REF!</f>
        <v>#REF!</v>
      </c>
    </row>
    <row r="44" customFormat="false" ht="12.8" hidden="false" customHeight="false" outlineLevel="0" collapsed="false">
      <c r="A44" s="50" t="e">
        <f aca="false">_xlfn.CONCAT($A$1, ".", #REF!)</f>
        <v>#REF!</v>
      </c>
      <c r="B44" s="68" t="e">
        <f aca="false">_xlfn.CONCAT(#REF!, ":", #REF!)</f>
        <v>#REF!</v>
      </c>
      <c r="C44" s="75" t="e">
        <f aca="false">#REF!</f>
        <v>#REF!</v>
      </c>
      <c r="D44" s="75" t="e">
        <f aca="false">#REF!</f>
        <v>#REF!</v>
      </c>
      <c r="E44" s="75" t="e">
        <f aca="false">#REF!</f>
        <v>#REF!</v>
      </c>
      <c r="F44" s="75" t="e">
        <f aca="false">#REF!</f>
        <v>#REF!</v>
      </c>
    </row>
    <row r="45" customFormat="false" ht="12.8" hidden="false" customHeight="false" outlineLevel="0" collapsed="false">
      <c r="A45" s="50" t="e">
        <f aca="false">_xlfn.CONCAT($A$1, ".", #REF!)</f>
        <v>#REF!</v>
      </c>
      <c r="B45" s="68" t="e">
        <f aca="false">_xlfn.CONCAT(#REF!, ":", #REF!)</f>
        <v>#REF!</v>
      </c>
      <c r="C45" s="75" t="e">
        <f aca="false">#REF!</f>
        <v>#REF!</v>
      </c>
      <c r="D45" s="75" t="e">
        <f aca="false">#REF!</f>
        <v>#REF!</v>
      </c>
      <c r="E45" s="75" t="e">
        <f aca="false">#REF!</f>
        <v>#REF!</v>
      </c>
      <c r="F45" s="75" t="e">
        <f aca="false">#REF!</f>
        <v>#REF!</v>
      </c>
    </row>
    <row r="46" customFormat="false" ht="12.8" hidden="false" customHeight="false" outlineLevel="0" collapsed="false">
      <c r="A46" s="50" t="e">
        <f aca="false">_xlfn.CONCAT($A$1, ".", #REF!)</f>
        <v>#REF!</v>
      </c>
      <c r="B46" s="68" t="e">
        <f aca="false">_xlfn.CONCAT(#REF!, ":", #REF!)</f>
        <v>#REF!</v>
      </c>
      <c r="C46" s="75" t="e">
        <f aca="false">#REF!</f>
        <v>#REF!</v>
      </c>
      <c r="D46" s="75" t="e">
        <f aca="false">#REF!</f>
        <v>#REF!</v>
      </c>
      <c r="E46" s="75" t="e">
        <f aca="false">#REF!</f>
        <v>#REF!</v>
      </c>
      <c r="F46" s="75" t="e">
        <f aca="false">#REF!</f>
        <v>#REF!</v>
      </c>
    </row>
    <row r="47" customFormat="false" ht="12.8" hidden="false" customHeight="false" outlineLevel="0" collapsed="false">
      <c r="A47" s="50" t="e">
        <f aca="false">_xlfn.CONCAT($A$1, ".", #REF!)</f>
        <v>#REF!</v>
      </c>
      <c r="B47" s="68" t="e">
        <f aca="false">_xlfn.CONCAT(#REF!, ":", #REF!)</f>
        <v>#REF!</v>
      </c>
      <c r="C47" s="75" t="e">
        <f aca="false">#REF!</f>
        <v>#REF!</v>
      </c>
      <c r="D47" s="75" t="e">
        <f aca="false">#REF!</f>
        <v>#REF!</v>
      </c>
      <c r="E47" s="75" t="e">
        <f aca="false">#REF!</f>
        <v>#REF!</v>
      </c>
      <c r="F47" s="75" t="e">
        <f aca="false">#REF!</f>
        <v>#REF!</v>
      </c>
    </row>
    <row r="48" customFormat="false" ht="12.8" hidden="false" customHeight="false" outlineLevel="0" collapsed="false">
      <c r="A48" s="50" t="e">
        <f aca="false">_xlfn.CONCAT($A$1, ".", #REF!)</f>
        <v>#REF!</v>
      </c>
      <c r="B48" s="68" t="e">
        <f aca="false">_xlfn.CONCAT(#REF!, ":", #REF!)</f>
        <v>#REF!</v>
      </c>
      <c r="C48" s="75" t="e">
        <f aca="false">#REF!</f>
        <v>#REF!</v>
      </c>
      <c r="D48" s="75" t="e">
        <f aca="false">#REF!</f>
        <v>#REF!</v>
      </c>
      <c r="E48" s="75" t="e">
        <f aca="false">#REF!</f>
        <v>#REF!</v>
      </c>
      <c r="F48" s="75" t="e">
        <f aca="false">#REF!</f>
        <v>#REF!</v>
      </c>
    </row>
    <row r="49" customFormat="false" ht="12.8" hidden="false" customHeight="false" outlineLevel="0" collapsed="false">
      <c r="A49" s="50" t="e">
        <f aca="false">_xlfn.CONCAT($A$1, ".", #REF!)</f>
        <v>#REF!</v>
      </c>
      <c r="B49" s="68" t="e">
        <f aca="false">_xlfn.CONCAT(#REF!, ":", #REF!)</f>
        <v>#REF!</v>
      </c>
      <c r="C49" s="75" t="e">
        <f aca="false">#REF!</f>
        <v>#REF!</v>
      </c>
      <c r="D49" s="75" t="e">
        <f aca="false">#REF!</f>
        <v>#REF!</v>
      </c>
      <c r="E49" s="75" t="e">
        <f aca="false">#REF!</f>
        <v>#REF!</v>
      </c>
      <c r="F49" s="75" t="e">
        <f aca="false">#REF!</f>
        <v>#REF!</v>
      </c>
    </row>
    <row r="50" customFormat="false" ht="12.8" hidden="false" customHeight="false" outlineLevel="0" collapsed="false">
      <c r="A50" s="50" t="e">
        <f aca="false">_xlfn.CONCAT($A$1, ".", #REF!)</f>
        <v>#REF!</v>
      </c>
      <c r="B50" s="68" t="e">
        <f aca="false">_xlfn.CONCAT(#REF!, ":", #REF!)</f>
        <v>#REF!</v>
      </c>
      <c r="C50" s="75" t="e">
        <f aca="false">#REF!</f>
        <v>#REF!</v>
      </c>
      <c r="D50" s="75" t="e">
        <f aca="false">#REF!</f>
        <v>#REF!</v>
      </c>
      <c r="E50" s="75" t="e">
        <f aca="false">#REF!</f>
        <v>#REF!</v>
      </c>
      <c r="F50" s="75" t="e">
        <f aca="false">#REF!</f>
        <v>#REF!</v>
      </c>
    </row>
    <row r="51" customFormat="false" ht="12.8" hidden="false" customHeight="false" outlineLevel="0" collapsed="false">
      <c r="A51" s="50" t="e">
        <f aca="false">_xlfn.CONCAT($A$1, ".", #REF!)</f>
        <v>#REF!</v>
      </c>
      <c r="B51" s="68" t="e">
        <f aca="false">_xlfn.CONCAT(#REF!, ":", #REF!)</f>
        <v>#REF!</v>
      </c>
      <c r="C51" s="75" t="e">
        <f aca="false">#REF!</f>
        <v>#REF!</v>
      </c>
      <c r="D51" s="75" t="e">
        <f aca="false">#REF!</f>
        <v>#REF!</v>
      </c>
      <c r="E51" s="75" t="e">
        <f aca="false">#REF!</f>
        <v>#REF!</v>
      </c>
      <c r="F51" s="75" t="e">
        <f aca="false">#REF!</f>
        <v>#REF!</v>
      </c>
    </row>
    <row r="52" customFormat="false" ht="12.8" hidden="false" customHeight="false" outlineLevel="0" collapsed="false">
      <c r="A52" s="50" t="e">
        <f aca="false">_xlfn.CONCAT($A$1, ".", #REF!)</f>
        <v>#REF!</v>
      </c>
      <c r="B52" s="68" t="e">
        <f aca="false">_xlfn.CONCAT(#REF!, ":", #REF!)</f>
        <v>#REF!</v>
      </c>
      <c r="C52" s="75" t="e">
        <f aca="false">#REF!</f>
        <v>#REF!</v>
      </c>
      <c r="D52" s="75" t="e">
        <f aca="false">#REF!</f>
        <v>#REF!</v>
      </c>
      <c r="E52" s="75" t="e">
        <f aca="false">#REF!</f>
        <v>#REF!</v>
      </c>
      <c r="F52" s="75" t="e">
        <f aca="false">#REF!</f>
        <v>#REF!</v>
      </c>
    </row>
    <row r="53" customFormat="false" ht="12.8" hidden="false" customHeight="false" outlineLevel="0" collapsed="false">
      <c r="A53" s="50" t="e">
        <f aca="false">_xlfn.CONCAT($A$1, ".", #REF!)</f>
        <v>#REF!</v>
      </c>
      <c r="B53" s="68" t="e">
        <f aca="false">_xlfn.CONCAT(#REF!, ":", #REF!)</f>
        <v>#REF!</v>
      </c>
      <c r="C53" s="75" t="e">
        <f aca="false">#REF!</f>
        <v>#REF!</v>
      </c>
      <c r="D53" s="75" t="e">
        <f aca="false">#REF!</f>
        <v>#REF!</v>
      </c>
      <c r="E53" s="75" t="e">
        <f aca="false">#REF!</f>
        <v>#REF!</v>
      </c>
      <c r="F53" s="75" t="e">
        <f aca="false">#REF!</f>
        <v>#REF!</v>
      </c>
    </row>
    <row r="54" customFormat="false" ht="12.8" hidden="false" customHeight="false" outlineLevel="0" collapsed="false">
      <c r="A54" s="50" t="e">
        <f aca="false">_xlfn.CONCAT($A$1, ".", #REF!)</f>
        <v>#REF!</v>
      </c>
      <c r="B54" s="68" t="e">
        <f aca="false">_xlfn.CONCAT(#REF!, ":", #REF!)</f>
        <v>#REF!</v>
      </c>
      <c r="C54" s="75" t="e">
        <f aca="false">#REF!</f>
        <v>#REF!</v>
      </c>
      <c r="D54" s="75" t="e">
        <f aca="false">#REF!</f>
        <v>#REF!</v>
      </c>
      <c r="E54" s="75" t="e">
        <f aca="false">#REF!</f>
        <v>#REF!</v>
      </c>
      <c r="F54" s="75" t="e">
        <f aca="false">#REF!</f>
        <v>#REF!</v>
      </c>
    </row>
    <row r="55" customFormat="false" ht="12.8" hidden="false" customHeight="false" outlineLevel="0" collapsed="false">
      <c r="A55" s="50" t="e">
        <f aca="false">_xlfn.CONCAT($A$1, ".", #REF!)</f>
        <v>#REF!</v>
      </c>
      <c r="B55" s="68" t="e">
        <f aca="false">_xlfn.CONCAT(#REF!, ":", #REF!)</f>
        <v>#REF!</v>
      </c>
      <c r="C55" s="75" t="e">
        <f aca="false">#REF!</f>
        <v>#REF!</v>
      </c>
      <c r="D55" s="75" t="e">
        <f aca="false">#REF!</f>
        <v>#REF!</v>
      </c>
      <c r="E55" s="75" t="e">
        <f aca="false">#REF!</f>
        <v>#REF!</v>
      </c>
      <c r="F55" s="75" t="e">
        <f aca="false">#REF!</f>
        <v>#REF!</v>
      </c>
    </row>
    <row r="57" customFormat="false" ht="12.8" hidden="false" customHeight="false" outlineLevel="0" collapsed="false">
      <c r="B57" s="3"/>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247"/>
  <sheetViews>
    <sheetView showFormulas="false" showGridLines="true" showRowColHeaders="true" showZeros="true" rightToLeft="false" tabSelected="false" showOutlineSymbols="true" defaultGridColor="true" view="normal" topLeftCell="A109" colorId="64" zoomScale="75" zoomScaleNormal="75" zoomScalePageLayoutView="100" workbookViewId="0">
      <selection pane="topLeft" activeCell="A152" activeCellId="1" sqref="D3:E3 A152"/>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996</v>
      </c>
      <c r="B1" s="52" t="s">
        <v>997</v>
      </c>
      <c r="C1" s="6" t="s">
        <v>2</v>
      </c>
      <c r="D1" s="60" t="s">
        <v>998</v>
      </c>
      <c r="AZ1" s="39"/>
      <c r="BP1" s="39"/>
    </row>
    <row r="2" customFormat="false" ht="46.25" hidden="false" customHeight="false" outlineLevel="0" collapsed="false">
      <c r="A2" s="64" t="s">
        <v>792</v>
      </c>
      <c r="B2" s="52" t="s">
        <v>793</v>
      </c>
      <c r="C2" s="74" t="str">
        <f aca="false">CALC!AV3</f>
        <v>Federal Personal Income Tax Revenue ($)</v>
      </c>
      <c r="D2" s="74" t="str">
        <f aca="false">CALC!AW3</f>
        <v>Authorized Immigrant Federal Personal Income Tax Revenue ($)</v>
      </c>
      <c r="E2" s="74" t="str">
        <f aca="false">CALC!AX3</f>
        <v>Unauthorized Immigrant Federal Personal Income Tax Revenue ($)</v>
      </c>
      <c r="F2" s="74" t="str">
        <f aca="false">CALC!AY3</f>
        <v>American Federal Personal Income Tax Revenue ($)</v>
      </c>
    </row>
    <row r="3" customFormat="false" ht="12.8" hidden="false" customHeight="false" outlineLevel="0" collapsed="false">
      <c r="A3" s="4" t="e">
        <f aca="false">_xlfn.CONCAT($A$1, ".", #REF!)</f>
        <v>#REF!</v>
      </c>
      <c r="B3" s="49" t="e">
        <f aca="false">_xlfn.CONCAT(#REF!, ":", #REF!)</f>
        <v>#REF!</v>
      </c>
      <c r="C3" s="74" t="e">
        <f aca="false">#REF!</f>
        <v>#REF!</v>
      </c>
      <c r="D3" s="74" t="e">
        <f aca="false">#REF!</f>
        <v>#REF!</v>
      </c>
      <c r="E3" s="74" t="e">
        <f aca="false">#REF!</f>
        <v>#REF!</v>
      </c>
      <c r="F3" s="74" t="e">
        <f aca="false">#REF!</f>
        <v>#REF!</v>
      </c>
    </row>
    <row r="4" customFormat="false" ht="12.8" hidden="false" customHeight="false" outlineLevel="0" collapsed="false">
      <c r="A4" s="50" t="e">
        <f aca="false">_xlfn.CONCAT($A$1, ".", #REF!)</f>
        <v>#REF!</v>
      </c>
      <c r="B4" s="68" t="e">
        <f aca="false">_xlfn.CONCAT(#REF!, ":", #REF!)</f>
        <v>#REF!</v>
      </c>
      <c r="C4" s="75" t="e">
        <f aca="false">#REF!</f>
        <v>#REF!</v>
      </c>
      <c r="D4" s="75" t="e">
        <f aca="false">#REF!</f>
        <v>#REF!</v>
      </c>
      <c r="E4" s="75" t="e">
        <f aca="false">#REF!</f>
        <v>#REF!</v>
      </c>
      <c r="F4" s="75" t="e">
        <f aca="false">#REF!</f>
        <v>#REF!</v>
      </c>
    </row>
    <row r="5" customFormat="false" ht="12.8" hidden="false" customHeight="false" outlineLevel="0" collapsed="false">
      <c r="A5" s="50" t="e">
        <f aca="false">_xlfn.CONCAT($A$1, ".", #REF!)</f>
        <v>#REF!</v>
      </c>
      <c r="B5" s="68" t="e">
        <f aca="false">_xlfn.CONCAT(#REF!, ":", #REF!)</f>
        <v>#REF!</v>
      </c>
      <c r="C5" s="75" t="e">
        <f aca="false">#REF!</f>
        <v>#REF!</v>
      </c>
      <c r="D5" s="75" t="e">
        <f aca="false">#REF!</f>
        <v>#REF!</v>
      </c>
      <c r="E5" s="75" t="e">
        <f aca="false">#REF!</f>
        <v>#REF!</v>
      </c>
      <c r="F5" s="75" t="e">
        <f aca="false">#REF!</f>
        <v>#REF!</v>
      </c>
    </row>
    <row r="6" customFormat="false" ht="12.8" hidden="false" customHeight="false" outlineLevel="0" collapsed="false">
      <c r="A6" s="50" t="e">
        <f aca="false">_xlfn.CONCAT($A$1, ".", #REF!)</f>
        <v>#REF!</v>
      </c>
      <c r="B6" s="68" t="e">
        <f aca="false">_xlfn.CONCAT(#REF!, ":", #REF!)</f>
        <v>#REF!</v>
      </c>
      <c r="C6" s="75" t="e">
        <f aca="false">#REF!</f>
        <v>#REF!</v>
      </c>
      <c r="D6" s="75" t="e">
        <f aca="false">#REF!</f>
        <v>#REF!</v>
      </c>
      <c r="E6" s="75" t="e">
        <f aca="false">#REF!</f>
        <v>#REF!</v>
      </c>
      <c r="F6" s="75" t="e">
        <f aca="false">#REF!</f>
        <v>#REF!</v>
      </c>
    </row>
    <row r="7" customFormat="false" ht="12.8" hidden="false" customHeight="false" outlineLevel="0" collapsed="false">
      <c r="A7" s="50" t="e">
        <f aca="false">_xlfn.CONCAT($A$1, ".", #REF!)</f>
        <v>#REF!</v>
      </c>
      <c r="B7" s="68" t="e">
        <f aca="false">_xlfn.CONCAT(#REF!, ":", #REF!)</f>
        <v>#REF!</v>
      </c>
      <c r="C7" s="75" t="e">
        <f aca="false">#REF!</f>
        <v>#REF!</v>
      </c>
      <c r="D7" s="75" t="e">
        <f aca="false">#REF!</f>
        <v>#REF!</v>
      </c>
      <c r="E7" s="75" t="e">
        <f aca="false">#REF!</f>
        <v>#REF!</v>
      </c>
      <c r="F7" s="75" t="e">
        <f aca="false">#REF!</f>
        <v>#REF!</v>
      </c>
    </row>
    <row r="8" customFormat="false" ht="12.8" hidden="false" customHeight="false" outlineLevel="0" collapsed="false">
      <c r="A8" s="50" t="e">
        <f aca="false">_xlfn.CONCAT($A$1, ".", #REF!)</f>
        <v>#REF!</v>
      </c>
      <c r="B8" s="68" t="e">
        <f aca="false">_xlfn.CONCAT(#REF!, ":", #REF!)</f>
        <v>#REF!</v>
      </c>
      <c r="C8" s="75" t="e">
        <f aca="false">#REF!</f>
        <v>#REF!</v>
      </c>
      <c r="D8" s="75" t="e">
        <f aca="false">#REF!</f>
        <v>#REF!</v>
      </c>
      <c r="E8" s="75" t="e">
        <f aca="false">#REF!</f>
        <v>#REF!</v>
      </c>
      <c r="F8" s="75" t="e">
        <f aca="false">#REF!</f>
        <v>#REF!</v>
      </c>
    </row>
    <row r="9" customFormat="false" ht="12.8" hidden="false" customHeight="false" outlineLevel="0" collapsed="false">
      <c r="A9" s="50" t="e">
        <f aca="false">_xlfn.CONCAT($A$1, ".", #REF!)</f>
        <v>#REF!</v>
      </c>
      <c r="B9" s="68" t="e">
        <f aca="false">_xlfn.CONCAT(#REF!, ":", #REF!)</f>
        <v>#REF!</v>
      </c>
      <c r="C9" s="75" t="e">
        <f aca="false">#REF!</f>
        <v>#REF!</v>
      </c>
      <c r="D9" s="75" t="e">
        <f aca="false">#REF!</f>
        <v>#REF!</v>
      </c>
      <c r="E9" s="75" t="e">
        <f aca="false">#REF!</f>
        <v>#REF!</v>
      </c>
      <c r="F9" s="75" t="e">
        <f aca="false">#REF!</f>
        <v>#REF!</v>
      </c>
    </row>
    <row r="10" customFormat="false" ht="12.8" hidden="false" customHeight="false" outlineLevel="0" collapsed="false">
      <c r="A10" s="50" t="e">
        <f aca="false">_xlfn.CONCAT($A$1, ".", #REF!)</f>
        <v>#REF!</v>
      </c>
      <c r="B10" s="68" t="e">
        <f aca="false">_xlfn.CONCAT(#REF!, ":", #REF!)</f>
        <v>#REF!</v>
      </c>
      <c r="C10" s="75" t="e">
        <f aca="false">#REF!</f>
        <v>#REF!</v>
      </c>
      <c r="D10" s="75" t="e">
        <f aca="false">#REF!</f>
        <v>#REF!</v>
      </c>
      <c r="E10" s="75" t="e">
        <f aca="false">#REF!</f>
        <v>#REF!</v>
      </c>
      <c r="F10" s="75" t="e">
        <f aca="false">#REF!</f>
        <v>#REF!</v>
      </c>
    </row>
    <row r="11" customFormat="false" ht="12.8" hidden="false" customHeight="false" outlineLevel="0" collapsed="false">
      <c r="A11" s="50" t="e">
        <f aca="false">_xlfn.CONCAT($A$1, ".", #REF!)</f>
        <v>#REF!</v>
      </c>
      <c r="B11" s="68" t="e">
        <f aca="false">_xlfn.CONCAT(#REF!, ":", #REF!)</f>
        <v>#REF!</v>
      </c>
      <c r="C11" s="75" t="e">
        <f aca="false">#REF!</f>
        <v>#REF!</v>
      </c>
      <c r="D11" s="75" t="e">
        <f aca="false">#REF!</f>
        <v>#REF!</v>
      </c>
      <c r="E11" s="75" t="e">
        <f aca="false">#REF!</f>
        <v>#REF!</v>
      </c>
      <c r="F11" s="75" t="e">
        <f aca="false">#REF!</f>
        <v>#REF!</v>
      </c>
    </row>
    <row r="12" customFormat="false" ht="12.8" hidden="false" customHeight="false" outlineLevel="0" collapsed="false">
      <c r="A12" s="50" t="e">
        <f aca="false">_xlfn.CONCAT($A$1, ".", #REF!)</f>
        <v>#REF!</v>
      </c>
      <c r="B12" s="68" t="e">
        <f aca="false">_xlfn.CONCAT(#REF!, ":", #REF!)</f>
        <v>#REF!</v>
      </c>
      <c r="C12" s="75" t="e">
        <f aca="false">#REF!</f>
        <v>#REF!</v>
      </c>
      <c r="D12" s="75" t="e">
        <f aca="false">#REF!</f>
        <v>#REF!</v>
      </c>
      <c r="E12" s="75" t="e">
        <f aca="false">#REF!</f>
        <v>#REF!</v>
      </c>
      <c r="F12" s="75" t="e">
        <f aca="false">#REF!</f>
        <v>#REF!</v>
      </c>
    </row>
    <row r="13" customFormat="false" ht="12.8" hidden="false" customHeight="false" outlineLevel="0" collapsed="false">
      <c r="A13" s="50" t="e">
        <f aca="false">_xlfn.CONCAT($A$1, ".", #REF!)</f>
        <v>#REF!</v>
      </c>
      <c r="B13" s="68" t="e">
        <f aca="false">_xlfn.CONCAT(#REF!, ":", #REF!)</f>
        <v>#REF!</v>
      </c>
      <c r="C13" s="75" t="e">
        <f aca="false">#REF!</f>
        <v>#REF!</v>
      </c>
      <c r="D13" s="75" t="e">
        <f aca="false">#REF!</f>
        <v>#REF!</v>
      </c>
      <c r="E13" s="75" t="e">
        <f aca="false">#REF!</f>
        <v>#REF!</v>
      </c>
      <c r="F13" s="75" t="e">
        <f aca="false">#REF!</f>
        <v>#REF!</v>
      </c>
    </row>
    <row r="14" customFormat="false" ht="12.8" hidden="false" customHeight="false" outlineLevel="0" collapsed="false">
      <c r="A14" s="50" t="e">
        <f aca="false">_xlfn.CONCAT($A$1, ".", #REF!)</f>
        <v>#REF!</v>
      </c>
      <c r="B14" s="68" t="e">
        <f aca="false">_xlfn.CONCAT(#REF!, ":", #REF!)</f>
        <v>#REF!</v>
      </c>
      <c r="C14" s="75" t="e">
        <f aca="false">#REF!</f>
        <v>#REF!</v>
      </c>
      <c r="D14" s="75" t="e">
        <f aca="false">#REF!</f>
        <v>#REF!</v>
      </c>
      <c r="E14" s="75" t="e">
        <f aca="false">#REF!</f>
        <v>#REF!</v>
      </c>
      <c r="F14" s="75" t="e">
        <f aca="false">#REF!</f>
        <v>#REF!</v>
      </c>
    </row>
    <row r="15" customFormat="false" ht="12.8" hidden="false" customHeight="false" outlineLevel="0" collapsed="false">
      <c r="A15" s="50" t="e">
        <f aca="false">_xlfn.CONCAT($A$1, ".", #REF!)</f>
        <v>#REF!</v>
      </c>
      <c r="B15" s="68" t="e">
        <f aca="false">_xlfn.CONCAT(#REF!, ":", #REF!)</f>
        <v>#REF!</v>
      </c>
      <c r="C15" s="75" t="e">
        <f aca="false">#REF!</f>
        <v>#REF!</v>
      </c>
      <c r="D15" s="75" t="e">
        <f aca="false">#REF!</f>
        <v>#REF!</v>
      </c>
      <c r="E15" s="75" t="e">
        <f aca="false">#REF!</f>
        <v>#REF!</v>
      </c>
      <c r="F15" s="75" t="e">
        <f aca="false">#REF!</f>
        <v>#REF!</v>
      </c>
    </row>
    <row r="16" customFormat="false" ht="12.8" hidden="false" customHeight="false" outlineLevel="0" collapsed="false">
      <c r="A16" s="50" t="e">
        <f aca="false">_xlfn.CONCAT($A$1, ".", #REF!)</f>
        <v>#REF!</v>
      </c>
      <c r="B16" s="68" t="e">
        <f aca="false">_xlfn.CONCAT(#REF!, ":", #REF!)</f>
        <v>#REF!</v>
      </c>
      <c r="C16" s="75" t="e">
        <f aca="false">#REF!</f>
        <v>#REF!</v>
      </c>
      <c r="D16" s="75" t="e">
        <f aca="false">#REF!</f>
        <v>#REF!</v>
      </c>
      <c r="E16" s="75" t="e">
        <f aca="false">#REF!</f>
        <v>#REF!</v>
      </c>
      <c r="F16" s="75" t="e">
        <f aca="false">#REF!</f>
        <v>#REF!</v>
      </c>
    </row>
    <row r="17" customFormat="false" ht="12.8" hidden="false" customHeight="false" outlineLevel="0" collapsed="false">
      <c r="A17" s="50" t="e">
        <f aca="false">_xlfn.CONCAT($A$1, ".", #REF!)</f>
        <v>#REF!</v>
      </c>
      <c r="B17" s="68" t="e">
        <f aca="false">_xlfn.CONCAT(#REF!, ":", #REF!)</f>
        <v>#REF!</v>
      </c>
      <c r="C17" s="75" t="e">
        <f aca="false">#REF!</f>
        <v>#REF!</v>
      </c>
      <c r="D17" s="75" t="e">
        <f aca="false">#REF!</f>
        <v>#REF!</v>
      </c>
      <c r="E17" s="75" t="e">
        <f aca="false">#REF!</f>
        <v>#REF!</v>
      </c>
      <c r="F17" s="75" t="e">
        <f aca="false">#REF!</f>
        <v>#REF!</v>
      </c>
    </row>
    <row r="18" customFormat="false" ht="12.8" hidden="false" customHeight="false" outlineLevel="0" collapsed="false">
      <c r="A18" s="50" t="e">
        <f aca="false">_xlfn.CONCAT($A$1, ".", #REF!)</f>
        <v>#REF!</v>
      </c>
      <c r="B18" s="68" t="e">
        <f aca="false">_xlfn.CONCAT(#REF!, ":", #REF!)</f>
        <v>#REF!</v>
      </c>
      <c r="C18" s="75" t="e">
        <f aca="false">#REF!</f>
        <v>#REF!</v>
      </c>
      <c r="D18" s="75" t="e">
        <f aca="false">#REF!</f>
        <v>#REF!</v>
      </c>
      <c r="E18" s="75" t="e">
        <f aca="false">#REF!</f>
        <v>#REF!</v>
      </c>
      <c r="F18" s="75" t="e">
        <f aca="false">#REF!</f>
        <v>#REF!</v>
      </c>
    </row>
    <row r="19" customFormat="false" ht="12.8" hidden="false" customHeight="false" outlineLevel="0" collapsed="false">
      <c r="A19" s="50" t="e">
        <f aca="false">_xlfn.CONCAT($A$1, ".", #REF!)</f>
        <v>#REF!</v>
      </c>
      <c r="B19" s="68" t="e">
        <f aca="false">_xlfn.CONCAT(#REF!, ":", #REF!)</f>
        <v>#REF!</v>
      </c>
      <c r="C19" s="75" t="e">
        <f aca="false">#REF!</f>
        <v>#REF!</v>
      </c>
      <c r="D19" s="75" t="e">
        <f aca="false">#REF!</f>
        <v>#REF!</v>
      </c>
      <c r="E19" s="75" t="e">
        <f aca="false">#REF!</f>
        <v>#REF!</v>
      </c>
      <c r="F19" s="75" t="e">
        <f aca="false">#REF!</f>
        <v>#REF!</v>
      </c>
    </row>
    <row r="20" customFormat="false" ht="12.8" hidden="false" customHeight="false" outlineLevel="0" collapsed="false">
      <c r="A20" s="50" t="e">
        <f aca="false">_xlfn.CONCAT($A$1, ".", #REF!)</f>
        <v>#REF!</v>
      </c>
      <c r="B20" s="68" t="e">
        <f aca="false">_xlfn.CONCAT(#REF!, ":", #REF!)</f>
        <v>#REF!</v>
      </c>
      <c r="C20" s="75" t="e">
        <f aca="false">#REF!</f>
        <v>#REF!</v>
      </c>
      <c r="D20" s="75" t="e">
        <f aca="false">#REF!</f>
        <v>#REF!</v>
      </c>
      <c r="E20" s="75" t="e">
        <f aca="false">#REF!</f>
        <v>#REF!</v>
      </c>
      <c r="F20" s="75" t="e">
        <f aca="false">#REF!</f>
        <v>#REF!</v>
      </c>
    </row>
    <row r="21" customFormat="false" ht="12.8" hidden="false" customHeight="false" outlineLevel="0" collapsed="false">
      <c r="A21" s="50" t="e">
        <f aca="false">_xlfn.CONCAT($A$1, ".", #REF!)</f>
        <v>#REF!</v>
      </c>
      <c r="B21" s="68" t="e">
        <f aca="false">_xlfn.CONCAT(#REF!, ":", #REF!)</f>
        <v>#REF!</v>
      </c>
      <c r="C21" s="75" t="e">
        <f aca="false">#REF!</f>
        <v>#REF!</v>
      </c>
      <c r="D21" s="75" t="e">
        <f aca="false">#REF!</f>
        <v>#REF!</v>
      </c>
      <c r="E21" s="75" t="e">
        <f aca="false">#REF!</f>
        <v>#REF!</v>
      </c>
      <c r="F21" s="75" t="e">
        <f aca="false">#REF!</f>
        <v>#REF!</v>
      </c>
    </row>
    <row r="22" customFormat="false" ht="12.8" hidden="false" customHeight="false" outlineLevel="0" collapsed="false">
      <c r="A22" s="50" t="e">
        <f aca="false">_xlfn.CONCAT($A$1, ".", #REF!)</f>
        <v>#REF!</v>
      </c>
      <c r="B22" s="68" t="e">
        <f aca="false">_xlfn.CONCAT(#REF!, ":", #REF!)</f>
        <v>#REF!</v>
      </c>
      <c r="C22" s="75" t="e">
        <f aca="false">#REF!</f>
        <v>#REF!</v>
      </c>
      <c r="D22" s="75" t="e">
        <f aca="false">#REF!</f>
        <v>#REF!</v>
      </c>
      <c r="E22" s="75" t="e">
        <f aca="false">#REF!</f>
        <v>#REF!</v>
      </c>
      <c r="F22" s="75" t="e">
        <f aca="false">#REF!</f>
        <v>#REF!</v>
      </c>
    </row>
    <row r="23" customFormat="false" ht="12.8" hidden="false" customHeight="false" outlineLevel="0" collapsed="false">
      <c r="A23" s="50" t="e">
        <f aca="false">_xlfn.CONCAT($A$1, ".", #REF!)</f>
        <v>#REF!</v>
      </c>
      <c r="B23" s="68" t="e">
        <f aca="false">_xlfn.CONCAT(#REF!, ":", #REF!)</f>
        <v>#REF!</v>
      </c>
      <c r="C23" s="75" t="e">
        <f aca="false">#REF!</f>
        <v>#REF!</v>
      </c>
      <c r="D23" s="75" t="e">
        <f aca="false">#REF!</f>
        <v>#REF!</v>
      </c>
      <c r="E23" s="75" t="e">
        <f aca="false">#REF!</f>
        <v>#REF!</v>
      </c>
      <c r="F23" s="75" t="e">
        <f aca="false">#REF!</f>
        <v>#REF!</v>
      </c>
    </row>
    <row r="24" customFormat="false" ht="12.8" hidden="false" customHeight="false" outlineLevel="0" collapsed="false">
      <c r="A24" s="50" t="e">
        <f aca="false">_xlfn.CONCAT($A$1, ".", #REF!)</f>
        <v>#REF!</v>
      </c>
      <c r="B24" s="68" t="e">
        <f aca="false">_xlfn.CONCAT(#REF!, ":", #REF!)</f>
        <v>#REF!</v>
      </c>
      <c r="C24" s="75" t="e">
        <f aca="false">#REF!</f>
        <v>#REF!</v>
      </c>
      <c r="D24" s="75" t="e">
        <f aca="false">#REF!</f>
        <v>#REF!</v>
      </c>
      <c r="E24" s="75" t="e">
        <f aca="false">#REF!</f>
        <v>#REF!</v>
      </c>
      <c r="F24" s="75" t="e">
        <f aca="false">#REF!</f>
        <v>#REF!</v>
      </c>
    </row>
    <row r="25" customFormat="false" ht="12.8" hidden="false" customHeight="false" outlineLevel="0" collapsed="false">
      <c r="A25" s="50" t="e">
        <f aca="false">_xlfn.CONCAT($A$1, ".", #REF!)</f>
        <v>#REF!</v>
      </c>
      <c r="B25" s="68" t="e">
        <f aca="false">_xlfn.CONCAT(#REF!, ":", #REF!)</f>
        <v>#REF!</v>
      </c>
      <c r="C25" s="75" t="e">
        <f aca="false">#REF!</f>
        <v>#REF!</v>
      </c>
      <c r="D25" s="75" t="e">
        <f aca="false">#REF!</f>
        <v>#REF!</v>
      </c>
      <c r="E25" s="75" t="e">
        <f aca="false">#REF!</f>
        <v>#REF!</v>
      </c>
      <c r="F25" s="75" t="e">
        <f aca="false">#REF!</f>
        <v>#REF!</v>
      </c>
    </row>
    <row r="26" customFormat="false" ht="12.8" hidden="false" customHeight="false" outlineLevel="0" collapsed="false">
      <c r="A26" s="50" t="e">
        <f aca="false">_xlfn.CONCAT($A$1, ".", #REF!)</f>
        <v>#REF!</v>
      </c>
      <c r="B26" s="68" t="e">
        <f aca="false">_xlfn.CONCAT(#REF!, ":", #REF!)</f>
        <v>#REF!</v>
      </c>
      <c r="C26" s="75" t="e">
        <f aca="false">#REF!</f>
        <v>#REF!</v>
      </c>
      <c r="D26" s="75" t="e">
        <f aca="false">#REF!</f>
        <v>#REF!</v>
      </c>
      <c r="E26" s="75" t="e">
        <f aca="false">#REF!</f>
        <v>#REF!</v>
      </c>
      <c r="F26" s="75" t="e">
        <f aca="false">#REF!</f>
        <v>#REF!</v>
      </c>
    </row>
    <row r="27" customFormat="false" ht="12.8" hidden="false" customHeight="false" outlineLevel="0" collapsed="false">
      <c r="A27" s="50" t="e">
        <f aca="false">_xlfn.CONCAT($A$1, ".", #REF!)</f>
        <v>#REF!</v>
      </c>
      <c r="B27" s="68" t="e">
        <f aca="false">_xlfn.CONCAT(#REF!, ":", #REF!)</f>
        <v>#REF!</v>
      </c>
      <c r="C27" s="75" t="e">
        <f aca="false">#REF!</f>
        <v>#REF!</v>
      </c>
      <c r="D27" s="75" t="e">
        <f aca="false">#REF!</f>
        <v>#REF!</v>
      </c>
      <c r="E27" s="75" t="e">
        <f aca="false">#REF!</f>
        <v>#REF!</v>
      </c>
      <c r="F27" s="75" t="e">
        <f aca="false">#REF!</f>
        <v>#REF!</v>
      </c>
    </row>
    <row r="28" customFormat="false" ht="12.8" hidden="false" customHeight="false" outlineLevel="0" collapsed="false">
      <c r="A28" s="50" t="e">
        <f aca="false">_xlfn.CONCAT($A$1, ".", #REF!)</f>
        <v>#REF!</v>
      </c>
      <c r="B28" s="68" t="e">
        <f aca="false">_xlfn.CONCAT(#REF!, ":", #REF!)</f>
        <v>#REF!</v>
      </c>
      <c r="C28" s="75" t="e">
        <f aca="false">#REF!</f>
        <v>#REF!</v>
      </c>
      <c r="D28" s="75" t="e">
        <f aca="false">#REF!</f>
        <v>#REF!</v>
      </c>
      <c r="E28" s="75" t="e">
        <f aca="false">#REF!</f>
        <v>#REF!</v>
      </c>
      <c r="F28" s="75" t="e">
        <f aca="false">#REF!</f>
        <v>#REF!</v>
      </c>
    </row>
    <row r="29" customFormat="false" ht="12.8" hidden="false" customHeight="false" outlineLevel="0" collapsed="false">
      <c r="A29" s="50" t="e">
        <f aca="false">_xlfn.CONCAT($A$1, ".", #REF!)</f>
        <v>#REF!</v>
      </c>
      <c r="B29" s="68" t="e">
        <f aca="false">_xlfn.CONCAT(#REF!, ":", #REF!)</f>
        <v>#REF!</v>
      </c>
      <c r="C29" s="75" t="e">
        <f aca="false">#REF!</f>
        <v>#REF!</v>
      </c>
      <c r="D29" s="75" t="e">
        <f aca="false">#REF!</f>
        <v>#REF!</v>
      </c>
      <c r="E29" s="75" t="e">
        <f aca="false">#REF!</f>
        <v>#REF!</v>
      </c>
      <c r="F29" s="75" t="e">
        <f aca="false">#REF!</f>
        <v>#REF!</v>
      </c>
    </row>
    <row r="30" customFormat="false" ht="12.8" hidden="false" customHeight="false" outlineLevel="0" collapsed="false">
      <c r="A30" s="50" t="e">
        <f aca="false">_xlfn.CONCAT($A$1, ".", #REF!)</f>
        <v>#REF!</v>
      </c>
      <c r="B30" s="68" t="e">
        <f aca="false">_xlfn.CONCAT(#REF!, ":", #REF!)</f>
        <v>#REF!</v>
      </c>
      <c r="C30" s="75" t="e">
        <f aca="false">#REF!</f>
        <v>#REF!</v>
      </c>
      <c r="D30" s="75" t="e">
        <f aca="false">#REF!</f>
        <v>#REF!</v>
      </c>
      <c r="E30" s="75" t="e">
        <f aca="false">#REF!</f>
        <v>#REF!</v>
      </c>
      <c r="F30" s="75" t="e">
        <f aca="false">#REF!</f>
        <v>#REF!</v>
      </c>
    </row>
    <row r="31" customFormat="false" ht="12.8" hidden="false" customHeight="false" outlineLevel="0" collapsed="false">
      <c r="A31" s="50" t="e">
        <f aca="false">_xlfn.CONCAT($A$1, ".", #REF!)</f>
        <v>#REF!</v>
      </c>
      <c r="B31" s="68" t="e">
        <f aca="false">_xlfn.CONCAT(#REF!, ":", #REF!)</f>
        <v>#REF!</v>
      </c>
      <c r="C31" s="75" t="e">
        <f aca="false">#REF!</f>
        <v>#REF!</v>
      </c>
      <c r="D31" s="75" t="e">
        <f aca="false">#REF!</f>
        <v>#REF!</v>
      </c>
      <c r="E31" s="75" t="e">
        <f aca="false">#REF!</f>
        <v>#REF!</v>
      </c>
      <c r="F31" s="75" t="e">
        <f aca="false">#REF!</f>
        <v>#REF!</v>
      </c>
    </row>
    <row r="32" customFormat="false" ht="12.8" hidden="false" customHeight="false" outlineLevel="0" collapsed="false">
      <c r="A32" s="50" t="e">
        <f aca="false">_xlfn.CONCAT($A$1, ".", #REF!)</f>
        <v>#REF!</v>
      </c>
      <c r="B32" s="68" t="e">
        <f aca="false">_xlfn.CONCAT(#REF!, ":", #REF!)</f>
        <v>#REF!</v>
      </c>
      <c r="C32" s="75" t="e">
        <f aca="false">#REF!</f>
        <v>#REF!</v>
      </c>
      <c r="D32" s="75" t="e">
        <f aca="false">#REF!</f>
        <v>#REF!</v>
      </c>
      <c r="E32" s="75" t="e">
        <f aca="false">#REF!</f>
        <v>#REF!</v>
      </c>
      <c r="F32" s="75" t="e">
        <f aca="false">#REF!</f>
        <v>#REF!</v>
      </c>
    </row>
    <row r="33" customFormat="false" ht="12.8" hidden="false" customHeight="false" outlineLevel="0" collapsed="false">
      <c r="A33" s="50" t="e">
        <f aca="false">_xlfn.CONCAT($A$1, ".", #REF!)</f>
        <v>#REF!</v>
      </c>
      <c r="B33" s="68" t="e">
        <f aca="false">_xlfn.CONCAT(#REF!, ":", #REF!)</f>
        <v>#REF!</v>
      </c>
      <c r="C33" s="75" t="e">
        <f aca="false">#REF!</f>
        <v>#REF!</v>
      </c>
      <c r="D33" s="75" t="e">
        <f aca="false">#REF!</f>
        <v>#REF!</v>
      </c>
      <c r="E33" s="75" t="e">
        <f aca="false">#REF!</f>
        <v>#REF!</v>
      </c>
      <c r="F33" s="75" t="e">
        <f aca="false">#REF!</f>
        <v>#REF!</v>
      </c>
    </row>
    <row r="34" customFormat="false" ht="12.8" hidden="false" customHeight="false" outlineLevel="0" collapsed="false">
      <c r="A34" s="50" t="e">
        <f aca="false">_xlfn.CONCAT($A$1, ".", #REF!)</f>
        <v>#REF!</v>
      </c>
      <c r="B34" s="68" t="e">
        <f aca="false">_xlfn.CONCAT(#REF!, ":", #REF!)</f>
        <v>#REF!</v>
      </c>
      <c r="C34" s="75" t="e">
        <f aca="false">#REF!</f>
        <v>#REF!</v>
      </c>
      <c r="D34" s="75" t="e">
        <f aca="false">#REF!</f>
        <v>#REF!</v>
      </c>
      <c r="E34" s="75" t="e">
        <f aca="false">#REF!</f>
        <v>#REF!</v>
      </c>
      <c r="F34" s="75" t="e">
        <f aca="false">#REF!</f>
        <v>#REF!</v>
      </c>
    </row>
    <row r="35" customFormat="false" ht="12.8" hidden="false" customHeight="false" outlineLevel="0" collapsed="false">
      <c r="A35" s="50" t="e">
        <f aca="false">_xlfn.CONCAT($A$1, ".", #REF!)</f>
        <v>#REF!</v>
      </c>
      <c r="B35" s="68" t="e">
        <f aca="false">_xlfn.CONCAT(#REF!, ":", #REF!)</f>
        <v>#REF!</v>
      </c>
      <c r="C35" s="75" t="e">
        <f aca="false">#REF!</f>
        <v>#REF!</v>
      </c>
      <c r="D35" s="75" t="e">
        <f aca="false">#REF!</f>
        <v>#REF!</v>
      </c>
      <c r="E35" s="75" t="e">
        <f aca="false">#REF!</f>
        <v>#REF!</v>
      </c>
      <c r="F35" s="75" t="e">
        <f aca="false">#REF!</f>
        <v>#REF!</v>
      </c>
    </row>
    <row r="36" customFormat="false" ht="12.8" hidden="false" customHeight="false" outlineLevel="0" collapsed="false">
      <c r="A36" s="50" t="e">
        <f aca="false">_xlfn.CONCAT($A$1, ".", #REF!)</f>
        <v>#REF!</v>
      </c>
      <c r="B36" s="68" t="e">
        <f aca="false">_xlfn.CONCAT(#REF!, ":", #REF!)</f>
        <v>#REF!</v>
      </c>
      <c r="C36" s="75" t="e">
        <f aca="false">#REF!</f>
        <v>#REF!</v>
      </c>
      <c r="D36" s="75" t="e">
        <f aca="false">#REF!</f>
        <v>#REF!</v>
      </c>
      <c r="E36" s="75" t="e">
        <f aca="false">#REF!</f>
        <v>#REF!</v>
      </c>
      <c r="F36" s="75" t="e">
        <f aca="false">#REF!</f>
        <v>#REF!</v>
      </c>
    </row>
    <row r="37" customFormat="false" ht="12.8" hidden="false" customHeight="false" outlineLevel="0" collapsed="false">
      <c r="A37" s="50" t="e">
        <f aca="false">_xlfn.CONCAT($A$1, ".", #REF!)</f>
        <v>#REF!</v>
      </c>
      <c r="B37" s="68" t="e">
        <f aca="false">_xlfn.CONCAT(#REF!, ":", #REF!)</f>
        <v>#REF!</v>
      </c>
      <c r="C37" s="75" t="e">
        <f aca="false">#REF!</f>
        <v>#REF!</v>
      </c>
      <c r="D37" s="75" t="e">
        <f aca="false">#REF!</f>
        <v>#REF!</v>
      </c>
      <c r="E37" s="75" t="e">
        <f aca="false">#REF!</f>
        <v>#REF!</v>
      </c>
      <c r="F37" s="75" t="e">
        <f aca="false">#REF!</f>
        <v>#REF!</v>
      </c>
    </row>
    <row r="38" customFormat="false" ht="12.8" hidden="false" customHeight="false" outlineLevel="0" collapsed="false">
      <c r="A38" s="50" t="e">
        <f aca="false">_xlfn.CONCAT($A$1, ".", #REF!)</f>
        <v>#REF!</v>
      </c>
      <c r="B38" s="68" t="e">
        <f aca="false">_xlfn.CONCAT(#REF!, ":", #REF!)</f>
        <v>#REF!</v>
      </c>
      <c r="C38" s="75" t="e">
        <f aca="false">#REF!</f>
        <v>#REF!</v>
      </c>
      <c r="D38" s="75" t="e">
        <f aca="false">#REF!</f>
        <v>#REF!</v>
      </c>
      <c r="E38" s="75" t="e">
        <f aca="false">#REF!</f>
        <v>#REF!</v>
      </c>
      <c r="F38" s="75" t="e">
        <f aca="false">#REF!</f>
        <v>#REF!</v>
      </c>
    </row>
    <row r="39" customFormat="false" ht="12.8" hidden="false" customHeight="false" outlineLevel="0" collapsed="false">
      <c r="A39" s="50" t="e">
        <f aca="false">_xlfn.CONCAT($A$1, ".", #REF!)</f>
        <v>#REF!</v>
      </c>
      <c r="B39" s="68" t="e">
        <f aca="false">_xlfn.CONCAT(#REF!, ":", #REF!)</f>
        <v>#REF!</v>
      </c>
      <c r="C39" s="75" t="e">
        <f aca="false">#REF!</f>
        <v>#REF!</v>
      </c>
      <c r="D39" s="75" t="e">
        <f aca="false">#REF!</f>
        <v>#REF!</v>
      </c>
      <c r="E39" s="75" t="e">
        <f aca="false">#REF!</f>
        <v>#REF!</v>
      </c>
      <c r="F39" s="75" t="e">
        <f aca="false">#REF!</f>
        <v>#REF!</v>
      </c>
    </row>
    <row r="40" customFormat="false" ht="12.8" hidden="false" customHeight="false" outlineLevel="0" collapsed="false">
      <c r="A40" s="50" t="e">
        <f aca="false">_xlfn.CONCAT($A$1, ".", #REF!)</f>
        <v>#REF!</v>
      </c>
      <c r="B40" s="68" t="e">
        <f aca="false">_xlfn.CONCAT(#REF!, ":", #REF!)</f>
        <v>#REF!</v>
      </c>
      <c r="C40" s="75" t="e">
        <f aca="false">#REF!</f>
        <v>#REF!</v>
      </c>
      <c r="D40" s="75" t="e">
        <f aca="false">#REF!</f>
        <v>#REF!</v>
      </c>
      <c r="E40" s="75" t="e">
        <f aca="false">#REF!</f>
        <v>#REF!</v>
      </c>
      <c r="F40" s="75" t="e">
        <f aca="false">#REF!</f>
        <v>#REF!</v>
      </c>
    </row>
    <row r="41" customFormat="false" ht="12.8" hidden="false" customHeight="false" outlineLevel="0" collapsed="false">
      <c r="A41" s="50" t="e">
        <f aca="false">_xlfn.CONCAT($A$1, ".", #REF!)</f>
        <v>#REF!</v>
      </c>
      <c r="B41" s="68" t="e">
        <f aca="false">_xlfn.CONCAT(#REF!, ":", #REF!)</f>
        <v>#REF!</v>
      </c>
      <c r="C41" s="75" t="e">
        <f aca="false">#REF!</f>
        <v>#REF!</v>
      </c>
      <c r="D41" s="75" t="e">
        <f aca="false">#REF!</f>
        <v>#REF!</v>
      </c>
      <c r="E41" s="75" t="e">
        <f aca="false">#REF!</f>
        <v>#REF!</v>
      </c>
      <c r="F41" s="75" t="e">
        <f aca="false">#REF!</f>
        <v>#REF!</v>
      </c>
    </row>
    <row r="42" customFormat="false" ht="12.8" hidden="false" customHeight="false" outlineLevel="0" collapsed="false">
      <c r="A42" s="50" t="e">
        <f aca="false">_xlfn.CONCAT($A$1, ".", #REF!)</f>
        <v>#REF!</v>
      </c>
      <c r="B42" s="68" t="e">
        <f aca="false">_xlfn.CONCAT(#REF!, ":", #REF!)</f>
        <v>#REF!</v>
      </c>
      <c r="C42" s="75" t="e">
        <f aca="false">#REF!</f>
        <v>#REF!</v>
      </c>
      <c r="D42" s="75" t="e">
        <f aca="false">#REF!</f>
        <v>#REF!</v>
      </c>
      <c r="E42" s="75" t="e">
        <f aca="false">#REF!</f>
        <v>#REF!</v>
      </c>
      <c r="F42" s="75" t="e">
        <f aca="false">#REF!</f>
        <v>#REF!</v>
      </c>
    </row>
    <row r="43" customFormat="false" ht="12.8" hidden="false" customHeight="false" outlineLevel="0" collapsed="false">
      <c r="A43" s="50" t="e">
        <f aca="false">_xlfn.CONCAT($A$1, ".", #REF!)</f>
        <v>#REF!</v>
      </c>
      <c r="B43" s="68" t="e">
        <f aca="false">_xlfn.CONCAT(#REF!, ":", #REF!)</f>
        <v>#REF!</v>
      </c>
      <c r="C43" s="75" t="e">
        <f aca="false">#REF!</f>
        <v>#REF!</v>
      </c>
      <c r="D43" s="75" t="e">
        <f aca="false">#REF!</f>
        <v>#REF!</v>
      </c>
      <c r="E43" s="75" t="e">
        <f aca="false">#REF!</f>
        <v>#REF!</v>
      </c>
      <c r="F43" s="75" t="e">
        <f aca="false">#REF!</f>
        <v>#REF!</v>
      </c>
    </row>
    <row r="44" customFormat="false" ht="12.8" hidden="false" customHeight="false" outlineLevel="0" collapsed="false">
      <c r="A44" s="50" t="e">
        <f aca="false">_xlfn.CONCAT($A$1, ".", #REF!)</f>
        <v>#REF!</v>
      </c>
      <c r="B44" s="68" t="e">
        <f aca="false">_xlfn.CONCAT(#REF!, ":", #REF!)</f>
        <v>#REF!</v>
      </c>
      <c r="C44" s="75" t="e">
        <f aca="false">#REF!</f>
        <v>#REF!</v>
      </c>
      <c r="D44" s="75" t="e">
        <f aca="false">#REF!</f>
        <v>#REF!</v>
      </c>
      <c r="E44" s="75" t="e">
        <f aca="false">#REF!</f>
        <v>#REF!</v>
      </c>
      <c r="F44" s="75" t="e">
        <f aca="false">#REF!</f>
        <v>#REF!</v>
      </c>
    </row>
    <row r="45" customFormat="false" ht="12.8" hidden="false" customHeight="false" outlineLevel="0" collapsed="false">
      <c r="A45" s="50" t="e">
        <f aca="false">_xlfn.CONCAT($A$1, ".", #REF!)</f>
        <v>#REF!</v>
      </c>
      <c r="B45" s="68" t="e">
        <f aca="false">_xlfn.CONCAT(#REF!, ":", #REF!)</f>
        <v>#REF!</v>
      </c>
      <c r="C45" s="75" t="e">
        <f aca="false">#REF!</f>
        <v>#REF!</v>
      </c>
      <c r="D45" s="75" t="e">
        <f aca="false">#REF!</f>
        <v>#REF!</v>
      </c>
      <c r="E45" s="75" t="e">
        <f aca="false">#REF!</f>
        <v>#REF!</v>
      </c>
      <c r="F45" s="75" t="e">
        <f aca="false">#REF!</f>
        <v>#REF!</v>
      </c>
    </row>
    <row r="46" customFormat="false" ht="12.8" hidden="false" customHeight="false" outlineLevel="0" collapsed="false">
      <c r="A46" s="50" t="e">
        <f aca="false">_xlfn.CONCAT($A$1, ".", #REF!)</f>
        <v>#REF!</v>
      </c>
      <c r="B46" s="68" t="e">
        <f aca="false">_xlfn.CONCAT(#REF!, ":", #REF!)</f>
        <v>#REF!</v>
      </c>
      <c r="C46" s="75" t="e">
        <f aca="false">#REF!</f>
        <v>#REF!</v>
      </c>
      <c r="D46" s="75" t="e">
        <f aca="false">#REF!</f>
        <v>#REF!</v>
      </c>
      <c r="E46" s="75" t="e">
        <f aca="false">#REF!</f>
        <v>#REF!</v>
      </c>
      <c r="F46" s="75" t="e">
        <f aca="false">#REF!</f>
        <v>#REF!</v>
      </c>
    </row>
    <row r="47" customFormat="false" ht="12.8" hidden="false" customHeight="false" outlineLevel="0" collapsed="false">
      <c r="A47" s="50" t="e">
        <f aca="false">_xlfn.CONCAT($A$1, ".", #REF!)</f>
        <v>#REF!</v>
      </c>
      <c r="B47" s="68" t="e">
        <f aca="false">_xlfn.CONCAT(#REF!, ":", #REF!)</f>
        <v>#REF!</v>
      </c>
      <c r="C47" s="75" t="e">
        <f aca="false">#REF!</f>
        <v>#REF!</v>
      </c>
      <c r="D47" s="75" t="e">
        <f aca="false">#REF!</f>
        <v>#REF!</v>
      </c>
      <c r="E47" s="75" t="e">
        <f aca="false">#REF!</f>
        <v>#REF!</v>
      </c>
      <c r="F47" s="75" t="e">
        <f aca="false">#REF!</f>
        <v>#REF!</v>
      </c>
    </row>
    <row r="48" customFormat="false" ht="12.8" hidden="false" customHeight="false" outlineLevel="0" collapsed="false">
      <c r="A48" s="50" t="e">
        <f aca="false">_xlfn.CONCAT($A$1, ".", #REF!)</f>
        <v>#REF!</v>
      </c>
      <c r="B48" s="68" t="e">
        <f aca="false">_xlfn.CONCAT(#REF!, ":", #REF!)</f>
        <v>#REF!</v>
      </c>
      <c r="C48" s="75" t="e">
        <f aca="false">#REF!</f>
        <v>#REF!</v>
      </c>
      <c r="D48" s="75" t="e">
        <f aca="false">#REF!</f>
        <v>#REF!</v>
      </c>
      <c r="E48" s="75" t="e">
        <f aca="false">#REF!</f>
        <v>#REF!</v>
      </c>
      <c r="F48" s="75" t="e">
        <f aca="false">#REF!</f>
        <v>#REF!</v>
      </c>
    </row>
    <row r="49" customFormat="false" ht="12.8" hidden="false" customHeight="false" outlineLevel="0" collapsed="false">
      <c r="A49" s="50" t="e">
        <f aca="false">_xlfn.CONCAT($A$1, ".", #REF!)</f>
        <v>#REF!</v>
      </c>
      <c r="B49" s="68" t="e">
        <f aca="false">_xlfn.CONCAT(#REF!, ":", #REF!)</f>
        <v>#REF!</v>
      </c>
      <c r="C49" s="75" t="e">
        <f aca="false">#REF!</f>
        <v>#REF!</v>
      </c>
      <c r="D49" s="75" t="e">
        <f aca="false">#REF!</f>
        <v>#REF!</v>
      </c>
      <c r="E49" s="75" t="e">
        <f aca="false">#REF!</f>
        <v>#REF!</v>
      </c>
      <c r="F49" s="75" t="e">
        <f aca="false">#REF!</f>
        <v>#REF!</v>
      </c>
    </row>
    <row r="50" customFormat="false" ht="12.8" hidden="false" customHeight="false" outlineLevel="0" collapsed="false">
      <c r="A50" s="50" t="e">
        <f aca="false">_xlfn.CONCAT($A$1, ".", #REF!)</f>
        <v>#REF!</v>
      </c>
      <c r="B50" s="68" t="e">
        <f aca="false">_xlfn.CONCAT(#REF!, ":", #REF!)</f>
        <v>#REF!</v>
      </c>
      <c r="C50" s="75" t="e">
        <f aca="false">#REF!</f>
        <v>#REF!</v>
      </c>
      <c r="D50" s="75" t="e">
        <f aca="false">#REF!</f>
        <v>#REF!</v>
      </c>
      <c r="E50" s="75" t="e">
        <f aca="false">#REF!</f>
        <v>#REF!</v>
      </c>
      <c r="F50" s="75" t="e">
        <f aca="false">#REF!</f>
        <v>#REF!</v>
      </c>
    </row>
    <row r="51" customFormat="false" ht="12.8" hidden="false" customHeight="false" outlineLevel="0" collapsed="false">
      <c r="A51" s="50" t="e">
        <f aca="false">_xlfn.CONCAT($A$1, ".", #REF!)</f>
        <v>#REF!</v>
      </c>
      <c r="B51" s="68" t="e">
        <f aca="false">_xlfn.CONCAT(#REF!, ":", #REF!)</f>
        <v>#REF!</v>
      </c>
      <c r="C51" s="75" t="e">
        <f aca="false">#REF!</f>
        <v>#REF!</v>
      </c>
      <c r="D51" s="75" t="e">
        <f aca="false">#REF!</f>
        <v>#REF!</v>
      </c>
      <c r="E51" s="75" t="e">
        <f aca="false">#REF!</f>
        <v>#REF!</v>
      </c>
      <c r="F51" s="75" t="e">
        <f aca="false">#REF!</f>
        <v>#REF!</v>
      </c>
    </row>
    <row r="52" customFormat="false" ht="12.8" hidden="false" customHeight="false" outlineLevel="0" collapsed="false">
      <c r="A52" s="50" t="e">
        <f aca="false">_xlfn.CONCAT($A$1, ".", #REF!)</f>
        <v>#REF!</v>
      </c>
      <c r="B52" s="68" t="e">
        <f aca="false">_xlfn.CONCAT(#REF!, ":", #REF!)</f>
        <v>#REF!</v>
      </c>
      <c r="C52" s="75" t="e">
        <f aca="false">#REF!</f>
        <v>#REF!</v>
      </c>
      <c r="D52" s="75" t="e">
        <f aca="false">#REF!</f>
        <v>#REF!</v>
      </c>
      <c r="E52" s="75" t="e">
        <f aca="false">#REF!</f>
        <v>#REF!</v>
      </c>
      <c r="F52" s="75" t="e">
        <f aca="false">#REF!</f>
        <v>#REF!</v>
      </c>
    </row>
    <row r="53" customFormat="false" ht="12.8" hidden="false" customHeight="false" outlineLevel="0" collapsed="false">
      <c r="A53" s="50" t="e">
        <f aca="false">_xlfn.CONCAT($A$1, ".", #REF!)</f>
        <v>#REF!</v>
      </c>
      <c r="B53" s="68" t="e">
        <f aca="false">_xlfn.CONCAT(#REF!, ":", #REF!)</f>
        <v>#REF!</v>
      </c>
      <c r="C53" s="75" t="e">
        <f aca="false">#REF!</f>
        <v>#REF!</v>
      </c>
      <c r="D53" s="75" t="e">
        <f aca="false">#REF!</f>
        <v>#REF!</v>
      </c>
      <c r="E53" s="75" t="e">
        <f aca="false">#REF!</f>
        <v>#REF!</v>
      </c>
      <c r="F53" s="75" t="e">
        <f aca="false">#REF!</f>
        <v>#REF!</v>
      </c>
    </row>
    <row r="54" customFormat="false" ht="12.8" hidden="false" customHeight="false" outlineLevel="0" collapsed="false">
      <c r="A54" s="50" t="e">
        <f aca="false">_xlfn.CONCAT($A$1, ".", #REF!)</f>
        <v>#REF!</v>
      </c>
      <c r="B54" s="68" t="e">
        <f aca="false">_xlfn.CONCAT(#REF!, ":", #REF!)</f>
        <v>#REF!</v>
      </c>
      <c r="C54" s="75" t="e">
        <f aca="false">#REF!</f>
        <v>#REF!</v>
      </c>
      <c r="D54" s="75" t="e">
        <f aca="false">#REF!</f>
        <v>#REF!</v>
      </c>
      <c r="E54" s="75" t="e">
        <f aca="false">#REF!</f>
        <v>#REF!</v>
      </c>
      <c r="F54" s="75" t="e">
        <f aca="false">#REF!</f>
        <v>#REF!</v>
      </c>
    </row>
    <row r="55" customFormat="false" ht="12.8" hidden="false" customHeight="false" outlineLevel="0" collapsed="false">
      <c r="A55" s="50" t="e">
        <f aca="false">_xlfn.CONCAT($A$1, ".", #REF!)</f>
        <v>#REF!</v>
      </c>
      <c r="B55" s="68" t="e">
        <f aca="false">_xlfn.CONCAT(#REF!, ":", #REF!)</f>
        <v>#REF!</v>
      </c>
      <c r="C55" s="75" t="e">
        <f aca="false">#REF!</f>
        <v>#REF!</v>
      </c>
      <c r="D55" s="75" t="e">
        <f aca="false">#REF!</f>
        <v>#REF!</v>
      </c>
      <c r="E55" s="75" t="e">
        <f aca="false">#REF!</f>
        <v>#REF!</v>
      </c>
      <c r="F55" s="75" t="e">
        <f aca="false">#REF!</f>
        <v>#REF!</v>
      </c>
    </row>
    <row r="56" customFormat="false" ht="12.8" hidden="false" customHeight="false" outlineLevel="0" collapsed="false">
      <c r="C56" s="74"/>
      <c r="D56" s="74"/>
      <c r="E56" s="74"/>
      <c r="F56" s="74"/>
    </row>
    <row r="57" customFormat="false" ht="12.8" hidden="false" customHeight="false" outlineLevel="0" collapsed="false">
      <c r="C57" s="74"/>
      <c r="D57" s="74"/>
      <c r="E57" s="74"/>
      <c r="F57" s="74"/>
    </row>
    <row r="58" customFormat="false" ht="12.8" hidden="false" customHeight="false" outlineLevel="0" collapsed="false">
      <c r="C58" s="74"/>
      <c r="D58" s="74"/>
      <c r="E58" s="74"/>
      <c r="F58" s="74"/>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247"/>
  <sheetViews>
    <sheetView showFormulas="false" showGridLines="true" showRowColHeaders="true" showZeros="true" rightToLeft="false" tabSelected="false" showOutlineSymbols="true" defaultGridColor="true" view="normal" topLeftCell="A89" colorId="64" zoomScale="75" zoomScaleNormal="75" zoomScalePageLayoutView="100" workbookViewId="0">
      <selection pane="topLeft" activeCell="A1" activeCellId="1" sqref="D3:E3 A1"/>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999</v>
      </c>
      <c r="B1" s="52" t="s">
        <v>1000</v>
      </c>
      <c r="C1" s="6" t="s">
        <v>2</v>
      </c>
      <c r="D1" s="60" t="s">
        <v>1001</v>
      </c>
      <c r="AZ1" s="39"/>
      <c r="BP1" s="39"/>
    </row>
    <row r="2" customFormat="false" ht="35.05" hidden="false" customHeight="false" outlineLevel="0" collapsed="false">
      <c r="A2" s="64" t="s">
        <v>792</v>
      </c>
      <c r="B2" s="52" t="s">
        <v>793</v>
      </c>
      <c r="C2" s="74" t="str">
        <f aca="false">CALC!BD3</f>
        <v>EITC Credit Refund</v>
      </c>
      <c r="D2" s="74" t="str">
        <f aca="false">CALC!BE3</f>
        <v>Authorized Immigrant EITC Credit Refund</v>
      </c>
      <c r="E2" s="74" t="str">
        <f aca="false">CALC!BF3</f>
        <v>Unauthorized Immigrant EITC Credit Refund</v>
      </c>
      <c r="F2" s="74" t="str">
        <f aca="false">CALC!BG3</f>
        <v>American EITC Refund</v>
      </c>
    </row>
    <row r="3" customFormat="false" ht="12.8" hidden="false" customHeight="false" outlineLevel="0" collapsed="false">
      <c r="A3" s="4" t="e">
        <f aca="false">_xlfn.CONCAT($A$1, ".", #REF!)</f>
        <v>#REF!</v>
      </c>
      <c r="B3" s="49" t="e">
        <f aca="false">_xlfn.CONCAT(#REF!, ":", #REF!)</f>
        <v>#REF!</v>
      </c>
      <c r="C3" s="74" t="e">
        <f aca="false">#REF!</f>
        <v>#REF!</v>
      </c>
      <c r="D3" s="74" t="e">
        <f aca="false">#REF!</f>
        <v>#REF!</v>
      </c>
      <c r="E3" s="74" t="e">
        <f aca="false">#REF!</f>
        <v>#REF!</v>
      </c>
      <c r="F3" s="74" t="e">
        <f aca="false">#REF!</f>
        <v>#REF!</v>
      </c>
    </row>
    <row r="4" customFormat="false" ht="12.8" hidden="false" customHeight="false" outlineLevel="0" collapsed="false">
      <c r="A4" s="50" t="e">
        <f aca="false">_xlfn.CONCAT($A$1, ".", #REF!)</f>
        <v>#REF!</v>
      </c>
      <c r="B4" s="68" t="e">
        <f aca="false">_xlfn.CONCAT(#REF!, ":", #REF!)</f>
        <v>#REF!</v>
      </c>
      <c r="C4" s="75" t="e">
        <f aca="false">#REF!</f>
        <v>#REF!</v>
      </c>
      <c r="D4" s="75" t="e">
        <f aca="false">#REF!</f>
        <v>#REF!</v>
      </c>
      <c r="E4" s="75" t="e">
        <f aca="false">#REF!</f>
        <v>#REF!</v>
      </c>
      <c r="F4" s="75" t="e">
        <f aca="false">#REF!</f>
        <v>#REF!</v>
      </c>
    </row>
    <row r="5" customFormat="false" ht="12.8" hidden="false" customHeight="false" outlineLevel="0" collapsed="false">
      <c r="A5" s="50" t="e">
        <f aca="false">_xlfn.CONCAT($A$1, ".", #REF!)</f>
        <v>#REF!</v>
      </c>
      <c r="B5" s="68" t="e">
        <f aca="false">_xlfn.CONCAT(#REF!, ":", #REF!)</f>
        <v>#REF!</v>
      </c>
      <c r="C5" s="75" t="e">
        <f aca="false">#REF!</f>
        <v>#REF!</v>
      </c>
      <c r="D5" s="75" t="e">
        <f aca="false">#REF!</f>
        <v>#REF!</v>
      </c>
      <c r="E5" s="75" t="e">
        <f aca="false">#REF!</f>
        <v>#REF!</v>
      </c>
      <c r="F5" s="75" t="e">
        <f aca="false">#REF!</f>
        <v>#REF!</v>
      </c>
    </row>
    <row r="6" customFormat="false" ht="12.8" hidden="false" customHeight="false" outlineLevel="0" collapsed="false">
      <c r="A6" s="50" t="e">
        <f aca="false">_xlfn.CONCAT($A$1, ".", #REF!)</f>
        <v>#REF!</v>
      </c>
      <c r="B6" s="68" t="e">
        <f aca="false">_xlfn.CONCAT(#REF!, ":", #REF!)</f>
        <v>#REF!</v>
      </c>
      <c r="C6" s="75" t="e">
        <f aca="false">#REF!</f>
        <v>#REF!</v>
      </c>
      <c r="D6" s="75" t="e">
        <f aca="false">#REF!</f>
        <v>#REF!</v>
      </c>
      <c r="E6" s="75" t="e">
        <f aca="false">#REF!</f>
        <v>#REF!</v>
      </c>
      <c r="F6" s="75" t="e">
        <f aca="false">#REF!</f>
        <v>#REF!</v>
      </c>
    </row>
    <row r="7" customFormat="false" ht="12.8" hidden="false" customHeight="false" outlineLevel="0" collapsed="false">
      <c r="A7" s="50" t="e">
        <f aca="false">_xlfn.CONCAT($A$1, ".", #REF!)</f>
        <v>#REF!</v>
      </c>
      <c r="B7" s="68" t="e">
        <f aca="false">_xlfn.CONCAT(#REF!, ":", #REF!)</f>
        <v>#REF!</v>
      </c>
      <c r="C7" s="75" t="e">
        <f aca="false">#REF!</f>
        <v>#REF!</v>
      </c>
      <c r="D7" s="75" t="e">
        <f aca="false">#REF!</f>
        <v>#REF!</v>
      </c>
      <c r="E7" s="75" t="e">
        <f aca="false">#REF!</f>
        <v>#REF!</v>
      </c>
      <c r="F7" s="75" t="e">
        <f aca="false">#REF!</f>
        <v>#REF!</v>
      </c>
    </row>
    <row r="8" customFormat="false" ht="12.8" hidden="false" customHeight="false" outlineLevel="0" collapsed="false">
      <c r="A8" s="50" t="e">
        <f aca="false">_xlfn.CONCAT($A$1, ".", #REF!)</f>
        <v>#REF!</v>
      </c>
      <c r="B8" s="68" t="e">
        <f aca="false">_xlfn.CONCAT(#REF!, ":", #REF!)</f>
        <v>#REF!</v>
      </c>
      <c r="C8" s="75" t="e">
        <f aca="false">#REF!</f>
        <v>#REF!</v>
      </c>
      <c r="D8" s="75" t="e">
        <f aca="false">#REF!</f>
        <v>#REF!</v>
      </c>
      <c r="E8" s="75" t="e">
        <f aca="false">#REF!</f>
        <v>#REF!</v>
      </c>
      <c r="F8" s="75" t="e">
        <f aca="false">#REF!</f>
        <v>#REF!</v>
      </c>
    </row>
    <row r="9" customFormat="false" ht="12.8" hidden="false" customHeight="false" outlineLevel="0" collapsed="false">
      <c r="A9" s="50" t="e">
        <f aca="false">_xlfn.CONCAT($A$1, ".", #REF!)</f>
        <v>#REF!</v>
      </c>
      <c r="B9" s="68" t="e">
        <f aca="false">_xlfn.CONCAT(#REF!, ":", #REF!)</f>
        <v>#REF!</v>
      </c>
      <c r="C9" s="75" t="e">
        <f aca="false">#REF!</f>
        <v>#REF!</v>
      </c>
      <c r="D9" s="75" t="e">
        <f aca="false">#REF!</f>
        <v>#REF!</v>
      </c>
      <c r="E9" s="75" t="e">
        <f aca="false">#REF!</f>
        <v>#REF!</v>
      </c>
      <c r="F9" s="75" t="e">
        <f aca="false">#REF!</f>
        <v>#REF!</v>
      </c>
    </row>
    <row r="10" customFormat="false" ht="12.8" hidden="false" customHeight="false" outlineLevel="0" collapsed="false">
      <c r="A10" s="50" t="e">
        <f aca="false">_xlfn.CONCAT($A$1, ".", #REF!)</f>
        <v>#REF!</v>
      </c>
      <c r="B10" s="68" t="e">
        <f aca="false">_xlfn.CONCAT(#REF!, ":", #REF!)</f>
        <v>#REF!</v>
      </c>
      <c r="C10" s="75" t="e">
        <f aca="false">#REF!</f>
        <v>#REF!</v>
      </c>
      <c r="D10" s="75" t="e">
        <f aca="false">#REF!</f>
        <v>#REF!</v>
      </c>
      <c r="E10" s="75" t="e">
        <f aca="false">#REF!</f>
        <v>#REF!</v>
      </c>
      <c r="F10" s="75" t="e">
        <f aca="false">#REF!</f>
        <v>#REF!</v>
      </c>
    </row>
    <row r="11" customFormat="false" ht="12.8" hidden="false" customHeight="false" outlineLevel="0" collapsed="false">
      <c r="A11" s="50" t="e">
        <f aca="false">_xlfn.CONCAT($A$1, ".", #REF!)</f>
        <v>#REF!</v>
      </c>
      <c r="B11" s="68" t="e">
        <f aca="false">_xlfn.CONCAT(#REF!, ":", #REF!)</f>
        <v>#REF!</v>
      </c>
      <c r="C11" s="75" t="e">
        <f aca="false">#REF!</f>
        <v>#REF!</v>
      </c>
      <c r="D11" s="75" t="e">
        <f aca="false">#REF!</f>
        <v>#REF!</v>
      </c>
      <c r="E11" s="75" t="e">
        <f aca="false">#REF!</f>
        <v>#REF!</v>
      </c>
      <c r="F11" s="75" t="e">
        <f aca="false">#REF!</f>
        <v>#REF!</v>
      </c>
    </row>
    <row r="12" customFormat="false" ht="12.8" hidden="false" customHeight="false" outlineLevel="0" collapsed="false">
      <c r="A12" s="50" t="e">
        <f aca="false">_xlfn.CONCAT($A$1, ".", #REF!)</f>
        <v>#REF!</v>
      </c>
      <c r="B12" s="68" t="e">
        <f aca="false">_xlfn.CONCAT(#REF!, ":", #REF!)</f>
        <v>#REF!</v>
      </c>
      <c r="C12" s="75" t="e">
        <f aca="false">#REF!</f>
        <v>#REF!</v>
      </c>
      <c r="D12" s="75" t="e">
        <f aca="false">#REF!</f>
        <v>#REF!</v>
      </c>
      <c r="E12" s="75" t="e">
        <f aca="false">#REF!</f>
        <v>#REF!</v>
      </c>
      <c r="F12" s="75" t="e">
        <f aca="false">#REF!</f>
        <v>#REF!</v>
      </c>
    </row>
    <row r="13" customFormat="false" ht="12.8" hidden="false" customHeight="false" outlineLevel="0" collapsed="false">
      <c r="A13" s="50" t="e">
        <f aca="false">_xlfn.CONCAT($A$1, ".", #REF!)</f>
        <v>#REF!</v>
      </c>
      <c r="B13" s="68" t="e">
        <f aca="false">_xlfn.CONCAT(#REF!, ":", #REF!)</f>
        <v>#REF!</v>
      </c>
      <c r="C13" s="75" t="e">
        <f aca="false">#REF!</f>
        <v>#REF!</v>
      </c>
      <c r="D13" s="75" t="e">
        <f aca="false">#REF!</f>
        <v>#REF!</v>
      </c>
      <c r="E13" s="75" t="e">
        <f aca="false">#REF!</f>
        <v>#REF!</v>
      </c>
      <c r="F13" s="75" t="e">
        <f aca="false">#REF!</f>
        <v>#REF!</v>
      </c>
    </row>
    <row r="14" customFormat="false" ht="12.8" hidden="false" customHeight="false" outlineLevel="0" collapsed="false">
      <c r="A14" s="50" t="e">
        <f aca="false">_xlfn.CONCAT($A$1, ".", #REF!)</f>
        <v>#REF!</v>
      </c>
      <c r="B14" s="68" t="e">
        <f aca="false">_xlfn.CONCAT(#REF!, ":", #REF!)</f>
        <v>#REF!</v>
      </c>
      <c r="C14" s="75" t="e">
        <f aca="false">#REF!</f>
        <v>#REF!</v>
      </c>
      <c r="D14" s="75" t="e">
        <f aca="false">#REF!</f>
        <v>#REF!</v>
      </c>
      <c r="E14" s="75" t="e">
        <f aca="false">#REF!</f>
        <v>#REF!</v>
      </c>
      <c r="F14" s="75" t="e">
        <f aca="false">#REF!</f>
        <v>#REF!</v>
      </c>
    </row>
    <row r="15" customFormat="false" ht="12.8" hidden="false" customHeight="false" outlineLevel="0" collapsed="false">
      <c r="A15" s="50" t="e">
        <f aca="false">_xlfn.CONCAT($A$1, ".", #REF!)</f>
        <v>#REF!</v>
      </c>
      <c r="B15" s="68" t="e">
        <f aca="false">_xlfn.CONCAT(#REF!, ":", #REF!)</f>
        <v>#REF!</v>
      </c>
      <c r="C15" s="75" t="e">
        <f aca="false">#REF!</f>
        <v>#REF!</v>
      </c>
      <c r="D15" s="75" t="e">
        <f aca="false">#REF!</f>
        <v>#REF!</v>
      </c>
      <c r="E15" s="75" t="e">
        <f aca="false">#REF!</f>
        <v>#REF!</v>
      </c>
      <c r="F15" s="75" t="e">
        <f aca="false">#REF!</f>
        <v>#REF!</v>
      </c>
    </row>
    <row r="16" customFormat="false" ht="12.8" hidden="false" customHeight="false" outlineLevel="0" collapsed="false">
      <c r="A16" s="50" t="e">
        <f aca="false">_xlfn.CONCAT($A$1, ".", #REF!)</f>
        <v>#REF!</v>
      </c>
      <c r="B16" s="68" t="e">
        <f aca="false">_xlfn.CONCAT(#REF!, ":", #REF!)</f>
        <v>#REF!</v>
      </c>
      <c r="C16" s="75" t="e">
        <f aca="false">#REF!</f>
        <v>#REF!</v>
      </c>
      <c r="D16" s="75" t="e">
        <f aca="false">#REF!</f>
        <v>#REF!</v>
      </c>
      <c r="E16" s="75" t="e">
        <f aca="false">#REF!</f>
        <v>#REF!</v>
      </c>
      <c r="F16" s="75" t="e">
        <f aca="false">#REF!</f>
        <v>#REF!</v>
      </c>
    </row>
    <row r="17" customFormat="false" ht="12.8" hidden="false" customHeight="false" outlineLevel="0" collapsed="false">
      <c r="A17" s="50" t="e">
        <f aca="false">_xlfn.CONCAT($A$1, ".", #REF!)</f>
        <v>#REF!</v>
      </c>
      <c r="B17" s="68" t="e">
        <f aca="false">_xlfn.CONCAT(#REF!, ":", #REF!)</f>
        <v>#REF!</v>
      </c>
      <c r="C17" s="75" t="e">
        <f aca="false">#REF!</f>
        <v>#REF!</v>
      </c>
      <c r="D17" s="75" t="e">
        <f aca="false">#REF!</f>
        <v>#REF!</v>
      </c>
      <c r="E17" s="75" t="e">
        <f aca="false">#REF!</f>
        <v>#REF!</v>
      </c>
      <c r="F17" s="75" t="e">
        <f aca="false">#REF!</f>
        <v>#REF!</v>
      </c>
    </row>
    <row r="18" customFormat="false" ht="12.8" hidden="false" customHeight="false" outlineLevel="0" collapsed="false">
      <c r="A18" s="50" t="e">
        <f aca="false">_xlfn.CONCAT($A$1, ".", #REF!)</f>
        <v>#REF!</v>
      </c>
      <c r="B18" s="68" t="e">
        <f aca="false">_xlfn.CONCAT(#REF!, ":", #REF!)</f>
        <v>#REF!</v>
      </c>
      <c r="C18" s="75" t="e">
        <f aca="false">#REF!</f>
        <v>#REF!</v>
      </c>
      <c r="D18" s="75" t="e">
        <f aca="false">#REF!</f>
        <v>#REF!</v>
      </c>
      <c r="E18" s="75" t="e">
        <f aca="false">#REF!</f>
        <v>#REF!</v>
      </c>
      <c r="F18" s="75" t="e">
        <f aca="false">#REF!</f>
        <v>#REF!</v>
      </c>
    </row>
    <row r="19" customFormat="false" ht="12.8" hidden="false" customHeight="false" outlineLevel="0" collapsed="false">
      <c r="A19" s="50" t="e">
        <f aca="false">_xlfn.CONCAT($A$1, ".", #REF!)</f>
        <v>#REF!</v>
      </c>
      <c r="B19" s="68" t="e">
        <f aca="false">_xlfn.CONCAT(#REF!, ":", #REF!)</f>
        <v>#REF!</v>
      </c>
      <c r="C19" s="75" t="e">
        <f aca="false">#REF!</f>
        <v>#REF!</v>
      </c>
      <c r="D19" s="75" t="e">
        <f aca="false">#REF!</f>
        <v>#REF!</v>
      </c>
      <c r="E19" s="75" t="e">
        <f aca="false">#REF!</f>
        <v>#REF!</v>
      </c>
      <c r="F19" s="75" t="e">
        <f aca="false">#REF!</f>
        <v>#REF!</v>
      </c>
    </row>
    <row r="20" customFormat="false" ht="12.8" hidden="false" customHeight="false" outlineLevel="0" collapsed="false">
      <c r="A20" s="50" t="e">
        <f aca="false">_xlfn.CONCAT($A$1, ".", #REF!)</f>
        <v>#REF!</v>
      </c>
      <c r="B20" s="68" t="e">
        <f aca="false">_xlfn.CONCAT(#REF!, ":", #REF!)</f>
        <v>#REF!</v>
      </c>
      <c r="C20" s="75" t="e">
        <f aca="false">#REF!</f>
        <v>#REF!</v>
      </c>
      <c r="D20" s="75" t="e">
        <f aca="false">#REF!</f>
        <v>#REF!</v>
      </c>
      <c r="E20" s="75" t="e">
        <f aca="false">#REF!</f>
        <v>#REF!</v>
      </c>
      <c r="F20" s="75" t="e">
        <f aca="false">#REF!</f>
        <v>#REF!</v>
      </c>
    </row>
    <row r="21" customFormat="false" ht="12.8" hidden="false" customHeight="false" outlineLevel="0" collapsed="false">
      <c r="A21" s="50" t="e">
        <f aca="false">_xlfn.CONCAT($A$1, ".", #REF!)</f>
        <v>#REF!</v>
      </c>
      <c r="B21" s="68" t="e">
        <f aca="false">_xlfn.CONCAT(#REF!, ":", #REF!)</f>
        <v>#REF!</v>
      </c>
      <c r="C21" s="75" t="e">
        <f aca="false">#REF!</f>
        <v>#REF!</v>
      </c>
      <c r="D21" s="75" t="e">
        <f aca="false">#REF!</f>
        <v>#REF!</v>
      </c>
      <c r="E21" s="75" t="e">
        <f aca="false">#REF!</f>
        <v>#REF!</v>
      </c>
      <c r="F21" s="75" t="e">
        <f aca="false">#REF!</f>
        <v>#REF!</v>
      </c>
    </row>
    <row r="22" customFormat="false" ht="12.8" hidden="false" customHeight="false" outlineLevel="0" collapsed="false">
      <c r="A22" s="50" t="e">
        <f aca="false">_xlfn.CONCAT($A$1, ".", #REF!)</f>
        <v>#REF!</v>
      </c>
      <c r="B22" s="68" t="e">
        <f aca="false">_xlfn.CONCAT(#REF!, ":", #REF!)</f>
        <v>#REF!</v>
      </c>
      <c r="C22" s="75" t="e">
        <f aca="false">#REF!</f>
        <v>#REF!</v>
      </c>
      <c r="D22" s="75" t="e">
        <f aca="false">#REF!</f>
        <v>#REF!</v>
      </c>
      <c r="E22" s="75" t="e">
        <f aca="false">#REF!</f>
        <v>#REF!</v>
      </c>
      <c r="F22" s="75" t="e">
        <f aca="false">#REF!</f>
        <v>#REF!</v>
      </c>
    </row>
    <row r="23" customFormat="false" ht="12.8" hidden="false" customHeight="false" outlineLevel="0" collapsed="false">
      <c r="A23" s="50" t="e">
        <f aca="false">_xlfn.CONCAT($A$1, ".", #REF!)</f>
        <v>#REF!</v>
      </c>
      <c r="B23" s="68" t="e">
        <f aca="false">_xlfn.CONCAT(#REF!, ":", #REF!)</f>
        <v>#REF!</v>
      </c>
      <c r="C23" s="75" t="e">
        <f aca="false">#REF!</f>
        <v>#REF!</v>
      </c>
      <c r="D23" s="75" t="e">
        <f aca="false">#REF!</f>
        <v>#REF!</v>
      </c>
      <c r="E23" s="75" t="e">
        <f aca="false">#REF!</f>
        <v>#REF!</v>
      </c>
      <c r="F23" s="75" t="e">
        <f aca="false">#REF!</f>
        <v>#REF!</v>
      </c>
    </row>
    <row r="24" customFormat="false" ht="12.8" hidden="false" customHeight="false" outlineLevel="0" collapsed="false">
      <c r="A24" s="50" t="e">
        <f aca="false">_xlfn.CONCAT($A$1, ".", #REF!)</f>
        <v>#REF!</v>
      </c>
      <c r="B24" s="68" t="e">
        <f aca="false">_xlfn.CONCAT(#REF!, ":", #REF!)</f>
        <v>#REF!</v>
      </c>
      <c r="C24" s="75" t="e">
        <f aca="false">#REF!</f>
        <v>#REF!</v>
      </c>
      <c r="D24" s="75" t="e">
        <f aca="false">#REF!</f>
        <v>#REF!</v>
      </c>
      <c r="E24" s="75" t="e">
        <f aca="false">#REF!</f>
        <v>#REF!</v>
      </c>
      <c r="F24" s="75" t="e">
        <f aca="false">#REF!</f>
        <v>#REF!</v>
      </c>
    </row>
    <row r="25" customFormat="false" ht="12.8" hidden="false" customHeight="false" outlineLevel="0" collapsed="false">
      <c r="A25" s="50" t="e">
        <f aca="false">_xlfn.CONCAT($A$1, ".", #REF!)</f>
        <v>#REF!</v>
      </c>
      <c r="B25" s="68" t="e">
        <f aca="false">_xlfn.CONCAT(#REF!, ":", #REF!)</f>
        <v>#REF!</v>
      </c>
      <c r="C25" s="75" t="e">
        <f aca="false">#REF!</f>
        <v>#REF!</v>
      </c>
      <c r="D25" s="75" t="e">
        <f aca="false">#REF!</f>
        <v>#REF!</v>
      </c>
      <c r="E25" s="75" t="e">
        <f aca="false">#REF!</f>
        <v>#REF!</v>
      </c>
      <c r="F25" s="75" t="e">
        <f aca="false">#REF!</f>
        <v>#REF!</v>
      </c>
    </row>
    <row r="26" customFormat="false" ht="12.8" hidden="false" customHeight="false" outlineLevel="0" collapsed="false">
      <c r="A26" s="50" t="e">
        <f aca="false">_xlfn.CONCAT($A$1, ".", #REF!)</f>
        <v>#REF!</v>
      </c>
      <c r="B26" s="68" t="e">
        <f aca="false">_xlfn.CONCAT(#REF!, ":", #REF!)</f>
        <v>#REF!</v>
      </c>
      <c r="C26" s="75" t="e">
        <f aca="false">#REF!</f>
        <v>#REF!</v>
      </c>
      <c r="D26" s="75" t="e">
        <f aca="false">#REF!</f>
        <v>#REF!</v>
      </c>
      <c r="E26" s="75" t="e">
        <f aca="false">#REF!</f>
        <v>#REF!</v>
      </c>
      <c r="F26" s="75" t="e">
        <f aca="false">#REF!</f>
        <v>#REF!</v>
      </c>
    </row>
    <row r="27" customFormat="false" ht="12.8" hidden="false" customHeight="false" outlineLevel="0" collapsed="false">
      <c r="A27" s="50" t="e">
        <f aca="false">_xlfn.CONCAT($A$1, ".", #REF!)</f>
        <v>#REF!</v>
      </c>
      <c r="B27" s="68" t="e">
        <f aca="false">_xlfn.CONCAT(#REF!, ":", #REF!)</f>
        <v>#REF!</v>
      </c>
      <c r="C27" s="75" t="e">
        <f aca="false">#REF!</f>
        <v>#REF!</v>
      </c>
      <c r="D27" s="75" t="e">
        <f aca="false">#REF!</f>
        <v>#REF!</v>
      </c>
      <c r="E27" s="75" t="e">
        <f aca="false">#REF!</f>
        <v>#REF!</v>
      </c>
      <c r="F27" s="75" t="e">
        <f aca="false">#REF!</f>
        <v>#REF!</v>
      </c>
    </row>
    <row r="28" customFormat="false" ht="12.8" hidden="false" customHeight="false" outlineLevel="0" collapsed="false">
      <c r="A28" s="50" t="e">
        <f aca="false">_xlfn.CONCAT($A$1, ".", #REF!)</f>
        <v>#REF!</v>
      </c>
      <c r="B28" s="68" t="e">
        <f aca="false">_xlfn.CONCAT(#REF!, ":", #REF!)</f>
        <v>#REF!</v>
      </c>
      <c r="C28" s="75" t="e">
        <f aca="false">#REF!</f>
        <v>#REF!</v>
      </c>
      <c r="D28" s="75" t="e">
        <f aca="false">#REF!</f>
        <v>#REF!</v>
      </c>
      <c r="E28" s="75" t="e">
        <f aca="false">#REF!</f>
        <v>#REF!</v>
      </c>
      <c r="F28" s="75" t="e">
        <f aca="false">#REF!</f>
        <v>#REF!</v>
      </c>
    </row>
    <row r="29" customFormat="false" ht="12.8" hidden="false" customHeight="false" outlineLevel="0" collapsed="false">
      <c r="A29" s="50" t="e">
        <f aca="false">_xlfn.CONCAT($A$1, ".", #REF!)</f>
        <v>#REF!</v>
      </c>
      <c r="B29" s="68" t="e">
        <f aca="false">_xlfn.CONCAT(#REF!, ":", #REF!)</f>
        <v>#REF!</v>
      </c>
      <c r="C29" s="75" t="e">
        <f aca="false">#REF!</f>
        <v>#REF!</v>
      </c>
      <c r="D29" s="75" t="e">
        <f aca="false">#REF!</f>
        <v>#REF!</v>
      </c>
      <c r="E29" s="75" t="e">
        <f aca="false">#REF!</f>
        <v>#REF!</v>
      </c>
      <c r="F29" s="75" t="e">
        <f aca="false">#REF!</f>
        <v>#REF!</v>
      </c>
    </row>
    <row r="30" customFormat="false" ht="12.8" hidden="false" customHeight="false" outlineLevel="0" collapsed="false">
      <c r="A30" s="50" t="e">
        <f aca="false">_xlfn.CONCAT($A$1, ".", #REF!)</f>
        <v>#REF!</v>
      </c>
      <c r="B30" s="68" t="e">
        <f aca="false">_xlfn.CONCAT(#REF!, ":", #REF!)</f>
        <v>#REF!</v>
      </c>
      <c r="C30" s="75" t="e">
        <f aca="false">#REF!</f>
        <v>#REF!</v>
      </c>
      <c r="D30" s="75" t="e">
        <f aca="false">#REF!</f>
        <v>#REF!</v>
      </c>
      <c r="E30" s="75" t="e">
        <f aca="false">#REF!</f>
        <v>#REF!</v>
      </c>
      <c r="F30" s="75" t="e">
        <f aca="false">#REF!</f>
        <v>#REF!</v>
      </c>
    </row>
    <row r="31" customFormat="false" ht="12.8" hidden="false" customHeight="false" outlineLevel="0" collapsed="false">
      <c r="A31" s="50" t="e">
        <f aca="false">_xlfn.CONCAT($A$1, ".", #REF!)</f>
        <v>#REF!</v>
      </c>
      <c r="B31" s="68" t="e">
        <f aca="false">_xlfn.CONCAT(#REF!, ":", #REF!)</f>
        <v>#REF!</v>
      </c>
      <c r="C31" s="75" t="e">
        <f aca="false">#REF!</f>
        <v>#REF!</v>
      </c>
      <c r="D31" s="75" t="e">
        <f aca="false">#REF!</f>
        <v>#REF!</v>
      </c>
      <c r="E31" s="75" t="e">
        <f aca="false">#REF!</f>
        <v>#REF!</v>
      </c>
      <c r="F31" s="75" t="e">
        <f aca="false">#REF!</f>
        <v>#REF!</v>
      </c>
    </row>
    <row r="32" customFormat="false" ht="12.8" hidden="false" customHeight="false" outlineLevel="0" collapsed="false">
      <c r="A32" s="50" t="e">
        <f aca="false">_xlfn.CONCAT($A$1, ".", #REF!)</f>
        <v>#REF!</v>
      </c>
      <c r="B32" s="68" t="e">
        <f aca="false">_xlfn.CONCAT(#REF!, ":", #REF!)</f>
        <v>#REF!</v>
      </c>
      <c r="C32" s="75" t="e">
        <f aca="false">#REF!</f>
        <v>#REF!</v>
      </c>
      <c r="D32" s="75" t="e">
        <f aca="false">#REF!</f>
        <v>#REF!</v>
      </c>
      <c r="E32" s="75" t="e">
        <f aca="false">#REF!</f>
        <v>#REF!</v>
      </c>
      <c r="F32" s="75" t="e">
        <f aca="false">#REF!</f>
        <v>#REF!</v>
      </c>
    </row>
    <row r="33" customFormat="false" ht="12.8" hidden="false" customHeight="false" outlineLevel="0" collapsed="false">
      <c r="A33" s="50" t="e">
        <f aca="false">_xlfn.CONCAT($A$1, ".", #REF!)</f>
        <v>#REF!</v>
      </c>
      <c r="B33" s="68" t="e">
        <f aca="false">_xlfn.CONCAT(#REF!, ":", #REF!)</f>
        <v>#REF!</v>
      </c>
      <c r="C33" s="75" t="e">
        <f aca="false">#REF!</f>
        <v>#REF!</v>
      </c>
      <c r="D33" s="75" t="e">
        <f aca="false">#REF!</f>
        <v>#REF!</v>
      </c>
      <c r="E33" s="75" t="e">
        <f aca="false">#REF!</f>
        <v>#REF!</v>
      </c>
      <c r="F33" s="75" t="e">
        <f aca="false">#REF!</f>
        <v>#REF!</v>
      </c>
    </row>
    <row r="34" customFormat="false" ht="12.8" hidden="false" customHeight="false" outlineLevel="0" collapsed="false">
      <c r="A34" s="50" t="e">
        <f aca="false">_xlfn.CONCAT($A$1, ".", #REF!)</f>
        <v>#REF!</v>
      </c>
      <c r="B34" s="68" t="e">
        <f aca="false">_xlfn.CONCAT(#REF!, ":", #REF!)</f>
        <v>#REF!</v>
      </c>
      <c r="C34" s="75" t="e">
        <f aca="false">#REF!</f>
        <v>#REF!</v>
      </c>
      <c r="D34" s="75" t="e">
        <f aca="false">#REF!</f>
        <v>#REF!</v>
      </c>
      <c r="E34" s="75" t="e">
        <f aca="false">#REF!</f>
        <v>#REF!</v>
      </c>
      <c r="F34" s="75" t="e">
        <f aca="false">#REF!</f>
        <v>#REF!</v>
      </c>
    </row>
    <row r="35" customFormat="false" ht="12.8" hidden="false" customHeight="false" outlineLevel="0" collapsed="false">
      <c r="A35" s="50" t="e">
        <f aca="false">_xlfn.CONCAT($A$1, ".", #REF!)</f>
        <v>#REF!</v>
      </c>
      <c r="B35" s="68" t="e">
        <f aca="false">_xlfn.CONCAT(#REF!, ":", #REF!)</f>
        <v>#REF!</v>
      </c>
      <c r="C35" s="75" t="e">
        <f aca="false">#REF!</f>
        <v>#REF!</v>
      </c>
      <c r="D35" s="75" t="e">
        <f aca="false">#REF!</f>
        <v>#REF!</v>
      </c>
      <c r="E35" s="75" t="e">
        <f aca="false">#REF!</f>
        <v>#REF!</v>
      </c>
      <c r="F35" s="75" t="e">
        <f aca="false">#REF!</f>
        <v>#REF!</v>
      </c>
    </row>
    <row r="36" customFormat="false" ht="12.8" hidden="false" customHeight="false" outlineLevel="0" collapsed="false">
      <c r="A36" s="50" t="e">
        <f aca="false">_xlfn.CONCAT($A$1, ".", #REF!)</f>
        <v>#REF!</v>
      </c>
      <c r="B36" s="68" t="e">
        <f aca="false">_xlfn.CONCAT(#REF!, ":", #REF!)</f>
        <v>#REF!</v>
      </c>
      <c r="C36" s="75" t="e">
        <f aca="false">#REF!</f>
        <v>#REF!</v>
      </c>
      <c r="D36" s="75" t="e">
        <f aca="false">#REF!</f>
        <v>#REF!</v>
      </c>
      <c r="E36" s="75" t="e">
        <f aca="false">#REF!</f>
        <v>#REF!</v>
      </c>
      <c r="F36" s="75" t="e">
        <f aca="false">#REF!</f>
        <v>#REF!</v>
      </c>
    </row>
    <row r="37" customFormat="false" ht="12.8" hidden="false" customHeight="false" outlineLevel="0" collapsed="false">
      <c r="A37" s="50" t="e">
        <f aca="false">_xlfn.CONCAT($A$1, ".", #REF!)</f>
        <v>#REF!</v>
      </c>
      <c r="B37" s="68" t="e">
        <f aca="false">_xlfn.CONCAT(#REF!, ":", #REF!)</f>
        <v>#REF!</v>
      </c>
      <c r="C37" s="75" t="e">
        <f aca="false">#REF!</f>
        <v>#REF!</v>
      </c>
      <c r="D37" s="75" t="e">
        <f aca="false">#REF!</f>
        <v>#REF!</v>
      </c>
      <c r="E37" s="75" t="e">
        <f aca="false">#REF!</f>
        <v>#REF!</v>
      </c>
      <c r="F37" s="75" t="e">
        <f aca="false">#REF!</f>
        <v>#REF!</v>
      </c>
    </row>
    <row r="38" customFormat="false" ht="12.8" hidden="false" customHeight="false" outlineLevel="0" collapsed="false">
      <c r="A38" s="50" t="e">
        <f aca="false">_xlfn.CONCAT($A$1, ".", #REF!)</f>
        <v>#REF!</v>
      </c>
      <c r="B38" s="68" t="e">
        <f aca="false">_xlfn.CONCAT(#REF!, ":", #REF!)</f>
        <v>#REF!</v>
      </c>
      <c r="C38" s="75" t="e">
        <f aca="false">#REF!</f>
        <v>#REF!</v>
      </c>
      <c r="D38" s="75" t="e">
        <f aca="false">#REF!</f>
        <v>#REF!</v>
      </c>
      <c r="E38" s="75" t="e">
        <f aca="false">#REF!</f>
        <v>#REF!</v>
      </c>
      <c r="F38" s="75" t="e">
        <f aca="false">#REF!</f>
        <v>#REF!</v>
      </c>
    </row>
    <row r="39" customFormat="false" ht="12.8" hidden="false" customHeight="false" outlineLevel="0" collapsed="false">
      <c r="A39" s="50" t="e">
        <f aca="false">_xlfn.CONCAT($A$1, ".", #REF!)</f>
        <v>#REF!</v>
      </c>
      <c r="B39" s="68" t="e">
        <f aca="false">_xlfn.CONCAT(#REF!, ":", #REF!)</f>
        <v>#REF!</v>
      </c>
      <c r="C39" s="75" t="e">
        <f aca="false">#REF!</f>
        <v>#REF!</v>
      </c>
      <c r="D39" s="75" t="e">
        <f aca="false">#REF!</f>
        <v>#REF!</v>
      </c>
      <c r="E39" s="75" t="e">
        <f aca="false">#REF!</f>
        <v>#REF!</v>
      </c>
      <c r="F39" s="75" t="e">
        <f aca="false">#REF!</f>
        <v>#REF!</v>
      </c>
    </row>
    <row r="40" customFormat="false" ht="12.8" hidden="false" customHeight="false" outlineLevel="0" collapsed="false">
      <c r="A40" s="50" t="e">
        <f aca="false">_xlfn.CONCAT($A$1, ".", #REF!)</f>
        <v>#REF!</v>
      </c>
      <c r="B40" s="68" t="e">
        <f aca="false">_xlfn.CONCAT(#REF!, ":", #REF!)</f>
        <v>#REF!</v>
      </c>
      <c r="C40" s="75" t="e">
        <f aca="false">#REF!</f>
        <v>#REF!</v>
      </c>
      <c r="D40" s="75" t="e">
        <f aca="false">#REF!</f>
        <v>#REF!</v>
      </c>
      <c r="E40" s="75" t="e">
        <f aca="false">#REF!</f>
        <v>#REF!</v>
      </c>
      <c r="F40" s="75" t="e">
        <f aca="false">#REF!</f>
        <v>#REF!</v>
      </c>
    </row>
    <row r="41" customFormat="false" ht="12.8" hidden="false" customHeight="false" outlineLevel="0" collapsed="false">
      <c r="A41" s="50" t="e">
        <f aca="false">_xlfn.CONCAT($A$1, ".", #REF!)</f>
        <v>#REF!</v>
      </c>
      <c r="B41" s="68" t="e">
        <f aca="false">_xlfn.CONCAT(#REF!, ":", #REF!)</f>
        <v>#REF!</v>
      </c>
      <c r="C41" s="75" t="e">
        <f aca="false">#REF!</f>
        <v>#REF!</v>
      </c>
      <c r="D41" s="75" t="e">
        <f aca="false">#REF!</f>
        <v>#REF!</v>
      </c>
      <c r="E41" s="75" t="e">
        <f aca="false">#REF!</f>
        <v>#REF!</v>
      </c>
      <c r="F41" s="75" t="e">
        <f aca="false">#REF!</f>
        <v>#REF!</v>
      </c>
    </row>
    <row r="42" customFormat="false" ht="12.8" hidden="false" customHeight="false" outlineLevel="0" collapsed="false">
      <c r="A42" s="50" t="e">
        <f aca="false">_xlfn.CONCAT($A$1, ".", #REF!)</f>
        <v>#REF!</v>
      </c>
      <c r="B42" s="68" t="e">
        <f aca="false">_xlfn.CONCAT(#REF!, ":", #REF!)</f>
        <v>#REF!</v>
      </c>
      <c r="C42" s="75" t="e">
        <f aca="false">#REF!</f>
        <v>#REF!</v>
      </c>
      <c r="D42" s="75" t="e">
        <f aca="false">#REF!</f>
        <v>#REF!</v>
      </c>
      <c r="E42" s="75" t="e">
        <f aca="false">#REF!</f>
        <v>#REF!</v>
      </c>
      <c r="F42" s="75" t="e">
        <f aca="false">#REF!</f>
        <v>#REF!</v>
      </c>
    </row>
    <row r="43" customFormat="false" ht="12.8" hidden="false" customHeight="false" outlineLevel="0" collapsed="false">
      <c r="A43" s="50" t="e">
        <f aca="false">_xlfn.CONCAT($A$1, ".", #REF!)</f>
        <v>#REF!</v>
      </c>
      <c r="B43" s="68" t="e">
        <f aca="false">_xlfn.CONCAT(#REF!, ":", #REF!)</f>
        <v>#REF!</v>
      </c>
      <c r="C43" s="75" t="e">
        <f aca="false">#REF!</f>
        <v>#REF!</v>
      </c>
      <c r="D43" s="75" t="e">
        <f aca="false">#REF!</f>
        <v>#REF!</v>
      </c>
      <c r="E43" s="75" t="e">
        <f aca="false">#REF!</f>
        <v>#REF!</v>
      </c>
      <c r="F43" s="75" t="e">
        <f aca="false">#REF!</f>
        <v>#REF!</v>
      </c>
    </row>
    <row r="44" customFormat="false" ht="12.8" hidden="false" customHeight="false" outlineLevel="0" collapsed="false">
      <c r="A44" s="50" t="e">
        <f aca="false">_xlfn.CONCAT($A$1, ".", #REF!)</f>
        <v>#REF!</v>
      </c>
      <c r="B44" s="68" t="e">
        <f aca="false">_xlfn.CONCAT(#REF!, ":", #REF!)</f>
        <v>#REF!</v>
      </c>
      <c r="C44" s="75" t="e">
        <f aca="false">#REF!</f>
        <v>#REF!</v>
      </c>
      <c r="D44" s="75" t="e">
        <f aca="false">#REF!</f>
        <v>#REF!</v>
      </c>
      <c r="E44" s="75" t="e">
        <f aca="false">#REF!</f>
        <v>#REF!</v>
      </c>
      <c r="F44" s="75" t="e">
        <f aca="false">#REF!</f>
        <v>#REF!</v>
      </c>
    </row>
    <row r="45" customFormat="false" ht="12.8" hidden="false" customHeight="false" outlineLevel="0" collapsed="false">
      <c r="A45" s="50" t="e">
        <f aca="false">_xlfn.CONCAT($A$1, ".", #REF!)</f>
        <v>#REF!</v>
      </c>
      <c r="B45" s="68" t="e">
        <f aca="false">_xlfn.CONCAT(#REF!, ":", #REF!)</f>
        <v>#REF!</v>
      </c>
      <c r="C45" s="75" t="e">
        <f aca="false">#REF!</f>
        <v>#REF!</v>
      </c>
      <c r="D45" s="75" t="e">
        <f aca="false">#REF!</f>
        <v>#REF!</v>
      </c>
      <c r="E45" s="75" t="e">
        <f aca="false">#REF!</f>
        <v>#REF!</v>
      </c>
      <c r="F45" s="75" t="e">
        <f aca="false">#REF!</f>
        <v>#REF!</v>
      </c>
    </row>
    <row r="46" customFormat="false" ht="12.8" hidden="false" customHeight="false" outlineLevel="0" collapsed="false">
      <c r="A46" s="50" t="e">
        <f aca="false">_xlfn.CONCAT($A$1, ".", #REF!)</f>
        <v>#REF!</v>
      </c>
      <c r="B46" s="68" t="e">
        <f aca="false">_xlfn.CONCAT(#REF!, ":", #REF!)</f>
        <v>#REF!</v>
      </c>
      <c r="C46" s="75" t="e">
        <f aca="false">#REF!</f>
        <v>#REF!</v>
      </c>
      <c r="D46" s="75" t="e">
        <f aca="false">#REF!</f>
        <v>#REF!</v>
      </c>
      <c r="E46" s="75" t="e">
        <f aca="false">#REF!</f>
        <v>#REF!</v>
      </c>
      <c r="F46" s="75" t="e">
        <f aca="false">#REF!</f>
        <v>#REF!</v>
      </c>
    </row>
    <row r="47" customFormat="false" ht="12.8" hidden="false" customHeight="false" outlineLevel="0" collapsed="false">
      <c r="A47" s="50" t="e">
        <f aca="false">_xlfn.CONCAT($A$1, ".", #REF!)</f>
        <v>#REF!</v>
      </c>
      <c r="B47" s="68" t="e">
        <f aca="false">_xlfn.CONCAT(#REF!, ":", #REF!)</f>
        <v>#REF!</v>
      </c>
      <c r="C47" s="75" t="e">
        <f aca="false">#REF!</f>
        <v>#REF!</v>
      </c>
      <c r="D47" s="75" t="e">
        <f aca="false">#REF!</f>
        <v>#REF!</v>
      </c>
      <c r="E47" s="75" t="e">
        <f aca="false">#REF!</f>
        <v>#REF!</v>
      </c>
      <c r="F47" s="75" t="e">
        <f aca="false">#REF!</f>
        <v>#REF!</v>
      </c>
    </row>
    <row r="48" customFormat="false" ht="12.8" hidden="false" customHeight="false" outlineLevel="0" collapsed="false">
      <c r="A48" s="50" t="e">
        <f aca="false">_xlfn.CONCAT($A$1, ".", #REF!)</f>
        <v>#REF!</v>
      </c>
      <c r="B48" s="68" t="e">
        <f aca="false">_xlfn.CONCAT(#REF!, ":", #REF!)</f>
        <v>#REF!</v>
      </c>
      <c r="C48" s="75" t="e">
        <f aca="false">#REF!</f>
        <v>#REF!</v>
      </c>
      <c r="D48" s="75" t="e">
        <f aca="false">#REF!</f>
        <v>#REF!</v>
      </c>
      <c r="E48" s="75" t="e">
        <f aca="false">#REF!</f>
        <v>#REF!</v>
      </c>
      <c r="F48" s="75" t="e">
        <f aca="false">#REF!</f>
        <v>#REF!</v>
      </c>
    </row>
    <row r="49" customFormat="false" ht="12.8" hidden="false" customHeight="false" outlineLevel="0" collapsed="false">
      <c r="A49" s="50" t="e">
        <f aca="false">_xlfn.CONCAT($A$1, ".", #REF!)</f>
        <v>#REF!</v>
      </c>
      <c r="B49" s="68" t="e">
        <f aca="false">_xlfn.CONCAT(#REF!, ":", #REF!)</f>
        <v>#REF!</v>
      </c>
      <c r="C49" s="75" t="e">
        <f aca="false">#REF!</f>
        <v>#REF!</v>
      </c>
      <c r="D49" s="75" t="e">
        <f aca="false">#REF!</f>
        <v>#REF!</v>
      </c>
      <c r="E49" s="75" t="e">
        <f aca="false">#REF!</f>
        <v>#REF!</v>
      </c>
      <c r="F49" s="75" t="e">
        <f aca="false">#REF!</f>
        <v>#REF!</v>
      </c>
    </row>
    <row r="50" customFormat="false" ht="12.8" hidden="false" customHeight="false" outlineLevel="0" collapsed="false">
      <c r="A50" s="50" t="e">
        <f aca="false">_xlfn.CONCAT($A$1, ".", #REF!)</f>
        <v>#REF!</v>
      </c>
      <c r="B50" s="68" t="e">
        <f aca="false">_xlfn.CONCAT(#REF!, ":", #REF!)</f>
        <v>#REF!</v>
      </c>
      <c r="C50" s="75" t="e">
        <f aca="false">#REF!</f>
        <v>#REF!</v>
      </c>
      <c r="D50" s="75" t="e">
        <f aca="false">#REF!</f>
        <v>#REF!</v>
      </c>
      <c r="E50" s="75" t="e">
        <f aca="false">#REF!</f>
        <v>#REF!</v>
      </c>
      <c r="F50" s="75" t="e">
        <f aca="false">#REF!</f>
        <v>#REF!</v>
      </c>
    </row>
    <row r="51" customFormat="false" ht="12.8" hidden="false" customHeight="false" outlineLevel="0" collapsed="false">
      <c r="A51" s="50" t="e">
        <f aca="false">_xlfn.CONCAT($A$1, ".", #REF!)</f>
        <v>#REF!</v>
      </c>
      <c r="B51" s="68" t="e">
        <f aca="false">_xlfn.CONCAT(#REF!, ":", #REF!)</f>
        <v>#REF!</v>
      </c>
      <c r="C51" s="75" t="e">
        <f aca="false">#REF!</f>
        <v>#REF!</v>
      </c>
      <c r="D51" s="75" t="e">
        <f aca="false">#REF!</f>
        <v>#REF!</v>
      </c>
      <c r="E51" s="75" t="e">
        <f aca="false">#REF!</f>
        <v>#REF!</v>
      </c>
      <c r="F51" s="75" t="e">
        <f aca="false">#REF!</f>
        <v>#REF!</v>
      </c>
    </row>
    <row r="52" customFormat="false" ht="12.8" hidden="false" customHeight="false" outlineLevel="0" collapsed="false">
      <c r="A52" s="50" t="e">
        <f aca="false">_xlfn.CONCAT($A$1, ".", #REF!)</f>
        <v>#REF!</v>
      </c>
      <c r="B52" s="68" t="e">
        <f aca="false">_xlfn.CONCAT(#REF!, ":", #REF!)</f>
        <v>#REF!</v>
      </c>
      <c r="C52" s="75" t="e">
        <f aca="false">#REF!</f>
        <v>#REF!</v>
      </c>
      <c r="D52" s="75" t="e">
        <f aca="false">#REF!</f>
        <v>#REF!</v>
      </c>
      <c r="E52" s="75" t="e">
        <f aca="false">#REF!</f>
        <v>#REF!</v>
      </c>
      <c r="F52" s="75" t="e">
        <f aca="false">#REF!</f>
        <v>#REF!</v>
      </c>
    </row>
    <row r="53" customFormat="false" ht="12.8" hidden="false" customHeight="false" outlineLevel="0" collapsed="false">
      <c r="A53" s="50" t="e">
        <f aca="false">_xlfn.CONCAT($A$1, ".", #REF!)</f>
        <v>#REF!</v>
      </c>
      <c r="B53" s="68" t="e">
        <f aca="false">_xlfn.CONCAT(#REF!, ":", #REF!)</f>
        <v>#REF!</v>
      </c>
      <c r="C53" s="75" t="e">
        <f aca="false">#REF!</f>
        <v>#REF!</v>
      </c>
      <c r="D53" s="75" t="e">
        <f aca="false">#REF!</f>
        <v>#REF!</v>
      </c>
      <c r="E53" s="75" t="e">
        <f aca="false">#REF!</f>
        <v>#REF!</v>
      </c>
      <c r="F53" s="75" t="e">
        <f aca="false">#REF!</f>
        <v>#REF!</v>
      </c>
    </row>
    <row r="54" customFormat="false" ht="12.8" hidden="false" customHeight="false" outlineLevel="0" collapsed="false">
      <c r="A54" s="50" t="e">
        <f aca="false">_xlfn.CONCAT($A$1, ".", #REF!)</f>
        <v>#REF!</v>
      </c>
      <c r="B54" s="68" t="e">
        <f aca="false">_xlfn.CONCAT(#REF!, ":", #REF!)</f>
        <v>#REF!</v>
      </c>
      <c r="C54" s="75" t="e">
        <f aca="false">#REF!</f>
        <v>#REF!</v>
      </c>
      <c r="D54" s="75" t="e">
        <f aca="false">#REF!</f>
        <v>#REF!</v>
      </c>
      <c r="E54" s="75" t="e">
        <f aca="false">#REF!</f>
        <v>#REF!</v>
      </c>
      <c r="F54" s="75" t="e">
        <f aca="false">#REF!</f>
        <v>#REF!</v>
      </c>
    </row>
    <row r="55" customFormat="false" ht="12.8" hidden="false" customHeight="false" outlineLevel="0" collapsed="false">
      <c r="A55" s="50" t="e">
        <f aca="false">_xlfn.CONCAT($A$1, ".", #REF!)</f>
        <v>#REF!</v>
      </c>
      <c r="B55" s="68" t="e">
        <f aca="false">_xlfn.CONCAT(#REF!, ":", #REF!)</f>
        <v>#REF!</v>
      </c>
      <c r="C55" s="75" t="e">
        <f aca="false">#REF!</f>
        <v>#REF!</v>
      </c>
      <c r="D55" s="75" t="e">
        <f aca="false">#REF!</f>
        <v>#REF!</v>
      </c>
      <c r="E55" s="75" t="e">
        <f aca="false">#REF!</f>
        <v>#REF!</v>
      </c>
      <c r="F55" s="75"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248"/>
  <sheetViews>
    <sheetView showFormulas="false" showGridLines="true" showRowColHeaders="true" showZeros="true" rightToLeft="false" tabSelected="false" showOutlineSymbols="true" defaultGridColor="true" view="normal" topLeftCell="A30" colorId="64" zoomScale="75" zoomScaleNormal="75" zoomScalePageLayoutView="100" workbookViewId="0">
      <selection pane="topLeft" activeCell="B45" activeCellId="1" sqref="D3:E3 B4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1002</v>
      </c>
      <c r="B1" s="52" t="s">
        <v>1003</v>
      </c>
      <c r="C1" s="6" t="s">
        <v>2</v>
      </c>
      <c r="D1" s="60" t="s">
        <v>1004</v>
      </c>
      <c r="AZ1" s="39"/>
      <c r="BP1" s="39"/>
    </row>
    <row r="2" customFormat="false" ht="35.05" hidden="false" customHeight="false" outlineLevel="0" collapsed="false">
      <c r="A2" s="64" t="s">
        <v>792</v>
      </c>
      <c r="B2" s="52" t="s">
        <v>793</v>
      </c>
      <c r="C2" s="74" t="str">
        <f aca="false">CALC!BH3</f>
        <v>ACTC Refund</v>
      </c>
      <c r="D2" s="74" t="str">
        <f aca="false">CALC!BI3</f>
        <v>Authorized Immigrant ACTC Refund</v>
      </c>
      <c r="E2" s="74" t="str">
        <f aca="false">CALC!BJ3</f>
        <v>Unauthorized Immigrant ACTC Refund</v>
      </c>
      <c r="F2" s="74" t="str">
        <f aca="false">CALC!BK3</f>
        <v>American Tax ACTC Refund</v>
      </c>
    </row>
    <row r="3" customFormat="false" ht="12.8" hidden="false" customHeight="false" outlineLevel="0" collapsed="false">
      <c r="A3" s="4" t="e">
        <f aca="false">_xlfn.CONCAT($A$1, ".", #REF!)</f>
        <v>#REF!</v>
      </c>
      <c r="B3" s="49" t="e">
        <f aca="false">_xlfn.CONCAT(#REF!, ":", #REF!)</f>
        <v>#REF!</v>
      </c>
      <c r="C3" s="74" t="e">
        <f aca="false">#REF!</f>
        <v>#REF!</v>
      </c>
      <c r="D3" s="74" t="e">
        <f aca="false">#REF!</f>
        <v>#REF!</v>
      </c>
      <c r="E3" s="74" t="e">
        <f aca="false">#REF!</f>
        <v>#REF!</v>
      </c>
      <c r="F3" s="74" t="e">
        <f aca="false">#REF!</f>
        <v>#REF!</v>
      </c>
    </row>
    <row r="4" customFormat="false" ht="12.8" hidden="false" customHeight="false" outlineLevel="0" collapsed="false">
      <c r="A4" s="50" t="e">
        <f aca="false">_xlfn.CONCAT($A$1, ".", #REF!)</f>
        <v>#REF!</v>
      </c>
      <c r="B4" s="68" t="e">
        <f aca="false">_xlfn.CONCAT(#REF!, ":", #REF!)</f>
        <v>#REF!</v>
      </c>
      <c r="C4" s="75" t="e">
        <f aca="false">#REF!</f>
        <v>#REF!</v>
      </c>
      <c r="D4" s="75" t="e">
        <f aca="false">#REF!</f>
        <v>#REF!</v>
      </c>
      <c r="E4" s="75" t="e">
        <f aca="false">#REF!</f>
        <v>#REF!</v>
      </c>
      <c r="F4" s="75" t="e">
        <f aca="false">#REF!</f>
        <v>#REF!</v>
      </c>
    </row>
    <row r="5" customFormat="false" ht="12.8" hidden="false" customHeight="false" outlineLevel="0" collapsed="false">
      <c r="A5" s="50" t="e">
        <f aca="false">_xlfn.CONCAT($A$1, ".", #REF!)</f>
        <v>#REF!</v>
      </c>
      <c r="B5" s="68" t="e">
        <f aca="false">_xlfn.CONCAT(#REF!, ":", #REF!)</f>
        <v>#REF!</v>
      </c>
      <c r="C5" s="75" t="e">
        <f aca="false">#REF!</f>
        <v>#REF!</v>
      </c>
      <c r="D5" s="75" t="e">
        <f aca="false">#REF!</f>
        <v>#REF!</v>
      </c>
      <c r="E5" s="75" t="e">
        <f aca="false">#REF!</f>
        <v>#REF!</v>
      </c>
      <c r="F5" s="75" t="e">
        <f aca="false">#REF!</f>
        <v>#REF!</v>
      </c>
    </row>
    <row r="6" customFormat="false" ht="12.8" hidden="false" customHeight="false" outlineLevel="0" collapsed="false">
      <c r="A6" s="50" t="e">
        <f aca="false">_xlfn.CONCAT($A$1, ".", #REF!)</f>
        <v>#REF!</v>
      </c>
      <c r="B6" s="68" t="e">
        <f aca="false">_xlfn.CONCAT(#REF!, ":", #REF!)</f>
        <v>#REF!</v>
      </c>
      <c r="C6" s="75" t="e">
        <f aca="false">#REF!</f>
        <v>#REF!</v>
      </c>
      <c r="D6" s="75" t="e">
        <f aca="false">#REF!</f>
        <v>#REF!</v>
      </c>
      <c r="E6" s="75" t="e">
        <f aca="false">#REF!</f>
        <v>#REF!</v>
      </c>
      <c r="F6" s="75" t="e">
        <f aca="false">#REF!</f>
        <v>#REF!</v>
      </c>
    </row>
    <row r="7" customFormat="false" ht="12.8" hidden="false" customHeight="false" outlineLevel="0" collapsed="false">
      <c r="A7" s="50" t="e">
        <f aca="false">_xlfn.CONCAT($A$1, ".", #REF!)</f>
        <v>#REF!</v>
      </c>
      <c r="B7" s="68" t="e">
        <f aca="false">_xlfn.CONCAT(#REF!, ":", #REF!)</f>
        <v>#REF!</v>
      </c>
      <c r="C7" s="75" t="e">
        <f aca="false">#REF!</f>
        <v>#REF!</v>
      </c>
      <c r="D7" s="75" t="e">
        <f aca="false">#REF!</f>
        <v>#REF!</v>
      </c>
      <c r="E7" s="75" t="e">
        <f aca="false">#REF!</f>
        <v>#REF!</v>
      </c>
      <c r="F7" s="75" t="e">
        <f aca="false">#REF!</f>
        <v>#REF!</v>
      </c>
    </row>
    <row r="8" customFormat="false" ht="12.8" hidden="false" customHeight="false" outlineLevel="0" collapsed="false">
      <c r="A8" s="50" t="e">
        <f aca="false">_xlfn.CONCAT($A$1, ".", #REF!)</f>
        <v>#REF!</v>
      </c>
      <c r="B8" s="68" t="e">
        <f aca="false">_xlfn.CONCAT(#REF!, ":", #REF!)</f>
        <v>#REF!</v>
      </c>
      <c r="C8" s="75" t="e">
        <f aca="false">#REF!</f>
        <v>#REF!</v>
      </c>
      <c r="D8" s="75" t="e">
        <f aca="false">#REF!</f>
        <v>#REF!</v>
      </c>
      <c r="E8" s="75" t="e">
        <f aca="false">#REF!</f>
        <v>#REF!</v>
      </c>
      <c r="F8" s="75" t="e">
        <f aca="false">#REF!</f>
        <v>#REF!</v>
      </c>
    </row>
    <row r="9" customFormat="false" ht="12.8" hidden="false" customHeight="false" outlineLevel="0" collapsed="false">
      <c r="A9" s="50" t="e">
        <f aca="false">_xlfn.CONCAT($A$1, ".", #REF!)</f>
        <v>#REF!</v>
      </c>
      <c r="B9" s="68" t="e">
        <f aca="false">_xlfn.CONCAT(#REF!, ":", #REF!)</f>
        <v>#REF!</v>
      </c>
      <c r="C9" s="75" t="e">
        <f aca="false">#REF!</f>
        <v>#REF!</v>
      </c>
      <c r="D9" s="75" t="e">
        <f aca="false">#REF!</f>
        <v>#REF!</v>
      </c>
      <c r="E9" s="75" t="e">
        <f aca="false">#REF!</f>
        <v>#REF!</v>
      </c>
      <c r="F9" s="75" t="e">
        <f aca="false">#REF!</f>
        <v>#REF!</v>
      </c>
    </row>
    <row r="10" customFormat="false" ht="12.8" hidden="false" customHeight="false" outlineLevel="0" collapsed="false">
      <c r="A10" s="50" t="e">
        <f aca="false">_xlfn.CONCAT($A$1, ".", #REF!)</f>
        <v>#REF!</v>
      </c>
      <c r="B10" s="68" t="e">
        <f aca="false">_xlfn.CONCAT(#REF!, ":", #REF!)</f>
        <v>#REF!</v>
      </c>
      <c r="C10" s="75" t="e">
        <f aca="false">#REF!</f>
        <v>#REF!</v>
      </c>
      <c r="D10" s="75" t="e">
        <f aca="false">#REF!</f>
        <v>#REF!</v>
      </c>
      <c r="E10" s="75" t="e">
        <f aca="false">#REF!</f>
        <v>#REF!</v>
      </c>
      <c r="F10" s="75" t="e">
        <f aca="false">#REF!</f>
        <v>#REF!</v>
      </c>
    </row>
    <row r="11" customFormat="false" ht="12.8" hidden="false" customHeight="false" outlineLevel="0" collapsed="false">
      <c r="A11" s="50" t="e">
        <f aca="false">_xlfn.CONCAT($A$1, ".", #REF!)</f>
        <v>#REF!</v>
      </c>
      <c r="B11" s="68" t="e">
        <f aca="false">_xlfn.CONCAT(#REF!, ":", #REF!)</f>
        <v>#REF!</v>
      </c>
      <c r="C11" s="75" t="e">
        <f aca="false">#REF!</f>
        <v>#REF!</v>
      </c>
      <c r="D11" s="75" t="e">
        <f aca="false">#REF!</f>
        <v>#REF!</v>
      </c>
      <c r="E11" s="75" t="e">
        <f aca="false">#REF!</f>
        <v>#REF!</v>
      </c>
      <c r="F11" s="75" t="e">
        <f aca="false">#REF!</f>
        <v>#REF!</v>
      </c>
    </row>
    <row r="12" customFormat="false" ht="12.8" hidden="false" customHeight="false" outlineLevel="0" collapsed="false">
      <c r="A12" s="50" t="e">
        <f aca="false">_xlfn.CONCAT($A$1, ".", #REF!)</f>
        <v>#REF!</v>
      </c>
      <c r="B12" s="68" t="e">
        <f aca="false">_xlfn.CONCAT(#REF!, ":", #REF!)</f>
        <v>#REF!</v>
      </c>
      <c r="C12" s="75" t="e">
        <f aca="false">#REF!</f>
        <v>#REF!</v>
      </c>
      <c r="D12" s="75" t="e">
        <f aca="false">#REF!</f>
        <v>#REF!</v>
      </c>
      <c r="E12" s="75" t="e">
        <f aca="false">#REF!</f>
        <v>#REF!</v>
      </c>
      <c r="F12" s="75" t="e">
        <f aca="false">#REF!</f>
        <v>#REF!</v>
      </c>
    </row>
    <row r="13" customFormat="false" ht="12.8" hidden="false" customHeight="false" outlineLevel="0" collapsed="false">
      <c r="A13" s="50" t="e">
        <f aca="false">_xlfn.CONCAT($A$1, ".", #REF!)</f>
        <v>#REF!</v>
      </c>
      <c r="B13" s="68" t="e">
        <f aca="false">_xlfn.CONCAT(#REF!, ":", #REF!)</f>
        <v>#REF!</v>
      </c>
      <c r="C13" s="75" t="e">
        <f aca="false">#REF!</f>
        <v>#REF!</v>
      </c>
      <c r="D13" s="75" t="e">
        <f aca="false">#REF!</f>
        <v>#REF!</v>
      </c>
      <c r="E13" s="75" t="e">
        <f aca="false">#REF!</f>
        <v>#REF!</v>
      </c>
      <c r="F13" s="75" t="e">
        <f aca="false">#REF!</f>
        <v>#REF!</v>
      </c>
    </row>
    <row r="14" customFormat="false" ht="12.8" hidden="false" customHeight="false" outlineLevel="0" collapsed="false">
      <c r="A14" s="50" t="e">
        <f aca="false">_xlfn.CONCAT($A$1, ".", #REF!)</f>
        <v>#REF!</v>
      </c>
      <c r="B14" s="68" t="e">
        <f aca="false">_xlfn.CONCAT(#REF!, ":", #REF!)</f>
        <v>#REF!</v>
      </c>
      <c r="C14" s="75" t="e">
        <f aca="false">#REF!</f>
        <v>#REF!</v>
      </c>
      <c r="D14" s="75" t="e">
        <f aca="false">#REF!</f>
        <v>#REF!</v>
      </c>
      <c r="E14" s="75" t="e">
        <f aca="false">#REF!</f>
        <v>#REF!</v>
      </c>
      <c r="F14" s="75" t="e">
        <f aca="false">#REF!</f>
        <v>#REF!</v>
      </c>
    </row>
    <row r="15" customFormat="false" ht="12.8" hidden="false" customHeight="false" outlineLevel="0" collapsed="false">
      <c r="A15" s="50" t="e">
        <f aca="false">_xlfn.CONCAT($A$1, ".", #REF!)</f>
        <v>#REF!</v>
      </c>
      <c r="B15" s="68" t="e">
        <f aca="false">_xlfn.CONCAT(#REF!, ":", #REF!)</f>
        <v>#REF!</v>
      </c>
      <c r="C15" s="75" t="e">
        <f aca="false">#REF!</f>
        <v>#REF!</v>
      </c>
      <c r="D15" s="75" t="e">
        <f aca="false">#REF!</f>
        <v>#REF!</v>
      </c>
      <c r="E15" s="75" t="e">
        <f aca="false">#REF!</f>
        <v>#REF!</v>
      </c>
      <c r="F15" s="75" t="e">
        <f aca="false">#REF!</f>
        <v>#REF!</v>
      </c>
    </row>
    <row r="16" customFormat="false" ht="12.8" hidden="false" customHeight="false" outlineLevel="0" collapsed="false">
      <c r="A16" s="50" t="e">
        <f aca="false">_xlfn.CONCAT($A$1, ".", #REF!)</f>
        <v>#REF!</v>
      </c>
      <c r="B16" s="68" t="e">
        <f aca="false">_xlfn.CONCAT(#REF!, ":", #REF!)</f>
        <v>#REF!</v>
      </c>
      <c r="C16" s="75" t="e">
        <f aca="false">#REF!</f>
        <v>#REF!</v>
      </c>
      <c r="D16" s="75" t="e">
        <f aca="false">#REF!</f>
        <v>#REF!</v>
      </c>
      <c r="E16" s="75" t="e">
        <f aca="false">#REF!</f>
        <v>#REF!</v>
      </c>
      <c r="F16" s="75" t="e">
        <f aca="false">#REF!</f>
        <v>#REF!</v>
      </c>
    </row>
    <row r="17" customFormat="false" ht="12.8" hidden="false" customHeight="false" outlineLevel="0" collapsed="false">
      <c r="A17" s="50" t="e">
        <f aca="false">_xlfn.CONCAT($A$1, ".", #REF!)</f>
        <v>#REF!</v>
      </c>
      <c r="B17" s="68" t="e">
        <f aca="false">_xlfn.CONCAT(#REF!, ":", #REF!)</f>
        <v>#REF!</v>
      </c>
      <c r="C17" s="75" t="e">
        <f aca="false">#REF!</f>
        <v>#REF!</v>
      </c>
      <c r="D17" s="75" t="e">
        <f aca="false">#REF!</f>
        <v>#REF!</v>
      </c>
      <c r="E17" s="75" t="e">
        <f aca="false">#REF!</f>
        <v>#REF!</v>
      </c>
      <c r="F17" s="75" t="e">
        <f aca="false">#REF!</f>
        <v>#REF!</v>
      </c>
    </row>
    <row r="18" customFormat="false" ht="12.8" hidden="false" customHeight="false" outlineLevel="0" collapsed="false">
      <c r="A18" s="50" t="e">
        <f aca="false">_xlfn.CONCAT($A$1, ".", #REF!)</f>
        <v>#REF!</v>
      </c>
      <c r="B18" s="68" t="e">
        <f aca="false">_xlfn.CONCAT(#REF!, ":", #REF!)</f>
        <v>#REF!</v>
      </c>
      <c r="C18" s="75" t="e">
        <f aca="false">#REF!</f>
        <v>#REF!</v>
      </c>
      <c r="D18" s="75" t="e">
        <f aca="false">#REF!</f>
        <v>#REF!</v>
      </c>
      <c r="E18" s="75" t="e">
        <f aca="false">#REF!</f>
        <v>#REF!</v>
      </c>
      <c r="F18" s="75" t="e">
        <f aca="false">#REF!</f>
        <v>#REF!</v>
      </c>
    </row>
    <row r="19" customFormat="false" ht="12.8" hidden="false" customHeight="false" outlineLevel="0" collapsed="false">
      <c r="A19" s="50" t="e">
        <f aca="false">_xlfn.CONCAT($A$1, ".", #REF!)</f>
        <v>#REF!</v>
      </c>
      <c r="B19" s="68" t="e">
        <f aca="false">_xlfn.CONCAT(#REF!, ":", #REF!)</f>
        <v>#REF!</v>
      </c>
      <c r="C19" s="75" t="e">
        <f aca="false">#REF!</f>
        <v>#REF!</v>
      </c>
      <c r="D19" s="75" t="e">
        <f aca="false">#REF!</f>
        <v>#REF!</v>
      </c>
      <c r="E19" s="75" t="e">
        <f aca="false">#REF!</f>
        <v>#REF!</v>
      </c>
      <c r="F19" s="75" t="e">
        <f aca="false">#REF!</f>
        <v>#REF!</v>
      </c>
    </row>
    <row r="20" customFormat="false" ht="12.8" hidden="false" customHeight="false" outlineLevel="0" collapsed="false">
      <c r="A20" s="50" t="e">
        <f aca="false">_xlfn.CONCAT($A$1, ".", #REF!)</f>
        <v>#REF!</v>
      </c>
      <c r="B20" s="68" t="e">
        <f aca="false">_xlfn.CONCAT(#REF!, ":", #REF!)</f>
        <v>#REF!</v>
      </c>
      <c r="C20" s="75" t="e">
        <f aca="false">#REF!</f>
        <v>#REF!</v>
      </c>
      <c r="D20" s="75" t="e">
        <f aca="false">#REF!</f>
        <v>#REF!</v>
      </c>
      <c r="E20" s="75" t="e">
        <f aca="false">#REF!</f>
        <v>#REF!</v>
      </c>
      <c r="F20" s="75" t="e">
        <f aca="false">#REF!</f>
        <v>#REF!</v>
      </c>
    </row>
    <row r="21" customFormat="false" ht="12.8" hidden="false" customHeight="false" outlineLevel="0" collapsed="false">
      <c r="A21" s="50" t="e">
        <f aca="false">_xlfn.CONCAT($A$1, ".", #REF!)</f>
        <v>#REF!</v>
      </c>
      <c r="B21" s="68" t="e">
        <f aca="false">_xlfn.CONCAT(#REF!, ":", #REF!)</f>
        <v>#REF!</v>
      </c>
      <c r="C21" s="75" t="e">
        <f aca="false">#REF!</f>
        <v>#REF!</v>
      </c>
      <c r="D21" s="75" t="e">
        <f aca="false">#REF!</f>
        <v>#REF!</v>
      </c>
      <c r="E21" s="75" t="e">
        <f aca="false">#REF!</f>
        <v>#REF!</v>
      </c>
      <c r="F21" s="75" t="e">
        <f aca="false">#REF!</f>
        <v>#REF!</v>
      </c>
    </row>
    <row r="22" customFormat="false" ht="12.8" hidden="false" customHeight="false" outlineLevel="0" collapsed="false">
      <c r="A22" s="50" t="e">
        <f aca="false">_xlfn.CONCAT($A$1, ".", #REF!)</f>
        <v>#REF!</v>
      </c>
      <c r="B22" s="68" t="e">
        <f aca="false">_xlfn.CONCAT(#REF!, ":", #REF!)</f>
        <v>#REF!</v>
      </c>
      <c r="C22" s="75" t="e">
        <f aca="false">#REF!</f>
        <v>#REF!</v>
      </c>
      <c r="D22" s="75" t="e">
        <f aca="false">#REF!</f>
        <v>#REF!</v>
      </c>
      <c r="E22" s="75" t="e">
        <f aca="false">#REF!</f>
        <v>#REF!</v>
      </c>
      <c r="F22" s="75" t="e">
        <f aca="false">#REF!</f>
        <v>#REF!</v>
      </c>
    </row>
    <row r="23" customFormat="false" ht="12.8" hidden="false" customHeight="false" outlineLevel="0" collapsed="false">
      <c r="A23" s="50" t="e">
        <f aca="false">_xlfn.CONCAT($A$1, ".", #REF!)</f>
        <v>#REF!</v>
      </c>
      <c r="B23" s="68" t="e">
        <f aca="false">_xlfn.CONCAT(#REF!, ":", #REF!)</f>
        <v>#REF!</v>
      </c>
      <c r="C23" s="75" t="e">
        <f aca="false">#REF!</f>
        <v>#REF!</v>
      </c>
      <c r="D23" s="75" t="e">
        <f aca="false">#REF!</f>
        <v>#REF!</v>
      </c>
      <c r="E23" s="75" t="e">
        <f aca="false">#REF!</f>
        <v>#REF!</v>
      </c>
      <c r="F23" s="75" t="e">
        <f aca="false">#REF!</f>
        <v>#REF!</v>
      </c>
    </row>
    <row r="24" customFormat="false" ht="12.8" hidden="false" customHeight="false" outlineLevel="0" collapsed="false">
      <c r="A24" s="50" t="e">
        <f aca="false">_xlfn.CONCAT($A$1, ".", #REF!)</f>
        <v>#REF!</v>
      </c>
      <c r="B24" s="68" t="e">
        <f aca="false">_xlfn.CONCAT(#REF!, ":", #REF!)</f>
        <v>#REF!</v>
      </c>
      <c r="C24" s="75" t="e">
        <f aca="false">#REF!</f>
        <v>#REF!</v>
      </c>
      <c r="D24" s="75" t="e">
        <f aca="false">#REF!</f>
        <v>#REF!</v>
      </c>
      <c r="E24" s="75" t="e">
        <f aca="false">#REF!</f>
        <v>#REF!</v>
      </c>
      <c r="F24" s="75" t="e">
        <f aca="false">#REF!</f>
        <v>#REF!</v>
      </c>
    </row>
    <row r="25" customFormat="false" ht="12.8" hidden="false" customHeight="false" outlineLevel="0" collapsed="false">
      <c r="A25" s="50" t="e">
        <f aca="false">_xlfn.CONCAT($A$1, ".", #REF!)</f>
        <v>#REF!</v>
      </c>
      <c r="B25" s="68" t="e">
        <f aca="false">_xlfn.CONCAT(#REF!, ":", #REF!)</f>
        <v>#REF!</v>
      </c>
      <c r="C25" s="75" t="e">
        <f aca="false">#REF!</f>
        <v>#REF!</v>
      </c>
      <c r="D25" s="75" t="e">
        <f aca="false">#REF!</f>
        <v>#REF!</v>
      </c>
      <c r="E25" s="75" t="e">
        <f aca="false">#REF!</f>
        <v>#REF!</v>
      </c>
      <c r="F25" s="75" t="e">
        <f aca="false">#REF!</f>
        <v>#REF!</v>
      </c>
    </row>
    <row r="26" customFormat="false" ht="12.8" hidden="false" customHeight="false" outlineLevel="0" collapsed="false">
      <c r="A26" s="50" t="e">
        <f aca="false">_xlfn.CONCAT($A$1, ".", #REF!)</f>
        <v>#REF!</v>
      </c>
      <c r="B26" s="68" t="e">
        <f aca="false">_xlfn.CONCAT(#REF!, ":", #REF!)</f>
        <v>#REF!</v>
      </c>
      <c r="C26" s="75" t="e">
        <f aca="false">#REF!</f>
        <v>#REF!</v>
      </c>
      <c r="D26" s="75" t="e">
        <f aca="false">#REF!</f>
        <v>#REF!</v>
      </c>
      <c r="E26" s="75" t="e">
        <f aca="false">#REF!</f>
        <v>#REF!</v>
      </c>
      <c r="F26" s="75" t="e">
        <f aca="false">#REF!</f>
        <v>#REF!</v>
      </c>
    </row>
    <row r="27" customFormat="false" ht="12.8" hidden="false" customHeight="false" outlineLevel="0" collapsed="false">
      <c r="A27" s="50" t="e">
        <f aca="false">_xlfn.CONCAT($A$1, ".", #REF!)</f>
        <v>#REF!</v>
      </c>
      <c r="B27" s="68" t="e">
        <f aca="false">_xlfn.CONCAT(#REF!, ":", #REF!)</f>
        <v>#REF!</v>
      </c>
      <c r="C27" s="75" t="e">
        <f aca="false">#REF!</f>
        <v>#REF!</v>
      </c>
      <c r="D27" s="75" t="e">
        <f aca="false">#REF!</f>
        <v>#REF!</v>
      </c>
      <c r="E27" s="75" t="e">
        <f aca="false">#REF!</f>
        <v>#REF!</v>
      </c>
      <c r="F27" s="75" t="e">
        <f aca="false">#REF!</f>
        <v>#REF!</v>
      </c>
    </row>
    <row r="28" customFormat="false" ht="12.8" hidden="false" customHeight="false" outlineLevel="0" collapsed="false">
      <c r="A28" s="50" t="e">
        <f aca="false">_xlfn.CONCAT($A$1, ".", #REF!)</f>
        <v>#REF!</v>
      </c>
      <c r="B28" s="68" t="e">
        <f aca="false">_xlfn.CONCAT(#REF!, ":", #REF!)</f>
        <v>#REF!</v>
      </c>
      <c r="C28" s="75" t="e">
        <f aca="false">#REF!</f>
        <v>#REF!</v>
      </c>
      <c r="D28" s="75" t="e">
        <f aca="false">#REF!</f>
        <v>#REF!</v>
      </c>
      <c r="E28" s="75" t="e">
        <f aca="false">#REF!</f>
        <v>#REF!</v>
      </c>
      <c r="F28" s="75" t="e">
        <f aca="false">#REF!</f>
        <v>#REF!</v>
      </c>
    </row>
    <row r="29" customFormat="false" ht="12.8" hidden="false" customHeight="false" outlineLevel="0" collapsed="false">
      <c r="A29" s="50" t="e">
        <f aca="false">_xlfn.CONCAT($A$1, ".", #REF!)</f>
        <v>#REF!</v>
      </c>
      <c r="B29" s="68" t="e">
        <f aca="false">_xlfn.CONCAT(#REF!, ":", #REF!)</f>
        <v>#REF!</v>
      </c>
      <c r="C29" s="75" t="e">
        <f aca="false">#REF!</f>
        <v>#REF!</v>
      </c>
      <c r="D29" s="75" t="e">
        <f aca="false">#REF!</f>
        <v>#REF!</v>
      </c>
      <c r="E29" s="75" t="e">
        <f aca="false">#REF!</f>
        <v>#REF!</v>
      </c>
      <c r="F29" s="75" t="e">
        <f aca="false">#REF!</f>
        <v>#REF!</v>
      </c>
    </row>
    <row r="30" customFormat="false" ht="12.8" hidden="false" customHeight="false" outlineLevel="0" collapsed="false">
      <c r="A30" s="50" t="e">
        <f aca="false">_xlfn.CONCAT($A$1, ".", #REF!)</f>
        <v>#REF!</v>
      </c>
      <c r="B30" s="68" t="e">
        <f aca="false">_xlfn.CONCAT(#REF!, ":", #REF!)</f>
        <v>#REF!</v>
      </c>
      <c r="C30" s="75" t="e">
        <f aca="false">#REF!</f>
        <v>#REF!</v>
      </c>
      <c r="D30" s="75" t="e">
        <f aca="false">#REF!</f>
        <v>#REF!</v>
      </c>
      <c r="E30" s="75" t="e">
        <f aca="false">#REF!</f>
        <v>#REF!</v>
      </c>
      <c r="F30" s="75" t="e">
        <f aca="false">#REF!</f>
        <v>#REF!</v>
      </c>
    </row>
    <row r="31" customFormat="false" ht="12.8" hidden="false" customHeight="false" outlineLevel="0" collapsed="false">
      <c r="A31" s="50" t="e">
        <f aca="false">_xlfn.CONCAT($A$1, ".", #REF!)</f>
        <v>#REF!</v>
      </c>
      <c r="B31" s="68" t="e">
        <f aca="false">_xlfn.CONCAT(#REF!, ":", #REF!)</f>
        <v>#REF!</v>
      </c>
      <c r="C31" s="75" t="e">
        <f aca="false">#REF!</f>
        <v>#REF!</v>
      </c>
      <c r="D31" s="75" t="e">
        <f aca="false">#REF!</f>
        <v>#REF!</v>
      </c>
      <c r="E31" s="75" t="e">
        <f aca="false">#REF!</f>
        <v>#REF!</v>
      </c>
      <c r="F31" s="75" t="e">
        <f aca="false">#REF!</f>
        <v>#REF!</v>
      </c>
    </row>
    <row r="32" customFormat="false" ht="12.8" hidden="false" customHeight="false" outlineLevel="0" collapsed="false">
      <c r="A32" s="50" t="e">
        <f aca="false">_xlfn.CONCAT($A$1, ".", #REF!)</f>
        <v>#REF!</v>
      </c>
      <c r="B32" s="68" t="e">
        <f aca="false">_xlfn.CONCAT(#REF!, ":", #REF!)</f>
        <v>#REF!</v>
      </c>
      <c r="C32" s="75" t="e">
        <f aca="false">#REF!</f>
        <v>#REF!</v>
      </c>
      <c r="D32" s="75" t="e">
        <f aca="false">#REF!</f>
        <v>#REF!</v>
      </c>
      <c r="E32" s="75" t="e">
        <f aca="false">#REF!</f>
        <v>#REF!</v>
      </c>
      <c r="F32" s="75" t="e">
        <f aca="false">#REF!</f>
        <v>#REF!</v>
      </c>
    </row>
    <row r="33" customFormat="false" ht="12.8" hidden="false" customHeight="false" outlineLevel="0" collapsed="false">
      <c r="A33" s="50" t="e">
        <f aca="false">_xlfn.CONCAT($A$1, ".", #REF!)</f>
        <v>#REF!</v>
      </c>
      <c r="B33" s="68" t="e">
        <f aca="false">_xlfn.CONCAT(#REF!, ":", #REF!)</f>
        <v>#REF!</v>
      </c>
      <c r="C33" s="75" t="e">
        <f aca="false">#REF!</f>
        <v>#REF!</v>
      </c>
      <c r="D33" s="75" t="e">
        <f aca="false">#REF!</f>
        <v>#REF!</v>
      </c>
      <c r="E33" s="75" t="e">
        <f aca="false">#REF!</f>
        <v>#REF!</v>
      </c>
      <c r="F33" s="75" t="e">
        <f aca="false">#REF!</f>
        <v>#REF!</v>
      </c>
    </row>
    <row r="34" customFormat="false" ht="12.8" hidden="false" customHeight="false" outlineLevel="0" collapsed="false">
      <c r="A34" s="50" t="e">
        <f aca="false">_xlfn.CONCAT($A$1, ".", #REF!)</f>
        <v>#REF!</v>
      </c>
      <c r="B34" s="68" t="e">
        <f aca="false">_xlfn.CONCAT(#REF!, ":", #REF!)</f>
        <v>#REF!</v>
      </c>
      <c r="C34" s="75" t="e">
        <f aca="false">#REF!</f>
        <v>#REF!</v>
      </c>
      <c r="D34" s="75" t="e">
        <f aca="false">#REF!</f>
        <v>#REF!</v>
      </c>
      <c r="E34" s="75" t="e">
        <f aca="false">#REF!</f>
        <v>#REF!</v>
      </c>
      <c r="F34" s="75" t="e">
        <f aca="false">#REF!</f>
        <v>#REF!</v>
      </c>
    </row>
    <row r="35" customFormat="false" ht="12.8" hidden="false" customHeight="false" outlineLevel="0" collapsed="false">
      <c r="A35" s="50" t="e">
        <f aca="false">_xlfn.CONCAT($A$1, ".", #REF!)</f>
        <v>#REF!</v>
      </c>
      <c r="B35" s="68" t="e">
        <f aca="false">_xlfn.CONCAT(#REF!, ":", #REF!)</f>
        <v>#REF!</v>
      </c>
      <c r="C35" s="75" t="e">
        <f aca="false">#REF!</f>
        <v>#REF!</v>
      </c>
      <c r="D35" s="75" t="e">
        <f aca="false">#REF!</f>
        <v>#REF!</v>
      </c>
      <c r="E35" s="75" t="e">
        <f aca="false">#REF!</f>
        <v>#REF!</v>
      </c>
      <c r="F35" s="75" t="e">
        <f aca="false">#REF!</f>
        <v>#REF!</v>
      </c>
    </row>
    <row r="36" customFormat="false" ht="12.8" hidden="false" customHeight="false" outlineLevel="0" collapsed="false">
      <c r="A36" s="50" t="e">
        <f aca="false">_xlfn.CONCAT($A$1, ".", #REF!)</f>
        <v>#REF!</v>
      </c>
      <c r="B36" s="68" t="e">
        <f aca="false">_xlfn.CONCAT(#REF!, ":", #REF!)</f>
        <v>#REF!</v>
      </c>
      <c r="C36" s="75" t="e">
        <f aca="false">#REF!</f>
        <v>#REF!</v>
      </c>
      <c r="D36" s="75" t="e">
        <f aca="false">#REF!</f>
        <v>#REF!</v>
      </c>
      <c r="E36" s="75" t="e">
        <f aca="false">#REF!</f>
        <v>#REF!</v>
      </c>
      <c r="F36" s="75" t="e">
        <f aca="false">#REF!</f>
        <v>#REF!</v>
      </c>
    </row>
    <row r="37" customFormat="false" ht="12.8" hidden="false" customHeight="false" outlineLevel="0" collapsed="false">
      <c r="A37" s="50" t="e">
        <f aca="false">_xlfn.CONCAT($A$1, ".", #REF!)</f>
        <v>#REF!</v>
      </c>
      <c r="B37" s="68" t="e">
        <f aca="false">_xlfn.CONCAT(#REF!, ":", #REF!)</f>
        <v>#REF!</v>
      </c>
      <c r="C37" s="75" t="e">
        <f aca="false">#REF!</f>
        <v>#REF!</v>
      </c>
      <c r="D37" s="75" t="e">
        <f aca="false">#REF!</f>
        <v>#REF!</v>
      </c>
      <c r="E37" s="75" t="e">
        <f aca="false">#REF!</f>
        <v>#REF!</v>
      </c>
      <c r="F37" s="75" t="e">
        <f aca="false">#REF!</f>
        <v>#REF!</v>
      </c>
    </row>
    <row r="38" customFormat="false" ht="12.8" hidden="false" customHeight="false" outlineLevel="0" collapsed="false">
      <c r="A38" s="50" t="e">
        <f aca="false">_xlfn.CONCAT($A$1, ".", #REF!)</f>
        <v>#REF!</v>
      </c>
      <c r="B38" s="68" t="e">
        <f aca="false">_xlfn.CONCAT(#REF!, ":", #REF!)</f>
        <v>#REF!</v>
      </c>
      <c r="C38" s="75" t="e">
        <f aca="false">#REF!</f>
        <v>#REF!</v>
      </c>
      <c r="D38" s="75" t="e">
        <f aca="false">#REF!</f>
        <v>#REF!</v>
      </c>
      <c r="E38" s="75" t="e">
        <f aca="false">#REF!</f>
        <v>#REF!</v>
      </c>
      <c r="F38" s="75" t="e">
        <f aca="false">#REF!</f>
        <v>#REF!</v>
      </c>
    </row>
    <row r="39" customFormat="false" ht="12.8" hidden="false" customHeight="false" outlineLevel="0" collapsed="false">
      <c r="A39" s="50" t="e">
        <f aca="false">_xlfn.CONCAT($A$1, ".", #REF!)</f>
        <v>#REF!</v>
      </c>
      <c r="B39" s="68" t="e">
        <f aca="false">_xlfn.CONCAT(#REF!, ":", #REF!)</f>
        <v>#REF!</v>
      </c>
      <c r="C39" s="75" t="e">
        <f aca="false">#REF!</f>
        <v>#REF!</v>
      </c>
      <c r="D39" s="75" t="e">
        <f aca="false">#REF!</f>
        <v>#REF!</v>
      </c>
      <c r="E39" s="75" t="e">
        <f aca="false">#REF!</f>
        <v>#REF!</v>
      </c>
      <c r="F39" s="75" t="e">
        <f aca="false">#REF!</f>
        <v>#REF!</v>
      </c>
    </row>
    <row r="40" customFormat="false" ht="12.8" hidden="false" customHeight="false" outlineLevel="0" collapsed="false">
      <c r="A40" s="50" t="e">
        <f aca="false">_xlfn.CONCAT($A$1, ".", #REF!)</f>
        <v>#REF!</v>
      </c>
      <c r="B40" s="68" t="e">
        <f aca="false">_xlfn.CONCAT(#REF!, ":", #REF!)</f>
        <v>#REF!</v>
      </c>
      <c r="C40" s="75" t="e">
        <f aca="false">#REF!</f>
        <v>#REF!</v>
      </c>
      <c r="D40" s="75" t="e">
        <f aca="false">#REF!</f>
        <v>#REF!</v>
      </c>
      <c r="E40" s="75" t="e">
        <f aca="false">#REF!</f>
        <v>#REF!</v>
      </c>
      <c r="F40" s="75" t="e">
        <f aca="false">#REF!</f>
        <v>#REF!</v>
      </c>
    </row>
    <row r="41" customFormat="false" ht="12.8" hidden="false" customHeight="false" outlineLevel="0" collapsed="false">
      <c r="A41" s="50" t="e">
        <f aca="false">_xlfn.CONCAT($A$1, ".", #REF!)</f>
        <v>#REF!</v>
      </c>
      <c r="B41" s="68" t="e">
        <f aca="false">_xlfn.CONCAT(#REF!, ":", #REF!)</f>
        <v>#REF!</v>
      </c>
      <c r="C41" s="75" t="e">
        <f aca="false">#REF!</f>
        <v>#REF!</v>
      </c>
      <c r="D41" s="75" t="e">
        <f aca="false">#REF!</f>
        <v>#REF!</v>
      </c>
      <c r="E41" s="75" t="e">
        <f aca="false">#REF!</f>
        <v>#REF!</v>
      </c>
      <c r="F41" s="75" t="e">
        <f aca="false">#REF!</f>
        <v>#REF!</v>
      </c>
    </row>
    <row r="42" customFormat="false" ht="12.8" hidden="false" customHeight="false" outlineLevel="0" collapsed="false">
      <c r="A42" s="50" t="e">
        <f aca="false">_xlfn.CONCAT($A$1, ".", #REF!)</f>
        <v>#REF!</v>
      </c>
      <c r="B42" s="68" t="e">
        <f aca="false">_xlfn.CONCAT(#REF!, ":", #REF!)</f>
        <v>#REF!</v>
      </c>
      <c r="C42" s="75" t="e">
        <f aca="false">#REF!</f>
        <v>#REF!</v>
      </c>
      <c r="D42" s="75" t="e">
        <f aca="false">#REF!</f>
        <v>#REF!</v>
      </c>
      <c r="E42" s="75" t="e">
        <f aca="false">#REF!</f>
        <v>#REF!</v>
      </c>
      <c r="F42" s="75" t="e">
        <f aca="false">#REF!</f>
        <v>#REF!</v>
      </c>
    </row>
    <row r="43" customFormat="false" ht="12.8" hidden="false" customHeight="false" outlineLevel="0" collapsed="false">
      <c r="A43" s="50" t="e">
        <f aca="false">_xlfn.CONCAT($A$1, ".", #REF!)</f>
        <v>#REF!</v>
      </c>
      <c r="B43" s="68" t="e">
        <f aca="false">_xlfn.CONCAT(#REF!, ":", #REF!)</f>
        <v>#REF!</v>
      </c>
      <c r="C43" s="75" t="e">
        <f aca="false">#REF!</f>
        <v>#REF!</v>
      </c>
      <c r="D43" s="75" t="e">
        <f aca="false">#REF!</f>
        <v>#REF!</v>
      </c>
      <c r="E43" s="75" t="e">
        <f aca="false">#REF!</f>
        <v>#REF!</v>
      </c>
      <c r="F43" s="75" t="e">
        <f aca="false">#REF!</f>
        <v>#REF!</v>
      </c>
    </row>
    <row r="44" customFormat="false" ht="12.8" hidden="false" customHeight="false" outlineLevel="0" collapsed="false">
      <c r="A44" s="50" t="e">
        <f aca="false">_xlfn.CONCAT($A$1, ".", #REF!)</f>
        <v>#REF!</v>
      </c>
      <c r="B44" s="68" t="e">
        <f aca="false">_xlfn.CONCAT(#REF!, ":", #REF!)</f>
        <v>#REF!</v>
      </c>
      <c r="C44" s="75" t="e">
        <f aca="false">#REF!</f>
        <v>#REF!</v>
      </c>
      <c r="D44" s="75" t="e">
        <f aca="false">#REF!</f>
        <v>#REF!</v>
      </c>
      <c r="E44" s="75" t="e">
        <f aca="false">#REF!</f>
        <v>#REF!</v>
      </c>
      <c r="F44" s="75" t="e">
        <f aca="false">#REF!</f>
        <v>#REF!</v>
      </c>
    </row>
    <row r="45" customFormat="false" ht="12.8" hidden="false" customHeight="false" outlineLevel="0" collapsed="false">
      <c r="A45" s="50" t="e">
        <f aca="false">_xlfn.CONCAT($A$1, ".", #REF!)</f>
        <v>#REF!</v>
      </c>
      <c r="B45" s="68" t="e">
        <f aca="false">_xlfn.CONCAT(#REF!, ":", #REF!)</f>
        <v>#REF!</v>
      </c>
      <c r="C45" s="75" t="e">
        <f aca="false">#REF!</f>
        <v>#REF!</v>
      </c>
      <c r="D45" s="75" t="e">
        <f aca="false">#REF!</f>
        <v>#REF!</v>
      </c>
      <c r="E45" s="75" t="e">
        <f aca="false">#REF!</f>
        <v>#REF!</v>
      </c>
      <c r="F45" s="75" t="e">
        <f aca="false">#REF!</f>
        <v>#REF!</v>
      </c>
    </row>
    <row r="46" customFormat="false" ht="12.8" hidden="false" customHeight="false" outlineLevel="0" collapsed="false">
      <c r="A46" s="50" t="e">
        <f aca="false">_xlfn.CONCAT($A$1, ".", #REF!)</f>
        <v>#REF!</v>
      </c>
      <c r="B46" s="68" t="e">
        <f aca="false">_xlfn.CONCAT(#REF!, ":", #REF!)</f>
        <v>#REF!</v>
      </c>
      <c r="C46" s="75" t="e">
        <f aca="false">#REF!</f>
        <v>#REF!</v>
      </c>
      <c r="D46" s="75" t="e">
        <f aca="false">#REF!</f>
        <v>#REF!</v>
      </c>
      <c r="E46" s="75" t="e">
        <f aca="false">#REF!</f>
        <v>#REF!</v>
      </c>
      <c r="F46" s="75" t="e">
        <f aca="false">#REF!</f>
        <v>#REF!</v>
      </c>
    </row>
    <row r="47" customFormat="false" ht="12.8" hidden="false" customHeight="false" outlineLevel="0" collapsed="false">
      <c r="A47" s="50" t="e">
        <f aca="false">_xlfn.CONCAT($A$1, ".", #REF!)</f>
        <v>#REF!</v>
      </c>
      <c r="B47" s="68" t="e">
        <f aca="false">_xlfn.CONCAT(#REF!, ":", #REF!)</f>
        <v>#REF!</v>
      </c>
      <c r="C47" s="75" t="e">
        <f aca="false">#REF!</f>
        <v>#REF!</v>
      </c>
      <c r="D47" s="75" t="e">
        <f aca="false">#REF!</f>
        <v>#REF!</v>
      </c>
      <c r="E47" s="75" t="e">
        <f aca="false">#REF!</f>
        <v>#REF!</v>
      </c>
      <c r="F47" s="75" t="e">
        <f aca="false">#REF!</f>
        <v>#REF!</v>
      </c>
    </row>
    <row r="48" customFormat="false" ht="12.8" hidden="false" customHeight="false" outlineLevel="0" collapsed="false">
      <c r="A48" s="50" t="e">
        <f aca="false">_xlfn.CONCAT($A$1, ".", #REF!)</f>
        <v>#REF!</v>
      </c>
      <c r="B48" s="68" t="e">
        <f aca="false">_xlfn.CONCAT(#REF!, ":", #REF!)</f>
        <v>#REF!</v>
      </c>
      <c r="C48" s="75" t="e">
        <f aca="false">#REF!</f>
        <v>#REF!</v>
      </c>
      <c r="D48" s="75" t="e">
        <f aca="false">#REF!</f>
        <v>#REF!</v>
      </c>
      <c r="E48" s="75" t="e">
        <f aca="false">#REF!</f>
        <v>#REF!</v>
      </c>
      <c r="F48" s="75" t="e">
        <f aca="false">#REF!</f>
        <v>#REF!</v>
      </c>
    </row>
    <row r="49" customFormat="false" ht="12.8" hidden="false" customHeight="false" outlineLevel="0" collapsed="false">
      <c r="A49" s="50" t="e">
        <f aca="false">_xlfn.CONCAT($A$1, ".", #REF!)</f>
        <v>#REF!</v>
      </c>
      <c r="B49" s="68" t="e">
        <f aca="false">_xlfn.CONCAT(#REF!, ":", #REF!)</f>
        <v>#REF!</v>
      </c>
      <c r="C49" s="75" t="e">
        <f aca="false">#REF!</f>
        <v>#REF!</v>
      </c>
      <c r="D49" s="75" t="e">
        <f aca="false">#REF!</f>
        <v>#REF!</v>
      </c>
      <c r="E49" s="75" t="e">
        <f aca="false">#REF!</f>
        <v>#REF!</v>
      </c>
      <c r="F49" s="75" t="e">
        <f aca="false">#REF!</f>
        <v>#REF!</v>
      </c>
    </row>
    <row r="50" customFormat="false" ht="12.8" hidden="false" customHeight="false" outlineLevel="0" collapsed="false">
      <c r="A50" s="50" t="e">
        <f aca="false">_xlfn.CONCAT($A$1, ".", #REF!)</f>
        <v>#REF!</v>
      </c>
      <c r="B50" s="68" t="e">
        <f aca="false">_xlfn.CONCAT(#REF!, ":", #REF!)</f>
        <v>#REF!</v>
      </c>
      <c r="C50" s="75" t="e">
        <f aca="false">#REF!</f>
        <v>#REF!</v>
      </c>
      <c r="D50" s="75" t="e">
        <f aca="false">#REF!</f>
        <v>#REF!</v>
      </c>
      <c r="E50" s="75" t="e">
        <f aca="false">#REF!</f>
        <v>#REF!</v>
      </c>
      <c r="F50" s="75" t="e">
        <f aca="false">#REF!</f>
        <v>#REF!</v>
      </c>
    </row>
    <row r="51" customFormat="false" ht="12.8" hidden="false" customHeight="false" outlineLevel="0" collapsed="false">
      <c r="A51" s="50" t="e">
        <f aca="false">_xlfn.CONCAT($A$1, ".", #REF!)</f>
        <v>#REF!</v>
      </c>
      <c r="B51" s="68" t="e">
        <f aca="false">_xlfn.CONCAT(#REF!, ":", #REF!)</f>
        <v>#REF!</v>
      </c>
      <c r="C51" s="75" t="e">
        <f aca="false">#REF!</f>
        <v>#REF!</v>
      </c>
      <c r="D51" s="75" t="e">
        <f aca="false">#REF!</f>
        <v>#REF!</v>
      </c>
      <c r="E51" s="75" t="e">
        <f aca="false">#REF!</f>
        <v>#REF!</v>
      </c>
      <c r="F51" s="75" t="e">
        <f aca="false">#REF!</f>
        <v>#REF!</v>
      </c>
    </row>
    <row r="52" customFormat="false" ht="12.8" hidden="false" customHeight="false" outlineLevel="0" collapsed="false">
      <c r="A52" s="50" t="e">
        <f aca="false">_xlfn.CONCAT($A$1, ".", #REF!)</f>
        <v>#REF!</v>
      </c>
      <c r="B52" s="68" t="e">
        <f aca="false">_xlfn.CONCAT(#REF!, ":", #REF!)</f>
        <v>#REF!</v>
      </c>
      <c r="C52" s="75" t="e">
        <f aca="false">#REF!</f>
        <v>#REF!</v>
      </c>
      <c r="D52" s="75" t="e">
        <f aca="false">#REF!</f>
        <v>#REF!</v>
      </c>
      <c r="E52" s="75" t="e">
        <f aca="false">#REF!</f>
        <v>#REF!</v>
      </c>
      <c r="F52" s="75" t="e">
        <f aca="false">#REF!</f>
        <v>#REF!</v>
      </c>
    </row>
    <row r="53" customFormat="false" ht="12.8" hidden="false" customHeight="false" outlineLevel="0" collapsed="false">
      <c r="A53" s="50" t="e">
        <f aca="false">_xlfn.CONCAT($A$1, ".", #REF!)</f>
        <v>#REF!</v>
      </c>
      <c r="B53" s="68" t="e">
        <f aca="false">_xlfn.CONCAT(#REF!, ":", #REF!)</f>
        <v>#REF!</v>
      </c>
      <c r="C53" s="75" t="e">
        <f aca="false">#REF!</f>
        <v>#REF!</v>
      </c>
      <c r="D53" s="75" t="e">
        <f aca="false">#REF!</f>
        <v>#REF!</v>
      </c>
      <c r="E53" s="75" t="e">
        <f aca="false">#REF!</f>
        <v>#REF!</v>
      </c>
      <c r="F53" s="75" t="e">
        <f aca="false">#REF!</f>
        <v>#REF!</v>
      </c>
    </row>
    <row r="54" customFormat="false" ht="12.8" hidden="false" customHeight="false" outlineLevel="0" collapsed="false">
      <c r="A54" s="50" t="e">
        <f aca="false">_xlfn.CONCAT($A$1, ".", #REF!)</f>
        <v>#REF!</v>
      </c>
      <c r="B54" s="68" t="e">
        <f aca="false">_xlfn.CONCAT(#REF!, ":", #REF!)</f>
        <v>#REF!</v>
      </c>
      <c r="C54" s="75" t="e">
        <f aca="false">#REF!</f>
        <v>#REF!</v>
      </c>
      <c r="D54" s="75" t="e">
        <f aca="false">#REF!</f>
        <v>#REF!</v>
      </c>
      <c r="E54" s="75" t="e">
        <f aca="false">#REF!</f>
        <v>#REF!</v>
      </c>
      <c r="F54" s="75" t="e">
        <f aca="false">#REF!</f>
        <v>#REF!</v>
      </c>
    </row>
    <row r="55" customFormat="false" ht="12.8" hidden="false" customHeight="false" outlineLevel="0" collapsed="false">
      <c r="A55" s="50" t="e">
        <f aca="false">_xlfn.CONCAT($A$1, ".", #REF!)</f>
        <v>#REF!</v>
      </c>
      <c r="B55" s="68" t="e">
        <f aca="false">_xlfn.CONCAT(#REF!, ":", #REF!)</f>
        <v>#REF!</v>
      </c>
      <c r="C55" s="75" t="e">
        <f aca="false">#REF!</f>
        <v>#REF!</v>
      </c>
      <c r="D55" s="75" t="e">
        <f aca="false">#REF!</f>
        <v>#REF!</v>
      </c>
      <c r="E55" s="75" t="e">
        <f aca="false">#REF!</f>
        <v>#REF!</v>
      </c>
      <c r="F55" s="75" t="e">
        <f aca="false">#REF!</f>
        <v>#REF!</v>
      </c>
    </row>
    <row r="56" customFormat="false" ht="12.8" hidden="false" customHeight="false" outlineLevel="0" collapsed="false">
      <c r="C56" s="74"/>
      <c r="D56" s="74"/>
      <c r="E56" s="74"/>
      <c r="F56" s="74"/>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24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H32" activeCellId="1" sqref="D3:E3 H32"/>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6"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1005</v>
      </c>
      <c r="B1" s="77" t="s">
        <v>1006</v>
      </c>
      <c r="C1" s="6" t="s">
        <v>2</v>
      </c>
      <c r="D1" s="39" t="s">
        <v>1007</v>
      </c>
      <c r="AZ1" s="39"/>
      <c r="BP1" s="39"/>
    </row>
    <row r="2" customFormat="false" ht="35.05" hidden="false" customHeight="false" outlineLevel="0" collapsed="false">
      <c r="A2" s="78" t="s">
        <v>792</v>
      </c>
      <c r="B2" s="79" t="s">
        <v>793</v>
      </c>
      <c r="C2" s="74" t="str">
        <f aca="false">CALC!BL3</f>
        <v>AOTC Refund</v>
      </c>
      <c r="D2" s="74" t="str">
        <f aca="false">CALC!BM3</f>
        <v>Authorized Immigrant AOTC Refund</v>
      </c>
      <c r="E2" s="74" t="str">
        <f aca="false">CALC!BN3</f>
        <v>Unauthorized Immigrant AOTC Refund</v>
      </c>
      <c r="F2" s="74" t="str">
        <f aca="false">CALC!BO3</f>
        <v>American Tax AOTC Refund</v>
      </c>
    </row>
    <row r="3" customFormat="false" ht="12.8" hidden="false" customHeight="false" outlineLevel="0" collapsed="false">
      <c r="A3" s="50" t="e">
        <f aca="false">_xlfn.CONCAT($A$1, ".", #REF!)</f>
        <v>#REF!</v>
      </c>
      <c r="B3" s="63" t="e">
        <f aca="false">_xlfn.CONCAT(#REF!, ":", #REF!)</f>
        <v>#REF!</v>
      </c>
      <c r="C3" s="74" t="e">
        <f aca="false">#REF!</f>
        <v>#REF!</v>
      </c>
      <c r="D3" s="74" t="e">
        <f aca="false">#REF!</f>
        <v>#REF!</v>
      </c>
      <c r="E3" s="74" t="e">
        <f aca="false">#REF!</f>
        <v>#REF!</v>
      </c>
      <c r="F3" s="74" t="e">
        <f aca="false">#REF!</f>
        <v>#REF!</v>
      </c>
    </row>
    <row r="4" customFormat="false" ht="12.8" hidden="false" customHeight="false" outlineLevel="0" collapsed="false">
      <c r="A4" s="50" t="e">
        <f aca="false">_xlfn.CONCAT($A$1, ".", #REF!)</f>
        <v>#REF!</v>
      </c>
      <c r="B4" s="63" t="e">
        <f aca="false">_xlfn.CONCAT(#REF!, ":", #REF!)</f>
        <v>#REF!</v>
      </c>
      <c r="C4" s="74" t="e">
        <f aca="false">#REF!</f>
        <v>#REF!</v>
      </c>
      <c r="D4" s="74" t="e">
        <f aca="false">#REF!</f>
        <v>#REF!</v>
      </c>
      <c r="E4" s="74" t="e">
        <f aca="false">#REF!</f>
        <v>#REF!</v>
      </c>
      <c r="F4" s="74" t="e">
        <f aca="false">#REF!</f>
        <v>#REF!</v>
      </c>
    </row>
    <row r="5" customFormat="false" ht="12.8" hidden="false" customHeight="false" outlineLevel="0" collapsed="false">
      <c r="A5" s="50" t="e">
        <f aca="false">_xlfn.CONCAT($A$1, ".", #REF!)</f>
        <v>#REF!</v>
      </c>
      <c r="B5" s="63" t="e">
        <f aca="false">_xlfn.CONCAT(#REF!, ":", #REF!)</f>
        <v>#REF!</v>
      </c>
      <c r="C5" s="74" t="e">
        <f aca="false">#REF!</f>
        <v>#REF!</v>
      </c>
      <c r="D5" s="74" t="e">
        <f aca="false">#REF!</f>
        <v>#REF!</v>
      </c>
      <c r="E5" s="74" t="e">
        <f aca="false">#REF!</f>
        <v>#REF!</v>
      </c>
      <c r="F5" s="74" t="e">
        <f aca="false">#REF!</f>
        <v>#REF!</v>
      </c>
    </row>
    <row r="6" customFormat="false" ht="12.8" hidden="false" customHeight="false" outlineLevel="0" collapsed="false">
      <c r="A6" s="50" t="e">
        <f aca="false">_xlfn.CONCAT($A$1, ".", #REF!)</f>
        <v>#REF!</v>
      </c>
      <c r="B6" s="63" t="e">
        <f aca="false">_xlfn.CONCAT(#REF!, ":", #REF!)</f>
        <v>#REF!</v>
      </c>
      <c r="C6" s="74" t="e">
        <f aca="false">#REF!</f>
        <v>#REF!</v>
      </c>
      <c r="D6" s="74" t="e">
        <f aca="false">#REF!</f>
        <v>#REF!</v>
      </c>
      <c r="E6" s="74" t="e">
        <f aca="false">#REF!</f>
        <v>#REF!</v>
      </c>
      <c r="F6" s="74" t="e">
        <f aca="false">#REF!</f>
        <v>#REF!</v>
      </c>
    </row>
    <row r="7" customFormat="false" ht="12.8" hidden="false" customHeight="false" outlineLevel="0" collapsed="false">
      <c r="A7" s="50" t="e">
        <f aca="false">_xlfn.CONCAT($A$1, ".", #REF!)</f>
        <v>#REF!</v>
      </c>
      <c r="B7" s="63" t="e">
        <f aca="false">_xlfn.CONCAT(#REF!, ":", #REF!)</f>
        <v>#REF!</v>
      </c>
      <c r="C7" s="74" t="e">
        <f aca="false">#REF!</f>
        <v>#REF!</v>
      </c>
      <c r="D7" s="74" t="e">
        <f aca="false">#REF!</f>
        <v>#REF!</v>
      </c>
      <c r="E7" s="74" t="e">
        <f aca="false">#REF!</f>
        <v>#REF!</v>
      </c>
      <c r="F7" s="74" t="e">
        <f aca="false">#REF!</f>
        <v>#REF!</v>
      </c>
    </row>
    <row r="8" customFormat="false" ht="12.8" hidden="false" customHeight="false" outlineLevel="0" collapsed="false">
      <c r="A8" s="50" t="e">
        <f aca="false">_xlfn.CONCAT($A$1, ".", #REF!)</f>
        <v>#REF!</v>
      </c>
      <c r="B8" s="63" t="e">
        <f aca="false">_xlfn.CONCAT(#REF!, ":", #REF!)</f>
        <v>#REF!</v>
      </c>
      <c r="C8" s="74" t="e">
        <f aca="false">#REF!</f>
        <v>#REF!</v>
      </c>
      <c r="D8" s="74" t="e">
        <f aca="false">#REF!</f>
        <v>#REF!</v>
      </c>
      <c r="E8" s="74" t="e">
        <f aca="false">#REF!</f>
        <v>#REF!</v>
      </c>
      <c r="F8" s="74" t="e">
        <f aca="false">#REF!</f>
        <v>#REF!</v>
      </c>
    </row>
    <row r="9" customFormat="false" ht="12.8" hidden="false" customHeight="false" outlineLevel="0" collapsed="false">
      <c r="A9" s="50" t="e">
        <f aca="false">_xlfn.CONCAT($A$1, ".", #REF!)</f>
        <v>#REF!</v>
      </c>
      <c r="B9" s="63" t="e">
        <f aca="false">_xlfn.CONCAT(#REF!, ":", #REF!)</f>
        <v>#REF!</v>
      </c>
      <c r="C9" s="74" t="e">
        <f aca="false">#REF!</f>
        <v>#REF!</v>
      </c>
      <c r="D9" s="74" t="e">
        <f aca="false">#REF!</f>
        <v>#REF!</v>
      </c>
      <c r="E9" s="74" t="e">
        <f aca="false">#REF!</f>
        <v>#REF!</v>
      </c>
      <c r="F9" s="74" t="e">
        <f aca="false">#REF!</f>
        <v>#REF!</v>
      </c>
    </row>
    <row r="10" customFormat="false" ht="12.8" hidden="false" customHeight="false" outlineLevel="0" collapsed="false">
      <c r="A10" s="50" t="e">
        <f aca="false">_xlfn.CONCAT($A$1, ".", #REF!)</f>
        <v>#REF!</v>
      </c>
      <c r="B10" s="63" t="e">
        <f aca="false">_xlfn.CONCAT(#REF!, ":", #REF!)</f>
        <v>#REF!</v>
      </c>
      <c r="C10" s="74" t="e">
        <f aca="false">#REF!</f>
        <v>#REF!</v>
      </c>
      <c r="D10" s="74" t="e">
        <f aca="false">#REF!</f>
        <v>#REF!</v>
      </c>
      <c r="E10" s="74" t="e">
        <f aca="false">#REF!</f>
        <v>#REF!</v>
      </c>
      <c r="F10" s="74" t="e">
        <f aca="false">#REF!</f>
        <v>#REF!</v>
      </c>
    </row>
    <row r="11" customFormat="false" ht="12.8" hidden="false" customHeight="false" outlineLevel="0" collapsed="false">
      <c r="A11" s="50" t="e">
        <f aca="false">_xlfn.CONCAT($A$1, ".", #REF!)</f>
        <v>#REF!</v>
      </c>
      <c r="B11" s="63" t="e">
        <f aca="false">_xlfn.CONCAT(#REF!, ":", #REF!)</f>
        <v>#REF!</v>
      </c>
      <c r="C11" s="74" t="e">
        <f aca="false">#REF!</f>
        <v>#REF!</v>
      </c>
      <c r="D11" s="74" t="e">
        <f aca="false">#REF!</f>
        <v>#REF!</v>
      </c>
      <c r="E11" s="74" t="e">
        <f aca="false">#REF!</f>
        <v>#REF!</v>
      </c>
      <c r="F11" s="74" t="e">
        <f aca="false">#REF!</f>
        <v>#REF!</v>
      </c>
    </row>
    <row r="12" customFormat="false" ht="12.8" hidden="false" customHeight="false" outlineLevel="0" collapsed="false">
      <c r="A12" s="50" t="e">
        <f aca="false">_xlfn.CONCAT($A$1, ".", #REF!)</f>
        <v>#REF!</v>
      </c>
      <c r="B12" s="63" t="e">
        <f aca="false">_xlfn.CONCAT(#REF!, ":", #REF!)</f>
        <v>#REF!</v>
      </c>
      <c r="C12" s="74" t="e">
        <f aca="false">#REF!</f>
        <v>#REF!</v>
      </c>
      <c r="D12" s="74" t="e">
        <f aca="false">#REF!</f>
        <v>#REF!</v>
      </c>
      <c r="E12" s="74" t="e">
        <f aca="false">#REF!</f>
        <v>#REF!</v>
      </c>
      <c r="F12" s="74" t="e">
        <f aca="false">#REF!</f>
        <v>#REF!</v>
      </c>
    </row>
    <row r="13" customFormat="false" ht="12.8" hidden="false" customHeight="false" outlineLevel="0" collapsed="false">
      <c r="A13" s="50" t="e">
        <f aca="false">_xlfn.CONCAT($A$1, ".", #REF!)</f>
        <v>#REF!</v>
      </c>
      <c r="B13" s="63" t="e">
        <f aca="false">_xlfn.CONCAT(#REF!, ":", #REF!)</f>
        <v>#REF!</v>
      </c>
      <c r="C13" s="74" t="e">
        <f aca="false">#REF!</f>
        <v>#REF!</v>
      </c>
      <c r="D13" s="74" t="e">
        <f aca="false">#REF!</f>
        <v>#REF!</v>
      </c>
      <c r="E13" s="74" t="e">
        <f aca="false">#REF!</f>
        <v>#REF!</v>
      </c>
      <c r="F13" s="74" t="e">
        <f aca="false">#REF!</f>
        <v>#REF!</v>
      </c>
    </row>
    <row r="14" customFormat="false" ht="12.8" hidden="false" customHeight="false" outlineLevel="0" collapsed="false">
      <c r="A14" s="50" t="e">
        <f aca="false">_xlfn.CONCAT($A$1, ".", #REF!)</f>
        <v>#REF!</v>
      </c>
      <c r="B14" s="63" t="e">
        <f aca="false">_xlfn.CONCAT(#REF!, ":", #REF!)</f>
        <v>#REF!</v>
      </c>
      <c r="C14" s="74" t="e">
        <f aca="false">#REF!</f>
        <v>#REF!</v>
      </c>
      <c r="D14" s="74" t="e">
        <f aca="false">#REF!</f>
        <v>#REF!</v>
      </c>
      <c r="E14" s="74" t="e">
        <f aca="false">#REF!</f>
        <v>#REF!</v>
      </c>
      <c r="F14" s="74" t="e">
        <f aca="false">#REF!</f>
        <v>#REF!</v>
      </c>
    </row>
    <row r="15" customFormat="false" ht="12.8" hidden="false" customHeight="false" outlineLevel="0" collapsed="false">
      <c r="A15" s="50" t="e">
        <f aca="false">_xlfn.CONCAT($A$1, ".", #REF!)</f>
        <v>#REF!</v>
      </c>
      <c r="B15" s="63" t="e">
        <f aca="false">_xlfn.CONCAT(#REF!, ":", #REF!)</f>
        <v>#REF!</v>
      </c>
      <c r="C15" s="74" t="e">
        <f aca="false">#REF!</f>
        <v>#REF!</v>
      </c>
      <c r="D15" s="74" t="e">
        <f aca="false">#REF!</f>
        <v>#REF!</v>
      </c>
      <c r="E15" s="74" t="e">
        <f aca="false">#REF!</f>
        <v>#REF!</v>
      </c>
      <c r="F15" s="74" t="e">
        <f aca="false">#REF!</f>
        <v>#REF!</v>
      </c>
    </row>
    <row r="16" customFormat="false" ht="12.8" hidden="false" customHeight="false" outlineLevel="0" collapsed="false">
      <c r="A16" s="50" t="e">
        <f aca="false">_xlfn.CONCAT($A$1, ".", #REF!)</f>
        <v>#REF!</v>
      </c>
      <c r="B16" s="63" t="e">
        <f aca="false">_xlfn.CONCAT(#REF!, ":", #REF!)</f>
        <v>#REF!</v>
      </c>
      <c r="C16" s="74" t="e">
        <f aca="false">#REF!</f>
        <v>#REF!</v>
      </c>
      <c r="D16" s="74" t="e">
        <f aca="false">#REF!</f>
        <v>#REF!</v>
      </c>
      <c r="E16" s="74" t="e">
        <f aca="false">#REF!</f>
        <v>#REF!</v>
      </c>
      <c r="F16" s="74" t="e">
        <f aca="false">#REF!</f>
        <v>#REF!</v>
      </c>
    </row>
    <row r="17" customFormat="false" ht="12.8" hidden="false" customHeight="false" outlineLevel="0" collapsed="false">
      <c r="A17" s="50" t="e">
        <f aca="false">_xlfn.CONCAT($A$1, ".", #REF!)</f>
        <v>#REF!</v>
      </c>
      <c r="B17" s="63" t="e">
        <f aca="false">_xlfn.CONCAT(#REF!, ":", #REF!)</f>
        <v>#REF!</v>
      </c>
      <c r="C17" s="74" t="e">
        <f aca="false">#REF!</f>
        <v>#REF!</v>
      </c>
      <c r="D17" s="74" t="e">
        <f aca="false">#REF!</f>
        <v>#REF!</v>
      </c>
      <c r="E17" s="74" t="e">
        <f aca="false">#REF!</f>
        <v>#REF!</v>
      </c>
      <c r="F17" s="74" t="e">
        <f aca="false">#REF!</f>
        <v>#REF!</v>
      </c>
    </row>
    <row r="18" customFormat="false" ht="12.8" hidden="false" customHeight="false" outlineLevel="0" collapsed="false">
      <c r="A18" s="50" t="e">
        <f aca="false">_xlfn.CONCAT($A$1, ".", #REF!)</f>
        <v>#REF!</v>
      </c>
      <c r="B18" s="63" t="e">
        <f aca="false">_xlfn.CONCAT(#REF!, ":", #REF!)</f>
        <v>#REF!</v>
      </c>
      <c r="C18" s="74" t="e">
        <f aca="false">#REF!</f>
        <v>#REF!</v>
      </c>
      <c r="D18" s="74" t="e">
        <f aca="false">#REF!</f>
        <v>#REF!</v>
      </c>
      <c r="E18" s="74" t="e">
        <f aca="false">#REF!</f>
        <v>#REF!</v>
      </c>
      <c r="F18" s="74" t="e">
        <f aca="false">#REF!</f>
        <v>#REF!</v>
      </c>
    </row>
    <row r="19" customFormat="false" ht="12.8" hidden="false" customHeight="false" outlineLevel="0" collapsed="false">
      <c r="A19" s="50" t="e">
        <f aca="false">_xlfn.CONCAT($A$1, ".", #REF!)</f>
        <v>#REF!</v>
      </c>
      <c r="B19" s="63" t="e">
        <f aca="false">_xlfn.CONCAT(#REF!, ":", #REF!)</f>
        <v>#REF!</v>
      </c>
      <c r="C19" s="74" t="e">
        <f aca="false">#REF!</f>
        <v>#REF!</v>
      </c>
      <c r="D19" s="74" t="e">
        <f aca="false">#REF!</f>
        <v>#REF!</v>
      </c>
      <c r="E19" s="74" t="e">
        <f aca="false">#REF!</f>
        <v>#REF!</v>
      </c>
      <c r="F19" s="74" t="e">
        <f aca="false">#REF!</f>
        <v>#REF!</v>
      </c>
    </row>
    <row r="20" customFormat="false" ht="12.8" hidden="false" customHeight="false" outlineLevel="0" collapsed="false">
      <c r="A20" s="50" t="e">
        <f aca="false">_xlfn.CONCAT($A$1, ".", #REF!)</f>
        <v>#REF!</v>
      </c>
      <c r="B20" s="63" t="e">
        <f aca="false">_xlfn.CONCAT(#REF!, ":", #REF!)</f>
        <v>#REF!</v>
      </c>
      <c r="C20" s="74" t="e">
        <f aca="false">#REF!</f>
        <v>#REF!</v>
      </c>
      <c r="D20" s="74" t="e">
        <f aca="false">#REF!</f>
        <v>#REF!</v>
      </c>
      <c r="E20" s="74" t="e">
        <f aca="false">#REF!</f>
        <v>#REF!</v>
      </c>
      <c r="F20" s="74" t="e">
        <f aca="false">#REF!</f>
        <v>#REF!</v>
      </c>
    </row>
    <row r="21" customFormat="false" ht="12.8" hidden="false" customHeight="false" outlineLevel="0" collapsed="false">
      <c r="A21" s="50" t="e">
        <f aca="false">_xlfn.CONCAT($A$1, ".", #REF!)</f>
        <v>#REF!</v>
      </c>
      <c r="B21" s="63" t="e">
        <f aca="false">_xlfn.CONCAT(#REF!, ":", #REF!)</f>
        <v>#REF!</v>
      </c>
      <c r="C21" s="74" t="e">
        <f aca="false">#REF!</f>
        <v>#REF!</v>
      </c>
      <c r="D21" s="74" t="e">
        <f aca="false">#REF!</f>
        <v>#REF!</v>
      </c>
      <c r="E21" s="74" t="e">
        <f aca="false">#REF!</f>
        <v>#REF!</v>
      </c>
      <c r="F21" s="74" t="e">
        <f aca="false">#REF!</f>
        <v>#REF!</v>
      </c>
    </row>
    <row r="22" customFormat="false" ht="12.8" hidden="false" customHeight="false" outlineLevel="0" collapsed="false">
      <c r="A22" s="50" t="e">
        <f aca="false">_xlfn.CONCAT($A$1, ".", #REF!)</f>
        <v>#REF!</v>
      </c>
      <c r="B22" s="63" t="e">
        <f aca="false">_xlfn.CONCAT(#REF!, ":", #REF!)</f>
        <v>#REF!</v>
      </c>
      <c r="C22" s="74" t="e">
        <f aca="false">#REF!</f>
        <v>#REF!</v>
      </c>
      <c r="D22" s="74" t="e">
        <f aca="false">#REF!</f>
        <v>#REF!</v>
      </c>
      <c r="E22" s="74" t="e">
        <f aca="false">#REF!</f>
        <v>#REF!</v>
      </c>
      <c r="F22" s="74" t="e">
        <f aca="false">#REF!</f>
        <v>#REF!</v>
      </c>
    </row>
    <row r="23" customFormat="false" ht="12.8" hidden="false" customHeight="false" outlineLevel="0" collapsed="false">
      <c r="A23" s="50" t="e">
        <f aca="false">_xlfn.CONCAT($A$1, ".", #REF!)</f>
        <v>#REF!</v>
      </c>
      <c r="B23" s="63" t="e">
        <f aca="false">_xlfn.CONCAT(#REF!, ":", #REF!)</f>
        <v>#REF!</v>
      </c>
      <c r="C23" s="74" t="e">
        <f aca="false">#REF!</f>
        <v>#REF!</v>
      </c>
      <c r="D23" s="74" t="e">
        <f aca="false">#REF!</f>
        <v>#REF!</v>
      </c>
      <c r="E23" s="74" t="e">
        <f aca="false">#REF!</f>
        <v>#REF!</v>
      </c>
      <c r="F23" s="74" t="e">
        <f aca="false">#REF!</f>
        <v>#REF!</v>
      </c>
    </row>
    <row r="24" customFormat="false" ht="12.8" hidden="false" customHeight="false" outlineLevel="0" collapsed="false">
      <c r="A24" s="50" t="e">
        <f aca="false">_xlfn.CONCAT($A$1, ".", #REF!)</f>
        <v>#REF!</v>
      </c>
      <c r="B24" s="63" t="e">
        <f aca="false">_xlfn.CONCAT(#REF!, ":", #REF!)</f>
        <v>#REF!</v>
      </c>
      <c r="C24" s="74" t="e">
        <f aca="false">#REF!</f>
        <v>#REF!</v>
      </c>
      <c r="D24" s="74" t="e">
        <f aca="false">#REF!</f>
        <v>#REF!</v>
      </c>
      <c r="E24" s="74" t="e">
        <f aca="false">#REF!</f>
        <v>#REF!</v>
      </c>
      <c r="F24" s="74" t="e">
        <f aca="false">#REF!</f>
        <v>#REF!</v>
      </c>
    </row>
    <row r="25" customFormat="false" ht="12.8" hidden="false" customHeight="false" outlineLevel="0" collapsed="false">
      <c r="A25" s="50" t="e">
        <f aca="false">_xlfn.CONCAT($A$1, ".", #REF!)</f>
        <v>#REF!</v>
      </c>
      <c r="B25" s="63" t="e">
        <f aca="false">_xlfn.CONCAT(#REF!, ":", #REF!)</f>
        <v>#REF!</v>
      </c>
      <c r="C25" s="74" t="e">
        <f aca="false">#REF!</f>
        <v>#REF!</v>
      </c>
      <c r="D25" s="74" t="e">
        <f aca="false">#REF!</f>
        <v>#REF!</v>
      </c>
      <c r="E25" s="74" t="e">
        <f aca="false">#REF!</f>
        <v>#REF!</v>
      </c>
      <c r="F25" s="74" t="e">
        <f aca="false">#REF!</f>
        <v>#REF!</v>
      </c>
    </row>
    <row r="26" customFormat="false" ht="12.8" hidden="false" customHeight="false" outlineLevel="0" collapsed="false">
      <c r="A26" s="50" t="e">
        <f aca="false">_xlfn.CONCAT($A$1, ".", #REF!)</f>
        <v>#REF!</v>
      </c>
      <c r="B26" s="63" t="e">
        <f aca="false">_xlfn.CONCAT(#REF!, ":", #REF!)</f>
        <v>#REF!</v>
      </c>
      <c r="C26" s="74" t="e">
        <f aca="false">#REF!</f>
        <v>#REF!</v>
      </c>
      <c r="D26" s="74" t="e">
        <f aca="false">#REF!</f>
        <v>#REF!</v>
      </c>
      <c r="E26" s="74" t="e">
        <f aca="false">#REF!</f>
        <v>#REF!</v>
      </c>
      <c r="F26" s="74" t="e">
        <f aca="false">#REF!</f>
        <v>#REF!</v>
      </c>
    </row>
    <row r="27" customFormat="false" ht="12.8" hidden="false" customHeight="false" outlineLevel="0" collapsed="false">
      <c r="A27" s="50" t="e">
        <f aca="false">_xlfn.CONCAT($A$1, ".", #REF!)</f>
        <v>#REF!</v>
      </c>
      <c r="B27" s="63" t="e">
        <f aca="false">_xlfn.CONCAT(#REF!, ":", #REF!)</f>
        <v>#REF!</v>
      </c>
      <c r="C27" s="74" t="e">
        <f aca="false">#REF!</f>
        <v>#REF!</v>
      </c>
      <c r="D27" s="74" t="e">
        <f aca="false">#REF!</f>
        <v>#REF!</v>
      </c>
      <c r="E27" s="74" t="e">
        <f aca="false">#REF!</f>
        <v>#REF!</v>
      </c>
      <c r="F27" s="74" t="e">
        <f aca="false">#REF!</f>
        <v>#REF!</v>
      </c>
    </row>
    <row r="28" customFormat="false" ht="12.8" hidden="false" customHeight="false" outlineLevel="0" collapsed="false">
      <c r="A28" s="50" t="e">
        <f aca="false">_xlfn.CONCAT($A$1, ".", #REF!)</f>
        <v>#REF!</v>
      </c>
      <c r="B28" s="63" t="e">
        <f aca="false">_xlfn.CONCAT(#REF!, ":", #REF!)</f>
        <v>#REF!</v>
      </c>
      <c r="C28" s="74" t="e">
        <f aca="false">#REF!</f>
        <v>#REF!</v>
      </c>
      <c r="D28" s="74" t="e">
        <f aca="false">#REF!</f>
        <v>#REF!</v>
      </c>
      <c r="E28" s="74" t="e">
        <f aca="false">#REF!</f>
        <v>#REF!</v>
      </c>
      <c r="F28" s="74" t="e">
        <f aca="false">#REF!</f>
        <v>#REF!</v>
      </c>
    </row>
    <row r="29" customFormat="false" ht="12.8" hidden="false" customHeight="false" outlineLevel="0" collapsed="false">
      <c r="A29" s="50" t="e">
        <f aca="false">_xlfn.CONCAT($A$1, ".", #REF!)</f>
        <v>#REF!</v>
      </c>
      <c r="B29" s="63" t="e">
        <f aca="false">_xlfn.CONCAT(#REF!, ":", #REF!)</f>
        <v>#REF!</v>
      </c>
      <c r="C29" s="74" t="e">
        <f aca="false">#REF!</f>
        <v>#REF!</v>
      </c>
      <c r="D29" s="74" t="e">
        <f aca="false">#REF!</f>
        <v>#REF!</v>
      </c>
      <c r="E29" s="74" t="e">
        <f aca="false">#REF!</f>
        <v>#REF!</v>
      </c>
      <c r="F29" s="74" t="e">
        <f aca="false">#REF!</f>
        <v>#REF!</v>
      </c>
    </row>
    <row r="30" customFormat="false" ht="12.8" hidden="false" customHeight="false" outlineLevel="0" collapsed="false">
      <c r="A30" s="50" t="e">
        <f aca="false">_xlfn.CONCAT($A$1, ".", #REF!)</f>
        <v>#REF!</v>
      </c>
      <c r="B30" s="63" t="e">
        <f aca="false">_xlfn.CONCAT(#REF!, ":", #REF!)</f>
        <v>#REF!</v>
      </c>
      <c r="C30" s="74" t="e">
        <f aca="false">#REF!</f>
        <v>#REF!</v>
      </c>
      <c r="D30" s="74" t="e">
        <f aca="false">#REF!</f>
        <v>#REF!</v>
      </c>
      <c r="E30" s="74" t="e">
        <f aca="false">#REF!</f>
        <v>#REF!</v>
      </c>
      <c r="F30" s="74" t="e">
        <f aca="false">#REF!</f>
        <v>#REF!</v>
      </c>
    </row>
    <row r="31" customFormat="false" ht="12.8" hidden="false" customHeight="false" outlineLevel="0" collapsed="false">
      <c r="A31" s="50" t="e">
        <f aca="false">_xlfn.CONCAT($A$1, ".", #REF!)</f>
        <v>#REF!</v>
      </c>
      <c r="B31" s="63" t="e">
        <f aca="false">_xlfn.CONCAT(#REF!, ":", #REF!)</f>
        <v>#REF!</v>
      </c>
      <c r="C31" s="74" t="e">
        <f aca="false">#REF!</f>
        <v>#REF!</v>
      </c>
      <c r="D31" s="74" t="e">
        <f aca="false">#REF!</f>
        <v>#REF!</v>
      </c>
      <c r="E31" s="74" t="e">
        <f aca="false">#REF!</f>
        <v>#REF!</v>
      </c>
      <c r="F31" s="74" t="e">
        <f aca="false">#REF!</f>
        <v>#REF!</v>
      </c>
    </row>
    <row r="32" customFormat="false" ht="12.8" hidden="false" customHeight="false" outlineLevel="0" collapsed="false">
      <c r="A32" s="50" t="e">
        <f aca="false">_xlfn.CONCAT($A$1, ".", #REF!)</f>
        <v>#REF!</v>
      </c>
      <c r="B32" s="63" t="e">
        <f aca="false">_xlfn.CONCAT(#REF!, ":", #REF!)</f>
        <v>#REF!</v>
      </c>
      <c r="C32" s="74" t="e">
        <f aca="false">#REF!</f>
        <v>#REF!</v>
      </c>
      <c r="D32" s="74" t="e">
        <f aca="false">#REF!</f>
        <v>#REF!</v>
      </c>
      <c r="E32" s="74" t="e">
        <f aca="false">#REF!</f>
        <v>#REF!</v>
      </c>
      <c r="F32" s="74" t="e">
        <f aca="false">#REF!</f>
        <v>#REF!</v>
      </c>
    </row>
    <row r="33" customFormat="false" ht="12.8" hidden="false" customHeight="false" outlineLevel="0" collapsed="false">
      <c r="A33" s="50" t="e">
        <f aca="false">_xlfn.CONCAT($A$1, ".", #REF!)</f>
        <v>#REF!</v>
      </c>
      <c r="B33" s="63" t="e">
        <f aca="false">_xlfn.CONCAT(#REF!, ":", #REF!)</f>
        <v>#REF!</v>
      </c>
      <c r="C33" s="74" t="e">
        <f aca="false">#REF!</f>
        <v>#REF!</v>
      </c>
      <c r="D33" s="74" t="e">
        <f aca="false">#REF!</f>
        <v>#REF!</v>
      </c>
      <c r="E33" s="74" t="e">
        <f aca="false">#REF!</f>
        <v>#REF!</v>
      </c>
      <c r="F33" s="74" t="e">
        <f aca="false">#REF!</f>
        <v>#REF!</v>
      </c>
    </row>
    <row r="34" customFormat="false" ht="12.8" hidden="false" customHeight="false" outlineLevel="0" collapsed="false">
      <c r="A34" s="50" t="e">
        <f aca="false">_xlfn.CONCAT($A$1, ".", #REF!)</f>
        <v>#REF!</v>
      </c>
      <c r="B34" s="63" t="e">
        <f aca="false">_xlfn.CONCAT(#REF!, ":", #REF!)</f>
        <v>#REF!</v>
      </c>
      <c r="C34" s="74" t="e">
        <f aca="false">#REF!</f>
        <v>#REF!</v>
      </c>
      <c r="D34" s="74" t="e">
        <f aca="false">#REF!</f>
        <v>#REF!</v>
      </c>
      <c r="E34" s="74" t="e">
        <f aca="false">#REF!</f>
        <v>#REF!</v>
      </c>
      <c r="F34" s="74" t="e">
        <f aca="false">#REF!</f>
        <v>#REF!</v>
      </c>
    </row>
    <row r="35" customFormat="false" ht="12.8" hidden="false" customHeight="false" outlineLevel="0" collapsed="false">
      <c r="A35" s="50" t="e">
        <f aca="false">_xlfn.CONCAT($A$1, ".", #REF!)</f>
        <v>#REF!</v>
      </c>
      <c r="B35" s="63" t="e">
        <f aca="false">_xlfn.CONCAT(#REF!, ":", #REF!)</f>
        <v>#REF!</v>
      </c>
      <c r="C35" s="74" t="e">
        <f aca="false">#REF!</f>
        <v>#REF!</v>
      </c>
      <c r="D35" s="74" t="e">
        <f aca="false">#REF!</f>
        <v>#REF!</v>
      </c>
      <c r="E35" s="74" t="e">
        <f aca="false">#REF!</f>
        <v>#REF!</v>
      </c>
      <c r="F35" s="74" t="e">
        <f aca="false">#REF!</f>
        <v>#REF!</v>
      </c>
    </row>
    <row r="36" customFormat="false" ht="12.8" hidden="false" customHeight="false" outlineLevel="0" collapsed="false">
      <c r="A36" s="50" t="e">
        <f aca="false">_xlfn.CONCAT($A$1, ".", #REF!)</f>
        <v>#REF!</v>
      </c>
      <c r="B36" s="63" t="e">
        <f aca="false">_xlfn.CONCAT(#REF!, ":", #REF!)</f>
        <v>#REF!</v>
      </c>
      <c r="C36" s="74" t="e">
        <f aca="false">#REF!</f>
        <v>#REF!</v>
      </c>
      <c r="D36" s="74" t="e">
        <f aca="false">#REF!</f>
        <v>#REF!</v>
      </c>
      <c r="E36" s="74" t="e">
        <f aca="false">#REF!</f>
        <v>#REF!</v>
      </c>
      <c r="F36" s="74" t="e">
        <f aca="false">#REF!</f>
        <v>#REF!</v>
      </c>
    </row>
    <row r="37" customFormat="false" ht="12.8" hidden="false" customHeight="false" outlineLevel="0" collapsed="false">
      <c r="A37" s="50" t="e">
        <f aca="false">_xlfn.CONCAT($A$1, ".", #REF!)</f>
        <v>#REF!</v>
      </c>
      <c r="B37" s="63" t="e">
        <f aca="false">_xlfn.CONCAT(#REF!, ":", #REF!)</f>
        <v>#REF!</v>
      </c>
      <c r="C37" s="74" t="e">
        <f aca="false">#REF!</f>
        <v>#REF!</v>
      </c>
      <c r="D37" s="74" t="e">
        <f aca="false">#REF!</f>
        <v>#REF!</v>
      </c>
      <c r="E37" s="74" t="e">
        <f aca="false">#REF!</f>
        <v>#REF!</v>
      </c>
      <c r="F37" s="74" t="e">
        <f aca="false">#REF!</f>
        <v>#REF!</v>
      </c>
    </row>
    <row r="38" customFormat="false" ht="12.8" hidden="false" customHeight="false" outlineLevel="0" collapsed="false">
      <c r="A38" s="50" t="e">
        <f aca="false">_xlfn.CONCAT($A$1, ".", #REF!)</f>
        <v>#REF!</v>
      </c>
      <c r="B38" s="63" t="e">
        <f aca="false">_xlfn.CONCAT(#REF!, ":", #REF!)</f>
        <v>#REF!</v>
      </c>
      <c r="C38" s="74" t="e">
        <f aca="false">#REF!</f>
        <v>#REF!</v>
      </c>
      <c r="D38" s="74" t="e">
        <f aca="false">#REF!</f>
        <v>#REF!</v>
      </c>
      <c r="E38" s="74" t="e">
        <f aca="false">#REF!</f>
        <v>#REF!</v>
      </c>
      <c r="F38" s="74" t="e">
        <f aca="false">#REF!</f>
        <v>#REF!</v>
      </c>
    </row>
    <row r="39" customFormat="false" ht="12.8" hidden="false" customHeight="false" outlineLevel="0" collapsed="false">
      <c r="A39" s="50" t="e">
        <f aca="false">_xlfn.CONCAT($A$1, ".", #REF!)</f>
        <v>#REF!</v>
      </c>
      <c r="B39" s="63" t="e">
        <f aca="false">_xlfn.CONCAT(#REF!, ":", #REF!)</f>
        <v>#REF!</v>
      </c>
      <c r="C39" s="74" t="e">
        <f aca="false">#REF!</f>
        <v>#REF!</v>
      </c>
      <c r="D39" s="74" t="e">
        <f aca="false">#REF!</f>
        <v>#REF!</v>
      </c>
      <c r="E39" s="74" t="e">
        <f aca="false">#REF!</f>
        <v>#REF!</v>
      </c>
      <c r="F39" s="74" t="e">
        <f aca="false">#REF!</f>
        <v>#REF!</v>
      </c>
    </row>
    <row r="40" customFormat="false" ht="12.8" hidden="false" customHeight="false" outlineLevel="0" collapsed="false">
      <c r="A40" s="50" t="e">
        <f aca="false">_xlfn.CONCAT($A$1, ".", #REF!)</f>
        <v>#REF!</v>
      </c>
      <c r="B40" s="63" t="e">
        <f aca="false">_xlfn.CONCAT(#REF!, ":", #REF!)</f>
        <v>#REF!</v>
      </c>
      <c r="C40" s="74" t="e">
        <f aca="false">#REF!</f>
        <v>#REF!</v>
      </c>
      <c r="D40" s="74" t="e">
        <f aca="false">#REF!</f>
        <v>#REF!</v>
      </c>
      <c r="E40" s="74" t="e">
        <f aca="false">#REF!</f>
        <v>#REF!</v>
      </c>
      <c r="F40" s="74" t="e">
        <f aca="false">#REF!</f>
        <v>#REF!</v>
      </c>
    </row>
    <row r="41" customFormat="false" ht="12.8" hidden="false" customHeight="false" outlineLevel="0" collapsed="false">
      <c r="A41" s="50" t="e">
        <f aca="false">_xlfn.CONCAT($A$1, ".", #REF!)</f>
        <v>#REF!</v>
      </c>
      <c r="B41" s="63" t="e">
        <f aca="false">_xlfn.CONCAT(#REF!, ":", #REF!)</f>
        <v>#REF!</v>
      </c>
      <c r="C41" s="74" t="e">
        <f aca="false">#REF!</f>
        <v>#REF!</v>
      </c>
      <c r="D41" s="74" t="e">
        <f aca="false">#REF!</f>
        <v>#REF!</v>
      </c>
      <c r="E41" s="74" t="e">
        <f aca="false">#REF!</f>
        <v>#REF!</v>
      </c>
      <c r="F41" s="74" t="e">
        <f aca="false">#REF!</f>
        <v>#REF!</v>
      </c>
    </row>
    <row r="42" customFormat="false" ht="12.8" hidden="false" customHeight="false" outlineLevel="0" collapsed="false">
      <c r="A42" s="50" t="e">
        <f aca="false">_xlfn.CONCAT($A$1, ".", #REF!)</f>
        <v>#REF!</v>
      </c>
      <c r="B42" s="63" t="e">
        <f aca="false">_xlfn.CONCAT(#REF!, ":", #REF!)</f>
        <v>#REF!</v>
      </c>
      <c r="C42" s="74" t="e">
        <f aca="false">#REF!</f>
        <v>#REF!</v>
      </c>
      <c r="D42" s="74" t="e">
        <f aca="false">#REF!</f>
        <v>#REF!</v>
      </c>
      <c r="E42" s="74" t="e">
        <f aca="false">#REF!</f>
        <v>#REF!</v>
      </c>
      <c r="F42" s="74" t="e">
        <f aca="false">#REF!</f>
        <v>#REF!</v>
      </c>
    </row>
    <row r="43" customFormat="false" ht="12.8" hidden="false" customHeight="false" outlineLevel="0" collapsed="false">
      <c r="A43" s="50" t="e">
        <f aca="false">_xlfn.CONCAT($A$1, ".", #REF!)</f>
        <v>#REF!</v>
      </c>
      <c r="B43" s="63" t="e">
        <f aca="false">_xlfn.CONCAT(#REF!, ":", #REF!)</f>
        <v>#REF!</v>
      </c>
      <c r="C43" s="74" t="e">
        <f aca="false">#REF!</f>
        <v>#REF!</v>
      </c>
      <c r="D43" s="74" t="e">
        <f aca="false">#REF!</f>
        <v>#REF!</v>
      </c>
      <c r="E43" s="74" t="e">
        <f aca="false">#REF!</f>
        <v>#REF!</v>
      </c>
      <c r="F43" s="74" t="e">
        <f aca="false">#REF!</f>
        <v>#REF!</v>
      </c>
    </row>
    <row r="44" customFormat="false" ht="12.8" hidden="false" customHeight="false" outlineLevel="0" collapsed="false">
      <c r="A44" s="50" t="e">
        <f aca="false">_xlfn.CONCAT($A$1, ".", #REF!)</f>
        <v>#REF!</v>
      </c>
      <c r="B44" s="63" t="e">
        <f aca="false">_xlfn.CONCAT(#REF!, ":", #REF!)</f>
        <v>#REF!</v>
      </c>
      <c r="C44" s="74" t="e">
        <f aca="false">#REF!</f>
        <v>#REF!</v>
      </c>
      <c r="D44" s="74" t="e">
        <f aca="false">#REF!</f>
        <v>#REF!</v>
      </c>
      <c r="E44" s="74" t="e">
        <f aca="false">#REF!</f>
        <v>#REF!</v>
      </c>
      <c r="F44" s="74" t="e">
        <f aca="false">#REF!</f>
        <v>#REF!</v>
      </c>
    </row>
    <row r="45" customFormat="false" ht="12.8" hidden="false" customHeight="false" outlineLevel="0" collapsed="false">
      <c r="A45" s="50" t="e">
        <f aca="false">_xlfn.CONCAT($A$1, ".", #REF!)</f>
        <v>#REF!</v>
      </c>
      <c r="B45" s="63" t="e">
        <f aca="false">_xlfn.CONCAT(#REF!, ":", #REF!)</f>
        <v>#REF!</v>
      </c>
      <c r="C45" s="74" t="e">
        <f aca="false">#REF!</f>
        <v>#REF!</v>
      </c>
      <c r="D45" s="74" t="e">
        <f aca="false">#REF!</f>
        <v>#REF!</v>
      </c>
      <c r="E45" s="74" t="e">
        <f aca="false">#REF!</f>
        <v>#REF!</v>
      </c>
      <c r="F45" s="74" t="e">
        <f aca="false">#REF!</f>
        <v>#REF!</v>
      </c>
    </row>
    <row r="46" customFormat="false" ht="12.8" hidden="false" customHeight="false" outlineLevel="0" collapsed="false">
      <c r="A46" s="50" t="e">
        <f aca="false">_xlfn.CONCAT($A$1, ".", #REF!)</f>
        <v>#REF!</v>
      </c>
      <c r="B46" s="63" t="e">
        <f aca="false">_xlfn.CONCAT(#REF!, ":", #REF!)</f>
        <v>#REF!</v>
      </c>
      <c r="C46" s="74" t="e">
        <f aca="false">#REF!</f>
        <v>#REF!</v>
      </c>
      <c r="D46" s="74" t="e">
        <f aca="false">#REF!</f>
        <v>#REF!</v>
      </c>
      <c r="E46" s="74" t="e">
        <f aca="false">#REF!</f>
        <v>#REF!</v>
      </c>
      <c r="F46" s="74" t="e">
        <f aca="false">#REF!</f>
        <v>#REF!</v>
      </c>
    </row>
    <row r="47" customFormat="false" ht="12.8" hidden="false" customHeight="false" outlineLevel="0" collapsed="false">
      <c r="A47" s="50" t="e">
        <f aca="false">_xlfn.CONCAT($A$1, ".", #REF!)</f>
        <v>#REF!</v>
      </c>
      <c r="B47" s="63" t="e">
        <f aca="false">_xlfn.CONCAT(#REF!, ":", #REF!)</f>
        <v>#REF!</v>
      </c>
      <c r="C47" s="74" t="e">
        <f aca="false">#REF!</f>
        <v>#REF!</v>
      </c>
      <c r="D47" s="74" t="e">
        <f aca="false">#REF!</f>
        <v>#REF!</v>
      </c>
      <c r="E47" s="74" t="e">
        <f aca="false">#REF!</f>
        <v>#REF!</v>
      </c>
      <c r="F47" s="74" t="e">
        <f aca="false">#REF!</f>
        <v>#REF!</v>
      </c>
    </row>
    <row r="48" customFormat="false" ht="12.8" hidden="false" customHeight="false" outlineLevel="0" collapsed="false">
      <c r="A48" s="50" t="e">
        <f aca="false">_xlfn.CONCAT($A$1, ".", #REF!)</f>
        <v>#REF!</v>
      </c>
      <c r="B48" s="63" t="e">
        <f aca="false">_xlfn.CONCAT(#REF!, ":", #REF!)</f>
        <v>#REF!</v>
      </c>
      <c r="C48" s="74" t="e">
        <f aca="false">#REF!</f>
        <v>#REF!</v>
      </c>
      <c r="D48" s="74" t="e">
        <f aca="false">#REF!</f>
        <v>#REF!</v>
      </c>
      <c r="E48" s="74" t="e">
        <f aca="false">#REF!</f>
        <v>#REF!</v>
      </c>
      <c r="F48" s="74" t="e">
        <f aca="false">#REF!</f>
        <v>#REF!</v>
      </c>
    </row>
    <row r="49" customFormat="false" ht="12.8" hidden="false" customHeight="false" outlineLevel="0" collapsed="false">
      <c r="A49" s="50" t="e">
        <f aca="false">_xlfn.CONCAT($A$1, ".", #REF!)</f>
        <v>#REF!</v>
      </c>
      <c r="B49" s="63" t="e">
        <f aca="false">_xlfn.CONCAT(#REF!, ":", #REF!)</f>
        <v>#REF!</v>
      </c>
      <c r="C49" s="74" t="e">
        <f aca="false">#REF!</f>
        <v>#REF!</v>
      </c>
      <c r="D49" s="74" t="e">
        <f aca="false">#REF!</f>
        <v>#REF!</v>
      </c>
      <c r="E49" s="74" t="e">
        <f aca="false">#REF!</f>
        <v>#REF!</v>
      </c>
      <c r="F49" s="74" t="e">
        <f aca="false">#REF!</f>
        <v>#REF!</v>
      </c>
    </row>
    <row r="50" customFormat="false" ht="12.8" hidden="false" customHeight="false" outlineLevel="0" collapsed="false">
      <c r="A50" s="50" t="e">
        <f aca="false">_xlfn.CONCAT($A$1, ".", #REF!)</f>
        <v>#REF!</v>
      </c>
      <c r="B50" s="63" t="e">
        <f aca="false">_xlfn.CONCAT(#REF!, ":", #REF!)</f>
        <v>#REF!</v>
      </c>
      <c r="C50" s="74" t="e">
        <f aca="false">#REF!</f>
        <v>#REF!</v>
      </c>
      <c r="D50" s="74" t="e">
        <f aca="false">#REF!</f>
        <v>#REF!</v>
      </c>
      <c r="E50" s="74" t="e">
        <f aca="false">#REF!</f>
        <v>#REF!</v>
      </c>
      <c r="F50" s="74" t="e">
        <f aca="false">#REF!</f>
        <v>#REF!</v>
      </c>
    </row>
    <row r="51" customFormat="false" ht="12.8" hidden="false" customHeight="false" outlineLevel="0" collapsed="false">
      <c r="A51" s="50" t="e">
        <f aca="false">_xlfn.CONCAT($A$1, ".", #REF!)</f>
        <v>#REF!</v>
      </c>
      <c r="B51" s="63" t="e">
        <f aca="false">_xlfn.CONCAT(#REF!, ":", #REF!)</f>
        <v>#REF!</v>
      </c>
      <c r="C51" s="74" t="e">
        <f aca="false">#REF!</f>
        <v>#REF!</v>
      </c>
      <c r="D51" s="74" t="e">
        <f aca="false">#REF!</f>
        <v>#REF!</v>
      </c>
      <c r="E51" s="74" t="e">
        <f aca="false">#REF!</f>
        <v>#REF!</v>
      </c>
      <c r="F51" s="74" t="e">
        <f aca="false">#REF!</f>
        <v>#REF!</v>
      </c>
    </row>
    <row r="52" customFormat="false" ht="12.8" hidden="false" customHeight="false" outlineLevel="0" collapsed="false">
      <c r="A52" s="50" t="e">
        <f aca="false">_xlfn.CONCAT($A$1, ".", #REF!)</f>
        <v>#REF!</v>
      </c>
      <c r="B52" s="63" t="e">
        <f aca="false">_xlfn.CONCAT(#REF!, ":", #REF!)</f>
        <v>#REF!</v>
      </c>
      <c r="C52" s="74" t="e">
        <f aca="false">#REF!</f>
        <v>#REF!</v>
      </c>
      <c r="D52" s="74" t="e">
        <f aca="false">#REF!</f>
        <v>#REF!</v>
      </c>
      <c r="E52" s="74" t="e">
        <f aca="false">#REF!</f>
        <v>#REF!</v>
      </c>
      <c r="F52" s="74" t="e">
        <f aca="false">#REF!</f>
        <v>#REF!</v>
      </c>
    </row>
    <row r="53" customFormat="false" ht="12.8" hidden="false" customHeight="false" outlineLevel="0" collapsed="false">
      <c r="A53" s="50" t="e">
        <f aca="false">_xlfn.CONCAT($A$1, ".", #REF!)</f>
        <v>#REF!</v>
      </c>
      <c r="B53" s="63" t="e">
        <f aca="false">_xlfn.CONCAT(#REF!, ":", #REF!)</f>
        <v>#REF!</v>
      </c>
      <c r="C53" s="74" t="e">
        <f aca="false">#REF!</f>
        <v>#REF!</v>
      </c>
      <c r="D53" s="74" t="e">
        <f aca="false">#REF!</f>
        <v>#REF!</v>
      </c>
      <c r="E53" s="74" t="e">
        <f aca="false">#REF!</f>
        <v>#REF!</v>
      </c>
      <c r="F53" s="74" t="e">
        <f aca="false">#REF!</f>
        <v>#REF!</v>
      </c>
    </row>
    <row r="54" customFormat="false" ht="12.8" hidden="false" customHeight="false" outlineLevel="0" collapsed="false">
      <c r="A54" s="50" t="e">
        <f aca="false">_xlfn.CONCAT($A$1, ".", #REF!)</f>
        <v>#REF!</v>
      </c>
      <c r="B54" s="63" t="e">
        <f aca="false">_xlfn.CONCAT(#REF!, ":", #REF!)</f>
        <v>#REF!</v>
      </c>
      <c r="C54" s="74" t="e">
        <f aca="false">#REF!</f>
        <v>#REF!</v>
      </c>
      <c r="D54" s="74" t="e">
        <f aca="false">#REF!</f>
        <v>#REF!</v>
      </c>
      <c r="E54" s="74" t="e">
        <f aca="false">#REF!</f>
        <v>#REF!</v>
      </c>
      <c r="F54" s="74" t="e">
        <f aca="false">#REF!</f>
        <v>#REF!</v>
      </c>
    </row>
    <row r="55" customFormat="false" ht="12.8" hidden="false" customHeight="false" outlineLevel="0" collapsed="false">
      <c r="A55" s="50" t="e">
        <f aca="false">_xlfn.CONCAT($A$1, ".", #REF!)</f>
        <v>#REF!</v>
      </c>
      <c r="B55" s="63" t="e">
        <f aca="false">_xlfn.CONCAT(#REF!, ":", #REF!)</f>
        <v>#REF!</v>
      </c>
      <c r="C55" s="74" t="e">
        <f aca="false">#REF!</f>
        <v>#REF!</v>
      </c>
      <c r="D55" s="74" t="e">
        <f aca="false">#REF!</f>
        <v>#REF!</v>
      </c>
      <c r="E55" s="74" t="e">
        <f aca="false">#REF!</f>
        <v>#REF!</v>
      </c>
      <c r="F55" s="74"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P249"/>
  <sheetViews>
    <sheetView showFormulas="false" showGridLines="true" showRowColHeaders="true" showZeros="true" rightToLeft="false" tabSelected="false" showOutlineSymbols="true" defaultGridColor="true" view="normal" topLeftCell="E188" colorId="64" zoomScale="75" zoomScaleNormal="75" zoomScalePageLayoutView="100" workbookViewId="0">
      <selection pane="topLeft" activeCell="J224" activeCellId="1" sqref="D3:E3 J224"/>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6"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1008</v>
      </c>
      <c r="B1" s="77" t="s">
        <v>1009</v>
      </c>
      <c r="C1" s="6" t="s">
        <v>2</v>
      </c>
      <c r="D1" s="39" t="s">
        <v>1010</v>
      </c>
      <c r="AZ1" s="39"/>
      <c r="BP1" s="39"/>
    </row>
    <row r="2" customFormat="false" ht="45.9" hidden="false" customHeight="false" outlineLevel="0" collapsed="false">
      <c r="A2" s="78" t="s">
        <v>792</v>
      </c>
      <c r="B2" s="79" t="s">
        <v>793</v>
      </c>
      <c r="C2" s="80" t="str">
        <f aca="false">CALC!BP3</f>
        <v>Employed Population</v>
      </c>
      <c r="D2" s="80" t="str">
        <f aca="false">CALC!BQ3</f>
        <v>Authorized Immigrant Employed Population</v>
      </c>
      <c r="E2" s="80" t="str">
        <f aca="false">CALC!BR3</f>
        <v>Unauthorized Immigrant Employed Population</v>
      </c>
      <c r="F2" s="80" t="str">
        <f aca="false">CALC!BS3</f>
        <v>American Employed Population</v>
      </c>
    </row>
    <row r="3" customFormat="false" ht="12.8" hidden="false" customHeight="false" outlineLevel="0" collapsed="false">
      <c r="A3" s="50" t="e">
        <f aca="false">_xlfn.CONCAT($A$1, ".", #REF!)</f>
        <v>#REF!</v>
      </c>
      <c r="B3" s="63" t="e">
        <f aca="false">_xlfn.CONCAT(#REF!, ":", #REF!)</f>
        <v>#REF!</v>
      </c>
      <c r="C3" s="80" t="e">
        <f aca="false">#REF!</f>
        <v>#REF!</v>
      </c>
      <c r="D3" s="80" t="e">
        <f aca="false">#REF!</f>
        <v>#REF!</v>
      </c>
      <c r="E3" s="80" t="e">
        <f aca="false">#REF!</f>
        <v>#REF!</v>
      </c>
      <c r="F3" s="80" t="e">
        <f aca="false">#REF!</f>
        <v>#REF!</v>
      </c>
    </row>
    <row r="4" customFormat="false" ht="12.8" hidden="false" customHeight="false" outlineLevel="0" collapsed="false">
      <c r="A4" s="50" t="e">
        <f aca="false">_xlfn.CONCAT($A$1, ".", #REF!)</f>
        <v>#REF!</v>
      </c>
      <c r="B4" s="63" t="e">
        <f aca="false">_xlfn.CONCAT(#REF!, ":", #REF!)</f>
        <v>#REF!</v>
      </c>
      <c r="C4" s="80" t="e">
        <f aca="false">#REF!</f>
        <v>#REF!</v>
      </c>
      <c r="D4" s="80" t="e">
        <f aca="false">#REF!</f>
        <v>#REF!</v>
      </c>
      <c r="E4" s="80" t="e">
        <f aca="false">#REF!</f>
        <v>#REF!</v>
      </c>
      <c r="F4" s="80" t="e">
        <f aca="false">#REF!</f>
        <v>#REF!</v>
      </c>
    </row>
    <row r="5" customFormat="false" ht="12.8" hidden="false" customHeight="false" outlineLevel="0" collapsed="false">
      <c r="A5" s="50" t="e">
        <f aca="false">_xlfn.CONCAT($A$1, ".", #REF!)</f>
        <v>#REF!</v>
      </c>
      <c r="B5" s="63" t="e">
        <f aca="false">_xlfn.CONCAT(#REF!, ":", #REF!)</f>
        <v>#REF!</v>
      </c>
      <c r="C5" s="80" t="e">
        <f aca="false">#REF!</f>
        <v>#REF!</v>
      </c>
      <c r="D5" s="80" t="e">
        <f aca="false">#REF!</f>
        <v>#REF!</v>
      </c>
      <c r="E5" s="80" t="e">
        <f aca="false">#REF!</f>
        <v>#REF!</v>
      </c>
      <c r="F5" s="80" t="e">
        <f aca="false">#REF!</f>
        <v>#REF!</v>
      </c>
    </row>
    <row r="6" customFormat="false" ht="12.8" hidden="false" customHeight="false" outlineLevel="0" collapsed="false">
      <c r="A6" s="50" t="e">
        <f aca="false">_xlfn.CONCAT($A$1, ".", #REF!)</f>
        <v>#REF!</v>
      </c>
      <c r="B6" s="63" t="e">
        <f aca="false">_xlfn.CONCAT(#REF!, ":", #REF!)</f>
        <v>#REF!</v>
      </c>
      <c r="C6" s="80" t="e">
        <f aca="false">#REF!</f>
        <v>#REF!</v>
      </c>
      <c r="D6" s="80" t="e">
        <f aca="false">#REF!</f>
        <v>#REF!</v>
      </c>
      <c r="E6" s="80" t="e">
        <f aca="false">#REF!</f>
        <v>#REF!</v>
      </c>
      <c r="F6" s="80" t="e">
        <f aca="false">#REF!</f>
        <v>#REF!</v>
      </c>
    </row>
    <row r="7" customFormat="false" ht="12.8" hidden="false" customHeight="false" outlineLevel="0" collapsed="false">
      <c r="A7" s="50" t="e">
        <f aca="false">_xlfn.CONCAT($A$1, ".", #REF!)</f>
        <v>#REF!</v>
      </c>
      <c r="B7" s="63" t="e">
        <f aca="false">_xlfn.CONCAT(#REF!, ":", #REF!)</f>
        <v>#REF!</v>
      </c>
      <c r="C7" s="80" t="e">
        <f aca="false">#REF!</f>
        <v>#REF!</v>
      </c>
      <c r="D7" s="80" t="e">
        <f aca="false">#REF!</f>
        <v>#REF!</v>
      </c>
      <c r="E7" s="80" t="e">
        <f aca="false">#REF!</f>
        <v>#REF!</v>
      </c>
      <c r="F7" s="80" t="e">
        <f aca="false">#REF!</f>
        <v>#REF!</v>
      </c>
    </row>
    <row r="8" customFormat="false" ht="12.8" hidden="false" customHeight="false" outlineLevel="0" collapsed="false">
      <c r="A8" s="50" t="e">
        <f aca="false">_xlfn.CONCAT($A$1, ".", #REF!)</f>
        <v>#REF!</v>
      </c>
      <c r="B8" s="63" t="e">
        <f aca="false">_xlfn.CONCAT(#REF!, ":", #REF!)</f>
        <v>#REF!</v>
      </c>
      <c r="C8" s="80" t="e">
        <f aca="false">#REF!</f>
        <v>#REF!</v>
      </c>
      <c r="D8" s="80" t="e">
        <f aca="false">#REF!</f>
        <v>#REF!</v>
      </c>
      <c r="E8" s="80" t="e">
        <f aca="false">#REF!</f>
        <v>#REF!</v>
      </c>
      <c r="F8" s="80" t="e">
        <f aca="false">#REF!</f>
        <v>#REF!</v>
      </c>
    </row>
    <row r="9" customFormat="false" ht="12.8" hidden="false" customHeight="false" outlineLevel="0" collapsed="false">
      <c r="A9" s="50" t="e">
        <f aca="false">_xlfn.CONCAT($A$1, ".", #REF!)</f>
        <v>#REF!</v>
      </c>
      <c r="B9" s="63" t="e">
        <f aca="false">_xlfn.CONCAT(#REF!, ":", #REF!)</f>
        <v>#REF!</v>
      </c>
      <c r="C9" s="80" t="e">
        <f aca="false">#REF!</f>
        <v>#REF!</v>
      </c>
      <c r="D9" s="80" t="e">
        <f aca="false">#REF!</f>
        <v>#REF!</v>
      </c>
      <c r="E9" s="80" t="e">
        <f aca="false">#REF!</f>
        <v>#REF!</v>
      </c>
      <c r="F9" s="80" t="e">
        <f aca="false">#REF!</f>
        <v>#REF!</v>
      </c>
    </row>
    <row r="10" customFormat="false" ht="12.8" hidden="false" customHeight="false" outlineLevel="0" collapsed="false">
      <c r="A10" s="50" t="e">
        <f aca="false">_xlfn.CONCAT($A$1, ".", #REF!)</f>
        <v>#REF!</v>
      </c>
      <c r="B10" s="63" t="e">
        <f aca="false">_xlfn.CONCAT(#REF!, ":", #REF!)</f>
        <v>#REF!</v>
      </c>
      <c r="C10" s="80" t="e">
        <f aca="false">#REF!</f>
        <v>#REF!</v>
      </c>
      <c r="D10" s="80" t="e">
        <f aca="false">#REF!</f>
        <v>#REF!</v>
      </c>
      <c r="E10" s="80" t="e">
        <f aca="false">#REF!</f>
        <v>#REF!</v>
      </c>
      <c r="F10" s="80" t="e">
        <f aca="false">#REF!</f>
        <v>#REF!</v>
      </c>
    </row>
    <row r="11" customFormat="false" ht="12.8" hidden="false" customHeight="false" outlineLevel="0" collapsed="false">
      <c r="A11" s="50" t="e">
        <f aca="false">_xlfn.CONCAT($A$1, ".", #REF!)</f>
        <v>#REF!</v>
      </c>
      <c r="B11" s="63" t="e">
        <f aca="false">_xlfn.CONCAT(#REF!, ":", #REF!)</f>
        <v>#REF!</v>
      </c>
      <c r="C11" s="80" t="e">
        <f aca="false">#REF!</f>
        <v>#REF!</v>
      </c>
      <c r="D11" s="80" t="e">
        <f aca="false">#REF!</f>
        <v>#REF!</v>
      </c>
      <c r="E11" s="80" t="e">
        <f aca="false">#REF!</f>
        <v>#REF!</v>
      </c>
      <c r="F11" s="80" t="e">
        <f aca="false">#REF!</f>
        <v>#REF!</v>
      </c>
    </row>
    <row r="12" customFormat="false" ht="12.8" hidden="false" customHeight="false" outlineLevel="0" collapsed="false">
      <c r="A12" s="50" t="e">
        <f aca="false">_xlfn.CONCAT($A$1, ".", #REF!)</f>
        <v>#REF!</v>
      </c>
      <c r="B12" s="63" t="e">
        <f aca="false">_xlfn.CONCAT(#REF!, ":", #REF!)</f>
        <v>#REF!</v>
      </c>
      <c r="C12" s="80" t="e">
        <f aca="false">#REF!</f>
        <v>#REF!</v>
      </c>
      <c r="D12" s="80" t="e">
        <f aca="false">#REF!</f>
        <v>#REF!</v>
      </c>
      <c r="E12" s="80" t="e">
        <f aca="false">#REF!</f>
        <v>#REF!</v>
      </c>
      <c r="F12" s="80" t="e">
        <f aca="false">#REF!</f>
        <v>#REF!</v>
      </c>
    </row>
    <row r="13" customFormat="false" ht="12.8" hidden="false" customHeight="false" outlineLevel="0" collapsed="false">
      <c r="A13" s="50" t="e">
        <f aca="false">_xlfn.CONCAT($A$1, ".", #REF!)</f>
        <v>#REF!</v>
      </c>
      <c r="B13" s="63" t="e">
        <f aca="false">_xlfn.CONCAT(#REF!, ":", #REF!)</f>
        <v>#REF!</v>
      </c>
      <c r="C13" s="80" t="e">
        <f aca="false">#REF!</f>
        <v>#REF!</v>
      </c>
      <c r="D13" s="80" t="e">
        <f aca="false">#REF!</f>
        <v>#REF!</v>
      </c>
      <c r="E13" s="80" t="e">
        <f aca="false">#REF!</f>
        <v>#REF!</v>
      </c>
      <c r="F13" s="80" t="e">
        <f aca="false">#REF!</f>
        <v>#REF!</v>
      </c>
    </row>
    <row r="14" customFormat="false" ht="12.8" hidden="false" customHeight="false" outlineLevel="0" collapsed="false">
      <c r="A14" s="50" t="e">
        <f aca="false">_xlfn.CONCAT($A$1, ".", #REF!)</f>
        <v>#REF!</v>
      </c>
      <c r="B14" s="63" t="e">
        <f aca="false">_xlfn.CONCAT(#REF!, ":", #REF!)</f>
        <v>#REF!</v>
      </c>
      <c r="C14" s="80" t="e">
        <f aca="false">#REF!</f>
        <v>#REF!</v>
      </c>
      <c r="D14" s="80" t="e">
        <f aca="false">#REF!</f>
        <v>#REF!</v>
      </c>
      <c r="E14" s="80" t="e">
        <f aca="false">#REF!</f>
        <v>#REF!</v>
      </c>
      <c r="F14" s="80" t="e">
        <f aca="false">#REF!</f>
        <v>#REF!</v>
      </c>
    </row>
    <row r="15" customFormat="false" ht="12.8" hidden="false" customHeight="false" outlineLevel="0" collapsed="false">
      <c r="A15" s="50" t="e">
        <f aca="false">_xlfn.CONCAT($A$1, ".", #REF!)</f>
        <v>#REF!</v>
      </c>
      <c r="B15" s="63" t="e">
        <f aca="false">_xlfn.CONCAT(#REF!, ":", #REF!)</f>
        <v>#REF!</v>
      </c>
      <c r="C15" s="80" t="e">
        <f aca="false">#REF!</f>
        <v>#REF!</v>
      </c>
      <c r="D15" s="80" t="e">
        <f aca="false">#REF!</f>
        <v>#REF!</v>
      </c>
      <c r="E15" s="80" t="e">
        <f aca="false">#REF!</f>
        <v>#REF!</v>
      </c>
      <c r="F15" s="80" t="e">
        <f aca="false">#REF!</f>
        <v>#REF!</v>
      </c>
    </row>
    <row r="16" customFormat="false" ht="12.8" hidden="false" customHeight="false" outlineLevel="0" collapsed="false">
      <c r="A16" s="50" t="e">
        <f aca="false">_xlfn.CONCAT($A$1, ".", #REF!)</f>
        <v>#REF!</v>
      </c>
      <c r="B16" s="63" t="e">
        <f aca="false">_xlfn.CONCAT(#REF!, ":", #REF!)</f>
        <v>#REF!</v>
      </c>
      <c r="C16" s="80" t="e">
        <f aca="false">#REF!</f>
        <v>#REF!</v>
      </c>
      <c r="D16" s="80" t="e">
        <f aca="false">#REF!</f>
        <v>#REF!</v>
      </c>
      <c r="E16" s="80" t="e">
        <f aca="false">#REF!</f>
        <v>#REF!</v>
      </c>
      <c r="F16" s="80" t="e">
        <f aca="false">#REF!</f>
        <v>#REF!</v>
      </c>
    </row>
    <row r="17" customFormat="false" ht="12.8" hidden="false" customHeight="false" outlineLevel="0" collapsed="false">
      <c r="A17" s="50" t="e">
        <f aca="false">_xlfn.CONCAT($A$1, ".", #REF!)</f>
        <v>#REF!</v>
      </c>
      <c r="B17" s="63" t="e">
        <f aca="false">_xlfn.CONCAT(#REF!, ":", #REF!)</f>
        <v>#REF!</v>
      </c>
      <c r="C17" s="80" t="e">
        <f aca="false">#REF!</f>
        <v>#REF!</v>
      </c>
      <c r="D17" s="80" t="e">
        <f aca="false">#REF!</f>
        <v>#REF!</v>
      </c>
      <c r="E17" s="80" t="e">
        <f aca="false">#REF!</f>
        <v>#REF!</v>
      </c>
      <c r="F17" s="80" t="e">
        <f aca="false">#REF!</f>
        <v>#REF!</v>
      </c>
    </row>
    <row r="18" customFormat="false" ht="12.8" hidden="false" customHeight="false" outlineLevel="0" collapsed="false">
      <c r="A18" s="50" t="e">
        <f aca="false">_xlfn.CONCAT($A$1, ".", #REF!)</f>
        <v>#REF!</v>
      </c>
      <c r="B18" s="63" t="e">
        <f aca="false">_xlfn.CONCAT(#REF!, ":", #REF!)</f>
        <v>#REF!</v>
      </c>
      <c r="C18" s="80" t="e">
        <f aca="false">#REF!</f>
        <v>#REF!</v>
      </c>
      <c r="D18" s="80" t="e">
        <f aca="false">#REF!</f>
        <v>#REF!</v>
      </c>
      <c r="E18" s="80" t="e">
        <f aca="false">#REF!</f>
        <v>#REF!</v>
      </c>
      <c r="F18" s="80" t="e">
        <f aca="false">#REF!</f>
        <v>#REF!</v>
      </c>
    </row>
    <row r="19" customFormat="false" ht="12.8" hidden="false" customHeight="false" outlineLevel="0" collapsed="false">
      <c r="A19" s="50" t="e">
        <f aca="false">_xlfn.CONCAT($A$1, ".", #REF!)</f>
        <v>#REF!</v>
      </c>
      <c r="B19" s="63" t="e">
        <f aca="false">_xlfn.CONCAT(#REF!, ":", #REF!)</f>
        <v>#REF!</v>
      </c>
      <c r="C19" s="80" t="e">
        <f aca="false">#REF!</f>
        <v>#REF!</v>
      </c>
      <c r="D19" s="80" t="e">
        <f aca="false">#REF!</f>
        <v>#REF!</v>
      </c>
      <c r="E19" s="80" t="e">
        <f aca="false">#REF!</f>
        <v>#REF!</v>
      </c>
      <c r="F19" s="80" t="e">
        <f aca="false">#REF!</f>
        <v>#REF!</v>
      </c>
    </row>
    <row r="20" customFormat="false" ht="12.8" hidden="false" customHeight="false" outlineLevel="0" collapsed="false">
      <c r="A20" s="50" t="e">
        <f aca="false">_xlfn.CONCAT($A$1, ".", #REF!)</f>
        <v>#REF!</v>
      </c>
      <c r="B20" s="63" t="e">
        <f aca="false">_xlfn.CONCAT(#REF!, ":", #REF!)</f>
        <v>#REF!</v>
      </c>
      <c r="C20" s="80" t="e">
        <f aca="false">#REF!</f>
        <v>#REF!</v>
      </c>
      <c r="D20" s="80" t="e">
        <f aca="false">#REF!</f>
        <v>#REF!</v>
      </c>
      <c r="E20" s="80" t="e">
        <f aca="false">#REF!</f>
        <v>#REF!</v>
      </c>
      <c r="F20" s="80" t="e">
        <f aca="false">#REF!</f>
        <v>#REF!</v>
      </c>
    </row>
    <row r="21" customFormat="false" ht="12.8" hidden="false" customHeight="false" outlineLevel="0" collapsed="false">
      <c r="A21" s="50" t="e">
        <f aca="false">_xlfn.CONCAT($A$1, ".", #REF!)</f>
        <v>#REF!</v>
      </c>
      <c r="B21" s="63" t="e">
        <f aca="false">_xlfn.CONCAT(#REF!, ":", #REF!)</f>
        <v>#REF!</v>
      </c>
      <c r="C21" s="80" t="e">
        <f aca="false">#REF!</f>
        <v>#REF!</v>
      </c>
      <c r="D21" s="80" t="e">
        <f aca="false">#REF!</f>
        <v>#REF!</v>
      </c>
      <c r="E21" s="80" t="e">
        <f aca="false">#REF!</f>
        <v>#REF!</v>
      </c>
      <c r="F21" s="80" t="e">
        <f aca="false">#REF!</f>
        <v>#REF!</v>
      </c>
    </row>
    <row r="22" customFormat="false" ht="12.8" hidden="false" customHeight="false" outlineLevel="0" collapsed="false">
      <c r="A22" s="50" t="e">
        <f aca="false">_xlfn.CONCAT($A$1, ".", #REF!)</f>
        <v>#REF!</v>
      </c>
      <c r="B22" s="63" t="e">
        <f aca="false">_xlfn.CONCAT(#REF!, ":", #REF!)</f>
        <v>#REF!</v>
      </c>
      <c r="C22" s="80" t="e">
        <f aca="false">#REF!</f>
        <v>#REF!</v>
      </c>
      <c r="D22" s="80" t="e">
        <f aca="false">#REF!</f>
        <v>#REF!</v>
      </c>
      <c r="E22" s="80" t="e">
        <f aca="false">#REF!</f>
        <v>#REF!</v>
      </c>
      <c r="F22" s="80" t="e">
        <f aca="false">#REF!</f>
        <v>#REF!</v>
      </c>
    </row>
    <row r="23" customFormat="false" ht="12.8" hidden="false" customHeight="false" outlineLevel="0" collapsed="false">
      <c r="A23" s="50" t="e">
        <f aca="false">_xlfn.CONCAT($A$1, ".", #REF!)</f>
        <v>#REF!</v>
      </c>
      <c r="B23" s="63" t="e">
        <f aca="false">_xlfn.CONCAT(#REF!, ":", #REF!)</f>
        <v>#REF!</v>
      </c>
      <c r="C23" s="80" t="e">
        <f aca="false">#REF!</f>
        <v>#REF!</v>
      </c>
      <c r="D23" s="80" t="e">
        <f aca="false">#REF!</f>
        <v>#REF!</v>
      </c>
      <c r="E23" s="80" t="e">
        <f aca="false">#REF!</f>
        <v>#REF!</v>
      </c>
      <c r="F23" s="80" t="e">
        <f aca="false">#REF!</f>
        <v>#REF!</v>
      </c>
    </row>
    <row r="24" customFormat="false" ht="12.8" hidden="false" customHeight="false" outlineLevel="0" collapsed="false">
      <c r="A24" s="50" t="e">
        <f aca="false">_xlfn.CONCAT($A$1, ".", #REF!)</f>
        <v>#REF!</v>
      </c>
      <c r="B24" s="63" t="e">
        <f aca="false">_xlfn.CONCAT(#REF!, ":", #REF!)</f>
        <v>#REF!</v>
      </c>
      <c r="C24" s="80" t="e">
        <f aca="false">#REF!</f>
        <v>#REF!</v>
      </c>
      <c r="D24" s="80" t="e">
        <f aca="false">#REF!</f>
        <v>#REF!</v>
      </c>
      <c r="E24" s="80" t="e">
        <f aca="false">#REF!</f>
        <v>#REF!</v>
      </c>
      <c r="F24" s="80" t="e">
        <f aca="false">#REF!</f>
        <v>#REF!</v>
      </c>
    </row>
    <row r="25" customFormat="false" ht="12.8" hidden="false" customHeight="false" outlineLevel="0" collapsed="false">
      <c r="A25" s="50" t="e">
        <f aca="false">_xlfn.CONCAT($A$1, ".", #REF!)</f>
        <v>#REF!</v>
      </c>
      <c r="B25" s="63" t="e">
        <f aca="false">_xlfn.CONCAT(#REF!, ":", #REF!)</f>
        <v>#REF!</v>
      </c>
      <c r="C25" s="80" t="e">
        <f aca="false">#REF!</f>
        <v>#REF!</v>
      </c>
      <c r="D25" s="80" t="e">
        <f aca="false">#REF!</f>
        <v>#REF!</v>
      </c>
      <c r="E25" s="80" t="e">
        <f aca="false">#REF!</f>
        <v>#REF!</v>
      </c>
      <c r="F25" s="80" t="e">
        <f aca="false">#REF!</f>
        <v>#REF!</v>
      </c>
    </row>
    <row r="26" customFormat="false" ht="12.8" hidden="false" customHeight="false" outlineLevel="0" collapsed="false">
      <c r="A26" s="50" t="e">
        <f aca="false">_xlfn.CONCAT($A$1, ".", #REF!)</f>
        <v>#REF!</v>
      </c>
      <c r="B26" s="63" t="e">
        <f aca="false">_xlfn.CONCAT(#REF!, ":", #REF!)</f>
        <v>#REF!</v>
      </c>
      <c r="C26" s="80" t="e">
        <f aca="false">#REF!</f>
        <v>#REF!</v>
      </c>
      <c r="D26" s="80" t="e">
        <f aca="false">#REF!</f>
        <v>#REF!</v>
      </c>
      <c r="E26" s="80" t="e">
        <f aca="false">#REF!</f>
        <v>#REF!</v>
      </c>
      <c r="F26" s="80" t="e">
        <f aca="false">#REF!</f>
        <v>#REF!</v>
      </c>
    </row>
    <row r="27" customFormat="false" ht="12.8" hidden="false" customHeight="false" outlineLevel="0" collapsed="false">
      <c r="A27" s="50" t="e">
        <f aca="false">_xlfn.CONCAT($A$1, ".", #REF!)</f>
        <v>#REF!</v>
      </c>
      <c r="B27" s="63" t="e">
        <f aca="false">_xlfn.CONCAT(#REF!, ":", #REF!)</f>
        <v>#REF!</v>
      </c>
      <c r="C27" s="80" t="e">
        <f aca="false">#REF!</f>
        <v>#REF!</v>
      </c>
      <c r="D27" s="80" t="e">
        <f aca="false">#REF!</f>
        <v>#REF!</v>
      </c>
      <c r="E27" s="80" t="e">
        <f aca="false">#REF!</f>
        <v>#REF!</v>
      </c>
      <c r="F27" s="80" t="e">
        <f aca="false">#REF!</f>
        <v>#REF!</v>
      </c>
    </row>
    <row r="28" customFormat="false" ht="12.8" hidden="false" customHeight="false" outlineLevel="0" collapsed="false">
      <c r="A28" s="50" t="e">
        <f aca="false">_xlfn.CONCAT($A$1, ".", #REF!)</f>
        <v>#REF!</v>
      </c>
      <c r="B28" s="63" t="e">
        <f aca="false">_xlfn.CONCAT(#REF!, ":", #REF!)</f>
        <v>#REF!</v>
      </c>
      <c r="C28" s="80" t="e">
        <f aca="false">#REF!</f>
        <v>#REF!</v>
      </c>
      <c r="D28" s="80" t="e">
        <f aca="false">#REF!</f>
        <v>#REF!</v>
      </c>
      <c r="E28" s="80" t="e">
        <f aca="false">#REF!</f>
        <v>#REF!</v>
      </c>
      <c r="F28" s="80" t="e">
        <f aca="false">#REF!</f>
        <v>#REF!</v>
      </c>
    </row>
    <row r="29" customFormat="false" ht="12.8" hidden="false" customHeight="false" outlineLevel="0" collapsed="false">
      <c r="A29" s="50" t="e">
        <f aca="false">_xlfn.CONCAT($A$1, ".", #REF!)</f>
        <v>#REF!</v>
      </c>
      <c r="B29" s="63" t="e">
        <f aca="false">_xlfn.CONCAT(#REF!, ":", #REF!)</f>
        <v>#REF!</v>
      </c>
      <c r="C29" s="80" t="e">
        <f aca="false">#REF!</f>
        <v>#REF!</v>
      </c>
      <c r="D29" s="80" t="e">
        <f aca="false">#REF!</f>
        <v>#REF!</v>
      </c>
      <c r="E29" s="80" t="e">
        <f aca="false">#REF!</f>
        <v>#REF!</v>
      </c>
      <c r="F29" s="80" t="e">
        <f aca="false">#REF!</f>
        <v>#REF!</v>
      </c>
    </row>
    <row r="30" customFormat="false" ht="12.8" hidden="false" customHeight="false" outlineLevel="0" collapsed="false">
      <c r="A30" s="50" t="e">
        <f aca="false">_xlfn.CONCAT($A$1, ".", #REF!)</f>
        <v>#REF!</v>
      </c>
      <c r="B30" s="63" t="e">
        <f aca="false">_xlfn.CONCAT(#REF!, ":", #REF!)</f>
        <v>#REF!</v>
      </c>
      <c r="C30" s="80" t="e">
        <f aca="false">#REF!</f>
        <v>#REF!</v>
      </c>
      <c r="D30" s="80" t="e">
        <f aca="false">#REF!</f>
        <v>#REF!</v>
      </c>
      <c r="E30" s="80" t="e">
        <f aca="false">#REF!</f>
        <v>#REF!</v>
      </c>
      <c r="F30" s="80" t="e">
        <f aca="false">#REF!</f>
        <v>#REF!</v>
      </c>
    </row>
    <row r="31" customFormat="false" ht="12.8" hidden="false" customHeight="false" outlineLevel="0" collapsed="false">
      <c r="A31" s="50" t="e">
        <f aca="false">_xlfn.CONCAT($A$1, ".", #REF!)</f>
        <v>#REF!</v>
      </c>
      <c r="B31" s="63" t="e">
        <f aca="false">_xlfn.CONCAT(#REF!, ":", #REF!)</f>
        <v>#REF!</v>
      </c>
      <c r="C31" s="80" t="e">
        <f aca="false">#REF!</f>
        <v>#REF!</v>
      </c>
      <c r="D31" s="80" t="e">
        <f aca="false">#REF!</f>
        <v>#REF!</v>
      </c>
      <c r="E31" s="80" t="e">
        <f aca="false">#REF!</f>
        <v>#REF!</v>
      </c>
      <c r="F31" s="80" t="e">
        <f aca="false">#REF!</f>
        <v>#REF!</v>
      </c>
    </row>
    <row r="32" customFormat="false" ht="12.8" hidden="false" customHeight="false" outlineLevel="0" collapsed="false">
      <c r="A32" s="50" t="e">
        <f aca="false">_xlfn.CONCAT($A$1, ".", #REF!)</f>
        <v>#REF!</v>
      </c>
      <c r="B32" s="63" t="e">
        <f aca="false">_xlfn.CONCAT(#REF!, ":", #REF!)</f>
        <v>#REF!</v>
      </c>
      <c r="C32" s="80" t="e">
        <f aca="false">#REF!</f>
        <v>#REF!</v>
      </c>
      <c r="D32" s="80" t="e">
        <f aca="false">#REF!</f>
        <v>#REF!</v>
      </c>
      <c r="E32" s="80" t="e">
        <f aca="false">#REF!</f>
        <v>#REF!</v>
      </c>
      <c r="F32" s="80" t="e">
        <f aca="false">#REF!</f>
        <v>#REF!</v>
      </c>
    </row>
    <row r="33" customFormat="false" ht="12.8" hidden="false" customHeight="false" outlineLevel="0" collapsed="false">
      <c r="A33" s="50" t="e">
        <f aca="false">_xlfn.CONCAT($A$1, ".", #REF!)</f>
        <v>#REF!</v>
      </c>
      <c r="B33" s="63" t="e">
        <f aca="false">_xlfn.CONCAT(#REF!, ":", #REF!)</f>
        <v>#REF!</v>
      </c>
      <c r="C33" s="80" t="e">
        <f aca="false">#REF!</f>
        <v>#REF!</v>
      </c>
      <c r="D33" s="80" t="e">
        <f aca="false">#REF!</f>
        <v>#REF!</v>
      </c>
      <c r="E33" s="80" t="e">
        <f aca="false">#REF!</f>
        <v>#REF!</v>
      </c>
      <c r="F33" s="80" t="e">
        <f aca="false">#REF!</f>
        <v>#REF!</v>
      </c>
    </row>
    <row r="34" customFormat="false" ht="12.8" hidden="false" customHeight="false" outlineLevel="0" collapsed="false">
      <c r="A34" s="50" t="e">
        <f aca="false">_xlfn.CONCAT($A$1, ".", #REF!)</f>
        <v>#REF!</v>
      </c>
      <c r="B34" s="63" t="e">
        <f aca="false">_xlfn.CONCAT(#REF!, ":", #REF!)</f>
        <v>#REF!</v>
      </c>
      <c r="C34" s="80" t="e">
        <f aca="false">#REF!</f>
        <v>#REF!</v>
      </c>
      <c r="D34" s="80" t="e">
        <f aca="false">#REF!</f>
        <v>#REF!</v>
      </c>
      <c r="E34" s="80" t="e">
        <f aca="false">#REF!</f>
        <v>#REF!</v>
      </c>
      <c r="F34" s="80" t="e">
        <f aca="false">#REF!</f>
        <v>#REF!</v>
      </c>
    </row>
    <row r="35" customFormat="false" ht="12.8" hidden="false" customHeight="false" outlineLevel="0" collapsed="false">
      <c r="A35" s="50" t="e">
        <f aca="false">_xlfn.CONCAT($A$1, ".", #REF!)</f>
        <v>#REF!</v>
      </c>
      <c r="B35" s="63" t="e">
        <f aca="false">_xlfn.CONCAT(#REF!, ":", #REF!)</f>
        <v>#REF!</v>
      </c>
      <c r="C35" s="80" t="e">
        <f aca="false">#REF!</f>
        <v>#REF!</v>
      </c>
      <c r="D35" s="80" t="e">
        <f aca="false">#REF!</f>
        <v>#REF!</v>
      </c>
      <c r="E35" s="80" t="e">
        <f aca="false">#REF!</f>
        <v>#REF!</v>
      </c>
      <c r="F35" s="80" t="e">
        <f aca="false">#REF!</f>
        <v>#REF!</v>
      </c>
    </row>
    <row r="36" customFormat="false" ht="12.8" hidden="false" customHeight="false" outlineLevel="0" collapsed="false">
      <c r="A36" s="50" t="e">
        <f aca="false">_xlfn.CONCAT($A$1, ".", #REF!)</f>
        <v>#REF!</v>
      </c>
      <c r="B36" s="63" t="e">
        <f aca="false">_xlfn.CONCAT(#REF!, ":", #REF!)</f>
        <v>#REF!</v>
      </c>
      <c r="C36" s="80" t="e">
        <f aca="false">#REF!</f>
        <v>#REF!</v>
      </c>
      <c r="D36" s="80" t="e">
        <f aca="false">#REF!</f>
        <v>#REF!</v>
      </c>
      <c r="E36" s="80" t="e">
        <f aca="false">#REF!</f>
        <v>#REF!</v>
      </c>
      <c r="F36" s="80" t="e">
        <f aca="false">#REF!</f>
        <v>#REF!</v>
      </c>
    </row>
    <row r="37" customFormat="false" ht="12.8" hidden="false" customHeight="false" outlineLevel="0" collapsed="false">
      <c r="A37" s="50" t="e">
        <f aca="false">_xlfn.CONCAT($A$1, ".", #REF!)</f>
        <v>#REF!</v>
      </c>
      <c r="B37" s="63" t="e">
        <f aca="false">_xlfn.CONCAT(#REF!, ":", #REF!)</f>
        <v>#REF!</v>
      </c>
      <c r="C37" s="80" t="e">
        <f aca="false">#REF!</f>
        <v>#REF!</v>
      </c>
      <c r="D37" s="80" t="e">
        <f aca="false">#REF!</f>
        <v>#REF!</v>
      </c>
      <c r="E37" s="80" t="e">
        <f aca="false">#REF!</f>
        <v>#REF!</v>
      </c>
      <c r="F37" s="80" t="e">
        <f aca="false">#REF!</f>
        <v>#REF!</v>
      </c>
    </row>
    <row r="38" customFormat="false" ht="12.8" hidden="false" customHeight="false" outlineLevel="0" collapsed="false">
      <c r="A38" s="50" t="e">
        <f aca="false">_xlfn.CONCAT($A$1, ".", #REF!)</f>
        <v>#REF!</v>
      </c>
      <c r="B38" s="63" t="e">
        <f aca="false">_xlfn.CONCAT(#REF!, ":", #REF!)</f>
        <v>#REF!</v>
      </c>
      <c r="C38" s="80" t="e">
        <f aca="false">#REF!</f>
        <v>#REF!</v>
      </c>
      <c r="D38" s="80" t="e">
        <f aca="false">#REF!</f>
        <v>#REF!</v>
      </c>
      <c r="E38" s="80" t="e">
        <f aca="false">#REF!</f>
        <v>#REF!</v>
      </c>
      <c r="F38" s="80" t="e">
        <f aca="false">#REF!</f>
        <v>#REF!</v>
      </c>
    </row>
    <row r="39" customFormat="false" ht="12.8" hidden="false" customHeight="false" outlineLevel="0" collapsed="false">
      <c r="A39" s="50" t="e">
        <f aca="false">_xlfn.CONCAT($A$1, ".", #REF!)</f>
        <v>#REF!</v>
      </c>
      <c r="B39" s="63" t="e">
        <f aca="false">_xlfn.CONCAT(#REF!, ":", #REF!)</f>
        <v>#REF!</v>
      </c>
      <c r="C39" s="80" t="e">
        <f aca="false">#REF!</f>
        <v>#REF!</v>
      </c>
      <c r="D39" s="80" t="e">
        <f aca="false">#REF!</f>
        <v>#REF!</v>
      </c>
      <c r="E39" s="80" t="e">
        <f aca="false">#REF!</f>
        <v>#REF!</v>
      </c>
      <c r="F39" s="80" t="e">
        <f aca="false">#REF!</f>
        <v>#REF!</v>
      </c>
    </row>
    <row r="40" customFormat="false" ht="12.8" hidden="false" customHeight="false" outlineLevel="0" collapsed="false">
      <c r="A40" s="50" t="e">
        <f aca="false">_xlfn.CONCAT($A$1, ".", #REF!)</f>
        <v>#REF!</v>
      </c>
      <c r="B40" s="63" t="e">
        <f aca="false">_xlfn.CONCAT(#REF!, ":", #REF!)</f>
        <v>#REF!</v>
      </c>
      <c r="C40" s="80" t="e">
        <f aca="false">#REF!</f>
        <v>#REF!</v>
      </c>
      <c r="D40" s="80" t="e">
        <f aca="false">#REF!</f>
        <v>#REF!</v>
      </c>
      <c r="E40" s="80" t="e">
        <f aca="false">#REF!</f>
        <v>#REF!</v>
      </c>
      <c r="F40" s="80" t="e">
        <f aca="false">#REF!</f>
        <v>#REF!</v>
      </c>
    </row>
    <row r="41" customFormat="false" ht="12.8" hidden="false" customHeight="false" outlineLevel="0" collapsed="false">
      <c r="A41" s="50" t="e">
        <f aca="false">_xlfn.CONCAT($A$1, ".", #REF!)</f>
        <v>#REF!</v>
      </c>
      <c r="B41" s="63" t="e">
        <f aca="false">_xlfn.CONCAT(#REF!, ":", #REF!)</f>
        <v>#REF!</v>
      </c>
      <c r="C41" s="80" t="e">
        <f aca="false">#REF!</f>
        <v>#REF!</v>
      </c>
      <c r="D41" s="80" t="e">
        <f aca="false">#REF!</f>
        <v>#REF!</v>
      </c>
      <c r="E41" s="80" t="e">
        <f aca="false">#REF!</f>
        <v>#REF!</v>
      </c>
      <c r="F41" s="80" t="e">
        <f aca="false">#REF!</f>
        <v>#REF!</v>
      </c>
    </row>
    <row r="42" customFormat="false" ht="12.8" hidden="false" customHeight="false" outlineLevel="0" collapsed="false">
      <c r="A42" s="50" t="e">
        <f aca="false">_xlfn.CONCAT($A$1, ".", #REF!)</f>
        <v>#REF!</v>
      </c>
      <c r="B42" s="63" t="e">
        <f aca="false">_xlfn.CONCAT(#REF!, ":", #REF!)</f>
        <v>#REF!</v>
      </c>
      <c r="C42" s="80" t="e">
        <f aca="false">#REF!</f>
        <v>#REF!</v>
      </c>
      <c r="D42" s="80" t="e">
        <f aca="false">#REF!</f>
        <v>#REF!</v>
      </c>
      <c r="E42" s="80" t="e">
        <f aca="false">#REF!</f>
        <v>#REF!</v>
      </c>
      <c r="F42" s="80" t="e">
        <f aca="false">#REF!</f>
        <v>#REF!</v>
      </c>
    </row>
    <row r="43" customFormat="false" ht="12.8" hidden="false" customHeight="false" outlineLevel="0" collapsed="false">
      <c r="A43" s="50" t="e">
        <f aca="false">_xlfn.CONCAT($A$1, ".", #REF!)</f>
        <v>#REF!</v>
      </c>
      <c r="B43" s="63" t="e">
        <f aca="false">_xlfn.CONCAT(#REF!, ":", #REF!)</f>
        <v>#REF!</v>
      </c>
      <c r="C43" s="80" t="e">
        <f aca="false">#REF!</f>
        <v>#REF!</v>
      </c>
      <c r="D43" s="80" t="e">
        <f aca="false">#REF!</f>
        <v>#REF!</v>
      </c>
      <c r="E43" s="80" t="e">
        <f aca="false">#REF!</f>
        <v>#REF!</v>
      </c>
      <c r="F43" s="80" t="e">
        <f aca="false">#REF!</f>
        <v>#REF!</v>
      </c>
    </row>
    <row r="44" customFormat="false" ht="12.8" hidden="false" customHeight="false" outlineLevel="0" collapsed="false">
      <c r="A44" s="50" t="e">
        <f aca="false">_xlfn.CONCAT($A$1, ".", #REF!)</f>
        <v>#REF!</v>
      </c>
      <c r="B44" s="63" t="e">
        <f aca="false">_xlfn.CONCAT(#REF!, ":", #REF!)</f>
        <v>#REF!</v>
      </c>
      <c r="C44" s="80" t="e">
        <f aca="false">#REF!</f>
        <v>#REF!</v>
      </c>
      <c r="D44" s="80" t="e">
        <f aca="false">#REF!</f>
        <v>#REF!</v>
      </c>
      <c r="E44" s="80" t="e">
        <f aca="false">#REF!</f>
        <v>#REF!</v>
      </c>
      <c r="F44" s="80" t="e">
        <f aca="false">#REF!</f>
        <v>#REF!</v>
      </c>
    </row>
    <row r="45" customFormat="false" ht="12.8" hidden="false" customHeight="false" outlineLevel="0" collapsed="false">
      <c r="A45" s="50" t="e">
        <f aca="false">_xlfn.CONCAT($A$1, ".", #REF!)</f>
        <v>#REF!</v>
      </c>
      <c r="B45" s="63" t="e">
        <f aca="false">_xlfn.CONCAT(#REF!, ":", #REF!)</f>
        <v>#REF!</v>
      </c>
      <c r="C45" s="80" t="e">
        <f aca="false">#REF!</f>
        <v>#REF!</v>
      </c>
      <c r="D45" s="80" t="e">
        <f aca="false">#REF!</f>
        <v>#REF!</v>
      </c>
      <c r="E45" s="80" t="e">
        <f aca="false">#REF!</f>
        <v>#REF!</v>
      </c>
      <c r="F45" s="80" t="e">
        <f aca="false">#REF!</f>
        <v>#REF!</v>
      </c>
    </row>
    <row r="46" customFormat="false" ht="12.8" hidden="false" customHeight="false" outlineLevel="0" collapsed="false">
      <c r="A46" s="50" t="e">
        <f aca="false">_xlfn.CONCAT($A$1, ".", #REF!)</f>
        <v>#REF!</v>
      </c>
      <c r="B46" s="63" t="e">
        <f aca="false">_xlfn.CONCAT(#REF!, ":", #REF!)</f>
        <v>#REF!</v>
      </c>
      <c r="C46" s="80" t="e">
        <f aca="false">#REF!</f>
        <v>#REF!</v>
      </c>
      <c r="D46" s="80" t="e">
        <f aca="false">#REF!</f>
        <v>#REF!</v>
      </c>
      <c r="E46" s="80" t="e">
        <f aca="false">#REF!</f>
        <v>#REF!</v>
      </c>
      <c r="F46" s="80" t="e">
        <f aca="false">#REF!</f>
        <v>#REF!</v>
      </c>
    </row>
    <row r="47" customFormat="false" ht="12.8" hidden="false" customHeight="false" outlineLevel="0" collapsed="false">
      <c r="A47" s="50" t="e">
        <f aca="false">_xlfn.CONCAT($A$1, ".", #REF!)</f>
        <v>#REF!</v>
      </c>
      <c r="B47" s="63" t="e">
        <f aca="false">_xlfn.CONCAT(#REF!, ":", #REF!)</f>
        <v>#REF!</v>
      </c>
      <c r="C47" s="80" t="e">
        <f aca="false">#REF!</f>
        <v>#REF!</v>
      </c>
      <c r="D47" s="80" t="e">
        <f aca="false">#REF!</f>
        <v>#REF!</v>
      </c>
      <c r="E47" s="80" t="e">
        <f aca="false">#REF!</f>
        <v>#REF!</v>
      </c>
      <c r="F47" s="80" t="e">
        <f aca="false">#REF!</f>
        <v>#REF!</v>
      </c>
    </row>
    <row r="48" customFormat="false" ht="12.8" hidden="false" customHeight="false" outlineLevel="0" collapsed="false">
      <c r="A48" s="50" t="e">
        <f aca="false">_xlfn.CONCAT($A$1, ".", #REF!)</f>
        <v>#REF!</v>
      </c>
      <c r="B48" s="63" t="e">
        <f aca="false">_xlfn.CONCAT(#REF!, ":", #REF!)</f>
        <v>#REF!</v>
      </c>
      <c r="C48" s="80" t="e">
        <f aca="false">#REF!</f>
        <v>#REF!</v>
      </c>
      <c r="D48" s="80" t="e">
        <f aca="false">#REF!</f>
        <v>#REF!</v>
      </c>
      <c r="E48" s="80" t="e">
        <f aca="false">#REF!</f>
        <v>#REF!</v>
      </c>
      <c r="F48" s="80" t="e">
        <f aca="false">#REF!</f>
        <v>#REF!</v>
      </c>
    </row>
    <row r="49" customFormat="false" ht="12.8" hidden="false" customHeight="false" outlineLevel="0" collapsed="false">
      <c r="A49" s="50" t="e">
        <f aca="false">_xlfn.CONCAT($A$1, ".", #REF!)</f>
        <v>#REF!</v>
      </c>
      <c r="B49" s="63" t="e">
        <f aca="false">_xlfn.CONCAT(#REF!, ":", #REF!)</f>
        <v>#REF!</v>
      </c>
      <c r="C49" s="80" t="e">
        <f aca="false">#REF!</f>
        <v>#REF!</v>
      </c>
      <c r="D49" s="80" t="e">
        <f aca="false">#REF!</f>
        <v>#REF!</v>
      </c>
      <c r="E49" s="80" t="e">
        <f aca="false">#REF!</f>
        <v>#REF!</v>
      </c>
      <c r="F49" s="80" t="e">
        <f aca="false">#REF!</f>
        <v>#REF!</v>
      </c>
    </row>
    <row r="50" customFormat="false" ht="12.8" hidden="false" customHeight="false" outlineLevel="0" collapsed="false">
      <c r="A50" s="50" t="e">
        <f aca="false">_xlfn.CONCAT($A$1, ".", #REF!)</f>
        <v>#REF!</v>
      </c>
      <c r="B50" s="63" t="e">
        <f aca="false">_xlfn.CONCAT(#REF!, ":", #REF!)</f>
        <v>#REF!</v>
      </c>
      <c r="C50" s="80" t="e">
        <f aca="false">#REF!</f>
        <v>#REF!</v>
      </c>
      <c r="D50" s="80" t="e">
        <f aca="false">#REF!</f>
        <v>#REF!</v>
      </c>
      <c r="E50" s="80" t="e">
        <f aca="false">#REF!</f>
        <v>#REF!</v>
      </c>
      <c r="F50" s="80" t="e">
        <f aca="false">#REF!</f>
        <v>#REF!</v>
      </c>
    </row>
    <row r="51" customFormat="false" ht="12.8" hidden="false" customHeight="false" outlineLevel="0" collapsed="false">
      <c r="A51" s="50" t="e">
        <f aca="false">_xlfn.CONCAT($A$1, ".", #REF!)</f>
        <v>#REF!</v>
      </c>
      <c r="B51" s="63" t="e">
        <f aca="false">_xlfn.CONCAT(#REF!, ":", #REF!)</f>
        <v>#REF!</v>
      </c>
      <c r="C51" s="80" t="e">
        <f aca="false">#REF!</f>
        <v>#REF!</v>
      </c>
      <c r="D51" s="80" t="e">
        <f aca="false">#REF!</f>
        <v>#REF!</v>
      </c>
      <c r="E51" s="80" t="e">
        <f aca="false">#REF!</f>
        <v>#REF!</v>
      </c>
      <c r="F51" s="80" t="e">
        <f aca="false">#REF!</f>
        <v>#REF!</v>
      </c>
    </row>
    <row r="52" customFormat="false" ht="12.8" hidden="false" customHeight="false" outlineLevel="0" collapsed="false">
      <c r="A52" s="50" t="e">
        <f aca="false">_xlfn.CONCAT($A$1, ".", #REF!)</f>
        <v>#REF!</v>
      </c>
      <c r="B52" s="63" t="e">
        <f aca="false">_xlfn.CONCAT(#REF!, ":", #REF!)</f>
        <v>#REF!</v>
      </c>
      <c r="C52" s="80" t="e">
        <f aca="false">#REF!</f>
        <v>#REF!</v>
      </c>
      <c r="D52" s="80" t="e">
        <f aca="false">#REF!</f>
        <v>#REF!</v>
      </c>
      <c r="E52" s="80" t="e">
        <f aca="false">#REF!</f>
        <v>#REF!</v>
      </c>
      <c r="F52" s="80" t="e">
        <f aca="false">#REF!</f>
        <v>#REF!</v>
      </c>
    </row>
    <row r="53" customFormat="false" ht="12.8" hidden="false" customHeight="false" outlineLevel="0" collapsed="false">
      <c r="A53" s="50" t="e">
        <f aca="false">_xlfn.CONCAT($A$1, ".", #REF!)</f>
        <v>#REF!</v>
      </c>
      <c r="B53" s="63" t="e">
        <f aca="false">_xlfn.CONCAT(#REF!, ":", #REF!)</f>
        <v>#REF!</v>
      </c>
      <c r="C53" s="80" t="e">
        <f aca="false">#REF!</f>
        <v>#REF!</v>
      </c>
      <c r="D53" s="80" t="e">
        <f aca="false">#REF!</f>
        <v>#REF!</v>
      </c>
      <c r="E53" s="80" t="e">
        <f aca="false">#REF!</f>
        <v>#REF!</v>
      </c>
      <c r="F53" s="80" t="e">
        <f aca="false">#REF!</f>
        <v>#REF!</v>
      </c>
    </row>
    <row r="54" customFormat="false" ht="12.8" hidden="false" customHeight="false" outlineLevel="0" collapsed="false">
      <c r="A54" s="50" t="e">
        <f aca="false">_xlfn.CONCAT($A$1, ".", #REF!)</f>
        <v>#REF!</v>
      </c>
      <c r="B54" s="63" t="e">
        <f aca="false">_xlfn.CONCAT(#REF!, ":", #REF!)</f>
        <v>#REF!</v>
      </c>
      <c r="C54" s="80" t="e">
        <f aca="false">#REF!</f>
        <v>#REF!</v>
      </c>
      <c r="D54" s="80" t="e">
        <f aca="false">#REF!</f>
        <v>#REF!</v>
      </c>
      <c r="E54" s="80" t="e">
        <f aca="false">#REF!</f>
        <v>#REF!</v>
      </c>
      <c r="F54" s="80" t="e">
        <f aca="false">#REF!</f>
        <v>#REF!</v>
      </c>
    </row>
    <row r="55" customFormat="false" ht="12.8" hidden="false" customHeight="false" outlineLevel="0" collapsed="false">
      <c r="A55" s="50" t="e">
        <f aca="false">_xlfn.CONCAT($A$1, ".", #REF!)</f>
        <v>#REF!</v>
      </c>
      <c r="B55" s="63" t="e">
        <f aca="false">_xlfn.CONCAT(#REF!, ":", #REF!)</f>
        <v>#REF!</v>
      </c>
      <c r="C55" s="80" t="e">
        <f aca="false">#REF!</f>
        <v>#REF!</v>
      </c>
      <c r="D55" s="80" t="e">
        <f aca="false">#REF!</f>
        <v>#REF!</v>
      </c>
      <c r="E55" s="80" t="e">
        <f aca="false">#REF!</f>
        <v>#REF!</v>
      </c>
      <c r="F55" s="80"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false"/>
  </sheetPr>
  <dimension ref="A1:BP249"/>
  <sheetViews>
    <sheetView showFormulas="false" showGridLines="true" showRowColHeaders="true" showZeros="true" rightToLeft="false" tabSelected="false" showOutlineSymbols="true" defaultGridColor="true" view="normal" topLeftCell="A206" colorId="64" zoomScale="75" zoomScaleNormal="75" zoomScalePageLayoutView="100" workbookViewId="0">
      <selection pane="topLeft" activeCell="A225" activeCellId="1" sqref="D3:E3 A22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6"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1008</v>
      </c>
      <c r="B1" s="77" t="s">
        <v>1011</v>
      </c>
      <c r="C1" s="6" t="s">
        <v>2</v>
      </c>
      <c r="D1" s="39" t="s">
        <v>1012</v>
      </c>
      <c r="AZ1" s="39"/>
      <c r="BP1" s="39"/>
    </row>
    <row r="2" customFormat="false" ht="46.25" hidden="false" customHeight="false" outlineLevel="0" collapsed="false">
      <c r="A2" s="78" t="s">
        <v>792</v>
      </c>
      <c r="B2" s="79" t="s">
        <v>793</v>
      </c>
      <c r="C2" s="80" t="str">
        <f aca="false">CALC!BT3</f>
        <v>Average Weekly Hours Worked</v>
      </c>
      <c r="D2" s="80" t="str">
        <f aca="false">CALC!BU3</f>
        <v>Authorized Immigrant Average Weekly Hours Worked</v>
      </c>
      <c r="E2" s="80" t="str">
        <f aca="false">CALC!BV3</f>
        <v>Unauthorized Immigrant Average Weekly Hours Worked</v>
      </c>
      <c r="F2" s="80" t="str">
        <f aca="false">CALC!BW3</f>
        <v>American Average Weekly Hours Worked</v>
      </c>
    </row>
    <row r="3" customFormat="false" ht="12.8" hidden="false" customHeight="false" outlineLevel="0" collapsed="false">
      <c r="A3" s="50" t="e">
        <f aca="false">_xlfn.CONCAT($A$1, ".", #REF!)</f>
        <v>#REF!</v>
      </c>
      <c r="B3" s="63" t="e">
        <f aca="false">_xlfn.CONCAT(#REF!, ":", #REF!)</f>
        <v>#REF!</v>
      </c>
      <c r="C3" s="80" t="e">
        <f aca="false">#REF!</f>
        <v>#REF!</v>
      </c>
      <c r="D3" s="80" t="e">
        <f aca="false">#REF!</f>
        <v>#REF!</v>
      </c>
      <c r="E3" s="80" t="e">
        <f aca="false">#REF!</f>
        <v>#REF!</v>
      </c>
      <c r="F3" s="80" t="e">
        <f aca="false">#REF!</f>
        <v>#REF!</v>
      </c>
    </row>
    <row r="4" customFormat="false" ht="12.8" hidden="false" customHeight="false" outlineLevel="0" collapsed="false">
      <c r="A4" s="50" t="e">
        <f aca="false">_xlfn.CONCAT($A$1, ".", #REF!)</f>
        <v>#REF!</v>
      </c>
      <c r="B4" s="63" t="e">
        <f aca="false">_xlfn.CONCAT(#REF!, ":", #REF!)</f>
        <v>#REF!</v>
      </c>
      <c r="C4" s="80" t="e">
        <f aca="false">#REF!</f>
        <v>#REF!</v>
      </c>
      <c r="D4" s="80" t="e">
        <f aca="false">#REF!</f>
        <v>#REF!</v>
      </c>
      <c r="E4" s="80" t="e">
        <f aca="false">#REF!</f>
        <v>#REF!</v>
      </c>
      <c r="F4" s="80" t="e">
        <f aca="false">#REF!</f>
        <v>#REF!</v>
      </c>
    </row>
    <row r="5" customFormat="false" ht="12.8" hidden="false" customHeight="false" outlineLevel="0" collapsed="false">
      <c r="A5" s="50" t="e">
        <f aca="false">_xlfn.CONCAT($A$1, ".", #REF!)</f>
        <v>#REF!</v>
      </c>
      <c r="B5" s="63" t="e">
        <f aca="false">_xlfn.CONCAT(#REF!, ":", #REF!)</f>
        <v>#REF!</v>
      </c>
      <c r="C5" s="80" t="e">
        <f aca="false">#REF!</f>
        <v>#REF!</v>
      </c>
      <c r="D5" s="80" t="e">
        <f aca="false">#REF!</f>
        <v>#REF!</v>
      </c>
      <c r="E5" s="80" t="e">
        <f aca="false">#REF!</f>
        <v>#REF!</v>
      </c>
      <c r="F5" s="80" t="e">
        <f aca="false">#REF!</f>
        <v>#REF!</v>
      </c>
    </row>
    <row r="6" customFormat="false" ht="12.8" hidden="false" customHeight="false" outlineLevel="0" collapsed="false">
      <c r="A6" s="50" t="e">
        <f aca="false">_xlfn.CONCAT($A$1, ".", #REF!)</f>
        <v>#REF!</v>
      </c>
      <c r="B6" s="63" t="e">
        <f aca="false">_xlfn.CONCAT(#REF!, ":", #REF!)</f>
        <v>#REF!</v>
      </c>
      <c r="C6" s="80" t="e">
        <f aca="false">#REF!</f>
        <v>#REF!</v>
      </c>
      <c r="D6" s="80" t="e">
        <f aca="false">#REF!</f>
        <v>#REF!</v>
      </c>
      <c r="E6" s="80" t="e">
        <f aca="false">#REF!</f>
        <v>#REF!</v>
      </c>
      <c r="F6" s="80" t="e">
        <f aca="false">#REF!</f>
        <v>#REF!</v>
      </c>
    </row>
    <row r="7" customFormat="false" ht="12.8" hidden="false" customHeight="false" outlineLevel="0" collapsed="false">
      <c r="A7" s="50" t="e">
        <f aca="false">_xlfn.CONCAT($A$1, ".", #REF!)</f>
        <v>#REF!</v>
      </c>
      <c r="B7" s="63" t="e">
        <f aca="false">_xlfn.CONCAT(#REF!, ":", #REF!)</f>
        <v>#REF!</v>
      </c>
      <c r="C7" s="80" t="e">
        <f aca="false">#REF!</f>
        <v>#REF!</v>
      </c>
      <c r="D7" s="80" t="e">
        <f aca="false">#REF!</f>
        <v>#REF!</v>
      </c>
      <c r="E7" s="80" t="e">
        <f aca="false">#REF!</f>
        <v>#REF!</v>
      </c>
      <c r="F7" s="80" t="e">
        <f aca="false">#REF!</f>
        <v>#REF!</v>
      </c>
    </row>
    <row r="8" customFormat="false" ht="12.8" hidden="false" customHeight="false" outlineLevel="0" collapsed="false">
      <c r="A8" s="50" t="e">
        <f aca="false">_xlfn.CONCAT($A$1, ".", #REF!)</f>
        <v>#REF!</v>
      </c>
      <c r="B8" s="63" t="e">
        <f aca="false">_xlfn.CONCAT(#REF!, ":", #REF!)</f>
        <v>#REF!</v>
      </c>
      <c r="C8" s="80" t="e">
        <f aca="false">#REF!</f>
        <v>#REF!</v>
      </c>
      <c r="D8" s="80" t="e">
        <f aca="false">#REF!</f>
        <v>#REF!</v>
      </c>
      <c r="E8" s="80" t="e">
        <f aca="false">#REF!</f>
        <v>#REF!</v>
      </c>
      <c r="F8" s="80" t="e">
        <f aca="false">#REF!</f>
        <v>#REF!</v>
      </c>
    </row>
    <row r="9" customFormat="false" ht="12.8" hidden="false" customHeight="false" outlineLevel="0" collapsed="false">
      <c r="A9" s="50" t="e">
        <f aca="false">_xlfn.CONCAT($A$1, ".", #REF!)</f>
        <v>#REF!</v>
      </c>
      <c r="B9" s="63" t="e">
        <f aca="false">_xlfn.CONCAT(#REF!, ":", #REF!)</f>
        <v>#REF!</v>
      </c>
      <c r="C9" s="80" t="e">
        <f aca="false">#REF!</f>
        <v>#REF!</v>
      </c>
      <c r="D9" s="80" t="e">
        <f aca="false">#REF!</f>
        <v>#REF!</v>
      </c>
      <c r="E9" s="80" t="e">
        <f aca="false">#REF!</f>
        <v>#REF!</v>
      </c>
      <c r="F9" s="80" t="e">
        <f aca="false">#REF!</f>
        <v>#REF!</v>
      </c>
    </row>
    <row r="10" customFormat="false" ht="12.8" hidden="false" customHeight="false" outlineLevel="0" collapsed="false">
      <c r="A10" s="50" t="e">
        <f aca="false">_xlfn.CONCAT($A$1, ".", #REF!)</f>
        <v>#REF!</v>
      </c>
      <c r="B10" s="63" t="e">
        <f aca="false">_xlfn.CONCAT(#REF!, ":", #REF!)</f>
        <v>#REF!</v>
      </c>
      <c r="C10" s="80" t="e">
        <f aca="false">#REF!</f>
        <v>#REF!</v>
      </c>
      <c r="D10" s="80" t="e">
        <f aca="false">#REF!</f>
        <v>#REF!</v>
      </c>
      <c r="E10" s="80" t="e">
        <f aca="false">#REF!</f>
        <v>#REF!</v>
      </c>
      <c r="F10" s="80" t="e">
        <f aca="false">#REF!</f>
        <v>#REF!</v>
      </c>
    </row>
    <row r="11" customFormat="false" ht="12.8" hidden="false" customHeight="false" outlineLevel="0" collapsed="false">
      <c r="A11" s="50" t="e">
        <f aca="false">_xlfn.CONCAT($A$1, ".", #REF!)</f>
        <v>#REF!</v>
      </c>
      <c r="B11" s="63" t="e">
        <f aca="false">_xlfn.CONCAT(#REF!, ":", #REF!)</f>
        <v>#REF!</v>
      </c>
      <c r="C11" s="80" t="e">
        <f aca="false">#REF!</f>
        <v>#REF!</v>
      </c>
      <c r="D11" s="80" t="e">
        <f aca="false">#REF!</f>
        <v>#REF!</v>
      </c>
      <c r="E11" s="80" t="e">
        <f aca="false">#REF!</f>
        <v>#REF!</v>
      </c>
      <c r="F11" s="80" t="e">
        <f aca="false">#REF!</f>
        <v>#REF!</v>
      </c>
    </row>
    <row r="12" customFormat="false" ht="12.8" hidden="false" customHeight="false" outlineLevel="0" collapsed="false">
      <c r="A12" s="50" t="e">
        <f aca="false">_xlfn.CONCAT($A$1, ".", #REF!)</f>
        <v>#REF!</v>
      </c>
      <c r="B12" s="63" t="e">
        <f aca="false">_xlfn.CONCAT(#REF!, ":", #REF!)</f>
        <v>#REF!</v>
      </c>
      <c r="C12" s="80" t="e">
        <f aca="false">#REF!</f>
        <v>#REF!</v>
      </c>
      <c r="D12" s="80" t="e">
        <f aca="false">#REF!</f>
        <v>#REF!</v>
      </c>
      <c r="E12" s="80" t="e">
        <f aca="false">#REF!</f>
        <v>#REF!</v>
      </c>
      <c r="F12" s="80" t="e">
        <f aca="false">#REF!</f>
        <v>#REF!</v>
      </c>
    </row>
    <row r="13" customFormat="false" ht="12.8" hidden="false" customHeight="false" outlineLevel="0" collapsed="false">
      <c r="A13" s="50" t="e">
        <f aca="false">_xlfn.CONCAT($A$1, ".", #REF!)</f>
        <v>#REF!</v>
      </c>
      <c r="B13" s="63" t="e">
        <f aca="false">_xlfn.CONCAT(#REF!, ":", #REF!)</f>
        <v>#REF!</v>
      </c>
      <c r="C13" s="80" t="e">
        <f aca="false">#REF!</f>
        <v>#REF!</v>
      </c>
      <c r="D13" s="80" t="e">
        <f aca="false">#REF!</f>
        <v>#REF!</v>
      </c>
      <c r="E13" s="80" t="e">
        <f aca="false">#REF!</f>
        <v>#REF!</v>
      </c>
      <c r="F13" s="80" t="e">
        <f aca="false">#REF!</f>
        <v>#REF!</v>
      </c>
    </row>
    <row r="14" customFormat="false" ht="12.8" hidden="false" customHeight="false" outlineLevel="0" collapsed="false">
      <c r="A14" s="50" t="e">
        <f aca="false">_xlfn.CONCAT($A$1, ".", #REF!)</f>
        <v>#REF!</v>
      </c>
      <c r="B14" s="63" t="e">
        <f aca="false">_xlfn.CONCAT(#REF!, ":", #REF!)</f>
        <v>#REF!</v>
      </c>
      <c r="C14" s="80" t="e">
        <f aca="false">#REF!</f>
        <v>#REF!</v>
      </c>
      <c r="D14" s="80" t="e">
        <f aca="false">#REF!</f>
        <v>#REF!</v>
      </c>
      <c r="E14" s="80" t="e">
        <f aca="false">#REF!</f>
        <v>#REF!</v>
      </c>
      <c r="F14" s="80" t="e">
        <f aca="false">#REF!</f>
        <v>#REF!</v>
      </c>
    </row>
    <row r="15" customFormat="false" ht="12.8" hidden="false" customHeight="false" outlineLevel="0" collapsed="false">
      <c r="A15" s="50" t="e">
        <f aca="false">_xlfn.CONCAT($A$1, ".", #REF!)</f>
        <v>#REF!</v>
      </c>
      <c r="B15" s="63" t="e">
        <f aca="false">_xlfn.CONCAT(#REF!, ":", #REF!)</f>
        <v>#REF!</v>
      </c>
      <c r="C15" s="80" t="e">
        <f aca="false">#REF!</f>
        <v>#REF!</v>
      </c>
      <c r="D15" s="80" t="e">
        <f aca="false">#REF!</f>
        <v>#REF!</v>
      </c>
      <c r="E15" s="80" t="e">
        <f aca="false">#REF!</f>
        <v>#REF!</v>
      </c>
      <c r="F15" s="80" t="e">
        <f aca="false">#REF!</f>
        <v>#REF!</v>
      </c>
    </row>
    <row r="16" customFormat="false" ht="12.8" hidden="false" customHeight="false" outlineLevel="0" collapsed="false">
      <c r="A16" s="50" t="e">
        <f aca="false">_xlfn.CONCAT($A$1, ".", #REF!)</f>
        <v>#REF!</v>
      </c>
      <c r="B16" s="63" t="e">
        <f aca="false">_xlfn.CONCAT(#REF!, ":", #REF!)</f>
        <v>#REF!</v>
      </c>
      <c r="C16" s="80" t="e">
        <f aca="false">#REF!</f>
        <v>#REF!</v>
      </c>
      <c r="D16" s="80" t="e">
        <f aca="false">#REF!</f>
        <v>#REF!</v>
      </c>
      <c r="E16" s="80" t="e">
        <f aca="false">#REF!</f>
        <v>#REF!</v>
      </c>
      <c r="F16" s="80" t="e">
        <f aca="false">#REF!</f>
        <v>#REF!</v>
      </c>
    </row>
    <row r="17" customFormat="false" ht="12.8" hidden="false" customHeight="false" outlineLevel="0" collapsed="false">
      <c r="A17" s="50" t="e">
        <f aca="false">_xlfn.CONCAT($A$1, ".", #REF!)</f>
        <v>#REF!</v>
      </c>
      <c r="B17" s="63" t="e">
        <f aca="false">_xlfn.CONCAT(#REF!, ":", #REF!)</f>
        <v>#REF!</v>
      </c>
      <c r="C17" s="80" t="e">
        <f aca="false">#REF!</f>
        <v>#REF!</v>
      </c>
      <c r="D17" s="80" t="e">
        <f aca="false">#REF!</f>
        <v>#REF!</v>
      </c>
      <c r="E17" s="80" t="e">
        <f aca="false">#REF!</f>
        <v>#REF!</v>
      </c>
      <c r="F17" s="80" t="e">
        <f aca="false">#REF!</f>
        <v>#REF!</v>
      </c>
    </row>
    <row r="18" customFormat="false" ht="12.8" hidden="false" customHeight="false" outlineLevel="0" collapsed="false">
      <c r="A18" s="50" t="e">
        <f aca="false">_xlfn.CONCAT($A$1, ".", #REF!)</f>
        <v>#REF!</v>
      </c>
      <c r="B18" s="63" t="e">
        <f aca="false">_xlfn.CONCAT(#REF!, ":", #REF!)</f>
        <v>#REF!</v>
      </c>
      <c r="C18" s="80" t="e">
        <f aca="false">#REF!</f>
        <v>#REF!</v>
      </c>
      <c r="D18" s="80" t="e">
        <f aca="false">#REF!</f>
        <v>#REF!</v>
      </c>
      <c r="E18" s="80" t="e">
        <f aca="false">#REF!</f>
        <v>#REF!</v>
      </c>
      <c r="F18" s="80" t="e">
        <f aca="false">#REF!</f>
        <v>#REF!</v>
      </c>
    </row>
    <row r="19" customFormat="false" ht="12.8" hidden="false" customHeight="false" outlineLevel="0" collapsed="false">
      <c r="A19" s="50" t="e">
        <f aca="false">_xlfn.CONCAT($A$1, ".", #REF!)</f>
        <v>#REF!</v>
      </c>
      <c r="B19" s="63" t="e">
        <f aca="false">_xlfn.CONCAT(#REF!, ":", #REF!)</f>
        <v>#REF!</v>
      </c>
      <c r="C19" s="80" t="e">
        <f aca="false">#REF!</f>
        <v>#REF!</v>
      </c>
      <c r="D19" s="80" t="e">
        <f aca="false">#REF!</f>
        <v>#REF!</v>
      </c>
      <c r="E19" s="80" t="e">
        <f aca="false">#REF!</f>
        <v>#REF!</v>
      </c>
      <c r="F19" s="80" t="e">
        <f aca="false">#REF!</f>
        <v>#REF!</v>
      </c>
    </row>
    <row r="20" customFormat="false" ht="12.8" hidden="false" customHeight="false" outlineLevel="0" collapsed="false">
      <c r="A20" s="50" t="e">
        <f aca="false">_xlfn.CONCAT($A$1, ".", #REF!)</f>
        <v>#REF!</v>
      </c>
      <c r="B20" s="63" t="e">
        <f aca="false">_xlfn.CONCAT(#REF!, ":", #REF!)</f>
        <v>#REF!</v>
      </c>
      <c r="C20" s="80" t="e">
        <f aca="false">#REF!</f>
        <v>#REF!</v>
      </c>
      <c r="D20" s="80" t="e">
        <f aca="false">#REF!</f>
        <v>#REF!</v>
      </c>
      <c r="E20" s="80" t="e">
        <f aca="false">#REF!</f>
        <v>#REF!</v>
      </c>
      <c r="F20" s="80" t="e">
        <f aca="false">#REF!</f>
        <v>#REF!</v>
      </c>
    </row>
    <row r="21" customFormat="false" ht="12.8" hidden="false" customHeight="false" outlineLevel="0" collapsed="false">
      <c r="A21" s="50" t="e">
        <f aca="false">_xlfn.CONCAT($A$1, ".", #REF!)</f>
        <v>#REF!</v>
      </c>
      <c r="B21" s="63" t="e">
        <f aca="false">_xlfn.CONCAT(#REF!, ":", #REF!)</f>
        <v>#REF!</v>
      </c>
      <c r="C21" s="80" t="e">
        <f aca="false">#REF!</f>
        <v>#REF!</v>
      </c>
      <c r="D21" s="80" t="e">
        <f aca="false">#REF!</f>
        <v>#REF!</v>
      </c>
      <c r="E21" s="80" t="e">
        <f aca="false">#REF!</f>
        <v>#REF!</v>
      </c>
      <c r="F21" s="80" t="e">
        <f aca="false">#REF!</f>
        <v>#REF!</v>
      </c>
    </row>
    <row r="22" customFormat="false" ht="12.8" hidden="false" customHeight="false" outlineLevel="0" collapsed="false">
      <c r="A22" s="50" t="e">
        <f aca="false">_xlfn.CONCAT($A$1, ".", #REF!)</f>
        <v>#REF!</v>
      </c>
      <c r="B22" s="63" t="e">
        <f aca="false">_xlfn.CONCAT(#REF!, ":", #REF!)</f>
        <v>#REF!</v>
      </c>
      <c r="C22" s="80" t="e">
        <f aca="false">#REF!</f>
        <v>#REF!</v>
      </c>
      <c r="D22" s="80" t="e">
        <f aca="false">#REF!</f>
        <v>#REF!</v>
      </c>
      <c r="E22" s="80" t="e">
        <f aca="false">#REF!</f>
        <v>#REF!</v>
      </c>
      <c r="F22" s="80" t="e">
        <f aca="false">#REF!</f>
        <v>#REF!</v>
      </c>
    </row>
    <row r="23" customFormat="false" ht="12.8" hidden="false" customHeight="false" outlineLevel="0" collapsed="false">
      <c r="A23" s="50" t="e">
        <f aca="false">_xlfn.CONCAT($A$1, ".", #REF!)</f>
        <v>#REF!</v>
      </c>
      <c r="B23" s="63" t="e">
        <f aca="false">_xlfn.CONCAT(#REF!, ":", #REF!)</f>
        <v>#REF!</v>
      </c>
      <c r="C23" s="80" t="e">
        <f aca="false">#REF!</f>
        <v>#REF!</v>
      </c>
      <c r="D23" s="80" t="e">
        <f aca="false">#REF!</f>
        <v>#REF!</v>
      </c>
      <c r="E23" s="80" t="e">
        <f aca="false">#REF!</f>
        <v>#REF!</v>
      </c>
      <c r="F23" s="80" t="e">
        <f aca="false">#REF!</f>
        <v>#REF!</v>
      </c>
    </row>
    <row r="24" customFormat="false" ht="12.8" hidden="false" customHeight="false" outlineLevel="0" collapsed="false">
      <c r="A24" s="50" t="e">
        <f aca="false">_xlfn.CONCAT($A$1, ".", #REF!)</f>
        <v>#REF!</v>
      </c>
      <c r="B24" s="63" t="e">
        <f aca="false">_xlfn.CONCAT(#REF!, ":", #REF!)</f>
        <v>#REF!</v>
      </c>
      <c r="C24" s="80" t="e">
        <f aca="false">#REF!</f>
        <v>#REF!</v>
      </c>
      <c r="D24" s="80" t="e">
        <f aca="false">#REF!</f>
        <v>#REF!</v>
      </c>
      <c r="E24" s="80" t="e">
        <f aca="false">#REF!</f>
        <v>#REF!</v>
      </c>
      <c r="F24" s="80" t="e">
        <f aca="false">#REF!</f>
        <v>#REF!</v>
      </c>
    </row>
    <row r="25" customFormat="false" ht="12.8" hidden="false" customHeight="false" outlineLevel="0" collapsed="false">
      <c r="A25" s="50" t="e">
        <f aca="false">_xlfn.CONCAT($A$1, ".", #REF!)</f>
        <v>#REF!</v>
      </c>
      <c r="B25" s="63" t="e">
        <f aca="false">_xlfn.CONCAT(#REF!, ":", #REF!)</f>
        <v>#REF!</v>
      </c>
      <c r="C25" s="80" t="e">
        <f aca="false">#REF!</f>
        <v>#REF!</v>
      </c>
      <c r="D25" s="80" t="e">
        <f aca="false">#REF!</f>
        <v>#REF!</v>
      </c>
      <c r="E25" s="80" t="e">
        <f aca="false">#REF!</f>
        <v>#REF!</v>
      </c>
      <c r="F25" s="80" t="e">
        <f aca="false">#REF!</f>
        <v>#REF!</v>
      </c>
    </row>
    <row r="26" customFormat="false" ht="12.8" hidden="false" customHeight="false" outlineLevel="0" collapsed="false">
      <c r="A26" s="50" t="e">
        <f aca="false">_xlfn.CONCAT($A$1, ".", #REF!)</f>
        <v>#REF!</v>
      </c>
      <c r="B26" s="63" t="e">
        <f aca="false">_xlfn.CONCAT(#REF!, ":", #REF!)</f>
        <v>#REF!</v>
      </c>
      <c r="C26" s="80" t="e">
        <f aca="false">#REF!</f>
        <v>#REF!</v>
      </c>
      <c r="D26" s="80" t="e">
        <f aca="false">#REF!</f>
        <v>#REF!</v>
      </c>
      <c r="E26" s="80" t="e">
        <f aca="false">#REF!</f>
        <v>#REF!</v>
      </c>
      <c r="F26" s="80" t="e">
        <f aca="false">#REF!</f>
        <v>#REF!</v>
      </c>
    </row>
    <row r="27" customFormat="false" ht="12.8" hidden="false" customHeight="false" outlineLevel="0" collapsed="false">
      <c r="A27" s="50" t="e">
        <f aca="false">_xlfn.CONCAT($A$1, ".", #REF!)</f>
        <v>#REF!</v>
      </c>
      <c r="B27" s="63" t="e">
        <f aca="false">_xlfn.CONCAT(#REF!, ":", #REF!)</f>
        <v>#REF!</v>
      </c>
      <c r="C27" s="80" t="e">
        <f aca="false">#REF!</f>
        <v>#REF!</v>
      </c>
      <c r="D27" s="80" t="e">
        <f aca="false">#REF!</f>
        <v>#REF!</v>
      </c>
      <c r="E27" s="80" t="e">
        <f aca="false">#REF!</f>
        <v>#REF!</v>
      </c>
      <c r="F27" s="80" t="e">
        <f aca="false">#REF!</f>
        <v>#REF!</v>
      </c>
    </row>
    <row r="28" customFormat="false" ht="12.8" hidden="false" customHeight="false" outlineLevel="0" collapsed="false">
      <c r="A28" s="50" t="e">
        <f aca="false">_xlfn.CONCAT($A$1, ".", #REF!)</f>
        <v>#REF!</v>
      </c>
      <c r="B28" s="63" t="e">
        <f aca="false">_xlfn.CONCAT(#REF!, ":", #REF!)</f>
        <v>#REF!</v>
      </c>
      <c r="C28" s="80" t="e">
        <f aca="false">#REF!</f>
        <v>#REF!</v>
      </c>
      <c r="D28" s="80" t="e">
        <f aca="false">#REF!</f>
        <v>#REF!</v>
      </c>
      <c r="E28" s="80" t="e">
        <f aca="false">#REF!</f>
        <v>#REF!</v>
      </c>
      <c r="F28" s="80" t="e">
        <f aca="false">#REF!</f>
        <v>#REF!</v>
      </c>
    </row>
    <row r="29" customFormat="false" ht="12.8" hidden="false" customHeight="false" outlineLevel="0" collapsed="false">
      <c r="A29" s="50" t="e">
        <f aca="false">_xlfn.CONCAT($A$1, ".", #REF!)</f>
        <v>#REF!</v>
      </c>
      <c r="B29" s="63" t="e">
        <f aca="false">_xlfn.CONCAT(#REF!, ":", #REF!)</f>
        <v>#REF!</v>
      </c>
      <c r="C29" s="80" t="e">
        <f aca="false">#REF!</f>
        <v>#REF!</v>
      </c>
      <c r="D29" s="80" t="e">
        <f aca="false">#REF!</f>
        <v>#REF!</v>
      </c>
      <c r="E29" s="80" t="e">
        <f aca="false">#REF!</f>
        <v>#REF!</v>
      </c>
      <c r="F29" s="80" t="e">
        <f aca="false">#REF!</f>
        <v>#REF!</v>
      </c>
    </row>
    <row r="30" customFormat="false" ht="12.8" hidden="false" customHeight="false" outlineLevel="0" collapsed="false">
      <c r="A30" s="50" t="e">
        <f aca="false">_xlfn.CONCAT($A$1, ".", #REF!)</f>
        <v>#REF!</v>
      </c>
      <c r="B30" s="63" t="e">
        <f aca="false">_xlfn.CONCAT(#REF!, ":", #REF!)</f>
        <v>#REF!</v>
      </c>
      <c r="C30" s="80" t="e">
        <f aca="false">#REF!</f>
        <v>#REF!</v>
      </c>
      <c r="D30" s="80" t="e">
        <f aca="false">#REF!</f>
        <v>#REF!</v>
      </c>
      <c r="E30" s="80" t="e">
        <f aca="false">#REF!</f>
        <v>#REF!</v>
      </c>
      <c r="F30" s="80" t="e">
        <f aca="false">#REF!</f>
        <v>#REF!</v>
      </c>
    </row>
    <row r="31" customFormat="false" ht="12.8" hidden="false" customHeight="false" outlineLevel="0" collapsed="false">
      <c r="A31" s="50" t="e">
        <f aca="false">_xlfn.CONCAT($A$1, ".", #REF!)</f>
        <v>#REF!</v>
      </c>
      <c r="B31" s="63" t="e">
        <f aca="false">_xlfn.CONCAT(#REF!, ":", #REF!)</f>
        <v>#REF!</v>
      </c>
      <c r="C31" s="80" t="e">
        <f aca="false">#REF!</f>
        <v>#REF!</v>
      </c>
      <c r="D31" s="80" t="e">
        <f aca="false">#REF!</f>
        <v>#REF!</v>
      </c>
      <c r="E31" s="80" t="e">
        <f aca="false">#REF!</f>
        <v>#REF!</v>
      </c>
      <c r="F31" s="80" t="e">
        <f aca="false">#REF!</f>
        <v>#REF!</v>
      </c>
    </row>
    <row r="32" customFormat="false" ht="12.8" hidden="false" customHeight="false" outlineLevel="0" collapsed="false">
      <c r="A32" s="50" t="e">
        <f aca="false">_xlfn.CONCAT($A$1, ".", #REF!)</f>
        <v>#REF!</v>
      </c>
      <c r="B32" s="63" t="e">
        <f aca="false">_xlfn.CONCAT(#REF!, ":", #REF!)</f>
        <v>#REF!</v>
      </c>
      <c r="C32" s="80" t="e">
        <f aca="false">#REF!</f>
        <v>#REF!</v>
      </c>
      <c r="D32" s="80" t="e">
        <f aca="false">#REF!</f>
        <v>#REF!</v>
      </c>
      <c r="E32" s="80" t="e">
        <f aca="false">#REF!</f>
        <v>#REF!</v>
      </c>
      <c r="F32" s="80" t="e">
        <f aca="false">#REF!</f>
        <v>#REF!</v>
      </c>
    </row>
    <row r="33" customFormat="false" ht="12.8" hidden="false" customHeight="false" outlineLevel="0" collapsed="false">
      <c r="A33" s="50" t="e">
        <f aca="false">_xlfn.CONCAT($A$1, ".", #REF!)</f>
        <v>#REF!</v>
      </c>
      <c r="B33" s="63" t="e">
        <f aca="false">_xlfn.CONCAT(#REF!, ":", #REF!)</f>
        <v>#REF!</v>
      </c>
      <c r="C33" s="80" t="e">
        <f aca="false">#REF!</f>
        <v>#REF!</v>
      </c>
      <c r="D33" s="80" t="e">
        <f aca="false">#REF!</f>
        <v>#REF!</v>
      </c>
      <c r="E33" s="80" t="e">
        <f aca="false">#REF!</f>
        <v>#REF!</v>
      </c>
      <c r="F33" s="80" t="e">
        <f aca="false">#REF!</f>
        <v>#REF!</v>
      </c>
    </row>
    <row r="34" customFormat="false" ht="12.8" hidden="false" customHeight="false" outlineLevel="0" collapsed="false">
      <c r="A34" s="50" t="e">
        <f aca="false">_xlfn.CONCAT($A$1, ".", #REF!)</f>
        <v>#REF!</v>
      </c>
      <c r="B34" s="63" t="e">
        <f aca="false">_xlfn.CONCAT(#REF!, ":", #REF!)</f>
        <v>#REF!</v>
      </c>
      <c r="C34" s="80" t="e">
        <f aca="false">#REF!</f>
        <v>#REF!</v>
      </c>
      <c r="D34" s="80" t="e">
        <f aca="false">#REF!</f>
        <v>#REF!</v>
      </c>
      <c r="E34" s="80" t="e">
        <f aca="false">#REF!</f>
        <v>#REF!</v>
      </c>
      <c r="F34" s="80" t="e">
        <f aca="false">#REF!</f>
        <v>#REF!</v>
      </c>
    </row>
    <row r="35" customFormat="false" ht="12.8" hidden="false" customHeight="false" outlineLevel="0" collapsed="false">
      <c r="A35" s="50" t="e">
        <f aca="false">_xlfn.CONCAT($A$1, ".", #REF!)</f>
        <v>#REF!</v>
      </c>
      <c r="B35" s="63" t="e">
        <f aca="false">_xlfn.CONCAT(#REF!, ":", #REF!)</f>
        <v>#REF!</v>
      </c>
      <c r="C35" s="80" t="e">
        <f aca="false">#REF!</f>
        <v>#REF!</v>
      </c>
      <c r="D35" s="80" t="e">
        <f aca="false">#REF!</f>
        <v>#REF!</v>
      </c>
      <c r="E35" s="80" t="e">
        <f aca="false">#REF!</f>
        <v>#REF!</v>
      </c>
      <c r="F35" s="80" t="e">
        <f aca="false">#REF!</f>
        <v>#REF!</v>
      </c>
    </row>
    <row r="36" customFormat="false" ht="12.8" hidden="false" customHeight="false" outlineLevel="0" collapsed="false">
      <c r="A36" s="50" t="e">
        <f aca="false">_xlfn.CONCAT($A$1, ".", #REF!)</f>
        <v>#REF!</v>
      </c>
      <c r="B36" s="63" t="e">
        <f aca="false">_xlfn.CONCAT(#REF!, ":", #REF!)</f>
        <v>#REF!</v>
      </c>
      <c r="C36" s="80" t="e">
        <f aca="false">#REF!</f>
        <v>#REF!</v>
      </c>
      <c r="D36" s="80" t="e">
        <f aca="false">#REF!</f>
        <v>#REF!</v>
      </c>
      <c r="E36" s="80" t="e">
        <f aca="false">#REF!</f>
        <v>#REF!</v>
      </c>
      <c r="F36" s="80" t="e">
        <f aca="false">#REF!</f>
        <v>#REF!</v>
      </c>
    </row>
    <row r="37" customFormat="false" ht="12.8" hidden="false" customHeight="false" outlineLevel="0" collapsed="false">
      <c r="A37" s="50" t="e">
        <f aca="false">_xlfn.CONCAT($A$1, ".", #REF!)</f>
        <v>#REF!</v>
      </c>
      <c r="B37" s="63" t="e">
        <f aca="false">_xlfn.CONCAT(#REF!, ":", #REF!)</f>
        <v>#REF!</v>
      </c>
      <c r="C37" s="80" t="e">
        <f aca="false">#REF!</f>
        <v>#REF!</v>
      </c>
      <c r="D37" s="80" t="e">
        <f aca="false">#REF!</f>
        <v>#REF!</v>
      </c>
      <c r="E37" s="80" t="e">
        <f aca="false">#REF!</f>
        <v>#REF!</v>
      </c>
      <c r="F37" s="80" t="e">
        <f aca="false">#REF!</f>
        <v>#REF!</v>
      </c>
    </row>
    <row r="38" customFormat="false" ht="12.8" hidden="false" customHeight="false" outlineLevel="0" collapsed="false">
      <c r="A38" s="50" t="e">
        <f aca="false">_xlfn.CONCAT($A$1, ".", #REF!)</f>
        <v>#REF!</v>
      </c>
      <c r="B38" s="63" t="e">
        <f aca="false">_xlfn.CONCAT(#REF!, ":", #REF!)</f>
        <v>#REF!</v>
      </c>
      <c r="C38" s="80" t="e">
        <f aca="false">#REF!</f>
        <v>#REF!</v>
      </c>
      <c r="D38" s="80" t="e">
        <f aca="false">#REF!</f>
        <v>#REF!</v>
      </c>
      <c r="E38" s="80" t="e">
        <f aca="false">#REF!</f>
        <v>#REF!</v>
      </c>
      <c r="F38" s="80" t="e">
        <f aca="false">#REF!</f>
        <v>#REF!</v>
      </c>
    </row>
    <row r="39" customFormat="false" ht="12.8" hidden="false" customHeight="false" outlineLevel="0" collapsed="false">
      <c r="A39" s="50" t="e">
        <f aca="false">_xlfn.CONCAT($A$1, ".", #REF!)</f>
        <v>#REF!</v>
      </c>
      <c r="B39" s="63" t="e">
        <f aca="false">_xlfn.CONCAT(#REF!, ":", #REF!)</f>
        <v>#REF!</v>
      </c>
      <c r="C39" s="80" t="e">
        <f aca="false">#REF!</f>
        <v>#REF!</v>
      </c>
      <c r="D39" s="80" t="e">
        <f aca="false">#REF!</f>
        <v>#REF!</v>
      </c>
      <c r="E39" s="80" t="e">
        <f aca="false">#REF!</f>
        <v>#REF!</v>
      </c>
      <c r="F39" s="80" t="e">
        <f aca="false">#REF!</f>
        <v>#REF!</v>
      </c>
    </row>
    <row r="40" customFormat="false" ht="12.8" hidden="false" customHeight="false" outlineLevel="0" collapsed="false">
      <c r="A40" s="50" t="e">
        <f aca="false">_xlfn.CONCAT($A$1, ".", #REF!)</f>
        <v>#REF!</v>
      </c>
      <c r="B40" s="63" t="e">
        <f aca="false">_xlfn.CONCAT(#REF!, ":", #REF!)</f>
        <v>#REF!</v>
      </c>
      <c r="C40" s="80" t="e">
        <f aca="false">#REF!</f>
        <v>#REF!</v>
      </c>
      <c r="D40" s="80" t="e">
        <f aca="false">#REF!</f>
        <v>#REF!</v>
      </c>
      <c r="E40" s="80" t="e">
        <f aca="false">#REF!</f>
        <v>#REF!</v>
      </c>
      <c r="F40" s="80" t="e">
        <f aca="false">#REF!</f>
        <v>#REF!</v>
      </c>
    </row>
    <row r="41" customFormat="false" ht="12.8" hidden="false" customHeight="false" outlineLevel="0" collapsed="false">
      <c r="A41" s="50" t="e">
        <f aca="false">_xlfn.CONCAT($A$1, ".", #REF!)</f>
        <v>#REF!</v>
      </c>
      <c r="B41" s="63" t="e">
        <f aca="false">_xlfn.CONCAT(#REF!, ":", #REF!)</f>
        <v>#REF!</v>
      </c>
      <c r="C41" s="80" t="e">
        <f aca="false">#REF!</f>
        <v>#REF!</v>
      </c>
      <c r="D41" s="80" t="e">
        <f aca="false">#REF!</f>
        <v>#REF!</v>
      </c>
      <c r="E41" s="80" t="e">
        <f aca="false">#REF!</f>
        <v>#REF!</v>
      </c>
      <c r="F41" s="80" t="e">
        <f aca="false">#REF!</f>
        <v>#REF!</v>
      </c>
    </row>
    <row r="42" customFormat="false" ht="12.8" hidden="false" customHeight="false" outlineLevel="0" collapsed="false">
      <c r="A42" s="50" t="e">
        <f aca="false">_xlfn.CONCAT($A$1, ".", #REF!)</f>
        <v>#REF!</v>
      </c>
      <c r="B42" s="63" t="e">
        <f aca="false">_xlfn.CONCAT(#REF!, ":", #REF!)</f>
        <v>#REF!</v>
      </c>
      <c r="C42" s="80" t="e">
        <f aca="false">#REF!</f>
        <v>#REF!</v>
      </c>
      <c r="D42" s="80" t="e">
        <f aca="false">#REF!</f>
        <v>#REF!</v>
      </c>
      <c r="E42" s="80" t="e">
        <f aca="false">#REF!</f>
        <v>#REF!</v>
      </c>
      <c r="F42" s="80" t="e">
        <f aca="false">#REF!</f>
        <v>#REF!</v>
      </c>
    </row>
    <row r="43" customFormat="false" ht="12.8" hidden="false" customHeight="false" outlineLevel="0" collapsed="false">
      <c r="A43" s="50" t="e">
        <f aca="false">_xlfn.CONCAT($A$1, ".", #REF!)</f>
        <v>#REF!</v>
      </c>
      <c r="B43" s="63" t="e">
        <f aca="false">_xlfn.CONCAT(#REF!, ":", #REF!)</f>
        <v>#REF!</v>
      </c>
      <c r="C43" s="80" t="e">
        <f aca="false">#REF!</f>
        <v>#REF!</v>
      </c>
      <c r="D43" s="80" t="e">
        <f aca="false">#REF!</f>
        <v>#REF!</v>
      </c>
      <c r="E43" s="80" t="e">
        <f aca="false">#REF!</f>
        <v>#REF!</v>
      </c>
      <c r="F43" s="80" t="e">
        <f aca="false">#REF!</f>
        <v>#REF!</v>
      </c>
    </row>
    <row r="44" customFormat="false" ht="12.8" hidden="false" customHeight="false" outlineLevel="0" collapsed="false">
      <c r="A44" s="50" t="e">
        <f aca="false">_xlfn.CONCAT($A$1, ".", #REF!)</f>
        <v>#REF!</v>
      </c>
      <c r="B44" s="63" t="e">
        <f aca="false">_xlfn.CONCAT(#REF!, ":", #REF!)</f>
        <v>#REF!</v>
      </c>
      <c r="C44" s="80" t="e">
        <f aca="false">#REF!</f>
        <v>#REF!</v>
      </c>
      <c r="D44" s="80" t="e">
        <f aca="false">#REF!</f>
        <v>#REF!</v>
      </c>
      <c r="E44" s="80" t="e">
        <f aca="false">#REF!</f>
        <v>#REF!</v>
      </c>
      <c r="F44" s="80" t="e">
        <f aca="false">#REF!</f>
        <v>#REF!</v>
      </c>
    </row>
    <row r="45" customFormat="false" ht="12.8" hidden="false" customHeight="false" outlineLevel="0" collapsed="false">
      <c r="A45" s="50" t="e">
        <f aca="false">_xlfn.CONCAT($A$1, ".", #REF!)</f>
        <v>#REF!</v>
      </c>
      <c r="B45" s="63" t="e">
        <f aca="false">_xlfn.CONCAT(#REF!, ":", #REF!)</f>
        <v>#REF!</v>
      </c>
      <c r="C45" s="80" t="e">
        <f aca="false">#REF!</f>
        <v>#REF!</v>
      </c>
      <c r="D45" s="80" t="e">
        <f aca="false">#REF!</f>
        <v>#REF!</v>
      </c>
      <c r="E45" s="80" t="e">
        <f aca="false">#REF!</f>
        <v>#REF!</v>
      </c>
      <c r="F45" s="80" t="e">
        <f aca="false">#REF!</f>
        <v>#REF!</v>
      </c>
    </row>
    <row r="46" customFormat="false" ht="12.8" hidden="false" customHeight="false" outlineLevel="0" collapsed="false">
      <c r="A46" s="50" t="e">
        <f aca="false">_xlfn.CONCAT($A$1, ".", #REF!)</f>
        <v>#REF!</v>
      </c>
      <c r="B46" s="63" t="e">
        <f aca="false">_xlfn.CONCAT(#REF!, ":", #REF!)</f>
        <v>#REF!</v>
      </c>
      <c r="C46" s="80" t="e">
        <f aca="false">#REF!</f>
        <v>#REF!</v>
      </c>
      <c r="D46" s="80" t="e">
        <f aca="false">#REF!</f>
        <v>#REF!</v>
      </c>
      <c r="E46" s="80" t="e">
        <f aca="false">#REF!</f>
        <v>#REF!</v>
      </c>
      <c r="F46" s="80" t="e">
        <f aca="false">#REF!</f>
        <v>#REF!</v>
      </c>
    </row>
    <row r="47" customFormat="false" ht="12.8" hidden="false" customHeight="false" outlineLevel="0" collapsed="false">
      <c r="A47" s="50" t="e">
        <f aca="false">_xlfn.CONCAT($A$1, ".", #REF!)</f>
        <v>#REF!</v>
      </c>
      <c r="B47" s="63" t="e">
        <f aca="false">_xlfn.CONCAT(#REF!, ":", #REF!)</f>
        <v>#REF!</v>
      </c>
      <c r="C47" s="80" t="e">
        <f aca="false">#REF!</f>
        <v>#REF!</v>
      </c>
      <c r="D47" s="80" t="e">
        <f aca="false">#REF!</f>
        <v>#REF!</v>
      </c>
      <c r="E47" s="80" t="e">
        <f aca="false">#REF!</f>
        <v>#REF!</v>
      </c>
      <c r="F47" s="80" t="e">
        <f aca="false">#REF!</f>
        <v>#REF!</v>
      </c>
    </row>
    <row r="48" customFormat="false" ht="12.8" hidden="false" customHeight="false" outlineLevel="0" collapsed="false">
      <c r="A48" s="50" t="e">
        <f aca="false">_xlfn.CONCAT($A$1, ".", #REF!)</f>
        <v>#REF!</v>
      </c>
      <c r="B48" s="63" t="e">
        <f aca="false">_xlfn.CONCAT(#REF!, ":", #REF!)</f>
        <v>#REF!</v>
      </c>
      <c r="C48" s="80" t="e">
        <f aca="false">#REF!</f>
        <v>#REF!</v>
      </c>
      <c r="D48" s="80" t="e">
        <f aca="false">#REF!</f>
        <v>#REF!</v>
      </c>
      <c r="E48" s="80" t="e">
        <f aca="false">#REF!</f>
        <v>#REF!</v>
      </c>
      <c r="F48" s="80" t="e">
        <f aca="false">#REF!</f>
        <v>#REF!</v>
      </c>
    </row>
    <row r="49" customFormat="false" ht="12.8" hidden="false" customHeight="false" outlineLevel="0" collapsed="false">
      <c r="A49" s="50" t="e">
        <f aca="false">_xlfn.CONCAT($A$1, ".", #REF!)</f>
        <v>#REF!</v>
      </c>
      <c r="B49" s="63" t="e">
        <f aca="false">_xlfn.CONCAT(#REF!, ":", #REF!)</f>
        <v>#REF!</v>
      </c>
      <c r="C49" s="80" t="e">
        <f aca="false">#REF!</f>
        <v>#REF!</v>
      </c>
      <c r="D49" s="80" t="e">
        <f aca="false">#REF!</f>
        <v>#REF!</v>
      </c>
      <c r="E49" s="80" t="e">
        <f aca="false">#REF!</f>
        <v>#REF!</v>
      </c>
      <c r="F49" s="80" t="e">
        <f aca="false">#REF!</f>
        <v>#REF!</v>
      </c>
    </row>
    <row r="50" customFormat="false" ht="12.8" hidden="false" customHeight="false" outlineLevel="0" collapsed="false">
      <c r="A50" s="50" t="e">
        <f aca="false">_xlfn.CONCAT($A$1, ".", #REF!)</f>
        <v>#REF!</v>
      </c>
      <c r="B50" s="63" t="e">
        <f aca="false">_xlfn.CONCAT(#REF!, ":", #REF!)</f>
        <v>#REF!</v>
      </c>
      <c r="C50" s="80" t="e">
        <f aca="false">#REF!</f>
        <v>#REF!</v>
      </c>
      <c r="D50" s="80" t="e">
        <f aca="false">#REF!</f>
        <v>#REF!</v>
      </c>
      <c r="E50" s="80" t="e">
        <f aca="false">#REF!</f>
        <v>#REF!</v>
      </c>
      <c r="F50" s="80" t="e">
        <f aca="false">#REF!</f>
        <v>#REF!</v>
      </c>
    </row>
    <row r="51" customFormat="false" ht="12.8" hidden="false" customHeight="false" outlineLevel="0" collapsed="false">
      <c r="A51" s="50" t="e">
        <f aca="false">_xlfn.CONCAT($A$1, ".", #REF!)</f>
        <v>#REF!</v>
      </c>
      <c r="B51" s="63" t="e">
        <f aca="false">_xlfn.CONCAT(#REF!, ":", #REF!)</f>
        <v>#REF!</v>
      </c>
      <c r="C51" s="80" t="e">
        <f aca="false">#REF!</f>
        <v>#REF!</v>
      </c>
      <c r="D51" s="80" t="e">
        <f aca="false">#REF!</f>
        <v>#REF!</v>
      </c>
      <c r="E51" s="80" t="e">
        <f aca="false">#REF!</f>
        <v>#REF!</v>
      </c>
      <c r="F51" s="80" t="e">
        <f aca="false">#REF!</f>
        <v>#REF!</v>
      </c>
    </row>
    <row r="52" customFormat="false" ht="12.8" hidden="false" customHeight="false" outlineLevel="0" collapsed="false">
      <c r="A52" s="50" t="e">
        <f aca="false">_xlfn.CONCAT($A$1, ".", #REF!)</f>
        <v>#REF!</v>
      </c>
      <c r="B52" s="63" t="e">
        <f aca="false">_xlfn.CONCAT(#REF!, ":", #REF!)</f>
        <v>#REF!</v>
      </c>
      <c r="C52" s="80" t="e">
        <f aca="false">#REF!</f>
        <v>#REF!</v>
      </c>
      <c r="D52" s="80" t="e">
        <f aca="false">#REF!</f>
        <v>#REF!</v>
      </c>
      <c r="E52" s="80" t="e">
        <f aca="false">#REF!</f>
        <v>#REF!</v>
      </c>
      <c r="F52" s="80" t="e">
        <f aca="false">#REF!</f>
        <v>#REF!</v>
      </c>
    </row>
    <row r="53" customFormat="false" ht="12.8" hidden="false" customHeight="false" outlineLevel="0" collapsed="false">
      <c r="A53" s="50" t="e">
        <f aca="false">_xlfn.CONCAT($A$1, ".", #REF!)</f>
        <v>#REF!</v>
      </c>
      <c r="B53" s="63" t="e">
        <f aca="false">_xlfn.CONCAT(#REF!, ":", #REF!)</f>
        <v>#REF!</v>
      </c>
      <c r="C53" s="80" t="e">
        <f aca="false">#REF!</f>
        <v>#REF!</v>
      </c>
      <c r="D53" s="80" t="e">
        <f aca="false">#REF!</f>
        <v>#REF!</v>
      </c>
      <c r="E53" s="80" t="e">
        <f aca="false">#REF!</f>
        <v>#REF!</v>
      </c>
      <c r="F53" s="80" t="e">
        <f aca="false">#REF!</f>
        <v>#REF!</v>
      </c>
    </row>
    <row r="54" customFormat="false" ht="12.8" hidden="false" customHeight="false" outlineLevel="0" collapsed="false">
      <c r="A54" s="50" t="e">
        <f aca="false">_xlfn.CONCAT($A$1, ".", #REF!)</f>
        <v>#REF!</v>
      </c>
      <c r="B54" s="63" t="e">
        <f aca="false">_xlfn.CONCAT(#REF!, ":", #REF!)</f>
        <v>#REF!</v>
      </c>
      <c r="C54" s="80" t="e">
        <f aca="false">#REF!</f>
        <v>#REF!</v>
      </c>
      <c r="D54" s="80" t="e">
        <f aca="false">#REF!</f>
        <v>#REF!</v>
      </c>
      <c r="E54" s="80" t="e">
        <f aca="false">#REF!</f>
        <v>#REF!</v>
      </c>
      <c r="F54" s="80" t="e">
        <f aca="false">#REF!</f>
        <v>#REF!</v>
      </c>
    </row>
    <row r="55" customFormat="false" ht="12.8" hidden="false" customHeight="false" outlineLevel="0" collapsed="false">
      <c r="A55" s="50" t="e">
        <f aca="false">_xlfn.CONCAT($A$1, ".", #REF!)</f>
        <v>#REF!</v>
      </c>
      <c r="B55" s="63" t="e">
        <f aca="false">_xlfn.CONCAT(#REF!, ":", #REF!)</f>
        <v>#REF!</v>
      </c>
      <c r="C55" s="80" t="e">
        <f aca="false">#REF!</f>
        <v>#REF!</v>
      </c>
      <c r="D55" s="80" t="e">
        <f aca="false">#REF!</f>
        <v>#REF!</v>
      </c>
      <c r="E55" s="80" t="e">
        <f aca="false">#REF!</f>
        <v>#REF!</v>
      </c>
      <c r="F55" s="80"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BP249"/>
  <sheetViews>
    <sheetView showFormulas="false" showGridLines="true" showRowColHeaders="true" showZeros="true" rightToLeft="false" tabSelected="false" showOutlineSymbols="true" defaultGridColor="true" view="normal" topLeftCell="A111" colorId="64" zoomScale="75" zoomScaleNormal="75" zoomScalePageLayoutView="100" workbookViewId="0">
      <selection pane="topLeft" activeCell="E155" activeCellId="1" sqref="D3:E3 E15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6"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1008</v>
      </c>
      <c r="B1" s="77" t="s">
        <v>1013</v>
      </c>
      <c r="C1" s="6" t="s">
        <v>2</v>
      </c>
      <c r="D1" s="39" t="s">
        <v>1014</v>
      </c>
      <c r="AZ1" s="39"/>
      <c r="BP1" s="39"/>
    </row>
    <row r="2" customFormat="false" ht="46.25" hidden="false" customHeight="false" outlineLevel="0" collapsed="false">
      <c r="A2" s="78" t="s">
        <v>792</v>
      </c>
      <c r="B2" s="79" t="s">
        <v>793</v>
      </c>
      <c r="C2" s="67" t="str">
        <f aca="false">CALC!BZ3</f>
        <v>Full-Time Employment Rate</v>
      </c>
      <c r="D2" s="67" t="str">
        <f aca="false">CALC!CA3</f>
        <v>Authorized Immigrant Full-Time Employment Rate</v>
      </c>
      <c r="E2" s="67" t="str">
        <f aca="false">CALC!CB3</f>
        <v>Unauthorized Immigrant Full-Time Employment Rate</v>
      </c>
      <c r="F2" s="67" t="str">
        <f aca="false">CALC!CC3</f>
        <v>American Full-Time Employment Rate</v>
      </c>
    </row>
    <row r="3" customFormat="false" ht="12.8" hidden="false" customHeight="false" outlineLevel="0" collapsed="false">
      <c r="A3" s="50" t="e">
        <f aca="false">_xlfn.CONCAT($A$1, ".", #REF!)</f>
        <v>#REF!</v>
      </c>
      <c r="B3" s="63" t="e">
        <f aca="false">_xlfn.CONCAT(#REF!, ":", #REF!)</f>
        <v>#REF!</v>
      </c>
      <c r="C3" s="67" t="e">
        <f aca="false">#REF!</f>
        <v>#REF!</v>
      </c>
      <c r="D3" s="67" t="e">
        <f aca="false">#REF!</f>
        <v>#REF!</v>
      </c>
      <c r="E3" s="67" t="e">
        <f aca="false">#REF!</f>
        <v>#REF!</v>
      </c>
      <c r="F3" s="67" t="e">
        <f aca="false">#REF!</f>
        <v>#REF!</v>
      </c>
    </row>
    <row r="4" customFormat="false" ht="12.8" hidden="false" customHeight="false" outlineLevel="0" collapsed="false">
      <c r="A4" s="50" t="e">
        <f aca="false">_xlfn.CONCAT($A$1, ".", #REF!)</f>
        <v>#REF!</v>
      </c>
      <c r="B4" s="63" t="e">
        <f aca="false">_xlfn.CONCAT(#REF!, ":", #REF!)</f>
        <v>#REF!</v>
      </c>
      <c r="C4" s="67" t="e">
        <f aca="false">#REF!</f>
        <v>#REF!</v>
      </c>
      <c r="D4" s="67" t="e">
        <f aca="false">#REF!</f>
        <v>#REF!</v>
      </c>
      <c r="E4" s="67" t="e">
        <f aca="false">#REF!</f>
        <v>#REF!</v>
      </c>
      <c r="F4" s="67" t="e">
        <f aca="false">#REF!</f>
        <v>#REF!</v>
      </c>
    </row>
    <row r="5" customFormat="false" ht="12.8" hidden="false" customHeight="false" outlineLevel="0" collapsed="false">
      <c r="A5" s="50" t="e">
        <f aca="false">_xlfn.CONCAT($A$1, ".", #REF!)</f>
        <v>#REF!</v>
      </c>
      <c r="B5" s="63" t="e">
        <f aca="false">_xlfn.CONCAT(#REF!, ":", #REF!)</f>
        <v>#REF!</v>
      </c>
      <c r="C5" s="67" t="e">
        <f aca="false">#REF!</f>
        <v>#REF!</v>
      </c>
      <c r="D5" s="67" t="e">
        <f aca="false">#REF!</f>
        <v>#REF!</v>
      </c>
      <c r="E5" s="67" t="e">
        <f aca="false">#REF!</f>
        <v>#REF!</v>
      </c>
      <c r="F5" s="67" t="e">
        <f aca="false">#REF!</f>
        <v>#REF!</v>
      </c>
    </row>
    <row r="6" customFormat="false" ht="12.8" hidden="false" customHeight="false" outlineLevel="0" collapsed="false">
      <c r="A6" s="50" t="e">
        <f aca="false">_xlfn.CONCAT($A$1, ".", #REF!)</f>
        <v>#REF!</v>
      </c>
      <c r="B6" s="63" t="e">
        <f aca="false">_xlfn.CONCAT(#REF!, ":", #REF!)</f>
        <v>#REF!</v>
      </c>
      <c r="C6" s="67" t="e">
        <f aca="false">#REF!</f>
        <v>#REF!</v>
      </c>
      <c r="D6" s="67" t="e">
        <f aca="false">#REF!</f>
        <v>#REF!</v>
      </c>
      <c r="E6" s="67" t="e">
        <f aca="false">#REF!</f>
        <v>#REF!</v>
      </c>
      <c r="F6" s="67" t="e">
        <f aca="false">#REF!</f>
        <v>#REF!</v>
      </c>
    </row>
    <row r="7" customFormat="false" ht="12.8" hidden="false" customHeight="false" outlineLevel="0" collapsed="false">
      <c r="A7" s="50" t="e">
        <f aca="false">_xlfn.CONCAT($A$1, ".", #REF!)</f>
        <v>#REF!</v>
      </c>
      <c r="B7" s="63" t="e">
        <f aca="false">_xlfn.CONCAT(#REF!, ":", #REF!)</f>
        <v>#REF!</v>
      </c>
      <c r="C7" s="67" t="e">
        <f aca="false">#REF!</f>
        <v>#REF!</v>
      </c>
      <c r="D7" s="67" t="e">
        <f aca="false">#REF!</f>
        <v>#REF!</v>
      </c>
      <c r="E7" s="67" t="e">
        <f aca="false">#REF!</f>
        <v>#REF!</v>
      </c>
      <c r="F7" s="67" t="e">
        <f aca="false">#REF!</f>
        <v>#REF!</v>
      </c>
    </row>
    <row r="8" customFormat="false" ht="12.8" hidden="false" customHeight="false" outlineLevel="0" collapsed="false">
      <c r="A8" s="50" t="e">
        <f aca="false">_xlfn.CONCAT($A$1, ".", #REF!)</f>
        <v>#REF!</v>
      </c>
      <c r="B8" s="63" t="e">
        <f aca="false">_xlfn.CONCAT(#REF!, ":", #REF!)</f>
        <v>#REF!</v>
      </c>
      <c r="C8" s="67" t="e">
        <f aca="false">#REF!</f>
        <v>#REF!</v>
      </c>
      <c r="D8" s="67" t="e">
        <f aca="false">#REF!</f>
        <v>#REF!</v>
      </c>
      <c r="E8" s="67" t="e">
        <f aca="false">#REF!</f>
        <v>#REF!</v>
      </c>
      <c r="F8" s="67" t="e">
        <f aca="false">#REF!</f>
        <v>#REF!</v>
      </c>
    </row>
    <row r="9" customFormat="false" ht="12.8" hidden="false" customHeight="false" outlineLevel="0" collapsed="false">
      <c r="A9" s="50" t="e">
        <f aca="false">_xlfn.CONCAT($A$1, ".", #REF!)</f>
        <v>#REF!</v>
      </c>
      <c r="B9" s="63" t="e">
        <f aca="false">_xlfn.CONCAT(#REF!, ":", #REF!)</f>
        <v>#REF!</v>
      </c>
      <c r="C9" s="67" t="e">
        <f aca="false">#REF!</f>
        <v>#REF!</v>
      </c>
      <c r="D9" s="67" t="e">
        <f aca="false">#REF!</f>
        <v>#REF!</v>
      </c>
      <c r="E9" s="67" t="e">
        <f aca="false">#REF!</f>
        <v>#REF!</v>
      </c>
      <c r="F9" s="67" t="e">
        <f aca="false">#REF!</f>
        <v>#REF!</v>
      </c>
    </row>
    <row r="10" customFormat="false" ht="12.8" hidden="false" customHeight="false" outlineLevel="0" collapsed="false">
      <c r="A10" s="50" t="e">
        <f aca="false">_xlfn.CONCAT($A$1, ".", #REF!)</f>
        <v>#REF!</v>
      </c>
      <c r="B10" s="63" t="e">
        <f aca="false">_xlfn.CONCAT(#REF!, ":", #REF!)</f>
        <v>#REF!</v>
      </c>
      <c r="C10" s="67" t="e">
        <f aca="false">#REF!</f>
        <v>#REF!</v>
      </c>
      <c r="D10" s="67" t="e">
        <f aca="false">#REF!</f>
        <v>#REF!</v>
      </c>
      <c r="E10" s="67" t="e">
        <f aca="false">#REF!</f>
        <v>#REF!</v>
      </c>
      <c r="F10" s="67" t="e">
        <f aca="false">#REF!</f>
        <v>#REF!</v>
      </c>
    </row>
    <row r="11" customFormat="false" ht="12.8" hidden="false" customHeight="false" outlineLevel="0" collapsed="false">
      <c r="A11" s="50" t="e">
        <f aca="false">_xlfn.CONCAT($A$1, ".", #REF!)</f>
        <v>#REF!</v>
      </c>
      <c r="B11" s="63" t="e">
        <f aca="false">_xlfn.CONCAT(#REF!, ":", #REF!)</f>
        <v>#REF!</v>
      </c>
      <c r="C11" s="67" t="e">
        <f aca="false">#REF!</f>
        <v>#REF!</v>
      </c>
      <c r="D11" s="67" t="e">
        <f aca="false">#REF!</f>
        <v>#REF!</v>
      </c>
      <c r="E11" s="67" t="e">
        <f aca="false">#REF!</f>
        <v>#REF!</v>
      </c>
      <c r="F11" s="67" t="e">
        <f aca="false">#REF!</f>
        <v>#REF!</v>
      </c>
    </row>
    <row r="12" customFormat="false" ht="12.8" hidden="false" customHeight="false" outlineLevel="0" collapsed="false">
      <c r="A12" s="50" t="e">
        <f aca="false">_xlfn.CONCAT($A$1, ".", #REF!)</f>
        <v>#REF!</v>
      </c>
      <c r="B12" s="63" t="e">
        <f aca="false">_xlfn.CONCAT(#REF!, ":", #REF!)</f>
        <v>#REF!</v>
      </c>
      <c r="C12" s="67" t="e">
        <f aca="false">#REF!</f>
        <v>#REF!</v>
      </c>
      <c r="D12" s="67" t="e">
        <f aca="false">#REF!</f>
        <v>#REF!</v>
      </c>
      <c r="E12" s="67" t="e">
        <f aca="false">#REF!</f>
        <v>#REF!</v>
      </c>
      <c r="F12" s="67" t="e">
        <f aca="false">#REF!</f>
        <v>#REF!</v>
      </c>
    </row>
    <row r="13" customFormat="false" ht="12.8" hidden="false" customHeight="false" outlineLevel="0" collapsed="false">
      <c r="A13" s="50" t="e">
        <f aca="false">_xlfn.CONCAT($A$1, ".", #REF!)</f>
        <v>#REF!</v>
      </c>
      <c r="B13" s="63" t="e">
        <f aca="false">_xlfn.CONCAT(#REF!, ":", #REF!)</f>
        <v>#REF!</v>
      </c>
      <c r="C13" s="67" t="e">
        <f aca="false">#REF!</f>
        <v>#REF!</v>
      </c>
      <c r="D13" s="67" t="e">
        <f aca="false">#REF!</f>
        <v>#REF!</v>
      </c>
      <c r="E13" s="67" t="e">
        <f aca="false">#REF!</f>
        <v>#REF!</v>
      </c>
      <c r="F13" s="67" t="e">
        <f aca="false">#REF!</f>
        <v>#REF!</v>
      </c>
    </row>
    <row r="14" customFormat="false" ht="12.8" hidden="false" customHeight="false" outlineLevel="0" collapsed="false">
      <c r="A14" s="50" t="e">
        <f aca="false">_xlfn.CONCAT($A$1, ".", #REF!)</f>
        <v>#REF!</v>
      </c>
      <c r="B14" s="63" t="e">
        <f aca="false">_xlfn.CONCAT(#REF!, ":", #REF!)</f>
        <v>#REF!</v>
      </c>
      <c r="C14" s="67" t="e">
        <f aca="false">#REF!</f>
        <v>#REF!</v>
      </c>
      <c r="D14" s="67" t="e">
        <f aca="false">#REF!</f>
        <v>#REF!</v>
      </c>
      <c r="E14" s="67" t="e">
        <f aca="false">#REF!</f>
        <v>#REF!</v>
      </c>
      <c r="F14" s="67" t="e">
        <f aca="false">#REF!</f>
        <v>#REF!</v>
      </c>
    </row>
    <row r="15" customFormat="false" ht="12.8" hidden="false" customHeight="false" outlineLevel="0" collapsed="false">
      <c r="A15" s="50" t="e">
        <f aca="false">_xlfn.CONCAT($A$1, ".", #REF!)</f>
        <v>#REF!</v>
      </c>
      <c r="B15" s="63" t="e">
        <f aca="false">_xlfn.CONCAT(#REF!, ":", #REF!)</f>
        <v>#REF!</v>
      </c>
      <c r="C15" s="67" t="e">
        <f aca="false">#REF!</f>
        <v>#REF!</v>
      </c>
      <c r="D15" s="67" t="e">
        <f aca="false">#REF!</f>
        <v>#REF!</v>
      </c>
      <c r="E15" s="67" t="e">
        <f aca="false">#REF!</f>
        <v>#REF!</v>
      </c>
      <c r="F15" s="67" t="e">
        <f aca="false">#REF!</f>
        <v>#REF!</v>
      </c>
    </row>
    <row r="16" customFormat="false" ht="12.8" hidden="false" customHeight="false" outlineLevel="0" collapsed="false">
      <c r="A16" s="50" t="e">
        <f aca="false">_xlfn.CONCAT($A$1, ".", #REF!)</f>
        <v>#REF!</v>
      </c>
      <c r="B16" s="63" t="e">
        <f aca="false">_xlfn.CONCAT(#REF!, ":", #REF!)</f>
        <v>#REF!</v>
      </c>
      <c r="C16" s="67" t="e">
        <f aca="false">#REF!</f>
        <v>#REF!</v>
      </c>
      <c r="D16" s="67" t="e">
        <f aca="false">#REF!</f>
        <v>#REF!</v>
      </c>
      <c r="E16" s="67" t="e">
        <f aca="false">#REF!</f>
        <v>#REF!</v>
      </c>
      <c r="F16" s="67" t="e">
        <f aca="false">#REF!</f>
        <v>#REF!</v>
      </c>
    </row>
    <row r="17" customFormat="false" ht="12.8" hidden="false" customHeight="false" outlineLevel="0" collapsed="false">
      <c r="A17" s="50" t="e">
        <f aca="false">_xlfn.CONCAT($A$1, ".", #REF!)</f>
        <v>#REF!</v>
      </c>
      <c r="B17" s="63" t="e">
        <f aca="false">_xlfn.CONCAT(#REF!, ":", #REF!)</f>
        <v>#REF!</v>
      </c>
      <c r="C17" s="67" t="e">
        <f aca="false">#REF!</f>
        <v>#REF!</v>
      </c>
      <c r="D17" s="67" t="e">
        <f aca="false">#REF!</f>
        <v>#REF!</v>
      </c>
      <c r="E17" s="67" t="e">
        <f aca="false">#REF!</f>
        <v>#REF!</v>
      </c>
      <c r="F17" s="67" t="e">
        <f aca="false">#REF!</f>
        <v>#REF!</v>
      </c>
    </row>
    <row r="18" customFormat="false" ht="12.8" hidden="false" customHeight="false" outlineLevel="0" collapsed="false">
      <c r="A18" s="50" t="e">
        <f aca="false">_xlfn.CONCAT($A$1, ".", #REF!)</f>
        <v>#REF!</v>
      </c>
      <c r="B18" s="63" t="e">
        <f aca="false">_xlfn.CONCAT(#REF!, ":", #REF!)</f>
        <v>#REF!</v>
      </c>
      <c r="C18" s="67" t="e">
        <f aca="false">#REF!</f>
        <v>#REF!</v>
      </c>
      <c r="D18" s="67" t="e">
        <f aca="false">#REF!</f>
        <v>#REF!</v>
      </c>
      <c r="E18" s="67" t="e">
        <f aca="false">#REF!</f>
        <v>#REF!</v>
      </c>
      <c r="F18" s="67" t="e">
        <f aca="false">#REF!</f>
        <v>#REF!</v>
      </c>
    </row>
    <row r="19" customFormat="false" ht="12.8" hidden="false" customHeight="false" outlineLevel="0" collapsed="false">
      <c r="A19" s="50" t="e">
        <f aca="false">_xlfn.CONCAT($A$1, ".", #REF!)</f>
        <v>#REF!</v>
      </c>
      <c r="B19" s="63" t="e">
        <f aca="false">_xlfn.CONCAT(#REF!, ":", #REF!)</f>
        <v>#REF!</v>
      </c>
      <c r="C19" s="67" t="e">
        <f aca="false">#REF!</f>
        <v>#REF!</v>
      </c>
      <c r="D19" s="67" t="e">
        <f aca="false">#REF!</f>
        <v>#REF!</v>
      </c>
      <c r="E19" s="67" t="e">
        <f aca="false">#REF!</f>
        <v>#REF!</v>
      </c>
      <c r="F19" s="67" t="e">
        <f aca="false">#REF!</f>
        <v>#REF!</v>
      </c>
    </row>
    <row r="20" customFormat="false" ht="12.8" hidden="false" customHeight="false" outlineLevel="0" collapsed="false">
      <c r="A20" s="50" t="e">
        <f aca="false">_xlfn.CONCAT($A$1, ".", #REF!)</f>
        <v>#REF!</v>
      </c>
      <c r="B20" s="63" t="e">
        <f aca="false">_xlfn.CONCAT(#REF!, ":", #REF!)</f>
        <v>#REF!</v>
      </c>
      <c r="C20" s="67" t="e">
        <f aca="false">#REF!</f>
        <v>#REF!</v>
      </c>
      <c r="D20" s="67" t="e">
        <f aca="false">#REF!</f>
        <v>#REF!</v>
      </c>
      <c r="E20" s="67" t="e">
        <f aca="false">#REF!</f>
        <v>#REF!</v>
      </c>
      <c r="F20" s="67" t="e">
        <f aca="false">#REF!</f>
        <v>#REF!</v>
      </c>
    </row>
    <row r="21" customFormat="false" ht="12.8" hidden="false" customHeight="false" outlineLevel="0" collapsed="false">
      <c r="A21" s="50" t="e">
        <f aca="false">_xlfn.CONCAT($A$1, ".", #REF!)</f>
        <v>#REF!</v>
      </c>
      <c r="B21" s="63" t="e">
        <f aca="false">_xlfn.CONCAT(#REF!, ":", #REF!)</f>
        <v>#REF!</v>
      </c>
      <c r="C21" s="67" t="e">
        <f aca="false">#REF!</f>
        <v>#REF!</v>
      </c>
      <c r="D21" s="67" t="e">
        <f aca="false">#REF!</f>
        <v>#REF!</v>
      </c>
      <c r="E21" s="67" t="e">
        <f aca="false">#REF!</f>
        <v>#REF!</v>
      </c>
      <c r="F21" s="67" t="e">
        <f aca="false">#REF!</f>
        <v>#REF!</v>
      </c>
    </row>
    <row r="22" customFormat="false" ht="12.8" hidden="false" customHeight="false" outlineLevel="0" collapsed="false">
      <c r="A22" s="50" t="e">
        <f aca="false">_xlfn.CONCAT($A$1, ".", #REF!)</f>
        <v>#REF!</v>
      </c>
      <c r="B22" s="63" t="e">
        <f aca="false">_xlfn.CONCAT(#REF!, ":", #REF!)</f>
        <v>#REF!</v>
      </c>
      <c r="C22" s="67" t="e">
        <f aca="false">#REF!</f>
        <v>#REF!</v>
      </c>
      <c r="D22" s="67" t="e">
        <f aca="false">#REF!</f>
        <v>#REF!</v>
      </c>
      <c r="E22" s="67" t="e">
        <f aca="false">#REF!</f>
        <v>#REF!</v>
      </c>
      <c r="F22" s="67" t="e">
        <f aca="false">#REF!</f>
        <v>#REF!</v>
      </c>
    </row>
    <row r="23" customFormat="false" ht="12.8" hidden="false" customHeight="false" outlineLevel="0" collapsed="false">
      <c r="A23" s="50" t="e">
        <f aca="false">_xlfn.CONCAT($A$1, ".", #REF!)</f>
        <v>#REF!</v>
      </c>
      <c r="B23" s="63" t="e">
        <f aca="false">_xlfn.CONCAT(#REF!, ":", #REF!)</f>
        <v>#REF!</v>
      </c>
      <c r="C23" s="67" t="e">
        <f aca="false">#REF!</f>
        <v>#REF!</v>
      </c>
      <c r="D23" s="67" t="e">
        <f aca="false">#REF!</f>
        <v>#REF!</v>
      </c>
      <c r="E23" s="67" t="e">
        <f aca="false">#REF!</f>
        <v>#REF!</v>
      </c>
      <c r="F23" s="67" t="e">
        <f aca="false">#REF!</f>
        <v>#REF!</v>
      </c>
    </row>
    <row r="24" customFormat="false" ht="12.8" hidden="false" customHeight="false" outlineLevel="0" collapsed="false">
      <c r="A24" s="50" t="e">
        <f aca="false">_xlfn.CONCAT($A$1, ".", #REF!)</f>
        <v>#REF!</v>
      </c>
      <c r="B24" s="63" t="e">
        <f aca="false">_xlfn.CONCAT(#REF!, ":", #REF!)</f>
        <v>#REF!</v>
      </c>
      <c r="C24" s="67" t="e">
        <f aca="false">#REF!</f>
        <v>#REF!</v>
      </c>
      <c r="D24" s="67" t="e">
        <f aca="false">#REF!</f>
        <v>#REF!</v>
      </c>
      <c r="E24" s="67" t="e">
        <f aca="false">#REF!</f>
        <v>#REF!</v>
      </c>
      <c r="F24" s="67" t="e">
        <f aca="false">#REF!</f>
        <v>#REF!</v>
      </c>
    </row>
    <row r="25" customFormat="false" ht="12.8" hidden="false" customHeight="false" outlineLevel="0" collapsed="false">
      <c r="A25" s="50" t="e">
        <f aca="false">_xlfn.CONCAT($A$1, ".", #REF!)</f>
        <v>#REF!</v>
      </c>
      <c r="B25" s="63" t="e">
        <f aca="false">_xlfn.CONCAT(#REF!, ":", #REF!)</f>
        <v>#REF!</v>
      </c>
      <c r="C25" s="67" t="e">
        <f aca="false">#REF!</f>
        <v>#REF!</v>
      </c>
      <c r="D25" s="67" t="e">
        <f aca="false">#REF!</f>
        <v>#REF!</v>
      </c>
      <c r="E25" s="67" t="e">
        <f aca="false">#REF!</f>
        <v>#REF!</v>
      </c>
      <c r="F25" s="67" t="e">
        <f aca="false">#REF!</f>
        <v>#REF!</v>
      </c>
    </row>
    <row r="26" customFormat="false" ht="12.8" hidden="false" customHeight="false" outlineLevel="0" collapsed="false">
      <c r="A26" s="50" t="e">
        <f aca="false">_xlfn.CONCAT($A$1, ".", #REF!)</f>
        <v>#REF!</v>
      </c>
      <c r="B26" s="63" t="e">
        <f aca="false">_xlfn.CONCAT(#REF!, ":", #REF!)</f>
        <v>#REF!</v>
      </c>
      <c r="C26" s="67" t="e">
        <f aca="false">#REF!</f>
        <v>#REF!</v>
      </c>
      <c r="D26" s="67" t="e">
        <f aca="false">#REF!</f>
        <v>#REF!</v>
      </c>
      <c r="E26" s="67" t="e">
        <f aca="false">#REF!</f>
        <v>#REF!</v>
      </c>
      <c r="F26" s="67" t="e">
        <f aca="false">#REF!</f>
        <v>#REF!</v>
      </c>
    </row>
    <row r="27" customFormat="false" ht="12.8" hidden="false" customHeight="false" outlineLevel="0" collapsed="false">
      <c r="A27" s="50" t="e">
        <f aca="false">_xlfn.CONCAT($A$1, ".", #REF!)</f>
        <v>#REF!</v>
      </c>
      <c r="B27" s="63" t="e">
        <f aca="false">_xlfn.CONCAT(#REF!, ":", #REF!)</f>
        <v>#REF!</v>
      </c>
      <c r="C27" s="67" t="e">
        <f aca="false">#REF!</f>
        <v>#REF!</v>
      </c>
      <c r="D27" s="67" t="e">
        <f aca="false">#REF!</f>
        <v>#REF!</v>
      </c>
      <c r="E27" s="67" t="e">
        <f aca="false">#REF!</f>
        <v>#REF!</v>
      </c>
      <c r="F27" s="67" t="e">
        <f aca="false">#REF!</f>
        <v>#REF!</v>
      </c>
    </row>
    <row r="28" customFormat="false" ht="12.8" hidden="false" customHeight="false" outlineLevel="0" collapsed="false">
      <c r="A28" s="50" t="e">
        <f aca="false">_xlfn.CONCAT($A$1, ".", #REF!)</f>
        <v>#REF!</v>
      </c>
      <c r="B28" s="63" t="e">
        <f aca="false">_xlfn.CONCAT(#REF!, ":", #REF!)</f>
        <v>#REF!</v>
      </c>
      <c r="C28" s="67" t="e">
        <f aca="false">#REF!</f>
        <v>#REF!</v>
      </c>
      <c r="D28" s="67" t="e">
        <f aca="false">#REF!</f>
        <v>#REF!</v>
      </c>
      <c r="E28" s="67" t="e">
        <f aca="false">#REF!</f>
        <v>#REF!</v>
      </c>
      <c r="F28" s="67" t="e">
        <f aca="false">#REF!</f>
        <v>#REF!</v>
      </c>
    </row>
    <row r="29" customFormat="false" ht="12.8" hidden="false" customHeight="false" outlineLevel="0" collapsed="false">
      <c r="A29" s="50" t="e">
        <f aca="false">_xlfn.CONCAT($A$1, ".", #REF!)</f>
        <v>#REF!</v>
      </c>
      <c r="B29" s="63" t="e">
        <f aca="false">_xlfn.CONCAT(#REF!, ":", #REF!)</f>
        <v>#REF!</v>
      </c>
      <c r="C29" s="67" t="e">
        <f aca="false">#REF!</f>
        <v>#REF!</v>
      </c>
      <c r="D29" s="67" t="e">
        <f aca="false">#REF!</f>
        <v>#REF!</v>
      </c>
      <c r="E29" s="67" t="e">
        <f aca="false">#REF!</f>
        <v>#REF!</v>
      </c>
      <c r="F29" s="67" t="e">
        <f aca="false">#REF!</f>
        <v>#REF!</v>
      </c>
    </row>
    <row r="30" customFormat="false" ht="12.8" hidden="false" customHeight="false" outlineLevel="0" collapsed="false">
      <c r="A30" s="50" t="e">
        <f aca="false">_xlfn.CONCAT($A$1, ".", #REF!)</f>
        <v>#REF!</v>
      </c>
      <c r="B30" s="63" t="e">
        <f aca="false">_xlfn.CONCAT(#REF!, ":", #REF!)</f>
        <v>#REF!</v>
      </c>
      <c r="C30" s="67" t="e">
        <f aca="false">#REF!</f>
        <v>#REF!</v>
      </c>
      <c r="D30" s="67" t="e">
        <f aca="false">#REF!</f>
        <v>#REF!</v>
      </c>
      <c r="E30" s="67" t="e">
        <f aca="false">#REF!</f>
        <v>#REF!</v>
      </c>
      <c r="F30" s="67" t="e">
        <f aca="false">#REF!</f>
        <v>#REF!</v>
      </c>
    </row>
    <row r="31" customFormat="false" ht="12.8" hidden="false" customHeight="false" outlineLevel="0" collapsed="false">
      <c r="A31" s="50" t="e">
        <f aca="false">_xlfn.CONCAT($A$1, ".", #REF!)</f>
        <v>#REF!</v>
      </c>
      <c r="B31" s="63" t="e">
        <f aca="false">_xlfn.CONCAT(#REF!, ":", #REF!)</f>
        <v>#REF!</v>
      </c>
      <c r="C31" s="67" t="e">
        <f aca="false">#REF!</f>
        <v>#REF!</v>
      </c>
      <c r="D31" s="67" t="e">
        <f aca="false">#REF!</f>
        <v>#REF!</v>
      </c>
      <c r="E31" s="67" t="e">
        <f aca="false">#REF!</f>
        <v>#REF!</v>
      </c>
      <c r="F31" s="67" t="e">
        <f aca="false">#REF!</f>
        <v>#REF!</v>
      </c>
    </row>
    <row r="32" customFormat="false" ht="12.8" hidden="false" customHeight="false" outlineLevel="0" collapsed="false">
      <c r="A32" s="50" t="e">
        <f aca="false">_xlfn.CONCAT($A$1, ".", #REF!)</f>
        <v>#REF!</v>
      </c>
      <c r="B32" s="63" t="e">
        <f aca="false">_xlfn.CONCAT(#REF!, ":", #REF!)</f>
        <v>#REF!</v>
      </c>
      <c r="C32" s="67" t="e">
        <f aca="false">#REF!</f>
        <v>#REF!</v>
      </c>
      <c r="D32" s="67" t="e">
        <f aca="false">#REF!</f>
        <v>#REF!</v>
      </c>
      <c r="E32" s="67" t="e">
        <f aca="false">#REF!</f>
        <v>#REF!</v>
      </c>
      <c r="F32" s="67" t="e">
        <f aca="false">#REF!</f>
        <v>#REF!</v>
      </c>
    </row>
    <row r="33" customFormat="false" ht="12.8" hidden="false" customHeight="false" outlineLevel="0" collapsed="false">
      <c r="A33" s="50" t="e">
        <f aca="false">_xlfn.CONCAT($A$1, ".", #REF!)</f>
        <v>#REF!</v>
      </c>
      <c r="B33" s="63" t="e">
        <f aca="false">_xlfn.CONCAT(#REF!, ":", #REF!)</f>
        <v>#REF!</v>
      </c>
      <c r="C33" s="67" t="e">
        <f aca="false">#REF!</f>
        <v>#REF!</v>
      </c>
      <c r="D33" s="67" t="e">
        <f aca="false">#REF!</f>
        <v>#REF!</v>
      </c>
      <c r="E33" s="67" t="e">
        <f aca="false">#REF!</f>
        <v>#REF!</v>
      </c>
      <c r="F33" s="67" t="e">
        <f aca="false">#REF!</f>
        <v>#REF!</v>
      </c>
    </row>
    <row r="34" customFormat="false" ht="12.8" hidden="false" customHeight="false" outlineLevel="0" collapsed="false">
      <c r="A34" s="50" t="e">
        <f aca="false">_xlfn.CONCAT($A$1, ".", #REF!)</f>
        <v>#REF!</v>
      </c>
      <c r="B34" s="63" t="e">
        <f aca="false">_xlfn.CONCAT(#REF!, ":", #REF!)</f>
        <v>#REF!</v>
      </c>
      <c r="C34" s="67" t="e">
        <f aca="false">#REF!</f>
        <v>#REF!</v>
      </c>
      <c r="D34" s="67" t="e">
        <f aca="false">#REF!</f>
        <v>#REF!</v>
      </c>
      <c r="E34" s="67" t="e">
        <f aca="false">#REF!</f>
        <v>#REF!</v>
      </c>
      <c r="F34" s="67" t="e">
        <f aca="false">#REF!</f>
        <v>#REF!</v>
      </c>
    </row>
    <row r="35" customFormat="false" ht="12.8" hidden="false" customHeight="false" outlineLevel="0" collapsed="false">
      <c r="A35" s="50" t="e">
        <f aca="false">_xlfn.CONCAT($A$1, ".", #REF!)</f>
        <v>#REF!</v>
      </c>
      <c r="B35" s="63" t="e">
        <f aca="false">_xlfn.CONCAT(#REF!, ":", #REF!)</f>
        <v>#REF!</v>
      </c>
      <c r="C35" s="67" t="e">
        <f aca="false">#REF!</f>
        <v>#REF!</v>
      </c>
      <c r="D35" s="67" t="e">
        <f aca="false">#REF!</f>
        <v>#REF!</v>
      </c>
      <c r="E35" s="67" t="e">
        <f aca="false">#REF!</f>
        <v>#REF!</v>
      </c>
      <c r="F35" s="67" t="e">
        <f aca="false">#REF!</f>
        <v>#REF!</v>
      </c>
    </row>
    <row r="36" customFormat="false" ht="12.8" hidden="false" customHeight="false" outlineLevel="0" collapsed="false">
      <c r="A36" s="50" t="e">
        <f aca="false">_xlfn.CONCAT($A$1, ".", #REF!)</f>
        <v>#REF!</v>
      </c>
      <c r="B36" s="63" t="e">
        <f aca="false">_xlfn.CONCAT(#REF!, ":", #REF!)</f>
        <v>#REF!</v>
      </c>
      <c r="C36" s="67" t="e">
        <f aca="false">#REF!</f>
        <v>#REF!</v>
      </c>
      <c r="D36" s="67" t="e">
        <f aca="false">#REF!</f>
        <v>#REF!</v>
      </c>
      <c r="E36" s="67" t="e">
        <f aca="false">#REF!</f>
        <v>#REF!</v>
      </c>
      <c r="F36" s="67" t="e">
        <f aca="false">#REF!</f>
        <v>#REF!</v>
      </c>
    </row>
    <row r="37" customFormat="false" ht="12.8" hidden="false" customHeight="false" outlineLevel="0" collapsed="false">
      <c r="A37" s="50" t="e">
        <f aca="false">_xlfn.CONCAT($A$1, ".", #REF!)</f>
        <v>#REF!</v>
      </c>
      <c r="B37" s="63" t="e">
        <f aca="false">_xlfn.CONCAT(#REF!, ":", #REF!)</f>
        <v>#REF!</v>
      </c>
      <c r="C37" s="67" t="e">
        <f aca="false">#REF!</f>
        <v>#REF!</v>
      </c>
      <c r="D37" s="67" t="e">
        <f aca="false">#REF!</f>
        <v>#REF!</v>
      </c>
      <c r="E37" s="67" t="e">
        <f aca="false">#REF!</f>
        <v>#REF!</v>
      </c>
      <c r="F37" s="67" t="e">
        <f aca="false">#REF!</f>
        <v>#REF!</v>
      </c>
    </row>
    <row r="38" customFormat="false" ht="12.8" hidden="false" customHeight="false" outlineLevel="0" collapsed="false">
      <c r="A38" s="50" t="e">
        <f aca="false">_xlfn.CONCAT($A$1, ".", #REF!)</f>
        <v>#REF!</v>
      </c>
      <c r="B38" s="63" t="e">
        <f aca="false">_xlfn.CONCAT(#REF!, ":", #REF!)</f>
        <v>#REF!</v>
      </c>
      <c r="C38" s="67" t="e">
        <f aca="false">#REF!</f>
        <v>#REF!</v>
      </c>
      <c r="D38" s="67" t="e">
        <f aca="false">#REF!</f>
        <v>#REF!</v>
      </c>
      <c r="E38" s="67" t="e">
        <f aca="false">#REF!</f>
        <v>#REF!</v>
      </c>
      <c r="F38" s="67" t="e">
        <f aca="false">#REF!</f>
        <v>#REF!</v>
      </c>
    </row>
    <row r="39" customFormat="false" ht="12.8" hidden="false" customHeight="false" outlineLevel="0" collapsed="false">
      <c r="A39" s="50" t="e">
        <f aca="false">_xlfn.CONCAT($A$1, ".", #REF!)</f>
        <v>#REF!</v>
      </c>
      <c r="B39" s="63" t="e">
        <f aca="false">_xlfn.CONCAT(#REF!, ":", #REF!)</f>
        <v>#REF!</v>
      </c>
      <c r="C39" s="67" t="e">
        <f aca="false">#REF!</f>
        <v>#REF!</v>
      </c>
      <c r="D39" s="67" t="e">
        <f aca="false">#REF!</f>
        <v>#REF!</v>
      </c>
      <c r="E39" s="67" t="e">
        <f aca="false">#REF!</f>
        <v>#REF!</v>
      </c>
      <c r="F39" s="67" t="e">
        <f aca="false">#REF!</f>
        <v>#REF!</v>
      </c>
    </row>
    <row r="40" customFormat="false" ht="12.8" hidden="false" customHeight="false" outlineLevel="0" collapsed="false">
      <c r="A40" s="50" t="e">
        <f aca="false">_xlfn.CONCAT($A$1, ".", #REF!)</f>
        <v>#REF!</v>
      </c>
      <c r="B40" s="63" t="e">
        <f aca="false">_xlfn.CONCAT(#REF!, ":", #REF!)</f>
        <v>#REF!</v>
      </c>
      <c r="C40" s="67" t="e">
        <f aca="false">#REF!</f>
        <v>#REF!</v>
      </c>
      <c r="D40" s="67" t="e">
        <f aca="false">#REF!</f>
        <v>#REF!</v>
      </c>
      <c r="E40" s="67" t="e">
        <f aca="false">#REF!</f>
        <v>#REF!</v>
      </c>
      <c r="F40" s="67" t="e">
        <f aca="false">#REF!</f>
        <v>#REF!</v>
      </c>
    </row>
    <row r="41" customFormat="false" ht="12.8" hidden="false" customHeight="false" outlineLevel="0" collapsed="false">
      <c r="A41" s="50" t="e">
        <f aca="false">_xlfn.CONCAT($A$1, ".", #REF!)</f>
        <v>#REF!</v>
      </c>
      <c r="B41" s="63" t="e">
        <f aca="false">_xlfn.CONCAT(#REF!, ":", #REF!)</f>
        <v>#REF!</v>
      </c>
      <c r="C41" s="67" t="e">
        <f aca="false">#REF!</f>
        <v>#REF!</v>
      </c>
      <c r="D41" s="67" t="e">
        <f aca="false">#REF!</f>
        <v>#REF!</v>
      </c>
      <c r="E41" s="67" t="e">
        <f aca="false">#REF!</f>
        <v>#REF!</v>
      </c>
      <c r="F41" s="67" t="e">
        <f aca="false">#REF!</f>
        <v>#REF!</v>
      </c>
    </row>
    <row r="42" customFormat="false" ht="12.8" hidden="false" customHeight="false" outlineLevel="0" collapsed="false">
      <c r="A42" s="50" t="e">
        <f aca="false">_xlfn.CONCAT($A$1, ".", #REF!)</f>
        <v>#REF!</v>
      </c>
      <c r="B42" s="63" t="e">
        <f aca="false">_xlfn.CONCAT(#REF!, ":", #REF!)</f>
        <v>#REF!</v>
      </c>
      <c r="C42" s="67" t="e">
        <f aca="false">#REF!</f>
        <v>#REF!</v>
      </c>
      <c r="D42" s="67" t="e">
        <f aca="false">#REF!</f>
        <v>#REF!</v>
      </c>
      <c r="E42" s="67" t="e">
        <f aca="false">#REF!</f>
        <v>#REF!</v>
      </c>
      <c r="F42" s="67" t="e">
        <f aca="false">#REF!</f>
        <v>#REF!</v>
      </c>
    </row>
    <row r="43" customFormat="false" ht="12.8" hidden="false" customHeight="false" outlineLevel="0" collapsed="false">
      <c r="A43" s="50" t="e">
        <f aca="false">_xlfn.CONCAT($A$1, ".", #REF!)</f>
        <v>#REF!</v>
      </c>
      <c r="B43" s="63" t="e">
        <f aca="false">_xlfn.CONCAT(#REF!, ":", #REF!)</f>
        <v>#REF!</v>
      </c>
      <c r="C43" s="67" t="e">
        <f aca="false">#REF!</f>
        <v>#REF!</v>
      </c>
      <c r="D43" s="67" t="e">
        <f aca="false">#REF!</f>
        <v>#REF!</v>
      </c>
      <c r="E43" s="67" t="e">
        <f aca="false">#REF!</f>
        <v>#REF!</v>
      </c>
      <c r="F43" s="67" t="e">
        <f aca="false">#REF!</f>
        <v>#REF!</v>
      </c>
    </row>
    <row r="44" customFormat="false" ht="12.8" hidden="false" customHeight="false" outlineLevel="0" collapsed="false">
      <c r="A44" s="50" t="e">
        <f aca="false">_xlfn.CONCAT($A$1, ".", #REF!)</f>
        <v>#REF!</v>
      </c>
      <c r="B44" s="63" t="e">
        <f aca="false">_xlfn.CONCAT(#REF!, ":", #REF!)</f>
        <v>#REF!</v>
      </c>
      <c r="C44" s="67" t="e">
        <f aca="false">#REF!</f>
        <v>#REF!</v>
      </c>
      <c r="D44" s="67" t="e">
        <f aca="false">#REF!</f>
        <v>#REF!</v>
      </c>
      <c r="E44" s="67" t="e">
        <f aca="false">#REF!</f>
        <v>#REF!</v>
      </c>
      <c r="F44" s="67" t="e">
        <f aca="false">#REF!</f>
        <v>#REF!</v>
      </c>
    </row>
    <row r="45" customFormat="false" ht="12.8" hidden="false" customHeight="false" outlineLevel="0" collapsed="false">
      <c r="A45" s="50" t="e">
        <f aca="false">_xlfn.CONCAT($A$1, ".", #REF!)</f>
        <v>#REF!</v>
      </c>
      <c r="B45" s="63" t="e">
        <f aca="false">_xlfn.CONCAT(#REF!, ":", #REF!)</f>
        <v>#REF!</v>
      </c>
      <c r="C45" s="67" t="e">
        <f aca="false">#REF!</f>
        <v>#REF!</v>
      </c>
      <c r="D45" s="67" t="e">
        <f aca="false">#REF!</f>
        <v>#REF!</v>
      </c>
      <c r="E45" s="67" t="e">
        <f aca="false">#REF!</f>
        <v>#REF!</v>
      </c>
      <c r="F45" s="67" t="e">
        <f aca="false">#REF!</f>
        <v>#REF!</v>
      </c>
    </row>
    <row r="46" customFormat="false" ht="12.8" hidden="false" customHeight="false" outlineLevel="0" collapsed="false">
      <c r="A46" s="50" t="e">
        <f aca="false">_xlfn.CONCAT($A$1, ".", #REF!)</f>
        <v>#REF!</v>
      </c>
      <c r="B46" s="63" t="e">
        <f aca="false">_xlfn.CONCAT(#REF!, ":", #REF!)</f>
        <v>#REF!</v>
      </c>
      <c r="C46" s="67" t="e">
        <f aca="false">#REF!</f>
        <v>#REF!</v>
      </c>
      <c r="D46" s="67" t="e">
        <f aca="false">#REF!</f>
        <v>#REF!</v>
      </c>
      <c r="E46" s="67" t="e">
        <f aca="false">#REF!</f>
        <v>#REF!</v>
      </c>
      <c r="F46" s="67" t="e">
        <f aca="false">#REF!</f>
        <v>#REF!</v>
      </c>
    </row>
    <row r="47" customFormat="false" ht="12.8" hidden="false" customHeight="false" outlineLevel="0" collapsed="false">
      <c r="A47" s="50" t="e">
        <f aca="false">_xlfn.CONCAT($A$1, ".", #REF!)</f>
        <v>#REF!</v>
      </c>
      <c r="B47" s="63" t="e">
        <f aca="false">_xlfn.CONCAT(#REF!, ":", #REF!)</f>
        <v>#REF!</v>
      </c>
      <c r="C47" s="67" t="e">
        <f aca="false">#REF!</f>
        <v>#REF!</v>
      </c>
      <c r="D47" s="67" t="e">
        <f aca="false">#REF!</f>
        <v>#REF!</v>
      </c>
      <c r="E47" s="67" t="e">
        <f aca="false">#REF!</f>
        <v>#REF!</v>
      </c>
      <c r="F47" s="67" t="e">
        <f aca="false">#REF!</f>
        <v>#REF!</v>
      </c>
    </row>
    <row r="48" customFormat="false" ht="12.8" hidden="false" customHeight="false" outlineLevel="0" collapsed="false">
      <c r="A48" s="50" t="e">
        <f aca="false">_xlfn.CONCAT($A$1, ".", #REF!)</f>
        <v>#REF!</v>
      </c>
      <c r="B48" s="63" t="e">
        <f aca="false">_xlfn.CONCAT(#REF!, ":", #REF!)</f>
        <v>#REF!</v>
      </c>
      <c r="C48" s="67" t="e">
        <f aca="false">#REF!</f>
        <v>#REF!</v>
      </c>
      <c r="D48" s="67" t="e">
        <f aca="false">#REF!</f>
        <v>#REF!</v>
      </c>
      <c r="E48" s="67" t="e">
        <f aca="false">#REF!</f>
        <v>#REF!</v>
      </c>
      <c r="F48" s="67" t="e">
        <f aca="false">#REF!</f>
        <v>#REF!</v>
      </c>
    </row>
    <row r="49" customFormat="false" ht="12.8" hidden="false" customHeight="false" outlineLevel="0" collapsed="false">
      <c r="A49" s="50" t="e">
        <f aca="false">_xlfn.CONCAT($A$1, ".", #REF!)</f>
        <v>#REF!</v>
      </c>
      <c r="B49" s="63" t="e">
        <f aca="false">_xlfn.CONCAT(#REF!, ":", #REF!)</f>
        <v>#REF!</v>
      </c>
      <c r="C49" s="67" t="e">
        <f aca="false">#REF!</f>
        <v>#REF!</v>
      </c>
      <c r="D49" s="67" t="e">
        <f aca="false">#REF!</f>
        <v>#REF!</v>
      </c>
      <c r="E49" s="67" t="e">
        <f aca="false">#REF!</f>
        <v>#REF!</v>
      </c>
      <c r="F49" s="67" t="e">
        <f aca="false">#REF!</f>
        <v>#REF!</v>
      </c>
    </row>
    <row r="50" customFormat="false" ht="12.8" hidden="false" customHeight="false" outlineLevel="0" collapsed="false">
      <c r="A50" s="50" t="e">
        <f aca="false">_xlfn.CONCAT($A$1, ".", #REF!)</f>
        <v>#REF!</v>
      </c>
      <c r="B50" s="63" t="e">
        <f aca="false">_xlfn.CONCAT(#REF!, ":", #REF!)</f>
        <v>#REF!</v>
      </c>
      <c r="C50" s="67" t="e">
        <f aca="false">#REF!</f>
        <v>#REF!</v>
      </c>
      <c r="D50" s="67" t="e">
        <f aca="false">#REF!</f>
        <v>#REF!</v>
      </c>
      <c r="E50" s="67" t="e">
        <f aca="false">#REF!</f>
        <v>#REF!</v>
      </c>
      <c r="F50" s="67" t="e">
        <f aca="false">#REF!</f>
        <v>#REF!</v>
      </c>
    </row>
    <row r="51" customFormat="false" ht="12.8" hidden="false" customHeight="false" outlineLevel="0" collapsed="false">
      <c r="A51" s="50" t="e">
        <f aca="false">_xlfn.CONCAT($A$1, ".", #REF!)</f>
        <v>#REF!</v>
      </c>
      <c r="B51" s="63" t="e">
        <f aca="false">_xlfn.CONCAT(#REF!, ":", #REF!)</f>
        <v>#REF!</v>
      </c>
      <c r="C51" s="67" t="e">
        <f aca="false">#REF!</f>
        <v>#REF!</v>
      </c>
      <c r="D51" s="67" t="e">
        <f aca="false">#REF!</f>
        <v>#REF!</v>
      </c>
      <c r="E51" s="67" t="e">
        <f aca="false">#REF!</f>
        <v>#REF!</v>
      </c>
      <c r="F51" s="67" t="e">
        <f aca="false">#REF!</f>
        <v>#REF!</v>
      </c>
    </row>
    <row r="52" customFormat="false" ht="12.8" hidden="false" customHeight="false" outlineLevel="0" collapsed="false">
      <c r="A52" s="50" t="e">
        <f aca="false">_xlfn.CONCAT($A$1, ".", #REF!)</f>
        <v>#REF!</v>
      </c>
      <c r="B52" s="63" t="e">
        <f aca="false">_xlfn.CONCAT(#REF!, ":", #REF!)</f>
        <v>#REF!</v>
      </c>
      <c r="C52" s="67" t="e">
        <f aca="false">#REF!</f>
        <v>#REF!</v>
      </c>
      <c r="D52" s="67" t="e">
        <f aca="false">#REF!</f>
        <v>#REF!</v>
      </c>
      <c r="E52" s="67" t="e">
        <f aca="false">#REF!</f>
        <v>#REF!</v>
      </c>
      <c r="F52" s="67" t="e">
        <f aca="false">#REF!</f>
        <v>#REF!</v>
      </c>
    </row>
    <row r="53" customFormat="false" ht="12.8" hidden="false" customHeight="false" outlineLevel="0" collapsed="false">
      <c r="A53" s="50" t="e">
        <f aca="false">_xlfn.CONCAT($A$1, ".", #REF!)</f>
        <v>#REF!</v>
      </c>
      <c r="B53" s="63" t="e">
        <f aca="false">_xlfn.CONCAT(#REF!, ":", #REF!)</f>
        <v>#REF!</v>
      </c>
      <c r="C53" s="67" t="e">
        <f aca="false">#REF!</f>
        <v>#REF!</v>
      </c>
      <c r="D53" s="67" t="e">
        <f aca="false">#REF!</f>
        <v>#REF!</v>
      </c>
      <c r="E53" s="67" t="e">
        <f aca="false">#REF!</f>
        <v>#REF!</v>
      </c>
      <c r="F53" s="67" t="e">
        <f aca="false">#REF!</f>
        <v>#REF!</v>
      </c>
    </row>
    <row r="54" customFormat="false" ht="12.8" hidden="false" customHeight="false" outlineLevel="0" collapsed="false">
      <c r="A54" s="50" t="e">
        <f aca="false">_xlfn.CONCAT($A$1, ".", #REF!)</f>
        <v>#REF!</v>
      </c>
      <c r="B54" s="63" t="e">
        <f aca="false">_xlfn.CONCAT(#REF!, ":", #REF!)</f>
        <v>#REF!</v>
      </c>
      <c r="C54" s="67" t="e">
        <f aca="false">#REF!</f>
        <v>#REF!</v>
      </c>
      <c r="D54" s="67" t="e">
        <f aca="false">#REF!</f>
        <v>#REF!</v>
      </c>
      <c r="E54" s="67" t="e">
        <f aca="false">#REF!</f>
        <v>#REF!</v>
      </c>
      <c r="F54" s="67" t="e">
        <f aca="false">#REF!</f>
        <v>#REF!</v>
      </c>
    </row>
    <row r="55" customFormat="false" ht="12.8" hidden="false" customHeight="false" outlineLevel="0" collapsed="false">
      <c r="A55" s="50" t="e">
        <f aca="false">_xlfn.CONCAT($A$1, ".", #REF!)</f>
        <v>#REF!</v>
      </c>
      <c r="B55" s="63" t="e">
        <f aca="false">_xlfn.CONCAT(#REF!, ":", #REF!)</f>
        <v>#REF!</v>
      </c>
      <c r="C55" s="67" t="e">
        <f aca="false">#REF!</f>
        <v>#REF!</v>
      </c>
      <c r="D55" s="67" t="e">
        <f aca="false">#REF!</f>
        <v>#REF!</v>
      </c>
      <c r="E55" s="67" t="e">
        <f aca="false">#REF!</f>
        <v>#REF!</v>
      </c>
      <c r="F55" s="67"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BP249"/>
  <sheetViews>
    <sheetView showFormulas="false" showGridLines="true" showRowColHeaders="true" showZeros="true" rightToLeft="false" tabSelected="false" showOutlineSymbols="true" defaultGridColor="true" view="normal" topLeftCell="A180" colorId="64" zoomScale="75" zoomScaleNormal="75" zoomScalePageLayoutView="100" workbookViewId="0">
      <selection pane="topLeft" activeCell="C55" activeCellId="1" sqref="D3:E3 C5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6"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1008</v>
      </c>
      <c r="B1" s="77" t="s">
        <v>1015</v>
      </c>
      <c r="C1" s="6" t="s">
        <v>2</v>
      </c>
      <c r="D1" s="39" t="s">
        <v>1016</v>
      </c>
      <c r="AZ1" s="39"/>
      <c r="BP1" s="39"/>
    </row>
    <row r="2" customFormat="false" ht="46.25" hidden="false" customHeight="false" outlineLevel="0" collapsed="false">
      <c r="A2" s="78" t="s">
        <v>792</v>
      </c>
      <c r="B2" s="79" t="s">
        <v>793</v>
      </c>
      <c r="C2" s="67" t="str">
        <f aca="false">CALC!CD3</f>
        <v>Part-Time Employment Rate</v>
      </c>
      <c r="D2" s="67" t="str">
        <f aca="false">CALC!CE3</f>
        <v>Authorized Immigrant Part-Time Employment Rate</v>
      </c>
      <c r="E2" s="67" t="str">
        <f aca="false">CALC!CF3</f>
        <v>Unauthorized Immigrant Part-Time Employment Rate</v>
      </c>
      <c r="F2" s="67" t="str">
        <f aca="false">CALC!CG3</f>
        <v>American Part-Time Employment Rate</v>
      </c>
    </row>
    <row r="3" customFormat="false" ht="12.8" hidden="false" customHeight="false" outlineLevel="0" collapsed="false">
      <c r="A3" s="50" t="e">
        <f aca="false">_xlfn.CONCAT($A$1, ".", #REF!)</f>
        <v>#REF!</v>
      </c>
      <c r="B3" s="63" t="e">
        <f aca="false">_xlfn.CONCAT(#REF!, ":", #REF!)</f>
        <v>#REF!</v>
      </c>
      <c r="C3" s="67" t="e">
        <f aca="false">#REF!</f>
        <v>#REF!</v>
      </c>
      <c r="D3" s="67" t="e">
        <f aca="false">#REF!</f>
        <v>#REF!</v>
      </c>
      <c r="E3" s="67" t="e">
        <f aca="false">#REF!</f>
        <v>#REF!</v>
      </c>
      <c r="F3" s="67" t="e">
        <f aca="false">#REF!</f>
        <v>#REF!</v>
      </c>
    </row>
    <row r="4" customFormat="false" ht="12.8" hidden="false" customHeight="false" outlineLevel="0" collapsed="false">
      <c r="A4" s="50" t="e">
        <f aca="false">_xlfn.CONCAT($A$1, ".", #REF!)</f>
        <v>#REF!</v>
      </c>
      <c r="B4" s="63" t="e">
        <f aca="false">_xlfn.CONCAT(#REF!, ":", #REF!)</f>
        <v>#REF!</v>
      </c>
      <c r="C4" s="67" t="e">
        <f aca="false">#REF!</f>
        <v>#REF!</v>
      </c>
      <c r="D4" s="67" t="e">
        <f aca="false">#REF!</f>
        <v>#REF!</v>
      </c>
      <c r="E4" s="67" t="e">
        <f aca="false">#REF!</f>
        <v>#REF!</v>
      </c>
      <c r="F4" s="67" t="e">
        <f aca="false">#REF!</f>
        <v>#REF!</v>
      </c>
    </row>
    <row r="5" customFormat="false" ht="12.8" hidden="false" customHeight="false" outlineLevel="0" collapsed="false">
      <c r="A5" s="50" t="e">
        <f aca="false">_xlfn.CONCAT($A$1, ".", #REF!)</f>
        <v>#REF!</v>
      </c>
      <c r="B5" s="63" t="e">
        <f aca="false">_xlfn.CONCAT(#REF!, ":", #REF!)</f>
        <v>#REF!</v>
      </c>
      <c r="C5" s="67" t="e">
        <f aca="false">#REF!</f>
        <v>#REF!</v>
      </c>
      <c r="D5" s="67" t="e">
        <f aca="false">#REF!</f>
        <v>#REF!</v>
      </c>
      <c r="E5" s="67" t="e">
        <f aca="false">#REF!</f>
        <v>#REF!</v>
      </c>
      <c r="F5" s="67" t="e">
        <f aca="false">#REF!</f>
        <v>#REF!</v>
      </c>
    </row>
    <row r="6" customFormat="false" ht="12.8" hidden="false" customHeight="false" outlineLevel="0" collapsed="false">
      <c r="A6" s="50" t="e">
        <f aca="false">_xlfn.CONCAT($A$1, ".", #REF!)</f>
        <v>#REF!</v>
      </c>
      <c r="B6" s="63" t="e">
        <f aca="false">_xlfn.CONCAT(#REF!, ":", #REF!)</f>
        <v>#REF!</v>
      </c>
      <c r="C6" s="67" t="e">
        <f aca="false">#REF!</f>
        <v>#REF!</v>
      </c>
      <c r="D6" s="67" t="e">
        <f aca="false">#REF!</f>
        <v>#REF!</v>
      </c>
      <c r="E6" s="67" t="e">
        <f aca="false">#REF!</f>
        <v>#REF!</v>
      </c>
      <c r="F6" s="67" t="e">
        <f aca="false">#REF!</f>
        <v>#REF!</v>
      </c>
    </row>
    <row r="7" customFormat="false" ht="12.8" hidden="false" customHeight="false" outlineLevel="0" collapsed="false">
      <c r="A7" s="50" t="e">
        <f aca="false">_xlfn.CONCAT($A$1, ".", #REF!)</f>
        <v>#REF!</v>
      </c>
      <c r="B7" s="63" t="e">
        <f aca="false">_xlfn.CONCAT(#REF!, ":", #REF!)</f>
        <v>#REF!</v>
      </c>
      <c r="C7" s="67" t="e">
        <f aca="false">#REF!</f>
        <v>#REF!</v>
      </c>
      <c r="D7" s="67" t="e">
        <f aca="false">#REF!</f>
        <v>#REF!</v>
      </c>
      <c r="E7" s="67" t="e">
        <f aca="false">#REF!</f>
        <v>#REF!</v>
      </c>
      <c r="F7" s="67" t="e">
        <f aca="false">#REF!</f>
        <v>#REF!</v>
      </c>
    </row>
    <row r="8" customFormat="false" ht="12.8" hidden="false" customHeight="false" outlineLevel="0" collapsed="false">
      <c r="A8" s="50" t="e">
        <f aca="false">_xlfn.CONCAT($A$1, ".", #REF!)</f>
        <v>#REF!</v>
      </c>
      <c r="B8" s="63" t="e">
        <f aca="false">_xlfn.CONCAT(#REF!, ":", #REF!)</f>
        <v>#REF!</v>
      </c>
      <c r="C8" s="67" t="e">
        <f aca="false">#REF!</f>
        <v>#REF!</v>
      </c>
      <c r="D8" s="67" t="e">
        <f aca="false">#REF!</f>
        <v>#REF!</v>
      </c>
      <c r="E8" s="67" t="e">
        <f aca="false">#REF!</f>
        <v>#REF!</v>
      </c>
      <c r="F8" s="67" t="e">
        <f aca="false">#REF!</f>
        <v>#REF!</v>
      </c>
    </row>
    <row r="9" customFormat="false" ht="12.8" hidden="false" customHeight="false" outlineLevel="0" collapsed="false">
      <c r="A9" s="50" t="e">
        <f aca="false">_xlfn.CONCAT($A$1, ".", #REF!)</f>
        <v>#REF!</v>
      </c>
      <c r="B9" s="63" t="e">
        <f aca="false">_xlfn.CONCAT(#REF!, ":", #REF!)</f>
        <v>#REF!</v>
      </c>
      <c r="C9" s="67" t="e">
        <f aca="false">#REF!</f>
        <v>#REF!</v>
      </c>
      <c r="D9" s="67" t="e">
        <f aca="false">#REF!</f>
        <v>#REF!</v>
      </c>
      <c r="E9" s="67" t="e">
        <f aca="false">#REF!</f>
        <v>#REF!</v>
      </c>
      <c r="F9" s="67" t="e">
        <f aca="false">#REF!</f>
        <v>#REF!</v>
      </c>
    </row>
    <row r="10" customFormat="false" ht="12.8" hidden="false" customHeight="false" outlineLevel="0" collapsed="false">
      <c r="A10" s="50" t="e">
        <f aca="false">_xlfn.CONCAT($A$1, ".", #REF!)</f>
        <v>#REF!</v>
      </c>
      <c r="B10" s="63" t="e">
        <f aca="false">_xlfn.CONCAT(#REF!, ":", #REF!)</f>
        <v>#REF!</v>
      </c>
      <c r="C10" s="67" t="e">
        <f aca="false">#REF!</f>
        <v>#REF!</v>
      </c>
      <c r="D10" s="67" t="e">
        <f aca="false">#REF!</f>
        <v>#REF!</v>
      </c>
      <c r="E10" s="67" t="e">
        <f aca="false">#REF!</f>
        <v>#REF!</v>
      </c>
      <c r="F10" s="67" t="e">
        <f aca="false">#REF!</f>
        <v>#REF!</v>
      </c>
    </row>
    <row r="11" customFormat="false" ht="12.8" hidden="false" customHeight="false" outlineLevel="0" collapsed="false">
      <c r="A11" s="50" t="e">
        <f aca="false">_xlfn.CONCAT($A$1, ".", #REF!)</f>
        <v>#REF!</v>
      </c>
      <c r="B11" s="63" t="e">
        <f aca="false">_xlfn.CONCAT(#REF!, ":", #REF!)</f>
        <v>#REF!</v>
      </c>
      <c r="C11" s="67" t="e">
        <f aca="false">#REF!</f>
        <v>#REF!</v>
      </c>
      <c r="D11" s="67" t="e">
        <f aca="false">#REF!</f>
        <v>#REF!</v>
      </c>
      <c r="E11" s="67" t="e">
        <f aca="false">#REF!</f>
        <v>#REF!</v>
      </c>
      <c r="F11" s="67" t="e">
        <f aca="false">#REF!</f>
        <v>#REF!</v>
      </c>
    </row>
    <row r="12" customFormat="false" ht="12.8" hidden="false" customHeight="false" outlineLevel="0" collapsed="false">
      <c r="A12" s="50" t="e">
        <f aca="false">_xlfn.CONCAT($A$1, ".", #REF!)</f>
        <v>#REF!</v>
      </c>
      <c r="B12" s="63" t="e">
        <f aca="false">_xlfn.CONCAT(#REF!, ":", #REF!)</f>
        <v>#REF!</v>
      </c>
      <c r="C12" s="67" t="e">
        <f aca="false">#REF!</f>
        <v>#REF!</v>
      </c>
      <c r="D12" s="67" t="e">
        <f aca="false">#REF!</f>
        <v>#REF!</v>
      </c>
      <c r="E12" s="67" t="e">
        <f aca="false">#REF!</f>
        <v>#REF!</v>
      </c>
      <c r="F12" s="67" t="e">
        <f aca="false">#REF!</f>
        <v>#REF!</v>
      </c>
    </row>
    <row r="13" customFormat="false" ht="12.8" hidden="false" customHeight="false" outlineLevel="0" collapsed="false">
      <c r="A13" s="50" t="e">
        <f aca="false">_xlfn.CONCAT($A$1, ".", #REF!)</f>
        <v>#REF!</v>
      </c>
      <c r="B13" s="63" t="e">
        <f aca="false">_xlfn.CONCAT(#REF!, ":", #REF!)</f>
        <v>#REF!</v>
      </c>
      <c r="C13" s="67" t="e">
        <f aca="false">#REF!</f>
        <v>#REF!</v>
      </c>
      <c r="D13" s="67" t="e">
        <f aca="false">#REF!</f>
        <v>#REF!</v>
      </c>
      <c r="E13" s="67" t="e">
        <f aca="false">#REF!</f>
        <v>#REF!</v>
      </c>
      <c r="F13" s="67" t="e">
        <f aca="false">#REF!</f>
        <v>#REF!</v>
      </c>
    </row>
    <row r="14" customFormat="false" ht="12.8" hidden="false" customHeight="false" outlineLevel="0" collapsed="false">
      <c r="A14" s="50" t="e">
        <f aca="false">_xlfn.CONCAT($A$1, ".", #REF!)</f>
        <v>#REF!</v>
      </c>
      <c r="B14" s="63" t="e">
        <f aca="false">_xlfn.CONCAT(#REF!, ":", #REF!)</f>
        <v>#REF!</v>
      </c>
      <c r="C14" s="67" t="e">
        <f aca="false">#REF!</f>
        <v>#REF!</v>
      </c>
      <c r="D14" s="67" t="e">
        <f aca="false">#REF!</f>
        <v>#REF!</v>
      </c>
      <c r="E14" s="67" t="e">
        <f aca="false">#REF!</f>
        <v>#REF!</v>
      </c>
      <c r="F14" s="67" t="e">
        <f aca="false">#REF!</f>
        <v>#REF!</v>
      </c>
    </row>
    <row r="15" customFormat="false" ht="12.8" hidden="false" customHeight="false" outlineLevel="0" collapsed="false">
      <c r="A15" s="50" t="e">
        <f aca="false">_xlfn.CONCAT($A$1, ".", #REF!)</f>
        <v>#REF!</v>
      </c>
      <c r="B15" s="63" t="e">
        <f aca="false">_xlfn.CONCAT(#REF!, ":", #REF!)</f>
        <v>#REF!</v>
      </c>
      <c r="C15" s="67" t="e">
        <f aca="false">#REF!</f>
        <v>#REF!</v>
      </c>
      <c r="D15" s="67" t="e">
        <f aca="false">#REF!</f>
        <v>#REF!</v>
      </c>
      <c r="E15" s="67" t="e">
        <f aca="false">#REF!</f>
        <v>#REF!</v>
      </c>
      <c r="F15" s="67" t="e">
        <f aca="false">#REF!</f>
        <v>#REF!</v>
      </c>
    </row>
    <row r="16" customFormat="false" ht="12.8" hidden="false" customHeight="false" outlineLevel="0" collapsed="false">
      <c r="A16" s="50" t="e">
        <f aca="false">_xlfn.CONCAT($A$1, ".", #REF!)</f>
        <v>#REF!</v>
      </c>
      <c r="B16" s="63" t="e">
        <f aca="false">_xlfn.CONCAT(#REF!, ":", #REF!)</f>
        <v>#REF!</v>
      </c>
      <c r="C16" s="67" t="e">
        <f aca="false">#REF!</f>
        <v>#REF!</v>
      </c>
      <c r="D16" s="67" t="e">
        <f aca="false">#REF!</f>
        <v>#REF!</v>
      </c>
      <c r="E16" s="67" t="e">
        <f aca="false">#REF!</f>
        <v>#REF!</v>
      </c>
      <c r="F16" s="67" t="e">
        <f aca="false">#REF!</f>
        <v>#REF!</v>
      </c>
    </row>
    <row r="17" customFormat="false" ht="12.8" hidden="false" customHeight="false" outlineLevel="0" collapsed="false">
      <c r="A17" s="50" t="e">
        <f aca="false">_xlfn.CONCAT($A$1, ".", #REF!)</f>
        <v>#REF!</v>
      </c>
      <c r="B17" s="63" t="e">
        <f aca="false">_xlfn.CONCAT(#REF!, ":", #REF!)</f>
        <v>#REF!</v>
      </c>
      <c r="C17" s="67" t="e">
        <f aca="false">#REF!</f>
        <v>#REF!</v>
      </c>
      <c r="D17" s="67" t="e">
        <f aca="false">#REF!</f>
        <v>#REF!</v>
      </c>
      <c r="E17" s="67" t="e">
        <f aca="false">#REF!</f>
        <v>#REF!</v>
      </c>
      <c r="F17" s="67" t="e">
        <f aca="false">#REF!</f>
        <v>#REF!</v>
      </c>
    </row>
    <row r="18" customFormat="false" ht="12.8" hidden="false" customHeight="false" outlineLevel="0" collapsed="false">
      <c r="A18" s="50" t="e">
        <f aca="false">_xlfn.CONCAT($A$1, ".", #REF!)</f>
        <v>#REF!</v>
      </c>
      <c r="B18" s="63" t="e">
        <f aca="false">_xlfn.CONCAT(#REF!, ":", #REF!)</f>
        <v>#REF!</v>
      </c>
      <c r="C18" s="67" t="e">
        <f aca="false">#REF!</f>
        <v>#REF!</v>
      </c>
      <c r="D18" s="67" t="e">
        <f aca="false">#REF!</f>
        <v>#REF!</v>
      </c>
      <c r="E18" s="67" t="e">
        <f aca="false">#REF!</f>
        <v>#REF!</v>
      </c>
      <c r="F18" s="67" t="e">
        <f aca="false">#REF!</f>
        <v>#REF!</v>
      </c>
    </row>
    <row r="19" customFormat="false" ht="12.8" hidden="false" customHeight="false" outlineLevel="0" collapsed="false">
      <c r="A19" s="50" t="e">
        <f aca="false">_xlfn.CONCAT($A$1, ".", #REF!)</f>
        <v>#REF!</v>
      </c>
      <c r="B19" s="63" t="e">
        <f aca="false">_xlfn.CONCAT(#REF!, ":", #REF!)</f>
        <v>#REF!</v>
      </c>
      <c r="C19" s="67" t="e">
        <f aca="false">#REF!</f>
        <v>#REF!</v>
      </c>
      <c r="D19" s="67" t="e">
        <f aca="false">#REF!</f>
        <v>#REF!</v>
      </c>
      <c r="E19" s="67" t="e">
        <f aca="false">#REF!</f>
        <v>#REF!</v>
      </c>
      <c r="F19" s="67" t="e">
        <f aca="false">#REF!</f>
        <v>#REF!</v>
      </c>
    </row>
    <row r="20" customFormat="false" ht="12.8" hidden="false" customHeight="false" outlineLevel="0" collapsed="false">
      <c r="A20" s="50" t="e">
        <f aca="false">_xlfn.CONCAT($A$1, ".", #REF!)</f>
        <v>#REF!</v>
      </c>
      <c r="B20" s="63" t="e">
        <f aca="false">_xlfn.CONCAT(#REF!, ":", #REF!)</f>
        <v>#REF!</v>
      </c>
      <c r="C20" s="67" t="e">
        <f aca="false">#REF!</f>
        <v>#REF!</v>
      </c>
      <c r="D20" s="67" t="e">
        <f aca="false">#REF!</f>
        <v>#REF!</v>
      </c>
      <c r="E20" s="67" t="e">
        <f aca="false">#REF!</f>
        <v>#REF!</v>
      </c>
      <c r="F20" s="67" t="e">
        <f aca="false">#REF!</f>
        <v>#REF!</v>
      </c>
    </row>
    <row r="21" customFormat="false" ht="12.8" hidden="false" customHeight="false" outlineLevel="0" collapsed="false">
      <c r="A21" s="50" t="e">
        <f aca="false">_xlfn.CONCAT($A$1, ".", #REF!)</f>
        <v>#REF!</v>
      </c>
      <c r="B21" s="63" t="e">
        <f aca="false">_xlfn.CONCAT(#REF!, ":", #REF!)</f>
        <v>#REF!</v>
      </c>
      <c r="C21" s="67" t="e">
        <f aca="false">#REF!</f>
        <v>#REF!</v>
      </c>
      <c r="D21" s="67" t="e">
        <f aca="false">#REF!</f>
        <v>#REF!</v>
      </c>
      <c r="E21" s="67" t="e">
        <f aca="false">#REF!</f>
        <v>#REF!</v>
      </c>
      <c r="F21" s="67" t="e">
        <f aca="false">#REF!</f>
        <v>#REF!</v>
      </c>
    </row>
    <row r="22" customFormat="false" ht="12.8" hidden="false" customHeight="false" outlineLevel="0" collapsed="false">
      <c r="A22" s="50" t="e">
        <f aca="false">_xlfn.CONCAT($A$1, ".", #REF!)</f>
        <v>#REF!</v>
      </c>
      <c r="B22" s="63" t="e">
        <f aca="false">_xlfn.CONCAT(#REF!, ":", #REF!)</f>
        <v>#REF!</v>
      </c>
      <c r="C22" s="67" t="e">
        <f aca="false">#REF!</f>
        <v>#REF!</v>
      </c>
      <c r="D22" s="67" t="e">
        <f aca="false">#REF!</f>
        <v>#REF!</v>
      </c>
      <c r="E22" s="67" t="e">
        <f aca="false">#REF!</f>
        <v>#REF!</v>
      </c>
      <c r="F22" s="67" t="e">
        <f aca="false">#REF!</f>
        <v>#REF!</v>
      </c>
    </row>
    <row r="23" customFormat="false" ht="12.8" hidden="false" customHeight="false" outlineLevel="0" collapsed="false">
      <c r="A23" s="50" t="e">
        <f aca="false">_xlfn.CONCAT($A$1, ".", #REF!)</f>
        <v>#REF!</v>
      </c>
      <c r="B23" s="63" t="e">
        <f aca="false">_xlfn.CONCAT(#REF!, ":", #REF!)</f>
        <v>#REF!</v>
      </c>
      <c r="C23" s="67" t="e">
        <f aca="false">#REF!</f>
        <v>#REF!</v>
      </c>
      <c r="D23" s="67" t="e">
        <f aca="false">#REF!</f>
        <v>#REF!</v>
      </c>
      <c r="E23" s="67" t="e">
        <f aca="false">#REF!</f>
        <v>#REF!</v>
      </c>
      <c r="F23" s="67" t="e">
        <f aca="false">#REF!</f>
        <v>#REF!</v>
      </c>
    </row>
    <row r="24" customFormat="false" ht="12.8" hidden="false" customHeight="false" outlineLevel="0" collapsed="false">
      <c r="A24" s="50" t="e">
        <f aca="false">_xlfn.CONCAT($A$1, ".", #REF!)</f>
        <v>#REF!</v>
      </c>
      <c r="B24" s="63" t="e">
        <f aca="false">_xlfn.CONCAT(#REF!, ":", #REF!)</f>
        <v>#REF!</v>
      </c>
      <c r="C24" s="67" t="e">
        <f aca="false">#REF!</f>
        <v>#REF!</v>
      </c>
      <c r="D24" s="67" t="e">
        <f aca="false">#REF!</f>
        <v>#REF!</v>
      </c>
      <c r="E24" s="67" t="e">
        <f aca="false">#REF!</f>
        <v>#REF!</v>
      </c>
      <c r="F24" s="67" t="e">
        <f aca="false">#REF!</f>
        <v>#REF!</v>
      </c>
    </row>
    <row r="25" customFormat="false" ht="12.8" hidden="false" customHeight="false" outlineLevel="0" collapsed="false">
      <c r="A25" s="50" t="e">
        <f aca="false">_xlfn.CONCAT($A$1, ".", #REF!)</f>
        <v>#REF!</v>
      </c>
      <c r="B25" s="63" t="e">
        <f aca="false">_xlfn.CONCAT(#REF!, ":", #REF!)</f>
        <v>#REF!</v>
      </c>
      <c r="C25" s="67" t="e">
        <f aca="false">#REF!</f>
        <v>#REF!</v>
      </c>
      <c r="D25" s="67" t="e">
        <f aca="false">#REF!</f>
        <v>#REF!</v>
      </c>
      <c r="E25" s="67" t="e">
        <f aca="false">#REF!</f>
        <v>#REF!</v>
      </c>
      <c r="F25" s="67" t="e">
        <f aca="false">#REF!</f>
        <v>#REF!</v>
      </c>
    </row>
    <row r="26" customFormat="false" ht="12.8" hidden="false" customHeight="false" outlineLevel="0" collapsed="false">
      <c r="A26" s="50" t="e">
        <f aca="false">_xlfn.CONCAT($A$1, ".", #REF!)</f>
        <v>#REF!</v>
      </c>
      <c r="B26" s="63" t="e">
        <f aca="false">_xlfn.CONCAT(#REF!, ":", #REF!)</f>
        <v>#REF!</v>
      </c>
      <c r="C26" s="67" t="e">
        <f aca="false">#REF!</f>
        <v>#REF!</v>
      </c>
      <c r="D26" s="67" t="e">
        <f aca="false">#REF!</f>
        <v>#REF!</v>
      </c>
      <c r="E26" s="67" t="e">
        <f aca="false">#REF!</f>
        <v>#REF!</v>
      </c>
      <c r="F26" s="67" t="e">
        <f aca="false">#REF!</f>
        <v>#REF!</v>
      </c>
    </row>
    <row r="27" customFormat="false" ht="12.8" hidden="false" customHeight="false" outlineLevel="0" collapsed="false">
      <c r="A27" s="50" t="e">
        <f aca="false">_xlfn.CONCAT($A$1, ".", #REF!)</f>
        <v>#REF!</v>
      </c>
      <c r="B27" s="63" t="e">
        <f aca="false">_xlfn.CONCAT(#REF!, ":", #REF!)</f>
        <v>#REF!</v>
      </c>
      <c r="C27" s="67" t="e">
        <f aca="false">#REF!</f>
        <v>#REF!</v>
      </c>
      <c r="D27" s="67" t="e">
        <f aca="false">#REF!</f>
        <v>#REF!</v>
      </c>
      <c r="E27" s="67" t="e">
        <f aca="false">#REF!</f>
        <v>#REF!</v>
      </c>
      <c r="F27" s="67" t="e">
        <f aca="false">#REF!</f>
        <v>#REF!</v>
      </c>
    </row>
    <row r="28" customFormat="false" ht="12.8" hidden="false" customHeight="false" outlineLevel="0" collapsed="false">
      <c r="A28" s="50" t="e">
        <f aca="false">_xlfn.CONCAT($A$1, ".", #REF!)</f>
        <v>#REF!</v>
      </c>
      <c r="B28" s="63" t="e">
        <f aca="false">_xlfn.CONCAT(#REF!, ":", #REF!)</f>
        <v>#REF!</v>
      </c>
      <c r="C28" s="67" t="e">
        <f aca="false">#REF!</f>
        <v>#REF!</v>
      </c>
      <c r="D28" s="67" t="e">
        <f aca="false">#REF!</f>
        <v>#REF!</v>
      </c>
      <c r="E28" s="67" t="e">
        <f aca="false">#REF!</f>
        <v>#REF!</v>
      </c>
      <c r="F28" s="67" t="e">
        <f aca="false">#REF!</f>
        <v>#REF!</v>
      </c>
    </row>
    <row r="29" customFormat="false" ht="12.8" hidden="false" customHeight="false" outlineLevel="0" collapsed="false">
      <c r="A29" s="50" t="e">
        <f aca="false">_xlfn.CONCAT($A$1, ".", #REF!)</f>
        <v>#REF!</v>
      </c>
      <c r="B29" s="63" t="e">
        <f aca="false">_xlfn.CONCAT(#REF!, ":", #REF!)</f>
        <v>#REF!</v>
      </c>
      <c r="C29" s="67" t="e">
        <f aca="false">#REF!</f>
        <v>#REF!</v>
      </c>
      <c r="D29" s="67" t="e">
        <f aca="false">#REF!</f>
        <v>#REF!</v>
      </c>
      <c r="E29" s="67" t="e">
        <f aca="false">#REF!</f>
        <v>#REF!</v>
      </c>
      <c r="F29" s="67" t="e">
        <f aca="false">#REF!</f>
        <v>#REF!</v>
      </c>
    </row>
    <row r="30" customFormat="false" ht="12.8" hidden="false" customHeight="false" outlineLevel="0" collapsed="false">
      <c r="A30" s="50" t="e">
        <f aca="false">_xlfn.CONCAT($A$1, ".", #REF!)</f>
        <v>#REF!</v>
      </c>
      <c r="B30" s="63" t="e">
        <f aca="false">_xlfn.CONCAT(#REF!, ":", #REF!)</f>
        <v>#REF!</v>
      </c>
      <c r="C30" s="67" t="e">
        <f aca="false">#REF!</f>
        <v>#REF!</v>
      </c>
      <c r="D30" s="67" t="e">
        <f aca="false">#REF!</f>
        <v>#REF!</v>
      </c>
      <c r="E30" s="67" t="e">
        <f aca="false">#REF!</f>
        <v>#REF!</v>
      </c>
      <c r="F30" s="67" t="e">
        <f aca="false">#REF!</f>
        <v>#REF!</v>
      </c>
    </row>
    <row r="31" customFormat="false" ht="12.8" hidden="false" customHeight="false" outlineLevel="0" collapsed="false">
      <c r="A31" s="50" t="e">
        <f aca="false">_xlfn.CONCAT($A$1, ".", #REF!)</f>
        <v>#REF!</v>
      </c>
      <c r="B31" s="63" t="e">
        <f aca="false">_xlfn.CONCAT(#REF!, ":", #REF!)</f>
        <v>#REF!</v>
      </c>
      <c r="C31" s="67" t="e">
        <f aca="false">#REF!</f>
        <v>#REF!</v>
      </c>
      <c r="D31" s="67" t="e">
        <f aca="false">#REF!</f>
        <v>#REF!</v>
      </c>
      <c r="E31" s="67" t="e">
        <f aca="false">#REF!</f>
        <v>#REF!</v>
      </c>
      <c r="F31" s="67" t="e">
        <f aca="false">#REF!</f>
        <v>#REF!</v>
      </c>
    </row>
    <row r="32" customFormat="false" ht="12.8" hidden="false" customHeight="false" outlineLevel="0" collapsed="false">
      <c r="A32" s="50" t="e">
        <f aca="false">_xlfn.CONCAT($A$1, ".", #REF!)</f>
        <v>#REF!</v>
      </c>
      <c r="B32" s="63" t="e">
        <f aca="false">_xlfn.CONCAT(#REF!, ":", #REF!)</f>
        <v>#REF!</v>
      </c>
      <c r="C32" s="67" t="e">
        <f aca="false">#REF!</f>
        <v>#REF!</v>
      </c>
      <c r="D32" s="67" t="e">
        <f aca="false">#REF!</f>
        <v>#REF!</v>
      </c>
      <c r="E32" s="67" t="e">
        <f aca="false">#REF!</f>
        <v>#REF!</v>
      </c>
      <c r="F32" s="67" t="e">
        <f aca="false">#REF!</f>
        <v>#REF!</v>
      </c>
    </row>
    <row r="33" customFormat="false" ht="12.8" hidden="false" customHeight="false" outlineLevel="0" collapsed="false">
      <c r="A33" s="50" t="e">
        <f aca="false">_xlfn.CONCAT($A$1, ".", #REF!)</f>
        <v>#REF!</v>
      </c>
      <c r="B33" s="63" t="e">
        <f aca="false">_xlfn.CONCAT(#REF!, ":", #REF!)</f>
        <v>#REF!</v>
      </c>
      <c r="C33" s="67" t="e">
        <f aca="false">#REF!</f>
        <v>#REF!</v>
      </c>
      <c r="D33" s="67" t="e">
        <f aca="false">#REF!</f>
        <v>#REF!</v>
      </c>
      <c r="E33" s="67" t="e">
        <f aca="false">#REF!</f>
        <v>#REF!</v>
      </c>
      <c r="F33" s="67" t="e">
        <f aca="false">#REF!</f>
        <v>#REF!</v>
      </c>
    </row>
    <row r="34" customFormat="false" ht="12.8" hidden="false" customHeight="false" outlineLevel="0" collapsed="false">
      <c r="A34" s="50" t="e">
        <f aca="false">_xlfn.CONCAT($A$1, ".", #REF!)</f>
        <v>#REF!</v>
      </c>
      <c r="B34" s="63" t="e">
        <f aca="false">_xlfn.CONCAT(#REF!, ":", #REF!)</f>
        <v>#REF!</v>
      </c>
      <c r="C34" s="67" t="e">
        <f aca="false">#REF!</f>
        <v>#REF!</v>
      </c>
      <c r="D34" s="67" t="e">
        <f aca="false">#REF!</f>
        <v>#REF!</v>
      </c>
      <c r="E34" s="67" t="e">
        <f aca="false">#REF!</f>
        <v>#REF!</v>
      </c>
      <c r="F34" s="67" t="e">
        <f aca="false">#REF!</f>
        <v>#REF!</v>
      </c>
    </row>
    <row r="35" customFormat="false" ht="12.8" hidden="false" customHeight="false" outlineLevel="0" collapsed="false">
      <c r="A35" s="50" t="e">
        <f aca="false">_xlfn.CONCAT($A$1, ".", #REF!)</f>
        <v>#REF!</v>
      </c>
      <c r="B35" s="63" t="e">
        <f aca="false">_xlfn.CONCAT(#REF!, ":", #REF!)</f>
        <v>#REF!</v>
      </c>
      <c r="C35" s="67" t="e">
        <f aca="false">#REF!</f>
        <v>#REF!</v>
      </c>
      <c r="D35" s="67" t="e">
        <f aca="false">#REF!</f>
        <v>#REF!</v>
      </c>
      <c r="E35" s="67" t="e">
        <f aca="false">#REF!</f>
        <v>#REF!</v>
      </c>
      <c r="F35" s="67" t="e">
        <f aca="false">#REF!</f>
        <v>#REF!</v>
      </c>
    </row>
    <row r="36" customFormat="false" ht="12.8" hidden="false" customHeight="false" outlineLevel="0" collapsed="false">
      <c r="A36" s="50" t="e">
        <f aca="false">_xlfn.CONCAT($A$1, ".", #REF!)</f>
        <v>#REF!</v>
      </c>
      <c r="B36" s="63" t="e">
        <f aca="false">_xlfn.CONCAT(#REF!, ":", #REF!)</f>
        <v>#REF!</v>
      </c>
      <c r="C36" s="67" t="e">
        <f aca="false">#REF!</f>
        <v>#REF!</v>
      </c>
      <c r="D36" s="67" t="e">
        <f aca="false">#REF!</f>
        <v>#REF!</v>
      </c>
      <c r="E36" s="67" t="e">
        <f aca="false">#REF!</f>
        <v>#REF!</v>
      </c>
      <c r="F36" s="67" t="e">
        <f aca="false">#REF!</f>
        <v>#REF!</v>
      </c>
    </row>
    <row r="37" customFormat="false" ht="12.8" hidden="false" customHeight="false" outlineLevel="0" collapsed="false">
      <c r="A37" s="50" t="e">
        <f aca="false">_xlfn.CONCAT($A$1, ".", #REF!)</f>
        <v>#REF!</v>
      </c>
      <c r="B37" s="63" t="e">
        <f aca="false">_xlfn.CONCAT(#REF!, ":", #REF!)</f>
        <v>#REF!</v>
      </c>
      <c r="C37" s="67" t="e">
        <f aca="false">#REF!</f>
        <v>#REF!</v>
      </c>
      <c r="D37" s="67" t="e">
        <f aca="false">#REF!</f>
        <v>#REF!</v>
      </c>
      <c r="E37" s="67" t="e">
        <f aca="false">#REF!</f>
        <v>#REF!</v>
      </c>
      <c r="F37" s="67" t="e">
        <f aca="false">#REF!</f>
        <v>#REF!</v>
      </c>
    </row>
    <row r="38" customFormat="false" ht="12.8" hidden="false" customHeight="false" outlineLevel="0" collapsed="false">
      <c r="A38" s="50" t="e">
        <f aca="false">_xlfn.CONCAT($A$1, ".", #REF!)</f>
        <v>#REF!</v>
      </c>
      <c r="B38" s="63" t="e">
        <f aca="false">_xlfn.CONCAT(#REF!, ":", #REF!)</f>
        <v>#REF!</v>
      </c>
      <c r="C38" s="67" t="e">
        <f aca="false">#REF!</f>
        <v>#REF!</v>
      </c>
      <c r="D38" s="67" t="e">
        <f aca="false">#REF!</f>
        <v>#REF!</v>
      </c>
      <c r="E38" s="67" t="e">
        <f aca="false">#REF!</f>
        <v>#REF!</v>
      </c>
      <c r="F38" s="67" t="e">
        <f aca="false">#REF!</f>
        <v>#REF!</v>
      </c>
    </row>
    <row r="39" customFormat="false" ht="12.8" hidden="false" customHeight="false" outlineLevel="0" collapsed="false">
      <c r="A39" s="50" t="e">
        <f aca="false">_xlfn.CONCAT($A$1, ".", #REF!)</f>
        <v>#REF!</v>
      </c>
      <c r="B39" s="63" t="e">
        <f aca="false">_xlfn.CONCAT(#REF!, ":", #REF!)</f>
        <v>#REF!</v>
      </c>
      <c r="C39" s="67" t="e">
        <f aca="false">#REF!</f>
        <v>#REF!</v>
      </c>
      <c r="D39" s="67" t="e">
        <f aca="false">#REF!</f>
        <v>#REF!</v>
      </c>
      <c r="E39" s="67" t="e">
        <f aca="false">#REF!</f>
        <v>#REF!</v>
      </c>
      <c r="F39" s="67" t="e">
        <f aca="false">#REF!</f>
        <v>#REF!</v>
      </c>
    </row>
    <row r="40" customFormat="false" ht="12.8" hidden="false" customHeight="false" outlineLevel="0" collapsed="false">
      <c r="A40" s="50" t="e">
        <f aca="false">_xlfn.CONCAT($A$1, ".", #REF!)</f>
        <v>#REF!</v>
      </c>
      <c r="B40" s="63" t="e">
        <f aca="false">_xlfn.CONCAT(#REF!, ":", #REF!)</f>
        <v>#REF!</v>
      </c>
      <c r="C40" s="67" t="e">
        <f aca="false">#REF!</f>
        <v>#REF!</v>
      </c>
      <c r="D40" s="67" t="e">
        <f aca="false">#REF!</f>
        <v>#REF!</v>
      </c>
      <c r="E40" s="67" t="e">
        <f aca="false">#REF!</f>
        <v>#REF!</v>
      </c>
      <c r="F40" s="67" t="e">
        <f aca="false">#REF!</f>
        <v>#REF!</v>
      </c>
    </row>
    <row r="41" customFormat="false" ht="12.8" hidden="false" customHeight="false" outlineLevel="0" collapsed="false">
      <c r="A41" s="50" t="e">
        <f aca="false">_xlfn.CONCAT($A$1, ".", #REF!)</f>
        <v>#REF!</v>
      </c>
      <c r="B41" s="63" t="e">
        <f aca="false">_xlfn.CONCAT(#REF!, ":", #REF!)</f>
        <v>#REF!</v>
      </c>
      <c r="C41" s="67" t="e">
        <f aca="false">#REF!</f>
        <v>#REF!</v>
      </c>
      <c r="D41" s="67" t="e">
        <f aca="false">#REF!</f>
        <v>#REF!</v>
      </c>
      <c r="E41" s="67" t="e">
        <f aca="false">#REF!</f>
        <v>#REF!</v>
      </c>
      <c r="F41" s="67" t="e">
        <f aca="false">#REF!</f>
        <v>#REF!</v>
      </c>
    </row>
    <row r="42" customFormat="false" ht="12.8" hidden="false" customHeight="false" outlineLevel="0" collapsed="false">
      <c r="A42" s="50" t="e">
        <f aca="false">_xlfn.CONCAT($A$1, ".", #REF!)</f>
        <v>#REF!</v>
      </c>
      <c r="B42" s="63" t="e">
        <f aca="false">_xlfn.CONCAT(#REF!, ":", #REF!)</f>
        <v>#REF!</v>
      </c>
      <c r="C42" s="67" t="e">
        <f aca="false">#REF!</f>
        <v>#REF!</v>
      </c>
      <c r="D42" s="67" t="e">
        <f aca="false">#REF!</f>
        <v>#REF!</v>
      </c>
      <c r="E42" s="67" t="e">
        <f aca="false">#REF!</f>
        <v>#REF!</v>
      </c>
      <c r="F42" s="67" t="e">
        <f aca="false">#REF!</f>
        <v>#REF!</v>
      </c>
    </row>
    <row r="43" customFormat="false" ht="12.8" hidden="false" customHeight="false" outlineLevel="0" collapsed="false">
      <c r="A43" s="50" t="e">
        <f aca="false">_xlfn.CONCAT($A$1, ".", #REF!)</f>
        <v>#REF!</v>
      </c>
      <c r="B43" s="63" t="e">
        <f aca="false">_xlfn.CONCAT(#REF!, ":", #REF!)</f>
        <v>#REF!</v>
      </c>
      <c r="C43" s="67" t="e">
        <f aca="false">#REF!</f>
        <v>#REF!</v>
      </c>
      <c r="D43" s="67" t="e">
        <f aca="false">#REF!</f>
        <v>#REF!</v>
      </c>
      <c r="E43" s="67" t="e">
        <f aca="false">#REF!</f>
        <v>#REF!</v>
      </c>
      <c r="F43" s="67" t="e">
        <f aca="false">#REF!</f>
        <v>#REF!</v>
      </c>
    </row>
    <row r="44" customFormat="false" ht="12.8" hidden="false" customHeight="false" outlineLevel="0" collapsed="false">
      <c r="A44" s="50" t="e">
        <f aca="false">_xlfn.CONCAT($A$1, ".", #REF!)</f>
        <v>#REF!</v>
      </c>
      <c r="B44" s="63" t="e">
        <f aca="false">_xlfn.CONCAT(#REF!, ":", #REF!)</f>
        <v>#REF!</v>
      </c>
      <c r="C44" s="67" t="e">
        <f aca="false">#REF!</f>
        <v>#REF!</v>
      </c>
      <c r="D44" s="67" t="e">
        <f aca="false">#REF!</f>
        <v>#REF!</v>
      </c>
      <c r="E44" s="67" t="e">
        <f aca="false">#REF!</f>
        <v>#REF!</v>
      </c>
      <c r="F44" s="67" t="e">
        <f aca="false">#REF!</f>
        <v>#REF!</v>
      </c>
    </row>
    <row r="45" customFormat="false" ht="12.8" hidden="false" customHeight="false" outlineLevel="0" collapsed="false">
      <c r="A45" s="50" t="e">
        <f aca="false">_xlfn.CONCAT($A$1, ".", #REF!)</f>
        <v>#REF!</v>
      </c>
      <c r="B45" s="63" t="e">
        <f aca="false">_xlfn.CONCAT(#REF!, ":", #REF!)</f>
        <v>#REF!</v>
      </c>
      <c r="C45" s="67" t="e">
        <f aca="false">#REF!</f>
        <v>#REF!</v>
      </c>
      <c r="D45" s="67" t="e">
        <f aca="false">#REF!</f>
        <v>#REF!</v>
      </c>
      <c r="E45" s="67" t="e">
        <f aca="false">#REF!</f>
        <v>#REF!</v>
      </c>
      <c r="F45" s="67" t="e">
        <f aca="false">#REF!</f>
        <v>#REF!</v>
      </c>
    </row>
    <row r="46" customFormat="false" ht="12.8" hidden="false" customHeight="false" outlineLevel="0" collapsed="false">
      <c r="A46" s="50" t="e">
        <f aca="false">_xlfn.CONCAT($A$1, ".", #REF!)</f>
        <v>#REF!</v>
      </c>
      <c r="B46" s="63" t="e">
        <f aca="false">_xlfn.CONCAT(#REF!, ":", #REF!)</f>
        <v>#REF!</v>
      </c>
      <c r="C46" s="67" t="e">
        <f aca="false">#REF!</f>
        <v>#REF!</v>
      </c>
      <c r="D46" s="67" t="e">
        <f aca="false">#REF!</f>
        <v>#REF!</v>
      </c>
      <c r="E46" s="67" t="e">
        <f aca="false">#REF!</f>
        <v>#REF!</v>
      </c>
      <c r="F46" s="67" t="e">
        <f aca="false">#REF!</f>
        <v>#REF!</v>
      </c>
    </row>
    <row r="47" customFormat="false" ht="12.8" hidden="false" customHeight="false" outlineLevel="0" collapsed="false">
      <c r="A47" s="50" t="e">
        <f aca="false">_xlfn.CONCAT($A$1, ".", #REF!)</f>
        <v>#REF!</v>
      </c>
      <c r="B47" s="63" t="e">
        <f aca="false">_xlfn.CONCAT(#REF!, ":", #REF!)</f>
        <v>#REF!</v>
      </c>
      <c r="C47" s="67" t="e">
        <f aca="false">#REF!</f>
        <v>#REF!</v>
      </c>
      <c r="D47" s="67" t="e">
        <f aca="false">#REF!</f>
        <v>#REF!</v>
      </c>
      <c r="E47" s="67" t="e">
        <f aca="false">#REF!</f>
        <v>#REF!</v>
      </c>
      <c r="F47" s="67" t="e">
        <f aca="false">#REF!</f>
        <v>#REF!</v>
      </c>
    </row>
    <row r="48" customFormat="false" ht="12.8" hidden="false" customHeight="false" outlineLevel="0" collapsed="false">
      <c r="A48" s="50" t="e">
        <f aca="false">_xlfn.CONCAT($A$1, ".", #REF!)</f>
        <v>#REF!</v>
      </c>
      <c r="B48" s="63" t="e">
        <f aca="false">_xlfn.CONCAT(#REF!, ":", #REF!)</f>
        <v>#REF!</v>
      </c>
      <c r="C48" s="67" t="e">
        <f aca="false">#REF!</f>
        <v>#REF!</v>
      </c>
      <c r="D48" s="67" t="e">
        <f aca="false">#REF!</f>
        <v>#REF!</v>
      </c>
      <c r="E48" s="67" t="e">
        <f aca="false">#REF!</f>
        <v>#REF!</v>
      </c>
      <c r="F48" s="67" t="e">
        <f aca="false">#REF!</f>
        <v>#REF!</v>
      </c>
    </row>
    <row r="49" customFormat="false" ht="12.8" hidden="false" customHeight="false" outlineLevel="0" collapsed="false">
      <c r="A49" s="50" t="e">
        <f aca="false">_xlfn.CONCAT($A$1, ".", #REF!)</f>
        <v>#REF!</v>
      </c>
      <c r="B49" s="63" t="e">
        <f aca="false">_xlfn.CONCAT(#REF!, ":", #REF!)</f>
        <v>#REF!</v>
      </c>
      <c r="C49" s="67" t="e">
        <f aca="false">#REF!</f>
        <v>#REF!</v>
      </c>
      <c r="D49" s="67" t="e">
        <f aca="false">#REF!</f>
        <v>#REF!</v>
      </c>
      <c r="E49" s="67" t="e">
        <f aca="false">#REF!</f>
        <v>#REF!</v>
      </c>
      <c r="F49" s="67" t="e">
        <f aca="false">#REF!</f>
        <v>#REF!</v>
      </c>
    </row>
    <row r="50" customFormat="false" ht="12.8" hidden="false" customHeight="false" outlineLevel="0" collapsed="false">
      <c r="A50" s="50" t="e">
        <f aca="false">_xlfn.CONCAT($A$1, ".", #REF!)</f>
        <v>#REF!</v>
      </c>
      <c r="B50" s="63" t="e">
        <f aca="false">_xlfn.CONCAT(#REF!, ":", #REF!)</f>
        <v>#REF!</v>
      </c>
      <c r="C50" s="67" t="e">
        <f aca="false">#REF!</f>
        <v>#REF!</v>
      </c>
      <c r="D50" s="67" t="e">
        <f aca="false">#REF!</f>
        <v>#REF!</v>
      </c>
      <c r="E50" s="67" t="e">
        <f aca="false">#REF!</f>
        <v>#REF!</v>
      </c>
      <c r="F50" s="67" t="e">
        <f aca="false">#REF!</f>
        <v>#REF!</v>
      </c>
    </row>
    <row r="51" customFormat="false" ht="12.8" hidden="false" customHeight="false" outlineLevel="0" collapsed="false">
      <c r="A51" s="50" t="e">
        <f aca="false">_xlfn.CONCAT($A$1, ".", #REF!)</f>
        <v>#REF!</v>
      </c>
      <c r="B51" s="63" t="e">
        <f aca="false">_xlfn.CONCAT(#REF!, ":", #REF!)</f>
        <v>#REF!</v>
      </c>
      <c r="C51" s="67" t="e">
        <f aca="false">#REF!</f>
        <v>#REF!</v>
      </c>
      <c r="D51" s="67" t="e">
        <f aca="false">#REF!</f>
        <v>#REF!</v>
      </c>
      <c r="E51" s="67" t="e">
        <f aca="false">#REF!</f>
        <v>#REF!</v>
      </c>
      <c r="F51" s="67" t="e">
        <f aca="false">#REF!</f>
        <v>#REF!</v>
      </c>
    </row>
    <row r="52" customFormat="false" ht="12.8" hidden="false" customHeight="false" outlineLevel="0" collapsed="false">
      <c r="A52" s="50" t="e">
        <f aca="false">_xlfn.CONCAT($A$1, ".", #REF!)</f>
        <v>#REF!</v>
      </c>
      <c r="B52" s="63" t="e">
        <f aca="false">_xlfn.CONCAT(#REF!, ":", #REF!)</f>
        <v>#REF!</v>
      </c>
      <c r="C52" s="67" t="e">
        <f aca="false">#REF!</f>
        <v>#REF!</v>
      </c>
      <c r="D52" s="67" t="e">
        <f aca="false">#REF!</f>
        <v>#REF!</v>
      </c>
      <c r="E52" s="67" t="e">
        <f aca="false">#REF!</f>
        <v>#REF!</v>
      </c>
      <c r="F52" s="67" t="e">
        <f aca="false">#REF!</f>
        <v>#REF!</v>
      </c>
    </row>
    <row r="53" customFormat="false" ht="12.8" hidden="false" customHeight="false" outlineLevel="0" collapsed="false">
      <c r="A53" s="50" t="e">
        <f aca="false">_xlfn.CONCAT($A$1, ".", #REF!)</f>
        <v>#REF!</v>
      </c>
      <c r="B53" s="63" t="e">
        <f aca="false">_xlfn.CONCAT(#REF!, ":", #REF!)</f>
        <v>#REF!</v>
      </c>
      <c r="C53" s="67" t="e">
        <f aca="false">#REF!</f>
        <v>#REF!</v>
      </c>
      <c r="D53" s="67" t="e">
        <f aca="false">#REF!</f>
        <v>#REF!</v>
      </c>
      <c r="E53" s="67" t="e">
        <f aca="false">#REF!</f>
        <v>#REF!</v>
      </c>
      <c r="F53" s="67" t="e">
        <f aca="false">#REF!</f>
        <v>#REF!</v>
      </c>
    </row>
    <row r="54" customFormat="false" ht="12.8" hidden="false" customHeight="false" outlineLevel="0" collapsed="false">
      <c r="A54" s="50" t="e">
        <f aca="false">_xlfn.CONCAT($A$1, ".", #REF!)</f>
        <v>#REF!</v>
      </c>
      <c r="B54" s="63" t="e">
        <f aca="false">_xlfn.CONCAT(#REF!, ":", #REF!)</f>
        <v>#REF!</v>
      </c>
      <c r="C54" s="67" t="e">
        <f aca="false">#REF!</f>
        <v>#REF!</v>
      </c>
      <c r="D54" s="67" t="e">
        <f aca="false">#REF!</f>
        <v>#REF!</v>
      </c>
      <c r="E54" s="67" t="e">
        <f aca="false">#REF!</f>
        <v>#REF!</v>
      </c>
      <c r="F54" s="67" t="e">
        <f aca="false">#REF!</f>
        <v>#REF!</v>
      </c>
    </row>
    <row r="55" customFormat="false" ht="12.8" hidden="false" customHeight="false" outlineLevel="0" collapsed="false">
      <c r="A55" s="50" t="e">
        <f aca="false">_xlfn.CONCAT($A$1, ".", #REF!)</f>
        <v>#REF!</v>
      </c>
      <c r="B55" s="63" t="e">
        <f aca="false">_xlfn.CONCAT(#REF!, ":", #REF!)</f>
        <v>#REF!</v>
      </c>
      <c r="C55" s="67" t="e">
        <f aca="false">#REF!</f>
        <v>#REF!</v>
      </c>
      <c r="D55" s="67" t="e">
        <f aca="false">#REF!</f>
        <v>#REF!</v>
      </c>
      <c r="E55" s="67" t="e">
        <f aca="false">#REF!</f>
        <v>#REF!</v>
      </c>
      <c r="F55" s="67"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308D"/>
    <pageSetUpPr fitToPage="false"/>
  </sheetPr>
  <dimension ref="A1:BP249"/>
  <sheetViews>
    <sheetView showFormulas="false" showGridLines="true" showRowColHeaders="true" showZeros="true" rightToLeft="false" tabSelected="false" showOutlineSymbols="true" defaultGridColor="true" view="normal" topLeftCell="A214" colorId="64" zoomScale="75" zoomScaleNormal="75" zoomScalePageLayoutView="100" workbookViewId="0">
      <selection pane="topLeft" activeCell="A255" activeCellId="1" sqref="D3:E3 A25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6"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1008</v>
      </c>
      <c r="B1" s="77" t="s">
        <v>1017</v>
      </c>
      <c r="C1" s="6" t="s">
        <v>2</v>
      </c>
      <c r="D1" s="39" t="s">
        <v>1018</v>
      </c>
      <c r="AZ1" s="39"/>
      <c r="BP1" s="39"/>
    </row>
    <row r="2" customFormat="false" ht="35.05" hidden="false" customHeight="false" outlineLevel="0" collapsed="false">
      <c r="A2" s="78" t="s">
        <v>792</v>
      </c>
      <c r="B2" s="79" t="s">
        <v>793</v>
      </c>
      <c r="C2" s="80" t="str">
        <f aca="false">CALC!CH3</f>
        <v>Job Tenure Average (years)</v>
      </c>
      <c r="D2" s="80" t="str">
        <f aca="false">CALC!CI3</f>
        <v>Authorized Immigrant Job Tenure Average</v>
      </c>
      <c r="E2" s="80" t="str">
        <f aca="false">CALC!CJ3</f>
        <v>Unauthorized Immigrant Job Tenure Average</v>
      </c>
      <c r="F2" s="80" t="str">
        <f aca="false">CALC!CK3</f>
        <v>American Job Tenure Average</v>
      </c>
    </row>
    <row r="3" customFormat="false" ht="12.8" hidden="false" customHeight="false" outlineLevel="0" collapsed="false">
      <c r="A3" s="50" t="e">
        <f aca="false">_xlfn.CONCAT($A$1, ".", #REF!)</f>
        <v>#REF!</v>
      </c>
      <c r="B3" s="63" t="e">
        <f aca="false">_xlfn.CONCAT(#REF!, ":", #REF!)</f>
        <v>#REF!</v>
      </c>
      <c r="C3" s="80" t="e">
        <f aca="false">#REF!</f>
        <v>#REF!</v>
      </c>
      <c r="D3" s="80" t="e">
        <f aca="false">#REF!</f>
        <v>#REF!</v>
      </c>
      <c r="E3" s="80" t="e">
        <f aca="false">#REF!</f>
        <v>#REF!</v>
      </c>
      <c r="F3" s="80" t="e">
        <f aca="false">#REF!</f>
        <v>#REF!</v>
      </c>
    </row>
    <row r="4" customFormat="false" ht="12.8" hidden="false" customHeight="false" outlineLevel="0" collapsed="false">
      <c r="A4" s="50" t="e">
        <f aca="false">_xlfn.CONCAT($A$1, ".", #REF!)</f>
        <v>#REF!</v>
      </c>
      <c r="B4" s="63" t="e">
        <f aca="false">_xlfn.CONCAT(#REF!, ":", #REF!)</f>
        <v>#REF!</v>
      </c>
      <c r="C4" s="80" t="e">
        <f aca="false">#REF!</f>
        <v>#REF!</v>
      </c>
      <c r="D4" s="80" t="e">
        <f aca="false">#REF!</f>
        <v>#REF!</v>
      </c>
      <c r="E4" s="80" t="e">
        <f aca="false">#REF!</f>
        <v>#REF!</v>
      </c>
      <c r="F4" s="80" t="e">
        <f aca="false">#REF!</f>
        <v>#REF!</v>
      </c>
    </row>
    <row r="5" customFormat="false" ht="12.8" hidden="false" customHeight="false" outlineLevel="0" collapsed="false">
      <c r="A5" s="50" t="e">
        <f aca="false">_xlfn.CONCAT($A$1, ".", #REF!)</f>
        <v>#REF!</v>
      </c>
      <c r="B5" s="63" t="e">
        <f aca="false">_xlfn.CONCAT(#REF!, ":", #REF!)</f>
        <v>#REF!</v>
      </c>
      <c r="C5" s="80" t="e">
        <f aca="false">#REF!</f>
        <v>#REF!</v>
      </c>
      <c r="D5" s="80" t="e">
        <f aca="false">#REF!</f>
        <v>#REF!</v>
      </c>
      <c r="E5" s="80" t="e">
        <f aca="false">#REF!</f>
        <v>#REF!</v>
      </c>
      <c r="F5" s="80" t="e">
        <f aca="false">#REF!</f>
        <v>#REF!</v>
      </c>
    </row>
    <row r="6" customFormat="false" ht="12.8" hidden="false" customHeight="false" outlineLevel="0" collapsed="false">
      <c r="A6" s="50" t="e">
        <f aca="false">_xlfn.CONCAT($A$1, ".", #REF!)</f>
        <v>#REF!</v>
      </c>
      <c r="B6" s="63" t="e">
        <f aca="false">_xlfn.CONCAT(#REF!, ":", #REF!)</f>
        <v>#REF!</v>
      </c>
      <c r="C6" s="80" t="e">
        <f aca="false">#REF!</f>
        <v>#REF!</v>
      </c>
      <c r="D6" s="80" t="e">
        <f aca="false">#REF!</f>
        <v>#REF!</v>
      </c>
      <c r="E6" s="80" t="e">
        <f aca="false">#REF!</f>
        <v>#REF!</v>
      </c>
      <c r="F6" s="80" t="e">
        <f aca="false">#REF!</f>
        <v>#REF!</v>
      </c>
    </row>
    <row r="7" customFormat="false" ht="12.8" hidden="false" customHeight="false" outlineLevel="0" collapsed="false">
      <c r="A7" s="50" t="e">
        <f aca="false">_xlfn.CONCAT($A$1, ".", #REF!)</f>
        <v>#REF!</v>
      </c>
      <c r="B7" s="63" t="e">
        <f aca="false">_xlfn.CONCAT(#REF!, ":", #REF!)</f>
        <v>#REF!</v>
      </c>
      <c r="C7" s="80" t="e">
        <f aca="false">#REF!</f>
        <v>#REF!</v>
      </c>
      <c r="D7" s="80" t="e">
        <f aca="false">#REF!</f>
        <v>#REF!</v>
      </c>
      <c r="E7" s="80" t="e">
        <f aca="false">#REF!</f>
        <v>#REF!</v>
      </c>
      <c r="F7" s="80" t="e">
        <f aca="false">#REF!</f>
        <v>#REF!</v>
      </c>
    </row>
    <row r="8" customFormat="false" ht="12.8" hidden="false" customHeight="false" outlineLevel="0" collapsed="false">
      <c r="A8" s="50" t="e">
        <f aca="false">_xlfn.CONCAT($A$1, ".", #REF!)</f>
        <v>#REF!</v>
      </c>
      <c r="B8" s="63" t="e">
        <f aca="false">_xlfn.CONCAT(#REF!, ":", #REF!)</f>
        <v>#REF!</v>
      </c>
      <c r="C8" s="80" t="e">
        <f aca="false">#REF!</f>
        <v>#REF!</v>
      </c>
      <c r="D8" s="80" t="e">
        <f aca="false">#REF!</f>
        <v>#REF!</v>
      </c>
      <c r="E8" s="80" t="e">
        <f aca="false">#REF!</f>
        <v>#REF!</v>
      </c>
      <c r="F8" s="80" t="e">
        <f aca="false">#REF!</f>
        <v>#REF!</v>
      </c>
    </row>
    <row r="9" customFormat="false" ht="12.8" hidden="false" customHeight="false" outlineLevel="0" collapsed="false">
      <c r="A9" s="50" t="e">
        <f aca="false">_xlfn.CONCAT($A$1, ".", #REF!)</f>
        <v>#REF!</v>
      </c>
      <c r="B9" s="63" t="e">
        <f aca="false">_xlfn.CONCAT(#REF!, ":", #REF!)</f>
        <v>#REF!</v>
      </c>
      <c r="C9" s="80" t="e">
        <f aca="false">#REF!</f>
        <v>#REF!</v>
      </c>
      <c r="D9" s="80" t="e">
        <f aca="false">#REF!</f>
        <v>#REF!</v>
      </c>
      <c r="E9" s="80" t="e">
        <f aca="false">#REF!</f>
        <v>#REF!</v>
      </c>
      <c r="F9" s="80" t="e">
        <f aca="false">#REF!</f>
        <v>#REF!</v>
      </c>
    </row>
    <row r="10" customFormat="false" ht="12.8" hidden="false" customHeight="false" outlineLevel="0" collapsed="false">
      <c r="A10" s="50" t="e">
        <f aca="false">_xlfn.CONCAT($A$1, ".", #REF!)</f>
        <v>#REF!</v>
      </c>
      <c r="B10" s="63" t="e">
        <f aca="false">_xlfn.CONCAT(#REF!, ":", #REF!)</f>
        <v>#REF!</v>
      </c>
      <c r="C10" s="80" t="e">
        <f aca="false">#REF!</f>
        <v>#REF!</v>
      </c>
      <c r="D10" s="80" t="e">
        <f aca="false">#REF!</f>
        <v>#REF!</v>
      </c>
      <c r="E10" s="80" t="e">
        <f aca="false">#REF!</f>
        <v>#REF!</v>
      </c>
      <c r="F10" s="80" t="e">
        <f aca="false">#REF!</f>
        <v>#REF!</v>
      </c>
    </row>
    <row r="11" customFormat="false" ht="12.8" hidden="false" customHeight="false" outlineLevel="0" collapsed="false">
      <c r="A11" s="50" t="e">
        <f aca="false">_xlfn.CONCAT($A$1, ".", #REF!)</f>
        <v>#REF!</v>
      </c>
      <c r="B11" s="63" t="e">
        <f aca="false">_xlfn.CONCAT(#REF!, ":", #REF!)</f>
        <v>#REF!</v>
      </c>
      <c r="C11" s="80" t="e">
        <f aca="false">#REF!</f>
        <v>#REF!</v>
      </c>
      <c r="D11" s="80" t="e">
        <f aca="false">#REF!</f>
        <v>#REF!</v>
      </c>
      <c r="E11" s="80" t="e">
        <f aca="false">#REF!</f>
        <v>#REF!</v>
      </c>
      <c r="F11" s="80" t="e">
        <f aca="false">#REF!</f>
        <v>#REF!</v>
      </c>
    </row>
    <row r="12" customFormat="false" ht="12.8" hidden="false" customHeight="false" outlineLevel="0" collapsed="false">
      <c r="A12" s="50" t="e">
        <f aca="false">_xlfn.CONCAT($A$1, ".", #REF!)</f>
        <v>#REF!</v>
      </c>
      <c r="B12" s="63" t="e">
        <f aca="false">_xlfn.CONCAT(#REF!, ":", #REF!)</f>
        <v>#REF!</v>
      </c>
      <c r="C12" s="80" t="e">
        <f aca="false">#REF!</f>
        <v>#REF!</v>
      </c>
      <c r="D12" s="80" t="e">
        <f aca="false">#REF!</f>
        <v>#REF!</v>
      </c>
      <c r="E12" s="80" t="e">
        <f aca="false">#REF!</f>
        <v>#REF!</v>
      </c>
      <c r="F12" s="80" t="e">
        <f aca="false">#REF!</f>
        <v>#REF!</v>
      </c>
    </row>
    <row r="13" customFormat="false" ht="12.8" hidden="false" customHeight="false" outlineLevel="0" collapsed="false">
      <c r="A13" s="50" t="e">
        <f aca="false">_xlfn.CONCAT($A$1, ".", #REF!)</f>
        <v>#REF!</v>
      </c>
      <c r="B13" s="63" t="e">
        <f aca="false">_xlfn.CONCAT(#REF!, ":", #REF!)</f>
        <v>#REF!</v>
      </c>
      <c r="C13" s="80" t="e">
        <f aca="false">#REF!</f>
        <v>#REF!</v>
      </c>
      <c r="D13" s="80" t="e">
        <f aca="false">#REF!</f>
        <v>#REF!</v>
      </c>
      <c r="E13" s="80" t="e">
        <f aca="false">#REF!</f>
        <v>#REF!</v>
      </c>
      <c r="F13" s="80" t="e">
        <f aca="false">#REF!</f>
        <v>#REF!</v>
      </c>
    </row>
    <row r="14" customFormat="false" ht="12.8" hidden="false" customHeight="false" outlineLevel="0" collapsed="false">
      <c r="A14" s="50" t="e">
        <f aca="false">_xlfn.CONCAT($A$1, ".", #REF!)</f>
        <v>#REF!</v>
      </c>
      <c r="B14" s="63" t="e">
        <f aca="false">_xlfn.CONCAT(#REF!, ":", #REF!)</f>
        <v>#REF!</v>
      </c>
      <c r="C14" s="80" t="e">
        <f aca="false">#REF!</f>
        <v>#REF!</v>
      </c>
      <c r="D14" s="80" t="e">
        <f aca="false">#REF!</f>
        <v>#REF!</v>
      </c>
      <c r="E14" s="80" t="e">
        <f aca="false">#REF!</f>
        <v>#REF!</v>
      </c>
      <c r="F14" s="80" t="e">
        <f aca="false">#REF!</f>
        <v>#REF!</v>
      </c>
    </row>
    <row r="15" customFormat="false" ht="12.8" hidden="false" customHeight="false" outlineLevel="0" collapsed="false">
      <c r="A15" s="50" t="e">
        <f aca="false">_xlfn.CONCAT($A$1, ".", #REF!)</f>
        <v>#REF!</v>
      </c>
      <c r="B15" s="63" t="e">
        <f aca="false">_xlfn.CONCAT(#REF!, ":", #REF!)</f>
        <v>#REF!</v>
      </c>
      <c r="C15" s="80" t="e">
        <f aca="false">#REF!</f>
        <v>#REF!</v>
      </c>
      <c r="D15" s="80" t="e">
        <f aca="false">#REF!</f>
        <v>#REF!</v>
      </c>
      <c r="E15" s="80" t="e">
        <f aca="false">#REF!</f>
        <v>#REF!</v>
      </c>
      <c r="F15" s="80" t="e">
        <f aca="false">#REF!</f>
        <v>#REF!</v>
      </c>
    </row>
    <row r="16" customFormat="false" ht="12.8" hidden="false" customHeight="false" outlineLevel="0" collapsed="false">
      <c r="A16" s="50" t="e">
        <f aca="false">_xlfn.CONCAT($A$1, ".", #REF!)</f>
        <v>#REF!</v>
      </c>
      <c r="B16" s="63" t="e">
        <f aca="false">_xlfn.CONCAT(#REF!, ":", #REF!)</f>
        <v>#REF!</v>
      </c>
      <c r="C16" s="80" t="e">
        <f aca="false">#REF!</f>
        <v>#REF!</v>
      </c>
      <c r="D16" s="80" t="e">
        <f aca="false">#REF!</f>
        <v>#REF!</v>
      </c>
      <c r="E16" s="80" t="e">
        <f aca="false">#REF!</f>
        <v>#REF!</v>
      </c>
      <c r="F16" s="80" t="e">
        <f aca="false">#REF!</f>
        <v>#REF!</v>
      </c>
    </row>
    <row r="17" customFormat="false" ht="12.8" hidden="false" customHeight="false" outlineLevel="0" collapsed="false">
      <c r="A17" s="50" t="e">
        <f aca="false">_xlfn.CONCAT($A$1, ".", #REF!)</f>
        <v>#REF!</v>
      </c>
      <c r="B17" s="63" t="e">
        <f aca="false">_xlfn.CONCAT(#REF!, ":", #REF!)</f>
        <v>#REF!</v>
      </c>
      <c r="C17" s="80" t="e">
        <f aca="false">#REF!</f>
        <v>#REF!</v>
      </c>
      <c r="D17" s="80" t="e">
        <f aca="false">#REF!</f>
        <v>#REF!</v>
      </c>
      <c r="E17" s="80" t="e">
        <f aca="false">#REF!</f>
        <v>#REF!</v>
      </c>
      <c r="F17" s="80" t="e">
        <f aca="false">#REF!</f>
        <v>#REF!</v>
      </c>
    </row>
    <row r="18" customFormat="false" ht="12.8" hidden="false" customHeight="false" outlineLevel="0" collapsed="false">
      <c r="A18" s="50" t="e">
        <f aca="false">_xlfn.CONCAT($A$1, ".", #REF!)</f>
        <v>#REF!</v>
      </c>
      <c r="B18" s="63" t="e">
        <f aca="false">_xlfn.CONCAT(#REF!, ":", #REF!)</f>
        <v>#REF!</v>
      </c>
      <c r="C18" s="80" t="e">
        <f aca="false">#REF!</f>
        <v>#REF!</v>
      </c>
      <c r="D18" s="80" t="e">
        <f aca="false">#REF!</f>
        <v>#REF!</v>
      </c>
      <c r="E18" s="80" t="e">
        <f aca="false">#REF!</f>
        <v>#REF!</v>
      </c>
      <c r="F18" s="80" t="e">
        <f aca="false">#REF!</f>
        <v>#REF!</v>
      </c>
    </row>
    <row r="19" customFormat="false" ht="12.8" hidden="false" customHeight="false" outlineLevel="0" collapsed="false">
      <c r="A19" s="50" t="e">
        <f aca="false">_xlfn.CONCAT($A$1, ".", #REF!)</f>
        <v>#REF!</v>
      </c>
      <c r="B19" s="63" t="e">
        <f aca="false">_xlfn.CONCAT(#REF!, ":", #REF!)</f>
        <v>#REF!</v>
      </c>
      <c r="C19" s="80" t="e">
        <f aca="false">#REF!</f>
        <v>#REF!</v>
      </c>
      <c r="D19" s="80" t="e">
        <f aca="false">#REF!</f>
        <v>#REF!</v>
      </c>
      <c r="E19" s="80" t="e">
        <f aca="false">#REF!</f>
        <v>#REF!</v>
      </c>
      <c r="F19" s="80" t="e">
        <f aca="false">#REF!</f>
        <v>#REF!</v>
      </c>
    </row>
    <row r="20" customFormat="false" ht="12.8" hidden="false" customHeight="false" outlineLevel="0" collapsed="false">
      <c r="A20" s="50" t="e">
        <f aca="false">_xlfn.CONCAT($A$1, ".", #REF!)</f>
        <v>#REF!</v>
      </c>
      <c r="B20" s="63" t="e">
        <f aca="false">_xlfn.CONCAT(#REF!, ":", #REF!)</f>
        <v>#REF!</v>
      </c>
      <c r="C20" s="80" t="e">
        <f aca="false">#REF!</f>
        <v>#REF!</v>
      </c>
      <c r="D20" s="80" t="e">
        <f aca="false">#REF!</f>
        <v>#REF!</v>
      </c>
      <c r="E20" s="80" t="e">
        <f aca="false">#REF!</f>
        <v>#REF!</v>
      </c>
      <c r="F20" s="80" t="e">
        <f aca="false">#REF!</f>
        <v>#REF!</v>
      </c>
    </row>
    <row r="21" customFormat="false" ht="12.8" hidden="false" customHeight="false" outlineLevel="0" collapsed="false">
      <c r="A21" s="50" t="e">
        <f aca="false">_xlfn.CONCAT($A$1, ".", #REF!)</f>
        <v>#REF!</v>
      </c>
      <c r="B21" s="63" t="e">
        <f aca="false">_xlfn.CONCAT(#REF!, ":", #REF!)</f>
        <v>#REF!</v>
      </c>
      <c r="C21" s="80" t="e">
        <f aca="false">#REF!</f>
        <v>#REF!</v>
      </c>
      <c r="D21" s="80" t="e">
        <f aca="false">#REF!</f>
        <v>#REF!</v>
      </c>
      <c r="E21" s="80" t="e">
        <f aca="false">#REF!</f>
        <v>#REF!</v>
      </c>
      <c r="F21" s="80" t="e">
        <f aca="false">#REF!</f>
        <v>#REF!</v>
      </c>
    </row>
    <row r="22" customFormat="false" ht="12.8" hidden="false" customHeight="false" outlineLevel="0" collapsed="false">
      <c r="A22" s="50" t="e">
        <f aca="false">_xlfn.CONCAT($A$1, ".", #REF!)</f>
        <v>#REF!</v>
      </c>
      <c r="B22" s="63" t="e">
        <f aca="false">_xlfn.CONCAT(#REF!, ":", #REF!)</f>
        <v>#REF!</v>
      </c>
      <c r="C22" s="80" t="e">
        <f aca="false">#REF!</f>
        <v>#REF!</v>
      </c>
      <c r="D22" s="80" t="e">
        <f aca="false">#REF!</f>
        <v>#REF!</v>
      </c>
      <c r="E22" s="80" t="e">
        <f aca="false">#REF!</f>
        <v>#REF!</v>
      </c>
      <c r="F22" s="80" t="e">
        <f aca="false">#REF!</f>
        <v>#REF!</v>
      </c>
    </row>
    <row r="23" customFormat="false" ht="12.8" hidden="false" customHeight="false" outlineLevel="0" collapsed="false">
      <c r="A23" s="50" t="e">
        <f aca="false">_xlfn.CONCAT($A$1, ".", #REF!)</f>
        <v>#REF!</v>
      </c>
      <c r="B23" s="63" t="e">
        <f aca="false">_xlfn.CONCAT(#REF!, ":", #REF!)</f>
        <v>#REF!</v>
      </c>
      <c r="C23" s="80" t="e">
        <f aca="false">#REF!</f>
        <v>#REF!</v>
      </c>
      <c r="D23" s="80" t="e">
        <f aca="false">#REF!</f>
        <v>#REF!</v>
      </c>
      <c r="E23" s="80" t="e">
        <f aca="false">#REF!</f>
        <v>#REF!</v>
      </c>
      <c r="F23" s="80" t="e">
        <f aca="false">#REF!</f>
        <v>#REF!</v>
      </c>
    </row>
    <row r="24" customFormat="false" ht="12.8" hidden="false" customHeight="false" outlineLevel="0" collapsed="false">
      <c r="A24" s="50" t="e">
        <f aca="false">_xlfn.CONCAT($A$1, ".", #REF!)</f>
        <v>#REF!</v>
      </c>
      <c r="B24" s="63" t="e">
        <f aca="false">_xlfn.CONCAT(#REF!, ":", #REF!)</f>
        <v>#REF!</v>
      </c>
      <c r="C24" s="80" t="e">
        <f aca="false">#REF!</f>
        <v>#REF!</v>
      </c>
      <c r="D24" s="80" t="e">
        <f aca="false">#REF!</f>
        <v>#REF!</v>
      </c>
      <c r="E24" s="80" t="e">
        <f aca="false">#REF!</f>
        <v>#REF!</v>
      </c>
      <c r="F24" s="80" t="e">
        <f aca="false">#REF!</f>
        <v>#REF!</v>
      </c>
    </row>
    <row r="25" customFormat="false" ht="12.8" hidden="false" customHeight="false" outlineLevel="0" collapsed="false">
      <c r="A25" s="50" t="e">
        <f aca="false">_xlfn.CONCAT($A$1, ".", #REF!)</f>
        <v>#REF!</v>
      </c>
      <c r="B25" s="63" t="e">
        <f aca="false">_xlfn.CONCAT(#REF!, ":", #REF!)</f>
        <v>#REF!</v>
      </c>
      <c r="C25" s="80" t="e">
        <f aca="false">#REF!</f>
        <v>#REF!</v>
      </c>
      <c r="D25" s="80" t="e">
        <f aca="false">#REF!</f>
        <v>#REF!</v>
      </c>
      <c r="E25" s="80" t="e">
        <f aca="false">#REF!</f>
        <v>#REF!</v>
      </c>
      <c r="F25" s="80" t="e">
        <f aca="false">#REF!</f>
        <v>#REF!</v>
      </c>
    </row>
    <row r="26" customFormat="false" ht="12.8" hidden="false" customHeight="false" outlineLevel="0" collapsed="false">
      <c r="A26" s="50" t="e">
        <f aca="false">_xlfn.CONCAT($A$1, ".", #REF!)</f>
        <v>#REF!</v>
      </c>
      <c r="B26" s="63" t="e">
        <f aca="false">_xlfn.CONCAT(#REF!, ":", #REF!)</f>
        <v>#REF!</v>
      </c>
      <c r="C26" s="80" t="e">
        <f aca="false">#REF!</f>
        <v>#REF!</v>
      </c>
      <c r="D26" s="80" t="e">
        <f aca="false">#REF!</f>
        <v>#REF!</v>
      </c>
      <c r="E26" s="80" t="e">
        <f aca="false">#REF!</f>
        <v>#REF!</v>
      </c>
      <c r="F26" s="80" t="e">
        <f aca="false">#REF!</f>
        <v>#REF!</v>
      </c>
    </row>
    <row r="27" customFormat="false" ht="12.8" hidden="false" customHeight="false" outlineLevel="0" collapsed="false">
      <c r="A27" s="50" t="e">
        <f aca="false">_xlfn.CONCAT($A$1, ".", #REF!)</f>
        <v>#REF!</v>
      </c>
      <c r="B27" s="63" t="e">
        <f aca="false">_xlfn.CONCAT(#REF!, ":", #REF!)</f>
        <v>#REF!</v>
      </c>
      <c r="C27" s="80" t="e">
        <f aca="false">#REF!</f>
        <v>#REF!</v>
      </c>
      <c r="D27" s="80" t="e">
        <f aca="false">#REF!</f>
        <v>#REF!</v>
      </c>
      <c r="E27" s="80" t="e">
        <f aca="false">#REF!</f>
        <v>#REF!</v>
      </c>
      <c r="F27" s="80" t="e">
        <f aca="false">#REF!</f>
        <v>#REF!</v>
      </c>
    </row>
    <row r="28" customFormat="false" ht="12.8" hidden="false" customHeight="false" outlineLevel="0" collapsed="false">
      <c r="A28" s="50" t="e">
        <f aca="false">_xlfn.CONCAT($A$1, ".", #REF!)</f>
        <v>#REF!</v>
      </c>
      <c r="B28" s="63" t="e">
        <f aca="false">_xlfn.CONCAT(#REF!, ":", #REF!)</f>
        <v>#REF!</v>
      </c>
      <c r="C28" s="80" t="e">
        <f aca="false">#REF!</f>
        <v>#REF!</v>
      </c>
      <c r="D28" s="80" t="e">
        <f aca="false">#REF!</f>
        <v>#REF!</v>
      </c>
      <c r="E28" s="80" t="e">
        <f aca="false">#REF!</f>
        <v>#REF!</v>
      </c>
      <c r="F28" s="80" t="e">
        <f aca="false">#REF!</f>
        <v>#REF!</v>
      </c>
    </row>
    <row r="29" customFormat="false" ht="12.8" hidden="false" customHeight="false" outlineLevel="0" collapsed="false">
      <c r="A29" s="50" t="e">
        <f aca="false">_xlfn.CONCAT($A$1, ".", #REF!)</f>
        <v>#REF!</v>
      </c>
      <c r="B29" s="63" t="e">
        <f aca="false">_xlfn.CONCAT(#REF!, ":", #REF!)</f>
        <v>#REF!</v>
      </c>
      <c r="C29" s="80" t="e">
        <f aca="false">#REF!</f>
        <v>#REF!</v>
      </c>
      <c r="D29" s="80" t="e">
        <f aca="false">#REF!</f>
        <v>#REF!</v>
      </c>
      <c r="E29" s="80" t="e">
        <f aca="false">#REF!</f>
        <v>#REF!</v>
      </c>
      <c r="F29" s="80" t="e">
        <f aca="false">#REF!</f>
        <v>#REF!</v>
      </c>
    </row>
    <row r="30" customFormat="false" ht="12.8" hidden="false" customHeight="false" outlineLevel="0" collapsed="false">
      <c r="A30" s="50" t="e">
        <f aca="false">_xlfn.CONCAT($A$1, ".", #REF!)</f>
        <v>#REF!</v>
      </c>
      <c r="B30" s="63" t="e">
        <f aca="false">_xlfn.CONCAT(#REF!, ":", #REF!)</f>
        <v>#REF!</v>
      </c>
      <c r="C30" s="80" t="e">
        <f aca="false">#REF!</f>
        <v>#REF!</v>
      </c>
      <c r="D30" s="80" t="e">
        <f aca="false">#REF!</f>
        <v>#REF!</v>
      </c>
      <c r="E30" s="80" t="e">
        <f aca="false">#REF!</f>
        <v>#REF!</v>
      </c>
      <c r="F30" s="80" t="e">
        <f aca="false">#REF!</f>
        <v>#REF!</v>
      </c>
    </row>
    <row r="31" customFormat="false" ht="12.8" hidden="false" customHeight="false" outlineLevel="0" collapsed="false">
      <c r="A31" s="50" t="e">
        <f aca="false">_xlfn.CONCAT($A$1, ".", #REF!)</f>
        <v>#REF!</v>
      </c>
      <c r="B31" s="63" t="e">
        <f aca="false">_xlfn.CONCAT(#REF!, ":", #REF!)</f>
        <v>#REF!</v>
      </c>
      <c r="C31" s="80" t="e">
        <f aca="false">#REF!</f>
        <v>#REF!</v>
      </c>
      <c r="D31" s="80" t="e">
        <f aca="false">#REF!</f>
        <v>#REF!</v>
      </c>
      <c r="E31" s="80" t="e">
        <f aca="false">#REF!</f>
        <v>#REF!</v>
      </c>
      <c r="F31" s="80" t="e">
        <f aca="false">#REF!</f>
        <v>#REF!</v>
      </c>
    </row>
    <row r="32" customFormat="false" ht="12.8" hidden="false" customHeight="false" outlineLevel="0" collapsed="false">
      <c r="A32" s="50" t="e">
        <f aca="false">_xlfn.CONCAT($A$1, ".", #REF!)</f>
        <v>#REF!</v>
      </c>
      <c r="B32" s="63" t="e">
        <f aca="false">_xlfn.CONCAT(#REF!, ":", #REF!)</f>
        <v>#REF!</v>
      </c>
      <c r="C32" s="80" t="e">
        <f aca="false">#REF!</f>
        <v>#REF!</v>
      </c>
      <c r="D32" s="80" t="e">
        <f aca="false">#REF!</f>
        <v>#REF!</v>
      </c>
      <c r="E32" s="80" t="e">
        <f aca="false">#REF!</f>
        <v>#REF!</v>
      </c>
      <c r="F32" s="80" t="e">
        <f aca="false">#REF!</f>
        <v>#REF!</v>
      </c>
    </row>
    <row r="33" customFormat="false" ht="12.8" hidden="false" customHeight="false" outlineLevel="0" collapsed="false">
      <c r="A33" s="50" t="e">
        <f aca="false">_xlfn.CONCAT($A$1, ".", #REF!)</f>
        <v>#REF!</v>
      </c>
      <c r="B33" s="63" t="e">
        <f aca="false">_xlfn.CONCAT(#REF!, ":", #REF!)</f>
        <v>#REF!</v>
      </c>
      <c r="C33" s="80" t="e">
        <f aca="false">#REF!</f>
        <v>#REF!</v>
      </c>
      <c r="D33" s="80" t="e">
        <f aca="false">#REF!</f>
        <v>#REF!</v>
      </c>
      <c r="E33" s="80" t="e">
        <f aca="false">#REF!</f>
        <v>#REF!</v>
      </c>
      <c r="F33" s="80" t="e">
        <f aca="false">#REF!</f>
        <v>#REF!</v>
      </c>
    </row>
    <row r="34" customFormat="false" ht="12.8" hidden="false" customHeight="false" outlineLevel="0" collapsed="false">
      <c r="A34" s="50" t="e">
        <f aca="false">_xlfn.CONCAT($A$1, ".", #REF!)</f>
        <v>#REF!</v>
      </c>
      <c r="B34" s="63" t="e">
        <f aca="false">_xlfn.CONCAT(#REF!, ":", #REF!)</f>
        <v>#REF!</v>
      </c>
      <c r="C34" s="80" t="e">
        <f aca="false">#REF!</f>
        <v>#REF!</v>
      </c>
      <c r="D34" s="80" t="e">
        <f aca="false">#REF!</f>
        <v>#REF!</v>
      </c>
      <c r="E34" s="80" t="e">
        <f aca="false">#REF!</f>
        <v>#REF!</v>
      </c>
      <c r="F34" s="80" t="e">
        <f aca="false">#REF!</f>
        <v>#REF!</v>
      </c>
    </row>
    <row r="35" customFormat="false" ht="12.8" hidden="false" customHeight="false" outlineLevel="0" collapsed="false">
      <c r="A35" s="50" t="e">
        <f aca="false">_xlfn.CONCAT($A$1, ".", #REF!)</f>
        <v>#REF!</v>
      </c>
      <c r="B35" s="63" t="e">
        <f aca="false">_xlfn.CONCAT(#REF!, ":", #REF!)</f>
        <v>#REF!</v>
      </c>
      <c r="C35" s="80" t="e">
        <f aca="false">#REF!</f>
        <v>#REF!</v>
      </c>
      <c r="D35" s="80" t="e">
        <f aca="false">#REF!</f>
        <v>#REF!</v>
      </c>
      <c r="E35" s="80" t="e">
        <f aca="false">#REF!</f>
        <v>#REF!</v>
      </c>
      <c r="F35" s="80" t="e">
        <f aca="false">#REF!</f>
        <v>#REF!</v>
      </c>
    </row>
    <row r="36" customFormat="false" ht="12.8" hidden="false" customHeight="false" outlineLevel="0" collapsed="false">
      <c r="A36" s="50" t="e">
        <f aca="false">_xlfn.CONCAT($A$1, ".", #REF!)</f>
        <v>#REF!</v>
      </c>
      <c r="B36" s="63" t="e">
        <f aca="false">_xlfn.CONCAT(#REF!, ":", #REF!)</f>
        <v>#REF!</v>
      </c>
      <c r="C36" s="80" t="e">
        <f aca="false">#REF!</f>
        <v>#REF!</v>
      </c>
      <c r="D36" s="80" t="e">
        <f aca="false">#REF!</f>
        <v>#REF!</v>
      </c>
      <c r="E36" s="80" t="e">
        <f aca="false">#REF!</f>
        <v>#REF!</v>
      </c>
      <c r="F36" s="80" t="e">
        <f aca="false">#REF!</f>
        <v>#REF!</v>
      </c>
    </row>
    <row r="37" customFormat="false" ht="12.8" hidden="false" customHeight="false" outlineLevel="0" collapsed="false">
      <c r="A37" s="50" t="e">
        <f aca="false">_xlfn.CONCAT($A$1, ".", #REF!)</f>
        <v>#REF!</v>
      </c>
      <c r="B37" s="63" t="e">
        <f aca="false">_xlfn.CONCAT(#REF!, ":", #REF!)</f>
        <v>#REF!</v>
      </c>
      <c r="C37" s="80" t="e">
        <f aca="false">#REF!</f>
        <v>#REF!</v>
      </c>
      <c r="D37" s="80" t="e">
        <f aca="false">#REF!</f>
        <v>#REF!</v>
      </c>
      <c r="E37" s="80" t="e">
        <f aca="false">#REF!</f>
        <v>#REF!</v>
      </c>
      <c r="F37" s="80" t="e">
        <f aca="false">#REF!</f>
        <v>#REF!</v>
      </c>
    </row>
    <row r="38" customFormat="false" ht="12.8" hidden="false" customHeight="false" outlineLevel="0" collapsed="false">
      <c r="A38" s="50" t="e">
        <f aca="false">_xlfn.CONCAT($A$1, ".", #REF!)</f>
        <v>#REF!</v>
      </c>
      <c r="B38" s="63" t="e">
        <f aca="false">_xlfn.CONCAT(#REF!, ":", #REF!)</f>
        <v>#REF!</v>
      </c>
      <c r="C38" s="80" t="e">
        <f aca="false">#REF!</f>
        <v>#REF!</v>
      </c>
      <c r="D38" s="80" t="e">
        <f aca="false">#REF!</f>
        <v>#REF!</v>
      </c>
      <c r="E38" s="80" t="e">
        <f aca="false">#REF!</f>
        <v>#REF!</v>
      </c>
      <c r="F38" s="80" t="e">
        <f aca="false">#REF!</f>
        <v>#REF!</v>
      </c>
    </row>
    <row r="39" customFormat="false" ht="12.8" hidden="false" customHeight="false" outlineLevel="0" collapsed="false">
      <c r="A39" s="50" t="e">
        <f aca="false">_xlfn.CONCAT($A$1, ".", #REF!)</f>
        <v>#REF!</v>
      </c>
      <c r="B39" s="63" t="e">
        <f aca="false">_xlfn.CONCAT(#REF!, ":", #REF!)</f>
        <v>#REF!</v>
      </c>
      <c r="C39" s="80" t="e">
        <f aca="false">#REF!</f>
        <v>#REF!</v>
      </c>
      <c r="D39" s="80" t="e">
        <f aca="false">#REF!</f>
        <v>#REF!</v>
      </c>
      <c r="E39" s="80" t="e">
        <f aca="false">#REF!</f>
        <v>#REF!</v>
      </c>
      <c r="F39" s="80" t="e">
        <f aca="false">#REF!</f>
        <v>#REF!</v>
      </c>
    </row>
    <row r="40" customFormat="false" ht="12.8" hidden="false" customHeight="false" outlineLevel="0" collapsed="false">
      <c r="A40" s="50" t="e">
        <f aca="false">_xlfn.CONCAT($A$1, ".", #REF!)</f>
        <v>#REF!</v>
      </c>
      <c r="B40" s="63" t="e">
        <f aca="false">_xlfn.CONCAT(#REF!, ":", #REF!)</f>
        <v>#REF!</v>
      </c>
      <c r="C40" s="80" t="e">
        <f aca="false">#REF!</f>
        <v>#REF!</v>
      </c>
      <c r="D40" s="80" t="e">
        <f aca="false">#REF!</f>
        <v>#REF!</v>
      </c>
      <c r="E40" s="80" t="e">
        <f aca="false">#REF!</f>
        <v>#REF!</v>
      </c>
      <c r="F40" s="80" t="e">
        <f aca="false">#REF!</f>
        <v>#REF!</v>
      </c>
    </row>
    <row r="41" customFormat="false" ht="12.8" hidden="false" customHeight="false" outlineLevel="0" collapsed="false">
      <c r="A41" s="50" t="e">
        <f aca="false">_xlfn.CONCAT($A$1, ".", #REF!)</f>
        <v>#REF!</v>
      </c>
      <c r="B41" s="63" t="e">
        <f aca="false">_xlfn.CONCAT(#REF!, ":", #REF!)</f>
        <v>#REF!</v>
      </c>
      <c r="C41" s="80" t="e">
        <f aca="false">#REF!</f>
        <v>#REF!</v>
      </c>
      <c r="D41" s="80" t="e">
        <f aca="false">#REF!</f>
        <v>#REF!</v>
      </c>
      <c r="E41" s="80" t="e">
        <f aca="false">#REF!</f>
        <v>#REF!</v>
      </c>
      <c r="F41" s="80" t="e">
        <f aca="false">#REF!</f>
        <v>#REF!</v>
      </c>
    </row>
    <row r="42" customFormat="false" ht="12.8" hidden="false" customHeight="false" outlineLevel="0" collapsed="false">
      <c r="A42" s="50" t="e">
        <f aca="false">_xlfn.CONCAT($A$1, ".", #REF!)</f>
        <v>#REF!</v>
      </c>
      <c r="B42" s="63" t="e">
        <f aca="false">_xlfn.CONCAT(#REF!, ":", #REF!)</f>
        <v>#REF!</v>
      </c>
      <c r="C42" s="80" t="e">
        <f aca="false">#REF!</f>
        <v>#REF!</v>
      </c>
      <c r="D42" s="80" t="e">
        <f aca="false">#REF!</f>
        <v>#REF!</v>
      </c>
      <c r="E42" s="80" t="e">
        <f aca="false">#REF!</f>
        <v>#REF!</v>
      </c>
      <c r="F42" s="80" t="e">
        <f aca="false">#REF!</f>
        <v>#REF!</v>
      </c>
    </row>
    <row r="43" customFormat="false" ht="12.8" hidden="false" customHeight="false" outlineLevel="0" collapsed="false">
      <c r="A43" s="50" t="e">
        <f aca="false">_xlfn.CONCAT($A$1, ".", #REF!)</f>
        <v>#REF!</v>
      </c>
      <c r="B43" s="63" t="e">
        <f aca="false">_xlfn.CONCAT(#REF!, ":", #REF!)</f>
        <v>#REF!</v>
      </c>
      <c r="C43" s="80" t="e">
        <f aca="false">#REF!</f>
        <v>#REF!</v>
      </c>
      <c r="D43" s="80" t="e">
        <f aca="false">#REF!</f>
        <v>#REF!</v>
      </c>
      <c r="E43" s="80" t="e">
        <f aca="false">#REF!</f>
        <v>#REF!</v>
      </c>
      <c r="F43" s="80" t="e">
        <f aca="false">#REF!</f>
        <v>#REF!</v>
      </c>
    </row>
    <row r="44" customFormat="false" ht="12.8" hidden="false" customHeight="false" outlineLevel="0" collapsed="false">
      <c r="A44" s="50" t="e">
        <f aca="false">_xlfn.CONCAT($A$1, ".", #REF!)</f>
        <v>#REF!</v>
      </c>
      <c r="B44" s="63" t="e">
        <f aca="false">_xlfn.CONCAT(#REF!, ":", #REF!)</f>
        <v>#REF!</v>
      </c>
      <c r="C44" s="80" t="e">
        <f aca="false">#REF!</f>
        <v>#REF!</v>
      </c>
      <c r="D44" s="80" t="e">
        <f aca="false">#REF!</f>
        <v>#REF!</v>
      </c>
      <c r="E44" s="80" t="e">
        <f aca="false">#REF!</f>
        <v>#REF!</v>
      </c>
      <c r="F44" s="80" t="e">
        <f aca="false">#REF!</f>
        <v>#REF!</v>
      </c>
    </row>
    <row r="45" customFormat="false" ht="12.8" hidden="false" customHeight="false" outlineLevel="0" collapsed="false">
      <c r="A45" s="50" t="e">
        <f aca="false">_xlfn.CONCAT($A$1, ".", #REF!)</f>
        <v>#REF!</v>
      </c>
      <c r="B45" s="63" t="e">
        <f aca="false">_xlfn.CONCAT(#REF!, ":", #REF!)</f>
        <v>#REF!</v>
      </c>
      <c r="C45" s="80" t="e">
        <f aca="false">#REF!</f>
        <v>#REF!</v>
      </c>
      <c r="D45" s="80" t="e">
        <f aca="false">#REF!</f>
        <v>#REF!</v>
      </c>
      <c r="E45" s="80" t="e">
        <f aca="false">#REF!</f>
        <v>#REF!</v>
      </c>
      <c r="F45" s="80" t="e">
        <f aca="false">#REF!</f>
        <v>#REF!</v>
      </c>
    </row>
    <row r="46" customFormat="false" ht="12.8" hidden="false" customHeight="false" outlineLevel="0" collapsed="false">
      <c r="A46" s="50" t="e">
        <f aca="false">_xlfn.CONCAT($A$1, ".", #REF!)</f>
        <v>#REF!</v>
      </c>
      <c r="B46" s="63" t="e">
        <f aca="false">_xlfn.CONCAT(#REF!, ":", #REF!)</f>
        <v>#REF!</v>
      </c>
      <c r="C46" s="80" t="e">
        <f aca="false">#REF!</f>
        <v>#REF!</v>
      </c>
      <c r="D46" s="80" t="e">
        <f aca="false">#REF!</f>
        <v>#REF!</v>
      </c>
      <c r="E46" s="80" t="e">
        <f aca="false">#REF!</f>
        <v>#REF!</v>
      </c>
      <c r="F46" s="80" t="e">
        <f aca="false">#REF!</f>
        <v>#REF!</v>
      </c>
    </row>
    <row r="47" customFormat="false" ht="12.8" hidden="false" customHeight="false" outlineLevel="0" collapsed="false">
      <c r="A47" s="50" t="e">
        <f aca="false">_xlfn.CONCAT($A$1, ".", #REF!)</f>
        <v>#REF!</v>
      </c>
      <c r="B47" s="63" t="e">
        <f aca="false">_xlfn.CONCAT(#REF!, ":", #REF!)</f>
        <v>#REF!</v>
      </c>
      <c r="C47" s="80" t="e">
        <f aca="false">#REF!</f>
        <v>#REF!</v>
      </c>
      <c r="D47" s="80" t="e">
        <f aca="false">#REF!</f>
        <v>#REF!</v>
      </c>
      <c r="E47" s="80" t="e">
        <f aca="false">#REF!</f>
        <v>#REF!</v>
      </c>
      <c r="F47" s="80" t="e">
        <f aca="false">#REF!</f>
        <v>#REF!</v>
      </c>
    </row>
    <row r="48" customFormat="false" ht="12.8" hidden="false" customHeight="false" outlineLevel="0" collapsed="false">
      <c r="A48" s="50" t="e">
        <f aca="false">_xlfn.CONCAT($A$1, ".", #REF!)</f>
        <v>#REF!</v>
      </c>
      <c r="B48" s="63" t="e">
        <f aca="false">_xlfn.CONCAT(#REF!, ":", #REF!)</f>
        <v>#REF!</v>
      </c>
      <c r="C48" s="80" t="e">
        <f aca="false">#REF!</f>
        <v>#REF!</v>
      </c>
      <c r="D48" s="80" t="e">
        <f aca="false">#REF!</f>
        <v>#REF!</v>
      </c>
      <c r="E48" s="80" t="e">
        <f aca="false">#REF!</f>
        <v>#REF!</v>
      </c>
      <c r="F48" s="80" t="e">
        <f aca="false">#REF!</f>
        <v>#REF!</v>
      </c>
    </row>
    <row r="49" customFormat="false" ht="12.8" hidden="false" customHeight="false" outlineLevel="0" collapsed="false">
      <c r="A49" s="50" t="e">
        <f aca="false">_xlfn.CONCAT($A$1, ".", #REF!)</f>
        <v>#REF!</v>
      </c>
      <c r="B49" s="63" t="e">
        <f aca="false">_xlfn.CONCAT(#REF!, ":", #REF!)</f>
        <v>#REF!</v>
      </c>
      <c r="C49" s="80" t="e">
        <f aca="false">#REF!</f>
        <v>#REF!</v>
      </c>
      <c r="D49" s="80" t="e">
        <f aca="false">#REF!</f>
        <v>#REF!</v>
      </c>
      <c r="E49" s="80" t="e">
        <f aca="false">#REF!</f>
        <v>#REF!</v>
      </c>
      <c r="F49" s="80" t="e">
        <f aca="false">#REF!</f>
        <v>#REF!</v>
      </c>
    </row>
    <row r="50" customFormat="false" ht="12.8" hidden="false" customHeight="false" outlineLevel="0" collapsed="false">
      <c r="A50" s="50" t="e">
        <f aca="false">_xlfn.CONCAT($A$1, ".", #REF!)</f>
        <v>#REF!</v>
      </c>
      <c r="B50" s="63" t="e">
        <f aca="false">_xlfn.CONCAT(#REF!, ":", #REF!)</f>
        <v>#REF!</v>
      </c>
      <c r="C50" s="80" t="e">
        <f aca="false">#REF!</f>
        <v>#REF!</v>
      </c>
      <c r="D50" s="80" t="e">
        <f aca="false">#REF!</f>
        <v>#REF!</v>
      </c>
      <c r="E50" s="80" t="e">
        <f aca="false">#REF!</f>
        <v>#REF!</v>
      </c>
      <c r="F50" s="80" t="e">
        <f aca="false">#REF!</f>
        <v>#REF!</v>
      </c>
    </row>
    <row r="51" customFormat="false" ht="12.8" hidden="false" customHeight="false" outlineLevel="0" collapsed="false">
      <c r="A51" s="50" t="e">
        <f aca="false">_xlfn.CONCAT($A$1, ".", #REF!)</f>
        <v>#REF!</v>
      </c>
      <c r="B51" s="63" t="e">
        <f aca="false">_xlfn.CONCAT(#REF!, ":", #REF!)</f>
        <v>#REF!</v>
      </c>
      <c r="C51" s="80" t="e">
        <f aca="false">#REF!</f>
        <v>#REF!</v>
      </c>
      <c r="D51" s="80" t="e">
        <f aca="false">#REF!</f>
        <v>#REF!</v>
      </c>
      <c r="E51" s="80" t="e">
        <f aca="false">#REF!</f>
        <v>#REF!</v>
      </c>
      <c r="F51" s="80" t="e">
        <f aca="false">#REF!</f>
        <v>#REF!</v>
      </c>
    </row>
    <row r="52" customFormat="false" ht="12.8" hidden="false" customHeight="false" outlineLevel="0" collapsed="false">
      <c r="A52" s="50" t="e">
        <f aca="false">_xlfn.CONCAT($A$1, ".", #REF!)</f>
        <v>#REF!</v>
      </c>
      <c r="B52" s="63" t="e">
        <f aca="false">_xlfn.CONCAT(#REF!, ":", #REF!)</f>
        <v>#REF!</v>
      </c>
      <c r="C52" s="80" t="e">
        <f aca="false">#REF!</f>
        <v>#REF!</v>
      </c>
      <c r="D52" s="80" t="e">
        <f aca="false">#REF!</f>
        <v>#REF!</v>
      </c>
      <c r="E52" s="80" t="e">
        <f aca="false">#REF!</f>
        <v>#REF!</v>
      </c>
      <c r="F52" s="80" t="e">
        <f aca="false">#REF!</f>
        <v>#REF!</v>
      </c>
    </row>
    <row r="53" customFormat="false" ht="12.8" hidden="false" customHeight="false" outlineLevel="0" collapsed="false">
      <c r="A53" s="50" t="e">
        <f aca="false">_xlfn.CONCAT($A$1, ".", #REF!)</f>
        <v>#REF!</v>
      </c>
      <c r="B53" s="63" t="e">
        <f aca="false">_xlfn.CONCAT(#REF!, ":", #REF!)</f>
        <v>#REF!</v>
      </c>
      <c r="C53" s="80" t="e">
        <f aca="false">#REF!</f>
        <v>#REF!</v>
      </c>
      <c r="D53" s="80" t="e">
        <f aca="false">#REF!</f>
        <v>#REF!</v>
      </c>
      <c r="E53" s="80" t="e">
        <f aca="false">#REF!</f>
        <v>#REF!</v>
      </c>
      <c r="F53" s="80" t="e">
        <f aca="false">#REF!</f>
        <v>#REF!</v>
      </c>
    </row>
    <row r="54" customFormat="false" ht="12.8" hidden="false" customHeight="false" outlineLevel="0" collapsed="false">
      <c r="A54" s="50" t="e">
        <f aca="false">_xlfn.CONCAT($A$1, ".", #REF!)</f>
        <v>#REF!</v>
      </c>
      <c r="B54" s="63" t="e">
        <f aca="false">_xlfn.CONCAT(#REF!, ":", #REF!)</f>
        <v>#REF!</v>
      </c>
      <c r="C54" s="80" t="e">
        <f aca="false">#REF!</f>
        <v>#REF!</v>
      </c>
      <c r="D54" s="80" t="e">
        <f aca="false">#REF!</f>
        <v>#REF!</v>
      </c>
      <c r="E54" s="80" t="e">
        <f aca="false">#REF!</f>
        <v>#REF!</v>
      </c>
      <c r="F54" s="80" t="e">
        <f aca="false">#REF!</f>
        <v>#REF!</v>
      </c>
    </row>
    <row r="55" customFormat="false" ht="12.8" hidden="false" customHeight="false" outlineLevel="0" collapsed="false">
      <c r="A55" s="50" t="e">
        <f aca="false">_xlfn.CONCAT($A$1, ".", #REF!)</f>
        <v>#REF!</v>
      </c>
      <c r="B55" s="63" t="e">
        <f aca="false">_xlfn.CONCAT(#REF!, ":", #REF!)</f>
        <v>#REF!</v>
      </c>
      <c r="C55" s="80" t="e">
        <f aca="false">#REF!</f>
        <v>#REF!</v>
      </c>
      <c r="D55" s="80" t="e">
        <f aca="false">#REF!</f>
        <v>#REF!</v>
      </c>
      <c r="E55" s="80" t="e">
        <f aca="false">#REF!</f>
        <v>#REF!</v>
      </c>
      <c r="F55" s="80"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5498</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2026-02-14T19:41:02Z</dcterms:modified>
  <cp:revision>733</cp:revision>
  <dc:subject/>
  <dc:title/>
</cp:coreProperties>
</file>

<file path=docProps/custom.xml><?xml version="1.0" encoding="utf-8"?>
<Properties xmlns="http://schemas.openxmlformats.org/officeDocument/2006/custom-properties" xmlns:vt="http://schemas.openxmlformats.org/officeDocument/2006/docPropsVTypes"/>
</file>