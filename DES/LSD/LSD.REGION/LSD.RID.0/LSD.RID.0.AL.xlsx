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3.xml" ContentType="application/vnd.openxmlformats-officedocument.drawing+xml"/>
  <Override PartName="/xl/drawings/drawing1.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charts/chart29.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30.xml" ContentType="application/vnd.openxmlformats-officedocument.drawingml.chart+xml"/>
  <Override PartName="/xl/charts/chart4.xml" ContentType="application/vnd.openxmlformats-officedocument.drawingml.chart+xml"/>
  <Override PartName="/xl/charts/chart15.xml" ContentType="application/vnd.openxmlformats-officedocument.drawingml.chart+xml"/>
  <Override PartName="/xl/charts/chart7.xml" ContentType="application/vnd.openxmlformats-officedocument.drawingml.chart+xml"/>
  <Override PartName="/xl/charts/chart26.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6.xml" ContentType="application/vnd.openxmlformats-officedocument.drawingml.chart+xml"/>
  <Override PartName="/xl/charts/chart9.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7.xml" ContentType="application/vnd.openxmlformats-officedocument.drawingml.chart+xml"/>
  <Override PartName="/xl/charts/chart21.xml" ContentType="application/vnd.openxmlformats-officedocument.drawingml.chart+xml"/>
  <Override PartName="/xl/charts/chart11.xml" ContentType="application/vnd.openxmlformats-officedocument.drawingml.chart+xml"/>
  <Override PartName="/xl/charts/chart18.xml" ContentType="application/vnd.openxmlformats-officedocument.drawingml.chart+xml"/>
  <Override PartName="/xl/charts/chart28.xml" ContentType="application/vnd.openxmlformats-officedocument.drawingml.chart+xml"/>
  <Override PartName="/xl/charts/chart20.xml" ContentType="application/vnd.openxmlformats-officedocument.drawingml.chart+xml"/>
  <Override PartName="/xl/charts/chart19.xml" ContentType="application/vnd.openxmlformats-officedocument.drawingml.chart+xml"/>
  <Override PartName="/xl/charts/chart3.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10.xml" ContentType="application/vnd.openxmlformats-officedocument.drawingml.chart+xml"/>
  <Override PartName="/xl/charts/chart25.xml" ContentType="application/vnd.openxmlformats-officedocument.drawingml.chart+xml"/>
  <Override PartName="/xl/charts/chart2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INDEX" sheetId="1" state="visible" r:id="rId3"/>
    <sheet name="INVOKE" sheetId="2" state="visible" r:id="rId4"/>
    <sheet name="FORM" sheetId="3" state="visible" r:id="rId5"/>
    <sheet name="PARAM" sheetId="4" state="visible" r:id="rId6"/>
    <sheet name="CALC" sheetId="5" state="visible" r:id="rId7"/>
    <sheet name="LFP" sheetId="6" state="visible" r:id="rId8"/>
    <sheet name="TNPE" sheetId="7" state="visible" r:id="rId9"/>
    <sheet name="ETPR" sheetId="8" state="visible" r:id="rId10"/>
    <sheet name="LFPR" sheetId="9" state="visible" r:id="rId11"/>
    <sheet name="U3R" sheetId="10" state="visible" r:id="rId12"/>
    <sheet name="U6R" sheetId="11" state="visible" r:id="rId13"/>
    <sheet name="WAVG" sheetId="12" state="hidden" r:id="rId14"/>
    <sheet name="AIAVG" sheetId="13" state="hidden" r:id="rId15"/>
    <sheet name="FPITREV" sheetId="14" state="hidden" r:id="rId16"/>
    <sheet name="FPPTREV" sheetId="15" state="hidden" r:id="rId17"/>
    <sheet name="EITCREF" sheetId="16" state="hidden" r:id="rId18"/>
    <sheet name="ACTCREF" sheetId="17" state="hidden" r:id="rId19"/>
    <sheet name="AOTCREF" sheetId="18" state="hidden" r:id="rId20"/>
    <sheet name="EP" sheetId="19" state="hidden" r:id="rId21"/>
    <sheet name="AWHW" sheetId="20" state="hidden" r:id="rId22"/>
    <sheet name="FTER" sheetId="21" state="hidden" r:id="rId23"/>
    <sheet name="PTER" sheetId="22" state="hidden" r:id="rId24"/>
    <sheet name="JTA" sheetId="23" state="hidden" r:id="rId25"/>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<sst xmlns="http://schemas.openxmlformats.org/spreadsheetml/2006/main" count="5288" uniqueCount="2844">
  <si>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</si>
  <si>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</si>
  <si>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</si>
  <si>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</si>
  <si>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</si>
  <si>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</si>
  <si>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</si>
  <si>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</si>
  <si>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</si>
  <si>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</si>
  <si>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</si>
  <si>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</si>
  <si>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</si>
  <si>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</si>
  <si>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</si>
  <si>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</si>
  <si>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</si>
  <si>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</si>
  <si>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</si>
  <si>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</si>
  <si>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</si>
  <si>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</si>
  <si>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</si>
  <si>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</si>
  <si>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</si>
  <si>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</si>
  <si>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</si>
  <si>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</si>
  <si>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</si>
  <si>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</si>
  <si>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</si>
  <si>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</si>
  <si>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</si>
  <si>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</si>
  <si>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</si>
  <si>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</si>
  <si>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</si>
  <si>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</si>
  <si>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</si>
  <si>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</si>
  <si>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</si>
  <si>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</si>
  <si>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</si>
  <si>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</si>
  <si>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</si>
  <si>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</si>
  <si>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</si>
  <si>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</si>
  <si>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</si>
  <si>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</si>
  <si>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</si>
  <si>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</si>
  <si>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</si>
  <si>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</si>
  <si>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</si>
  <si>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</si>
  <si>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</si>
  <si>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</si>
  <si>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</si>
  <si>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</si>
  <si>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</si>
  <si>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</si>
  <si>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</si>
  <si>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</si>
  <si>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</si>
  <si>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</si>
  <si>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</si>
  <si>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</si>
  <si>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</si>
  <si>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</si>
  <si>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</si>
  <si>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</si>
  <si>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</si>
  <si>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</si>
  <si>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</si>
  <si>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</si>
  <si>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</si>
  <si>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</si>
  <si>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</si>
  <si>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</si>
  <si>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</si>
  <si>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</si>
  <si>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</si>
  <si>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</si>
  <si>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</si>
  <si>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</si>
  <si>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</si>
  <si>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</si>
  <si>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</si>
  <si>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</si>
  <si>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</si>
  <si>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</si>
  <si>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</si>
  <si>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</si>
  <si>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</si>
  <si>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</si>
  <si>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</si>
  <si>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</si>
  <si>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</si>
  <si>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</si>
  <si>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</si>
  <si>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</si>
  <si>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</si>
  <si>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</si>
  <si>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</si>
  <si>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</si>
  <si>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</si>
  <si>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</si>
  <si>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</si>
  <si>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</si>
  <si>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</si>
  <si>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</si>
  <si>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</si>
  <si>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</si>
  <si>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</si>
  <si>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LSD.REF.AL.INVOKE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</si>
  <si>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</si>
  <si>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</si>
  <si>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</si>
  <si>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</si>
  <si>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</si>
  <si>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</si>
  <si>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Metric Structuring, Formulation, Parameterization, Calculation, 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</si>
  <si>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</si>
  <si>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https://grok.com/share/bGVnYWN5LWNvcHk_f8388d04-626d-44ac-b68a-833eb4e11eef</t>
  </si>
  <si>
    <t xml:space="preserve">thomas.patrick.welborn@outlook.com</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</si>
  <si>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</si>
  <si>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</si>
  <si>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</si>
  <si>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thomas.welborn@protonmail.com</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</si>
  <si>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</si>
  <si>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</si>
  <si>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thomas.tom.welborn@gmail.com</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</si>
  <si>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</si>
  <si>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</si>
  <si>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</si>
  <si>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</si>
  <si>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</si>
  <si>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</si>
  <si>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</si>
  <si>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</si>
  <si>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</si>
  <si>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</si>
  <si>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</si>
  <si>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</si>
  <si>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</si>
  <si>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</si>
  <si>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</si>
  <si>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</si>
  <si>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</si>
  <si>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</si>
  <si>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</si>
  <si>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</si>
  <si>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</si>
  <si>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</si>
  <si>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</si>
  <si>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</si>
  <si>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</si>
  <si>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</si>
  <si>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</si>
  <si>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</si>
  <si>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</si>
  <si>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</si>
  <si>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</si>
  <si>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`LSD.REF`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</si>
  <si>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</si>
  <si>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</si>
  <si>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`LSD.REFERENCE`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</si>
  <si>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</si>
  <si>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</si>
  <si>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</si>
  <si>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LSD.REF.AL.FORM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</si>
  <si>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</si>
  <si>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</si>
  <si>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</si>
  <si>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</si>
  <si>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</si>
  <si>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</si>
  <si>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</si>
  <si>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</si>
  <si>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LSD.REF.AL.FORM.0</t>
  </si>
  <si>
    <t xml:space="preserve">S0 - Shared/Base</t>
  </si>
  <si>
    <t xml:space="preserve">Sector Employment Total</t>
  </si>
  <si>
    <t xml:space="preserve">T_i = PARAMETERS!SECTOR_EMPLOYMENT[i] + PARAMETERS!ADJUSTMENT_FACTOR_SEC[i] + ITERATE( PARAMETERS!VARIANCE_CHECK_SEC[i] &gt; PARAMETERS!MIN_VARIANCE_TARGET ? RECONCILE_SOURCES(i) : 0 )</t>
  </si>
  <si>
    <t xml:space="preserve">BLS CES base + adjustment + variance-based reconciliation; iterative if variance high</t>
  </si>
  <si>
    <t xml:space="preserve">Enhanced with feedback loop for variance; incorporates data fusion if needed to boost precision in sparse sectors (e.g., mining).</t>
  </si>
  <si>
    <t xml:space="preserve">LSD.REF.AL.FORM.1</t>
  </si>
  <si>
    <t xml:space="preserve">Population Share Proration (Auth/Unauth/American)</t>
  </si>
  <si>
    <t xml:space="preserve">AUTH_SHARE_i = PARAMETERS!AUTH_IMMIGRANT_SHARE_SEC[i] * FORM!AUTH_IMMIGRANT_ETPR_ADJ_FACTOR; UNAUTH_SHARE_i = PARAMETERS!UNAUTH_IMMIGRANT_SHARE_SEC[i] * FORM!UNAUTH_IMMIGRANT_ETPR_ADJ_FACTOR * PARAMETERS!UNAUTH_BOOST_SEC[i]; AMER_SHARE_i = 1 - AUTH_SHARE_i - UNAUTH_SHARE_i; APPLY_CAP( SUM(UNAUTH_SHARE_i * T_i) &gt; PARAMETERS!UNAUTH_IMMIGRANT_CAP ? PRORATE_DOWN(UNAUTH_SHARE_i) : UNAUTH_SHARE_i )</t>
  </si>
  <si>
    <t xml:space="preserve">Prorate by immigrant shares + ETPR adj + unauthorized boost + cap enforcement</t>
  </si>
  <si>
    <t xml:space="preserve">Updated; added UNAUTH_BOOST_SEC[i] for sector-specific unauthorized LFP differentiation (higher in manual sectors).</t>
  </si>
  <si>
    <t xml:space="preserve">LSD.REF.AL.FORM.2</t>
  </si>
  <si>
    <t xml:space="preserve">Enhanced Data Fusion for Multi-Source Blending</t>
  </si>
  <si>
    <t xml:space="preserve">value_i = WEIGHTED_AVG( PARAMETERS!BLS_VALUE_SEC[i] * DYNAMIC_WEIGHT( PARAMETERS!ACCURACY_BLS, SOURCE_CONFIDENCE(i) ), PARAMETERS!ACS_VALUE_SEC[i] * DYNAMIC_WEIGHT( PARAMETERS!ACCURACY_ACS, SOURCE_CONFIDENCE(i) ), PARAMETERS!MPI_VALUE_SEC[i] * DYNAMIC_WEIGHT( PARAMETERS!ACCURACY_MPI, SOURCE_CONFIDENCE(i) ) ) / SUM_WEIGHTS; RECONCILE_IF_DIFF &gt; PARAMETERS!FUSION_THRESHOLD</t>
  </si>
  <si>
    <t xml:space="preserve">Dynamic weighted avg + reconciliation if sources diverge &gt; threshold</t>
  </si>
  <si>
    <t xml:space="preserve">Improved fusion with dynamic weights based on per-sector confidence; interdependent for cross-metric use, reduces uncertainty from lags.</t>
  </si>
  <si>
    <t xml:space="preserve">LSD.REF.AL.FORM.3</t>
  </si>
  <si>
    <t xml:space="preserve">Asymmetric Share Adjustment</t>
  </si>
  <si>
    <t xml:space="preserve">GROUP_SHARE_i = BASE_SHARE_i * (1 + PARAMETERS!ASYMMETRY_FACTOR_GROUP) * (1 + PARAMETERS!SECTOR_ASYMMETRY_FACTOR_GROUP[i]) * ERROR_BOUND( PARAMETERS!GROUP_VARIANCE[i] )</t>
  </si>
  <si>
    <t xml:space="preserve">Adjustment for asymmetry + sector-specific factor + error bound</t>
  </si>
  <si>
    <t xml:space="preserve">Updated; added SECTOR_ASYMMETRY_FACTOR_GROUP[i] for per-sector LFP variation (lower in cyclical, higher in stable).</t>
  </si>
  <si>
    <t xml:space="preserve">LSD.REF.AL.FORM.4</t>
  </si>
  <si>
    <t xml:space="preserve">Iterative Calibration Target Update</t>
  </si>
  <si>
    <t xml:space="preserve">METRIC_i = RAW_METRIC_i * (PARAMETERS!PUBLIC_TARGET / AGGREGATE_RAW); ITERATE_IF( ABS(AGGREGATE_FINAL - PUBLIC_TARGET) &gt; PARAMETERS!CALIB_TOLERANCE ? RESCALE(RAW_METRIC_i) )</t>
  </si>
  <si>
    <t xml:space="preserve">Scaling + iterative rescaling if tolerance exceeded</t>
  </si>
  <si>
    <t xml:space="preserve">Enhanced feedback loop; interdependent across metrics to minimize drift, directly addressing error propagation.</t>
  </si>
  <si>
    <t xml:space="preserve">LSD.REF.AL.FORM.5</t>
  </si>
  <si>
    <t xml:space="preserve">Cross-Metric Dependency Link</t>
  </si>
  <si>
    <t xml:space="preserve">LINK_METRIC( metric_a, metric_b ) = metric_a + DEPEND_ADJ( metric_b * PARAMETERS!INTERDEPEND_FACTOR_AB )</t>
  </si>
  <si>
    <t xml:space="preserve">Adjust metric_a based on linked metric_b (e.g., LFP influences U3R)</t>
  </si>
  <si>
    <t xml:space="preserve">New interdependent addition; e.g., links LFP to U3R for consistency, incorporating recommendations for cross-metric enforcement.</t>
  </si>
  <si>
    <t xml:space="preserve">LSD.REF.AL.FORM.6</t>
  </si>
  <si>
    <t xml:space="preserve">Employed Population Derivation</t>
  </si>
  <si>
    <t xml:space="preserve">EP_i = LFP_i * (1 - LINK_METRIC( U3R_i, PARAMETERS!INTERDEPEND_FACTOR_LFP_U3R ))</t>
  </si>
  <si>
    <t xml:space="preserve">Derive employed from LFP minus unemployment linkage</t>
  </si>
  <si>
    <t xml:space="preserve">New interdependent; bridges LFP to ETPR/U3R for consistency across metrics.</t>
  </si>
  <si>
    <t xml:space="preserve">LSD.REF.AL.FORM.7</t>
  </si>
  <si>
    <t xml:space="preserve">Group ETPR Adjustment Link</t>
  </si>
  <si>
    <t xml:space="preserve">GROUP_ETPR_i = BASE_ETPR_i * (PARAMETERS!GROUP_ETPR_ADJ_FACTOR) * ITERATE_IF( ABS(GROUP_EP_i / GROUP_CIV_POP_i - TARGET_ETPR) &gt; PARAMETERS!CALIB_TOLERANCE )</t>
  </si>
  <si>
    <t xml:space="preserve">Adjust group ETPR with calibration iteration</t>
  </si>
  <si>
    <t xml:space="preserve">New; interdependent with LFP-derived EP and civ pop params for group-level precision.</t>
  </si>
  <si>
    <t xml:space="preserve">LSD.REF.AL.FORM.8</t>
  </si>
  <si>
    <t xml:space="preserve">LFPR Derivation from LFP</t>
  </si>
  <si>
    <t xml:space="preserve">LFPR_i = LFP_i / PARAMETERS!CIV_POP_TOTAL * (1 + PARAMETERS!LFPR_ADJ_SEC[i]); LINK_METRIC( LFPR_i, ETPR_i * PARAMETERS!INTERDEPEND_FACTOR_ETPR_LFP )</t>
  </si>
  <si>
    <t xml:space="preserve">Derive sector LFPR from LFP/civ pop + adj + ETPR linkage</t>
  </si>
  <si>
    <t xml:space="preserve">New interdependent; bridges LFP to LFPR and ensures ETPR consistency.</t>
  </si>
  <si>
    <t xml:space="preserve">LSD.REF.AL.FORM.9</t>
  </si>
  <si>
    <t xml:space="preserve">Sector-Specific Asymmetry Application</t>
  </si>
  <si>
    <t xml:space="preserve">ASYMM_ADJ_i = BASE_VALUE_i * (1 + PARAMETERS!SECTOR_ASYMMETRY_FACTOR_GROUP[i]) * SPECIFICITY_BOOST( PARAMETERS!UNAUTH_BOOST_SEC[i], GROUP="unauth" )</t>
  </si>
  <si>
    <t xml:space="preserve">Apply per-sector asymmetry + unauthorized specificity boost</t>
  </si>
  <si>
    <t xml:space="preserve">Updated; added SPECIFICITY_BOOST for unauthorized LFP (applies only to unauth group, boosting variation in target sectors).</t>
  </si>
  <si>
    <t xml:space="preserve">LSD.REF.AL.FORM.10</t>
  </si>
  <si>
    <t xml:space="preserve">Unauthorized Group Boost Link</t>
  </si>
  <si>
    <t xml:space="preserve">UNAUTH_VALUE_i = UNAUTH_BASE_i * (1 + PARAMETERS!UNAUTH_BOOST_SEC[i] * LINK_METRIC( LFPR_i, PARAMETERS!INTERDEPEND_FACTOR_LFPR_ETPR_U3R ))</t>
  </si>
  <si>
    <t xml:space="preserve">Boost unauthorized values per sector with LFPR-ETPR/U3R linkage</t>
  </si>
  <si>
    <t xml:space="preserve">Unchanged from prior; reinforces specificity by sector.</t>
  </si>
  <si>
    <t xml:space="preserve">LSD.REF.AL.FORM.11</t>
  </si>
  <si>
    <t xml:space="preserve">ETPR Derivation from LFPR/U3R</t>
  </si>
  <si>
    <t xml:space="preserve">ETPR_i = LFPR_i * (1 - U3R_i) * (1 + PARAMETERS!ETPR_ADJ_SEC[i]); LINK_METRIC( ETPR_i, PARAMETERS!INTERDEPEND_FACTOR_ETPR_LFP )</t>
  </si>
  <si>
    <t xml:space="preserve">Derive ETPR from LFPR minus unemployment + adj + LFP linkage</t>
  </si>
  <si>
    <t xml:space="preserve">New interdependent; bridges LFPR/U3R to ETPR for consistency, similar to LFPR's cross-links.</t>
  </si>
  <si>
    <t xml:space="preserve">LSD.REF.AL.FORM.12</t>
  </si>
  <si>
    <t xml:space="preserve">Unauthorized ETPR Specificity Boost</t>
  </si>
  <si>
    <t xml:space="preserve">UNAUTH_ETPR_i = UNAUTH_BASE_i * (1 + PARAMETERS!UNAUTH_BOOST_SEC[i] * FORM!ASYMM_ADJ_i)</t>
  </si>
  <si>
    <t xml:space="preserve">Boost unauthorized ETPR per sector with asymmetry linkage</t>
  </si>
  <si>
    <t xml:space="preserve">New; refinement for unauthorized differentiation (higher in manual sectors), parallel to LFPR's boost link.</t>
  </si>
  <si>
    <t xml:space="preserve">LSD.REF.AL.FORM.13</t>
  </si>
  <si>
    <t xml:space="preserve">Sector U3R Derivation</t>
  </si>
  <si>
    <t xml:space="preserve">U3R_i = (1 - (ETPR_i / LFPR_i)) * (1 + PARAMETERS!U3R_ASYMM_SEC[i]) * ITERATE_IF(ABS(AGGREGATE_U3R - PARAMETERS!U3R_STATE_TARGET) &gt; PARAMETERS!CALIB_TOLERANCE, RESCALE_U3R(i)); LINK_METRIC(U3R_i, LFP_i * PARAMETERS!INTERDEPEND_FACTOR_LFP_U3R)</t>
  </si>
  <si>
    <t xml:space="preserve">Base derivation from ETPR/LFPR + asymmetry adjustment + calibration iteration + LFP linkage for aggregate consistency</t>
  </si>
  <si>
    <t xml:space="preserve">New; core U3R formula with interdependence to prevent drift; uses existing CALIB_TOLERANCE.</t>
  </si>
  <si>
    <t xml:space="preserve">LSD.REF.AL.FORM.14</t>
  </si>
  <si>
    <t xml:space="preserve">Group U3R Adjustment</t>
  </si>
  <si>
    <t xml:space="preserve">GROUP_U3R_i = BASE_U3R_i * (1 + PARAMETERS!U3R_ADJ_GROUP) * (PARAMETERS!UNAUTH_BOOST_U3R[i] if GROUP="unauth" else 1) * ERROR_BOUND(PARAMETERS!U3R_VARIANCE_SEC[i])</t>
  </si>
  <si>
    <t xml:space="preserve">Adjust base U3R by group (e.g., higher for unauthorized) + sector boost + variance bound</t>
  </si>
  <si>
    <t xml:space="preserve">New; parallel to ETPR/LFPR group logic; applies unauthorized boost only to unauth column.</t>
  </si>
  <si>
    <t xml:space="preserve">LSD.REF.AL.FORM.15</t>
  </si>
  <si>
    <t xml:space="preserve">U3R Cross-Metric Reconciliation</t>
  </si>
  <si>
    <t xml:space="preserve">RECONCILE_U3R(ETPR_i, LFPR_i) = IF(ABS(U3R_i - (1 - ETPR_i / LFPR_i)) &gt; PARAMETERS!FUSION_THRESHOLD, WEIGHTED_AVG(U3R_i, DERIVED_U3R, DYNAMIC_WEIGHT(PARAMETERS!ACCURACY_BLS, SOURCE_CONFIDENCE(i))), U3R_i)</t>
  </si>
  <si>
    <t xml:space="preserve">Reconcile derived U3R against ETPR/LFPR if divergence exceeds threshold, using BLS confidence weights</t>
  </si>
  <si>
    <t xml:space="preserve">New; enhances fusion for U3R specificity; interdependent with FORM.2 data fusion.</t>
  </si>
  <si>
    <t xml:space="preserve">LSD.REF.AL.FORM.16</t>
  </si>
  <si>
    <t xml:space="preserve">Sector U6R Derivation</t>
  </si>
  <si>
    <t xml:space="preserve">U6R_i = U3R_i * (1 + PARAMETERS!U6R_MULTIPLIER_SEC[i]) + PART_TIME_ECON_i * PARAMETERS!PART_TIME_ADJ_SEC[i] + MARG_ATTACHED_i * ITERATE_IF(ABS(AGGREGATE_U6R - PARAMETERS!U6R_STATE_TARGET) &gt; PARAMETERS!CALIB_TOLERANCE, RESCALE_U6R(i)); LINK_METRIC(U6R_i, U3R_i * PARAMETERS!INTERDEPEND_FACTOR_U3R_U6R)</t>
  </si>
  <si>
    <t xml:space="preserve">Base from U3R + multiplier + part-time/marginal adjs + calibration + U3R linkage for consistency</t>
  </si>
  <si>
    <t xml:space="preserve">New; core U6R formula; depends on U3R tab; adds underemployment components.</t>
  </si>
  <si>
    <t xml:space="preserve">LSD.REF.AL.FORM.17</t>
  </si>
  <si>
    <t xml:space="preserve">Group U6R Adjustment</t>
  </si>
  <si>
    <t xml:space="preserve">GROUP_U6R_i = BASE_U6R_i * (1 + PARAMETERS!U6R_ADJ_GROUP) * (PARAMETERS!UNAUTH_BOOST_U6R[i] if GROUP="unauth" else 1) * ERROR_BOUND(PARAMETERS!U6R_VARIANCE_SEC[i]) * PART_TIME_SPECIFICITY(GROUP="unauth", PARAMETERS!PART_TIME_UNAUTH_RATE_SEC[i])</t>
  </si>
  <si>
    <t xml:space="preserve">Adjust base U6R by group + sector boost + variance + part-time specificity for unauthorized</t>
  </si>
  <si>
    <t xml:space="preserve">New; parallel to U3R.FORM.14; higher unauth adj for involuntary part-time.</t>
  </si>
  <si>
    <t xml:space="preserve">LSD.REF.AL.FORM.18</t>
  </si>
  <si>
    <t xml:space="preserve">U6R Cross-Metric Reconciliation</t>
  </si>
  <si>
    <t xml:space="preserve">RECONCILE_U6R(U3R_i, ETPR_i) = IF(ABS(U6R_i - (U3R_i + DERIVED_UNDEREMP)) &gt; PARAMETERS!FUSION_THRESHOLD, WEIGHTED_AVG(U6R_i, DERIVED_U6R, DYNAMIC_WEIGHT(PARAMETERS!ACCURACY_BLS, SOURCE_CONFIDENCE(i))), U6R_i); LINK_METRIC(U6R_i, LFPR_i * PARAMETERS!INTERDEPEND_FACTOR_LFPR_U6R)</t>
  </si>
  <si>
    <t xml:space="preserve">Reconcile derived U6R against U3R/ETPR if divergence &gt; threshold + LFPR linkage</t>
  </si>
  <si>
    <t xml:space="preserve">New; enhances fusion; interdependent with FORM.2 and U3R.FORM.15.</t>
  </si>
  <si>
    <t xml:space="preserve">LSD.REF.AL.FORM.19</t>
  </si>
  <si>
    <t xml:space="preserve">TNPE Sector Benchmarking &amp; Disaggregation</t>
  </si>
  <si>
    <t xml:space="preserve">IF(LSID=1 OR other_excluded, MODELED_PROXY(PARAMETERS!AG_EMPLOYMENT_AL); ELSE TNPE_i = PARAMETERS!CES_SECTOR_BASE[i] * (PARAMETERS!OFFICIAL_TNPE_TOTAL / SUM(PARAMETERS!CES_SECTOR_BASE[2:23])) * (1 + PARAMETERS!TNPE_BENCHMARK_FACTOR_SEC[i]))</t>
  </si>
  <si>
    <t xml:space="preserve">Scale non-excluded sector CES bases to official statewide total + sector-specific benchmark adjustments; explicitly model excluded sectors (e.g., Agriculture) separately</t>
  </si>
  <si>
    <t xml:space="preserve">Updated; adds exclusion check for LSID 1 (Agriculture) to skip CES benchmarking.</t>
  </si>
  <si>
    <t xml:space="preserve">LSD.REF.AL.FORM.20</t>
  </si>
  <si>
    <t xml:space="preserve">Group Estimation for TNPE</t>
  </si>
  <si>
    <t xml:space="preserve">IF(LSID=1 OR other_excluded, GROUP_TNPE_i = MODELED_PROXY_SHARE * PARAMETERS!EXCLUDED_GROUP_ADJ; ELSE GROUP_TNPE_i = TNPE_i * (SHARED_UNAUTH_SHARE_SEC[i] * PARAMETERS!UNAUTH_TNPE_BOOST_SEC[i] if GROUP="unauth" else SHARED_AUTH_SHARE_SEC[i])); ERROR_BOUND(PARAMETERS!TNPE_GROUP_VARIANCE[i])</t>
  </si>
  <si>
    <t xml:space="preserve">Apply ACS/MPI-derived immigrant shares with CES-specific unauthorized concentration boosts; for excluded sectors, use household-derived proxy shares</t>
  </si>
  <si>
    <t xml:space="preserve">Updated; handles group estimation for excluded sectors via proxy.</t>
  </si>
  <si>
    <t xml:space="preserve">LSD.REF.AL.FORM.21</t>
  </si>
  <si>
    <t xml:space="preserve">TNPE ↔ Household Survey Reconciliation</t>
  </si>
  <si>
    <t xml:space="preserve">RECONCILE_TNPE_HH = IF(ABS(TNPE_TOTAL_NONFARM - LFP_i * ETPR_i - EXCLUDED_SECTOR_ADJ) &gt; PARAMETERS!TNPE_HH_FUSION_THRESH, WEIGHTED_AVG(TNPE_TOTAL_NONFARM, HH_EMPLOYMENT_NONFARM, DYNAMIC_WEIGHT(CES_ACCURACY, HH_ACCURACY)), TNPE_TOTAL_NONFARM)</t>
  </si>
  <si>
    <t xml:space="preserve">Fuse CES nonfarm payroll total with nonfarm household-survey employment (adjusting for excluded sectors) for consistency checks</t>
  </si>
  <si>
    <t xml:space="preserve">Updated; subtracts excluded sector adjustment (e.g., Agriculture proxy) before fusion.</t>
  </si>
  <si>
    <t xml:space="preserve">LSD.REF.AL.PARAM</t>
  </si>
  <si>
    <t xml:space="preserve">Alabama Labor Statistic Logic Interdependent Parameters</t>
  </si>
  <si>
    <t xml:space="preserve">Value</t>
  </si>
  <si>
    <t xml:space="preserve">Confidence</t>
  </si>
  <si>
    <t xml:space="preserve">Source</t>
  </si>
  <si>
    <t xml:space="preserve">Last Updated</t>
  </si>
  <si>
    <t xml:space="preserve">LSD.REF.AL.PARAM.0</t>
  </si>
  <si>
    <t xml:space="preserve">TOTAL_NONFARM_AL</t>
  </si>
  <si>
    <t xml:space="preserve">AL / Total nonfarm payroll employment (persons)</t>
  </si>
  <si>
    <t xml:space="preserve">High</t>
  </si>
  <si>
    <t xml:space="preserve">BLS CES December 2025 (revised)</t>
  </si>
  <si>
    <t xml:space="preserve">February 2026</t>
  </si>
  <si>
    <t xml:space="preserve">LSD.REF.AL.PARAM.1</t>
  </si>
  <si>
    <t xml:space="preserve">AG_EMPLOYMENT_AL</t>
  </si>
  <si>
    <t xml:space="preserve">AL / Agriculture employment (persons)</t>
  </si>
  <si>
    <t xml:space="preserve">Medium-High</t>
  </si>
  <si>
    <t xml:space="preserve">BLS CES + ACS/QCEW adjustment</t>
  </si>
  <si>
    <t xml:space="preserve">LSD.REF.AL.PARAM.2</t>
  </si>
  <si>
    <t xml:space="preserve">MIN_LOG_EMPLOYMENT_AL</t>
  </si>
  <si>
    <t xml:space="preserve">AL / Mining and logging employment (persons)</t>
  </si>
  <si>
    <t xml:space="preserve">BLS CES December 2025</t>
  </si>
  <si>
    <t xml:space="preserve">LSD.REF.AL.PARAM.3</t>
  </si>
  <si>
    <t xml:space="preserve">CONSTR_EMPLOYMENT_AL</t>
  </si>
  <si>
    <t xml:space="preserve">AL / Construction employment (persons)</t>
  </si>
  <si>
    <t xml:space="preserve">LSD.REF.AL.PARAM.4</t>
  </si>
  <si>
    <t xml:space="preserve">MANU_EMPLOYMENT_AL</t>
  </si>
  <si>
    <t xml:space="preserve">AL / Manufacturing employment (persons)</t>
  </si>
  <si>
    <t xml:space="preserve">LSD.REF.AL.PARAM.5</t>
  </si>
  <si>
    <t xml:space="preserve">TRADE_TRANS_UTIL_EMPLOYMENT_AL</t>
  </si>
  <si>
    <t xml:space="preserve">AL / Trade, Transportation, Utilities (persons)</t>
  </si>
  <si>
    <t xml:space="preserve">LSD.REF.AL.PARAM.6</t>
  </si>
  <si>
    <t xml:space="preserve">INFO_EMPLOYMENT_AL</t>
  </si>
  <si>
    <t xml:space="preserve">AL / Information employment (persons)</t>
  </si>
  <si>
    <t xml:space="preserve">LSD.REF.AL.PARAM.7</t>
  </si>
  <si>
    <t xml:space="preserve">FIN_EMPLOYMENT_AL</t>
  </si>
  <si>
    <t xml:space="preserve">AL / Financial Activities employment (persons)</t>
  </si>
  <si>
    <t xml:space="preserve">LSD.REF.AL.PARAM.8</t>
  </si>
  <si>
    <t xml:space="preserve">PROF_BUS_EMPLOYMENT_AL</t>
  </si>
  <si>
    <t xml:space="preserve">AL / Professional and Business Services (persons)</t>
  </si>
  <si>
    <t xml:space="preserve">LSD.REF.AL.PARAM.9</t>
  </si>
  <si>
    <t xml:space="preserve">ED_HEALTH_EMPLOYMENT_AL</t>
  </si>
  <si>
    <t xml:space="preserve">AL / Education and Health Services (persons)</t>
  </si>
  <si>
    <t xml:space="preserve">LSD.REF.AL.PARAM.10</t>
  </si>
  <si>
    <t xml:space="preserve">LEIS_HOSP_EMPLOYMENT_AL</t>
  </si>
  <si>
    <t xml:space="preserve">AL / Leisure and Hospitality employment (persons)</t>
  </si>
  <si>
    <t xml:space="preserve">LSD.REF.AL.PARAM.11</t>
  </si>
  <si>
    <t xml:space="preserve">OTHER_SERV_EMPLOYMENT_AL</t>
  </si>
  <si>
    <t xml:space="preserve">AL / Other services employment (persons)</t>
  </si>
  <si>
    <t xml:space="preserve">LSD.REF.AL.PARAM.12</t>
  </si>
  <si>
    <t xml:space="preserve">GOV_EMPLOYMENT_AL</t>
  </si>
  <si>
    <t xml:space="preserve">AL / Government employment (persons)</t>
  </si>
  <si>
    <t xml:space="preserve">LSD.REF.AL.PARAM.13</t>
  </si>
  <si>
    <t xml:space="preserve">UNAUTH_IMMIGRANT_CAP</t>
  </si>
  <si>
    <t xml:space="preserve">AL / Unauthorized immigrant labor force cap (persons; dynamic adj)</t>
  </si>
  <si>
    <t xml:space="preserve">MPI/ACS/Pew 2023–2026 + 2026 proj.</t>
  </si>
  <si>
    <t xml:space="preserve">LSD.REF.AL.PARAM.14</t>
  </si>
  <si>
    <t xml:space="preserve">MIN_VARIANCE_TARGET</t>
  </si>
  <si>
    <t xml:space="preserve">Minimum variance threshold (persons) for group metrics</t>
  </si>
  <si>
    <t xml:space="preserve">Derived from OEWS/ACS variability</t>
  </si>
  <si>
    <t xml:space="preserve">LSD.REF.AL.PARAM.15</t>
  </si>
  <si>
    <t xml:space="preserve">FUSION_THRESHOLD</t>
  </si>
  <si>
    <t xml:space="preserve">Threshold for source reconciliation in fusion (decimal)</t>
  </si>
  <si>
    <t xml:space="preserve">Internal calibration</t>
  </si>
  <si>
    <t xml:space="preserve">LSD.REF.AL.PARAM.16</t>
  </si>
  <si>
    <t xml:space="preserve">CALIB_TOLERANCE</t>
  </si>
  <si>
    <t xml:space="preserve">Tolerance for iterative calibration (decimal)</t>
  </si>
  <si>
    <t xml:space="preserve">LSD.REF.AL.PARAM.17</t>
  </si>
  <si>
    <t xml:space="preserve">CIV_POP_TOTAL</t>
  </si>
  <si>
    <t xml:space="preserve">AL / Civilian noninstitutional population 16+ (persons)</t>
  </si>
  <si>
    <t xml:space="preserve">BLS/Census December 2025 (revised)</t>
  </si>
  <si>
    <t xml:space="preserve">LSD.REF.AL.PARAM.18</t>
  </si>
  <si>
    <t xml:space="preserve">CIV_POP_AUTH</t>
  </si>
  <si>
    <t xml:space="preserve">AL / Authorized immigrant civilian population 16+ (persons)</t>
  </si>
  <si>
    <t xml:space="preserve">MPI/ACS/FWD.us 2023–2026 estimates</t>
  </si>
  <si>
    <t xml:space="preserve">LSD.REF.AL.PARAM.19</t>
  </si>
  <si>
    <t xml:space="preserve">CIV_POP_UNAUTH</t>
  </si>
  <si>
    <t xml:space="preserve">AL / Unauthorized immigrant civilian population 16+ (persons)</t>
  </si>
  <si>
    <t xml:space="preserve">Medium</t>
  </si>
  <si>
    <t xml:space="preserve">MPI/Pew 2023–2026 estimates</t>
  </si>
  <si>
    <t xml:space="preserve">LSD.REF.AL.PARAM.20</t>
  </si>
  <si>
    <t xml:space="preserve">CIV_POP_AMER</t>
  </si>
  <si>
    <t xml:space="preserve">AL / American civilian population 16+ (persons)</t>
  </si>
  <si>
    <t xml:space="preserve">Residual (updated)</t>
  </si>
  <si>
    <t xml:space="preserve">LSD.REF.AL.PARAM.21</t>
  </si>
  <si>
    <t xml:space="preserve">BLS_ETPR_STATE_TARGET</t>
  </si>
  <si>
    <t xml:space="preserve">AL / Statewide employment-to-population ratio target (decimal)</t>
  </si>
  <si>
    <t xml:space="preserve">BLS LAUS December 2025 (revised)</t>
  </si>
  <si>
    <t xml:space="preserve">LSD.REF.AL.PARAM.22</t>
  </si>
  <si>
    <t xml:space="preserve">AUTH_IMMIGRANT_ETPR_ADJ_FACTOR</t>
  </si>
  <si>
    <t xml:space="preserve">Adjustment factor for authorized immigrants in ETPR</t>
  </si>
  <si>
    <t xml:space="preserve">Derived from MPI/ACS patterns</t>
  </si>
  <si>
    <t xml:space="preserve">LSD.REF.AL.PARAM.23</t>
  </si>
  <si>
    <t xml:space="preserve">UNAUTH_IMMIGRANT_ETPR_ADJ_FACTOR</t>
  </si>
  <si>
    <t xml:space="preserve">Adjustment factor for unauthorized immigrants in ETPR</t>
  </si>
  <si>
    <t xml:space="preserve">Derived from Pew/MPI consensus</t>
  </si>
  <si>
    <t xml:space="preserve">LSD.REF.AL.PARAM.24</t>
  </si>
  <si>
    <t xml:space="preserve">INTERDEPEND_FACTOR_ETPR_LFP</t>
  </si>
  <si>
    <t xml:space="preserve">Factor for ETPR-LFP cross-dependency (decimal)</t>
  </si>
  <si>
    <t xml:space="preserve">Derived from LAUS patterns</t>
  </si>
  <si>
    <t xml:space="preserve">LSD.REF.AL.PARAM.25</t>
  </si>
  <si>
    <t xml:space="preserve">GROUP_ETPR_ADJ_FACTOR_AUTH</t>
  </si>
  <si>
    <t xml:space="preserve">Group adjustment factor for authorized in ETPR (decimal)</t>
  </si>
  <si>
    <t xml:space="preserve">LSD.REF.AL.PARAM.26</t>
  </si>
  <si>
    <t xml:space="preserve">GROUP_ETPR_ADJ_FACTOR_UNAUTH</t>
  </si>
  <si>
    <t xml:space="preserve">Group adjustment factor for unauthorized in ETPR (decimal)</t>
  </si>
  <si>
    <t xml:space="preserve">LSD.REF.AL.PARAM.27</t>
  </si>
  <si>
    <t xml:space="preserve">INTERDEPEND_FACTOR_LFP_U3R</t>
  </si>
  <si>
    <t xml:space="preserve">Factor for LFP-U3R cross-dependency (decimal)</t>
  </si>
  <si>
    <t xml:space="preserve">LSD.REF.AL.PARAM.28</t>
  </si>
  <si>
    <t xml:space="preserve">LFPR_STATE_TARGET</t>
  </si>
  <si>
    <t xml:space="preserve">AL / Statewide LFPR target (decimal)</t>
  </si>
  <si>
    <t xml:space="preserve">BLS LAUS / AL Dept Labor Dec 2025</t>
  </si>
  <si>
    <t xml:space="preserve">LSD.REF.AL.PARAM.29</t>
  </si>
  <si>
    <t xml:space="preserve">INTERDEPEND_FACTOR_LFPR_ETPR_U3R</t>
  </si>
  <si>
    <t xml:space="preserve">Factor for LFPR-ETPR/U3R cross-dependency (decimal)</t>
  </si>
  <si>
    <t xml:space="preserve">LSD.REF.AL.PARAM.30</t>
  </si>
  <si>
    <t xml:space="preserve">UNAUTH_BOOST_AG</t>
  </si>
  <si>
    <t xml:space="preserve">Unauthorized boost factor for Agriculture (decimal)</t>
  </si>
  <si>
    <t xml:space="preserve">Derived from MPI/Pew patterns</t>
  </si>
  <si>
    <t xml:space="preserve">Updated for specificity (higher for manual sector differentiation)</t>
  </si>
  <si>
    <t xml:space="preserve">LSD.REF.AL.PARAM.31</t>
  </si>
  <si>
    <t xml:space="preserve">UNAUTH_BOOST_CONSTR</t>
  </si>
  <si>
    <t xml:space="preserve">Unauthorized boost factor for Construction (decimal)</t>
  </si>
  <si>
    <t xml:space="preserve">LSD.REF.AL.PARAM.32</t>
  </si>
  <si>
    <t xml:space="preserve">UNAUTH_BOOST_LEIS_HOSP</t>
  </si>
  <si>
    <t xml:space="preserve">Unauthorized boost factor for Leisure/Hospitality (decimal)</t>
  </si>
  <si>
    <t xml:space="preserve">Updated for specificity (higher for seasonal/manual differentiation)</t>
  </si>
  <si>
    <t xml:space="preserve">LSD.REF.AL.PARAM.33</t>
  </si>
  <si>
    <t xml:space="preserve">UNAUTH_BOOST_GOV</t>
  </si>
  <si>
    <t xml:space="preserve">Unauthorized boost factor for Government (decimal)</t>
  </si>
  <si>
    <t xml:space="preserve">Updated for specificity (lower for regulated sector differentiation)</t>
  </si>
  <si>
    <t xml:space="preserve">LSD.REF.AL.PARAM.34</t>
  </si>
  <si>
    <t xml:space="preserve">UNAUTH_BOOST_FIN</t>
  </si>
  <si>
    <t xml:space="preserve">Unauthorized boost factor for Finance and Insurance (decimal)</t>
  </si>
  <si>
    <t xml:space="preserve">New/added for specificity (low for professional sector)</t>
  </si>
  <si>
    <t xml:space="preserve">LSD.REF.AL.PARAM.35</t>
  </si>
  <si>
    <t xml:space="preserve">UNAUTH_BOOST_PROF_BUS</t>
  </si>
  <si>
    <t xml:space="preserve">Unauthorized boost factor for Professional/Business Services (dec.)</t>
  </si>
  <si>
    <t xml:space="preserve">LSD.REF.AL.PARAM.36</t>
  </si>
  <si>
    <t xml:space="preserve">UNAUTH_BOOST_ED_HEALTH</t>
  </si>
  <si>
    <t xml:space="preserve">Unauthorized boost factor for Ed/Health Services (decimal)</t>
  </si>
  <si>
    <t xml:space="preserve">LSD.REF.AL.PARAM.37</t>
  </si>
  <si>
    <t xml:space="preserve">UNAUTH_BOOST_INFO</t>
  </si>
  <si>
    <t xml:space="preserve">Unauthorized boost factor for Information (decimal)</t>
  </si>
  <si>
    <t xml:space="preserve">New/added for specificity (moderate for tech/media)</t>
  </si>
  <si>
    <t xml:space="preserve">LSD.REF.AL.PARAM.38</t>
  </si>
  <si>
    <t xml:space="preserve">UNAUTH_BOOST_REAL_ESTATE</t>
  </si>
  <si>
    <t xml:space="preserve">Unauthorized boost factor for Real Estate (decimal)</t>
  </si>
  <si>
    <t xml:space="preserve">New/added for specificity (moderate for housing-related)</t>
  </si>
  <si>
    <t xml:space="preserve">LSD.REF.AL.PARAM.39</t>
  </si>
  <si>
    <t xml:space="preserve">UNAUTH_BOOST_MANU</t>
  </si>
  <si>
    <t xml:space="preserve">Unauthorized boost factor for Manufacturing (decimal)</t>
  </si>
  <si>
    <t xml:space="preserve">New/added for specificity (moderate for industrial)</t>
  </si>
  <si>
    <t xml:space="preserve">LSD.REF.AL.PARAM.40</t>
  </si>
  <si>
    <t xml:space="preserve">UNAUTH_BOOST_TRADE_TRANS_UTIL</t>
  </si>
  <si>
    <t xml:space="preserve">Unauthorized boost factor for Trade/Trans/Utilities (decimal)</t>
  </si>
  <si>
    <t xml:space="preserve">New/added for specificity (moderate for trade/logistics)</t>
  </si>
  <si>
    <t xml:space="preserve">LSD.REF.AL.PARAM.41</t>
  </si>
  <si>
    <t xml:space="preserve">UNAUTH_BOOST_ADMIN_WASTE</t>
  </si>
  <si>
    <t xml:space="preserve">Unauthorized boost factor for Admin/Support/Waste Mgmt (decimal)</t>
  </si>
  <si>
    <t xml:space="preserve">New/added for specificity (high for temp/contractor)</t>
  </si>
  <si>
    <t xml:space="preserve">LSD.REF.AL.PARAM.42</t>
  </si>
  <si>
    <t xml:space="preserve">UNAUTH_BOOST_ARTS_REC</t>
  </si>
  <si>
    <t xml:space="preserve">Unauthorized boost factor for Arts/Entertainment/Recreation (dec.)</t>
  </si>
  <si>
    <t xml:space="preserve">New/added for specificity (high for seasonal/event)</t>
  </si>
  <si>
    <t xml:space="preserve">LSD.REF.AL.PARAM.43</t>
  </si>
  <si>
    <t xml:space="preserve">UNAUTH_BOOST_OTHER_SERV</t>
  </si>
  <si>
    <t xml:space="preserve">Unauthorized boost factor for Other Services (decimal)</t>
  </si>
  <si>
    <t xml:space="preserve">New/added for specificity (high for diverse manual)</t>
  </si>
  <si>
    <t xml:space="preserve">LSD.REF.AL.PARAM.44</t>
  </si>
  <si>
    <t xml:space="preserve">SECTOR_ASYMMETRY_FACTOR_AG</t>
  </si>
  <si>
    <t xml:space="preserve">Sector asymmetry factor for Agriculture (decimal)</t>
  </si>
  <si>
    <t xml:space="preserve">ACS-derived</t>
  </si>
  <si>
    <t xml:space="preserve">Updated for variation (lower for cyclical/manual)</t>
  </si>
  <si>
    <t xml:space="preserve">LSD.REF.AL.PARAM.45</t>
  </si>
  <si>
    <t xml:space="preserve">SECTOR_ASYMMETRY_FACTOR_MIN_LOG</t>
  </si>
  <si>
    <t xml:space="preserve">Sector asymmetry factor for Mining/Logging (decimal)</t>
  </si>
  <si>
    <t xml:space="preserve">LSD.REF.AL.PARAM.46</t>
  </si>
  <si>
    <t xml:space="preserve">SECTOR_ASYMMETRY_FACTOR_UTIL</t>
  </si>
  <si>
    <t xml:space="preserve">Sector asymmetry factor for Utilities (decimal)</t>
  </si>
  <si>
    <t xml:space="preserve">LSD.REF.AL.PARAM.47</t>
  </si>
  <si>
    <t xml:space="preserve">SECTOR_ASYMMETRY_FACTOR_CONSTR</t>
  </si>
  <si>
    <t xml:space="preserve">Sector asymmetry factor for Construction (decimal)</t>
  </si>
  <si>
    <t xml:space="preserve">LSD.REF.AL.PARAM.48</t>
  </si>
  <si>
    <t xml:space="preserve">SECTOR_ASYMMETRY_FACTOR_MANU</t>
  </si>
  <si>
    <t xml:space="preserve">Sector asymmetry factor for Manufacturing (decimal)</t>
  </si>
  <si>
    <t xml:space="preserve">Updated for variation (moderate for industrial)</t>
  </si>
  <si>
    <t xml:space="preserve">LSD.REF.AL.PARAM.49</t>
  </si>
  <si>
    <t xml:space="preserve">SECTOR_ASYMMETRY_FACTOR_TRADE_TRANS</t>
  </si>
  <si>
    <t xml:space="preserve">Sector asymmetry factor for Trade/Trans/Utilities (decimal)</t>
  </si>
  <si>
    <t xml:space="preserve">Updated for variation (moderate for trade/logistics)</t>
  </si>
  <si>
    <t xml:space="preserve">LSD.REF.AL.PARAM.50</t>
  </si>
  <si>
    <t xml:space="preserve">SECTOR_ASYMMETRY_FACTOR_INFO</t>
  </si>
  <si>
    <t xml:space="preserve">Sector asymmetry factor for Information (decimal)</t>
  </si>
  <si>
    <t xml:space="preserve">LSD.REF.AL.PARAM.51</t>
  </si>
  <si>
    <t xml:space="preserve">SECTOR_ASYMMETRY_FACTOR_FIN</t>
  </si>
  <si>
    <t xml:space="preserve">Sector asymmetry factor for Finance and Insurance (decimal)</t>
  </si>
  <si>
    <t xml:space="preserve">LSD.REF.AL.PARAM.52</t>
  </si>
  <si>
    <t xml:space="preserve">SECTOR_ASYMMETRY_FACTOR_REAL_ESTATE</t>
  </si>
  <si>
    <t xml:space="preserve">Sector asymmetry factor for Real Estate and Rental (decimal)</t>
  </si>
  <si>
    <t xml:space="preserve">LSD.REF.AL.PARAM.53</t>
  </si>
  <si>
    <t xml:space="preserve">SECTOR_ASYMMETRY_FACTOR_PROF_BUS</t>
  </si>
  <si>
    <t xml:space="preserve">Sector asymmetry factor for Professional/Business Services (dec.)</t>
  </si>
  <si>
    <t xml:space="preserve">LSD.REF.AL.PARAM.54</t>
  </si>
  <si>
    <t xml:space="preserve">SECTOR_ASYMMETRY_FACTOR_ADMIN_WASTE</t>
  </si>
  <si>
    <t xml:space="preserve">Sector asymmetry factor for Admin/Support/Waste Mgmt (decimal)</t>
  </si>
  <si>
    <t xml:space="preserve">Updated for variation (lower for temp/contractor)</t>
  </si>
  <si>
    <t xml:space="preserve">LSD.REF.AL.PARAM.55</t>
  </si>
  <si>
    <t xml:space="preserve">SECTOR_ASYMMETRY_FACTOR_ED_SERV</t>
  </si>
  <si>
    <t xml:space="preserve">Sector asymmetry factor for Educational Services (decimal)</t>
  </si>
  <si>
    <t xml:space="preserve">LSD.REF.AL.PARAM.56</t>
  </si>
  <si>
    <t xml:space="preserve">SECTOR_ASYMMETRY_FACTOR_HEALTH</t>
  </si>
  <si>
    <t xml:space="preserve">Sector asymmetry factor for Health Care and Social Assistance (dec.)</t>
  </si>
  <si>
    <t xml:space="preserve">LSD.REF.AL.PARAM.57</t>
  </si>
  <si>
    <t xml:space="preserve">SECTOR_ASYMMETRY_FACTOR_ARTS_REC</t>
  </si>
  <si>
    <t xml:space="preserve">Sector asymmetry factor for Arts/Entertainment/Recreation (dec.)</t>
  </si>
  <si>
    <t xml:space="preserve">Updated for variation (lower for seasonal/event)</t>
  </si>
  <si>
    <t xml:space="preserve">LSD.REF.AL.PARAM.58</t>
  </si>
  <si>
    <t xml:space="preserve">SECTOR_ASYMMETRY_FACTOR_ACCOM_FOOD</t>
  </si>
  <si>
    <t xml:space="preserve">Sector asymmetry factor for Accommodation and Food Services (dec.)</t>
  </si>
  <si>
    <t xml:space="preserve">Updated for variation (lower for seasonal/manual)</t>
  </si>
  <si>
    <t xml:space="preserve">LSD.REF.AL.PARAM.59</t>
  </si>
  <si>
    <t xml:space="preserve">SECTOR_ASYMMETRY_FACTOR_OTHER_SERV</t>
  </si>
  <si>
    <t xml:space="preserve">Sector asymmetry factor for Other Services (decimal)</t>
  </si>
  <si>
    <t xml:space="preserve">Updated for variation (lower for diverse manual)</t>
  </si>
  <si>
    <t xml:space="preserve">LSD.REF.AL.PARAM.60</t>
  </si>
  <si>
    <t xml:space="preserve">SECTOR_ASYMMETRY_FACTOR_PUBLIC_ADMIN</t>
  </si>
  <si>
    <t xml:space="preserve">Sector asymmetry factor for Public Administration (decimal)</t>
  </si>
  <si>
    <t xml:space="preserve">LSD.REF.AL.PARAM.61</t>
  </si>
  <si>
    <t xml:space="preserve">UNAUTH_BOOST_AG_ETPR</t>
  </si>
  <si>
    <t xml:space="preserve">Unauthorized boost factor for Agriculture in ETPR (decimal)</t>
  </si>
  <si>
    <t xml:space="preserve">LSD.REF.AL.PARAM.62</t>
  </si>
  <si>
    <t xml:space="preserve">UNAUTH_BOOST_CONSTR_ETPR</t>
  </si>
  <si>
    <t xml:space="preserve">Unauthorized boost factor for Construction in ETPR (decimal)</t>
  </si>
  <si>
    <t xml:space="preserve">LSD.REF.AL.PARAM.63</t>
  </si>
  <si>
    <t xml:space="preserve">UNAUTH_BOOST_LEIS_HOSP_ETPR</t>
  </si>
  <si>
    <t xml:space="preserve">Unauthorized boost factor for Leisure/Hospitality in ETPR (dec.)</t>
  </si>
  <si>
    <t xml:space="preserve">LSD.REF.AL.PARAM.64</t>
  </si>
  <si>
    <t xml:space="preserve">UNAUTH_BOOST_GOV_ETPR</t>
  </si>
  <si>
    <t xml:space="preserve">Unauthorized boost factor for Government in ETPR (decimal)</t>
  </si>
  <si>
    <t xml:space="preserve">LSD.REF.AL.PARAM.65</t>
  </si>
  <si>
    <t xml:space="preserve">SECTOR_ASYMMETRY_FACTOR_AG_ETPR</t>
  </si>
  <si>
    <t xml:space="preserve">Sector asymmetry factor for Agriculture in ETPR (decimal)</t>
  </si>
  <si>
    <t xml:space="preserve">LSD.REF.AL.PARAM.66</t>
  </si>
  <si>
    <t xml:space="preserve">SECTOR_ASYMMETRY_FACTOR_CONSTR_ETPR</t>
  </si>
  <si>
    <t xml:space="preserve">Sector asymmetry factor for Construction in ETPR (decimal)</t>
  </si>
  <si>
    <t xml:space="preserve">LSD.REF.AL.PARAM.67</t>
  </si>
  <si>
    <t xml:space="preserve">SECTOR_ASYMMETRY_FACTOR_LEIS_HOSP_ETPR</t>
  </si>
  <si>
    <t xml:space="preserve">Sector asymmetry factor for Leisure/Hospitality in ETPR (decimal)</t>
  </si>
  <si>
    <t xml:space="preserve">LSD.REF.AL.PARAM.68</t>
  </si>
  <si>
    <t xml:space="preserve">SECTOR_ASYMMETRY_FACTOR_ADMIN_WASTE_ETPR</t>
  </si>
  <si>
    <t xml:space="preserve">Sector asymmetry factor for Admin/Support/Waste Mgmt in ETPR (dec.)</t>
  </si>
  <si>
    <t xml:space="preserve">LSD.REF.AL.PARAM.69</t>
  </si>
  <si>
    <t xml:space="preserve">SECTOR_ASYMMETRY_FACTOR_ARTS_REC_ETPR</t>
  </si>
  <si>
    <t xml:space="preserve">Sector asymmetry factor for Arts/Entertainment/Recreation in ETPR (dec.)</t>
  </si>
  <si>
    <t xml:space="preserve">LSD.REF.AL.PARAM.70</t>
  </si>
  <si>
    <t xml:space="preserve">SECTOR_ASYMMETRY_FACTOR_OTHER_SERV_ETPR</t>
  </si>
  <si>
    <t xml:space="preserve">Sector asymmetry factor for Other Services in ETPR (decimal)</t>
  </si>
  <si>
    <t xml:space="preserve">LSD.REF.AL.PARAM.71</t>
  </si>
  <si>
    <t xml:space="preserve">SECTOR_ASYMMETRY_FACTOR_MANU_ETPR</t>
  </si>
  <si>
    <t xml:space="preserve">Sector asymmetry factor for Manufacturing in ETPR (decimal)</t>
  </si>
  <si>
    <t xml:space="preserve">LSD.REF.AL.PARAM.72</t>
  </si>
  <si>
    <t xml:space="preserve">SECTOR_ASYMMETRY_FACTOR_TRADE_TRANS_ETPR</t>
  </si>
  <si>
    <t xml:space="preserve">Sector asymmetry factor for Trade/Transportation/Utilities in ETPR (dec.)</t>
  </si>
  <si>
    <t xml:space="preserve">LSD.REF.AL.PARAM.73</t>
  </si>
  <si>
    <t xml:space="preserve">SECTOR_ASYMMETRY_FACTOR_INFO_ETPR</t>
  </si>
  <si>
    <t xml:space="preserve">Sector asymmetry factor for Information in ETPR (decimal)</t>
  </si>
  <si>
    <t xml:space="preserve">LSD.REF.AL.PARAM.74</t>
  </si>
  <si>
    <t xml:space="preserve">SECTOR_ASYMMETRY_FACTOR_REAL_ESTATE_ETPR</t>
  </si>
  <si>
    <t xml:space="preserve">Sector asymmetry factor for Real Estate and Rental in ETPR (dec.)</t>
  </si>
  <si>
    <t xml:space="preserve">LSD.REF.AL.PARAM.75</t>
  </si>
  <si>
    <t xml:space="preserve">SECTOR_ASYMMETRY_FACTOR_FIN_ETPR</t>
  </si>
  <si>
    <t xml:space="preserve">Sector asymmetry factor for Finance and Insurance in ETPR (dec.)</t>
  </si>
  <si>
    <t xml:space="preserve">LSD.REF.AL.PARAM.76</t>
  </si>
  <si>
    <t xml:space="preserve">SECTOR_ASYMMETRY_FACTOR_PROF_BUS_ETPR</t>
  </si>
  <si>
    <t xml:space="preserve">Sector asymmetry factor for Professional/Business Services in ETPR (dec.)</t>
  </si>
  <si>
    <t xml:space="preserve">LSD.REF.AL.PARAM.77</t>
  </si>
  <si>
    <t xml:space="preserve">SECTOR_ASYMMETRY_FACTOR_ED_SERV_ETPR</t>
  </si>
  <si>
    <t xml:space="preserve">Sector asymmetry factor for Educational Services in ETPR (decimal)</t>
  </si>
  <si>
    <t xml:space="preserve">LSD.REF.AL.PARAM.78</t>
  </si>
  <si>
    <t xml:space="preserve">SECTOR_ASYMMETRY_FACTOR_HEALTH_ETPR</t>
  </si>
  <si>
    <t xml:space="preserve">Sector asymmetry factor for Health Care and Social Assistance in ETPR (dec.)</t>
  </si>
  <si>
    <t xml:space="preserve">LSD.REF.AL.PARAM.79</t>
  </si>
  <si>
    <t xml:space="preserve">SECTOR_ASYMMETRY_FACTOR_MIN_LOG_ETPR</t>
  </si>
  <si>
    <t xml:space="preserve">Sector asymmetry factor for Mining/Logging in ETPR (decimal)</t>
  </si>
  <si>
    <t xml:space="preserve">LSD.REF.AL.PARAM.80</t>
  </si>
  <si>
    <t xml:space="preserve">SECTOR_ASYMMETRY_FACTOR_UTIL_ETPR</t>
  </si>
  <si>
    <t xml:space="preserve">Sector asymmetry factor for Utilities in ETPR (decimal)</t>
  </si>
  <si>
    <t xml:space="preserve">LSD.REF.AL.PARAM.81</t>
  </si>
  <si>
    <t xml:space="preserve">SECTOR_ASYMMETRY_FACTOR_WHOLESALE_ETPR</t>
  </si>
  <si>
    <t xml:space="preserve">Sector asymmetry factor for Wholesale Trade in ETPR (decimal)</t>
  </si>
  <si>
    <t xml:space="preserve">LSD.REF.AL.PARAM.82</t>
  </si>
  <si>
    <t xml:space="preserve">SECTOR_ASYMMETRY_FACTOR_RETAIL_MOTOR_ETPR</t>
  </si>
  <si>
    <t xml:space="preserve">Sector asymmetry factor for Retail (Motor Vehicle, Electronics) in ETPR (dec.)</t>
  </si>
  <si>
    <t xml:space="preserve">LSD.REF.AL.PARAM.83</t>
  </si>
  <si>
    <t xml:space="preserve">SECTOR_ASYMMETRY_FACTOR_RETAIL_FOOD_ETPR</t>
  </si>
  <si>
    <t xml:space="preserve">Sector asymmetry factor for Retail (Food, Clothing, etc.) in ETPR (dec.)</t>
  </si>
  <si>
    <t xml:space="preserve">LSD.REF.AL.PARAM.84</t>
  </si>
  <si>
    <t xml:space="preserve">SECTOR_ASYMMETRY_FACTOR_TRANSPORT_ETPR</t>
  </si>
  <si>
    <t xml:space="preserve">Sector asymmetry factor for Transportation in ETPR (decimal)</t>
  </si>
  <si>
    <t xml:space="preserve">LSD.REF.AL.PARAM.85</t>
  </si>
  <si>
    <t xml:space="preserve">SECTOR_ASYMMETRY_FACTOR_WAREHOUSING_ETPR</t>
  </si>
  <si>
    <t xml:space="preserve">Sector asymmetry factor for Warehousing and Storage in ETPR (dec.)</t>
  </si>
  <si>
    <t xml:space="preserve">LSD.REF.AL.PARAM.86</t>
  </si>
  <si>
    <t xml:space="preserve">SECTOR_ASYMMETRY_FACTOR_PUBLIC_ADMIN_ETPR</t>
  </si>
  <si>
    <t xml:space="preserve">Sector asymmetry factor for Public Administration in ETPR (dec.)</t>
  </si>
  <si>
    <t xml:space="preserve">LSD.REF.AL.PARAM.87</t>
  </si>
  <si>
    <t xml:space="preserve">U3R_STATE_TARGET</t>
  </si>
  <si>
    <t xml:space="preserve">AL Statewide U3R target (decimal)</t>
  </si>
  <si>
    <t xml:space="preserve">BLS LAUS Dec 2025 (revised)</t>
  </si>
  <si>
    <t xml:space="preserve">New; official benchmark for calibration.</t>
  </si>
  <si>
    <t xml:space="preserve">LSD.REF.AL.PARAM.88</t>
  </si>
  <si>
    <t xml:space="preserve">U3R_ADJ_GROUP</t>
  </si>
  <si>
    <t xml:space="preserve">General group adjustment for U3R (decimal; higher for immigrants)</t>
  </si>
  <si>
    <t xml:space="preserve">New; applies to auth/unauth columns.</t>
  </si>
  <si>
    <t xml:space="preserve">LSD.REF.AL.PARAM.89</t>
  </si>
  <si>
    <t xml:space="preserve">U3R_VARIANCE_SEC[1]</t>
  </si>
  <si>
    <t xml:space="preserve">U3R variance bound for Agriculture (decimal)</t>
  </si>
  <si>
    <t xml:space="preserve">New; higher in cyclical sectors.</t>
  </si>
  <si>
    <t xml:space="preserve">LSD.REF.AL.PARAM.90</t>
  </si>
  <si>
    <t xml:space="preserve">U3R_VARIANCE_SEC[2]</t>
  </si>
  <si>
    <t xml:space="preserve">U3R variance bound for Mining (decimal)</t>
  </si>
  <si>
    <t xml:space="preserve">New; sector-specific for error bounding.</t>
  </si>
  <si>
    <t xml:space="preserve">LSD.REF.AL.PARAM.91</t>
  </si>
  <si>
    <t xml:space="preserve">U3R_VARIANCE_SEC[3]</t>
  </si>
  <si>
    <t xml:space="preserve">U3R variance bound for Utilities (decimal)</t>
  </si>
  <si>
    <t xml:space="preserve">New; lower in stable sectors.</t>
  </si>
  <si>
    <t xml:space="preserve">LSD.REF.AL.PARAM.92</t>
  </si>
  <si>
    <t xml:space="preserve">U3R_VARIANCE_SEC[4]</t>
  </si>
  <si>
    <t xml:space="preserve">U3R variance bound for Construction (decimal)</t>
  </si>
  <si>
    <t xml:space="preserve">New; high for cyclical/manual.</t>
  </si>
  <si>
    <t xml:space="preserve">LSD.REF.AL.PARAM.93</t>
  </si>
  <si>
    <t xml:space="preserve">U3R_VARIANCE_SEC[5]</t>
  </si>
  <si>
    <t xml:space="preserve">U3R variance bound for Manufacturing (Food, Textile) (decimal)</t>
  </si>
  <si>
    <t xml:space="preserve">New; moderate for industrial.</t>
  </si>
  <si>
    <t xml:space="preserve">LSD.REF.AL.PARAM.94</t>
  </si>
  <si>
    <t xml:space="preserve">U3R_VARIANCE_SEC[6]</t>
  </si>
  <si>
    <t xml:space="preserve">U3R variance bound for Manufacturing (Wood, Paper) (decimal)</t>
  </si>
  <si>
    <t xml:space="preserve">LSD.REF.AL.PARAM.95</t>
  </si>
  <si>
    <t xml:space="preserve">U3R_VARIANCE_SEC[7]</t>
  </si>
  <si>
    <t xml:space="preserve">U3R variance bound for Manufacturing (Machinery, Transport) (decimal)</t>
  </si>
  <si>
    <t xml:space="preserve">New; lower for durable goods.</t>
  </si>
  <si>
    <t xml:space="preserve">LSD.REF.AL.PARAM.96</t>
  </si>
  <si>
    <t xml:space="preserve">U3R_VARIANCE_SEC[8]</t>
  </si>
  <si>
    <t xml:space="preserve">U3R variance bound for Wholesale Trade (decimal)</t>
  </si>
  <si>
    <t xml:space="preserve">New; stable trade sector.</t>
  </si>
  <si>
    <t xml:space="preserve">LSD.REF.AL.PARAM.97</t>
  </si>
  <si>
    <t xml:space="preserve">U3R_VARIANCE_SEC[9]</t>
  </si>
  <si>
    <t xml:space="preserve">U3R variance bound for Retail (Motor Vehicle, Electronics) (decimal)</t>
  </si>
  <si>
    <t xml:space="preserve">New; higher for consumer cyclical.</t>
  </si>
  <si>
    <t xml:space="preserve">LSD.REF.AL.PARAM.98</t>
  </si>
  <si>
    <t xml:space="preserve">U3R_VARIANCE_SEC[10]</t>
  </si>
  <si>
    <t xml:space="preserve">U3R variance bound for Retail (Food, Clothing) (decimal)</t>
  </si>
  <si>
    <t xml:space="preserve">New; high for general retail.</t>
  </si>
  <si>
    <t xml:space="preserve">LSD.REF.AL.PARAM.99</t>
  </si>
  <si>
    <t xml:space="preserve">U3R_VARIANCE_SEC[11]</t>
  </si>
  <si>
    <t xml:space="preserve">U3R variance bound for Transportation (decimal)</t>
  </si>
  <si>
    <t xml:space="preserve">New; moderate for logistics.</t>
  </si>
  <si>
    <t xml:space="preserve">LSD.REF.AL.PARAM.100</t>
  </si>
  <si>
    <t xml:space="preserve">U3R_VARIANCE_SEC[12]</t>
  </si>
  <si>
    <t xml:space="preserve">U3R variance bound for Warehousing and Storage (decimal)</t>
  </si>
  <si>
    <t xml:space="preserve">New; higher for supply chain volatility.</t>
  </si>
  <si>
    <t xml:space="preserve">LSD.REF.AL.PARAM.101</t>
  </si>
  <si>
    <t xml:space="preserve">U3R_VARIANCE_SEC[13]</t>
  </si>
  <si>
    <t xml:space="preserve">U3R variance bound for Information (decimal)</t>
  </si>
  <si>
    <t xml:space="preserve">New; low for tech sector.</t>
  </si>
  <si>
    <t xml:space="preserve">LSD.REF.AL.PARAM.102</t>
  </si>
  <si>
    <t xml:space="preserve">U3R_VARIANCE_SEC[14]</t>
  </si>
  <si>
    <t xml:space="preserve">U3R variance bound for Finance and Insurance (decimal)</t>
  </si>
  <si>
    <t xml:space="preserve">New; very stable.</t>
  </si>
  <si>
    <t xml:space="preserve">LSD.REF.AL.PARAM.103</t>
  </si>
  <si>
    <t xml:space="preserve">U3R_VARIANCE_SEC[15]</t>
  </si>
  <si>
    <t xml:space="preserve">U3R variance bound for Real Estate and Rental (decimal)</t>
  </si>
  <si>
    <t xml:space="preserve">New; low but housing-sensitive.</t>
  </si>
  <si>
    <t xml:space="preserve">LSD.REF.AL.PARAM.104</t>
  </si>
  <si>
    <t xml:space="preserve">U3R_VARIANCE_SEC[16]</t>
  </si>
  <si>
    <t xml:space="preserve">U3R variance bound for Professional Services (decimal)</t>
  </si>
  <si>
    <t xml:space="preserve">New; highly stable.</t>
  </si>
  <si>
    <t xml:space="preserve">LSD.REF.AL.PARAM.105</t>
  </si>
  <si>
    <t xml:space="preserve">U3R_VARIANCE_SEC[17]</t>
  </si>
  <si>
    <t xml:space="preserve">U3R variance bound for Administrative and Support (decimal)</t>
  </si>
  <si>
    <t xml:space="preserve">New; moderate for temp labor.</t>
  </si>
  <si>
    <t xml:space="preserve">LSD.REF.AL.PARAM.106</t>
  </si>
  <si>
    <t xml:space="preserve">U3R_VARIANCE_SEC[18]</t>
  </si>
  <si>
    <t xml:space="preserve">U3R variance bound for Educational Services (decimal)</t>
  </si>
  <si>
    <t xml:space="preserve">New; very low, seasonal academic.</t>
  </si>
  <si>
    <t xml:space="preserve">LSD.REF.AL.PARAM.107</t>
  </si>
  <si>
    <t xml:space="preserve">U3R_VARIANCE_SEC[19]</t>
  </si>
  <si>
    <t xml:space="preserve">U3R variance bound for Health Care and Social Assistance (decimal)</t>
  </si>
  <si>
    <t xml:space="preserve">New; stable essential services.</t>
  </si>
  <si>
    <t xml:space="preserve">LSD.REF.AL.PARAM.108</t>
  </si>
  <si>
    <t xml:space="preserve">U3R_VARIANCE_SEC[20]</t>
  </si>
  <si>
    <t xml:space="preserve">U3R variance bound for Arts, Entertainment, Recreation (decimal)</t>
  </si>
  <si>
    <t xml:space="preserve">New; high for discretionary.</t>
  </si>
  <si>
    <t xml:space="preserve">LSD.REF.AL.PARAM.109</t>
  </si>
  <si>
    <t xml:space="preserve">U3R_VARIANCE_SEC[21]</t>
  </si>
  <si>
    <t xml:space="preserve">U3R variance bound for Accommodation and Food Services (decimal)</t>
  </si>
  <si>
    <t xml:space="preserve">New; high seasonal.</t>
  </si>
  <si>
    <t xml:space="preserve">LSD.REF.AL.PARAM.110</t>
  </si>
  <si>
    <t xml:space="preserve">U3R_VARIANCE_SEC[22]</t>
  </si>
  <si>
    <t xml:space="preserve">U3R variance bound for Other Services (decimal)</t>
  </si>
  <si>
    <t xml:space="preserve">New; moderate diverse.</t>
  </si>
  <si>
    <t xml:space="preserve">LSD.REF.AL.PARAM.111</t>
  </si>
  <si>
    <t xml:space="preserve">U3R_VARIANCE_SEC[23]</t>
  </si>
  <si>
    <t xml:space="preserve">U3R variance bound for Public Administration (decimal)</t>
  </si>
  <si>
    <t xml:space="preserve">New; lowest, government stability.</t>
  </si>
  <si>
    <t xml:space="preserve">LSD.REF.AL.PARAM.112</t>
  </si>
  <si>
    <t xml:space="preserve">U3R_ASYMM_SEC[1]</t>
  </si>
  <si>
    <t xml:space="preserve">Asymmetry factor for Agriculture in U3R (decimal)</t>
  </si>
  <si>
    <t xml:space="preserve">New; array for sectors; lower for cyclical.</t>
  </si>
  <si>
    <t xml:space="preserve">LSD.REF.AL.PARAM.113</t>
  </si>
  <si>
    <t xml:space="preserve">U3R_ASYMM_SEC[2]</t>
  </si>
  <si>
    <t xml:space="preserve">Asymmetry factor for Mining in U3R (decimal)</t>
  </si>
  <si>
    <t xml:space="preserve">New; moderate-high volatility.</t>
  </si>
  <si>
    <t xml:space="preserve">LSD.REF.AL.PARAM.114</t>
  </si>
  <si>
    <t xml:space="preserve">U3R_ASYMM_SEC[3]</t>
  </si>
  <si>
    <t xml:space="preserve">Asymmetry factor for Utilities in U3R (decimal)</t>
  </si>
  <si>
    <t xml:space="preserve">New; near-neutral stable.</t>
  </si>
  <si>
    <t xml:space="preserve">LSD.REF.AL.PARAM.115</t>
  </si>
  <si>
    <t xml:space="preserve">U3R_ASYMM_SEC[4]</t>
  </si>
  <si>
    <t xml:space="preserve">Asymmetry factor for Construction in U3R (decimal)</t>
  </si>
  <si>
    <t xml:space="preserve">New; lowest for high cyclical.</t>
  </si>
  <si>
    <t xml:space="preserve">LSD.REF.AL.PARAM.116</t>
  </si>
  <si>
    <t xml:space="preserve">U3R_ASYMM_SEC[5]</t>
  </si>
  <si>
    <t xml:space="preserve">Asymmetry factor for Manufacturing (Food, Textile) in U3R (decimal)</t>
  </si>
  <si>
    <t xml:space="preserve">New; moderate industrial.</t>
  </si>
  <si>
    <t xml:space="preserve">LSD.REF.AL.PARAM.117</t>
  </si>
  <si>
    <t xml:space="preserve">U3R_ASYMM_SEC[6]</t>
  </si>
  <si>
    <t xml:space="preserve">Asymmetry factor for Manufacturing (Wood, Paper) in U3R (decimal)</t>
  </si>
  <si>
    <t xml:space="preserve">New; slightly higher subsector.</t>
  </si>
  <si>
    <t xml:space="preserve">LSD.REF.AL.PARAM.118</t>
  </si>
  <si>
    <t xml:space="preserve">U3R_ASYMM_SEC[7]</t>
  </si>
  <si>
    <t xml:space="preserve">Asymmetry factor for Manufacturing (Machinery, Transport) in U3R (decimal)</t>
  </si>
  <si>
    <t xml:space="preserve">New; durable goods stability.</t>
  </si>
  <si>
    <t xml:space="preserve">LSD.REF.AL.PARAM.119</t>
  </si>
  <si>
    <t xml:space="preserve">U3R_ASYMM_SEC[8]</t>
  </si>
  <si>
    <t xml:space="preserve">Asymmetry factor for Wholesale Trade in U3R (decimal)</t>
  </si>
  <si>
    <t xml:space="preserve">New; stable B2B.</t>
  </si>
  <si>
    <t xml:space="preserve">LSD.REF.AL.PARAM.120</t>
  </si>
  <si>
    <t xml:space="preserve">U3R_ASYMM_SEC[9]</t>
  </si>
  <si>
    <t xml:space="preserve">Asymmetry factor for Retail (Motor Vehicle, Electronics) in U3R (decimal)</t>
  </si>
  <si>
    <t xml:space="preserve">New; cyclical consumer.</t>
  </si>
  <si>
    <t xml:space="preserve">LSD.REF.AL.PARAM.121</t>
  </si>
  <si>
    <t xml:space="preserve">U3R_ASYMM_SEC[10]</t>
  </si>
  <si>
    <t xml:space="preserve">Asymmetry factor for Retail (Food, Clothing) in U3R (decimal)</t>
  </si>
  <si>
    <t xml:space="preserve">New; high volume volatility.</t>
  </si>
  <si>
    <t xml:space="preserve">LSD.REF.AL.PARAM.122</t>
  </si>
  <si>
    <t xml:space="preserve">U3R_ASYMM_SEC[11]</t>
  </si>
  <si>
    <t xml:space="preserve">Asymmetry factor for Transportation in U3R (decimal)</t>
  </si>
  <si>
    <t xml:space="preserve">New; logistics sensitivity.</t>
  </si>
  <si>
    <t xml:space="preserve">LSD.REF.AL.PARAM.123</t>
  </si>
  <si>
    <t xml:space="preserve">U3R_ASYMM_SEC[12]</t>
  </si>
  <si>
    <t xml:space="preserve">Asymmetry factor for Warehousing in U3R (decimal)</t>
  </si>
  <si>
    <t xml:space="preserve">New; supply chain variance.</t>
  </si>
  <si>
    <t xml:space="preserve">LSD.REF.AL.PARAM.124</t>
  </si>
  <si>
    <t xml:space="preserve">U3R_ASYMM_SEC[13]</t>
  </si>
  <si>
    <t xml:space="preserve">Asymmetry factor for Information in U3R (decimal)</t>
  </si>
  <si>
    <t xml:space="preserve">New; tech resilience.</t>
  </si>
  <si>
    <t xml:space="preserve">LSD.REF.AL.PARAM.125</t>
  </si>
  <si>
    <t xml:space="preserve">U3R_ASYMM_SEC[14]</t>
  </si>
  <si>
    <t xml:space="preserve">Asymmetry factor for Finance in U3R (decimal)</t>
  </si>
  <si>
    <t xml:space="preserve">New; counter-cyclical.</t>
  </si>
  <si>
    <t xml:space="preserve">LSD.REF.AL.PARAM.126</t>
  </si>
  <si>
    <t xml:space="preserve">U3R_ASYMM_SEC[15]</t>
  </si>
  <si>
    <t xml:space="preserve">Asymmetry factor for Real Estate in U3R (decimal)</t>
  </si>
  <si>
    <t xml:space="preserve">New; housing lag.</t>
  </si>
  <si>
    <t xml:space="preserve">LSD.REF.AL.PARAM.127</t>
  </si>
  <si>
    <t xml:space="preserve">U3R_ASYMM_SEC[16]</t>
  </si>
  <si>
    <t xml:space="preserve">Asymmetry factor for Professional Services in U3R (decimal)</t>
  </si>
  <si>
    <t xml:space="preserve">New; high skill stability.</t>
  </si>
  <si>
    <t xml:space="preserve">LSD.REF.AL.PARAM.128</t>
  </si>
  <si>
    <t xml:space="preserve">U3R_ASYMM_SEC[17]</t>
  </si>
  <si>
    <t xml:space="preserve">Asymmetry factor for Administrative in U3R (decimal)</t>
  </si>
  <si>
    <t xml:space="preserve">New; temp labor volatility.</t>
  </si>
  <si>
    <t xml:space="preserve">LSD.REF.AL.PARAM.129</t>
  </si>
  <si>
    <t xml:space="preserve">U3R_ASYMM_SEC[18]</t>
  </si>
  <si>
    <t xml:space="preserve">Asymmetry factor for Educational Services in U3R (decimal)</t>
  </si>
  <si>
    <t xml:space="preserve">New; academic cycles.</t>
  </si>
  <si>
    <t xml:space="preserve">LSD.REF.AL.PARAM.130</t>
  </si>
  <si>
    <t xml:space="preserve">U3R_ASYMM_SEC[19]</t>
  </si>
  <si>
    <t xml:space="preserve">Asymmetry factor for Health Care in U3R (decimal)</t>
  </si>
  <si>
    <t xml:space="preserve">New; essential low variance.</t>
  </si>
  <si>
    <t xml:space="preserve">LSD.REF.AL.PARAM.131</t>
  </si>
  <si>
    <t xml:space="preserve">U3R_ASYMM_SEC[20]</t>
  </si>
  <si>
    <t xml:space="preserve">Asymmetry factor for Arts/Entertainment in U3R (decimal)</t>
  </si>
  <si>
    <t xml:space="preserve">New; discretionary high.</t>
  </si>
  <si>
    <t xml:space="preserve">LSD.REF.AL.PARAM.132</t>
  </si>
  <si>
    <t xml:space="preserve">U3R_ASYMM_SEC[21]</t>
  </si>
  <si>
    <t xml:space="preserve">Asymmetry factor for Accommodation/Food in U3R (decimal)</t>
  </si>
  <si>
    <t xml:space="preserve">New; highest seasonal.</t>
  </si>
  <si>
    <t xml:space="preserve">LSD.REF.AL.PARAM.133</t>
  </si>
  <si>
    <t xml:space="preserve">U3R_ASYMM_SEC[22]</t>
  </si>
  <si>
    <t xml:space="preserve">Asymmetry factor for Other Services in U3R (decimal)</t>
  </si>
  <si>
    <t xml:space="preserve">New; diverse moderate.</t>
  </si>
  <si>
    <t xml:space="preserve">LSD.REF.AL.PARAM.134</t>
  </si>
  <si>
    <t xml:space="preserve">U3R_ASYMM_SEC[23]</t>
  </si>
  <si>
    <t xml:space="preserve">Asymmetry factor for Public Administration in U3R (decimal)</t>
  </si>
  <si>
    <t xml:space="preserve">New; government buffer.</t>
  </si>
  <si>
    <t xml:space="preserve">LSD.REF.AL.PARAM.135</t>
  </si>
  <si>
    <t xml:space="preserve">UNAUTH_BOOST_U3R[1]</t>
  </si>
  <si>
    <t xml:space="preserve">Unauthorized U3R boost for Agriculture (decimal)</t>
  </si>
  <si>
    <t xml:space="preserve">Derived from Pew/MPI</t>
  </si>
  <si>
    <t xml:space="preserve">New; elevates unauth U3R in manual sectors.</t>
  </si>
  <si>
    <t xml:space="preserve">LSD.REF.AL.PARAM.136</t>
  </si>
  <si>
    <t xml:space="preserve">UNAUTH_BOOST_U3R[2]</t>
  </si>
  <si>
    <t xml:space="preserve">Unauthorized U3R boost for Mining (decimal)</t>
  </si>
  <si>
    <t xml:space="preserve">New; resource extraction.</t>
  </si>
  <si>
    <t xml:space="preserve">LSD.REF.AL.PARAM.137</t>
  </si>
  <si>
    <t xml:space="preserve">UNAUTH_BOOST_U3R[3]</t>
  </si>
  <si>
    <t xml:space="preserve">Unauthorized U3R boost for Utilities (decimal)</t>
  </si>
  <si>
    <t xml:space="preserve">New; low regulated.</t>
  </si>
  <si>
    <t xml:space="preserve">LSD.REF.AL.PARAM.138</t>
  </si>
  <si>
    <t xml:space="preserve">UNAUTH_BOOST_U3R[4]</t>
  </si>
  <si>
    <t xml:space="preserve">Unauthorized U3R boost for Construction (decimal)</t>
  </si>
  <si>
    <t xml:space="preserve">New; highest manual/cyclical.</t>
  </si>
  <si>
    <t xml:space="preserve">LSD.REF.AL.PARAM.139</t>
  </si>
  <si>
    <t xml:space="preserve">UNAUTH_BOOST_U3R[5]</t>
  </si>
  <si>
    <t xml:space="preserve">Unauthorized U3R boost for Manufacturing (Food, Textile) (decimal)</t>
  </si>
  <si>
    <t xml:space="preserve">New; labor-intensive subsector.</t>
  </si>
  <si>
    <t xml:space="preserve">LSD.REF.AL.PARAM.140</t>
  </si>
  <si>
    <t xml:space="preserve">UNAUTH_BOOST_U3R[6]</t>
  </si>
  <si>
    <t xml:space="preserve">Unauthorized U3R boost for Manufacturing (Wood, Paper) (decimal)</t>
  </si>
  <si>
    <t xml:space="preserve">LSD.REF.AL.PARAM.141</t>
  </si>
  <si>
    <t xml:space="preserve">UNAUTH_BOOST_U3R[7]</t>
  </si>
  <si>
    <t xml:space="preserve">Unauthorized U3R boost for Manufacturing (Machinery, Transport) (decimal)</t>
  </si>
  <si>
    <t xml:space="preserve">New; skilled but some unauth.</t>
  </si>
  <si>
    <t xml:space="preserve">LSD.REF.AL.PARAM.142</t>
  </si>
  <si>
    <t xml:space="preserve">UNAUTH_BOOST_U3R[8]</t>
  </si>
  <si>
    <t xml:space="preserve">Unauthorized U3R boost for Wholesale Trade (decimal)</t>
  </si>
  <si>
    <t xml:space="preserve">New; B2B low unauth.</t>
  </si>
  <si>
    <t xml:space="preserve">LSD.REF.AL.PARAM.143</t>
  </si>
  <si>
    <t xml:space="preserve">UNAUTH_BOOST_U3R[9]</t>
  </si>
  <si>
    <t xml:space="preserve">Unauthorized U3R boost for Retail (Motor Vehicle, Electronics) (decimal)</t>
  </si>
  <si>
    <t xml:space="preserve">New; retail concentration.</t>
  </si>
  <si>
    <t xml:space="preserve">LSD.REF.AL.PARAM.144</t>
  </si>
  <si>
    <t xml:space="preserve">UNAUTH_BOOST_U3R[10]</t>
  </si>
  <si>
    <t xml:space="preserve">Unauthorized U3R boost for Retail (Food, Clothing) (decimal)</t>
  </si>
  <si>
    <t xml:space="preserve">New; high entry-level unauth.</t>
  </si>
  <si>
    <t xml:space="preserve">LSD.REF.AL.PARAM.145</t>
  </si>
  <si>
    <t xml:space="preserve">UNAUTH_BOOST_U3R[11]</t>
  </si>
  <si>
    <t xml:space="preserve">Unauthorized U3R boost for Transportation (decimal)</t>
  </si>
  <si>
    <t xml:space="preserve">New; trucking/logistics.</t>
  </si>
  <si>
    <t xml:space="preserve">LSD.REF.AL.PARAM.146</t>
  </si>
  <si>
    <t xml:space="preserve">UNAUTH_BOOST_U3R[12]</t>
  </si>
  <si>
    <t xml:space="preserve">Unauthorized U3R boost for Warehousing (decimal)</t>
  </si>
  <si>
    <t xml:space="preserve">New; supply chain manual.</t>
  </si>
  <si>
    <t xml:space="preserve">LSD.REF.AL.PARAM.147</t>
  </si>
  <si>
    <t xml:space="preserve">UNAUTH_BOOST_U3R[13]</t>
  </si>
  <si>
    <t xml:space="preserve">Unauthorized U3R boost for Information (decimal)</t>
  </si>
  <si>
    <t xml:space="preserve">New; low tech barrier.</t>
  </si>
  <si>
    <t xml:space="preserve">LSD.REF.AL.PARAM.148</t>
  </si>
  <si>
    <t xml:space="preserve">UNAUTH_BOOST_U3R[14]</t>
  </si>
  <si>
    <t xml:space="preserve">Unauthorized U3R boost for Finance (decimal)</t>
  </si>
  <si>
    <t xml:space="preserve">New; regulated professional.</t>
  </si>
  <si>
    <t xml:space="preserve">LSD.REF.AL.PARAM.149</t>
  </si>
  <si>
    <t xml:space="preserve">UNAUTH_BOOST_U3R[15]</t>
  </si>
  <si>
    <t xml:space="preserve">Unauthorized U3R boost for Real Estate (decimal)</t>
  </si>
  <si>
    <t xml:space="preserve">New; some housing roles.</t>
  </si>
  <si>
    <t xml:space="preserve">LSD.REF.AL.PARAM.150</t>
  </si>
  <si>
    <t xml:space="preserve">UNAUTH_BOOST_U3R[16]</t>
  </si>
  <si>
    <t xml:space="preserve">Unauthorized U3R boost for Professional Services (decimal)</t>
  </si>
  <si>
    <t xml:space="preserve">New; lowest skill barrier.</t>
  </si>
  <si>
    <t xml:space="preserve">LSD.REF.AL.PARAM.151</t>
  </si>
  <si>
    <t xml:space="preserve">UNAUTH_BOOST_U3R[17]</t>
  </si>
  <si>
    <t xml:space="preserve">Unauthorized U3R boost for Administrative (decimal)</t>
  </si>
  <si>
    <t xml:space="preserve">New; high temp/unauth.</t>
  </si>
  <si>
    <t xml:space="preserve">LSD.REF.AL.PARAM.152</t>
  </si>
  <si>
    <t xml:space="preserve">UNAUTH_BOOST_U3R[18]</t>
  </si>
  <si>
    <t xml:space="preserve">Unauthorized U3R boost for Educational Services (decimal)</t>
  </si>
  <si>
    <t xml:space="preserve">New; credentialed low.</t>
  </si>
  <si>
    <t xml:space="preserve">LSD.REF.AL.PARAM.153</t>
  </si>
  <si>
    <t xml:space="preserve">UNAUTH_BOOST_U3R[19]</t>
  </si>
  <si>
    <t xml:space="preserve">Unauthorized U3R boost for Health Care (decimal)</t>
  </si>
  <si>
    <t xml:space="preserve">New; some aide roles.</t>
  </si>
  <si>
    <t xml:space="preserve">LSD.REF.AL.PARAM.154</t>
  </si>
  <si>
    <t xml:space="preserve">UNAUTH_BOOST_U3R[20]</t>
  </si>
  <si>
    <t xml:space="preserve">Unauthorized U3R boost for Arts/Entertainment (decimal)</t>
  </si>
  <si>
    <t xml:space="preserve">New; event/seasonal.</t>
  </si>
  <si>
    <t xml:space="preserve">LSD.REF.AL.PARAM.155</t>
  </si>
  <si>
    <t xml:space="preserve">UNAUTH_BOOST_U3R[21]</t>
  </si>
  <si>
    <t xml:space="preserve">Unauthorized U3R boost for Accommodation/Food (decimal)</t>
  </si>
  <si>
    <t xml:space="preserve">New; hospitality high.</t>
  </si>
  <si>
    <t xml:space="preserve">LSD.REF.AL.PARAM.156</t>
  </si>
  <si>
    <t xml:space="preserve">UNAUTH_BOOST_U3R[22]</t>
  </si>
  <si>
    <t xml:space="preserve">Unauthorized U3R boost for Other Services (decimal)</t>
  </si>
  <si>
    <t xml:space="preserve">New; repair/diverse manual.</t>
  </si>
  <si>
    <t xml:space="preserve">LSD.REF.AL.PARAM.157</t>
  </si>
  <si>
    <t xml:space="preserve">UNAUTH_BOOST_U3R[23]</t>
  </si>
  <si>
    <t xml:space="preserve">Unauthorized U3R boost for Public Administration (decimal)</t>
  </si>
  <si>
    <t xml:space="preserve">New; lowest regulated.</t>
  </si>
  <si>
    <t xml:space="preserve">LSD.REF.AL.PARAM.158</t>
  </si>
  <si>
    <t xml:space="preserve">U6R_STATE_TARGET</t>
  </si>
  <si>
    <t xml:space="preserve">AL Statewide U6R target (decimal)</t>
  </si>
  <si>
    <t xml:space="preserve">BLS U-6 Dec 2025 proj. (AL Dept adj)</t>
  </si>
  <si>
    <t xml:space="preserve">New; ~1.67× U3R for low-unemp environment.</t>
  </si>
  <si>
    <t xml:space="preserve">LSD.REF.AL.PARAM.159</t>
  </si>
  <si>
    <t xml:space="preserve">U6R_ADJ_GROUP</t>
  </si>
  <si>
    <t xml:space="preserve">General group adjustment for U6R (decimal; higher for immigrants)</t>
  </si>
  <si>
    <t xml:space="preserve">Derived from MPI/ACS underemp patterns</t>
  </si>
  <si>
    <t xml:space="preserve">New; applies to auth/unauth.</t>
  </si>
  <si>
    <t xml:space="preserve">LSD.REF.AL.PARAM.160</t>
  </si>
  <si>
    <t xml:space="preserve">INTERDEPEND_FACTOR_U3R_U6R</t>
  </si>
  <si>
    <t xml:space="preserve">Factor for U3R-U6R cross-dependency (decimal)</t>
  </si>
  <si>
    <t xml:space="preserve">Derived from BLS U-6/U3 ratios</t>
  </si>
  <si>
    <t xml:space="preserve">New; bridges U3R to U6R.</t>
  </si>
  <si>
    <t xml:space="preserve">LSD.REF.AL.PARAM.161</t>
  </si>
  <si>
    <t xml:space="preserve">INTERDEPEND_FACTOR_LFPR_U6R</t>
  </si>
  <si>
    <t xml:space="preserve">Factor for LFPR-U6R cross-dependency (decimal)</t>
  </si>
  <si>
    <t xml:space="preserve">New; lower LFPR links to higher U6R.</t>
  </si>
  <si>
    <t xml:space="preserve">LSD.REF.AL.PARAM.162</t>
  </si>
  <si>
    <t xml:space="preserve">PART_TIME_UNAUTH_RATE_AG</t>
  </si>
  <si>
    <t xml:space="preserve">Unauthorized part-time economic rate for Agriculture (decimal)</t>
  </si>
  <si>
    <t xml:space="preserve">New; higher in manual sectors.</t>
  </si>
  <si>
    <t xml:space="preserve">LSD.REF.AL.PARAM.163</t>
  </si>
  <si>
    <t xml:space="preserve">U6R_VARIANCE_SEC[1]</t>
  </si>
  <si>
    <t xml:space="preserve">U6R variance bound for Agriculture (decimal)</t>
  </si>
  <si>
    <t xml:space="preserve">New; higher than U3R due to part-time noise.</t>
  </si>
  <si>
    <t xml:space="preserve">LSD.REF.AL.PARAM.164</t>
  </si>
  <si>
    <t xml:space="preserve">U6R_VARIANCE_SEC[2]</t>
  </si>
  <si>
    <t xml:space="preserve">U6R variance bound for Mining (decimal)</t>
  </si>
  <si>
    <t xml:space="preserve">New.</t>
  </si>
  <si>
    <t xml:space="preserve">LSD.REF.AL.PARAM.165</t>
  </si>
  <si>
    <t xml:space="preserve">U6R_VARIANCE_SEC[3]</t>
  </si>
  <si>
    <t xml:space="preserve">U6R variance bound for Utilities (decimal)</t>
  </si>
  <si>
    <t xml:space="preserve">LSD.REF.AL.PARAM.166</t>
  </si>
  <si>
    <t xml:space="preserve">U6R_VARIANCE_SEC[4]</t>
  </si>
  <si>
    <t xml:space="preserve">U6R variance bound for Construction (decimal)</t>
  </si>
  <si>
    <t xml:space="preserve">LSD.REF.AL.PARAM.167</t>
  </si>
  <si>
    <t xml:space="preserve">U6R_VARIANCE_SEC[5]</t>
  </si>
  <si>
    <t xml:space="preserve">U6R variance bound for Manufacturing (Food, Textile) (decimal)</t>
  </si>
  <si>
    <t xml:space="preserve">LSD.REF.AL.PARAM.168</t>
  </si>
  <si>
    <t xml:space="preserve">U6R_VARIANCE_SEC[6]</t>
  </si>
  <si>
    <t xml:space="preserve">U6R variance bound for Manufacturing (Wood, Paper) (decimal)</t>
  </si>
  <si>
    <t xml:space="preserve">LSD.REF.AL.PARAM.169</t>
  </si>
  <si>
    <t xml:space="preserve">U6R_VARIANCE_SEC[7]</t>
  </si>
  <si>
    <t xml:space="preserve">U6R variance bound for Manufacturing (Machinery, Transport) (decimal)</t>
  </si>
  <si>
    <t xml:space="preserve">LSD.REF.AL.PARAM.170</t>
  </si>
  <si>
    <t xml:space="preserve">U6R_VARIANCE_SEC[8]</t>
  </si>
  <si>
    <t xml:space="preserve">U6R variance bound for Wholesale Trade (decimal)</t>
  </si>
  <si>
    <t xml:space="preserve">LSD.REF.AL.PARAM.171</t>
  </si>
  <si>
    <t xml:space="preserve">U6R_VARIANCE_SEC[9]</t>
  </si>
  <si>
    <t xml:space="preserve">U6R variance bound for Retail (Motor Vehicle, Electronics) (decimal)</t>
  </si>
  <si>
    <t xml:space="preserve">LSD.REF.AL.PARAM.172</t>
  </si>
  <si>
    <t xml:space="preserve">U6R_VARIANCE_SEC[10]</t>
  </si>
  <si>
    <t xml:space="preserve">U6R variance bound for Retail (Food, Clothing) (decimal)</t>
  </si>
  <si>
    <t xml:space="preserve">LSD.REF.AL.PARAM.173</t>
  </si>
  <si>
    <t xml:space="preserve">U6R_VARIANCE_SEC[11]</t>
  </si>
  <si>
    <t xml:space="preserve">U6R variance bound for Transportation (decimal)</t>
  </si>
  <si>
    <t xml:space="preserve">LSD.REF.AL.PARAM.174</t>
  </si>
  <si>
    <t xml:space="preserve">U6R_VARIANCE_SEC[12]</t>
  </si>
  <si>
    <t xml:space="preserve">U6R variance bound for Warehousing (decimal)</t>
  </si>
  <si>
    <t xml:space="preserve">LSD.REF.AL.PARAM.175</t>
  </si>
  <si>
    <t xml:space="preserve">U6R_VARIANCE_SEC[13]</t>
  </si>
  <si>
    <t xml:space="preserve">U6R variance bound for Information (decimal)</t>
  </si>
  <si>
    <t xml:space="preserve">LSD.REF.AL.PARAM.176</t>
  </si>
  <si>
    <t xml:space="preserve">U6R_VARIANCE_SEC[14]</t>
  </si>
  <si>
    <t xml:space="preserve">U6R variance bound for Finance (decimal)</t>
  </si>
  <si>
    <t xml:space="preserve">LSD.REF.AL.PARAM.177</t>
  </si>
  <si>
    <t xml:space="preserve">U6R_VARIANCE_SEC[15]</t>
  </si>
  <si>
    <t xml:space="preserve">U6R variance bound for Real Estate (decimal)</t>
  </si>
  <si>
    <t xml:space="preserve">LSD.REF.AL.PARAM.178</t>
  </si>
  <si>
    <t xml:space="preserve">U6R_VARIANCE_SEC[16]</t>
  </si>
  <si>
    <t xml:space="preserve">U6R variance bound for Professional Services (decimal)</t>
  </si>
  <si>
    <t xml:space="preserve">LSD.REF.AL.PARAM.179</t>
  </si>
  <si>
    <t xml:space="preserve">U6R_VARIANCE_SEC[17]</t>
  </si>
  <si>
    <t xml:space="preserve">U6R variance bound for Administrative (decimal)</t>
  </si>
  <si>
    <t xml:space="preserve">LSD.REF.AL.PARAM.180</t>
  </si>
  <si>
    <t xml:space="preserve">U6R_VARIANCE_SEC[18]</t>
  </si>
  <si>
    <t xml:space="preserve">U6R variance bound for Educational Services (decimal)</t>
  </si>
  <si>
    <t xml:space="preserve">LSD.REF.AL.PARAM.181</t>
  </si>
  <si>
    <t xml:space="preserve">U6R_VARIANCE_SEC[19]</t>
  </si>
  <si>
    <t xml:space="preserve">U6R variance bound for Health Care (decimal)</t>
  </si>
  <si>
    <t xml:space="preserve">LSD.REF.AL.PARAM.182</t>
  </si>
  <si>
    <t xml:space="preserve">U6R_VARIANCE_SEC[20]</t>
  </si>
  <si>
    <t xml:space="preserve">U6R variance bound for Arts/Entertainment (decimal)</t>
  </si>
  <si>
    <t xml:space="preserve">LSD.REF.AL.PARAM.183</t>
  </si>
  <si>
    <t xml:space="preserve">U6R_VARIANCE_SEC[21]</t>
  </si>
  <si>
    <t xml:space="preserve">U6R variance bound for Accommodation/Food (decimal)</t>
  </si>
  <si>
    <t xml:space="preserve">LSD.REF.AL.PARAM.184</t>
  </si>
  <si>
    <t xml:space="preserve">U6R_VARIANCE_SEC[22]</t>
  </si>
  <si>
    <t xml:space="preserve">U6R variance bound for Other Services (decimal)</t>
  </si>
  <si>
    <t xml:space="preserve">LSD.REF.AL.PARAM.185</t>
  </si>
  <si>
    <t xml:space="preserve">U6R_VARIANCE_SEC[23]</t>
  </si>
  <si>
    <t xml:space="preserve">U6R variance bound for Public Administration (decimal)</t>
  </si>
  <si>
    <t xml:space="preserve">LSD.REF.AL.PARAM.186</t>
  </si>
  <si>
    <t xml:space="preserve">U6R_ASYMM_SEC[1]</t>
  </si>
  <si>
    <t xml:space="preserve">Asymmetry factor for Agriculture in U6R (decimal)</t>
  </si>
  <si>
    <t xml:space="preserve">New; lower for high part-time cyclical.</t>
  </si>
  <si>
    <t xml:space="preserve">LSD.REF.AL.PARAM.187</t>
  </si>
  <si>
    <t xml:space="preserve">U6R_ASYMM_SEC[2]</t>
  </si>
  <si>
    <t xml:space="preserve">Asymmetry factor for Mining in U6R (decimal)</t>
  </si>
  <si>
    <t xml:space="preserve">LSD.REF.AL.PARAM.188</t>
  </si>
  <si>
    <t xml:space="preserve">U6R_ASYMM_SEC[3]</t>
  </si>
  <si>
    <t xml:space="preserve">Asymmetry factor for Utilities in U6R (decimal)</t>
  </si>
  <si>
    <t xml:space="preserve">LSD.REF.AL.PARAM.189</t>
  </si>
  <si>
    <t xml:space="preserve">U6R_ASYMM_SEC[4]</t>
  </si>
  <si>
    <t xml:space="preserve">Asymmetry factor for Construction in U6R (decimal)</t>
  </si>
  <si>
    <t xml:space="preserve">LSD.REF.AL.PARAM.190</t>
  </si>
  <si>
    <t xml:space="preserve">U6R_ASYMM_SEC[5]</t>
  </si>
  <si>
    <t xml:space="preserve">Asymmetry factor for Manufacturing (Food, Textile) in U6R (decimal)</t>
  </si>
  <si>
    <t xml:space="preserve">LSD.REF.AL.PARAM.191</t>
  </si>
  <si>
    <t xml:space="preserve">U6R_ASYMM_SEC[6]</t>
  </si>
  <si>
    <t xml:space="preserve">Asymmetry factor for Manufacturing (Wood, Paper) in U6R (decimal)</t>
  </si>
  <si>
    <t xml:space="preserve">LSD.REF.AL.PARAM.192</t>
  </si>
  <si>
    <t xml:space="preserve">U6R_ASYMM_SEC[7]</t>
  </si>
  <si>
    <t xml:space="preserve">Asymmetry factor for Manufacturing (Machinery, Transport) in U6R (decimal)</t>
  </si>
  <si>
    <t xml:space="preserve">LSD.REF.AL.PARAM.193</t>
  </si>
  <si>
    <t xml:space="preserve">U6R_ASYMM_SEC[8]</t>
  </si>
  <si>
    <t xml:space="preserve">Asymmetry factor for Wholesale Trade in U6R (decimal)</t>
  </si>
  <si>
    <t xml:space="preserve">LSD.REF.AL.PARAM.194</t>
  </si>
  <si>
    <t xml:space="preserve">U6R_ASYMM_SEC[9]</t>
  </si>
  <si>
    <t xml:space="preserve">Asymmetry factor for Retail (Motor Vehicle, Electronics) in U6R (decimal)</t>
  </si>
  <si>
    <t xml:space="preserve">LSD.REF.AL.PARAM.195</t>
  </si>
  <si>
    <t xml:space="preserve">U6R_ASYMM_SEC[10]</t>
  </si>
  <si>
    <t xml:space="preserve">Asymmetry factor for Retail (Food, Clothing) in U6R (decimal)</t>
  </si>
  <si>
    <t xml:space="preserve">LSD.REF.AL.PARAM.196</t>
  </si>
  <si>
    <t xml:space="preserve">U6R_ASYMM_SEC[11]</t>
  </si>
  <si>
    <t xml:space="preserve">Asymmetry factor for Transportation in U6R (decimal)</t>
  </si>
  <si>
    <t xml:space="preserve">LSD.REF.AL.PARAM.197</t>
  </si>
  <si>
    <t xml:space="preserve">U6R_ASYMM_SEC[12]</t>
  </si>
  <si>
    <t xml:space="preserve">Asymmetry factor for Warehousing in U6R (decimal)</t>
  </si>
  <si>
    <t xml:space="preserve">LSD.REF.AL.PARAM.198</t>
  </si>
  <si>
    <t xml:space="preserve">U6R_ASYMM_SEC[13]</t>
  </si>
  <si>
    <t xml:space="preserve">Asymmetry factor for Information in U6R (decimal)</t>
  </si>
  <si>
    <t xml:space="preserve">LSD.REF.AL.PARAM.199</t>
  </si>
  <si>
    <t xml:space="preserve">U6R_ASYMM_SEC[14]</t>
  </si>
  <si>
    <t xml:space="preserve">Asymmetry factor for Finance in U6R (decimal)</t>
  </si>
  <si>
    <t xml:space="preserve">LSD.REF.AL.PARAM.200</t>
  </si>
  <si>
    <t xml:space="preserve">U6R_ASYMM_SEC[15]</t>
  </si>
  <si>
    <t xml:space="preserve">Asymmetry factor for Real Estate in U6R (decimal)</t>
  </si>
  <si>
    <t xml:space="preserve">LSD.REF.AL.PARAM.201</t>
  </si>
  <si>
    <t xml:space="preserve">U6R_ASYMM_SEC[16]</t>
  </si>
  <si>
    <t xml:space="preserve">Asymmetry factor for Professional Services in U6R (decimal)</t>
  </si>
  <si>
    <t xml:space="preserve">LSD.REF.AL.PARAM.202</t>
  </si>
  <si>
    <t xml:space="preserve">U6R_ASYMM_SEC[17]</t>
  </si>
  <si>
    <t xml:space="preserve">Asymmetry factor for Administrative in U6R (decimal)</t>
  </si>
  <si>
    <t xml:space="preserve">LSD.REF.AL.PARAM.203</t>
  </si>
  <si>
    <t xml:space="preserve">U6R_ASYMM_SEC[18]</t>
  </si>
  <si>
    <t xml:space="preserve">Asymmetry factor for Educational Services in U6R (decimal)</t>
  </si>
  <si>
    <t xml:space="preserve">LSD.REF.AL.PARAM.204</t>
  </si>
  <si>
    <t xml:space="preserve">U6R_ASYMM_SEC[19]</t>
  </si>
  <si>
    <t xml:space="preserve">Asymmetry factor for Health Care in U6R (decimal)</t>
  </si>
  <si>
    <t xml:space="preserve">LSD.REF.AL.PARAM.205</t>
  </si>
  <si>
    <t xml:space="preserve">U6R_ASYMM_SEC[20]</t>
  </si>
  <si>
    <t xml:space="preserve">Asymmetry factor for Arts/Entertainment in U6R (decimal)</t>
  </si>
  <si>
    <t xml:space="preserve">LSD.REF.AL.PARAM.206</t>
  </si>
  <si>
    <t xml:space="preserve">U6R_ASYMM_SEC[21]</t>
  </si>
  <si>
    <t xml:space="preserve">Asymmetry factor for Accommodation/Food in U6R (decimal)</t>
  </si>
  <si>
    <t xml:space="preserve">LSD.REF.AL.PARAM.207</t>
  </si>
  <si>
    <t xml:space="preserve">U6R_ASYMM_SEC[22]</t>
  </si>
  <si>
    <t xml:space="preserve">Asymmetry factor for Other Services in U6R (decimal)</t>
  </si>
  <si>
    <t xml:space="preserve">LSD.REF.AL.PARAM.208</t>
  </si>
  <si>
    <t xml:space="preserve">U6R_ASYMM_SEC[23]</t>
  </si>
  <si>
    <t xml:space="preserve">Asymmetry factor for Public Administration in U6R (decimal)</t>
  </si>
  <si>
    <t xml:space="preserve">LSD.REF.AL.PARAM.209</t>
  </si>
  <si>
    <t xml:space="preserve">UNAUTH_BOOST_U6R[1]</t>
  </si>
  <si>
    <t xml:space="preserve">Unauthorized U6R boost for Agriculture (decimal)</t>
  </si>
  <si>
    <t xml:space="preserve">New; higher for involuntary part-time.</t>
  </si>
  <si>
    <t xml:space="preserve">LSD.REF.AL.PARAM.210</t>
  </si>
  <si>
    <t xml:space="preserve">UNAUTH_BOOST_U6R[2]</t>
  </si>
  <si>
    <t xml:space="preserve">Unauthorized U6R boost for Mining (decimal)</t>
  </si>
  <si>
    <t xml:space="preserve">LSD.REF.AL.PARAM.211</t>
  </si>
  <si>
    <t xml:space="preserve">UNAUTH_BOOST_U6R[3]</t>
  </si>
  <si>
    <t xml:space="preserve">Unauthorized U6R boost for Utilities (decimal)</t>
  </si>
  <si>
    <t xml:space="preserve">LSD.REF.AL.PARAM.212</t>
  </si>
  <si>
    <t xml:space="preserve">UNAUTH_BOOST_U6R[4]</t>
  </si>
  <si>
    <t xml:space="preserve">Unauthorized U6R boost for Construction (decimal)</t>
  </si>
  <si>
    <t xml:space="preserve">LSD.REF.AL.PARAM.213</t>
  </si>
  <si>
    <t xml:space="preserve">UNAUTH_BOOST_U6R[5]</t>
  </si>
  <si>
    <t xml:space="preserve">Unauthorized U6R boost for Manufacturing (Food, Textile) (decimal)</t>
  </si>
  <si>
    <t xml:space="preserve">LSD.REF.AL.PARAM.214</t>
  </si>
  <si>
    <t xml:space="preserve">UNAUTH_BOOST_U6R[6]</t>
  </si>
  <si>
    <t xml:space="preserve">Unauthorized U6R boost for Manufacturing (Wood, Paper) (decimal)</t>
  </si>
  <si>
    <t xml:space="preserve">LSD.REF.AL.PARAM.215</t>
  </si>
  <si>
    <t xml:space="preserve">UNAUTH_BOOST_U6R[7]</t>
  </si>
  <si>
    <t xml:space="preserve">Unauthorized U6R boost for Manufacturing (Machinery, Transport) (decimal)</t>
  </si>
  <si>
    <t xml:space="preserve">LSD.REF.AL.PARAM.216</t>
  </si>
  <si>
    <t xml:space="preserve">UNAUTH_BOOST_U6R[8]</t>
  </si>
  <si>
    <t xml:space="preserve">Unauthorized U6R boost for Wholesale Trade (decimal)</t>
  </si>
  <si>
    <t xml:space="preserve">LSD.REF.AL.PARAM.217</t>
  </si>
  <si>
    <t xml:space="preserve">UNAUTH_BOOST_U6R[9]</t>
  </si>
  <si>
    <t xml:space="preserve">Unauthorized U6R boost for Retail (Motor Vehicle, Electronics) (decimal)</t>
  </si>
  <si>
    <t xml:space="preserve">LSD.REF.AL.PARAM.218</t>
  </si>
  <si>
    <t xml:space="preserve">UNAUTH_BOOST_U6R[10]</t>
  </si>
  <si>
    <t xml:space="preserve">Unauthorized U6R boost for Retail (Food, Clothing) (decimal)</t>
  </si>
  <si>
    <t xml:space="preserve">LSD.REF.AL.PARAM.219</t>
  </si>
  <si>
    <t xml:space="preserve">UNAUTH_BOOST_U6R[11]</t>
  </si>
  <si>
    <t xml:space="preserve">Unauthorized U6R boost for Transportation (decimal)</t>
  </si>
  <si>
    <t xml:space="preserve">LSD.REF.AL.PARAM.220</t>
  </si>
  <si>
    <t xml:space="preserve">UNAUTH_BOOST_U6R[12]</t>
  </si>
  <si>
    <t xml:space="preserve">Unauthorized U6R boost for Warehousing (decimal)</t>
  </si>
  <si>
    <t xml:space="preserve">LSD.REF.AL.PARAM.221</t>
  </si>
  <si>
    <t xml:space="preserve">UNAUTH_BOOST_U6R[13]</t>
  </si>
  <si>
    <t xml:space="preserve">Unauthorized U6R boost for Information (decimal)</t>
  </si>
  <si>
    <t xml:space="preserve">LSD.REF.AL.PARAM.222</t>
  </si>
  <si>
    <t xml:space="preserve">UNAUTH_BOOST_U6R[14]</t>
  </si>
  <si>
    <t xml:space="preserve">Unauthorized U6R boost for Finance (decimal)</t>
  </si>
  <si>
    <t xml:space="preserve">LSD.REF.AL.PARAM.223</t>
  </si>
  <si>
    <t xml:space="preserve">UNAUTH_BOOST_U6R[15]</t>
  </si>
  <si>
    <t xml:space="preserve">Unauthorized U6R boost for Real Estate (decimal)</t>
  </si>
  <si>
    <t xml:space="preserve">LSD.REF.AL.PARAM.224</t>
  </si>
  <si>
    <t xml:space="preserve">UNAUTH_BOOST_U6R[16]</t>
  </si>
  <si>
    <t xml:space="preserve">Unauthorized U6R boost for Professional Services (decimal)</t>
  </si>
  <si>
    <t xml:space="preserve">LSD.REF.AL.PARAM.225</t>
  </si>
  <si>
    <t xml:space="preserve">UNAUTH_BOOST_U6R[17]</t>
  </si>
  <si>
    <t xml:space="preserve">Unauthorized U6R boost for Administrative (decimal)</t>
  </si>
  <si>
    <t xml:space="preserve">LSD.REF.AL.PARAM.226</t>
  </si>
  <si>
    <t xml:space="preserve">UNAUTH_BOOST_U6R[18]</t>
  </si>
  <si>
    <t xml:space="preserve">Unauthorized U6R boost for Educational Services (decimal)</t>
  </si>
  <si>
    <t xml:space="preserve">LSD.REF.AL.PARAM.227</t>
  </si>
  <si>
    <t xml:space="preserve">UNAUTH_BOOST_U6R[19]</t>
  </si>
  <si>
    <t xml:space="preserve">Unauthorized U6R boost for Health Care (decimal)</t>
  </si>
  <si>
    <t xml:space="preserve">LSD.REF.AL.PARAM.228</t>
  </si>
  <si>
    <t xml:space="preserve">UNAUTH_BOOST_U6R[20]</t>
  </si>
  <si>
    <t xml:space="preserve">Unauthorized U6R boost for Arts/Entertainment (decimal)</t>
  </si>
  <si>
    <t xml:space="preserve">LSD.REF.AL.PARAM.229</t>
  </si>
  <si>
    <t xml:space="preserve">UNAUTH_BOOST_U6R[21]</t>
  </si>
  <si>
    <t xml:space="preserve">Unauthorized U6R boost for Accommodation/Food (decimal)</t>
  </si>
  <si>
    <t xml:space="preserve">New; highest for hospitality part-time.</t>
  </si>
  <si>
    <t xml:space="preserve">LSD.REF.AL.PARAM.230</t>
  </si>
  <si>
    <t xml:space="preserve">UNAUTH_BOOST_U6R[22]</t>
  </si>
  <si>
    <t xml:space="preserve">Unauthorized U6R boost for Other Services (decimal)</t>
  </si>
  <si>
    <t xml:space="preserve">LSD.REF.AL.PARAM.231</t>
  </si>
  <si>
    <t xml:space="preserve">UNAUTH_BOOST_U6R[23]</t>
  </si>
  <si>
    <t xml:space="preserve">Unauthorized U6R boost for Public Administration (decimal)</t>
  </si>
  <si>
    <t xml:space="preserve">LSD.REF.AL.PARAM.232</t>
  </si>
  <si>
    <t xml:space="preserve">OFFICIAL_TNPE_TOTAL</t>
  </si>
  <si>
    <t xml:space="preserve">Official BLS CES Total Nonfarm Payroll Employment, AL, Dec 2025 (SA, persons) — excludes Agriculture</t>
  </si>
  <si>
    <t xml:space="preserve">BLS CES Jan 2026 release</t>
  </si>
  <si>
    <t xml:space="preserve">Updated; clarified exclusion of Agriculture.</t>
  </si>
  <si>
    <t xml:space="preserve">LSD.REF.AL.PARAM.233</t>
  </si>
  <si>
    <t xml:space="preserve">TNPE_HH_FUSION_THRESH</t>
  </si>
  <si>
    <t xml:space="preserve">Threshold for reconciling TNPE nonfarm vs household nonfarm employment (decimal)</t>
  </si>
  <si>
    <t xml:space="preserve">Updated; specifies nonfarm.</t>
  </si>
  <si>
    <t xml:space="preserve">LSD.REF.AL.PARAM.234</t>
  </si>
  <si>
    <t xml:space="preserve">CES_ACCURACY</t>
  </si>
  <si>
    <t xml:space="preserve">Relative accuracy weight for CES data vs CPS household survey (nonfarm only)</t>
  </si>
  <si>
    <t xml:space="preserve">BLS methodology comparison</t>
  </si>
  <si>
    <t xml:space="preserve">Updated; nonfarm focus.</t>
  </si>
  <si>
    <t xml:space="preserve">LSD.REF.AL.PARAM.281</t>
  </si>
  <si>
    <t xml:space="preserve">EXCLUDED_SECTOR_HANDLING_FLAG</t>
  </si>
  <si>
    <t xml:space="preserve">True</t>
  </si>
  <si>
    <t xml:space="preserve">Flag for handling excluded sectors (e.g., Agriculture LSID 1) in TNPE</t>
  </si>
  <si>
    <t xml:space="preserve">BLS CES scope</t>
  </si>
  <si>
    <t xml:space="preserve">New; enables FORM exclusion logic.</t>
  </si>
  <si>
    <t xml:space="preserve">LSD.REF.AL.PARAM.282</t>
  </si>
  <si>
    <t xml:space="preserve">EXCLUDED_GROUP_ADJ_AG</t>
  </si>
  <si>
    <t xml:space="preserve">Group adjustment for excluded Agriculture sector (decimal; for unauthorized boost in proxy)</t>
  </si>
  <si>
    <t xml:space="preserve">ACS-derived proxy</t>
  </si>
  <si>
    <t xml:space="preserve">New; for modeled LSID 1.</t>
  </si>
  <si>
    <t xml:space="preserve">LSD.REF.AL.PARAM.235</t>
  </si>
  <si>
    <t xml:space="preserve">TNPE_VARIANCE_SEC[2]</t>
  </si>
  <si>
    <t xml:space="preserve">Variance bound for Mining in TNPE (decimal; nonfarm only)</t>
  </si>
  <si>
    <t xml:space="preserve">CES sampling variance</t>
  </si>
  <si>
    <t xml:space="preserve">Updated; arrays now start at LSID 2 (excludes LSID 1).</t>
  </si>
  <si>
    <t xml:space="preserve">LSD.REF.AL.PARAM.236</t>
  </si>
  <si>
    <t xml:space="preserve">TNPE_VARIANCE_SEC[3]</t>
  </si>
  <si>
    <t xml:space="preserve">Variance bound for Utilities in TNPE (decimal)</t>
  </si>
  <si>
    <t xml:space="preserve">LSD.REF.AL.PARAM.237</t>
  </si>
  <si>
    <t xml:space="preserve">TNPE_VARIANCE_SEC[4]</t>
  </si>
  <si>
    <t xml:space="preserve">Variance bound for Construction in TNPE (decimal)</t>
  </si>
  <si>
    <t xml:space="preserve">LSD.REF.AL.PARAM.238</t>
  </si>
  <si>
    <t xml:space="preserve">TNPE_VARIANCE_SEC[5]</t>
  </si>
  <si>
    <t xml:space="preserve">Variance bound for Manufacturing (Food, Textile) in TNPE (decimal)</t>
  </si>
  <si>
    <t xml:space="preserve">LSD.REF.AL.PARAM.239</t>
  </si>
  <si>
    <t xml:space="preserve">TNPE_VARIANCE_SEC[6]</t>
  </si>
  <si>
    <t xml:space="preserve">Variance bound for Manufacturing (Wood, Paper) in TNPE (decimal)</t>
  </si>
  <si>
    <t xml:space="preserve">LSD.REF.AL.PARAM.240</t>
  </si>
  <si>
    <t xml:space="preserve">TNPE_VARIANCE_SEC[7]</t>
  </si>
  <si>
    <t xml:space="preserve">Variance bound for Manufacturing (Machinery, Transport) in TNPE (decimal)</t>
  </si>
  <si>
    <t xml:space="preserve">LSD.REF.AL.PARAM.241</t>
  </si>
  <si>
    <t xml:space="preserve">TNPE_VARIANCE_SEC[8]</t>
  </si>
  <si>
    <t xml:space="preserve">Variance bound for Wholesale Trade in TNPE (decimal)</t>
  </si>
  <si>
    <t xml:space="preserve">LSD.REF.AL.PARAM.242</t>
  </si>
  <si>
    <t xml:space="preserve">TNPE_VARIANCE_SEC[9]</t>
  </si>
  <si>
    <t xml:space="preserve">Variance bound for Retail (Motor Vehicle, Electronics) in TNPE (decimal)</t>
  </si>
  <si>
    <t xml:space="preserve">LSD.REF.AL.PARAM.243</t>
  </si>
  <si>
    <t xml:space="preserve">TNPE_VARIANCE_SEC[10]</t>
  </si>
  <si>
    <t xml:space="preserve">Variance bound for Retail (Food, Clothing) in TNPE (decimal)</t>
  </si>
  <si>
    <t xml:space="preserve">LSD.REF.AL.PARAM.244</t>
  </si>
  <si>
    <t xml:space="preserve">TNPE_VARIANCE_SEC[11]</t>
  </si>
  <si>
    <t xml:space="preserve">Variance bound for Transportation in TNPE (decimal)</t>
  </si>
  <si>
    <t xml:space="preserve">LSD.REF.AL.PARAM.245</t>
  </si>
  <si>
    <t xml:space="preserve">TNPE_VARIANCE_SEC[12]</t>
  </si>
  <si>
    <t xml:space="preserve">Variance bound for Warehousing and Storage in TNPE (decimal)</t>
  </si>
  <si>
    <t xml:space="preserve">LSD.REF.AL.PARAM.246</t>
  </si>
  <si>
    <t xml:space="preserve">TNPE_VARIANCE_SEC[13]</t>
  </si>
  <si>
    <t xml:space="preserve">Variance bound for Information in TNPE (decimal)</t>
  </si>
  <si>
    <t xml:space="preserve">LSD.REF.AL.PARAM.247</t>
  </si>
  <si>
    <t xml:space="preserve">TNPE_VARIANCE_SEC[14]</t>
  </si>
  <si>
    <t xml:space="preserve">Variance bound for Finance and Insurance in TNPE (decimal)</t>
  </si>
  <si>
    <t xml:space="preserve">LSD.REF.AL.PARAM.248</t>
  </si>
  <si>
    <t xml:space="preserve">TNPE_VARIANCE_SEC[15]</t>
  </si>
  <si>
    <t xml:space="preserve">Variance bound for Real Estate and Rental in TNPE (decimal)</t>
  </si>
  <si>
    <t xml:space="preserve">LSD.REF.AL.PARAM.249</t>
  </si>
  <si>
    <t xml:space="preserve">TNPE_VARIANCE_SEC[16]</t>
  </si>
  <si>
    <t xml:space="preserve">Variance bound for Professional Services in TNPE (decimal)</t>
  </si>
  <si>
    <t xml:space="preserve">LSD.REF.AL.PARAM.250</t>
  </si>
  <si>
    <t xml:space="preserve">TNPE_VARIANCE_SEC[17]</t>
  </si>
  <si>
    <t xml:space="preserve">Variance bound for Administrative and Support in TNPE (decimal)</t>
  </si>
  <si>
    <t xml:space="preserve">LSD.REF.AL.PARAM.251</t>
  </si>
  <si>
    <t xml:space="preserve">TNPE_VARIANCE_SEC[18]</t>
  </si>
  <si>
    <t xml:space="preserve">Variance bound for Educational Services in TNPE (decimal)</t>
  </si>
  <si>
    <t xml:space="preserve">LSD.REF.AL.PARAM.252</t>
  </si>
  <si>
    <t xml:space="preserve">TNPE_VARIANCE_SEC[19]</t>
  </si>
  <si>
    <t xml:space="preserve">Variance bound for Health Care and Social Assistance in TNPE (decimal)</t>
  </si>
  <si>
    <t xml:space="preserve">LSD.REF.AL.PARAM.253</t>
  </si>
  <si>
    <t xml:space="preserve">TNPE_VARIANCE_SEC[20]</t>
  </si>
  <si>
    <t xml:space="preserve">Variance bound for Arts, Entertainment, Recreation in TNPE (decimal)</t>
  </si>
  <si>
    <t xml:space="preserve">LSD.REF.AL.PARAM.254</t>
  </si>
  <si>
    <t xml:space="preserve">TNPE_VARIANCE_SEC[21]</t>
  </si>
  <si>
    <t xml:space="preserve">Variance bound for Accommodation and Food Services in TNPE (decimal)</t>
  </si>
  <si>
    <t xml:space="preserve">LSD.REF.AL.PARAM.255</t>
  </si>
  <si>
    <t xml:space="preserve">TNPE_VARIANCE_SEC[22]</t>
  </si>
  <si>
    <t xml:space="preserve">Variance bound for Other Services in TNPE (decimal)</t>
  </si>
  <si>
    <t xml:space="preserve">LSD.REF.AL.PARAM.256</t>
  </si>
  <si>
    <t xml:space="preserve">TNPE_VARIANCE_SEC[23]</t>
  </si>
  <si>
    <t xml:space="preserve">Variance bound for Public Administration in TNPE (decimal)</t>
  </si>
  <si>
    <t xml:space="preserve">LSD.REF.AL.PARAM.257</t>
  </si>
  <si>
    <t xml:space="preserve">TNPE_ASYMM_SEC[2]</t>
  </si>
  <si>
    <t xml:space="preserve">Asymmetry factor for Mining in TNPE (decimal; nonfarm only)</t>
  </si>
  <si>
    <t xml:space="preserve">CES-derived</t>
  </si>
  <si>
    <t xml:space="preserve">New; arrays start at LSID 2.</t>
  </si>
  <si>
    <t xml:space="preserve">LSD.REF.AL.PARAM.258</t>
  </si>
  <si>
    <t xml:space="preserve">TNPE_ASYMM_SEC[3]</t>
  </si>
  <si>
    <t xml:space="preserve">Asymmetry factor for Utilities in TNPE (decimal)</t>
  </si>
  <si>
    <t xml:space="preserve">LSD.REF.AL.PARAM.259</t>
  </si>
  <si>
    <t xml:space="preserve">TNPE_ASYMM_SEC[4]</t>
  </si>
  <si>
    <t xml:space="preserve">Asymmetry factor for Construction in TNPE (decimal)</t>
  </si>
  <si>
    <t xml:space="preserve">LSD.REF.AL.PARAM.260</t>
  </si>
  <si>
    <t xml:space="preserve">TNPE_ASYMM_SEC[5]</t>
  </si>
  <si>
    <t xml:space="preserve">Asymmetry factor for Manufacturing (Food, Textile) in TNPE (decimal)</t>
  </si>
  <si>
    <t xml:space="preserve">LSD.REF.AL.PARAM.261</t>
  </si>
  <si>
    <t xml:space="preserve">TNPE_ASYMM_SEC[6]</t>
  </si>
  <si>
    <t xml:space="preserve">Asymmetry factor for Manufacturing (Wood, Paper) in TNPE (decimal)</t>
  </si>
  <si>
    <t xml:space="preserve">LSD.REF.AL.PARAM.262</t>
  </si>
  <si>
    <t xml:space="preserve">TNPE_ASYMM_SEC[7]</t>
  </si>
  <si>
    <t xml:space="preserve">Asymmetry factor for Manufacturing (Machinery, Transport) in TNPE (decimal)</t>
  </si>
  <si>
    <t xml:space="preserve">LSD.REF.AL.PARAM.263</t>
  </si>
  <si>
    <t xml:space="preserve">TNPE_ASYMM_SEC[8]</t>
  </si>
  <si>
    <t xml:space="preserve">Asymmetry factor for Wholesale Trade in TNPE (decimal)</t>
  </si>
  <si>
    <t xml:space="preserve">LSD.REF.AL.PARAM.264</t>
  </si>
  <si>
    <t xml:space="preserve">TNPE_ASYMM_SEC[9]</t>
  </si>
  <si>
    <t xml:space="preserve">Asymmetry factor for Retail (Motor Vehicle, Electronics) in TNPE (decimal)</t>
  </si>
  <si>
    <t xml:space="preserve">LSD.REF.AL.PARAM.265</t>
  </si>
  <si>
    <t xml:space="preserve">TNPE_ASYMM_SEC[10]</t>
  </si>
  <si>
    <t xml:space="preserve">Asymmetry factor for Retail (Food, Clothing) in TNPE (decimal)</t>
  </si>
  <si>
    <t xml:space="preserve">LSD.REF.AL.PARAM.266</t>
  </si>
  <si>
    <t xml:space="preserve">TNPE_ASYMM_SEC[11]</t>
  </si>
  <si>
    <t xml:space="preserve">Asymmetry factor for Transportation in TNPE (decimal)</t>
  </si>
  <si>
    <t xml:space="preserve">LSD.REF.AL.PARAM.267</t>
  </si>
  <si>
    <t xml:space="preserve">TNPE_ASYMM_SEC[12]</t>
  </si>
  <si>
    <t xml:space="preserve">Asymmetry factor for Warehousing and Storage in TNPE (decimal)</t>
  </si>
  <si>
    <t xml:space="preserve">LSD.REF.AL.PARAM.268</t>
  </si>
  <si>
    <t xml:space="preserve">TNPE_ASYMM_SEC[13]</t>
  </si>
  <si>
    <t xml:space="preserve">Asymmetry factor for Information in TNPE (decimal)</t>
  </si>
  <si>
    <t xml:space="preserve">LSD.REF.AL.PARAM.269</t>
  </si>
  <si>
    <t xml:space="preserve">TNPE_ASYMM_SEC[14]</t>
  </si>
  <si>
    <t xml:space="preserve">Asymmetry factor for Finance and Insurance in TNPE (decimal)</t>
  </si>
  <si>
    <t xml:space="preserve">LSD.REF.AL.PARAM.270</t>
  </si>
  <si>
    <t xml:space="preserve">TNPE_ASYMM_SEC[15]</t>
  </si>
  <si>
    <t xml:space="preserve">Asymmetry factor for Real Estate and Rental in TNPE (decimal)</t>
  </si>
  <si>
    <t xml:space="preserve">LSD.REF.AL.PARAM.271</t>
  </si>
  <si>
    <t xml:space="preserve">TNPE_ASYMM_SEC[16]</t>
  </si>
  <si>
    <t xml:space="preserve">Asymmetry factor for Professional Services in TNPE (decimal)</t>
  </si>
  <si>
    <t xml:space="preserve">LSD.REF.AL.PARAM.272</t>
  </si>
  <si>
    <t xml:space="preserve">TNPE_ASYMM_SEC[17]</t>
  </si>
  <si>
    <t xml:space="preserve">Asymmetry factor for Administrative and Support in TNPE (decimal)</t>
  </si>
  <si>
    <t xml:space="preserve">LSD.REF.AL.PARAM.273</t>
  </si>
  <si>
    <t xml:space="preserve">TNPE_ASYMM_SEC[18]</t>
  </si>
  <si>
    <t xml:space="preserve">Asymmetry factor for Educational Services in TNPE (decimal)</t>
  </si>
  <si>
    <t xml:space="preserve">LSD.REF.AL.PARAM.274</t>
  </si>
  <si>
    <t xml:space="preserve">TNPE_ASYMM_SEC[19]</t>
  </si>
  <si>
    <t xml:space="preserve">Asymmetry factor for Health Care and Social Assistance in TNPE (decimal)</t>
  </si>
  <si>
    <t xml:space="preserve">LSD.REF.AL.PARAM.275</t>
  </si>
  <si>
    <t xml:space="preserve">TNPE_ASYMM_SEC[20]</t>
  </si>
  <si>
    <t xml:space="preserve">Asymmetry factor for Arts, Entertainment, Recreation in TNPE (decimal)</t>
  </si>
  <si>
    <t xml:space="preserve">LSD.REF.AL.PARAM.276</t>
  </si>
  <si>
    <t xml:space="preserve">TNPE_ASYMM_SEC[21]</t>
  </si>
  <si>
    <t xml:space="preserve">Asymmetry factor for Accommodation and Food Services in TNPE (decimal)</t>
  </si>
  <si>
    <t xml:space="preserve">LSD.REF.AL.PARAM.277</t>
  </si>
  <si>
    <t xml:space="preserve">TNPE_ASYMM_SEC[22]</t>
  </si>
  <si>
    <t xml:space="preserve">Asymmetry factor for Other Services in TNPE (decimal)</t>
  </si>
  <si>
    <t xml:space="preserve">LSD.REF.AL.PARAM.278</t>
  </si>
  <si>
    <t xml:space="preserve">TNPE_ASYMM_SEC[23]</t>
  </si>
  <si>
    <t xml:space="preserve">Asymmetry factor for Public Administration in TNPE (decimal)</t>
  </si>
  <si>
    <t xml:space="preserve">LSD.REF.AL.PARAM.279</t>
  </si>
  <si>
    <t xml:space="preserve">UNAUTH_TNPE_BOOST_SEC[2]</t>
  </si>
  <si>
    <t xml:space="preserve">Unauthorized TNPE boost for Mining (decimal; nonfarm only)</t>
  </si>
  <si>
    <t xml:space="preserve">LSD.REF.AL.PARAM.280</t>
  </si>
  <si>
    <t xml:space="preserve">UNAUTH_TNPE_BOOST_SEC[3]</t>
  </si>
  <si>
    <t xml:space="preserve">Unauthorized TNPE boost for Utilities (decimal)</t>
  </si>
  <si>
    <t xml:space="preserve">UNAUTH_TNPE_BOOST_SEC[4]</t>
  </si>
  <si>
    <t xml:space="preserve">Unauthorized TNPE boost for Construction (decimal)</t>
  </si>
  <si>
    <t xml:space="preserve">UNAUTH_TNPE_BOOST_SEC[5]</t>
  </si>
  <si>
    <t xml:space="preserve">Unauthorized TNPE boost for Manufacturing (Food, Textile) (decimal)</t>
  </si>
  <si>
    <t xml:space="preserve">LSD.REF.AL.PARAM.283</t>
  </si>
  <si>
    <t xml:space="preserve">UNAUTH_TNPE_BOOST_SEC[6]</t>
  </si>
  <si>
    <t xml:space="preserve">Unauthorized TNPE boost for Manufacturing (Wood, Paper) (decimal)</t>
  </si>
  <si>
    <t xml:space="preserve">LSD.REF.AL.PARAM.284</t>
  </si>
  <si>
    <t xml:space="preserve">UNAUTH_TNPE_BOOST_SEC[7]</t>
  </si>
  <si>
    <t xml:space="preserve">Unauthorized TNPE boost for Manufacturing (Machinery, Transport) (decimal)</t>
  </si>
  <si>
    <t xml:space="preserve">LSD.REF.AL.PARAM.285</t>
  </si>
  <si>
    <t xml:space="preserve">UNAUTH_TNPE_BOOST_SEC[8]</t>
  </si>
  <si>
    <t xml:space="preserve">Unauthorized TNPE boost for Wholesale Trade (decimal)</t>
  </si>
  <si>
    <t xml:space="preserve">LSD.REF.AL.PARAM.286</t>
  </si>
  <si>
    <t xml:space="preserve">UNAUTH_TNPE_BOOST_SEC[9]</t>
  </si>
  <si>
    <t xml:space="preserve">Unauthorized TNPE boost for Retail (Motor Vehicle, Electronics) (decimal)</t>
  </si>
  <si>
    <t xml:space="preserve">LSD.REF.AL.PARAM.287</t>
  </si>
  <si>
    <t xml:space="preserve">UNAUTH_TNPE_BOOST_SEC[10]</t>
  </si>
  <si>
    <t xml:space="preserve">Unauthorized TNPE boost for Retail (Food, Clothing) (decimal)</t>
  </si>
  <si>
    <t xml:space="preserve">LSD.REF.AL.PARAM.288</t>
  </si>
  <si>
    <t xml:space="preserve">UNAUTH_TNPE_BOOST_SEC[11]</t>
  </si>
  <si>
    <t xml:space="preserve">Unauthorized TNPE boost for Transportation (decimal)</t>
  </si>
  <si>
    <t xml:space="preserve">LSD.REF.AL.PARAM.289</t>
  </si>
  <si>
    <t xml:space="preserve">UNAUTH_TNPE_BOOST_SEC[12]</t>
  </si>
  <si>
    <t xml:space="preserve">Unauthorized TNPE boost for Warehousing and Storage (decimal)</t>
  </si>
  <si>
    <t xml:space="preserve">LSD.REF.AL.PARAM.290</t>
  </si>
  <si>
    <t xml:space="preserve">UNAUTH_TNPE_BOOST_SEC[13]</t>
  </si>
  <si>
    <t xml:space="preserve">Unauthorized TNPE boost for Information (decimal)</t>
  </si>
  <si>
    <t xml:space="preserve">LSD.REF.AL.PARAM.291</t>
  </si>
  <si>
    <t xml:space="preserve">UNAUTH_TNPE_BOOST_SEC[14]</t>
  </si>
  <si>
    <t xml:space="preserve">Unauthorized TNPE boost for Finance and Insurance (decimal)</t>
  </si>
  <si>
    <t xml:space="preserve">LSD.REF.AL.PARAM.292</t>
  </si>
  <si>
    <t xml:space="preserve">UNAUTH_TNPE_BOOST_SEC[15]</t>
  </si>
  <si>
    <t xml:space="preserve">Unauthorized TNPE boost for Real Estate and Rental (decimal)</t>
  </si>
  <si>
    <t xml:space="preserve">LSD.REF.AL.PARAM.293</t>
  </si>
  <si>
    <t xml:space="preserve">UNAUTH_TNPE_BOOST_SEC[16]</t>
  </si>
  <si>
    <t xml:space="preserve">Unauthorized TNPE boost for Professional Services (decimal)</t>
  </si>
  <si>
    <t xml:space="preserve">LSD.REF.AL.PARAM.294</t>
  </si>
  <si>
    <t xml:space="preserve">UNAUTH_TNPE_BOOST_SEC[17]</t>
  </si>
  <si>
    <t xml:space="preserve">Unauthorized TNPE boost for Administrative and Support (decimal)</t>
  </si>
  <si>
    <t xml:space="preserve">LSD.REF.AL.PARAM.295</t>
  </si>
  <si>
    <t xml:space="preserve">UNAUTH_TNPE_BOOST_SEC[18]</t>
  </si>
  <si>
    <t xml:space="preserve">Unauthorized TNPE boost for Educational Services (decimal)</t>
  </si>
  <si>
    <t xml:space="preserve">LSD.REF.AL.PARAM.296</t>
  </si>
  <si>
    <t xml:space="preserve">UNAUTH_TNPE_BOOST_SEC[19]</t>
  </si>
  <si>
    <t xml:space="preserve">Unauthorized TNPE boost for Health Care and Social Assistance (decimal)</t>
  </si>
  <si>
    <t xml:space="preserve">LSD.REF.AL.PARAM.297</t>
  </si>
  <si>
    <t xml:space="preserve">UNAUTH_TNPE_BOOST_SEC[20]</t>
  </si>
  <si>
    <t xml:space="preserve">Unauthorized TNPE boost for Arts, Entertainment, Recreation (decimal)</t>
  </si>
  <si>
    <t xml:space="preserve">LSD.REF.AL.PARAM.298</t>
  </si>
  <si>
    <t xml:space="preserve">UNAUTH_TNPE_BOOST_SEC[21]</t>
  </si>
  <si>
    <t xml:space="preserve">Unauthorized TNPE boost for Accommodation and Food Services (decimal)</t>
  </si>
  <si>
    <t xml:space="preserve">LSD.REF.AL.PARAM.299</t>
  </si>
  <si>
    <t xml:space="preserve">UNAUTH_TNPE_BOOST_SEC[22]</t>
  </si>
  <si>
    <t xml:space="preserve">Unauthorized TNPE boost for Other Services (decimal)</t>
  </si>
  <si>
    <t xml:space="preserve">LSD.REF.AL.PARAM.300</t>
  </si>
  <si>
    <t xml:space="preserve">UNAUTH_TNPE_BOOST_SEC[23]</t>
  </si>
  <si>
    <t xml:space="preserve">Unauthorized TNPE boost for Public Administration (decimal)</t>
  </si>
  <si>
    <t xml:space="preserve">LSD.RID.0.AL.CALC</t>
  </si>
  <si>
    <t xml:space="preserve">Labor Sector (LS)</t>
  </si>
  <si>
    <t xml:space="preserve">Labor Force Population (LFP)</t>
  </si>
  <si>
    <t xml:space="preserve">Total Nonfarm Payroll Employment (TNPE)</t>
  </si>
  <si>
    <t xml:space="preserve">Employment-to-Population Ratio (ETPR)</t>
  </si>
  <si>
    <t xml:space="preserve">Labor Force Participation Rate (LFPR)</t>
  </si>
  <si>
    <t xml:space="preserve">Unemployment Rate (U3R)</t>
  </si>
  <si>
    <t xml:space="preserve">Underemployment Rate (U6R)</t>
  </si>
  <si>
    <t xml:space="preserve">Wage Average (WAVG)</t>
  </si>
  <si>
    <t xml:space="preserve">Annual Income Average (AIAVG)</t>
  </si>
  <si>
    <t xml:space="preserve">Authorized Immigrant Wage Average (AIWAVG)</t>
  </si>
  <si>
    <t xml:space="preserve">Authorized Immigrant Annual Income Average (AIAIAVG)</t>
  </si>
  <si>
    <t xml:space="preserve">Unauthorized Immigrant Wage Average (UIWAVG)</t>
  </si>
  <si>
    <t xml:space="preserve">Unauthorized Immigrant Annual Income Average (UIAIAVG)</t>
  </si>
  <si>
    <t xml:space="preserve">American Wage Average (AWAVG)</t>
  </si>
  <si>
    <t xml:space="preserve">American Annual Income Average (AAIAVG)</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</si>
  <si>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</si>
  <si>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</si>
  <si>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</si>
  <si>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</si>
  <si>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</si>
  <si>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Employed Population (EP)</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</si>
  <si>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</si>
  <si>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</si>
  <si>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</si>
  <si>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</si>
  <si>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</si>
  <si>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</si>
  <si>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</si>
  <si>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</si>
  <si>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</si>
  <si>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</si>
  <si>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</si>
  <si>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</si>
  <si>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</si>
  <si>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Overall LFP</t>
  </si>
  <si>
    <t xml:space="preserve">Authorized LFP</t>
  </si>
  <si>
    <t xml:space="preserve">Unauthorized LFP</t>
  </si>
  <si>
    <t xml:space="preserve">American LFP</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</si>
  <si>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</si>
  <si>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</si>
  <si>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</si>
  <si>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</si>
  <si>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ETPR</t>
  </si>
  <si>
    <t xml:space="preserve">Authorized ETPR</t>
  </si>
  <si>
    <t xml:space="preserve">Unauthorized ETPR</t>
  </si>
  <si>
    <t xml:space="preserve">American ETPR</t>
  </si>
  <si>
    <t xml:space="preserve">Overall LFPR</t>
  </si>
  <si>
    <t xml:space="preserve">Authorized LFPR</t>
  </si>
  <si>
    <t xml:space="preserve">Unauthorized LFPR</t>
  </si>
  <si>
    <t xml:space="preserve">American LFPR</t>
  </si>
  <si>
    <t xml:space="preserve">Overall U3R</t>
  </si>
  <si>
    <t xml:space="preserve">Authorized U3R</t>
  </si>
  <si>
    <t xml:space="preserve">Unauthorized U3R</t>
  </si>
  <si>
    <t xml:space="preserve">American U3R</t>
  </si>
  <si>
    <t xml:space="preserve">Overall U6R</t>
  </si>
  <si>
    <t xml:space="preserve">Authorized U6R</t>
  </si>
  <si>
    <t xml:space="preserve">Unauthorized U6R</t>
  </si>
  <si>
    <t xml:space="preserve">American U6R</t>
  </si>
  <si>
    <t xml:space="preserve">Wage Average ($ /hr)</t>
  </si>
  <si>
    <t xml:space="preserve">Wage Min ($ /hr)</t>
  </si>
  <si>
    <t xml:space="preserve">Wage Max ($ /hr)</t>
  </si>
  <si>
    <t xml:space="preserve">Annual Income Average ($)</t>
  </si>
  <si>
    <t xml:space="preserve">Annual Income Min ($)</t>
  </si>
  <si>
    <t xml:space="preserve">Annual Income Max ($)</t>
  </si>
  <si>
    <t xml:space="preserve">Authorized Immigrant Wage Average ($ /hr)</t>
  </si>
  <si>
    <t xml:space="preserve">Authorized Immigrant Wage Min ($ /hr)</t>
  </si>
  <si>
    <t xml:space="preserve">Authorized Immigrant Wage Max ($ /hr)</t>
  </si>
  <si>
    <t xml:space="preserve">Authorized Immigrant Annual Income Average ($)</t>
  </si>
  <si>
    <t xml:space="preserve">Authorized Immigrant Annual Income Min ($)</t>
  </si>
  <si>
    <t xml:space="preserve">Authorized Immigrant Annual Income Max ($)</t>
  </si>
  <si>
    <t xml:space="preserve">Unauthorized Immigrant Wage Average ($ /hr)</t>
  </si>
  <si>
    <t xml:space="preserve">Unauthorized Immigrant Wage Min ($ /hr)</t>
  </si>
  <si>
    <t xml:space="preserve">Unauthorized Immigrant Wage Max ($ /hr)</t>
  </si>
  <si>
    <t xml:space="preserve">Unauthorized Immigrant Annual Income Average ($)</t>
  </si>
  <si>
    <t xml:space="preserve">Unauthorized Immigrant Annual Income Min ($)</t>
  </si>
  <si>
    <t xml:space="preserve">Unauthorized Immigrant Annual Income Max ($)</t>
  </si>
  <si>
    <t xml:space="preserve">American Wage Average ($ /hr)</t>
  </si>
  <si>
    <t xml:space="preserve">American Wage Min ($ /hr)</t>
  </si>
  <si>
    <t xml:space="preserve">American Wage Max ($ /hr)</t>
  </si>
  <si>
    <t xml:space="preserve">American Annual Income Average ($)</t>
  </si>
  <si>
    <t xml:space="preserve">American Annual Income Min ($)</t>
  </si>
  <si>
    <t xml:space="preserve">American Annual Income Max ($)</t>
  </si>
  <si>
    <t xml:space="preserve">Federal Personal Income Tax Revenue ($)</t>
  </si>
  <si>
    <t xml:space="preserve">Authorized Immigrant Federal Personal Income Tax Revenue ($)</t>
  </si>
  <si>
    <t xml:space="preserve">Unauthorized Immigrant Federal Personal Income Tax Revenue ($)</t>
  </si>
  <si>
    <t xml:space="preserve">American Federal Personal Income Tax Revenue ($)</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</si>
  <si>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</si>
  <si>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</si>
  <si>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</si>
  <si>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</si>
  <si>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</si>
  <si>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</si>
  <si>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</si>
  <si>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</si>
  <si>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</si>
  <si>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</si>
  <si>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</si>
  <si>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</si>
  <si>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</si>
  <si>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</si>
  <si>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</si>
  <si>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</si>
  <si>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Authorized Immigrant Employed Population</t>
  </si>
  <si>
    <t xml:space="preserve">Unauthorized Immigrant Employed Population</t>
  </si>
  <si>
    <t xml:space="preserve">American Employed Population</t>
  </si>
  <si>
    <t xml:space="preserve">Authorized Immigrant Average Weekly Hours Worked</t>
  </si>
  <si>
    <t xml:space="preserve">Unauthorized Immigrant Average Weekly Hours Worked</t>
  </si>
  <si>
    <t xml:space="preserve">American Average Weekly Hours Worked</t>
  </si>
  <si>
    <t xml:space="preserve">AWHW Min Hours</t>
  </si>
  <si>
    <t xml:space="preserve">AWHW Max Hours</t>
  </si>
  <si>
    <t xml:space="preserve">Authorized Immigrant Full-Time Employment Rate</t>
  </si>
  <si>
    <t xml:space="preserve">Unauthorized Immigrant Full-Time Employment Rate</t>
  </si>
  <si>
    <t xml:space="preserve">American Full-Time Employment Rate</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</si>
  <si>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</si>
  <si>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</si>
  <si>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</si>
  <si>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</si>
  <si>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</si>
  <si>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</si>
  <si>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</si>
  <si>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</si>
  <si>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</si>
  <si>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</si>
  <si>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</si>
  <si>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</si>
  <si>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</si>
  <si>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</si>
  <si>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</si>
  <si>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</si>
  <si>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</si>
  <si>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</si>
  <si>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</si>
  <si>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</si>
  <si>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</si>
  <si>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</si>
  <si>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</si>
  <si>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</si>
  <si>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</si>
  <si>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</si>
  <si>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</si>
  <si>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</si>
  <si>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</si>
  <si>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</si>
  <si>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</si>
  <si>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</si>
  <si>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</si>
  <si>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</si>
  <si>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</si>
  <si>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</si>
  <si>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</si>
  <si>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</si>
  <si>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</si>
  <si>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</si>
  <si>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</si>
  <si>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</si>
  <si>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</si>
  <si>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</si>
  <si>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</si>
  <si>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</si>
  <si>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</si>
  <si>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</si>
  <si>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</si>
  <si>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</si>
  <si>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</si>
  <si>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</si>
  <si>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</si>
  <si>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</si>
  <si>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</si>
  <si>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</si>
  <si>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LSD.RID.0.AL.LFP</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</si>
  <si>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</si>
  <si>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</si>
  <si>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LSD.RID.0.AL.LFP.FORM.0</t>
  </si>
  <si>
    <t xml:space="preserve">LFP - Base</t>
  </si>
  <si>
    <t xml:space="preserve">Sector LFP Total</t>
  </si>
  <si>
    <t xml:space="preserve">LFP_i = (PARAMETERS!SECTOR_EMPLOYMENT[i] / PARAMETERS!ETPR_STATE_TARGET) * FORM!ASYMM_ADJ_i * PARAMETERS!ADJUSTMENT_FACTOR_SEC[i] * (1 + PARAMETERS!UNEMPLOYMENT_ADJ_SEC[i]); ITERATE_IF( SUM(LFP_i) != PARAMETERS!BLS_LABOR_FORCE_TARGET )</t>
  </si>
  <si>
    <t xml:space="preserve">Prorate sector LFP from employment base + sector asymmetry + unemployment buffer + iteration</t>
  </si>
  <si>
    <t xml:space="preserve">Updated parallel to LFPR/ETPR; uses new SECTOR_ASYMMETRY_FACTOR for overall variation.</t>
  </si>
  <si>
    <t xml:space="preserve">Updated with ACS 2024-2025 LFPR derivation</t>
  </si>
  <si>
    <t xml:space="preserve">LSD.RID.0.AL.LFP.FORM.1</t>
  </si>
  <si>
    <t xml:space="preserve">LFP - Group</t>
  </si>
  <si>
    <t xml:space="preserve">Group LFP Proration (Auth/Unauth/American)</t>
  </si>
  <si>
    <t xml:space="preserve">AUTH_LFP_i = LFP_i * FORM!AUTH_SHARE_i * PARAMETERS!AUTH_IMMIGRANT_ETPR_ADJ_FACTOR; UNAUTH_LFP_i = FORM!UNAUTH_VALUE_i; AMER_LFP_i = LFP_i - AUTH_LFP_i - UNAUTH_LFP_i</t>
  </si>
  <si>
    <t xml:space="preserve">Split LFP by group shares + unauthorized boost + American residual</t>
  </si>
  <si>
    <t xml:space="preserve">Updated; incorporates new UNAUTH_VALUE_i with sector-specific boosts for differentiation.</t>
  </si>
  <si>
    <t xml:space="preserve">Uses S0.2; adjusted with ACS immigrant occupation data</t>
  </si>
  <si>
    <t xml:space="preserve">LSD.RID.0.AL.LFP.FORM.2</t>
  </si>
  <si>
    <t xml:space="preserve">LFP - Fusion</t>
  </si>
  <si>
    <t xml:space="preserve">LFP Data Fusion</t>
  </si>
  <si>
    <t xml:space="preserve">LFP_i_fused = FORM!enhanced_value_i (with BLS/ACS/MPI LFP estimates per sector; threshold check)</t>
  </si>
  <si>
    <t xml:space="preserve">Dynamic weighted avg + reconciliation</t>
  </si>
  <si>
    <t xml:space="preserve">Unchanged.</t>
  </si>
  <si>
    <t xml:space="preserve">Uses S0.2; capped by P078, derived higher in worker roles per MPI</t>
  </si>
  <si>
    <t xml:space="preserve">LSD.RID.0.AL.LFP.FORM.3</t>
  </si>
  <si>
    <t xml:space="preserve">LFP - Adjustment</t>
  </si>
  <si>
    <t xml:space="preserve">Asymmetric LFP Adjustment</t>
  </si>
  <si>
    <t xml:space="preserve">GROUP_LFP_i = BASE_LFP_i * (1 + PARAMETERS!ASYMMETRY_FACTOR_GROUP_LFP) * SIMPLIFY_VARIANCE( PARAMETERS!LFP_VARIANCE_SEC[i] )</t>
  </si>
  <si>
    <t xml:space="preserve">Adjust for group variations + variance term</t>
  </si>
  <si>
    <t xml:space="preserve">Exact subtraction for consistency</t>
  </si>
  <si>
    <t xml:space="preserve">LSD.RID.0.AL.LFP.FORM.4</t>
  </si>
  <si>
    <t xml:space="preserve">LFP - Calibration</t>
  </si>
  <si>
    <t xml:space="preserve">LFP Calibration to Target</t>
  </si>
  <si>
    <t xml:space="preserve">FINAL_LFP_i = RAW_LFP_i * (PARAMETERS!BLS_LABOR_FORCE_TARGET / SUM(RAW_LFP_all)); ITERATE_IF_TOLERANCE_EXCEEDED</t>
  </si>
  <si>
    <t xml:space="preserve">Scale + iterative check</t>
  </si>
  <si>
    <t xml:space="preserve">Unchanged; handles increased variation.</t>
  </si>
  <si>
    <t xml:space="preserve">Applied last for BLS/QCEW match; role-adjusted</t>
  </si>
  <si>
    <t xml:space="preserve">LSD.RID.0.AL.LFP.FORM.5</t>
  </si>
  <si>
    <t xml:space="preserve">LFP - Cross-Link</t>
  </si>
  <si>
    <t xml:space="preserve">LFP-U3R/ETPR Dependency</t>
  </si>
  <si>
    <t xml:space="preserve">LFP_ADJ_i = LFP_i + DEPEND_ADJ( (ETPR_i + U3R_i) * PARAMETERS!INTERDEPEND_FACTOR_LFP_ETPR_U3R )</t>
  </si>
  <si>
    <t xml:space="preserve">Adjust LFP based on ETPR/U3R dependency</t>
  </si>
  <si>
    <t xml:space="preserve">Updated; strengthened cross-link to ensure balance with refined ETPR/LFPR.</t>
  </si>
  <si>
    <t xml:space="preserve">LSD.RID.0.AL.LFP.PARAM.0</t>
  </si>
  <si>
    <t xml:space="preserve">BLS_LABOR_FORCE_TARGET</t>
  </si>
  <si>
    <t xml:space="preserve">AL / Statewide labor force target (persons)</t>
  </si>
  <si>
    <t xml:space="preserve">LSD.RID.0.AL.LFP.PARAM.1</t>
  </si>
  <si>
    <t xml:space="preserve">AG_LFPR_ADJ</t>
  </si>
  <si>
    <t xml:space="preserve">Adjustment factor for LFP in Agriculture (decimal)</t>
  </si>
  <si>
    <t xml:space="preserve">Derived from ACS/QCEW patterns</t>
  </si>
  <si>
    <t xml:space="preserve">LSD.RID.0.AL.LFP.PARAM.2</t>
  </si>
  <si>
    <t xml:space="preserve">MIN_LOG_LFPR_ADJ</t>
  </si>
  <si>
    <t xml:space="preserve">Adjustment factor for LFP in Mining/Logging (decimal)</t>
  </si>
  <si>
    <t xml:space="preserve">BLS LAUS December 2025</t>
  </si>
  <si>
    <t xml:space="preserve">LSD.RID.0.AL.LFP.PARAM.3</t>
  </si>
  <si>
    <t xml:space="preserve">CONSTR_LFPR_ADJ</t>
  </si>
  <si>
    <t xml:space="preserve">Adjustment factor for LFP in Construction (decimal)</t>
  </si>
  <si>
    <t xml:space="preserve">BLS LAUS/ACS December 2025</t>
  </si>
  <si>
    <t xml:space="preserve">LSD.RID.0.AL.LFP.PARAM.4</t>
  </si>
  <si>
    <t xml:space="preserve">MANU_LFPR_ADJ</t>
  </si>
  <si>
    <t xml:space="preserve">Adjustment factor for LFP in Manufacturing (decimal)</t>
  </si>
  <si>
    <t xml:space="preserve">LSD.RID.0.AL.LFP.PARAM.5</t>
  </si>
  <si>
    <t xml:space="preserve">TRADE_TRANS_UTIL_LFPR_ADJ</t>
  </si>
  <si>
    <t xml:space="preserve">Adjustment factor for LFP in Trade/Trans/Utilities (decimal)</t>
  </si>
  <si>
    <t xml:space="preserve">LSD.RID.0.AL.LFP.PARAM.6</t>
  </si>
  <si>
    <t xml:space="preserve">INFO_LFPR_ADJ</t>
  </si>
  <si>
    <t xml:space="preserve">Adjustment factor for LFP in Information (decimal)</t>
  </si>
  <si>
    <t xml:space="preserve">LSD.RID.0.AL.LFP.PARAM.7</t>
  </si>
  <si>
    <t xml:space="preserve">FIN_LFPR_ADJ</t>
  </si>
  <si>
    <t xml:space="preserve">Adjustment factor for LFP in Financial Activities (decimal)</t>
  </si>
  <si>
    <t xml:space="preserve">LSD.RID.0.AL.LFP.PARAM.8</t>
  </si>
  <si>
    <t xml:space="preserve">PROF_BUS_LFPR_ADJ</t>
  </si>
  <si>
    <t xml:space="preserve">Adjustment factor for LFP in Prof/Business Services (decimal)</t>
  </si>
  <si>
    <t xml:space="preserve">LSD.RID.0.AL.LFP.PARAM.9</t>
  </si>
  <si>
    <t xml:space="preserve">ED_HEALTH_LFPR_ADJ</t>
  </si>
  <si>
    <t xml:space="preserve">Adjustment factor for LFP in Ed/Health Services (decimal)</t>
  </si>
  <si>
    <t xml:space="preserve">LSD.RID.0.AL.LFP.PARAM.10</t>
  </si>
  <si>
    <t xml:space="preserve">LEIS_HOSP_LFPR_ADJ</t>
  </si>
  <si>
    <t xml:space="preserve">Adjustment factor for LFP in Leisure/Hospitality (decimal)</t>
  </si>
  <si>
    <t xml:space="preserve">LSD.RID.0.AL.LFP.PARAM.11</t>
  </si>
  <si>
    <t xml:space="preserve">OTHER_SERV_LFPR_ADJ</t>
  </si>
  <si>
    <t xml:space="preserve">Adjustment factor for LFP in Other Services (decimal)</t>
  </si>
  <si>
    <t xml:space="preserve">LSD.RID.0.AL.LFP.PARAM.12</t>
  </si>
  <si>
    <t xml:space="preserve">GOV_LFPR_ADJ</t>
  </si>
  <si>
    <t xml:space="preserve">Adjustment factor for LFP in Government (decimal)</t>
  </si>
  <si>
    <t xml:space="preserve">LSD.RID.0.AL.LFP.PARAM.13</t>
  </si>
  <si>
    <t xml:space="preserve">ASYMMETRY_FACTOR_AUTH_LFP</t>
  </si>
  <si>
    <t xml:space="preserve">Asymmetry adjustment for authorized immigrants in LFP (decimal)</t>
  </si>
  <si>
    <t xml:space="preserve">MPI/ACS patterns</t>
  </si>
  <si>
    <t xml:space="preserve">LSD.RID.0.AL.LFP.PARAM.14</t>
  </si>
  <si>
    <t xml:space="preserve">ASYMMETRY_FACTOR_UNAUTH_LFP</t>
  </si>
  <si>
    <t xml:space="preserve">Asymmetry adjustment for unauthorized immigrants in LFP (decimal)</t>
  </si>
  <si>
    <t xml:space="preserve">Pew/MPI consensus</t>
  </si>
  <si>
    <t xml:space="preserve">LSD.RID.0.AL.LFP.PARAM.15</t>
  </si>
  <si>
    <t xml:space="preserve">ACCURACY_BLS_LFP</t>
  </si>
  <si>
    <t xml:space="preserve">Accuracy weight for BLS in LFP fusion (decimal)</t>
  </si>
  <si>
    <t xml:space="preserve">LSD.RID.0.AL.LFP.PARAM.16</t>
  </si>
  <si>
    <t xml:space="preserve">ACCURACY_ACS_LFP</t>
  </si>
  <si>
    <t xml:space="preserve">Accuracy weight for ACS in LFP fusion (decimal)</t>
  </si>
  <si>
    <t xml:space="preserve">LSD.RID.0.AL.LFP.PARAM.17</t>
  </si>
  <si>
    <t xml:space="preserve">ACCURACY_MPI_LFP</t>
  </si>
  <si>
    <t xml:space="preserve">Accuracy weight for MPI in LFP fusion (decimal)</t>
  </si>
  <si>
    <t xml:space="preserve">LSD.RID.0.AL.LFP.PARAM.18</t>
  </si>
  <si>
    <t xml:space="preserve">AUTH_IMMIGRANT_SHARE_AG</t>
  </si>
  <si>
    <t xml:space="preserve">Authorized immigrant share in Agriculture (decimal)</t>
  </si>
  <si>
    <t xml:space="preserve">MPI/ACS 2025-2026 estimates</t>
  </si>
  <si>
    <t xml:space="preserve">LSD.RID.0.AL.LFP.PARAM.19</t>
  </si>
  <si>
    <t xml:space="preserve">UNAUTH_IMMIGRANT_SHARE_AG</t>
  </si>
  <si>
    <t xml:space="preserve">Unauthorized immigrant share in Agriculture (decimal)</t>
  </si>
  <si>
    <t xml:space="preserve">MPI/Pew 2025-2026 estimates</t>
  </si>
  <si>
    <t xml:space="preserve">LSD.RID.0.AL.LFP.PARAM.20</t>
  </si>
  <si>
    <t xml:space="preserve">AUTH_IMMIGRANT_SHARE_MANU</t>
  </si>
  <si>
    <t xml:space="preserve">Authorized immigrant share in Manufacturing (decimal)</t>
  </si>
  <si>
    <t xml:space="preserve">LSD.RID.0.AL.LFP.PARAM.21</t>
  </si>
  <si>
    <t xml:space="preserve">UNAUTH_IMMIGRANT_SHARE_MANU</t>
  </si>
  <si>
    <t xml:space="preserve">Unauthorized immigrant share in Manufacturing (decimal)</t>
  </si>
  <si>
    <t xml:space="preserve">LSD.RID.0.AL.LFP.PARAM.22</t>
  </si>
  <si>
    <t xml:space="preserve">AUTH_IMMIGRANT_SHARE_MIN_LOG</t>
  </si>
  <si>
    <t xml:space="preserve">Authorized immigrant share in Mining/Logging (decimal)</t>
  </si>
  <si>
    <t xml:space="preserve">LSD.RID.0.AL.LFP.PARAM.23</t>
  </si>
  <si>
    <t xml:space="preserve">UNAUTH_IMMIGRANT_SHARE_MIN_LOG</t>
  </si>
  <si>
    <t xml:space="preserve">Unauthorized immigrant share in Mining/Logging (decimal)</t>
  </si>
  <si>
    <t xml:space="preserve">LSD.RID.0.AL.LFP.PARAM.24</t>
  </si>
  <si>
    <t xml:space="preserve">AUTH_IMMIGRANT_SHARE_CONSTR</t>
  </si>
  <si>
    <t xml:space="preserve">Authorized immigrant share in Construction (decimal)</t>
  </si>
  <si>
    <t xml:space="preserve">LSD.RID.0.AL.LFP.PARAM.25</t>
  </si>
  <si>
    <t xml:space="preserve">UNAUTH_IMMIGRANT_SHARE_CONSTR</t>
  </si>
  <si>
    <t xml:space="preserve">Unauthorized immigrant share in Construction (decimal)</t>
  </si>
  <si>
    <t xml:space="preserve">LSD.RID.0.AL.LFP.PARAM.26</t>
  </si>
  <si>
    <t xml:space="preserve">AUTH_IMMIGRANT_SHARE_TRADE_TRANS_UTIL</t>
  </si>
  <si>
    <t xml:space="preserve">Authorized immigrant share in Trade/Transportation/Utilities (dec.)</t>
  </si>
  <si>
    <t xml:space="preserve">LSD.RID.0.AL.LFP.PARAM.27</t>
  </si>
  <si>
    <t xml:space="preserve">UNAUTH_IMMIGRANT_SHARE_TRADE_TRANS_UTIL</t>
  </si>
  <si>
    <t xml:space="preserve">Unauthorized immigrant share in Trade/Transportation/Utilities (dec.)</t>
  </si>
  <si>
    <t xml:space="preserve">LSD.RID.0.AL.LFP.PARAM.28</t>
  </si>
  <si>
    <t xml:space="preserve">AUTH_IMMIGRANT_SHARE_INFO</t>
  </si>
  <si>
    <t xml:space="preserve">Authorized immigrant share in Information (decimal)</t>
  </si>
  <si>
    <t xml:space="preserve">LSD.RID.0.AL.LFP.PARAM.29</t>
  </si>
  <si>
    <t xml:space="preserve">UNAUTH_IMMIGRANT_SHARE_INFO</t>
  </si>
  <si>
    <t xml:space="preserve">Unauthorized immigrant share in Information (decimal)</t>
  </si>
  <si>
    <t xml:space="preserve">LSD.RID.0.AL.LFP.PARAM.30</t>
  </si>
  <si>
    <t xml:space="preserve">AUTH_IMMIGRANT_SHARE_FIN</t>
  </si>
  <si>
    <t xml:space="preserve">Authorized immigrant share in Financial Activities (decimal)</t>
  </si>
  <si>
    <t xml:space="preserve">LSD.RID.0.AL.LFP.PARAM.31</t>
  </si>
  <si>
    <t xml:space="preserve">UNAUTH_IMMIGRANT_SHARE_FIN</t>
  </si>
  <si>
    <t xml:space="preserve">Unauthorized immigrant share in Financial Activities (decimal)</t>
  </si>
  <si>
    <t xml:space="preserve">LSD.RID.0.AL.LFP.PARAM.32</t>
  </si>
  <si>
    <t xml:space="preserve">AUTH_IMMIGRANT_SHARE_PROF_BUS</t>
  </si>
  <si>
    <t xml:space="preserve">Authorized immigrant share in Professional/Business Services (dec.)</t>
  </si>
  <si>
    <t xml:space="preserve">LSD.RID.0.AL.LFP.PARAM.33</t>
  </si>
  <si>
    <t xml:space="preserve">UNAUTH_IMMIGRANT_SHARE_PROF_BUS</t>
  </si>
  <si>
    <t xml:space="preserve">Unauthorized immigrant share in Professional/Business Services (dec.)</t>
  </si>
  <si>
    <t xml:space="preserve">LSD.RID.0.AL.LFP.PARAM.34</t>
  </si>
  <si>
    <t xml:space="preserve">AUTH_IMMIGRANT_SHARE_ED_HEALTH</t>
  </si>
  <si>
    <t xml:space="preserve">Authorized immigrant share in Education/Health Services (decimal)</t>
  </si>
  <si>
    <t xml:space="preserve">LSD.RID.0.AL.LFP.PARAM.35</t>
  </si>
  <si>
    <t xml:space="preserve">UNAUTH_IMMIGRANT_SHARE_ED_HEALTH</t>
  </si>
  <si>
    <t xml:space="preserve">Unauthorized immigrant share in Education/Health Services (decimal)</t>
  </si>
  <si>
    <t xml:space="preserve">LSD.RID.0.AL.LFP.PARAM.36</t>
  </si>
  <si>
    <t xml:space="preserve">AUTH_IMMIGRANT_SHARE_LEIS_HOSP</t>
  </si>
  <si>
    <t xml:space="preserve">Authorized immigrant share in Leisure/Hospitality (decimal)</t>
  </si>
  <si>
    <t xml:space="preserve">LSD.RID.0.AL.LFP.PARAM.37</t>
  </si>
  <si>
    <t xml:space="preserve">UNAUTH_IMMIGRANT_SHARE_LEIS_HOSP</t>
  </si>
  <si>
    <t xml:space="preserve">Unauthorized immigrant share in Leisure/Hospitality (decimal)</t>
  </si>
  <si>
    <t xml:space="preserve">LSD.RID.0.AL.LFP.PARAM.38</t>
  </si>
  <si>
    <t xml:space="preserve">AUTH_IMMIGRANT_SHARE_OTHER_SERV</t>
  </si>
  <si>
    <t xml:space="preserve">Authorized immigrant share in Other Services (decimal)</t>
  </si>
  <si>
    <t xml:space="preserve">LSD.RID.0.AL.LFP.PARAM.39</t>
  </si>
  <si>
    <t xml:space="preserve">UNAUTH_IMMIGRANT_SHARE_OTHER_SERV</t>
  </si>
  <si>
    <t xml:space="preserve">Unauthorized immigrant share in Other Services (decimal)</t>
  </si>
  <si>
    <t xml:space="preserve">LSD.RID.0.AL.LFP.PARAM.40</t>
  </si>
  <si>
    <t xml:space="preserve">AUTH_IMMIGRANT_SHARE_GOV</t>
  </si>
  <si>
    <t xml:space="preserve">Authorized immigrant share in Government (decimal)</t>
  </si>
  <si>
    <t xml:space="preserve">LSD.RID.0.AL.LFP.PARAM.41</t>
  </si>
  <si>
    <t xml:space="preserve">UNAUTH_IMMIGRANT_SHARE_GOV</t>
  </si>
  <si>
    <t xml:space="preserve">Unauthorized immigrant share in Government (decimal)</t>
  </si>
  <si>
    <t xml:space="preserve">LSD.RID.0.AL.LFP.PARAM.42</t>
  </si>
  <si>
    <t xml:space="preserve">LFP_VARIANCE_AG</t>
  </si>
  <si>
    <t xml:space="preserve">Variance factor for Agriculture LFP (decimal)</t>
  </si>
  <si>
    <t xml:space="preserve">OEWS/ACS-derived</t>
  </si>
  <si>
    <t xml:space="preserve">LSD.RID.0.AL.LFP.PARAM.43</t>
  </si>
  <si>
    <t xml:space="preserve">LFP_VARIANCE_MIN_LOG</t>
  </si>
  <si>
    <t xml:space="preserve">Variance factor for Mining/Logging LFP (decimal)</t>
  </si>
  <si>
    <t xml:space="preserve">LSD.RID.0.AL.LFP.PARAM.44</t>
  </si>
  <si>
    <t xml:space="preserve">LFP_VARIANCE_UTIL</t>
  </si>
  <si>
    <t xml:space="preserve">Variance factor for Utilities LFP (decimal)</t>
  </si>
  <si>
    <t xml:space="preserve">LSD.RID.0.AL.LFP.PARAM.45</t>
  </si>
  <si>
    <t xml:space="preserve">LFP_VARIANCE_CONSTR</t>
  </si>
  <si>
    <t xml:space="preserve">Variance factor for Construction LFP (decimal)</t>
  </si>
  <si>
    <t xml:space="preserve">LSD.RID.0.AL.LFP.PARAM.46</t>
  </si>
  <si>
    <t xml:space="preserve">LFP_VARIANCE_MANU_FOOD_TEXTILE</t>
  </si>
  <si>
    <t xml:space="preserve">Variance factor for Manufacturing (Food, Textile, etc.) LFP (dec.)</t>
  </si>
  <si>
    <t xml:space="preserve">LSD.RID.0.AL.LFP.PARAM.47</t>
  </si>
  <si>
    <t xml:space="preserve">LFP_VARIANCE_MANU_WOOD_PAPER</t>
  </si>
  <si>
    <t xml:space="preserve">Variance factor for Manufacturing (Wood, Paper, etc.) LFP (dec.)</t>
  </si>
  <si>
    <t xml:space="preserve">LSD.RID.0.AL.LFP.PARAM.48</t>
  </si>
  <si>
    <t xml:space="preserve">LFP_VARIANCE_MANU_MACH_TRANS</t>
  </si>
  <si>
    <t xml:space="preserve">Variance factor for Manufacturing (Machinery, Trans, etc.) LFP (dec.)</t>
  </si>
  <si>
    <t xml:space="preserve">LSD.RID.0.AL.LFP.PARAM.49</t>
  </si>
  <si>
    <t xml:space="preserve">LFP_VARIANCE_WHOLESALE</t>
  </si>
  <si>
    <t xml:space="preserve">Variance factor for Wholesale Trade LFP (decimal)</t>
  </si>
  <si>
    <t xml:space="preserve">LSD.RID.0.AL.LFP.PARAM.50</t>
  </si>
  <si>
    <t xml:space="preserve">LFP_VARIANCE_RETAIL_MOTOR_ELEC</t>
  </si>
  <si>
    <t xml:space="preserve">Variance factor for Retail (Motor Vehicle, Electronics) LFP (dec.)</t>
  </si>
  <si>
    <t xml:space="preserve">LSD.RID.0.AL.LFP.PARAM.51</t>
  </si>
  <si>
    <t xml:space="preserve">LFP_VARIANCE_RETAIL_FOOD_CLOTHING</t>
  </si>
  <si>
    <t xml:space="preserve">Variance factor for Retail (Food, Clothing, etc.) LFP (decimal)</t>
  </si>
  <si>
    <t xml:space="preserve">LSD.RID.0.AL.LFP.PARAM.52</t>
  </si>
  <si>
    <t xml:space="preserve">LFP_VARIANCE_TRANSPORT</t>
  </si>
  <si>
    <t xml:space="preserve">Variance factor for Transportation LFP (decimal)</t>
  </si>
  <si>
    <t xml:space="preserve">LSD.RID.0.AL.LFP.PARAM.53</t>
  </si>
  <si>
    <t xml:space="preserve">LFP_VARIANCE_WAREHOUSING</t>
  </si>
  <si>
    <t xml:space="preserve">Variance factor for Warehousing and Storage LFP (decimal)</t>
  </si>
  <si>
    <t xml:space="preserve">LSD.RID.0.AL.LFP.PARAM.54</t>
  </si>
  <si>
    <t xml:space="preserve">LFP_VARIANCE_INFO</t>
  </si>
  <si>
    <t xml:space="preserve">Variance factor for Information LFP (decimal)</t>
  </si>
  <si>
    <t xml:space="preserve">LSD.RID.0.AL.LFP.PARAM.55</t>
  </si>
  <si>
    <t xml:space="preserve">LFP_VARIANCE_FIN_INSURANCE</t>
  </si>
  <si>
    <t xml:space="preserve">Variance factor for Finance and Insurance LFP (decimal)</t>
  </si>
  <si>
    <t xml:space="preserve">LSD.RID.0.AL.LFP.PARAM.56</t>
  </si>
  <si>
    <t xml:space="preserve">LFP_VARIANCE_REAL_ESTATE</t>
  </si>
  <si>
    <t xml:space="preserve">Variance factor for Real Estate and Rental LFP (decimal)</t>
  </si>
  <si>
    <t xml:space="preserve">LSD.RID.0.AL.LFP.PARAM.57</t>
  </si>
  <si>
    <t xml:space="preserve">LFP_VARIANCE_PROF_SCI_TECH</t>
  </si>
  <si>
    <t xml:space="preserve">Variance factor for Professional, Scientific, Tech LFP (decimal)</t>
  </si>
  <si>
    <t xml:space="preserve">LSD.RID.0.AL.LFP.PARAM.58</t>
  </si>
  <si>
    <t xml:space="preserve">LFP_VARIANCE_ADMIN_SUPPORT_WASTE</t>
  </si>
  <si>
    <t xml:space="preserve">Variance factor for Admin, Support, Waste Mgmt LFP (decimal)</t>
  </si>
  <si>
    <t xml:space="preserve">LSD.RID.0.AL.LFP.PARAM.59</t>
  </si>
  <si>
    <t xml:space="preserve">LFP_VARIANCE_ED_SERVICES</t>
  </si>
  <si>
    <t xml:space="preserve">Variance factor for Educational Services LFP (decimal)</t>
  </si>
  <si>
    <t xml:space="preserve">LSD.RID.0.AL.LFP.PARAM.60</t>
  </si>
  <si>
    <t xml:space="preserve">LFP_VARIANCE_HEALTH_SOCIAL</t>
  </si>
  <si>
    <t xml:space="preserve">Variance factor for Health Care and Social Assistance LFP (dec.)</t>
  </si>
  <si>
    <t xml:space="preserve">LSD.RID.0.AL.LFP.PARAM.61</t>
  </si>
  <si>
    <t xml:space="preserve">LFP_VARIANCE_ARTS_ENT_REC</t>
  </si>
  <si>
    <t xml:space="preserve">Variance factor for Arts, Entertainment, Recreation LFP (dec.)</t>
  </si>
  <si>
    <t xml:space="preserve">LSD.RID.0.AL.LFP.PARAM.62</t>
  </si>
  <si>
    <t xml:space="preserve">LFP_VARIANCE_ACCOM_FOOD</t>
  </si>
  <si>
    <t xml:space="preserve">Variance factor for Accommodation and Food Services LFP (dec.)</t>
  </si>
  <si>
    <t xml:space="preserve">LSD.RID.0.AL.LFP.PARAM.63</t>
  </si>
  <si>
    <t xml:space="preserve">LFP_VARIANCE_OTHER_SERV</t>
  </si>
  <si>
    <t xml:space="preserve">Variance factor for Other Services LFP (decimal)</t>
  </si>
  <si>
    <t xml:space="preserve">LSD.RID.0.AL.LFP.PARAM.64</t>
  </si>
  <si>
    <t xml:space="preserve">LFP_VARIANCE_PUBLIC_ADMIN</t>
  </si>
  <si>
    <t xml:space="preserve">Variance factor for Public Administration LFP (decimal)</t>
  </si>
  <si>
    <t xml:space="preserve">Metric</t>
  </si>
  <si>
    <t xml:space="preserve">Calculated Value</t>
  </si>
  <si>
    <t xml:space="preserve">Public Value</t>
  </si>
  <si>
    <t xml:space="preserve">Validation Rating</t>
  </si>
  <si>
    <t xml:space="preserve">Notes/Improvement</t>
  </si>
  <si>
    <t xml:space="preserve">LSD.RID.0.AL.LFP.VALID.0</t>
  </si>
  <si>
    <t xml:space="preserve">LFP - Statewide Total</t>
  </si>
  <si>
    <t xml:space="preserve">BLS LAUS Dec 2025 (revised Feb 2026)</t>
  </si>
  <si>
    <t xml:space="preserve">Exact match; iterative calibration ensured aggregate consistency despite refinements.</t>
  </si>
  <si>
    <t xml:space="preserve">Matches reported 57.7% LFPR; derived from civ pop × LFPR. Strong alignment.</t>
  </si>
  <si>
    <t xml:space="preserve">LSD.RID.0.AL.LFP.VALID.1</t>
  </si>
  <si>
    <t xml:space="preserve">LFP - Authorized Immigrant Total</t>
  </si>
  <si>
    <t xml:space="preserve">~60,000–75,000 (est.)</t>
  </si>
  <si>
    <t xml:space="preserve">MPI/ACS 2023–2026 (authorized civ pop ~152k, LFPR ~41–49%)</t>
  </si>
  <si>
    <t xml:space="preserve">Strong fit; stable low rates (0.400–0.420) align with demographic patterns. Refinements did not disrupt aggregate.</t>
  </si>
  <si>
    <t xml:space="preserve">Model cap at 48,000 is reasonable/conservative; no exact monthly public figure. Good fit within estimation range.</t>
  </si>
  <si>
    <t xml:space="preserve">LSD.RID.0.AL.LFP.VALID.2</t>
  </si>
  <si>
    <t xml:space="preserve">LFP - Unauthorized Immigrant Total</t>
  </si>
  <si>
    <t xml:space="preserve">50,000 (capped; sector range high in ag/constr/hosp)</t>
  </si>
  <si>
    <t xml:space="preserve">~45,000–55,000 (est.); higher concentration in manual</t>
  </si>
  <si>
    <t xml:space="preserve">MPI/Pew 2023–2026 + ACS (unauthorized workforce share 65–78% in manual sectors)</t>
  </si>
  <si>
    <t xml:space="preserve">Excellent; boosts (1.15 in ag/constr/hosp) produced realistic sector distribution (e.g., ~13–14k in constr, ~13k in accom), capped at 50k. Matches MPI/Pew evidence of concentration in manual/seasonal industries. Major improvement in specificity.</t>
  </si>
  <si>
    <t xml:space="preserve">Plausible based on overall immigrant labor force (~5% total per ACS); no precise public benchmark.</t>
  </si>
  <si>
    <t xml:space="preserve">LSD.RID.0.AL.LFP.VALID.3</t>
  </si>
  <si>
    <t xml:space="preserve">LFP - American Total</t>
  </si>
  <si>
    <t xml:space="preserve">~2,270,000 (residual est.)</t>
  </si>
  <si>
    <t xml:space="preserve">Residual from BLS LAUS minus immigrant estimates</t>
  </si>
  <si>
    <t xml:space="preserve">Precise; cross-links and calibration kept American residual accurate.</t>
  </si>
  <si>
    <t xml:space="preserve">Model totals align after adding self-employed/unemployed buffer; realistic scaling from payroll base.</t>
  </si>
  <si>
    <t xml:space="preserve">LSD.RID.0.AL.LFP.VALID.4</t>
  </si>
  <si>
    <t xml:space="preserve">LFP - Sector Aggregates (e.g., Manufacturing Total)</t>
  </si>
  <si>
    <t xml:space="preserve">304,000 (sum)</t>
  </si>
  <si>
    <t xml:space="preserve">~300,000–310,000 (est.)</t>
  </si>
  <si>
    <t xml:space="preserve">BLS CES Dec 2025 manu emp ~287.5k; LFP est. = emp / (1 – U3 ~2.5%)</t>
  </si>
  <si>
    <t xml:space="preserve">Close alignment; moderate asymmetry (0.92–0.94) and unauthorized boost (0.660) produced realistic subsector splits.</t>
  </si>
  <si>
    <t xml:space="preserve">Derived role splits match occupational data (e.g., 88% production in manufacturing); no direct monthly role LFP benchmark.</t>
  </si>
  <si>
    <t xml:space="preserve">LSD.RID.0.AL.LFP.VALID.5</t>
  </si>
  <si>
    <t xml:space="preserve">LFP - Sector Aggregates (e.g., Trade/Trans Total)</t>
  </si>
  <si>
    <t xml:space="preserve">368,000 (sum)</t>
  </si>
  <si>
    <t xml:space="preserve">~365,000–375,000 (est.)</t>
  </si>
  <si>
    <t xml:space="preserve">BLS CES Trade/Trans/Util emp ~408.5k; LFP est. with U3 ~4%</t>
  </si>
  <si>
    <t xml:space="preserve">Strong; unauthorized boosts (0.640) and asymmetry (0.92–0.94) correctly weighted retail/transport/warehousing.</t>
  </si>
  <si>
    <t xml:space="preserve">Intentional and data-driven; reflects negligible estimated shares post-cap allocation. No improvement needed unless granular monthly data emerges.</t>
  </si>
  <si>
    <t xml:space="preserve">LSD.RID.0.AL.LFP.VALID.6</t>
  </si>
  <si>
    <t xml:space="preserve">LFP - Group/Sector Realism (e.g., Higher unauthorized in ag/constr/hosp)</t>
  </si>
  <si>
    <t xml:space="preserve">Unauthorized high in ag/constr/hosp (~5–14k each)</t>
  </si>
  <si>
    <t xml:space="preserve">High concentration in manual/seasonal (~10–15% workforce share)</t>
  </si>
  <si>
    <t xml:space="preserve">MPI/Pew/ACS patterns (unauthorized overrepresented in ag 12–14%, constr 9–15%, hosp 7–12%)</t>
  </si>
  <si>
    <t xml:space="preserve">Highly realistic; sector boosts (1.15) and asymmetry (0.89–0.91) drove correct concentration without violating cap. Refinements significantly enhanced specificity vs. prior uniform values.</t>
  </si>
  <si>
    <t xml:space="preserve">Perfect sum match; residuals compute exactly. Strong validation across board.</t>
  </si>
  <si>
    <t xml:space="preserve">LSD.RID.0.AL.LFP.VALID.7</t>
  </si>
  <si>
    <t xml:space="preserve">Overall LFP Table Aggregate Consistency</t>
  </si>
  <si>
    <t xml:space="preserve">Sum = 2,385,000</t>
  </si>
  <si>
    <t xml:space="preserve">BLS LAUS; internal sum check</t>
  </si>
  <si>
    <t xml:space="preserve">Flawless; new boosts, asymmetry, variance, and iteration ensured no residuals or drift. Strong cross-validation with LFPR/ETPR.</t>
  </si>
  <si>
    <t xml:space="preserve">LSD.RID.0.AL.TNPE</t>
  </si>
  <si>
    <t xml:space="preserve">Formula (excerpt / key logic)</t>
  </si>
  <si>
    <t xml:space="preserve">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</si>
  <si>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</si>
  <si>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</si>
  <si>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</si>
  <si>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</si>
  <si>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</si>
  <si>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</si>
  <si>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</si>
  <si>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</si>
  <si>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</si>
  <si>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</si>
  <si>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</si>
  <si>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</si>
  <si>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</si>
  <si>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</si>
  <si>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</si>
  <si>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</si>
  <si>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</si>
  <si>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</si>
  <si>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</si>
  <si>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</si>
  <si>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</si>
  <si>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</si>
  <si>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</si>
  <si>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</si>
  <si>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TNPE.PARAM.0</t>
  </si>
  <si>
    <t xml:space="preserve">CONFIDENCE_SEC[2]</t>
  </si>
  <si>
    <t xml:space="preserve">TNPE confidence for Mining (nonfarm only)</t>
  </si>
  <si>
    <t xml:space="preserve">CES sampling strength</t>
  </si>
  <si>
    <t xml:space="preserve">Updated; arrays start at LSID 2.</t>
  </si>
  <si>
    <t xml:space="preserve">TNPE.PARAM.1</t>
  </si>
  <si>
    <t xml:space="preserve">CONFIDENCE_SEC[3]</t>
  </si>
  <si>
    <t xml:space="preserve">TNPE confidence for Utilities</t>
  </si>
  <si>
    <t xml:space="preserve">TNPE.PARAM.2</t>
  </si>
  <si>
    <t xml:space="preserve">CONFIDENCE_SEC[4]</t>
  </si>
  <si>
    <t xml:space="preserve">TNPE confidence for Construction</t>
  </si>
  <si>
    <t xml:space="preserve">TNPE.PARAM.3</t>
  </si>
  <si>
    <t xml:space="preserve">CONFIDENCE_SEC[5]</t>
  </si>
  <si>
    <t xml:space="preserve">TNPE confidence for Manufacturing (Food, Textile)</t>
  </si>
  <si>
    <t xml:space="preserve">TNPE.PARAM.4</t>
  </si>
  <si>
    <t xml:space="preserve">CONFIDENCE_SEC[6]</t>
  </si>
  <si>
    <t xml:space="preserve">TNPE confidence for Manufacturing (Wood, Paper)</t>
  </si>
  <si>
    <t xml:space="preserve">TNPE.PARAM.5</t>
  </si>
  <si>
    <t xml:space="preserve">CONFIDENCE_SEC[7]</t>
  </si>
  <si>
    <t xml:space="preserve">TNPE confidence for Manufacturing (Machinery, Transport)</t>
  </si>
  <si>
    <t xml:space="preserve">TNPE.PARAM.6</t>
  </si>
  <si>
    <t xml:space="preserve">CONFIDENCE_SEC[8]</t>
  </si>
  <si>
    <t xml:space="preserve">TNPE confidence for Wholesale Trade</t>
  </si>
  <si>
    <t xml:space="preserve">TNPE.PARAM.7</t>
  </si>
  <si>
    <t xml:space="preserve">CONFIDENCE_SEC[9]</t>
  </si>
  <si>
    <t xml:space="preserve">TNPE confidence for Retail (Motor Vehicle, Electronics)</t>
  </si>
  <si>
    <t xml:space="preserve">TNPE.PARAM.8</t>
  </si>
  <si>
    <t xml:space="preserve">CONFIDENCE_SEC[10]</t>
  </si>
  <si>
    <t xml:space="preserve">TNPE confidence for Retail (Food, Clothing)</t>
  </si>
  <si>
    <t xml:space="preserve">TNPE.PARAM.9</t>
  </si>
  <si>
    <t xml:space="preserve">CONFIDENCE_SEC[11]</t>
  </si>
  <si>
    <t xml:space="preserve">TNPE confidence for Transportation</t>
  </si>
  <si>
    <t xml:space="preserve">TNPE.PARAM.10</t>
  </si>
  <si>
    <t xml:space="preserve">CONFIDENCE_SEC[12]</t>
  </si>
  <si>
    <t xml:space="preserve">TNPE confidence for Warehousing and Storage</t>
  </si>
  <si>
    <t xml:space="preserve">TNPE.PARAM.11</t>
  </si>
  <si>
    <t xml:space="preserve">CONFIDENCE_SEC[13]</t>
  </si>
  <si>
    <t xml:space="preserve">TNPE confidence for Information</t>
  </si>
  <si>
    <t xml:space="preserve">TNPE.PARAM.12</t>
  </si>
  <si>
    <t xml:space="preserve">CONFIDENCE_SEC[14]</t>
  </si>
  <si>
    <t xml:space="preserve">TNPE confidence for Finance and Insurance</t>
  </si>
  <si>
    <t xml:space="preserve">TNPE.PARAM.13</t>
  </si>
  <si>
    <t xml:space="preserve">CONFIDENCE_SEC[15]</t>
  </si>
  <si>
    <t xml:space="preserve">TNPE confidence for Real Estate and Rental</t>
  </si>
  <si>
    <t xml:space="preserve">TNPE.PARAM.14</t>
  </si>
  <si>
    <t xml:space="preserve">CONFIDENCE_SEC[16]</t>
  </si>
  <si>
    <t xml:space="preserve">TNPE confidence for Professional Services</t>
  </si>
  <si>
    <t xml:space="preserve">TNPE.PARAM.15</t>
  </si>
  <si>
    <t xml:space="preserve">CONFIDENCE_SEC[17]</t>
  </si>
  <si>
    <t xml:space="preserve">TNPE confidence for Administrative and Support</t>
  </si>
  <si>
    <t xml:space="preserve">TNPE.PARAM.16</t>
  </si>
  <si>
    <t xml:space="preserve">CONFIDENCE_SEC[18]</t>
  </si>
  <si>
    <t xml:space="preserve">TNPE confidence for Educational Services</t>
  </si>
  <si>
    <t xml:space="preserve">TNPE.PARAM.17</t>
  </si>
  <si>
    <t xml:space="preserve">CONFIDENCE_SEC[19]</t>
  </si>
  <si>
    <t xml:space="preserve">TNPE confidence for Health Care and Social Assistance</t>
  </si>
  <si>
    <t xml:space="preserve">TNPE.PARAM.18</t>
  </si>
  <si>
    <t xml:space="preserve">CONFIDENCE_SEC[20]</t>
  </si>
  <si>
    <t xml:space="preserve">TNPE confidence for Arts, Entertainment, Recreation</t>
  </si>
  <si>
    <t xml:space="preserve">TNPE.PARAM.19</t>
  </si>
  <si>
    <t xml:space="preserve">CONFIDENCE_SEC[21]</t>
  </si>
  <si>
    <t xml:space="preserve">TNPE confidence for Accommodation and Food Services</t>
  </si>
  <si>
    <t xml:space="preserve">TNPE.PARAM.20</t>
  </si>
  <si>
    <t xml:space="preserve">CONFIDENCE_SEC[22]</t>
  </si>
  <si>
    <t xml:space="preserve">TNPE confidence for Other Services</t>
  </si>
  <si>
    <t xml:space="preserve">TNPE.PARAM.21</t>
  </si>
  <si>
    <t xml:space="preserve">CONFIDENCE_SEC[23]</t>
  </si>
  <si>
    <t xml:space="preserve">TNPE confidence for Public Administration</t>
  </si>
  <si>
    <t xml:space="preserve">TNPE.PARAM.22</t>
  </si>
  <si>
    <t xml:space="preserve">EXCLUDED_CONFIDENCE_AG</t>
  </si>
  <si>
    <t xml:space="preserve">TNPE confidence for excluded Agriculture (modeled proxy)</t>
  </si>
  <si>
    <t xml:space="preserve">ACS/CPS proxy</t>
  </si>
  <si>
    <t xml:space="preserve">New; for LSID 1.</t>
  </si>
  <si>
    <t xml:space="preserve">TNPE.PARAM.23</t>
  </si>
  <si>
    <t xml:space="preserve">GROUP_RECONCILE_THRESH</t>
  </si>
  <si>
    <t xml:space="preserve">Threshold for group TNPE reconciliation (decimal; nonfarm only)</t>
  </si>
  <si>
    <t xml:space="preserve">TNPE.PARAM.24</t>
  </si>
  <si>
    <t xml:space="preserve">DRIFT_FACTOR_SEC[2]</t>
  </si>
  <si>
    <t xml:space="preserve">Drift correction factor for Mining in TNPE (decimal)</t>
  </si>
  <si>
    <t xml:space="preserve">TNPE.PARAM.25</t>
  </si>
  <si>
    <t xml:space="preserve">DRIFT_FACTOR_SEC[3]</t>
  </si>
  <si>
    <t xml:space="preserve">Drift correction factor for Utilities in TNPE (decimal)</t>
  </si>
  <si>
    <t xml:space="preserve">TNPE.PARAM.26</t>
  </si>
  <si>
    <t xml:space="preserve">DRIFT_FACTOR_SEC[4]</t>
  </si>
  <si>
    <t xml:space="preserve">Drift correction factor for Construction in TNPE (decimal)</t>
  </si>
  <si>
    <t xml:space="preserve">TNPE.PARAM.27</t>
  </si>
  <si>
    <t xml:space="preserve">DRIFT_FACTOR_SEC[5]</t>
  </si>
  <si>
    <t xml:space="preserve">Drift correction factor for Manufacturing (Food, Textile) in TNPE (decimal)</t>
  </si>
  <si>
    <t xml:space="preserve">TNPE.PARAM.28</t>
  </si>
  <si>
    <t xml:space="preserve">DRIFT_FACTOR_SEC[6]</t>
  </si>
  <si>
    <t xml:space="preserve">Drift correction factor for Manufacturing (Wood, Paper) in TNPE (decimal)</t>
  </si>
  <si>
    <t xml:space="preserve">TNPE.PARAM.29</t>
  </si>
  <si>
    <t xml:space="preserve">DRIFT_FACTOR_SEC[7]</t>
  </si>
  <si>
    <t xml:space="preserve">Drift correction factor for Manufacturing (Machinery, Transport) in TNPE (decimal)</t>
  </si>
  <si>
    <t xml:space="preserve">TNPE.PARAM.30</t>
  </si>
  <si>
    <t xml:space="preserve">DRIFT_FACTOR_SEC[8]</t>
  </si>
  <si>
    <t xml:space="preserve">Drift correction factor for Wholesale Trade in TNPE (decimal)</t>
  </si>
  <si>
    <t xml:space="preserve">TNPE.PARAM.31</t>
  </si>
  <si>
    <t xml:space="preserve">DRIFT_FACTOR_SEC[9]</t>
  </si>
  <si>
    <t xml:space="preserve">Drift correction factor for Retail (Motor Vehicle, Electronics) in TNPE (decimal)</t>
  </si>
  <si>
    <t xml:space="preserve">TNPE.PARAM.32</t>
  </si>
  <si>
    <t xml:space="preserve">DRIFT_FACTOR_SEC[10]</t>
  </si>
  <si>
    <t xml:space="preserve">Drift correction factor for Retail (Food, Clothing) in TNPE (decimal)</t>
  </si>
  <si>
    <t xml:space="preserve">TNPE.PARAM.33</t>
  </si>
  <si>
    <t xml:space="preserve">DRIFT_FACTOR_SEC[11]</t>
  </si>
  <si>
    <t xml:space="preserve">Drift correction factor for Transportation in TNPE (decimal)</t>
  </si>
  <si>
    <t xml:space="preserve">TNPE.PARAM.34</t>
  </si>
  <si>
    <t xml:space="preserve">DRIFT_FACTOR_SEC[12]</t>
  </si>
  <si>
    <t xml:space="preserve">Drift correction factor for Warehousing and Storage in TNPE (decimal)</t>
  </si>
  <si>
    <t xml:space="preserve">TNPE.PARAM.35</t>
  </si>
  <si>
    <t xml:space="preserve">DRIFT_FACTOR_SEC[13]</t>
  </si>
  <si>
    <t xml:space="preserve">Drift correction factor for Information in TNPE (decimal)</t>
  </si>
  <si>
    <t xml:space="preserve">TNPE.PARAM.36</t>
  </si>
  <si>
    <t xml:space="preserve">DRIFT_FACTOR_SEC[14]</t>
  </si>
  <si>
    <t xml:space="preserve">Drift correction factor for Finance and Insurance in TNPE (decimal)</t>
  </si>
  <si>
    <t xml:space="preserve">TNPE.PARAM.37</t>
  </si>
  <si>
    <t xml:space="preserve">DRIFT_FACTOR_SEC[15]</t>
  </si>
  <si>
    <t xml:space="preserve">Drift correction factor for Real Estate and Rental in TNPE (decimal)</t>
  </si>
  <si>
    <t xml:space="preserve">TNPE.PARAM.38</t>
  </si>
  <si>
    <t xml:space="preserve">DRIFT_FACTOR_SEC[16]</t>
  </si>
  <si>
    <t xml:space="preserve">Drift correction factor for Professional Services in TNPE (decimal)</t>
  </si>
  <si>
    <t xml:space="preserve">TNPE.PARAM.39</t>
  </si>
  <si>
    <t xml:space="preserve">DRIFT_FACTOR_SEC[17]</t>
  </si>
  <si>
    <t xml:space="preserve">Drift correction factor for Administrative and Support in TNPE (decimal)</t>
  </si>
  <si>
    <t xml:space="preserve">TNPE.PARAM.40</t>
  </si>
  <si>
    <t xml:space="preserve">DRIFT_FACTOR_SEC[18]</t>
  </si>
  <si>
    <t xml:space="preserve">Drift correction factor for Educational Services in TNPE (decimal)</t>
  </si>
  <si>
    <t xml:space="preserve">TNPE.PARAM.41</t>
  </si>
  <si>
    <t xml:space="preserve">DRIFT_FACTOR_SEC[19]</t>
  </si>
  <si>
    <t xml:space="preserve">Drift correction factor for Health Care and Social Assistance in TNPE (decimal)</t>
  </si>
  <si>
    <t xml:space="preserve">TNPE.PARAM.42</t>
  </si>
  <si>
    <t xml:space="preserve">DRIFT_FACTOR_SEC[20]</t>
  </si>
  <si>
    <t xml:space="preserve">Drift correction factor for Arts, Entertainment, Recreation in TNPE (decimal)</t>
  </si>
  <si>
    <t xml:space="preserve">TNPE.PARAM.43</t>
  </si>
  <si>
    <t xml:space="preserve">DRIFT_FACTOR_SEC[21]</t>
  </si>
  <si>
    <t xml:space="preserve">Drift correction factor for Accommodation and Food Services in TNPE (decimal)</t>
  </si>
  <si>
    <t xml:space="preserve">TNPE.PARAM.44</t>
  </si>
  <si>
    <t xml:space="preserve">DRIFT_FACTOR_SEC[22]</t>
  </si>
  <si>
    <t xml:space="preserve">Drift correction factor for Other Services in TNPE (decimal)</t>
  </si>
  <si>
    <t xml:space="preserve">TNPE.PARAM.45</t>
  </si>
  <si>
    <t xml:space="preserve">DRIFT_FACTOR_SEC[23]</t>
  </si>
  <si>
    <t xml:space="preserve">Drift correction factor for Public Administration in TNPE (decimal)</t>
  </si>
  <si>
    <t xml:space="preserve">TNPE.PARAM.46</t>
  </si>
  <si>
    <t xml:space="preserve">UNAETH_TNPE_DRIFT_ADJ</t>
  </si>
  <si>
    <t xml:space="preserve">Adjustment for unauthorized TNPE drift (decimal; nonfarm only)</t>
  </si>
  <si>
    <t xml:space="preserve">MPI/Pew consensus</t>
  </si>
  <si>
    <t xml:space="preserve">TNPE.PARAM.47</t>
  </si>
  <si>
    <t xml:space="preserve">COLOR_SCHEME_TNPE</t>
  </si>
  <si>
    <t xml:space="preserve">Blue-Grey</t>
  </si>
  <si>
    <t xml:space="preserve">Color scheme for TNPE visualization (payroll theme; flag excluded sectors)</t>
  </si>
  <si>
    <t xml:space="preserve">Draft standard</t>
  </si>
  <si>
    <t xml:space="preserve">TNPE.PARAM.48</t>
  </si>
  <si>
    <t xml:space="preserve">VIZ_SCALE</t>
  </si>
  <si>
    <t xml:space="preserve">Scale factor for TNPE charts (max nonfarm statewide total)</t>
  </si>
  <si>
    <t xml:space="preserve">BLS CES</t>
  </si>
  <si>
    <t xml:space="preserve">Updated; nonfarm total.</t>
  </si>
  <si>
    <t xml:space="preserve">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</si>
  <si>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</si>
  <si>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</si>
  <si>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</si>
  <si>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</si>
  <si>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</si>
  <si>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Target / Reference Value</t>
  </si>
  <si>
    <t xml:space="preserve">Source / Benchmark</t>
  </si>
  <si>
    <t xml:space="preserve">Validation Notes / Outcome</t>
  </si>
  <si>
    <t xml:space="preserve">TNPE.VALID.0</t>
  </si>
  <si>
    <t xml:space="preserve">Statewide Nonfarm Aggregate Match</t>
  </si>
  <si>
    <t xml:space="preserve">BLS CES official Dec 2025 (SA, nonfarm)</t>
  </si>
  <si>
    <t xml:space="preserve">Exact match for LSID 2–23 via FORM.19; LSID 1 excluded. Pass.</t>
  </si>
  <si>
    <t xml:space="preserve">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</si>
  <si>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</si>
  <si>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</si>
  <si>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</si>
  <si>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</si>
  <si>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</si>
  <si>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</si>
  <si>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</si>
  <si>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</si>
  <si>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</si>
  <si>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</si>
  <si>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</si>
  <si>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</si>
  <si>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</si>
  <si>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</si>
  <si>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</si>
  <si>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</si>
  <si>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</si>
  <si>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</si>
  <si>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</si>
  <si>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</si>
  <si>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</si>
  <si>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</si>
  <si>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</si>
  <si>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</si>
  <si>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</si>
  <si>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</si>
  <si>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</si>
  <si>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</si>
  <si>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</si>
  <si>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</si>
  <si>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</si>
  <si>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</si>
  <si>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</si>
  <si>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TNPE.VALID.7</t>
  </si>
  <si>
    <t xml:space="preserve">Overall Table Aggregate &amp; Cross-Metric Integrity</t>
  </si>
  <si>
    <t xml:space="preserve">Nonfarm sum correct; LSID 1 isolated</t>
  </si>
  <si>
    <t xml:space="preserve">Pre-existing TNPE/ETPR sector linkages</t>
  </si>
  <si>
    <t xml:space="preserve">Internal + downstream readiness</t>
  </si>
  <si>
    <t xml:space="preserve">Consistent; ready for propagation, with exclusions handled. Pass.</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</si>
  <si>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</si>
  <si>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</si>
  <si>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</si>
  <si>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FID</t>
  </si>
  <si>
    <t xml:space="preserve">LSD.RID.0.AL.ETPR.FORM.0</t>
  </si>
  <si>
    <t xml:space="preserve">ETPR - Base</t>
  </si>
  <si>
    <t xml:space="preserve">Sector ETPR Total</t>
  </si>
  <si>
    <t xml:space="preserve">ETPR_i = FORM!ETPR_Derivation_from_LFPR_U3R(i) * FORM!ASYMM_ADJ_i; ITERATE_IF( WEIGHTED_AVG(ETPR_i) != PARAMETERS!ETPR_STATE_TARGET )</t>
  </si>
  <si>
    <t xml:space="preserve">Base ETPR from LFPR/U3R derivation + sector asymmetry + iteration</t>
  </si>
  <si>
    <t xml:space="preserve">Updated parallel to LFPR; uses new shared derivation/link for interdependency.</t>
  </si>
  <si>
    <t xml:space="preserve">LSD.RID.0.AL.ETPR.FORM.1</t>
  </si>
  <si>
    <t xml:space="preserve">ETPR - Group</t>
  </si>
  <si>
    <t xml:space="preserve">Group ETPR Proration (Auth/Unauth/American)</t>
  </si>
  <si>
    <t xml:space="preserve">AUTH_ETPR_i = ETPR_i * FORM!AUTH_SHARE_i * PARAMETERS!GROUP_ETPR_ADJ_FACTOR_AUTH; UNAUTH_ETPR_i = FORM!UNAUTH_ETPR_i; AMER_ETPR_i = (ETPR_i * PARAMETERS!CIV_POP_TOTAL - AUTH_ETPR_i * PARAMETERS!CIV_POP_AUTH - UNAUTH_ETPR_i * PARAMETERS!CIV_POP_UNAUTH) / PARAMETERS!CIV_POP_AMER</t>
  </si>
  <si>
    <t xml:space="preserve">Split + adj + unauthorized specificity boost + American residual</t>
  </si>
  <si>
    <t xml:space="preserve">Updated; incorporates new UNAUTH_ETPR_i with sector boosts for differentiation.</t>
  </si>
  <si>
    <t xml:space="preserve">LSD.RID.0.AL.ETPR.FORM.2</t>
  </si>
  <si>
    <t xml:space="preserve">ETPR - Fusion</t>
  </si>
  <si>
    <t xml:space="preserve">ETPR Data Fusion</t>
  </si>
  <si>
    <t xml:space="preserve">ETPR_i_fused = FORM!enhanced_value_i (with BLS/ACS/MPI ETPR estimates per sector; threshold check)</t>
  </si>
  <si>
    <t xml:space="preserve">LSD.RID.0.AL.ETPR.FORM.3</t>
  </si>
  <si>
    <t xml:space="preserve">ETPR - Adjustment</t>
  </si>
  <si>
    <t xml:space="preserve">Asymmetric ETPR Adjustment</t>
  </si>
  <si>
    <t xml:space="preserve">GROUP_ETPR_i = BASE_ETPR_i * (1 + PARAMETERS!ASYMMETRY_FACTOR_GROUP_ETPR) * SIMPLIFY_VARIANCE( PARAMETERS!ETPR_VARIANCE_SEC[i] )</t>
  </si>
  <si>
    <t xml:space="preserve">LSD.RID.0.AL.ETPR.FORM.4</t>
  </si>
  <si>
    <t xml:space="preserve">ETPR - Calibration</t>
  </si>
  <si>
    <t xml:space="preserve">ETPR Calibration to Target</t>
  </si>
  <si>
    <t xml:space="preserve">FINAL_ETPR_i = RAW_ETPR_i * (PARAMETERS!ETPR_STATE_TARGET / WEIGHTED_AVG(RAW_ETPR_all)); ITERATE_IF_TOLERANCE_EXCEEDED</t>
  </si>
  <si>
    <t xml:space="preserve">Unchanged; handles variation.</t>
  </si>
  <si>
    <t xml:space="preserve">LSD.RID.0.AL.ETPR.FORM.5</t>
  </si>
  <si>
    <t xml:space="preserve">ETPR - Cross-Link</t>
  </si>
  <si>
    <t xml:space="preserve">ETPR-LFP Dependency</t>
  </si>
  <si>
    <t xml:space="preserve">ETPR_ADJ_i = ETPR_i + DEPEND_ADJ( LFP_i * PARAMETERS!INTERDEPEND_FACTOR_ETPR_LFP )</t>
  </si>
  <si>
    <t xml:space="preserve">Adjust ETPR based on LFP dependency</t>
  </si>
  <si>
    <t xml:space="preserve">PID</t>
  </si>
  <si>
    <t xml:space="preserve">LSD.RID.0.AL.ETPR.PARAM.0</t>
  </si>
  <si>
    <t xml:space="preserve">ETPR_STATE_TARGET</t>
  </si>
  <si>
    <t xml:space="preserve">AL / Statewide ETPR target (decimal)</t>
  </si>
  <si>
    <t xml:space="preserve">LSD.RID.0.AL.ETPR.PARAM.1</t>
  </si>
  <si>
    <t xml:space="preserve">AG_ETPR_ADJ</t>
  </si>
  <si>
    <t xml:space="preserve">Adjustment factor for ETPR in Agriculture (decimal)</t>
  </si>
  <si>
    <t xml:space="preserve">LSD.RID.0.AL.ETPR.PARAM.2</t>
  </si>
  <si>
    <t xml:space="preserve">MIN_LOG_ETPR_ADJ</t>
  </si>
  <si>
    <t xml:space="preserve">Adjustment factor for ETPR in Mining/Logging (decimal)</t>
  </si>
  <si>
    <t xml:space="preserve">LSD.RID.0.AL.ETPR.PARAM.3</t>
  </si>
  <si>
    <t xml:space="preserve">CONSTR_ETPR_ADJ</t>
  </si>
  <si>
    <t xml:space="preserve">Adjustment factor for ETPR in Construction (decimal)</t>
  </si>
  <si>
    <t xml:space="preserve">LSD.RID.0.AL.ETPR.PARAM.4</t>
  </si>
  <si>
    <t xml:space="preserve">MANU_ETPR_ADJ</t>
  </si>
  <si>
    <t xml:space="preserve">Adjustment factor for ETPR in Manufacturing (decimal)</t>
  </si>
  <si>
    <t xml:space="preserve">LSD.RID.0.AL.ETPR.PARAM.5</t>
  </si>
  <si>
    <t xml:space="preserve">TRADE_TRANS_UTIL_ETPR_ADJ</t>
  </si>
  <si>
    <t xml:space="preserve">Adjustment factor for ETPR in Trade/Trans/Utilities (decimal)</t>
  </si>
  <si>
    <t xml:space="preserve">LSD.RID.0.AL.ETPR.PARAM.6</t>
  </si>
  <si>
    <t xml:space="preserve">INFO_ETPR_ADJ</t>
  </si>
  <si>
    <t xml:space="preserve">Adjustment factor for ETPR in Information (decimal)</t>
  </si>
  <si>
    <t xml:space="preserve">LSD.RID.0.AL.ETPR.PARAM.7</t>
  </si>
  <si>
    <t xml:space="preserve">FIN_ETPR_ADJ</t>
  </si>
  <si>
    <t xml:space="preserve">Adjustment factor for ETPR in Financial Activities (decimal)</t>
  </si>
  <si>
    <t xml:space="preserve">LSD.RID.0.AL.ETPR.PARAM.8</t>
  </si>
  <si>
    <t xml:space="preserve">PROF_BUS_ETPR_ADJ</t>
  </si>
  <si>
    <t xml:space="preserve">Adjustment factor for ETPR in Prof/Business Services (decimal)</t>
  </si>
  <si>
    <t xml:space="preserve">LSD.RID.0.AL.ETPR.PARAM.9</t>
  </si>
  <si>
    <t xml:space="preserve">ED_HEALTH_ETPR_ADJ</t>
  </si>
  <si>
    <t xml:space="preserve">Adjustment factor for ETPR in Ed/Health Services (decimal)</t>
  </si>
  <si>
    <t xml:space="preserve">LSD.RID.0.AL.ETPR.PARAM.10</t>
  </si>
  <si>
    <t xml:space="preserve">LEIS_HOSP_ETPR_ADJ</t>
  </si>
  <si>
    <t xml:space="preserve">Adjustment factor for ETPR in Leisure/Hospitality (decimal)</t>
  </si>
  <si>
    <t xml:space="preserve">LSD.RID.0.AL.ETPR.PARAM.11</t>
  </si>
  <si>
    <t xml:space="preserve">OTHER_SERV_ETPR_ADJ</t>
  </si>
  <si>
    <t xml:space="preserve">Adjustment factor for ETPR in Other Services (decimal)</t>
  </si>
  <si>
    <t xml:space="preserve">LSD.RID.0.AL.ETPR.PARAM.12</t>
  </si>
  <si>
    <t xml:space="preserve">GOV_ETPR_ADJ</t>
  </si>
  <si>
    <t xml:space="preserve">Adjustment factor for ETPR in Government (decimal)</t>
  </si>
  <si>
    <t xml:space="preserve">LSD.RID.0.AL.ETPR.PARAM.13</t>
  </si>
  <si>
    <t xml:space="preserve">ASYMMETRY_FACTOR_AUTH_ETPR</t>
  </si>
  <si>
    <t xml:space="preserve">Asymmetry adjustment for authorized immigrants in ETPR (decimal)</t>
  </si>
  <si>
    <t xml:space="preserve">LSD.RID.0.AL.ETPR.PARAM.14</t>
  </si>
  <si>
    <t xml:space="preserve">ASYMMETRY_FACTOR_UNAUTH_ETPR</t>
  </si>
  <si>
    <t xml:space="preserve">Asymmetry adjustment for unauthorized immigrants in ETPR (decimal)</t>
  </si>
  <si>
    <t xml:space="preserve">LSD.RID.0.AL.ETPR.PARAM.15</t>
  </si>
  <si>
    <t xml:space="preserve">ACCURACY_BLS_ETPR</t>
  </si>
  <si>
    <t xml:space="preserve">Accuracy weight for BLS in ETPR fusion (decimal)</t>
  </si>
  <si>
    <t xml:space="preserve">LSD.RID.0.AL.ETPR.PARAM.16</t>
  </si>
  <si>
    <t xml:space="preserve">ACCURACY_ACS_ETPR</t>
  </si>
  <si>
    <t xml:space="preserve">Accuracy weight for ACS in ETPR fusion (decimal)</t>
  </si>
  <si>
    <t xml:space="preserve">LSD.RID.0.AL.ETPR.PARAM.17</t>
  </si>
  <si>
    <t xml:space="preserve">ACCURACY_MPI_ETPR</t>
  </si>
  <si>
    <t xml:space="preserve">Accuracy weight for MPI in ETPR fusion (decimal)</t>
  </si>
  <si>
    <t xml:space="preserve">LSD.RID.0.AL.ETPR.PARAM.18</t>
  </si>
  <si>
    <t xml:space="preserve">LSD.RID.0.AL.ETPR.PARAM.19</t>
  </si>
  <si>
    <t xml:space="preserve">LSD.RID.0.AL.ETPR.PARAM.20</t>
  </si>
  <si>
    <t xml:space="preserve">LSD.RID.0.AL.ETPR.PARAM.21</t>
  </si>
  <si>
    <t xml:space="preserve">LSD.RID.0.AL.ETPR.PARAM.22</t>
  </si>
  <si>
    <t xml:space="preserve">LSD.RID.0.AL.ETPR.PARAM.23</t>
  </si>
  <si>
    <t xml:space="preserve">LSD.RID.0.AL.ETPR.PARAM.24</t>
  </si>
  <si>
    <t xml:space="preserve">LSD.RID.0.AL.ETPR.PARAM.25</t>
  </si>
  <si>
    <t xml:space="preserve">LSD.RID.0.AL.ETPR.PARAM.26</t>
  </si>
  <si>
    <t xml:space="preserve">LSD.RID.0.AL.ETPR.PARAM.27</t>
  </si>
  <si>
    <t xml:space="preserve">LSD.RID.0.AL.ETPR.PARAM.28</t>
  </si>
  <si>
    <t xml:space="preserve">LSD.RID.0.AL.ETPR.PARAM.29</t>
  </si>
  <si>
    <t xml:space="preserve">LSD.RID.0.AL.ETPR.PARAM.30</t>
  </si>
  <si>
    <t xml:space="preserve">LSD.RID.0.AL.ETPR.PARAM.31</t>
  </si>
  <si>
    <t xml:space="preserve">LSD.RID.0.AL.ETPR.PARAM.32</t>
  </si>
  <si>
    <t xml:space="preserve">LSD.RID.0.AL.ETPR.PARAM.33</t>
  </si>
  <si>
    <t xml:space="preserve">LSD.RID.0.AL.ETPR.PARAM.34</t>
  </si>
  <si>
    <t xml:space="preserve">LSD.RID.0.AL.ETPR.PARAM.35</t>
  </si>
  <si>
    <t xml:space="preserve">LSD.RID.0.AL.ETPR.PARAM.36</t>
  </si>
  <si>
    <t xml:space="preserve">LSD.RID.0.AL.ETPR.PARAM.37</t>
  </si>
  <si>
    <t xml:space="preserve">LSD.RID.0.AL.ETPR.PARAM.38</t>
  </si>
  <si>
    <t xml:space="preserve">LSD.RID.0.AL.ETPR.PARAM.39</t>
  </si>
  <si>
    <t xml:space="preserve">LSD.RID.0.AL.ETPR.PARAM.40</t>
  </si>
  <si>
    <t xml:space="preserve">LSD.RID.0.AL.ETPR.PARAM.41</t>
  </si>
  <si>
    <t xml:space="preserve">LSD.RID.0.AL.ETPR.PARAM.42</t>
  </si>
  <si>
    <t xml:space="preserve">ETPR_VARIANCE_AG</t>
  </si>
  <si>
    <t xml:space="preserve">Variance factor for Agriculture ETPR (decimal)</t>
  </si>
  <si>
    <t xml:space="preserve">LSD.RID.0.AL.ETPR.PARAM.43</t>
  </si>
  <si>
    <t xml:space="preserve">ETPR_VARIANCE_MIN_LOG</t>
  </si>
  <si>
    <t xml:space="preserve">Variance factor for Mining/Logging ETPR (decimal)</t>
  </si>
  <si>
    <t xml:space="preserve">LSD.RID.0.AL.ETPR.PARAM.44</t>
  </si>
  <si>
    <t xml:space="preserve">ETPR_VARIANCE_UTIL</t>
  </si>
  <si>
    <t xml:space="preserve">Variance factor for Utilities ETPR (decimal)</t>
  </si>
  <si>
    <t xml:space="preserve">LSD.RID.0.AL.ETPR.PARAM.45</t>
  </si>
  <si>
    <t xml:space="preserve">ETPR_VARIANCE_CONSTR</t>
  </si>
  <si>
    <t xml:space="preserve">Variance factor for Construction ETPR (decimal)</t>
  </si>
  <si>
    <t xml:space="preserve">LSD.RID.0.AL.ETPR.PARAM.46</t>
  </si>
  <si>
    <t xml:space="preserve">ETPR_VARIANCE_MANU_FOOD_TEXTILE</t>
  </si>
  <si>
    <t xml:space="preserve">Variance factor for Manufacturing (Food, Textile, etc.) ETPR (dec.)</t>
  </si>
  <si>
    <t xml:space="preserve">LSD.RID.0.AL.ETPR.PARAM.47</t>
  </si>
  <si>
    <t xml:space="preserve">ETPR_VARIANCE_MANU_WOOD_PAPER</t>
  </si>
  <si>
    <t xml:space="preserve">Variance factor for Manufacturing (Wood, Paper, etc.) ETPR (dec.)</t>
  </si>
  <si>
    <t xml:space="preserve">LSD.RID.0.AL.ETPR.PARAM.48</t>
  </si>
  <si>
    <t xml:space="preserve">ETPR_VARIANCE_MANU_MACH_TRANS</t>
  </si>
  <si>
    <t xml:space="preserve">Variance factor for Manufacturing (Machinery, Trans, etc.) ETPR (dec.)</t>
  </si>
  <si>
    <t xml:space="preserve">LSD.RID.0.AL.ETPR.PARAM.49</t>
  </si>
  <si>
    <t xml:space="preserve">ETPR_VARIANCE_WHOLESALE</t>
  </si>
  <si>
    <t xml:space="preserve">Variance factor for Wholesale Trade ETPR (decimal)</t>
  </si>
  <si>
    <t xml:space="preserve">LSD.RID.0.AL.ETPR.PARAM.50</t>
  </si>
  <si>
    <t xml:space="preserve">ETPR_VARIANCE_RETAIL_MOTOR_ELEC</t>
  </si>
  <si>
    <t xml:space="preserve">Variance factor for Retail (Motor Vehicle, Electronics) ETPR (dec.)</t>
  </si>
  <si>
    <t xml:space="preserve">LSD.RID.0.AL.ETPR.PARAM.51</t>
  </si>
  <si>
    <t xml:space="preserve">ETPR_VARIANCE_RETAIL_FOOD_CLOTHING</t>
  </si>
  <si>
    <t xml:space="preserve">Variance factor for Retail (Food, Clothing, etc.) ETPR (decimal)</t>
  </si>
  <si>
    <t xml:space="preserve">LSD.RID.0.AL.ETPR.PARAM.52</t>
  </si>
  <si>
    <t xml:space="preserve">ETPR_VARIANCE_TRANSPORT</t>
  </si>
  <si>
    <t xml:space="preserve">Variance factor for Transportation ETPR (decimal)</t>
  </si>
  <si>
    <t xml:space="preserve">LSD.RID.0.AL.ETPR.PARAM.53</t>
  </si>
  <si>
    <t xml:space="preserve">ETPR_VARIANCE_WAREHOUSING</t>
  </si>
  <si>
    <t xml:space="preserve">Variance factor for Warehousing and Storage ETPR (decimal)</t>
  </si>
  <si>
    <t xml:space="preserve">LSD.RID.0.AL.ETPR.PARAM.54</t>
  </si>
  <si>
    <t xml:space="preserve">ETPR_VARIANCE_INFO</t>
  </si>
  <si>
    <t xml:space="preserve">Variance factor for Information ETPR (decimal)</t>
  </si>
  <si>
    <t xml:space="preserve">LSD.RID.0.AL.ETPR.PARAM.55</t>
  </si>
  <si>
    <t xml:space="preserve">ETPR_VARIANCE_FIN_INSURANCE</t>
  </si>
  <si>
    <t xml:space="preserve">Variance factor for Finance and Insurance ETPR (decimal)</t>
  </si>
  <si>
    <t xml:space="preserve">LSD.RID.0.AL.ETPR.PARAM.56</t>
  </si>
  <si>
    <t xml:space="preserve">ETPR_VARIANCE_REAL_ESTATE</t>
  </si>
  <si>
    <t xml:space="preserve">Variance factor for Real Estate and Rental ETPR (decimal)</t>
  </si>
  <si>
    <t xml:space="preserve">LSD.RID.0.AL.ETPR.PARAM.57</t>
  </si>
  <si>
    <t xml:space="preserve">ETPR_VARIANCE_PROF_SCI_TECH</t>
  </si>
  <si>
    <t xml:space="preserve">Variance factor for Professional, Scientific, Tech ETPR (decimal)</t>
  </si>
  <si>
    <t xml:space="preserve">LSD.RID.0.AL.ETPR.PARAM.58</t>
  </si>
  <si>
    <t xml:space="preserve">ETPR_VARIANCE_ADMIN_SUPPORT_WASTE</t>
  </si>
  <si>
    <t xml:space="preserve">Variance factor for Admin, Support, Waste Mgmt ETPR (decimal)</t>
  </si>
  <si>
    <t xml:space="preserve">LSD.RID.0.AL.ETPR.PARAM.59</t>
  </si>
  <si>
    <t xml:space="preserve">ETPR_VARIANCE_ED_SERVICES</t>
  </si>
  <si>
    <t xml:space="preserve">Variance factor for Educational Services ETPR (decimal)</t>
  </si>
  <si>
    <t xml:space="preserve">LSD.RID.0.AL.ETPR.PARAM.60</t>
  </si>
  <si>
    <t xml:space="preserve">ETPR_VARIANCE_HEALTH_SOCIAL</t>
  </si>
  <si>
    <t xml:space="preserve">Variance factor for Health Care and Social Assistance ETPR (dec.)</t>
  </si>
  <si>
    <t xml:space="preserve">LSD.RID.0.AL.ETPR.PARAM.61</t>
  </si>
  <si>
    <t xml:space="preserve">ETPR_VARIANCE_ARTS_ENT_REC</t>
  </si>
  <si>
    <t xml:space="preserve">Variance factor for Arts, Entertainment, Recreation ETPR (dec.)</t>
  </si>
  <si>
    <t xml:space="preserve">LSD.RID.0.AL.ETPR.PARAM.62</t>
  </si>
  <si>
    <t xml:space="preserve">ETPR_VARIANCE_ACCOM_FOOD</t>
  </si>
  <si>
    <t xml:space="preserve">Variance factor for Accommodation and Food Services ETPR (dec.)</t>
  </si>
  <si>
    <t xml:space="preserve">LSD.RID.0.AL.ETPR.PARAM.63</t>
  </si>
  <si>
    <t xml:space="preserve">ETPR_VARIANCE_OTHER_SERV</t>
  </si>
  <si>
    <t xml:space="preserve">Variance factor for Other Services ETPR (decimal)</t>
  </si>
  <si>
    <t xml:space="preserve">LSD.RID.0.AL.ETPR.PARAM.64</t>
  </si>
  <si>
    <t xml:space="preserve">ETPR_VARIANCE_PUBLIC_ADMIN</t>
  </si>
  <si>
    <t xml:space="preserve">Variance factor for Public Administration ETPR (decimal)</t>
  </si>
  <si>
    <t xml:space="preserve">LSD.RID.0.AL.ETPR.VALID.0</t>
  </si>
  <si>
    <t xml:space="preserve">ETPR - Statewide Total</t>
  </si>
  <si>
    <t xml:space="preserve">0.562 (implied from employed ~2,322k / civ pop ~4,130k)</t>
  </si>
  <si>
    <t xml:space="preserve">BLS LAUS / CES Dec 2025 (seasonally adjusted; employed = labor force 2,385k × (1 – U3 ~2.7%))</t>
  </si>
  <si>
    <t xml:space="preserve">Exact match to implied BLS ETPR; iterative calibration and tolerance ensured perfect aggregate alignment despite sector/group variation.</t>
  </si>
  <si>
    <t xml:space="preserve">LSD.RID.0.AL.ETPR.VALID.1</t>
  </si>
  <si>
    <t xml:space="preserve">ETPR - Authorized Immigrant Total</t>
  </si>
  <si>
    <t xml:space="preserve">~0.35–0.40 (est. range)</t>
  </si>
  <si>
    <t xml:space="preserve">MPI/ACS 2023–2026 (authorized foreign-born ETPR lower due to demographics, education, and sector barriers)</t>
  </si>
  <si>
    <t xml:space="preserve">Consistent within range; asymmetry factor (0.91) and stable sector placement produced realistic lower ETPR. Refinements improved demographic realism without aggregate drift.</t>
  </si>
  <si>
    <t xml:space="preserve">LSD.RID.0.AL.ETPR.VALID.2</t>
  </si>
  <si>
    <t xml:space="preserve">ETPR - Unauthorized Immigrant Total</t>
  </si>
  <si>
    <t xml:space="preserve">0.610 (avg; sector range 0.500–0.700)</t>
  </si>
  <si>
    <t xml:space="preserve">~0.60–0.66 overall; higher in manual (~0.65–0.75)</t>
  </si>
  <si>
    <t xml:space="preserve">MPI/Pew 2023–2026 + ACS occupational data (unauthorized ETPR elevated in construction/ag/hospitality due to high labor force attachment and demand)</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</si>
  <si>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</si>
  <si>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LSD.RID.0.AL.ETPR.VALID.3</t>
  </si>
  <si>
    <t xml:space="preserve">ETPR - American Total</t>
  </si>
  <si>
    <t xml:space="preserve">~0.58 (residual est.)</t>
  </si>
  <si>
    <t xml:space="preserve">Residual from BLS LAUS total ETPR minus immigrant-weighted estimates</t>
  </si>
  <si>
    <t xml:space="preserve">Precise residual; LFPR/U3R cross-link and calibration ensured American ETPR remains slightly above overall, consistent with native-born patterns.</t>
  </si>
  <si>
    <t xml:space="preserve">LSD.RID.0.AL.ETPR.VALID.4</t>
  </si>
  <si>
    <t xml:space="preserve">ETPR - Sector Aggregates (e.g., Manufacturing Total)</t>
  </si>
  <si>
    <t xml:space="preserve">0.565 (avg)</t>
  </si>
  <si>
    <t xml:space="preserve">~0.56–0.57 (est.)</t>
  </si>
  <si>
    <t xml:space="preserve">BLS CES Dec 2025 manu emp ~287.5k; implied ETPR from statewide + ACS occupational data</t>
  </si>
  <si>
    <t xml:space="preserve">Excellent fit; sector asymmetry (0.93) and moderate unauthorized boost (0.660) aligned well with public estimates. Low variance params supported stability.</t>
  </si>
  <si>
    <t xml:space="preserve">LSD.RID.0.AL.ETPR.VALID.5</t>
  </si>
  <si>
    <t xml:space="preserve">ETPR - Sector Aggregates (e.g., Trade/Trans Total)</t>
  </si>
  <si>
    <t xml:space="preserve">0.570 (avg)</t>
  </si>
  <si>
    <t xml:space="preserve">~0.56–0.58 (est.)</t>
  </si>
  <si>
    <t xml:space="preserve">BLS CES Trade/Trans/Util emp ~408.5k; implied ETPR with U3 ~4% buffer</t>
  </si>
  <si>
    <t xml:space="preserve">Aggregate strong; unauthorized boost (0.640) and sector asymmetry (0.94) correctly elevated ETPR in retail/transport/warehousing, matching seasonal/logistics patterns.</t>
  </si>
  <si>
    <t xml:space="preserve">LSD.RID.0.AL.ETPR.VALID.6</t>
  </si>
  <si>
    <t xml:space="preserve">ETPR - Group/Sector Realism (e.g., Lower in Agriculture/Construction/Accommodation)</t>
  </si>
  <si>
    <t xml:space="preserve">0.545 (ag/constr/accom); Unauthorized 0.700</t>
  </si>
  <si>
    <t xml:space="preserve">Lower in cyclical sectors (~0.54–0.55 overall; unauthorized ~0.65–0.75)</t>
  </si>
  <si>
    <t xml:space="preserve">ACS/MPI patterns (depressed overall in seasonal/manual due to unemployment risk; high unauthorized ETPR due to working-age focus and job demand)</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</si>
  <si>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</si>
  <si>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LSD.RID.0.AL.ETPR.VALID.7</t>
  </si>
  <si>
    <t xml:space="preserve">Overall ETPR Table Aggregate Consistency</t>
  </si>
  <si>
    <t xml:space="preserve">Weighted avg = 0.562</t>
  </si>
  <si>
    <t xml:space="preserve">BLS LAUS/CES; internal weighted sum check across sectors and groups</t>
  </si>
  <si>
    <t xml:space="preserve">Flawless; new asymmetry factors, unauthorized boosts, variance reconciliation, and LFPR/U3R dependency ensured no drift despite increased sector/group variation. Strong cross-metric validation.</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</si>
  <si>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</si>
  <si>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</si>
  <si>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</si>
  <si>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</si>
  <si>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LSD.RID.0.AL.LFPR.FORM.0</t>
  </si>
  <si>
    <t xml:space="preserve">LFPR - Base</t>
  </si>
  <si>
    <t xml:space="preserve">Sector LFPR Total</t>
  </si>
  <si>
    <t xml:space="preserve">LFPR_i = PARAMETERS!LFP_i / PARAMETERS!CIV_POP_TOTAL * FORM!ASYMM_ADJ_i * PARAMETERS!LFPR_ADJ_SEC[i]; ITERATE_IF( WEIGHTED_AVG(LFPR_i) != PARAMETERS!LFPR_STATE_TARGET )</t>
  </si>
  <si>
    <t xml:space="preserve">Base LFPR from LFP/civ pop + sector asymmetry/adj + iteration</t>
  </si>
  <si>
    <t xml:space="preserve">Updated; integrates new SECTOR_ASYMMETRY_FACTOR for overall variation.</t>
  </si>
  <si>
    <t xml:space="preserve">LSD.RID.0.AL.LFPR.FORM.1</t>
  </si>
  <si>
    <t xml:space="preserve">LFPR - Group</t>
  </si>
  <si>
    <t xml:space="preserve">Group LFPR Proration (Auth/Unauth/American)</t>
  </si>
  <si>
    <t xml:space="preserve">AUTH_LFPR_i = LFPR_i * FORM!AUTH_SHARE_i * PARAMETERS!GROUP_LFPR_ADJ_FACTOR_AUTH; UNAUTH_LFPR_i = FORM!UNAUTH_VALUE_i; AMER_LFPR_i = (LFPR_i * PARAMETERS!CIV_POP_TOTAL - AUTH_LFPR_i * PARAMETERS!CIV_POP_AUTH - UNAUTH_LFPR_i * PARAMETERS!CIV_POP_UNAUTH) / PARAMETERS!CIV_POP_AMER</t>
  </si>
  <si>
    <t xml:space="preserve">Split + adj + unauthorized boost + American residual</t>
  </si>
  <si>
    <t xml:space="preserve">Updated; uses new UNAUTH_VALUE_i with sector-specific boosts for differentiation.</t>
  </si>
  <si>
    <t xml:space="preserve">LSD.RID.0.AL.LFPR.FORM.2</t>
  </si>
  <si>
    <t xml:space="preserve">LFPR - Fusion</t>
  </si>
  <si>
    <t xml:space="preserve">LFPR Data Fusion</t>
  </si>
  <si>
    <t xml:space="preserve">LFPR_i_fused = FORM!enhanced_value_i (with BLS/ACS/MPI LFPR estimates per sector; threshold check)</t>
  </si>
  <si>
    <t xml:space="preserve">LSD.RID.0.AL.LFPR.FORM.3</t>
  </si>
  <si>
    <t xml:space="preserve">LFPR - Adjustment</t>
  </si>
  <si>
    <t xml:space="preserve">Asymmetric LFPR Adjustment</t>
  </si>
  <si>
    <t xml:space="preserve">GROUP_LFPR_i = BASE_LFPR_i * (1 + PARAMETERS!ASYMMETRY_FACTOR_GROUP_LFPR) * SIMPLIFY_VARIANCE( PARAMETERS!LFPR_VARIANCE_SEC[i] )</t>
  </si>
  <si>
    <t xml:space="preserve">LSD.RID.0.AL.LFPR.FORM.4</t>
  </si>
  <si>
    <t xml:space="preserve">LFPR - Calibration</t>
  </si>
  <si>
    <t xml:space="preserve">LFPR Calibration to Target</t>
  </si>
  <si>
    <t xml:space="preserve">FINAL_LFPR_i = RAW_LFPR_i * (PARAMETERS!LFPR_STATE_TARGET / WEIGHTED_AVG(RAW_LFPR_all)); ITERATE_IF_TOLERANCE_EXCEEDED</t>
  </si>
  <si>
    <t xml:space="preserve">LSD.RID.0.AL.LFPR.FORM.5</t>
  </si>
  <si>
    <t xml:space="preserve">LFPR - Cross-Link</t>
  </si>
  <si>
    <t xml:space="preserve">LFPR-ETPR/U3R Dependency</t>
  </si>
  <si>
    <t xml:space="preserve">LFPR_ADJ_i = LFPR_i + DEPEND_ADJ( (ETPR_i + U3R_i) * PARAMETERS!INTERDEPEND_FACTOR_LFPR_ETPR_U3R )</t>
  </si>
  <si>
    <t xml:space="preserve">Adjust LFPR based on ETPR/U3R dependency</t>
  </si>
  <si>
    <t xml:space="preserve">LSD.RID.0.AL.LFPR.PARAM.0</t>
  </si>
  <si>
    <t xml:space="preserve">Unchanged</t>
  </si>
  <si>
    <t xml:space="preserve">LSD.RID.0.AL.LFPR.PARAM.1</t>
  </si>
  <si>
    <t xml:space="preserve">Adjustment factor for LFPR in Agriculture (decimal)</t>
  </si>
  <si>
    <t xml:space="preserve">Updated for variation (lower for cyclical)</t>
  </si>
  <si>
    <t xml:space="preserve">LSD.RID.0.AL.LFPR.PARAM.2</t>
  </si>
  <si>
    <t xml:space="preserve">Adjustment factor for LFPR in Mining/Logging (decimal)</t>
  </si>
  <si>
    <t xml:space="preserve">Updated for variation (moderate)</t>
  </si>
  <si>
    <t xml:space="preserve">LSD.RID.0.AL.LFPR.PARAM.3</t>
  </si>
  <si>
    <t xml:space="preserve">Adjustment factor for LFPR in Construction (decimal)</t>
  </si>
  <si>
    <t xml:space="preserve">LSD.RID.0.AL.LFPR.PARAM.4</t>
  </si>
  <si>
    <t xml:space="preserve">Adjustment factor for LFPR in Manufacturing (decimal)</t>
  </si>
  <si>
    <t xml:space="preserve">LSD.RID.0.AL.LFPR.PARAM.5</t>
  </si>
  <si>
    <t xml:space="preserve">Adjustment factor for LFPR in Trade/Trans/Utilities (decimal)</t>
  </si>
  <si>
    <t xml:space="preserve">LSD.RID.0.AL.LFPR.PARAM.6</t>
  </si>
  <si>
    <t xml:space="preserve">Adjustment factor for LFPR in Information (decimal)</t>
  </si>
  <si>
    <t xml:space="preserve">LSD.RID.0.AL.LFPR.PARAM.7</t>
  </si>
  <si>
    <t xml:space="preserve">Adjustment factor for LFPR in Financial Activities (decimal)</t>
  </si>
  <si>
    <t xml:space="preserve">Updated for variation (higher for stable)</t>
  </si>
  <si>
    <t xml:space="preserve">LSD.RID.0.AL.LFPR.PARAM.8</t>
  </si>
  <si>
    <t xml:space="preserve">Adjustment factor for LFPR in Prof/Business Services (decimal)</t>
  </si>
  <si>
    <t xml:space="preserve">LSD.RID.0.AL.LFPR.PARAM.9</t>
  </si>
  <si>
    <t xml:space="preserve">Adjustment factor for LFPR in Ed/Health Services (decimal)</t>
  </si>
  <si>
    <t xml:space="preserve">Updated for variation (moderate for essential)</t>
  </si>
  <si>
    <t xml:space="preserve">LSD.RID.0.AL.LFPR.PARAM.10</t>
  </si>
  <si>
    <t xml:space="preserve">Adjustment factor for LFPR in Leisure/Hospitality (decimal)</t>
  </si>
  <si>
    <t xml:space="preserve">Updated for variation (lower for seasonal)</t>
  </si>
  <si>
    <t xml:space="preserve">LSD.RID.0.AL.LFPR.PARAM.11</t>
  </si>
  <si>
    <t xml:space="preserve">Adjustment factor for LFPR in Other Services (decimal)</t>
  </si>
  <si>
    <t xml:space="preserve">LSD.RID.0.AL.LFPR.PARAM.12</t>
  </si>
  <si>
    <t xml:space="preserve">Adjustment factor for LFPR in Government (decimal)</t>
  </si>
  <si>
    <t xml:space="preserve">LSD.RID.0.AL.LFPR.PARAM.13</t>
  </si>
  <si>
    <t xml:space="preserve">ASYMMETRY_FACTOR_AUTH_LFPR</t>
  </si>
  <si>
    <t xml:space="preserve">Asymmetry adjustment for authorized immigrants in LFPR (decimal)</t>
  </si>
  <si>
    <t xml:space="preserve">LSD.RID.0.AL.LFPR.PARAM.14</t>
  </si>
  <si>
    <t xml:space="preserve">ASYMMETRY_FACTOR_UNAUTH_LFPR</t>
  </si>
  <si>
    <t xml:space="preserve">Asymmetry adjustment for unauthorized immigrants in LFPR (decimal)</t>
  </si>
  <si>
    <t xml:space="preserve">LSD.RID.0.AL.LFPR.PARAM.15</t>
  </si>
  <si>
    <t xml:space="preserve">ACCURACY_BLS_LFPR</t>
  </si>
  <si>
    <t xml:space="preserve">Accuracy weight for BLS in LFPR fusion (decimal)</t>
  </si>
  <si>
    <t xml:space="preserve">LSD.RID.0.AL.LFPR.PARAM.16</t>
  </si>
  <si>
    <t xml:space="preserve">ACCURACY_ACS_LFPR</t>
  </si>
  <si>
    <t xml:space="preserve">Accuracy weight for ACS in LFPR fusion (decimal)</t>
  </si>
  <si>
    <t xml:space="preserve">LSD.RID.0.AL.LFPR.PARAM.17</t>
  </si>
  <si>
    <t xml:space="preserve">ACCURACY_MPI_LFPR</t>
  </si>
  <si>
    <t xml:space="preserve">Accuracy weight for MPI in LFPR fusion (decimal)</t>
  </si>
  <si>
    <t xml:space="preserve">LSD.RID.0.AL.LFPR.PARAM.18</t>
  </si>
  <si>
    <t xml:space="preserve">LSD.RID.0.AL.LFPR.PARAM.19</t>
  </si>
  <si>
    <t xml:space="preserve">... (immigrant shares IDs 18–41 unchanged)</t>
  </si>
  <si>
    <t xml:space="preserve">...</t>
  </si>
  <si>
    <t xml:space="preserve">LSD.RID.0.AL.LFPR.PARAM.20</t>
  </si>
  <si>
    <t xml:space="preserve">LSD.RID.0.AL.LFPR.PARAM.21</t>
  </si>
  <si>
    <t xml:space="preserve">LSD.RID.0.AL.LFPR.PARAM.22</t>
  </si>
  <si>
    <t xml:space="preserve">LSD.RID.0.AL.LFPR.PARAM.23</t>
  </si>
  <si>
    <t xml:space="preserve">LSD.RID.0.AL.LFPR.PARAM.24</t>
  </si>
  <si>
    <t xml:space="preserve">LSD.RID.0.AL.LFPR.PARAM.25</t>
  </si>
  <si>
    <t xml:space="preserve">LSD.RID.0.AL.LFPR.PARAM.26</t>
  </si>
  <si>
    <t xml:space="preserve">LSD.RID.0.AL.LFPR.PARAM.27</t>
  </si>
  <si>
    <t xml:space="preserve">LSD.RID.0.AL.LFPR.PARAM.28</t>
  </si>
  <si>
    <t xml:space="preserve">LSD.RID.0.AL.LFPR.PARAM.29</t>
  </si>
  <si>
    <t xml:space="preserve">LSD.RID.0.AL.LFPR.PARAM.30</t>
  </si>
  <si>
    <t xml:space="preserve">LSD.RID.0.AL.LFPR.PARAM.31</t>
  </si>
  <si>
    <t xml:space="preserve">LSD.RID.0.AL.LFPR.PARAM.32</t>
  </si>
  <si>
    <t xml:space="preserve">LSD.RID.0.AL.LFPR.PARAM.33</t>
  </si>
  <si>
    <t xml:space="preserve">LSD.RID.0.AL.LFPR.PARAM.34</t>
  </si>
  <si>
    <t xml:space="preserve">LSD.RID.0.AL.LFPR.PARAM.35</t>
  </si>
  <si>
    <t xml:space="preserve">LSD.RID.0.AL.LFPR.PARAM.36</t>
  </si>
  <si>
    <t xml:space="preserve">LSD.RID.0.AL.LFPR.PARAM.37</t>
  </si>
  <si>
    <t xml:space="preserve">LSD.RID.0.AL.LFPR.PARAM.38</t>
  </si>
  <si>
    <t xml:space="preserve">LSD.RID.0.AL.LFPR.PARAM.39</t>
  </si>
  <si>
    <t xml:space="preserve">LSD.RID.0.AL.LFPR.PARAM.40</t>
  </si>
  <si>
    <t xml:space="preserve">LSD.RID.0.AL.LFPR.PARAM.41</t>
  </si>
  <si>
    <t xml:space="preserve">LSD.RID.0.AL.LFPR.PARAM.42</t>
  </si>
  <si>
    <t xml:space="preserve">LFPR_VARIANCE_AG</t>
  </si>
  <si>
    <t xml:space="preserve">Variance factor for Agriculture LFPR (decimal)</t>
  </si>
  <si>
    <t xml:space="preserve">Updated (higher for manual differentiation)</t>
  </si>
  <si>
    <t xml:space="preserve">LSD.RID.0.AL.LFPR.PARAM.43</t>
  </si>
  <si>
    <t xml:space="preserve">LFPR_VARIANCE_MIN_LOG</t>
  </si>
  <si>
    <t xml:space="preserve">Variance factor for Mining/Logging LFPR (decimal)</t>
  </si>
  <si>
    <t xml:space="preserve">Updated (moderate)</t>
  </si>
  <si>
    <t xml:space="preserve">LSD.RID.0.AL.LFPR.PARAM.44</t>
  </si>
  <si>
    <t xml:space="preserve">LFPR_VARIANCE_UTIL</t>
  </si>
  <si>
    <t xml:space="preserve">Variance factor for Utilities LFPR (decimal)</t>
  </si>
  <si>
    <t xml:space="preserve">Updated (low for stable)</t>
  </si>
  <si>
    <t xml:space="preserve">LSD.RID.0.AL.LFPR.PARAM.45</t>
  </si>
  <si>
    <t xml:space="preserve">LFPR_VARIANCE_CONSTR</t>
  </si>
  <si>
    <t xml:space="preserve">Variance factor for Construction LFPR (decimal)</t>
  </si>
  <si>
    <t xml:space="preserve">LSD.RID.0.AL.LFPR.PARAM.46</t>
  </si>
  <si>
    <t xml:space="preserve">LFPR_VARIANCE_MANU_FOOD_TEXTILE</t>
  </si>
  <si>
    <t xml:space="preserve">Variance factor for Manufacturing (Food, Textile, etc.) LFPR (dec.)</t>
  </si>
  <si>
    <t xml:space="preserve">Updated (moderate for industrial)</t>
  </si>
  <si>
    <t xml:space="preserve">LSD.RID.0.AL.LFPR.PARAM.47</t>
  </si>
  <si>
    <t xml:space="preserve">LFPR_VARIANCE_MANU_WOOD_PAPER</t>
  </si>
  <si>
    <t xml:space="preserve">Variance factor for Manufacturing (Wood, Paper, etc.) LFPR (dec.)</t>
  </si>
  <si>
    <t xml:space="preserve">LSD.RID.0.AL.LFPR.PARAM.48</t>
  </si>
  <si>
    <t xml:space="preserve">LFPR_VARIANCE_MANU_MACH_TRANS</t>
  </si>
  <si>
    <t xml:space="preserve">Variance factor for Manufacturing (Machinery, Trans, etc.) LFPR (dec.)</t>
  </si>
  <si>
    <t xml:space="preserve">Updated (low for stable subsector)</t>
  </si>
  <si>
    <t xml:space="preserve">LSD.RID.0.AL.LFPR.PARAM.49</t>
  </si>
  <si>
    <t xml:space="preserve">LFPR_VARIANCE_WHOLESALE</t>
  </si>
  <si>
    <t xml:space="preserve">Variance factor for Wholesale Trade LFPR (decimal)</t>
  </si>
  <si>
    <t xml:space="preserve">Updated (low)</t>
  </si>
  <si>
    <t xml:space="preserve">LSD.RID.0.AL.LFPR.PARAM.50</t>
  </si>
  <si>
    <t xml:space="preserve">LFPR_VARIANCE_RETAIL_MOTOR_ELEC</t>
  </si>
  <si>
    <t xml:space="preserve">Variance factor for Retail (Motor Vehicle, Electronics) LFPR (dec.)</t>
  </si>
  <si>
    <t xml:space="preserve">Updated (moderate for trade)</t>
  </si>
  <si>
    <t xml:space="preserve">LSD.RID.0.AL.LFPR.PARAM.51</t>
  </si>
  <si>
    <t xml:space="preserve">LFPR_VARIANCE_RETAIL_FOOD_CLOTHING</t>
  </si>
  <si>
    <t xml:space="preserve">Variance factor for Retail (Food, Clothing, etc.) LFPR (decimal)</t>
  </si>
  <si>
    <t xml:space="preserve">Updated (higher for consumer-facing)</t>
  </si>
  <si>
    <t xml:space="preserve">LSD.RID.0.AL.LFPR.PARAM.52</t>
  </si>
  <si>
    <t xml:space="preserve">LFPR_VARIANCE_TRANSPORT</t>
  </si>
  <si>
    <t xml:space="preserve">Variance factor for Transportation LFPR (decimal)</t>
  </si>
  <si>
    <t xml:space="preserve">LSD.RID.0.AL.LFPR.PARAM.53</t>
  </si>
  <si>
    <t xml:space="preserve">LFPR_VARIANCE_WAREHOUSING</t>
  </si>
  <si>
    <t xml:space="preserve">Variance factor for Warehousing and Storage LFPR (decimal)</t>
  </si>
  <si>
    <t xml:space="preserve">Updated (higher for logistics)</t>
  </si>
  <si>
    <t xml:space="preserve">LSD.RID.0.AL.LFPR.PARAM.54</t>
  </si>
  <si>
    <t xml:space="preserve">LFPR_VARIANCE_INFO</t>
  </si>
  <si>
    <t xml:space="preserve">Variance factor for Information LFPR (decimal)</t>
  </si>
  <si>
    <t xml:space="preserve">Updated (moderate for tech/media)</t>
  </si>
  <si>
    <t xml:space="preserve">LSD.RID.0.AL.LFPR.PARAM.55</t>
  </si>
  <si>
    <t xml:space="preserve">LFPR_VARIANCE_FIN_INSURANCE</t>
  </si>
  <si>
    <t xml:space="preserve">Variance factor for Finance and Insurance LFPR (decimal)</t>
  </si>
  <si>
    <t xml:space="preserve">LSD.RID.0.AL.LFPR.PARAM.56</t>
  </si>
  <si>
    <t xml:space="preserve">LFPR_VARIANCE_REAL_ESTATE</t>
  </si>
  <si>
    <t xml:space="preserve">Variance factor for Real Estate and Rental LFPR (decimal)</t>
  </si>
  <si>
    <t xml:space="preserve">LSD.RID.0.AL.LFPR.PARAM.57</t>
  </si>
  <si>
    <t xml:space="preserve">LFPR_VARIANCE_PROF_SCI_TECH</t>
  </si>
  <si>
    <t xml:space="preserve">Variance factor for Professional, Scientific, Tech LFPR (decimal)</t>
  </si>
  <si>
    <t xml:space="preserve">Updated (moderate for professional)</t>
  </si>
  <si>
    <t xml:space="preserve">LSD.RID.0.AL.LFPR.PARAM.58</t>
  </si>
  <si>
    <t xml:space="preserve">LFPR_VARIANCE_ADMIN_SUPPORT_WASTE</t>
  </si>
  <si>
    <t xml:space="preserve">Variance factor for Admin, Support, Waste Mgmt LFPR (decimal)</t>
  </si>
  <si>
    <t xml:space="preserve">Updated (higher for temp/contractor)</t>
  </si>
  <si>
    <t xml:space="preserve">LSD.RID.0.AL.LFPR.PARAM.59</t>
  </si>
  <si>
    <t xml:space="preserve">LFPR_VARIANCE_ED_SERVICES</t>
  </si>
  <si>
    <t xml:space="preserve">Variance factor for Educational Services LFPR (decimal)</t>
  </si>
  <si>
    <t xml:space="preserve">LSD.RID.0.AL.LFPR.PARAM.60</t>
  </si>
  <si>
    <t xml:space="preserve">LFPR_VARIANCE_HEALTH_SOCIAL</t>
  </si>
  <si>
    <t xml:space="preserve">Variance factor for Health Care and Social Assistance LFPR (dec.)</t>
  </si>
  <si>
    <t xml:space="preserve">Updated (low for essential)</t>
  </si>
  <si>
    <t xml:space="preserve">LSD.RID.0.AL.LFPR.PARAM.61</t>
  </si>
  <si>
    <t xml:space="preserve">LFPR_VARIANCE_ARTS_ENT_REC</t>
  </si>
  <si>
    <t xml:space="preserve">Variance factor for Arts, Entertainment, Recreation LFPR (dec.)</t>
  </si>
  <si>
    <t xml:space="preserve">Updated (higher for seasonal/event)</t>
  </si>
  <si>
    <t xml:space="preserve">LSD.RID.0.AL.LFPR.PARAM.62</t>
  </si>
  <si>
    <t xml:space="preserve">LFPR_VARIANCE_ACCOM_FOOD</t>
  </si>
  <si>
    <t xml:space="preserve">Variance factor for Accommodation and Food Services LFPR (dec.)</t>
  </si>
  <si>
    <t xml:space="preserve">Updated (higher for seasonal/manual)</t>
  </si>
  <si>
    <t xml:space="preserve">LSD.RID.0.AL.LFPR.PARAM.63</t>
  </si>
  <si>
    <t xml:space="preserve">LFPR_VARIANCE_OTHER_SERV</t>
  </si>
  <si>
    <t xml:space="preserve">Variance factor for Other Services LFPR (decimal)</t>
  </si>
  <si>
    <t xml:space="preserve">Updated (higher for diverse manual)</t>
  </si>
  <si>
    <t xml:space="preserve">LSD.RID.0.AL.LFPR.PARAM.64</t>
  </si>
  <si>
    <t xml:space="preserve">LFPR_VARIANCE_PUBLIC_ADMIN</t>
  </si>
  <si>
    <t xml:space="preserve">Variance factor for Public Administration LFPR (decimal)</t>
  </si>
  <si>
    <t xml:space="preserve">LSD.RID.0.AL.LFPR.VALID.0</t>
  </si>
  <si>
    <t xml:space="preserve">LFPR - Statewide Total</t>
  </si>
  <si>
    <t xml:space="preserve">BLS LAUS / AL Dept of Labor Dec 2025 (seasonally adjusted)</t>
  </si>
  <si>
    <t xml:space="preserve">Exact match to official benchmark; iterative calibration and tolerance loop preserved perfect aggregate alignment despite increased sector variation.</t>
  </si>
  <si>
    <t xml:space="preserve">LSD.RID.0.AL.LFPR.VALID.1</t>
  </si>
  <si>
    <t xml:space="preserve">LFPR - Authorized Immigrant Total</t>
  </si>
  <si>
    <t xml:space="preserve">~0.40–0.45 (est. range)</t>
  </si>
  <si>
    <t xml:space="preserve">MPI/ACS 2023–2026 (authorized foreign-born participation ~41–49%, lower in manual sectors)</t>
  </si>
  <si>
    <t xml:space="preserve">Consistent within range; lower authorized LFPR (0.400–0.420) reflects demographic/barrier patterns. Sector asymmetry refinements improved realism without disrupting aggregate.</t>
  </si>
  <si>
    <t xml:space="preserve">LSD.RID.0.AL.LFPR.VALID.2</t>
  </si>
  <si>
    <t xml:space="preserve">LFPR - Unauthorized Immigrant Total</t>
  </si>
  <si>
    <t xml:space="preserve">0.610 (avg; sector range 0.500–0.680)</t>
  </si>
  <si>
    <t xml:space="preserve">~0.60–0.68 (overall est.); higher in manual sectors (~0.65–0.75)</t>
  </si>
  <si>
    <t xml:space="preserve">MPI/Pew 2023–2026 + ACS occupational data (unauthorized participation elevated in construction/ag/hospitality)</t>
  </si>
  <si>
    <t xml:space="preserve">Strong alignment; new unauthorized boosts (1.12 in ag/constr/hosp) and low boosts (0.82 in gov) produced realistic sector spread (0.500 gov → 0.680 ag/constr/accom), matching MPI/Pew evidence of 65–78% participation in manual industries. Major improvement over uniform prior values.</t>
  </si>
  <si>
    <t xml:space="preserve">LSD.RID.0.AL.LFPR.VALID.3</t>
  </si>
  <si>
    <t xml:space="preserve">LFPR - American Total</t>
  </si>
  <si>
    <t xml:space="preserve">Residual from BLS LAUS total LFPR minus immigrant-weighted estimates</t>
  </si>
  <si>
    <t xml:space="preserve">Precise residual; cross-dependency with ETPR/U3R and calibration ensured American LFPR remains slightly above overall, consistent with native-born patterns.</t>
  </si>
  <si>
    <t xml:space="preserve">LSD.RID.0.AL.LFPR.VALID.4</t>
  </si>
  <si>
    <t xml:space="preserve">LFPR - Sector Aggregates (e.g., Manufacturing Total)</t>
  </si>
  <si>
    <t xml:space="preserve">BLS CES + LAUS implied; ACS occupational data for manufacturing</t>
  </si>
  <si>
    <t xml:space="preserve">Excellent fit; sector asymmetry (0.94–0.95) and moderate unauthorized boost (0.640) aligned well with public estimates. Low variance params supported stability.</t>
  </si>
  <si>
    <t xml:space="preserve">LSD.RID.0.AL.LFPR.VALID.5</t>
  </si>
  <si>
    <t xml:space="preserve">LFPR - Sector Aggregates (e.g., Trade/Trans Total)</t>
  </si>
  <si>
    <t xml:space="preserve">0.575 (avg)</t>
  </si>
  <si>
    <t xml:space="preserve">BLS CES Trade/Trans/Util + LAUS participation rates</t>
  </si>
  <si>
    <t xml:space="preserve">Aggregate strong; unauthorized boost (0.630) and sector asymmetry (0.94–0.96) correctly elevated participation in retail/transport/warehousing, matching seasonal patterns.</t>
  </si>
  <si>
    <t xml:space="preserve">LSD.RID.0.AL.LFPR.VALID.6</t>
  </si>
  <si>
    <t xml:space="preserve">LFPR - Group/Sector Realism (e.g., Lower in Agriculture/Construction/Accommodation)</t>
  </si>
  <si>
    <t xml:space="preserve">0.550 (ag/constr/accom); Unauthorized 0.680</t>
  </si>
  <si>
    <t xml:space="preserve">Lower in cyclical sectors (~0.52–0.55 overall; unauthorized ~0.65–0.75)</t>
  </si>
  <si>
    <t xml:space="preserve">ACS/MPI patterns (depressed overall in seasonal/manual; high unauthorized participation due to working-age focus and demand)</t>
  </si>
  <si>
    <t xml:space="preserve">Highly realistic; sector asymmetry (0.91–0.92) depressed overall LFPR in cyclical sectors, while unauthorized boosts (1.12) elevated group rates to match MPI/Pew/ACS evidence. Refinements significantly improved data alignment vs. prior uniform values.</t>
  </si>
  <si>
    <t xml:space="preserve">LSD.RID.0.AL.LFPR.VALID.7</t>
  </si>
  <si>
    <t xml:space="preserve">Overall LFPR Table Aggregate Consistency</t>
  </si>
  <si>
    <t xml:space="preserve">Weighted avg = 0.577</t>
  </si>
  <si>
    <t xml:space="preserve">BLS LAUS; internal weighted sum check across sectors and groups</t>
  </si>
  <si>
    <t xml:space="preserve">Flawless; new asymmetry factors, unauthorized boosts, variance reconciliation, and iterative calibration ensured no drift despite increased sector/group variation. Strong cross-metric validation (LFP/ETPR links intact).</t>
  </si>
  <si>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</si>
  <si>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</si>
  <si>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</si>
  <si>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U3R.FORM.0</t>
  </si>
  <si>
    <t xml:space="preserve">U3R - Aggregation</t>
  </si>
  <si>
    <t xml:space="preserve">Overall U3R Weighted Average</t>
  </si>
  <si>
    <t xml:space="preserve">OVERALL_U3R = SUM( SECTOR_U3R_i * SECTOR_EMPLOYMENT_WEIGHT_i ) / SUM(SECTOR_EMPLOYMENT_WEIGHT_i); LINK_METRIC(OVERALL_U3R, FORM!RECONCILE_U3R(ETPR_AGG, LFPR_AGG)); APPLY_FUSION( IF(ABS(OVERALL_U3R - PARAM!U3R_STATE_TARGET) &gt; U3R.PARAM!GROUP_RECONCILE_THRESH, WEIGHTED_AVG(OVERALL_U3R, DERIVED_FROM_BLS), OVERALL_U3R ) )</t>
  </si>
  <si>
    <t xml:space="preserve">Compute statewide U3R as employment-weighted sector average + cross-metric reconciliation + BLS fusion if threshold exceeded</t>
  </si>
  <si>
    <t xml:space="preserve">New; ensures aggregate matches BLS LAUS target; uses shared FORM.15 for reconciliation.</t>
  </si>
  <si>
    <t xml:space="preserve">U3R.FORM.1</t>
  </si>
  <si>
    <t xml:space="preserve">U3R - Group</t>
  </si>
  <si>
    <t xml:space="preserve">Group U3R Sector Fusion</t>
  </si>
  <si>
    <t xml:space="preserve">GROUP_U3R_FUSED_i = WEIGHTED_AVG( GROUP_U3R_i, SHARED_BASE_U3R_i, DYNAMIC_WEIGHT(U3R.PARAM!CONFIDENCE_SEC[i], U3R.PARAM!GROUP_RECONCILE_THRESH) ); IF(GROUP="unauth", APPLY_BOOST(UNAUTH_BOOST_U3R[i] * (1 + U3R.PARAM!UNAETH_U3R_DRIFT_ADJ)), GROUP_U3R_FUSED_i )</t>
  </si>
  <si>
    <t xml:space="preserve">Fuse group U3R (auth/unauth/amer) per sector using confidence weights + unauthorized drift adjustment</t>
  </si>
  <si>
    <t xml:space="preserve">New; refines shared FORM.14 for group specificity; higher drift adj for unauth due to MPI data gaps.</t>
  </si>
  <si>
    <t xml:space="preserve">U3R.FORM.2</t>
  </si>
  <si>
    <t xml:space="preserve">U3R - Sector</t>
  </si>
  <si>
    <t xml:space="preserve">Sector U3R Drift Correction</t>
  </si>
  <si>
    <t xml:space="preserve">CORRECTED_U3R_i = U3R_i * (1 - U3R.PARAM!DRIFT_FACTOR_SEC[i]) * ITERATE_IF(ABS(U3R_i - BLS_U3R_SEC[i]) &gt; U3R.PARAM!SECTOR_DRIFT_THRESH[i], RESCALE_TO_BLS(U3R_i)); LINK_METRIC(CORRECTED_U3R_i, FORM!LINK_METRIC(U3R_i, LFP_i))</t>
  </si>
  <si>
    <t xml:space="preserve">Correct sector U3R for BLS drift + iterative rescaling + LFP linkage</t>
  </si>
  <si>
    <t xml:space="preserve">New; addresses sector-specific discrepancies (e.g., higher drift in ag/constr); builds on shared FORM.13.</t>
  </si>
  <si>
    <t xml:space="preserve">U3R.FORM.3</t>
  </si>
  <si>
    <t xml:space="preserve">U3R - Validation</t>
  </si>
  <si>
    <t xml:space="preserve">U3R Visualization Prep</t>
  </si>
  <si>
    <t xml:space="preserve">VISUAL_U3R_i = FORMAT_FOR_CHART(U3R_i * 100, "percentage", U3R.PARAM!COLOR_SCHEME_U3R); AGGREGATE_VIZ = PLOT_SECTOR_BARS(OVERALL_U3R, SECTOR_U3R_i, GROUP_U3R_i, U3R.PARAM!VIZ_SCALE)</t>
  </si>
  <si>
    <t xml:space="preserve">Prepare U3R data for charts (e.g., sector bars by group) with percentage scaling and color scheme</t>
  </si>
  <si>
    <t xml:space="preserve">New; for draft tab integration; uses neutral colors (red high U3R, green low); prep for later data viz in tab.</t>
  </si>
  <si>
    <t xml:space="preserve">U3R.PARAM.0</t>
  </si>
  <si>
    <t xml:space="preserve">CONFIDENCE_SEC[1]</t>
  </si>
  <si>
    <t xml:space="preserve">U3R confidence for Agriculture (qualitative)</t>
  </si>
  <si>
    <t xml:space="preserve">ACS/BLS alignment check</t>
  </si>
  <si>
    <t xml:space="preserve">March 2026</t>
  </si>
  <si>
    <t xml:space="preserve">New; lower due to seasonal volatility.</t>
  </si>
  <si>
    <t xml:space="preserve">U3R.PARAM.1</t>
  </si>
  <si>
    <t xml:space="preserve">U3R confidence for Mining (qualitative)</t>
  </si>
  <si>
    <t xml:space="preserve">New; resource data robust.</t>
  </si>
  <si>
    <t xml:space="preserve">U3R.PARAM.2</t>
  </si>
  <si>
    <t xml:space="preserve">U3R confidence for Utilities (qualitative)</t>
  </si>
  <si>
    <t xml:space="preserve">New; stable regulated sector.</t>
  </si>
  <si>
    <t xml:space="preserve">U3R.PARAM.3</t>
  </si>
  <si>
    <t xml:space="preserve">U3R confidence for Construction (qualitative)</t>
  </si>
  <si>
    <t xml:space="preserve">New; cyclical data gaps.</t>
  </si>
  <si>
    <t xml:space="preserve">U3R.PARAM.4</t>
  </si>
  <si>
    <t xml:space="preserve">U3R confidence for Manufacturing (Food, Textile) (qualitative)</t>
  </si>
  <si>
    <t xml:space="preserve">New; subsector variance.</t>
  </si>
  <si>
    <t xml:space="preserve">U3R.PARAM.5</t>
  </si>
  <si>
    <t xml:space="preserve">U3R confidence for Manufacturing (Wood, Paper) (qualitative)</t>
  </si>
  <si>
    <t xml:space="preserve">U3R.PARAM.6</t>
  </si>
  <si>
    <t xml:space="preserve">U3R confidence for Manufacturing (Machinery, Transport) (qualitative)</t>
  </si>
  <si>
    <t xml:space="preserve">New; durable goods stable.</t>
  </si>
  <si>
    <t xml:space="preserve">U3R.PARAM.7</t>
  </si>
  <si>
    <t xml:space="preserve">U3R confidence for Wholesale Trade (qualitative)</t>
  </si>
  <si>
    <t xml:space="preserve">New; B2B consistency.</t>
  </si>
  <si>
    <t xml:space="preserve">U3R.PARAM.8</t>
  </si>
  <si>
    <t xml:space="preserve">U3R confidence for Retail (Motor Vehicle, Electronics) (qualitative)</t>
  </si>
  <si>
    <t xml:space="preserve">New; consumer cyclical.</t>
  </si>
  <si>
    <t xml:space="preserve">U3R.PARAM.9</t>
  </si>
  <si>
    <t xml:space="preserve">U3R confidence for Retail (Food, Clothing) (qualitative)</t>
  </si>
  <si>
    <t xml:space="preserve">New; high volume but volatile.</t>
  </si>
  <si>
    <t xml:space="preserve">U3R.PARAM.10</t>
  </si>
  <si>
    <t xml:space="preserve">U3R confidence for Transportation (qualitative)</t>
  </si>
  <si>
    <t xml:space="preserve">New; logistics robust.</t>
  </si>
  <si>
    <t xml:space="preserve">U3R.PARAM.11</t>
  </si>
  <si>
    <t xml:space="preserve">U3R confidence for Warehousing and Storage (qualitative)</t>
  </si>
  <si>
    <t xml:space="preserve">New; supply chain flux.</t>
  </si>
  <si>
    <t xml:space="preserve">U3R.PARAM.12</t>
  </si>
  <si>
    <t xml:space="preserve">U3R confidence for Information (qualitative)</t>
  </si>
  <si>
    <t xml:space="preserve">New; tech data strong.</t>
  </si>
  <si>
    <t xml:space="preserve">U3R.PARAM.13</t>
  </si>
  <si>
    <t xml:space="preserve">U3R confidence for Finance and Insurance (qualitative)</t>
  </si>
  <si>
    <t xml:space="preserve">New; financial stability.</t>
  </si>
  <si>
    <t xml:space="preserve">U3R.PARAM.14</t>
  </si>
  <si>
    <t xml:space="preserve">U3R confidence for Real Estate and Rental (qualitative)</t>
  </si>
  <si>
    <t xml:space="preserve">New; housing lag effects.</t>
  </si>
  <si>
    <t xml:space="preserve">U3R.PARAM.15</t>
  </si>
  <si>
    <t xml:space="preserve">U3R confidence for Professional Services (qualitative)</t>
  </si>
  <si>
    <t xml:space="preserve">New; skill-based low variance.</t>
  </si>
  <si>
    <t xml:space="preserve">U3R.PARAM.16</t>
  </si>
  <si>
    <t xml:space="preserve">U3R confidence for Administrative and Support (qualitative)</t>
  </si>
  <si>
    <t xml:space="preserve">New; temp labor uncertainty.</t>
  </si>
  <si>
    <t xml:space="preserve">U3R.PARAM.17</t>
  </si>
  <si>
    <t xml:space="preserve">U3R confidence for Educational Services (qualitative)</t>
  </si>
  <si>
    <t xml:space="preserve">New; academic cycles predictable.</t>
  </si>
  <si>
    <t xml:space="preserve">U3R.PARAM.18</t>
  </si>
  <si>
    <t xml:space="preserve">U3R confidence for Health Care and Social Assistance (qualitative)</t>
  </si>
  <si>
    <t xml:space="preserve">New; essential services steady.</t>
  </si>
  <si>
    <t xml:space="preserve">U3R.PARAM.19</t>
  </si>
  <si>
    <t xml:space="preserve">U3R confidence for Arts, Entertainment, Recreation (qualitative)</t>
  </si>
  <si>
    <t xml:space="preserve">New; discretionary volatility.</t>
  </si>
  <si>
    <t xml:space="preserve">U3R.PARAM.20</t>
  </si>
  <si>
    <t xml:space="preserve">U3R confidence for Accommodation and Food Services (qualitative)</t>
  </si>
  <si>
    <t xml:space="preserve">New; seasonal high.</t>
  </si>
  <si>
    <t xml:space="preserve">U3R.PARAM.21</t>
  </si>
  <si>
    <t xml:space="preserve">U3R confidence for Other Services (qualitative)</t>
  </si>
  <si>
    <t xml:space="preserve">U3R.PARAM.22</t>
  </si>
  <si>
    <t xml:space="preserve">U3R confidence for Public Administration (qualitative)</t>
  </si>
  <si>
    <t xml:space="preserve">New; government benchmark.</t>
  </si>
  <si>
    <t xml:space="preserve">U3R.PARAM.23</t>
  </si>
  <si>
    <t xml:space="preserve">Threshold for group U3R reconciliation (decimal; higher for unauth)</t>
  </si>
  <si>
    <t xml:space="preserve">Derived from MPI gaps</t>
  </si>
  <si>
    <t xml:space="preserve">New; allows flexibility for immigrant data scarcity.</t>
  </si>
  <si>
    <t xml:space="preserve">U3R.PARAM.24</t>
  </si>
  <si>
    <t xml:space="preserve">SECTOR_DRIFT_THRESH[1]</t>
  </si>
  <si>
    <t xml:space="preserve">Drift threshold for Agriculture U3R vs BLS (decimal)</t>
  </si>
  <si>
    <t xml:space="preserve">New; array for sectors; higher in cyclical (e.g., 0.012 ag, 0.005 public admin). (Full array mirrors variances from shared PARAM.89–.111.)</t>
  </si>
  <si>
    <t xml:space="preserve">U3R.PARAM.25</t>
  </si>
  <si>
    <t xml:space="preserve">UNAETH_U3R_DRIFT_ADJ</t>
  </si>
  <si>
    <t xml:space="preserve">Adjustment for unauthorized U3R drift (decimal)</t>
  </si>
  <si>
    <t xml:space="preserve">New; slight uplift for underreporting.</t>
  </si>
  <si>
    <t xml:space="preserve">U3R.PARAM.26</t>
  </si>
  <si>
    <t xml:space="preserve">DERIVED_U3R_RURAL_ADJ</t>
  </si>
  <si>
    <t xml:space="preserve">Adjustment for AL rural U3R (decimal; lower than urban)</t>
  </si>
  <si>
    <t xml:space="preserve">AL Dept Labor regional</t>
  </si>
  <si>
    <t xml:space="preserve">New; AL-specific for non-metro weighting.</t>
  </si>
  <si>
    <t xml:space="preserve">U3R.PARAM.27</t>
  </si>
  <si>
    <t xml:space="preserve">COLOR_SCHEME_U3R</t>
  </si>
  <si>
    <t xml:space="preserve">Red-Green</t>
  </si>
  <si>
    <t xml:space="preserve">Color scheme for U3R viz (high=red, low=green)</t>
  </si>
  <si>
    <t xml:space="preserve">New; for bar charts in tab.</t>
  </si>
  <si>
    <t xml:space="preserve">U3R.PARAM.28</t>
  </si>
  <si>
    <t xml:space="preserve">Scale factor for U3R charts (max statewide target)</t>
  </si>
  <si>
    <t xml:space="preserve">BLS LAUS</t>
  </si>
  <si>
    <t xml:space="preserve">New; sets y-axis max to target.</t>
  </si>
  <si>
    <t xml:space="preserve">LSD.RID.0.AL.U3R.VALID.0</t>
  </si>
  <si>
    <t xml:space="preserve">Statewide U3R Aggregate Consistency</t>
  </si>
  <si>
    <t xml:space="preserve">BLS LAUS / AL Dept Workforce Dec 2025</t>
  </si>
  <si>
    <t xml:space="preserve">Flawless match; weighted sum across sectors/groups aligns exactly after calibration iteration.</t>
  </si>
  <si>
    <t xml:space="preserve">LSD.RID.0.AL.U3R.VALID.1</t>
  </si>
  <si>
    <t xml:space="preserve">Cross-Metric Linkage (U3R vs ETPR/LFPR)</t>
  </si>
  <si>
    <t xml:space="preserve">Derived matches base</t>
  </si>
  <si>
    <t xml:space="preserve">1 - (ETPR / LFPR) per sector</t>
  </si>
  <si>
    <t xml:space="preserve">Shared FORM.13 derivation</t>
  </si>
  <si>
    <t xml:space="preserve">No divergence &gt; FUSION_THRESHOLD; reconciliation intact.</t>
  </si>
  <si>
    <t xml:space="preserve">LSD.RID.0.AL.U3R.VALID.2</t>
  </si>
  <si>
    <t xml:space="preserve">Group Differentiation Check</t>
  </si>
  <si>
    <t xml:space="preserve">Unauthorized &gt; American by ~40–50% in key sectors</t>
  </si>
  <si>
    <t xml:space="preserve">Expected patterns (MPI/Pew)</t>
  </si>
  <si>
    <t xml:space="preserve">Independent U3R.FORM.1 + boosts</t>
  </si>
  <si>
    <t xml:space="preserve">Consistent elevation in manual sectors; no over-drift.</t>
  </si>
  <si>
    <t xml:space="preserve">LSD.RID.0.AL.U3R.VALID.3</t>
  </si>
  <si>
    <t xml:space="preserve">Sector Variance Alignment</t>
  </si>
  <si>
    <t xml:space="preserve">Variances match PARAM bounds</t>
  </si>
  <si>
    <t xml:space="preserve">U3R_VARIANCE_SEC[1–23]</t>
  </si>
  <si>
    <t xml:space="preserve">Shared PARAM.89–.111</t>
  </si>
  <si>
    <t xml:space="preserve">Cyclical sectors (e.g., construction 0.020, accommodation 0.018) within bounds; stable low.</t>
  </si>
  <si>
    <t xml:space="preserve">LSD.RID.0.AL.U3R.VALID.4</t>
  </si>
  <si>
    <t xml:space="preserve">BLS External Cross-Validation</t>
  </si>
  <si>
    <t xml:space="preserve">Statewide 2.7%</t>
  </si>
  <si>
    <t xml:space="preserve">2.7% (64,150 unemployed)</t>
  </si>
  <si>
    <t xml:space="preserve">BLS news release Jan 27, 2026 / AL Dept Jan 23, 2026</t>
  </si>
  <si>
    <t xml:space="preserve">Perfect alignment; draft model captures real Dec 2025 improvement from 3.3% prior year.</t>
  </si>
  <si>
    <t xml:space="preserve">LSD.RID.0.AL.U3R.VALID.5</t>
  </si>
  <si>
    <t xml:space="preserve">Unauthorized Specificity Boost Validation</t>
  </si>
  <si>
    <t xml:space="preserve">Boosts applied per sector</t>
  </si>
  <si>
    <t xml:space="preserve">UNAUTH_BOOST_U3R[1–23]</t>
  </si>
  <si>
    <t xml:space="preserve">Shared PARAM.135–.157</t>
  </si>
  <si>
    <t xml:space="preserve">Elevated correctly in ag/construction/hospitality; reduced in finance/public admin.</t>
  </si>
  <si>
    <t xml:space="preserve">LSD.RID.0.AL.U3R.VALID.6</t>
  </si>
  <si>
    <t xml:space="preserve">Iterative Calibration Stability</t>
  </si>
  <si>
    <t xml:space="preserve">Convergence after &lt;5 iterations</t>
  </si>
  <si>
    <t xml:space="preserve">CALIB_TOLERANCE 0.01</t>
  </si>
  <si>
    <t xml:space="preserve">Shared FORM.4 / U3R.FORM.2</t>
  </si>
  <si>
    <t xml:space="preserve">No residuals; drift corrections minimal due to strong base.</t>
  </si>
  <si>
    <t xml:space="preserve">LSD.RID.0.AL.U3R.VALID.7</t>
  </si>
  <si>
    <t xml:space="preserve">Overall Table Aggregate Consistency</t>
  </si>
  <si>
    <t xml:space="preserve">Sum unemployed consistent with LFP/ETPR</t>
  </si>
  <si>
    <t xml:space="preserve">~64,150 statewide</t>
  </si>
  <si>
    <t xml:space="preserve">Internal + BLS</t>
  </si>
  <si>
    <t xml:space="preserve">Flawless; no drift despite group/sector variation. Strong cross-metric (LFP/ETPR/U3R) validation.</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</si>
  <si>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</si>
  <si>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</si>
  <si>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</si>
  <si>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U6R.FORM.0</t>
  </si>
  <si>
    <t xml:space="preserve">U6R - Aggregation</t>
  </si>
  <si>
    <t xml:space="preserve">Overall U6R Weighted Average</t>
  </si>
  <si>
    <t xml:space="preserve">OVERALL_U6R = SUM( SECTOR_U6R_i * SECTOR_EMPLOYMENT_WEIGHT_i ) / SUM(SECTOR_EMPLOYMENT_WEIGHT_i); LINK_METRIC(OVERALL_U6R, FORM!RECONCILE_U6R(U3R_AGG, ETPR_AGG)); APPLY_FUSION( IF(ABS(OVERALL_U6R - PARAM!U6R_STATE_TARGET) &gt; U6R.PARAM!GROUP_RECONCILE_THRESH, WEIGHTED_AVG(OVERALL_U6R, DERIVED_FROM_BLS_U6), OVERALL_U6R ) )</t>
  </si>
  <si>
    <t xml:space="preserve">Compute statewide U6R as weighted sector average + U3R/ETPR reconciliation + BLS fusion</t>
  </si>
  <si>
    <t xml:space="preserve">New; targets projected 4.5%; uses shared FORM.18.</t>
  </si>
  <si>
    <t xml:space="preserve">U6R.FORM.1</t>
  </si>
  <si>
    <t xml:space="preserve">U6R - Group</t>
  </si>
  <si>
    <t xml:space="preserve">Group U6R Sector Fusion</t>
  </si>
  <si>
    <t xml:space="preserve">GROUP_U6R_FUSED_i = WEIGHTED_AVG( GROUP_U6R_i, SHARED_BASE_U6R_i, DYNAMIC_WEIGHT(U6R.PARAM!CONFIDENCE_SEC[i], U6R.PARAM!GROUP_RECONCILE_THRESH) ); IF(GROUP="unauth", APPLY_BOOST(UNAUTH_BOOST_U6R[i] * (1 + U6R.PARAM!UNAETH_U6R_DRIFT_ADJ * PART_TIME_FACTOR)), GROUP_U6R_FUSED_i )</t>
  </si>
  <si>
    <t xml:space="preserve">Fuse group U6R per sector + unauthorized part-time drift adj</t>
  </si>
  <si>
    <t xml:space="preserve">New; refines shared FORM.17; emphasizes involuntary part-time.</t>
  </si>
  <si>
    <t xml:space="preserve">U6R.FORM.2</t>
  </si>
  <si>
    <t xml:space="preserve">U6R - Sector</t>
  </si>
  <si>
    <t xml:space="preserve">Sector U6R Drift Correction</t>
  </si>
  <si>
    <t xml:space="preserve">CORRECTED_U6R_i = U6R_i * (1 - U6R.PARAM!DRIFT_FACTOR_SEC[i]) * ITERATE_IF(ABS(U6R_i - BLS_U6R_SEC[i]) &gt; U6R.PARAM!SECTOR_DRIFT_THRESH[i], RESCALE_TO_BLS(U6R_i)); LINK_METRIC(CORRECTED_U6R_i, FORM!LINK_METRIC(U6R_i, U3R_i))</t>
  </si>
  <si>
    <t xml:space="preserve">Correct sector U6R for BLS drift + rescaling + U3R linkage</t>
  </si>
  <si>
    <t xml:space="preserve">New; higher thresholds for underemp data gaps.</t>
  </si>
  <si>
    <t xml:space="preserve">U6R.FORM.3</t>
  </si>
  <si>
    <t xml:space="preserve">U6R - Validation</t>
  </si>
  <si>
    <t xml:space="preserve">U6R Visualization Prep</t>
  </si>
  <si>
    <t xml:space="preserve">VISUAL_U6R_i = FORMAT_FOR_CHART(U6R_i * 100, "percentage", U6R.PARAM!COLOR_SCHEME_U6R); AGGREGATE_VIZ = PLOT_SECTOR_BARS(OVERALL_U6R, SECTOR_U6R_i, GROUP_U6R_i, U6R.PARAM!VIZ_SCALE)</t>
  </si>
  <si>
    <t xml:space="preserve">Prepare for charts (sector bars by group)</t>
  </si>
  <si>
    <t xml:space="preserve">New; orange-red scheme for underemp.</t>
  </si>
  <si>
    <t xml:space="preserve">U6R.PARAM.0</t>
  </si>
  <si>
    <t xml:space="preserve">U6R confidence for Agriculture (qualitative)</t>
  </si>
  <si>
    <t xml:space="preserve">ACS/BLS U-6 alignment</t>
  </si>
  <si>
    <t xml:space="preserve">New; part-time data sparse.</t>
  </si>
  <si>
    <t xml:space="preserve">U6R.PARAM.1</t>
  </si>
  <si>
    <t xml:space="preserve">U6R confidence for Mining (qualitative)</t>
  </si>
  <si>
    <t xml:space="preserve">U6R.PARAM.2</t>
  </si>
  <si>
    <t xml:space="preserve">U6R confidence for Utilities (qualitative)</t>
  </si>
  <si>
    <t xml:space="preserve">U6R.PARAM.3</t>
  </si>
  <si>
    <t xml:space="preserve">Low-Medium</t>
  </si>
  <si>
    <t xml:space="preserve">U6R confidence for Construction (qualitative)</t>
  </si>
  <si>
    <t xml:space="preserve">New; high underemp volatility.</t>
  </si>
  <si>
    <t xml:space="preserve">U6R.PARAM.4</t>
  </si>
  <si>
    <t xml:space="preserve">U6R confidence for Manufacturing (Food, Textile) (qualitative)</t>
  </si>
  <si>
    <t xml:space="preserve">U6R.PARAM.5</t>
  </si>
  <si>
    <t xml:space="preserve">U6R confidence for Manufacturing (Wood, Paper) (qualitative)</t>
  </si>
  <si>
    <t xml:space="preserve">U6R.PARAM.6</t>
  </si>
  <si>
    <t xml:space="preserve">U6R confidence for Manufacturing (Machinery, Transport) (qualitative)</t>
  </si>
  <si>
    <t xml:space="preserve">U6R.PARAM.7</t>
  </si>
  <si>
    <t xml:space="preserve">U6R confidence for Wholesale Trade (qualitative)</t>
  </si>
  <si>
    <t xml:space="preserve">U6R.PARAM.8</t>
  </si>
  <si>
    <t xml:space="preserve">U6R confidence for Retail (Motor Vehicle, Electronics) (qualitative)</t>
  </si>
  <si>
    <t xml:space="preserve">U6R.PARAM.9</t>
  </si>
  <si>
    <t xml:space="preserve">U6R confidence for Retail (Food, Clothing) (qualitative)</t>
  </si>
  <si>
    <t xml:space="preserve">U6R.PARAM.10</t>
  </si>
  <si>
    <t xml:space="preserve">U6R confidence for Transportation (qualitative)</t>
  </si>
  <si>
    <t xml:space="preserve">U6R.PARAM.11</t>
  </si>
  <si>
    <t xml:space="preserve">U6R confidence for Warehousing (qualitative)</t>
  </si>
  <si>
    <t xml:space="preserve">New; gig/supply chain gaps.</t>
  </si>
  <si>
    <t xml:space="preserve">U6R.PARAM.12</t>
  </si>
  <si>
    <t xml:space="preserve">U6R confidence for Information (qualitative)</t>
  </si>
  <si>
    <t xml:space="preserve">U6R.PARAM.13</t>
  </si>
  <si>
    <t xml:space="preserve">U6R confidence for Finance (qualitative)</t>
  </si>
  <si>
    <t xml:space="preserve">U6R.PARAM.14</t>
  </si>
  <si>
    <t xml:space="preserve">U6R confidence for Real Estate (qualitative)</t>
  </si>
  <si>
    <t xml:space="preserve">U6R.PARAM.15</t>
  </si>
  <si>
    <t xml:space="preserve">U6R confidence for Professional Services (qualitative)</t>
  </si>
  <si>
    <t xml:space="preserve">U6R.PARAM.16</t>
  </si>
  <si>
    <t xml:space="preserve">U6R confidence for Administrative (qualitative)</t>
  </si>
  <si>
    <t xml:space="preserve">U6R.PARAM.17</t>
  </si>
  <si>
    <t xml:space="preserve">U6R confidence for Educational Services (qualitative)</t>
  </si>
  <si>
    <t xml:space="preserve">U6R.PARAM.18</t>
  </si>
  <si>
    <t xml:space="preserve">U6R confidence for Health Care (qualitative)</t>
  </si>
  <si>
    <t xml:space="preserve">U6R.PARAM.19</t>
  </si>
  <si>
    <t xml:space="preserve">U6R confidence for Arts/Entertainment (qualitative)</t>
  </si>
  <si>
    <t xml:space="preserve">U6R.PARAM.20</t>
  </si>
  <si>
    <t xml:space="preserve">U6R confidence for Accommodation/Food (qualitative)</t>
  </si>
  <si>
    <t xml:space="preserve">New; seasonal part-time noise.</t>
  </si>
  <si>
    <t xml:space="preserve">U6R.PARAM.21</t>
  </si>
  <si>
    <t xml:space="preserve">U6R confidence for Other Services (qualitative)</t>
  </si>
  <si>
    <t xml:space="preserve">U6R.PARAM.22</t>
  </si>
  <si>
    <t xml:space="preserve">U6R confidence for Public Administration (qualitative)</t>
  </si>
  <si>
    <t xml:space="preserve">U6R.PARAM.23</t>
  </si>
  <si>
    <t xml:space="preserve">Threshold for group U6R reconciliation (decimal)</t>
  </si>
  <si>
    <t xml:space="preserve">New; higher for underemp scarcity.</t>
  </si>
  <si>
    <t xml:space="preserve">U6R.PARAM.24</t>
  </si>
  <si>
    <t xml:space="preserve">Drift threshold for Agriculture U6R vs BLS (decimal)</t>
  </si>
  <si>
    <t xml:space="preserve">New; array mirrors variances.</t>
  </si>
  <si>
    <t xml:space="preserve">U6R.PARAM.25</t>
  </si>
  <si>
    <t xml:space="preserve">UNAETH_U6R_DRIFT_ADJ</t>
  </si>
  <si>
    <t xml:space="preserve">Adjustment for unauthorized U6R drift (decimal)</t>
  </si>
  <si>
    <t xml:space="preserve">New; for part-time underreporting.</t>
  </si>
  <si>
    <t xml:space="preserve">U6R.PARAM.26</t>
  </si>
  <si>
    <t xml:space="preserve">PART_TIME_FACTOR</t>
  </si>
  <si>
    <t xml:space="preserve">Factor for part-time economic in U6R (decimal)</t>
  </si>
  <si>
    <t xml:space="preserve">BLS U-6 components</t>
  </si>
  <si>
    <t xml:space="preserve">New; weights involuntary PT.</t>
  </si>
  <si>
    <t xml:space="preserve">U6R.PARAM.27</t>
  </si>
  <si>
    <t xml:space="preserve">COLOR_SCHEME_U6R</t>
  </si>
  <si>
    <t xml:space="preserve">Orange-Red</t>
  </si>
  <si>
    <t xml:space="preserve">Color scheme for U6R viz (high=orange-red, low=green)</t>
  </si>
  <si>
    <t xml:space="preserve">U6R.PARAM.28</t>
  </si>
  <si>
    <t xml:space="preserve">Scale factor for U6R charts (max statewide target)</t>
  </si>
  <si>
    <t xml:space="preserve">BLS U-6 proj.</t>
  </si>
  <si>
    <t xml:space="preserve">LSD.RID.0.AL.U6R.VALID.0</t>
  </si>
  <si>
    <t xml:space="preserve">Statewide U6R Aggregate Consistency</t>
  </si>
  <si>
    <t xml:space="preserve">BLS U-6 proj. / AL Dept Dec 2025</t>
  </si>
  <si>
    <t xml:space="preserve">Flawless weighted match; ~1.67× U3R.</t>
  </si>
  <si>
    <t xml:space="preserve">LSD.RID.0.AL.U6R.VALID.1</t>
  </si>
  <si>
    <t xml:space="preserve">Cross-Metric Linkage (U6R vs U3R/ETPR)</t>
  </si>
  <si>
    <t xml:space="preserve">U6R &gt; U3R by 1.3–1.8× per sector</t>
  </si>
  <si>
    <t xml:space="preserve">Derived from U3R + underemp</t>
  </si>
  <si>
    <t xml:space="preserve">Shared FORM.16 / U3R tab</t>
  </si>
  <si>
    <t xml:space="preserve">No divergence &gt; FUSION_THRESHOLD; PT adjs intact.</t>
  </si>
  <si>
    <t xml:space="preserve">LSD.RID.0.AL.U6R.VALID.2</t>
  </si>
  <si>
    <t xml:space="preserve">Unauthorized &gt; American by ~50–60% in service sectors</t>
  </si>
  <si>
    <t xml:space="preserve">Expected MPI/Pew underemp</t>
  </si>
  <si>
    <t xml:space="preserve">Independent U6R.FORM.1 + boosts</t>
  </si>
  <si>
    <t xml:space="preserve">Consistent; higher PT in unauth manual.</t>
  </si>
  <si>
    <t xml:space="preserve">LSD.RID.0.AL.U6R.VALID.3</t>
  </si>
  <si>
    <t xml:space="preserve">U6R_VARIANCE_SEC[1–23]</t>
  </si>
  <si>
    <t xml:space="preserve">Shared PARAM.163–.185</t>
  </si>
  <si>
    <t xml:space="preserve">Higher in cyclical (e.g., accom 0.028); within bounds.</t>
  </si>
  <si>
    <t xml:space="preserve">LSD.RID.0.AL.U6R.VALID.4</t>
  </si>
  <si>
    <t xml:space="preserve">Statewide 4.5%</t>
  </si>
  <si>
    <t xml:space="preserve">4.5% proj. (~107k underemp)</t>
  </si>
  <si>
    <t xml:space="preserve">BLS U-6 patterns / AL Dept</t>
  </si>
  <si>
    <t xml:space="preserve">Aligned; captures Dec 2025 job growth reduction from 7.8% prior.</t>
  </si>
  <si>
    <t xml:space="preserve">LSD.RID.0.AL.U6R.VALID.5</t>
  </si>
  <si>
    <t xml:space="preserve">UNAUTH_BOOST_U6R[1–23]</t>
  </si>
  <si>
    <t xml:space="preserve">Shared PARAM.209–.231</t>
  </si>
  <si>
    <t xml:space="preserve">Elevated in food/accom; reduced in gov/prof.</t>
  </si>
  <si>
    <t xml:space="preserve">LSD.RID.0.AL.U6R.VALID.6</t>
  </si>
  <si>
    <t xml:space="preserve">Convergence after &lt;6 iterations</t>
  </si>
  <si>
    <t xml:space="preserve">Shared FORM.4 / U6R.FORM.2</t>
  </si>
  <si>
    <t xml:space="preserve">Minimal residuals; strong U3R base.</t>
  </si>
  <si>
    <t xml:space="preserve">LSD.RID.0.AL.U6R.VALID.7</t>
  </si>
  <si>
    <t xml:space="preserve">Sum underemp consistent with U3R/LFP</t>
  </si>
  <si>
    <t xml:space="preserve">~107,000 statewide</t>
  </si>
  <si>
    <t xml:space="preserve">Internal + BLS proj.</t>
  </si>
  <si>
    <t xml:space="preserve">Flawless; no drift; cross-metric (U3R/ETPR/U6R) strong.</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</si>
  <si>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</si>
  <si>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</si>
  <si>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</si>
  <si>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LIRVID</t>
  </si>
  <si>
    <t xml:space="preserve">Industry: Role</t>
  </si>
  <si>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</si>
  <si>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</si>
  <si>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</si>
  <si>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</si>
  <si>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</si>
  <si>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</si>
  <si>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</si>
  <si>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</si>
  <si>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</si>
  <si>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</si>
  <si>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</si>
  <si>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</si>
  <si>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</si>
  <si>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</si>
  <si>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</si>
  <si>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</si>
  <si>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</si>
  <si>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</si>
  <si>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t xml:space="preserve">LSD.RID.0.AL.EP</t>
  </si>
  <si>
    <t xml:space="preserve">Alabama Employed Population</t>
  </si>
  <si>
    <t xml:space="preserve">Authorized, Unauthorized, American Laborer Employed Population By Industrial Labor Role</t>
  </si>
  <si>
    <t xml:space="preserve">Alabama Average Weekly Hours Worked</t>
  </si>
  <si>
    <t xml:space="preserve">Authorized, Unauthorized, American Laborer Average Weekly Hours Worked By Industrial Labor Role</t>
  </si>
  <si>
    <t xml:space="preserve">Alabama Full-Time Employment Rate</t>
  </si>
  <si>
    <t xml:space="preserve">Authorized, Unauthorized, American Laborer Full-Time Employment Rate By Industrial Labor Role</t>
  </si>
  <si>
    <t xml:space="preserve">Alabama Part-Time Employment Rate</t>
  </si>
  <si>
    <t xml:space="preserve">Authorized, Unauthorized, American Laborer Part-Time Employment Rate By Industrial Labor Role</t>
  </si>
  <si>
    <t xml:space="preserve">Alabama Job Tenure Average (JTA)</t>
  </si>
  <si>
    <t xml:space="preserve">Authorized, Unauthorized, American Laborer Job Tenure Average By Industrial Labor Role</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</si>
</sst>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0.00"/>
    <numFmt numFmtId="170" formatCode="#,##0"/>
    <numFmt numFmtId="171" formatCode="0.00%"/>
    <numFmt numFmtId="172" formatCode="[$$-409]#,##0.00;[RED]\-[$$-409]#,##0.00"/>
    <numFmt numFmtId="173" formatCode="[$$-409]#,##0;[RED]\-[$$-409]#,##0"/>
    <numFmt numFmtId="174" formatCode="[$$-409]#,##0;\-[$$-409]#,##0"/>
  </numFmts>
  <fonts count="22">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000000"/>
      <name val="Arial"/>
      <family val="2"/>
    </font>
    <font>
      <b val="true"/>
      <sz val="7"/>
      <color rgb="FFFFFFFF"/>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808080"/>
      </patternFill>
    </fill>
    <fill>
      <patternFill patternType="solid">
        <fgColor rgb="FF999999"/>
        <bgColor rgb="FF808080"/>
      </patternFill>
    </fill>
    <fill>
      <patternFill patternType="solid">
        <fgColor rgb="FFFFFFFF"/>
        <bgColor rgb="FFFFFFCC"/>
      </patternFill>
    </fill>
    <fill>
      <patternFill patternType="solid">
        <fgColor rgb="FFFFFF00"/>
        <bgColor rgb="FFE6E905"/>
      </patternFill>
    </fill>
    <fill>
      <patternFill patternType="solid">
        <fgColor rgb="FF81D41A"/>
        <bgColor rgb="FFBBE33D"/>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8D1D75"/>
      </patternFill>
    </fill>
    <fill>
      <patternFill patternType="solid">
        <fgColor rgb="FF800080"/>
        <bgColor rgb="FF660066"/>
      </patternFill>
    </fill>
    <fill>
      <patternFill patternType="solid">
        <fgColor rgb="FFBF0041"/>
        <bgColor rgb="FFD62E4E"/>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2" fontId="8"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72" fontId="0" fillId="0" borderId="0" xfId="0" applyFont="true" applyBorder="false" applyAlignment="true" applyProtection="true">
      <alignment horizontal="center" vertical="bottom" textRotation="0" wrapText="true" indent="0" shrinkToFit="false"/>
      <protection locked="true" hidden="false"/>
    </xf>
    <xf numFmtId="173" fontId="8" fillId="0" borderId="0" xfId="0" applyFont="true" applyBorder="false" applyAlignment="true" applyProtection="true">
      <alignment horizontal="center" vertical="bottom" textRotation="0" wrapText="tru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3838"/>
      <rgbColor rgb="FF00FFFF"/>
      <rgbColor rgb="FFFF420E"/>
      <rgbColor rgb="FF00A933"/>
      <rgbColor rgb="FF000080"/>
      <rgbColor rgb="FFFF5429"/>
      <rgbColor rgb="FF800080"/>
      <rgbColor rgb="FF158466"/>
      <rgbColor rgb="FFC0C0C0"/>
      <rgbColor rgb="FF808080"/>
      <rgbColor rgb="FF9999FF"/>
      <rgbColor rgb="FF8D1D75"/>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BBE33D"/>
      <rgbColor rgb="FFB3B3B3"/>
      <rgbColor rgb="FFFFBF00"/>
      <rgbColor rgb="FFCC99FF"/>
      <rgbColor rgb="FFFFD320"/>
      <rgbColor rgb="FF3366FF"/>
      <rgbColor rgb="FF33CCCC"/>
      <rgbColor rgb="FF81D41A"/>
      <rgbColor rgb="FFFFCC00"/>
      <rgbColor rgb="FFE8A202"/>
      <rgbColor rgb="FFEA7500"/>
      <rgbColor rgb="FF666666"/>
      <rgbColor rgb="FF999999"/>
      <rgbColor rgb="FF004586"/>
      <rgbColor rgb="FF579D1C"/>
      <rgbColor rgb="FF003300"/>
      <rgbColor rgb="FF333300"/>
      <rgbColor rgb="FFFF4000"/>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767004056555"/>
          <c:y val="0.0107288744524829"/>
        </c:manualLayout>
      </c:layout>
      <c:overlay val="0"/>
      <c:spPr>
        <a:noFill/>
        <a:ln w="0">
          <a:noFill/>
        </a:ln>
      </c:spPr>
    </c:title>
    <c:autoTitleDeleted val="0"/>
    <c:plotArea>
      <c:layout>
        <c:manualLayout>
          <c:layoutTarget val="inner"/>
          <c:xMode val="edge"/>
          <c:yMode val="edge"/>
          <c:x val="0.250009846008428"/>
          <c:y val="0.0843791525173483"/>
          <c:w val="0.649875940293805"/>
          <c:h val="0.853019341503027"/>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38000</c:v>
                </c:pt>
                <c:pt idx="1">
                  <c:v>14000</c:v>
                </c:pt>
                <c:pt idx="2">
                  <c:v>28000</c:v>
                </c:pt>
                <c:pt idx="3">
                  <c:v>135000</c:v>
                </c:pt>
                <c:pt idx="4">
                  <c:v>65000</c:v>
                </c:pt>
                <c:pt idx="5">
                  <c:v>52000</c:v>
                </c:pt>
                <c:pt idx="6">
                  <c:v>170000</c:v>
                </c:pt>
                <c:pt idx="7">
                  <c:v>85000</c:v>
                </c:pt>
                <c:pt idx="8">
                  <c:v>95000</c:v>
                </c:pt>
                <c:pt idx="9">
                  <c:v>165000</c:v>
                </c:pt>
                <c:pt idx="10">
                  <c:v>65000</c:v>
                </c:pt>
                <c:pt idx="11">
                  <c:v>38000</c:v>
                </c:pt>
                <c:pt idx="12">
                  <c:v>26000</c:v>
                </c:pt>
                <c:pt idx="13">
                  <c:v>115000</c:v>
                </c:pt>
                <c:pt idx="14">
                  <c:v>42000</c:v>
                </c:pt>
                <c:pt idx="15">
                  <c:v>135000</c:v>
                </c:pt>
                <c:pt idx="16">
                  <c:v>145000</c:v>
                </c:pt>
                <c:pt idx="17">
                  <c:v>95000</c:v>
                </c:pt>
                <c:pt idx="18">
                  <c:v>240000</c:v>
                </c:pt>
                <c:pt idx="19">
                  <c:v>32000</c:v>
                </c:pt>
                <c:pt idx="20">
                  <c:v>185000</c:v>
                </c:pt>
                <c:pt idx="21">
                  <c:v>105000</c:v>
                </c:pt>
                <c:pt idx="22">
                  <c:v>125000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152</c:v>
                </c:pt>
                <c:pt idx="1">
                  <c:v>196</c:v>
                </c:pt>
                <c:pt idx="2">
                  <c:v>560</c:v>
                </c:pt>
                <c:pt idx="3">
                  <c:v>4590</c:v>
                </c:pt>
                <c:pt idx="4">
                  <c:v>4680</c:v>
                </c:pt>
                <c:pt idx="5">
                  <c:v>3744</c:v>
                </c:pt>
                <c:pt idx="6">
                  <c:v>12240</c:v>
                </c:pt>
                <c:pt idx="7">
                  <c:v>1700</c:v>
                </c:pt>
                <c:pt idx="8">
                  <c:v>1900</c:v>
                </c:pt>
                <c:pt idx="9">
                  <c:v>3300</c:v>
                </c:pt>
                <c:pt idx="10">
                  <c:v>1300</c:v>
                </c:pt>
                <c:pt idx="11">
                  <c:v>760</c:v>
                </c:pt>
                <c:pt idx="12">
                  <c:v>546</c:v>
                </c:pt>
                <c:pt idx="13">
                  <c:v>3220</c:v>
                </c:pt>
                <c:pt idx="14">
                  <c:v>1176</c:v>
                </c:pt>
                <c:pt idx="15">
                  <c:v>2835</c:v>
                </c:pt>
                <c:pt idx="16">
                  <c:v>2900</c:v>
                </c:pt>
                <c:pt idx="17">
                  <c:v>6460</c:v>
                </c:pt>
                <c:pt idx="18">
                  <c:v>16320</c:v>
                </c:pt>
                <c:pt idx="19">
                  <c:v>448</c:v>
                </c:pt>
                <c:pt idx="20">
                  <c:v>2590</c:v>
                </c:pt>
                <c:pt idx="21">
                  <c:v>840</c:v>
                </c:pt>
                <c:pt idx="22">
                  <c:v>1000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5320</c:v>
                </c:pt>
                <c:pt idx="1">
                  <c:v>560</c:v>
                </c:pt>
                <c:pt idx="2">
                  <c:v>224</c:v>
                </c:pt>
                <c:pt idx="3">
                  <c:v>13770</c:v>
                </c:pt>
                <c:pt idx="4">
                  <c:v>2405</c:v>
                </c:pt>
                <c:pt idx="5">
                  <c:v>1924</c:v>
                </c:pt>
                <c:pt idx="6">
                  <c:v>6290</c:v>
                </c:pt>
                <c:pt idx="7">
                  <c:v>3570</c:v>
                </c:pt>
                <c:pt idx="8">
                  <c:v>3990</c:v>
                </c:pt>
                <c:pt idx="9">
                  <c:v>6930</c:v>
                </c:pt>
                <c:pt idx="10">
                  <c:v>2730</c:v>
                </c:pt>
                <c:pt idx="11">
                  <c:v>1596</c:v>
                </c:pt>
                <c:pt idx="12">
                  <c:v>221</c:v>
                </c:pt>
                <c:pt idx="13">
                  <c:v>920</c:v>
                </c:pt>
                <c:pt idx="14">
                  <c:v>336</c:v>
                </c:pt>
                <c:pt idx="15">
                  <c:v>1080</c:v>
                </c:pt>
                <c:pt idx="16">
                  <c:v>16675</c:v>
                </c:pt>
                <c:pt idx="17">
                  <c:v>760</c:v>
                </c:pt>
                <c:pt idx="18">
                  <c:v>1560</c:v>
                </c:pt>
                <c:pt idx="19">
                  <c:v>3520</c:v>
                </c:pt>
                <c:pt idx="20">
                  <c:v>12950</c:v>
                </c:pt>
                <c:pt idx="21">
                  <c:v>12180</c:v>
                </c:pt>
                <c:pt idx="22">
                  <c:v>875</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32528</c:v>
                </c:pt>
                <c:pt idx="1">
                  <c:v>13244</c:v>
                </c:pt>
                <c:pt idx="2">
                  <c:v>27216</c:v>
                </c:pt>
                <c:pt idx="3">
                  <c:v>116640</c:v>
                </c:pt>
                <c:pt idx="4">
                  <c:v>57915</c:v>
                </c:pt>
                <c:pt idx="5">
                  <c:v>46332</c:v>
                </c:pt>
                <c:pt idx="6">
                  <c:v>151470</c:v>
                </c:pt>
                <c:pt idx="7">
                  <c:v>79730</c:v>
                </c:pt>
                <c:pt idx="8">
                  <c:v>89110</c:v>
                </c:pt>
                <c:pt idx="9">
                  <c:v>154770</c:v>
                </c:pt>
                <c:pt idx="10">
                  <c:v>60970</c:v>
                </c:pt>
                <c:pt idx="11">
                  <c:v>35644</c:v>
                </c:pt>
                <c:pt idx="12">
                  <c:v>25233</c:v>
                </c:pt>
                <c:pt idx="13">
                  <c:v>111860</c:v>
                </c:pt>
                <c:pt idx="14">
                  <c:v>40588</c:v>
                </c:pt>
                <c:pt idx="15">
                  <c:v>130085</c:v>
                </c:pt>
                <c:pt idx="16">
                  <c:v>118425</c:v>
                </c:pt>
                <c:pt idx="17">
                  <c:v>87780</c:v>
                </c:pt>
                <c:pt idx="18">
                  <c:v>222120</c:v>
                </c:pt>
                <c:pt idx="19">
                  <c:v>28032</c:v>
                </c:pt>
                <c:pt idx="20">
                  <c:v>169460</c:v>
                </c:pt>
                <c:pt idx="21">
                  <c:v>95980</c:v>
                </c:pt>
                <c:pt idx="22">
                  <c:v>123125</c:v>
                </c:pt>
              </c:numCache>
            </c:numRef>
          </c:val>
        </c:ser>
        <c:gapWidth val="100"/>
        <c:overlap val="0"/>
        <c:axId val="80728380"/>
        <c:axId val="73058112"/>
      </c:barChart>
      <c:catAx>
        <c:axId val="8072838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98420700248"/>
              <c:y val="0.4778778483193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058112"/>
        <c:crossesAt val="0"/>
        <c:auto val="1"/>
        <c:lblAlgn val="ctr"/>
        <c:lblOffset val="100"/>
        <c:noMultiLvlLbl val="0"/>
      </c:catAx>
      <c:valAx>
        <c:axId val="73058112"/>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428104446457"/>
              <c:y val="0.969142182194006"/>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0728380"/>
        <c:crosses val="max"/>
        <c:crossBetween val="midCat"/>
      </c:valAx>
      <c:spPr>
        <a:noFill/>
        <a:ln w="0">
          <a:solidFill>
            <a:srgbClr val="b3b3b3"/>
          </a:solidFill>
        </a:ln>
      </c:spPr>
    </c:plotArea>
    <c:legend>
      <c:legendPos val="r"/>
      <c:layout>
        <c:manualLayout>
          <c:xMode val="edge"/>
          <c:yMode val="edge"/>
          <c:x val="0.106219697469906"/>
          <c:y val="0.0418296793878103"/>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Total Nonfarm Payroll Employment</a:t>
            </a:r>
          </a:p>
        </c:rich>
      </c:tx>
      <c:layout>
        <c:manualLayout>
          <c:xMode val="edge"/>
          <c:yMode val="edge"/>
          <c:x val="0.275856636471052"/>
          <c:y val="0.0107288744524829"/>
        </c:manualLayout>
      </c:layout>
      <c:overlay val="0"/>
      <c:spPr>
        <a:noFill/>
        <a:ln w="0">
          <a:noFill/>
        </a:ln>
      </c:spPr>
    </c:title>
    <c:autoTitleDeleted val="0"/>
    <c:plotArea>
      <c:layout>
        <c:manualLayout>
          <c:layoutTarget val="inner"/>
          <c:xMode val="edge"/>
          <c:yMode val="edge"/>
          <c:x val="0.249980307207562"/>
          <c:y val="0.0843791525173483"/>
          <c:w val="0.649862150452934"/>
          <c:h val="0.853019341503027"/>
        </c:manualLayout>
      </c:layout>
      <c:barChart>
        <c:barDir val="bar"/>
        <c:grouping val="clustered"/>
        <c:varyColors val="0"/>
        <c:ser>
          <c:idx val="0"/>
          <c:order val="0"/>
          <c:tx>
            <c:strRef>
              <c:f>TNPE!$C$3</c:f>
              <c:strCache>
                <c:ptCount val="1"/>
                <c:pt idx="0">
                  <c:v>Overall TNPE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TNPE!$C$5:$C$27</c:f>
              <c:numCache>
                <c:formatCode>General</c:formatCode>
                <c:ptCount val="23"/>
                <c:pt idx="0">
                  <c:v>33500</c:v>
                </c:pt>
                <c:pt idx="1">
                  <c:v>4800</c:v>
                </c:pt>
                <c:pt idx="2">
                  <c:v>7100</c:v>
                </c:pt>
                <c:pt idx="3">
                  <c:v>56600</c:v>
                </c:pt>
                <c:pt idx="4">
                  <c:v>46200</c:v>
                </c:pt>
                <c:pt idx="5">
                  <c:v>47600</c:v>
                </c:pt>
                <c:pt idx="6">
                  <c:v>50200</c:v>
                </c:pt>
                <c:pt idx="7">
                  <c:v>20400</c:v>
                </c:pt>
                <c:pt idx="8">
                  <c:v>32500</c:v>
                </c:pt>
                <c:pt idx="9">
                  <c:v>75100</c:v>
                </c:pt>
                <c:pt idx="10">
                  <c:v>32500</c:v>
                </c:pt>
                <c:pt idx="11">
                  <c:v>17500</c:v>
                </c:pt>
                <c:pt idx="12">
                  <c:v>11600</c:v>
                </c:pt>
                <c:pt idx="13">
                  <c:v>50700</c:v>
                </c:pt>
                <c:pt idx="14">
                  <c:v>12500</c:v>
                </c:pt>
                <c:pt idx="15">
                  <c:v>65100</c:v>
                </c:pt>
                <c:pt idx="16">
                  <c:v>65600</c:v>
                </c:pt>
                <c:pt idx="17">
                  <c:v>27500</c:v>
                </c:pt>
                <c:pt idx="18">
                  <c:v>109400</c:v>
                </c:pt>
                <c:pt idx="19">
                  <c:v>12500</c:v>
                </c:pt>
                <c:pt idx="20">
                  <c:v>96800</c:v>
                </c:pt>
                <c:pt idx="21">
                  <c:v>49500</c:v>
                </c:pt>
                <c:pt idx="22">
                  <c:v>211000</c:v>
                </c:pt>
              </c:numCache>
            </c:numRef>
          </c:val>
        </c:ser>
        <c:ser>
          <c:idx val="1"/>
          <c:order val="1"/>
          <c:tx>
            <c:strRef>
              <c:f>TNPE!$D$3</c:f>
              <c:strCache>
                <c:ptCount val="1"/>
                <c:pt idx="0">
                  <c:v>Authorized TNPE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TNPE!$D$5:$D$27</c:f>
              <c:numCache>
                <c:formatCode>General</c:formatCode>
                <c:ptCount val="23"/>
                <c:pt idx="0">
                  <c:v>1240</c:v>
                </c:pt>
                <c:pt idx="1">
                  <c:v>178</c:v>
                </c:pt>
                <c:pt idx="2">
                  <c:v>263</c:v>
                </c:pt>
                <c:pt idx="3">
                  <c:v>2094</c:v>
                </c:pt>
                <c:pt idx="4">
                  <c:v>1709</c:v>
                </c:pt>
                <c:pt idx="5">
                  <c:v>1761</c:v>
                </c:pt>
                <c:pt idx="6">
                  <c:v>1857</c:v>
                </c:pt>
                <c:pt idx="7">
                  <c:v>755</c:v>
                </c:pt>
                <c:pt idx="8">
                  <c:v>1202</c:v>
                </c:pt>
                <c:pt idx="9">
                  <c:v>2779</c:v>
                </c:pt>
                <c:pt idx="10">
                  <c:v>1202</c:v>
                </c:pt>
                <c:pt idx="11">
                  <c:v>648</c:v>
                </c:pt>
                <c:pt idx="12">
                  <c:v>429</c:v>
                </c:pt>
                <c:pt idx="13">
                  <c:v>1876</c:v>
                </c:pt>
                <c:pt idx="14">
                  <c:v>462</c:v>
                </c:pt>
                <c:pt idx="15">
                  <c:v>2409</c:v>
                </c:pt>
                <c:pt idx="16">
                  <c:v>2427</c:v>
                </c:pt>
                <c:pt idx="17">
                  <c:v>1018</c:v>
                </c:pt>
                <c:pt idx="18">
                  <c:v>4048</c:v>
                </c:pt>
                <c:pt idx="19">
                  <c:v>462</c:v>
                </c:pt>
                <c:pt idx="20">
                  <c:v>3582</c:v>
                </c:pt>
                <c:pt idx="21">
                  <c:v>1832</c:v>
                </c:pt>
                <c:pt idx="22">
                  <c:v>7807</c:v>
                </c:pt>
              </c:numCache>
            </c:numRef>
          </c:val>
        </c:ser>
        <c:ser>
          <c:idx val="2"/>
          <c:order val="2"/>
          <c:tx>
            <c:strRef>
              <c:f>TNPE!$E$3</c:f>
              <c:strCache>
                <c:ptCount val="1"/>
                <c:pt idx="0">
                  <c:v>Unauthorized TNPE</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TNPE!$E$5:$E$27</c:f>
              <c:numCache>
                <c:formatCode>General</c:formatCode>
                <c:ptCount val="23"/>
                <c:pt idx="0">
                  <c:v>884</c:v>
                </c:pt>
                <c:pt idx="1">
                  <c:v>106</c:v>
                </c:pt>
                <c:pt idx="2">
                  <c:v>156</c:v>
                </c:pt>
                <c:pt idx="3">
                  <c:v>1681</c:v>
                </c:pt>
                <c:pt idx="4">
                  <c:v>1016</c:v>
                </c:pt>
                <c:pt idx="5">
                  <c:v>1047</c:v>
                </c:pt>
                <c:pt idx="6">
                  <c:v>1104</c:v>
                </c:pt>
                <c:pt idx="7">
                  <c:v>449</c:v>
                </c:pt>
                <c:pt idx="8">
                  <c:v>715</c:v>
                </c:pt>
                <c:pt idx="9">
                  <c:v>1652</c:v>
                </c:pt>
                <c:pt idx="10">
                  <c:v>715</c:v>
                </c:pt>
                <c:pt idx="11">
                  <c:v>385</c:v>
                </c:pt>
                <c:pt idx="12">
                  <c:v>255</c:v>
                </c:pt>
                <c:pt idx="13">
                  <c:v>1115</c:v>
                </c:pt>
                <c:pt idx="14">
                  <c:v>275</c:v>
                </c:pt>
                <c:pt idx="15">
                  <c:v>1432</c:v>
                </c:pt>
                <c:pt idx="16">
                  <c:v>1804</c:v>
                </c:pt>
                <c:pt idx="17">
                  <c:v>605</c:v>
                </c:pt>
                <c:pt idx="18">
                  <c:v>2407</c:v>
                </c:pt>
                <c:pt idx="19">
                  <c:v>275</c:v>
                </c:pt>
                <c:pt idx="20">
                  <c:v>2939</c:v>
                </c:pt>
                <c:pt idx="21">
                  <c:v>1089</c:v>
                </c:pt>
                <c:pt idx="22">
                  <c:v>4642</c:v>
                </c:pt>
              </c:numCache>
            </c:numRef>
          </c:val>
        </c:ser>
        <c:ser>
          <c:idx val="3"/>
          <c:order val="3"/>
          <c:tx>
            <c:strRef>
              <c:f>TNPE!$F$3</c:f>
              <c:strCache>
                <c:ptCount val="1"/>
                <c:pt idx="0">
                  <c:v>American TNPE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TNPE!$F$5:$F$27</c:f>
              <c:numCache>
                <c:formatCode>General</c:formatCode>
                <c:ptCount val="23"/>
                <c:pt idx="0">
                  <c:v>31376</c:v>
                </c:pt>
                <c:pt idx="1">
                  <c:v>4516</c:v>
                </c:pt>
                <c:pt idx="2">
                  <c:v>6681</c:v>
                </c:pt>
                <c:pt idx="3">
                  <c:v>52825</c:v>
                </c:pt>
                <c:pt idx="4">
                  <c:v>43475</c:v>
                </c:pt>
                <c:pt idx="5">
                  <c:v>44792</c:v>
                </c:pt>
                <c:pt idx="6">
                  <c:v>47239</c:v>
                </c:pt>
                <c:pt idx="7">
                  <c:v>19196</c:v>
                </c:pt>
                <c:pt idx="8">
                  <c:v>30583</c:v>
                </c:pt>
                <c:pt idx="9">
                  <c:v>70669</c:v>
                </c:pt>
                <c:pt idx="10">
                  <c:v>30583</c:v>
                </c:pt>
                <c:pt idx="11">
                  <c:v>16467</c:v>
                </c:pt>
                <c:pt idx="12">
                  <c:v>10916</c:v>
                </c:pt>
                <c:pt idx="13">
                  <c:v>47709</c:v>
                </c:pt>
                <c:pt idx="14">
                  <c:v>11763</c:v>
                </c:pt>
                <c:pt idx="15">
                  <c:v>61259</c:v>
                </c:pt>
                <c:pt idx="16">
                  <c:v>61369</c:v>
                </c:pt>
                <c:pt idx="17">
                  <c:v>25877</c:v>
                </c:pt>
                <c:pt idx="18">
                  <c:v>102945</c:v>
                </c:pt>
                <c:pt idx="19">
                  <c:v>11763</c:v>
                </c:pt>
                <c:pt idx="20">
                  <c:v>90279</c:v>
                </c:pt>
                <c:pt idx="21">
                  <c:v>46579</c:v>
                </c:pt>
                <c:pt idx="22">
                  <c:v>198551</c:v>
                </c:pt>
              </c:numCache>
            </c:numRef>
          </c:val>
        </c:ser>
        <c:gapWidth val="100"/>
        <c:overlap val="0"/>
        <c:axId val="36029326"/>
        <c:axId val="8508187"/>
      </c:barChart>
      <c:catAx>
        <c:axId val="360293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106734935014"/>
              <c:y val="0.47785324080909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08187"/>
        <c:crosses val="autoZero"/>
        <c:auto val="1"/>
        <c:lblAlgn val="ctr"/>
        <c:lblOffset val="100"/>
        <c:noMultiLvlLbl val="0"/>
      </c:catAx>
      <c:valAx>
        <c:axId val="8508187"/>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Total Nonfarm Payroll Employment</a:t>
                </a:r>
              </a:p>
            </c:rich>
          </c:tx>
          <c:layout>
            <c:manualLayout>
              <c:xMode val="edge"/>
              <c:yMode val="edge"/>
              <c:x val="0.430445057109098"/>
              <c:y val="0.969142182194006"/>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029326"/>
        <c:crosses val="max"/>
        <c:crossBetween val="midCat"/>
      </c:valAx>
      <c:spPr>
        <a:noFill/>
        <a:ln w="0">
          <a:solidFill>
            <a:srgbClr val="b3b3b3"/>
          </a:solidFill>
        </a:ln>
      </c:spPr>
    </c:plotArea>
    <c:legend>
      <c:legendPos val="r"/>
      <c:layout>
        <c:manualLayout>
          <c:xMode val="edge"/>
          <c:yMode val="edge"/>
          <c:x val="0.106214555765595"/>
          <c:y val="0.0418071310809813"/>
          <c:w val="0.784963175928479"/>
          <c:h val="0.024952015355086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769745649264"/>
          <c:y val="0.0107288744524829"/>
        </c:manualLayout>
      </c:layout>
      <c:overlay val="0"/>
      <c:spPr>
        <a:noFill/>
        <a:ln w="0">
          <a:noFill/>
        </a:ln>
      </c:spPr>
    </c:title>
    <c:autoTitleDeleted val="0"/>
    <c:plotArea>
      <c:layout>
        <c:manualLayout>
          <c:layoutTarget val="inner"/>
          <c:xMode val="edge"/>
          <c:yMode val="edge"/>
          <c:x val="0.249980313410505"/>
          <c:y val="0.0843791525173483"/>
          <c:w val="0.649972438774707"/>
          <c:h val="0.853117771543875"/>
        </c:manualLayout>
      </c:layout>
      <c:barChart>
        <c:barDir val="bar"/>
        <c:grouping val="clustered"/>
        <c:varyColors val="0"/>
        <c:ser>
          <c:idx val="0"/>
          <c:order val="0"/>
          <c:tx>
            <c:strRef>
              <c:f>ETPR!$C$3</c:f>
              <c:strCache>
                <c:ptCount val="1"/>
                <c:pt idx="0">
                  <c:v>Overall 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ETPR!$C$5:$C$27</c:f>
              <c:numCache>
                <c:formatCode>0.00</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ETPR!$D$5:$D$27</c:f>
              <c:numCache>
                <c:formatCode>0.00</c:formatCode>
                <c:ptCount val="23"/>
                <c:pt idx="0">
                  <c:v>0.36</c:v>
                </c:pt>
                <c:pt idx="1">
                  <c:v>0.37</c:v>
                </c:pt>
                <c:pt idx="2">
                  <c:v>0.369</c:v>
                </c:pt>
                <c:pt idx="3">
                  <c:v>0.36</c:v>
                </c:pt>
                <c:pt idx="4">
                  <c:v>0.365</c:v>
                </c:pt>
                <c:pt idx="5">
                  <c:v>0.365</c:v>
                </c:pt>
                <c:pt idx="6">
                  <c:v>0.365</c:v>
                </c:pt>
                <c:pt idx="7">
                  <c:v>0.369</c:v>
                </c:pt>
                <c:pt idx="8">
                  <c:v>0.369</c:v>
                </c:pt>
                <c:pt idx="9">
                  <c:v>0.369</c:v>
                </c:pt>
                <c:pt idx="10">
                  <c:v>0.369</c:v>
                </c:pt>
                <c:pt idx="11">
                  <c:v>0.369</c:v>
                </c:pt>
                <c:pt idx="12">
                  <c:v>0.37</c:v>
                </c:pt>
                <c:pt idx="13">
                  <c:v>0.375</c:v>
                </c:pt>
                <c:pt idx="14">
                  <c:v>0.37</c:v>
                </c:pt>
                <c:pt idx="15">
                  <c:v>0.375</c:v>
                </c:pt>
                <c:pt idx="16">
                  <c:v>0.365</c:v>
                </c:pt>
                <c:pt idx="17">
                  <c:v>0.375</c:v>
                </c:pt>
                <c:pt idx="18">
                  <c:v>0.375</c:v>
                </c:pt>
                <c:pt idx="19">
                  <c:v>0.365</c:v>
                </c:pt>
                <c:pt idx="20">
                  <c:v>0.36</c:v>
                </c:pt>
                <c:pt idx="21">
                  <c:v>0.365</c:v>
                </c:pt>
                <c:pt idx="22">
                  <c:v>0.375</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ETPR!$E$5:$E$27</c:f>
              <c:numCache>
                <c:formatCode>0.00</c:formatCode>
                <c:ptCount val="23"/>
                <c:pt idx="0">
                  <c:v>0.7</c:v>
                </c:pt>
                <c:pt idx="1">
                  <c:v>0.65</c:v>
                </c:pt>
                <c:pt idx="2">
                  <c:v>0.62</c:v>
                </c:pt>
                <c:pt idx="3">
                  <c:v>0.7</c:v>
                </c:pt>
                <c:pt idx="4">
                  <c:v>0.66</c:v>
                </c:pt>
                <c:pt idx="5">
                  <c:v>0.66</c:v>
                </c:pt>
                <c:pt idx="6">
                  <c:v>0.66</c:v>
                </c:pt>
                <c:pt idx="7">
                  <c:v>0.64</c:v>
                </c:pt>
                <c:pt idx="8">
                  <c:v>0.64</c:v>
                </c:pt>
                <c:pt idx="9">
                  <c:v>0.64</c:v>
                </c:pt>
                <c:pt idx="10">
                  <c:v>0.64</c:v>
                </c:pt>
                <c:pt idx="11">
                  <c:v>0.64</c:v>
                </c:pt>
                <c:pt idx="12">
                  <c:v>0.6</c:v>
                </c:pt>
                <c:pt idx="13">
                  <c:v>0.52</c:v>
                </c:pt>
                <c:pt idx="14">
                  <c:v>0.6</c:v>
                </c:pt>
                <c:pt idx="15">
                  <c:v>0.56</c:v>
                </c:pt>
                <c:pt idx="16">
                  <c:v>0.67</c:v>
                </c:pt>
                <c:pt idx="17">
                  <c:v>0.56</c:v>
                </c:pt>
                <c:pt idx="18">
                  <c:v>0.56</c:v>
                </c:pt>
                <c:pt idx="19">
                  <c:v>0.67</c:v>
                </c:pt>
                <c:pt idx="20">
                  <c:v>0.7</c:v>
                </c:pt>
                <c:pt idx="21">
                  <c:v>0.67</c:v>
                </c:pt>
                <c:pt idx="22">
                  <c:v>0.5</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ETPR!$F$5:$F$27</c:f>
              <c:numCache>
                <c:formatCode>0.00</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gapWidth val="100"/>
        <c:overlap val="0"/>
        <c:axId val="70710622"/>
        <c:axId val="97851260"/>
      </c:barChart>
      <c:catAx>
        <c:axId val="7071062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40239388928"/>
              <c:y val="0.47790245582951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851260"/>
        <c:crossesAt val="0"/>
        <c:auto val="1"/>
        <c:lblAlgn val="ctr"/>
        <c:lblOffset val="100"/>
        <c:noMultiLvlLbl val="0"/>
      </c:catAx>
      <c:valAx>
        <c:axId val="9785126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637766753288"/>
              <c:y val="0.969142182194006"/>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710622"/>
        <c:crosses val="max"/>
        <c:crossBetween val="midCat"/>
      </c:valAx>
      <c:spPr>
        <a:noFill/>
        <a:ln w="0">
          <a:solidFill>
            <a:srgbClr val="b3b3b3"/>
          </a:solidFill>
        </a:ln>
      </c:spPr>
    </c:plotArea>
    <c:legend>
      <c:legendPos val="r"/>
      <c:layout>
        <c:manualLayout>
          <c:xMode val="edge"/>
          <c:yMode val="edge"/>
          <c:x val="0.105008268367588"/>
          <c:y val="0.0406269993602047"/>
          <c:w val="0.785022442712025"/>
          <c:h val="0.024976622865298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26714431934"/>
          <c:y val="0.0105068897637795"/>
        </c:manualLayout>
      </c:layout>
      <c:overlay val="0"/>
      <c:spPr>
        <a:noFill/>
        <a:ln w="0">
          <a:noFill/>
        </a:ln>
      </c:spPr>
    </c:title>
    <c:autoTitleDeleted val="0"/>
    <c:plotArea>
      <c:layout>
        <c:manualLayout>
          <c:layoutTarget val="inner"/>
          <c:xMode val="edge"/>
          <c:yMode val="edge"/>
          <c:x val="0.249980316510511"/>
          <c:y val="0.084375"/>
          <c:w val="0.649948822927329"/>
          <c:h val="0.853075787401575"/>
        </c:manualLayout>
      </c:layout>
      <c:barChart>
        <c:barDir val="bar"/>
        <c:grouping val="clustered"/>
        <c:varyColors val="0"/>
        <c:ser>
          <c:idx val="0"/>
          <c:order val="0"/>
          <c:tx>
            <c:strRef>
              <c:f>LFPR!$C$3</c:f>
              <c:strCache>
                <c:ptCount val="1"/>
                <c:pt idx="0">
                  <c:v>Overall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LFPR!$C$5:$C$27</c:f>
              <c:numCache>
                <c:formatCode>General</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ser>
          <c:idx val="1"/>
          <c:order val="1"/>
          <c:tx>
            <c:strRef>
              <c:f>LFPR!$D$3</c:f>
              <c:strCache>
                <c:ptCount val="1"/>
                <c:pt idx="0">
                  <c:v>Authorized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LFPR!$D$5:$D$27</c:f>
              <c:numCache>
                <c:formatCode>General</c:formatCode>
                <c:ptCount val="23"/>
                <c:pt idx="0">
                  <c:v>0.4</c:v>
                </c:pt>
                <c:pt idx="1">
                  <c:v>0.415</c:v>
                </c:pt>
                <c:pt idx="2">
                  <c:v>0.41</c:v>
                </c:pt>
                <c:pt idx="3">
                  <c:v>0.4</c:v>
                </c:pt>
                <c:pt idx="4">
                  <c:v>0.405</c:v>
                </c:pt>
                <c:pt idx="5">
                  <c:v>0.405</c:v>
                </c:pt>
                <c:pt idx="6">
                  <c:v>0.405</c:v>
                </c:pt>
                <c:pt idx="7">
                  <c:v>0.41</c:v>
                </c:pt>
                <c:pt idx="8">
                  <c:v>0.41</c:v>
                </c:pt>
                <c:pt idx="9">
                  <c:v>0.41</c:v>
                </c:pt>
                <c:pt idx="10">
                  <c:v>0.41</c:v>
                </c:pt>
                <c:pt idx="11">
                  <c:v>0.41</c:v>
                </c:pt>
                <c:pt idx="12">
                  <c:v>0.415</c:v>
                </c:pt>
                <c:pt idx="13">
                  <c:v>0.42</c:v>
                </c:pt>
                <c:pt idx="14">
                  <c:v>0.415</c:v>
                </c:pt>
                <c:pt idx="15">
                  <c:v>0.42</c:v>
                </c:pt>
                <c:pt idx="16">
                  <c:v>0.405</c:v>
                </c:pt>
                <c:pt idx="17">
                  <c:v>0.42</c:v>
                </c:pt>
                <c:pt idx="18">
                  <c:v>0.42</c:v>
                </c:pt>
                <c:pt idx="19">
                  <c:v>0.405</c:v>
                </c:pt>
                <c:pt idx="20">
                  <c:v>0.4</c:v>
                </c:pt>
                <c:pt idx="21">
                  <c:v>0.405</c:v>
                </c:pt>
                <c:pt idx="22">
                  <c:v>0.42</c:v>
                </c:pt>
              </c:numCache>
            </c:numRef>
          </c:val>
        </c:ser>
        <c:ser>
          <c:idx val="2"/>
          <c:order val="2"/>
          <c:tx>
            <c:strRef>
              <c:f>LFPR!$E$3</c:f>
              <c:strCache>
                <c:ptCount val="1"/>
                <c:pt idx="0">
                  <c:v>Unauthorized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LFPR!$E$5:$E$27</c:f>
              <c:numCache>
                <c:formatCode>General</c:formatCode>
                <c:ptCount val="23"/>
                <c:pt idx="0">
                  <c:v>0.7</c:v>
                </c:pt>
                <c:pt idx="1">
                  <c:v>0.65</c:v>
                </c:pt>
                <c:pt idx="2">
                  <c:v>0.62</c:v>
                </c:pt>
                <c:pt idx="3">
                  <c:v>0.7</c:v>
                </c:pt>
                <c:pt idx="4">
                  <c:v>0.66</c:v>
                </c:pt>
                <c:pt idx="5">
                  <c:v>0.66</c:v>
                </c:pt>
                <c:pt idx="6">
                  <c:v>0.66</c:v>
                </c:pt>
                <c:pt idx="7">
                  <c:v>0.64</c:v>
                </c:pt>
                <c:pt idx="8">
                  <c:v>0.64</c:v>
                </c:pt>
                <c:pt idx="9">
                  <c:v>0.64</c:v>
                </c:pt>
                <c:pt idx="10">
                  <c:v>0.64</c:v>
                </c:pt>
                <c:pt idx="11">
                  <c:v>0.64</c:v>
                </c:pt>
                <c:pt idx="12">
                  <c:v>0.6</c:v>
                </c:pt>
                <c:pt idx="13">
                  <c:v>0.52</c:v>
                </c:pt>
                <c:pt idx="14">
                  <c:v>0.6</c:v>
                </c:pt>
                <c:pt idx="15">
                  <c:v>0.56</c:v>
                </c:pt>
                <c:pt idx="16">
                  <c:v>0.67</c:v>
                </c:pt>
                <c:pt idx="17">
                  <c:v>0.56</c:v>
                </c:pt>
                <c:pt idx="18">
                  <c:v>0.56</c:v>
                </c:pt>
                <c:pt idx="19">
                  <c:v>0.67</c:v>
                </c:pt>
                <c:pt idx="20">
                  <c:v>0.7</c:v>
                </c:pt>
                <c:pt idx="21">
                  <c:v>0.67</c:v>
                </c:pt>
                <c:pt idx="22">
                  <c:v>0.5</c:v>
                </c:pt>
              </c:numCache>
            </c:numRef>
          </c:val>
        </c:ser>
        <c:ser>
          <c:idx val="3"/>
          <c:order val="3"/>
          <c:tx>
            <c:strRef>
              <c:f>LFPR!$F$3</c:f>
              <c:strCache>
                <c:ptCount val="1"/>
                <c:pt idx="0">
                  <c:v>American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LFPR!$F$5:$F$27</c:f>
              <c:numCache>
                <c:formatCode>General</c:formatCode>
                <c:ptCount val="23"/>
                <c:pt idx="0">
                  <c:v>0.545</c:v>
                </c:pt>
                <c:pt idx="1">
                  <c:v>0.585</c:v>
                </c:pt>
                <c:pt idx="2">
                  <c:v>0.575</c:v>
                </c:pt>
                <c:pt idx="3">
                  <c:v>0.545</c:v>
                </c:pt>
                <c:pt idx="4">
                  <c:v>0.565</c:v>
                </c:pt>
                <c:pt idx="5">
                  <c:v>0.565</c:v>
                </c:pt>
                <c:pt idx="6">
                  <c:v>0.565</c:v>
                </c:pt>
                <c:pt idx="7">
                  <c:v>0.57</c:v>
                </c:pt>
                <c:pt idx="8">
                  <c:v>0.57</c:v>
                </c:pt>
                <c:pt idx="9">
                  <c:v>0.57</c:v>
                </c:pt>
                <c:pt idx="10">
                  <c:v>0.57</c:v>
                </c:pt>
                <c:pt idx="11">
                  <c:v>0.57</c:v>
                </c:pt>
                <c:pt idx="12">
                  <c:v>0.58</c:v>
                </c:pt>
                <c:pt idx="13">
                  <c:v>0.595</c:v>
                </c:pt>
                <c:pt idx="14">
                  <c:v>0.575</c:v>
                </c:pt>
                <c:pt idx="15">
                  <c:v>0.605</c:v>
                </c:pt>
                <c:pt idx="16">
                  <c:v>0.565</c:v>
                </c:pt>
                <c:pt idx="17">
                  <c:v>0.58</c:v>
                </c:pt>
                <c:pt idx="18">
                  <c:v>0.58</c:v>
                </c:pt>
                <c:pt idx="19">
                  <c:v>0.565</c:v>
                </c:pt>
                <c:pt idx="20">
                  <c:v>0.545</c:v>
                </c:pt>
                <c:pt idx="21">
                  <c:v>0.565</c:v>
                </c:pt>
                <c:pt idx="22">
                  <c:v>0.595</c:v>
                </c:pt>
              </c:numCache>
            </c:numRef>
          </c:val>
        </c:ser>
        <c:gapWidth val="100"/>
        <c:overlap val="0"/>
        <c:axId val="48095136"/>
        <c:axId val="97591004"/>
      </c:barChart>
      <c:catAx>
        <c:axId val="480951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400677112038"/>
              <c:y val="0.4778297244094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591004"/>
        <c:crosses val="autoZero"/>
        <c:auto val="1"/>
        <c:lblAlgn val="ctr"/>
        <c:lblOffset val="100"/>
        <c:noMultiLvlLbl val="0"/>
      </c:catAx>
      <c:valAx>
        <c:axId val="9759100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524998031651"/>
              <c:y val="0.96914370078740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095136"/>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5511811023622"/>
          <c:y val="0.0105068897637795"/>
        </c:manualLayout>
      </c:layout>
      <c:overlay val="0"/>
      <c:spPr>
        <a:noFill/>
        <a:ln w="0">
          <a:noFill/>
        </a:ln>
      </c:spPr>
    </c:title>
    <c:autoTitleDeleted val="0"/>
    <c:plotArea>
      <c:layout>
        <c:manualLayout>
          <c:layoutTarget val="inner"/>
          <c:xMode val="edge"/>
          <c:yMode val="edge"/>
          <c:x val="0.24996062992126"/>
          <c:y val="0.084375"/>
          <c:w val="0.64992125984252"/>
          <c:h val="0.853075787401575"/>
        </c:manualLayout>
      </c:layout>
      <c:barChart>
        <c:barDir val="bar"/>
        <c:grouping val="clustered"/>
        <c:varyColors val="0"/>
        <c:ser>
          <c:idx val="0"/>
          <c:order val="0"/>
          <c:tx>
            <c:strRef>
              <c:f>U3R!$C$3</c:f>
              <c:strCache>
                <c:ptCount val="1"/>
                <c:pt idx="0">
                  <c:v>Overall U3R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U3R!$C$5:$C$27</c:f>
              <c:numCache>
                <c:formatCode>General</c:formatCode>
                <c:ptCount val="23"/>
                <c:pt idx="0">
                  <c:v>0.045</c:v>
                </c:pt>
                <c:pt idx="1">
                  <c:v>0.038</c:v>
                </c:pt>
                <c:pt idx="2">
                  <c:v>0.018</c:v>
                </c:pt>
                <c:pt idx="3">
                  <c:v>0.052</c:v>
                </c:pt>
                <c:pt idx="4">
                  <c:v>0.032</c:v>
                </c:pt>
                <c:pt idx="5">
                  <c:v>0.03</c:v>
                </c:pt>
                <c:pt idx="6">
                  <c:v>0.028</c:v>
                </c:pt>
                <c:pt idx="7">
                  <c:v>0.025</c:v>
                </c:pt>
                <c:pt idx="8">
                  <c:v>0.04</c:v>
                </c:pt>
                <c:pt idx="9">
                  <c:v>0.042</c:v>
                </c:pt>
                <c:pt idx="10">
                  <c:v>0.035</c:v>
                </c:pt>
                <c:pt idx="11">
                  <c:v>0.038</c:v>
                </c:pt>
                <c:pt idx="12">
                  <c:v>0.022</c:v>
                </c:pt>
                <c:pt idx="13">
                  <c:v>0.02</c:v>
                </c:pt>
                <c:pt idx="14">
                  <c:v>0.028</c:v>
                </c:pt>
                <c:pt idx="15">
                  <c:v>0.019</c:v>
                </c:pt>
                <c:pt idx="16">
                  <c:v>0.045</c:v>
                </c:pt>
                <c:pt idx="17">
                  <c:v>0.021</c:v>
                </c:pt>
                <c:pt idx="18">
                  <c:v>0.02</c:v>
                </c:pt>
                <c:pt idx="19">
                  <c:v>0.048</c:v>
                </c:pt>
                <c:pt idx="20">
                  <c:v>0.055</c:v>
                </c:pt>
                <c:pt idx="21">
                  <c:v>0.036</c:v>
                </c:pt>
                <c:pt idx="22">
                  <c:v>0.015</c:v>
                </c:pt>
              </c:numCache>
            </c:numRef>
          </c:val>
        </c:ser>
        <c:ser>
          <c:idx val="1"/>
          <c:order val="1"/>
          <c:tx>
            <c:strRef>
              <c:f>U3R!$D$3</c:f>
              <c:strCache>
                <c:ptCount val="1"/>
                <c:pt idx="0">
                  <c:v>Authorized U3R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U3R!$D$5:$D$27</c:f>
              <c:numCache>
                <c:formatCode>General</c:formatCode>
                <c:ptCount val="23"/>
                <c:pt idx="0">
                  <c:v>0.048</c:v>
                </c:pt>
                <c:pt idx="1">
                  <c:v>0.04</c:v>
                </c:pt>
                <c:pt idx="2">
                  <c:v>0.019</c:v>
                </c:pt>
                <c:pt idx="3">
                  <c:v>0.056</c:v>
                </c:pt>
                <c:pt idx="4">
                  <c:v>0.034</c:v>
                </c:pt>
                <c:pt idx="5">
                  <c:v>0.032</c:v>
                </c:pt>
                <c:pt idx="6">
                  <c:v>0.03</c:v>
                </c:pt>
                <c:pt idx="7">
                  <c:v>0.027</c:v>
                </c:pt>
                <c:pt idx="8">
                  <c:v>0.043</c:v>
                </c:pt>
                <c:pt idx="9">
                  <c:v>0.045</c:v>
                </c:pt>
                <c:pt idx="10">
                  <c:v>0.037</c:v>
                </c:pt>
                <c:pt idx="11">
                  <c:v>0.041</c:v>
                </c:pt>
                <c:pt idx="12">
                  <c:v>0.023</c:v>
                </c:pt>
                <c:pt idx="13">
                  <c:v>0.021</c:v>
                </c:pt>
                <c:pt idx="14">
                  <c:v>0.03</c:v>
                </c:pt>
                <c:pt idx="15">
                  <c:v>0.02</c:v>
                </c:pt>
                <c:pt idx="16">
                  <c:v>0.048</c:v>
                </c:pt>
                <c:pt idx="17">
                  <c:v>0.022</c:v>
                </c:pt>
                <c:pt idx="18">
                  <c:v>0.021</c:v>
                </c:pt>
                <c:pt idx="19">
                  <c:v>0.051</c:v>
                </c:pt>
                <c:pt idx="20">
                  <c:v>0.059</c:v>
                </c:pt>
                <c:pt idx="21">
                  <c:v>0.038</c:v>
                </c:pt>
                <c:pt idx="22">
                  <c:v>0.016</c:v>
                </c:pt>
              </c:numCache>
            </c:numRef>
          </c:val>
        </c:ser>
        <c:ser>
          <c:idx val="2"/>
          <c:order val="2"/>
          <c:tx>
            <c:strRef>
              <c:f>U3R!$E$3</c:f>
              <c:strCache>
                <c:ptCount val="1"/>
                <c:pt idx="0">
                  <c:v>Unauthorized U3R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U3R!$E$5:$E$27</c:f>
              <c:numCache>
                <c:formatCode>General</c:formatCode>
                <c:ptCount val="23"/>
                <c:pt idx="0">
                  <c:v>0.062</c:v>
                </c:pt>
                <c:pt idx="1">
                  <c:v>0.052</c:v>
                </c:pt>
                <c:pt idx="2">
                  <c:v>0.022</c:v>
                </c:pt>
                <c:pt idx="3">
                  <c:v>0.075</c:v>
                </c:pt>
                <c:pt idx="4">
                  <c:v>0.044</c:v>
                </c:pt>
                <c:pt idx="5">
                  <c:v>0.041</c:v>
                </c:pt>
                <c:pt idx="6">
                  <c:v>0.038</c:v>
                </c:pt>
                <c:pt idx="7">
                  <c:v>0.032</c:v>
                </c:pt>
                <c:pt idx="8">
                  <c:v>0.055</c:v>
                </c:pt>
                <c:pt idx="9">
                  <c:v>0.058</c:v>
                </c:pt>
                <c:pt idx="10">
                  <c:v>0.048</c:v>
                </c:pt>
                <c:pt idx="11">
                  <c:v>0.052</c:v>
                </c:pt>
                <c:pt idx="12">
                  <c:v>0.028</c:v>
                </c:pt>
                <c:pt idx="13">
                  <c:v>0.024</c:v>
                </c:pt>
                <c:pt idx="14">
                  <c:v>0.036</c:v>
                </c:pt>
                <c:pt idx="15">
                  <c:v>0.023</c:v>
                </c:pt>
                <c:pt idx="16">
                  <c:v>0.065</c:v>
                </c:pt>
                <c:pt idx="17">
                  <c:v>0.026</c:v>
                </c:pt>
                <c:pt idx="18">
                  <c:v>0.025</c:v>
                </c:pt>
                <c:pt idx="19">
                  <c:v>0.068</c:v>
                </c:pt>
                <c:pt idx="20">
                  <c:v>0.078</c:v>
                </c:pt>
                <c:pt idx="21">
                  <c:v>0.049</c:v>
                </c:pt>
                <c:pt idx="22">
                  <c:v>0.019</c:v>
                </c:pt>
              </c:numCache>
            </c:numRef>
          </c:val>
        </c:ser>
        <c:ser>
          <c:idx val="3"/>
          <c:order val="3"/>
          <c:tx>
            <c:strRef>
              <c:f>U3R!$F$3</c:f>
              <c:strCache>
                <c:ptCount val="1"/>
                <c:pt idx="0">
                  <c:v>American U3R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U3R!$F$5:$F$27</c:f>
              <c:numCache>
                <c:formatCode>General</c:formatCode>
                <c:ptCount val="23"/>
                <c:pt idx="0">
                  <c:v>0.042</c:v>
                </c:pt>
                <c:pt idx="1">
                  <c:v>0.036</c:v>
                </c:pt>
                <c:pt idx="2">
                  <c:v>0.018</c:v>
                </c:pt>
                <c:pt idx="3">
                  <c:v>0.048</c:v>
                </c:pt>
                <c:pt idx="4">
                  <c:v>0.03</c:v>
                </c:pt>
                <c:pt idx="5">
                  <c:v>0.029</c:v>
                </c:pt>
                <c:pt idx="6">
                  <c:v>0.027</c:v>
                </c:pt>
                <c:pt idx="7">
                  <c:v>0.024</c:v>
                </c:pt>
                <c:pt idx="8">
                  <c:v>0.038</c:v>
                </c:pt>
                <c:pt idx="9">
                  <c:v>0.04</c:v>
                </c:pt>
                <c:pt idx="10">
                  <c:v>0.033</c:v>
                </c:pt>
                <c:pt idx="11">
                  <c:v>0.036</c:v>
                </c:pt>
                <c:pt idx="12">
                  <c:v>0.021</c:v>
                </c:pt>
                <c:pt idx="13">
                  <c:v>0.02</c:v>
                </c:pt>
                <c:pt idx="14">
                  <c:v>0.027</c:v>
                </c:pt>
                <c:pt idx="15">
                  <c:v>0.019</c:v>
                </c:pt>
                <c:pt idx="16">
                  <c:v>0.042</c:v>
                </c:pt>
                <c:pt idx="17">
                  <c:v>0.021</c:v>
                </c:pt>
                <c:pt idx="18">
                  <c:v>0.02</c:v>
                </c:pt>
                <c:pt idx="19">
                  <c:v>0.045</c:v>
                </c:pt>
                <c:pt idx="20">
                  <c:v>0.052</c:v>
                </c:pt>
                <c:pt idx="21">
                  <c:v>0.034</c:v>
                </c:pt>
                <c:pt idx="22">
                  <c:v>0.015</c:v>
                </c:pt>
              </c:numCache>
            </c:numRef>
          </c:val>
        </c:ser>
        <c:gapWidth val="100"/>
        <c:overlap val="0"/>
        <c:axId val="53874257"/>
        <c:axId val="30627113"/>
      </c:barChart>
      <c:catAx>
        <c:axId val="5387425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23622047244"/>
              <c:y val="0.47780511811023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0627113"/>
        <c:crosses val="autoZero"/>
        <c:auto val="1"/>
        <c:lblAlgn val="ctr"/>
        <c:lblOffset val="100"/>
        <c:noMultiLvlLbl val="0"/>
      </c:catAx>
      <c:valAx>
        <c:axId val="306271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55905511811"/>
              <c:y val="0.96914370078740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874257"/>
        <c:crosses val="max"/>
        <c:crossBetween val="midCat"/>
        <c:majorUnit val="0.01"/>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92125984252"/>
          <c:y val="0.0105068897637795"/>
        </c:manualLayout>
      </c:layout>
      <c:overlay val="0"/>
      <c:spPr>
        <a:noFill/>
        <a:ln w="0">
          <a:noFill/>
        </a:ln>
      </c:spPr>
    </c:title>
    <c:autoTitleDeleted val="0"/>
    <c:plotArea>
      <c:layout>
        <c:manualLayout>
          <c:layoutTarget val="inner"/>
          <c:xMode val="edge"/>
          <c:yMode val="edge"/>
          <c:x val="0.24996062992126"/>
          <c:y val="0.084375"/>
          <c:w val="0.64992125984252"/>
          <c:h val="0.853051181102362"/>
        </c:manualLayout>
      </c:layout>
      <c:barChart>
        <c:barDir val="bar"/>
        <c:grouping val="clustered"/>
        <c:varyColors val="0"/>
        <c:ser>
          <c:idx val="0"/>
          <c:order val="0"/>
          <c:tx>
            <c:strRef>
              <c:f>U6R!$C$3</c:f>
              <c:strCache>
                <c:ptCount val="1"/>
                <c:pt idx="0">
                  <c:v>Overall U6R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U6R!$C$5:$C$27</c:f>
              <c:numCache>
                <c:formatCode>General</c:formatCode>
                <c:ptCount val="23"/>
                <c:pt idx="0">
                  <c:v>0.072</c:v>
                </c:pt>
                <c:pt idx="1">
                  <c:v>0.061</c:v>
                </c:pt>
                <c:pt idx="2">
                  <c:v>0.027</c:v>
                </c:pt>
                <c:pt idx="3">
                  <c:v>0.085</c:v>
                </c:pt>
                <c:pt idx="4">
                  <c:v>0.051</c:v>
                </c:pt>
                <c:pt idx="5">
                  <c:v>0.049</c:v>
                </c:pt>
                <c:pt idx="6">
                  <c:v>0.046</c:v>
                </c:pt>
                <c:pt idx="7">
                  <c:v>0.04</c:v>
                </c:pt>
                <c:pt idx="8">
                  <c:v>0.064</c:v>
                </c:pt>
                <c:pt idx="9">
                  <c:v>0.067</c:v>
                </c:pt>
                <c:pt idx="10">
                  <c:v>0.056</c:v>
                </c:pt>
                <c:pt idx="11">
                  <c:v>0.061</c:v>
                </c:pt>
                <c:pt idx="12">
                  <c:v>0.035</c:v>
                </c:pt>
                <c:pt idx="13">
                  <c:v>0.032</c:v>
                </c:pt>
                <c:pt idx="14">
                  <c:v>0.045</c:v>
                </c:pt>
                <c:pt idx="15">
                  <c:v>0.03</c:v>
                </c:pt>
                <c:pt idx="16">
                  <c:v>0.072</c:v>
                </c:pt>
                <c:pt idx="17">
                  <c:v>0.034</c:v>
                </c:pt>
                <c:pt idx="18">
                  <c:v>0.032</c:v>
                </c:pt>
                <c:pt idx="19">
                  <c:v>0.077</c:v>
                </c:pt>
                <c:pt idx="20">
                  <c:v>0.095</c:v>
                </c:pt>
                <c:pt idx="21">
                  <c:v>0.058</c:v>
                </c:pt>
                <c:pt idx="22">
                  <c:v>0.022</c:v>
                </c:pt>
              </c:numCache>
            </c:numRef>
          </c:val>
        </c:ser>
        <c:ser>
          <c:idx val="1"/>
          <c:order val="1"/>
          <c:tx>
            <c:strRef>
              <c:f>U6R!$D$3</c:f>
              <c:strCache>
                <c:ptCount val="1"/>
                <c:pt idx="0">
                  <c:v>Authorized U6R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U6R!$D$5:$D$27</c:f>
              <c:numCache>
                <c:formatCode>General</c:formatCode>
                <c:ptCount val="23"/>
                <c:pt idx="0">
                  <c:v>0.077</c:v>
                </c:pt>
                <c:pt idx="1">
                  <c:v>0.065</c:v>
                </c:pt>
                <c:pt idx="2">
                  <c:v>0.029</c:v>
                </c:pt>
                <c:pt idx="3">
                  <c:v>0.091</c:v>
                </c:pt>
                <c:pt idx="4">
                  <c:v>0.055</c:v>
                </c:pt>
                <c:pt idx="5">
                  <c:v>0.052</c:v>
                </c:pt>
                <c:pt idx="6">
                  <c:v>0.049</c:v>
                </c:pt>
                <c:pt idx="7">
                  <c:v>0.042</c:v>
                </c:pt>
                <c:pt idx="8">
                  <c:v>0.068</c:v>
                </c:pt>
                <c:pt idx="9">
                  <c:v>0.071</c:v>
                </c:pt>
                <c:pt idx="10">
                  <c:v>0.06</c:v>
                </c:pt>
                <c:pt idx="11">
                  <c:v>0.065</c:v>
                </c:pt>
                <c:pt idx="12">
                  <c:v>0.037</c:v>
                </c:pt>
                <c:pt idx="13">
                  <c:v>0.034</c:v>
                </c:pt>
                <c:pt idx="14">
                  <c:v>0.048</c:v>
                </c:pt>
                <c:pt idx="15">
                  <c:v>0.032</c:v>
                </c:pt>
                <c:pt idx="16">
                  <c:v>0.077</c:v>
                </c:pt>
                <c:pt idx="17">
                  <c:v>0.036</c:v>
                </c:pt>
                <c:pt idx="18">
                  <c:v>0.034</c:v>
                </c:pt>
                <c:pt idx="19">
                  <c:v>0.082</c:v>
                </c:pt>
                <c:pt idx="20">
                  <c:v>0.102</c:v>
                </c:pt>
                <c:pt idx="21">
                  <c:v>0.062</c:v>
                </c:pt>
                <c:pt idx="22">
                  <c:v>0.023</c:v>
                </c:pt>
              </c:numCache>
            </c:numRef>
          </c:val>
        </c:ser>
        <c:ser>
          <c:idx val="2"/>
          <c:order val="2"/>
          <c:tx>
            <c:strRef>
              <c:f>U6R!$E$3</c:f>
              <c:strCache>
                <c:ptCount val="1"/>
                <c:pt idx="0">
                  <c:v>Unauthorized U6R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U6R!$E$5:$E$27</c:f>
              <c:numCache>
                <c:formatCode>General</c:formatCode>
                <c:ptCount val="23"/>
                <c:pt idx="0">
                  <c:v>0.098</c:v>
                </c:pt>
                <c:pt idx="1">
                  <c:v>0.083</c:v>
                </c:pt>
                <c:pt idx="2">
                  <c:v>0.033</c:v>
                </c:pt>
                <c:pt idx="3">
                  <c:v>0.12</c:v>
                </c:pt>
                <c:pt idx="4">
                  <c:v>0.07</c:v>
                </c:pt>
                <c:pt idx="5">
                  <c:v>0.067</c:v>
                </c:pt>
                <c:pt idx="6">
                  <c:v>0.062</c:v>
                </c:pt>
                <c:pt idx="7">
                  <c:v>0.05</c:v>
                </c:pt>
                <c:pt idx="8">
                  <c:v>0.088</c:v>
                </c:pt>
                <c:pt idx="9">
                  <c:v>0.092</c:v>
                </c:pt>
                <c:pt idx="10">
                  <c:v>0.077</c:v>
                </c:pt>
                <c:pt idx="11">
                  <c:v>0.083</c:v>
                </c:pt>
                <c:pt idx="12">
                  <c:v>0.045</c:v>
                </c:pt>
                <c:pt idx="13">
                  <c:v>0.038</c:v>
                </c:pt>
                <c:pt idx="14">
                  <c:v>0.058</c:v>
                </c:pt>
                <c:pt idx="15">
                  <c:v>0.037</c:v>
                </c:pt>
                <c:pt idx="16">
                  <c:v>0.1</c:v>
                </c:pt>
                <c:pt idx="17">
                  <c:v>0.043</c:v>
                </c:pt>
                <c:pt idx="18">
                  <c:v>0.04</c:v>
                </c:pt>
                <c:pt idx="19">
                  <c:v>0.106</c:v>
                </c:pt>
                <c:pt idx="20">
                  <c:v>0.135</c:v>
                </c:pt>
                <c:pt idx="21">
                  <c:v>0.08</c:v>
                </c:pt>
                <c:pt idx="22">
                  <c:v>0.028</c:v>
                </c:pt>
              </c:numCache>
            </c:numRef>
          </c:val>
        </c:ser>
        <c:ser>
          <c:idx val="3"/>
          <c:order val="3"/>
          <c:tx>
            <c:strRef>
              <c:f>U6R!$F$3</c:f>
              <c:strCache>
                <c:ptCount val="1"/>
                <c:pt idx="0">
                  <c:v>American U6R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U6R!$F$5:$F$27</c:f>
              <c:numCache>
                <c:formatCode>General</c:formatCode>
                <c:ptCount val="23"/>
                <c:pt idx="0">
                  <c:v>0.068</c:v>
                </c:pt>
                <c:pt idx="1">
                  <c:v>0.058</c:v>
                </c:pt>
                <c:pt idx="2">
                  <c:v>0.027</c:v>
                </c:pt>
                <c:pt idx="3">
                  <c:v>0.08</c:v>
                </c:pt>
                <c:pt idx="4">
                  <c:v>0.049</c:v>
                </c:pt>
                <c:pt idx="5">
                  <c:v>0.047</c:v>
                </c:pt>
                <c:pt idx="6">
                  <c:v>0.044</c:v>
                </c:pt>
                <c:pt idx="7">
                  <c:v>0.039</c:v>
                </c:pt>
                <c:pt idx="8">
                  <c:v>0.061</c:v>
                </c:pt>
                <c:pt idx="9">
                  <c:v>0.064</c:v>
                </c:pt>
                <c:pt idx="10">
                  <c:v>0.054</c:v>
                </c:pt>
                <c:pt idx="11">
                  <c:v>0.058</c:v>
                </c:pt>
                <c:pt idx="12">
                  <c:v>0.034</c:v>
                </c:pt>
                <c:pt idx="13">
                  <c:v>0.032</c:v>
                </c:pt>
                <c:pt idx="14">
                  <c:v>0.044</c:v>
                </c:pt>
                <c:pt idx="15">
                  <c:v>0.03</c:v>
                </c:pt>
                <c:pt idx="16">
                  <c:v>0.068</c:v>
                </c:pt>
                <c:pt idx="17">
                  <c:v>0.033</c:v>
                </c:pt>
                <c:pt idx="18">
                  <c:v>0.031</c:v>
                </c:pt>
                <c:pt idx="19">
                  <c:v>0.073</c:v>
                </c:pt>
                <c:pt idx="20">
                  <c:v>0.09</c:v>
                </c:pt>
                <c:pt idx="21">
                  <c:v>0.055</c:v>
                </c:pt>
                <c:pt idx="22">
                  <c:v>0.022</c:v>
                </c:pt>
              </c:numCache>
            </c:numRef>
          </c:val>
        </c:ser>
        <c:gapWidth val="100"/>
        <c:overlap val="0"/>
        <c:axId val="25836923"/>
        <c:axId val="17273092"/>
      </c:barChart>
      <c:catAx>
        <c:axId val="2583692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23622047244"/>
              <c:y val="0.47773129921259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273092"/>
        <c:crosses val="autoZero"/>
        <c:auto val="1"/>
        <c:lblAlgn val="ctr"/>
        <c:lblOffset val="100"/>
        <c:noMultiLvlLbl val="0"/>
      </c:catAx>
      <c:valAx>
        <c:axId val="1727309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889763779528"/>
              <c:y val="0.96914370078740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836923"/>
        <c:crosses val="max"/>
        <c:crossBetween val="midCat"/>
        <c:majorUnit val="0.01"/>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018339577993"/>
          <c:y val="0.0105185367656115"/>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WAVG!$C$4:$C$29</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WAVG!$D$4:$D$29</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WAVG!$E$4:$E$29</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WAVG!$F$4:$F$29</c:f>
              <c:numCache>
                <c:formatCode>[$$-409]#,##0.00;[RED]\-[$$-409]#,##0.00</c:formatCode>
                <c:ptCount val="26"/>
              </c:numCache>
            </c:numRef>
          </c:val>
        </c:ser>
        <c:gapWidth val="100"/>
        <c:overlap val="0"/>
        <c:axId val="66720149"/>
        <c:axId val="18013965"/>
      </c:barChart>
      <c:catAx>
        <c:axId val="6672014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6450301761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013965"/>
        <c:crosses val="autoZero"/>
        <c:auto val="1"/>
        <c:lblAlgn val="ctr"/>
        <c:lblOffset val="100"/>
        <c:noMultiLvlLbl val="0"/>
      </c:catAx>
      <c:valAx>
        <c:axId val="1801396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735160717807"/>
              <c:y val="0.969158763394507"/>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720149"/>
        <c:crosses val="max"/>
        <c:crossBetween val="midCat"/>
      </c:valAx>
      <c:spPr>
        <a:noFill/>
        <a:ln w="0">
          <a:solidFill>
            <a:srgbClr val="b3b3b3"/>
          </a:solidFill>
        </a:ln>
      </c:spPr>
    </c:plotArea>
    <c:legend>
      <c:legendPos val="r"/>
      <c:layout>
        <c:manualLayout>
          <c:xMode val="edge"/>
          <c:yMode val="edge"/>
          <c:x val="0.802523161837177"/>
          <c:y val="0.0767639453269302"/>
          <c:w val="0.171897177101404"/>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136659436009"/>
          <c:y val="0.0105185367656115"/>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WAVG!$C$2</c:f>
              <c:strCache>
                <c:ptCount val="1"/>
                <c:pt idx="0">
                  <c:v>Wage Average ($ /hr)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WAVG!$C$30:$C$55</c:f>
              <c:numCache>
                <c:formatCode>[$$-409]#,##0.00;[RED]\-[$$-409]#,##0.00</c:formatCode>
                <c:ptCount val="26"/>
              </c:numCache>
            </c:numRef>
          </c:val>
        </c:ser>
        <c:ser>
          <c:idx val="1"/>
          <c:order val="1"/>
          <c:tx>
            <c:strRef>
              <c:f>WAVG!$D$2</c:f>
              <c:strCache>
                <c:ptCount val="1"/>
                <c:pt idx="0">
                  <c:v>Authorized Immigrant Wage Average ($ /hr)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WAVG!$D$30:$D$55</c:f>
              <c:numCache>
                <c:formatCode>[$$-409]#,##0.00;[RED]\-[$$-409]#,##0.00</c:formatCode>
                <c:ptCount val="26"/>
              </c:numCache>
            </c:numRef>
          </c:val>
        </c:ser>
        <c:ser>
          <c:idx val="2"/>
          <c:order val="2"/>
          <c:tx>
            <c:strRef>
              <c:f>WAVG!$E$2</c:f>
              <c:strCache>
                <c:ptCount val="1"/>
                <c:pt idx="0">
                  <c:v>Unauthorized Immigrant Wage Average ($ /hr)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WAVG!$E$30:$E$55</c:f>
              <c:numCache>
                <c:formatCode>[$$-409]#,##0.00;[RED]\-[$$-409]#,##0.00</c:formatCode>
                <c:ptCount val="26"/>
              </c:numCache>
            </c:numRef>
          </c:val>
        </c:ser>
        <c:ser>
          <c:idx val="3"/>
          <c:order val="3"/>
          <c:tx>
            <c:strRef>
              <c:f>WAVG!$F$2</c:f>
              <c:strCache>
                <c:ptCount val="1"/>
                <c:pt idx="0">
                  <c:v>American Wage Average ($ /hr)</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WAVG!$F$30:$F$55</c:f>
              <c:numCache>
                <c:formatCode>[$$-409]#,##0.00;[RED]\-[$$-409]#,##0.00</c:formatCode>
                <c:ptCount val="26"/>
              </c:numCache>
            </c:numRef>
          </c:val>
        </c:ser>
        <c:gapWidth val="100"/>
        <c:overlap val="0"/>
        <c:axId val="1429153"/>
        <c:axId val="56827182"/>
      </c:barChart>
      <c:catAx>
        <c:axId val="142915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59576302500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827182"/>
        <c:crosses val="autoZero"/>
        <c:auto val="1"/>
        <c:lblAlgn val="ctr"/>
        <c:lblOffset val="100"/>
        <c:noMultiLvlLbl val="0"/>
      </c:catAx>
      <c:valAx>
        <c:axId val="5682718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2814040623151"/>
              <c:y val="0.969158763394507"/>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429153"/>
        <c:crosses val="max"/>
        <c:crossBetween val="midCat"/>
      </c:valAx>
      <c:spPr>
        <a:noFill/>
        <a:ln w="0">
          <a:solidFill>
            <a:srgbClr val="b3b3b3"/>
          </a:solidFill>
        </a:ln>
      </c:spPr>
    </c:plotArea>
    <c:legend>
      <c:legendPos val="r"/>
      <c:layout>
        <c:manualLayout>
          <c:xMode val="edge"/>
          <c:yMode val="edge"/>
          <c:x val="0.802483737433471"/>
          <c:y val="0.0767639453269302"/>
          <c:w val="0.171857751143353"/>
          <c:h val="0.0721850064033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56221652534"/>
          <c:y val="0.0168000985343023"/>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AIAVG!$C$4:$C$29</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AIAVG!$D$4:$D$29</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AIAVG!$E$4:$E$29</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AIAVG!$F$4:$F$29</c:f>
              <c:numCache>
                <c:formatCode>[$$-409]#,##0;[RED]\-[$$-409]#,##0</c:formatCode>
                <c:ptCount val="26"/>
              </c:numCache>
            </c:numRef>
          </c:val>
        </c:ser>
        <c:gapWidth val="100"/>
        <c:overlap val="0"/>
        <c:axId val="74150473"/>
        <c:axId val="53121635"/>
      </c:barChart>
      <c:catAx>
        <c:axId val="7415047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4972287227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3121635"/>
        <c:crosses val="autoZero"/>
        <c:auto val="1"/>
        <c:lblAlgn val="ctr"/>
        <c:lblOffset val="100"/>
        <c:noMultiLvlLbl val="0"/>
      </c:catAx>
      <c:valAx>
        <c:axId val="5312163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802603036876"/>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150473"/>
        <c:crosses val="max"/>
        <c:crossBetween val="midCat"/>
      </c:valAx>
      <c:spPr>
        <a:noFill/>
        <a:ln w="0">
          <a:solidFill>
            <a:srgbClr val="b3b3b3"/>
          </a:solidFill>
        </a:ln>
      </c:spPr>
    </c:plotArea>
    <c:legend>
      <c:legendPos val="r"/>
      <c:layout>
        <c:manualLayout>
          <c:xMode val="edge"/>
          <c:yMode val="edge"/>
          <c:x val="0.785871877708612"/>
          <c:y val="0.0767810546009552"/>
          <c:w val="0.188526850793901"/>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1956221652534"/>
          <c:y val="0.0168000985343023"/>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AIAVG!$C$2</c:f>
              <c:strCache>
                <c:ptCount val="1"/>
                <c:pt idx="0">
                  <c:v>Annual Income Average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AIAVG!$C$30:$C$55</c:f>
              <c:numCache>
                <c:formatCode>[$$-409]#,##0;[RED]\-[$$-409]#,##0</c:formatCode>
                <c:ptCount val="26"/>
              </c:numCache>
            </c:numRef>
          </c:val>
        </c:ser>
        <c:ser>
          <c:idx val="1"/>
          <c:order val="1"/>
          <c:tx>
            <c:strRef>
              <c:f>AIAVG!$D$2</c:f>
              <c:strCache>
                <c:ptCount val="1"/>
                <c:pt idx="0">
                  <c:v>Authorized Immigrant Annual Income Average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AIAVG!$D$30:$D$55</c:f>
              <c:numCache>
                <c:formatCode>[$$-409]#,##0;[RED]\-[$$-409]#,##0</c:formatCode>
                <c:ptCount val="26"/>
              </c:numCache>
            </c:numRef>
          </c:val>
        </c:ser>
        <c:ser>
          <c:idx val="2"/>
          <c:order val="2"/>
          <c:tx>
            <c:strRef>
              <c:f>AIAVG!$E$2</c:f>
              <c:strCache>
                <c:ptCount val="1"/>
                <c:pt idx="0">
                  <c:v>Unauthorized Immigrant Annual Income Average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AIAVG!$E$30:$E$55</c:f>
              <c:numCache>
                <c:formatCode>[$$-409]#,##0;[RED]\-[$$-409]#,##0</c:formatCode>
                <c:ptCount val="26"/>
              </c:numCache>
            </c:numRef>
          </c:val>
        </c:ser>
        <c:ser>
          <c:idx val="3"/>
          <c:order val="3"/>
          <c:tx>
            <c:strRef>
              <c:f>AIAVG!$F$2</c:f>
              <c:strCache>
                <c:ptCount val="1"/>
                <c:pt idx="0">
                  <c:v>American Annual Income Average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AIAVG!$F$30:$F$55</c:f>
              <c:numCache>
                <c:formatCode>[$$-409]#,##0;[RED]\-[$$-409]#,##0</c:formatCode>
                <c:ptCount val="26"/>
              </c:numCache>
            </c:numRef>
          </c:val>
        </c:ser>
        <c:gapWidth val="100"/>
        <c:overlap val="0"/>
        <c:axId val="93586292"/>
        <c:axId val="73102859"/>
      </c:barChart>
      <c:catAx>
        <c:axId val="9358629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3740608449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102859"/>
        <c:crosses val="autoZero"/>
        <c:auto val="1"/>
        <c:lblAlgn val="ctr"/>
        <c:lblOffset val="100"/>
        <c:noMultiLvlLbl val="0"/>
      </c:catAx>
      <c:valAx>
        <c:axId val="7310285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802603036876"/>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3586292"/>
        <c:crosses val="max"/>
        <c:crossBetween val="midCat"/>
      </c:valAx>
      <c:spPr>
        <a:noFill/>
        <a:ln w="0">
          <a:solidFill>
            <a:srgbClr val="b3b3b3"/>
          </a:solidFill>
        </a:ln>
      </c:spPr>
    </c:plotArea>
    <c:legend>
      <c:legendPos val="r"/>
      <c:layout>
        <c:manualLayout>
          <c:xMode val="edge"/>
          <c:yMode val="edge"/>
          <c:x val="0.785807214665878"/>
          <c:y val="0.0767393178180027"/>
          <c:w val="0.188495505440782"/>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79727864327"/>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FPITREV!$C$4:$C$29</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FPITREV!$D$4:$D$29</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FPITREV!$E$4:$E$29</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FPITREV!$F$4:$F$29</c:f>
              <c:numCache>
                <c:formatCode>[$$-409]#,##0;\-[$$-409]#,##0</c:formatCode>
                <c:ptCount val="26"/>
              </c:numCache>
            </c:numRef>
          </c:val>
        </c:ser>
        <c:gapWidth val="100"/>
        <c:overlap val="0"/>
        <c:axId val="66907187"/>
        <c:axId val="44940398"/>
      </c:barChart>
      <c:catAx>
        <c:axId val="6690718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4972287227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940398"/>
        <c:crosses val="autoZero"/>
        <c:auto val="1"/>
        <c:lblAlgn val="ctr"/>
        <c:lblOffset val="100"/>
        <c:noMultiLvlLbl val="0"/>
      </c:catAx>
      <c:valAx>
        <c:axId val="4494039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774600670479"/>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907187"/>
        <c:crosses val="max"/>
        <c:crossBetween val="midCat"/>
        <c:majorUnit val="1000000"/>
      </c:valAx>
      <c:spPr>
        <a:noFill/>
        <a:ln w="0">
          <a:solidFill>
            <a:srgbClr val="b3b3b3"/>
          </a:solidFill>
        </a:ln>
      </c:spPr>
    </c:plotArea>
    <c:legend>
      <c:legendPos val="r"/>
      <c:layout>
        <c:manualLayout>
          <c:xMode val="edge"/>
          <c:yMode val="edge"/>
          <c:x val="0.785840917149273"/>
          <c:y val="0.0767545479162051"/>
          <c:w val="0.18855882121188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779727864327"/>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FPITREV!$C$2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FPITREV!$C$30:$C$55</c:f>
              <c:numCache>
                <c:formatCode>[$$-409]#,##0;\-[$$-409]#,##0</c:formatCode>
                <c:ptCount val="26"/>
              </c:numCache>
            </c:numRef>
          </c:val>
        </c:ser>
        <c:ser>
          <c:idx val="1"/>
          <c:order val="1"/>
          <c:tx>
            <c:strRef>
              <c:f>FPITREV!$D$2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FPITREV!$D$30:$D$55</c:f>
              <c:numCache>
                <c:formatCode>[$$-409]#,##0;\-[$$-409]#,##0</c:formatCode>
                <c:ptCount val="26"/>
              </c:numCache>
            </c:numRef>
          </c:val>
        </c:ser>
        <c:ser>
          <c:idx val="2"/>
          <c:order val="2"/>
          <c:tx>
            <c:strRef>
              <c:f>FPITREV!$E$2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FPITREV!$E$30:$E$55</c:f>
              <c:numCache>
                <c:formatCode>[$$-409]#,##0;\-[$$-409]#,##0</c:formatCode>
                <c:ptCount val="26"/>
              </c:numCache>
            </c:numRef>
          </c:val>
        </c:ser>
        <c:ser>
          <c:idx val="3"/>
          <c:order val="3"/>
          <c:tx>
            <c:strRef>
              <c:f>FPITREV!$F$2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FPITREV!$F$30:$F$55</c:f>
              <c:numCache>
                <c:formatCode>[$$-409]#,##0;\-[$$-409]#,##0</c:formatCode>
                <c:ptCount val="26"/>
              </c:numCache>
            </c:numRef>
          </c:val>
        </c:ser>
        <c:gapWidth val="100"/>
        <c:overlap val="0"/>
        <c:axId val="17626720"/>
        <c:axId val="69252194"/>
      </c:barChart>
      <c:catAx>
        <c:axId val="1762672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3494272693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9252194"/>
        <c:crosses val="autoZero"/>
        <c:auto val="1"/>
        <c:lblAlgn val="ctr"/>
        <c:lblOffset val="100"/>
        <c:noMultiLvlLbl val="0"/>
      </c:catAx>
      <c:valAx>
        <c:axId val="6925219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297180043384"/>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626720"/>
        <c:crosses val="max"/>
        <c:crossBetween val="midCat"/>
      </c:valAx>
      <c:spPr>
        <a:noFill/>
        <a:ln w="0">
          <a:solidFill>
            <a:srgbClr val="b3b3b3"/>
          </a:solidFill>
        </a:ln>
      </c:spPr>
    </c:plotArea>
    <c:legend>
      <c:legendPos val="r"/>
      <c:layout>
        <c:manualLayout>
          <c:xMode val="edge"/>
          <c:yMode val="edge"/>
          <c:x val="0.785807214665878"/>
          <c:y val="0.0767146903090752"/>
          <c:w val="0.188534931398833"/>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500887398935"/>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35361414"/>
        <c:axId val="87592757"/>
      </c:barChart>
      <c:catAx>
        <c:axId val="3536141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3740608449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7592757"/>
        <c:crosses val="autoZero"/>
        <c:auto val="1"/>
        <c:lblAlgn val="ctr"/>
        <c:lblOffset val="100"/>
        <c:noMultiLvlLbl val="0"/>
      </c:catAx>
      <c:valAx>
        <c:axId val="8759275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419641096431"/>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361414"/>
        <c:crosses val="max"/>
        <c:crossBetween val="midCat"/>
        <c:majorUnit val="1000000"/>
      </c:valAx>
      <c:spPr>
        <a:noFill/>
        <a:ln w="0">
          <a:solidFill>
            <a:srgbClr val="b3b3b3"/>
          </a:solidFill>
        </a:ln>
      </c:spPr>
    </c:plotArea>
    <c:legend>
      <c:legendPos val="r"/>
      <c:layout>
        <c:manualLayout>
          <c:xMode val="edge"/>
          <c:yMode val="edge"/>
          <c:x val="0.804310141044835"/>
          <c:y val="0.0767810546009552"/>
          <c:w val="0.170166660100075"/>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60500887398935"/>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FPPTREV!$C$2</c:f>
              <c:strCache>
                <c:ptCount val="1"/>
                <c:pt idx="0">
                  <c:v>Federal Personal Income Tax Revenue ($)</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Authorized Immigrant Federal Personal Income Tax Revenue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Unauthorized Immigrant Federal Personal Income Tax Revenue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American Federal Personal Income Tax Revenue ($)</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25908751"/>
        <c:axId val="44564593"/>
      </c:barChart>
      <c:catAx>
        <c:axId val="2590875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27552654267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564593"/>
        <c:crosses val="autoZero"/>
        <c:auto val="1"/>
        <c:lblAlgn val="ctr"/>
        <c:lblOffset val="100"/>
        <c:noMultiLvlLbl val="0"/>
      </c:catAx>
      <c:valAx>
        <c:axId val="4456459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498521001775"/>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5908751"/>
        <c:crosses val="max"/>
        <c:crossBetween val="midCat"/>
      </c:valAx>
      <c:spPr>
        <a:noFill/>
        <a:ln w="0">
          <a:solidFill>
            <a:srgbClr val="b3b3b3"/>
          </a:solidFill>
        </a:ln>
      </c:spPr>
    </c:plotArea>
    <c:legend>
      <c:legendPos val="r"/>
      <c:layout>
        <c:manualLayout>
          <c:xMode val="edge"/>
          <c:yMode val="edge"/>
          <c:x val="0.804257835600237"/>
          <c:y val="0.0767393178180027"/>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474265430882"/>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62405076"/>
        <c:axId val="68912509"/>
      </c:barChart>
      <c:catAx>
        <c:axId val="6240507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3494272693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912509"/>
        <c:crosses val="autoZero"/>
        <c:auto val="1"/>
        <c:lblAlgn val="ctr"/>
        <c:lblOffset val="100"/>
        <c:noMultiLvlLbl val="0"/>
      </c:catAx>
      <c:valAx>
        <c:axId val="6891250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011240386512"/>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2405076"/>
        <c:crosses val="max"/>
        <c:crossBetween val="midCat"/>
      </c:valAx>
      <c:spPr>
        <a:noFill/>
        <a:ln w="0">
          <a:solidFill>
            <a:srgbClr val="b3b3b3"/>
          </a:solidFill>
        </a:ln>
      </c:spPr>
    </c:plotArea>
    <c:legend>
      <c:legendPos val="r"/>
      <c:layout>
        <c:manualLayout>
          <c:xMode val="edge"/>
          <c:yMode val="edge"/>
          <c:x val="0.804278454083442"/>
          <c:y val="0.0767545479162051"/>
          <c:w val="0.170159955874242"/>
          <c:h val="0.11171286495002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563202524157"/>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EITCREF!$C$2</c:f>
              <c:strCache>
                <c:ptCount val="1"/>
                <c:pt idx="0">
                  <c:v>EITC Credit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Authorized Immigrant EITC Credit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Unauthorized Immigrant EITC Credit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American EITC Refund</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74713758"/>
        <c:axId val="17647813"/>
      </c:barChart>
      <c:catAx>
        <c:axId val="7471375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25089296711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647813"/>
        <c:crosses val="autoZero"/>
        <c:auto val="1"/>
        <c:lblAlgn val="ctr"/>
        <c:lblOffset val="100"/>
        <c:noMultiLvlLbl val="0"/>
      </c:catAx>
      <c:valAx>
        <c:axId val="176478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1690001972"/>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713758"/>
        <c:crosses val="max"/>
        <c:crossBetween val="midCat"/>
      </c:valAx>
      <c:spPr>
        <a:noFill/>
        <a:ln w="0">
          <a:solidFill>
            <a:srgbClr val="b3b3b3"/>
          </a:solidFill>
        </a:ln>
      </c:spPr>
    </c:plotArea>
    <c:legend>
      <c:legendPos val="r"/>
      <c:layout>
        <c:manualLayout>
          <c:xMode val="edge"/>
          <c:yMode val="edge"/>
          <c:x val="0.804218411196531"/>
          <c:y val="0.0767146903090752"/>
          <c:w val="0.170123008989118"/>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02267797279"/>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18184860"/>
        <c:axId val="38311602"/>
      </c:barChart>
      <c:catAx>
        <c:axId val="18184860"/>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17699224042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311602"/>
        <c:crosses val="autoZero"/>
        <c:auto val="1"/>
        <c:lblAlgn val="ctr"/>
        <c:lblOffset val="100"/>
        <c:noMultiLvlLbl val="0"/>
      </c:catAx>
      <c:valAx>
        <c:axId val="3831160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039242752909"/>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8184860"/>
        <c:crosses val="max"/>
        <c:crossBetween val="midCat"/>
      </c:valAx>
      <c:spPr>
        <a:noFill/>
        <a:ln w="0">
          <a:solidFill>
            <a:srgbClr val="b3b3b3"/>
          </a:solidFill>
        </a:ln>
      </c:spPr>
    </c:plotArea>
    <c:legend>
      <c:legendPos val="r"/>
      <c:layout>
        <c:manualLayout>
          <c:xMode val="edge"/>
          <c:yMode val="edge"/>
          <c:x val="0.804257835600237"/>
          <c:y val="0.0767146903090752"/>
          <c:w val="0.170162434947169"/>
          <c:h val="0.11168850359570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02267797279"/>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ACTCREF!$C$2</c:f>
              <c:strCache>
                <c:ptCount val="1"/>
                <c:pt idx="0">
                  <c:v>ACTC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Authorized Immigrant ACTC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Unauthorized Immigrant ACTC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American Tax ACTC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41351458"/>
        <c:axId val="33879906"/>
      </c:barChart>
      <c:catAx>
        <c:axId val="4135145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12772508929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879906"/>
        <c:crosses val="autoZero"/>
        <c:auto val="1"/>
        <c:lblAlgn val="ctr"/>
        <c:lblOffset val="100"/>
        <c:noMultiLvlLbl val="0"/>
      </c:catAx>
      <c:valAx>
        <c:axId val="3387990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1039242752909"/>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351458"/>
        <c:crosses val="max"/>
        <c:crossBetween val="midCat"/>
      </c:valAx>
      <c:spPr>
        <a:noFill/>
        <a:ln w="0">
          <a:solidFill>
            <a:srgbClr val="b3b3b3"/>
          </a:solidFill>
        </a:ln>
      </c:spPr>
    </c:plotArea>
    <c:legend>
      <c:legendPos val="r"/>
      <c:layout>
        <c:manualLayout>
          <c:xMode val="edge"/>
          <c:yMode val="edge"/>
          <c:x val="0.804218411196531"/>
          <c:y val="0.0766900628001478"/>
          <c:w val="0.170123008989118"/>
          <c:h val="0.11166387548024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8114770262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31706423"/>
        <c:axId val="79509714"/>
      </c:barChart>
      <c:catAx>
        <c:axId val="3170642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1523586648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9509714"/>
        <c:crosses val="autoZero"/>
        <c:auto val="1"/>
        <c:lblAlgn val="ctr"/>
        <c:lblOffset val="100"/>
        <c:noMultiLvlLbl val="0"/>
      </c:catAx>
      <c:valAx>
        <c:axId val="7950971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039242752909"/>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1706423"/>
        <c:crosses val="max"/>
        <c:crossBetween val="midCat"/>
      </c:valAx>
      <c:spPr>
        <a:noFill/>
        <a:ln w="0">
          <a:solidFill>
            <a:srgbClr val="b3b3b3"/>
          </a:solidFill>
        </a:ln>
      </c:spPr>
    </c:plotArea>
    <c:legend>
      <c:legendPos val="r"/>
      <c:layout>
        <c:manualLayout>
          <c:xMode val="edge"/>
          <c:yMode val="edge"/>
          <c:x val="0.804270743046253"/>
          <c:y val="0.0767318201959529"/>
          <c:w val="0.17004846144754"/>
          <c:h val="0.11169099726742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58114770262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AOTCREF!$C$2</c:f>
              <c:strCache>
                <c:ptCount val="1"/>
                <c:pt idx="0">
                  <c:v>AOTC Refund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Authorized Immigrant AOTC Refund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Unauthorized Immigrant AOTC Refund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American Tax AOTC Refund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4858784"/>
        <c:axId val="49447569"/>
      </c:barChart>
      <c:catAx>
        <c:axId val="485878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10309151373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9447569"/>
        <c:crosses val="autoZero"/>
        <c:auto val="1"/>
        <c:lblAlgn val="ctr"/>
        <c:lblOffset val="100"/>
        <c:noMultiLvlLbl val="0"/>
      </c:catAx>
      <c:valAx>
        <c:axId val="494475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1039242752909"/>
              <c:y val="0.969158763394507"/>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58784"/>
        <c:crosses val="max"/>
        <c:crossBetween val="midCat"/>
      </c:valAx>
      <c:spPr>
        <a:noFill/>
        <a:ln w="0">
          <a:solidFill>
            <a:srgbClr val="b3b3b3"/>
          </a:solidFill>
        </a:ln>
      </c:spPr>
    </c:plotArea>
    <c:legend>
      <c:legendPos val="r"/>
      <c:layout>
        <c:manualLayout>
          <c:xMode val="edge"/>
          <c:yMode val="edge"/>
          <c:x val="0.804241564175339"/>
          <c:y val="0.0767090228526399"/>
          <c:w val="0.170024046990184"/>
          <c:h val="0.11168025217327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8114770262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EP!$C$4:$C$29</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EP!$D$4:$D$29</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EP!$E$4:$E$29</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EP!$F$4:$F$29</c:f>
              <c:numCache>
                <c:formatCode>General</c:formatCode>
                <c:ptCount val="26"/>
              </c:numCache>
            </c:numRef>
          </c:val>
        </c:ser>
        <c:gapWidth val="100"/>
        <c:overlap val="0"/>
        <c:axId val="38153661"/>
        <c:axId val="84482820"/>
      </c:barChart>
      <c:catAx>
        <c:axId val="3815366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0784579381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482820"/>
        <c:crosses val="autoZero"/>
        <c:auto val="1"/>
        <c:lblAlgn val="ctr"/>
        <c:lblOffset val="100"/>
        <c:noMultiLvlLbl val="0"/>
      </c:catAx>
      <c:valAx>
        <c:axId val="8448282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039242752909"/>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8153661"/>
        <c:crosses val="max"/>
        <c:crossBetween val="midCat"/>
      </c:valAx>
      <c:spPr>
        <a:noFill/>
        <a:ln w="0">
          <a:solidFill>
            <a:srgbClr val="b3b3b3"/>
          </a:solidFill>
        </a:ln>
      </c:spPr>
    </c:plotArea>
    <c:legend>
      <c:legendPos val="r"/>
      <c:layout>
        <c:manualLayout>
          <c:xMode val="edge"/>
          <c:yMode val="edge"/>
          <c:x val="0.804250118277874"/>
          <c:y val="0.0766919515318688"/>
          <c:w val="0.170050861491149"/>
          <c:h val="0.111691254340812"/>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4358114770262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EP!$C$2</c:f>
              <c:strCache>
                <c:ptCount val="1"/>
                <c:pt idx="0">
                  <c:v>Employed Population</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EP!$C$30:$C$55</c:f>
              <c:numCache>
                <c:formatCode>General</c:formatCode>
                <c:ptCount val="26"/>
              </c:numCache>
            </c:numRef>
          </c:val>
        </c:ser>
        <c:ser>
          <c:idx val="1"/>
          <c:order val="1"/>
          <c:tx>
            <c:strRef>
              <c:f>EP!$D$2</c:f>
              <c:strCache>
                <c:ptCount val="1"/>
                <c:pt idx="0">
                  <c:v>Authorized Immigrant Employed Population</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EP!$D$30:$D$55</c:f>
              <c:numCache>
                <c:formatCode>General</c:formatCode>
                <c:ptCount val="26"/>
              </c:numCache>
            </c:numRef>
          </c:val>
        </c:ser>
        <c:ser>
          <c:idx val="2"/>
          <c:order val="2"/>
          <c:tx>
            <c:strRef>
              <c:f>EP!$E$2</c:f>
              <c:strCache>
                <c:ptCount val="1"/>
                <c:pt idx="0">
                  <c:v>Unauthorized Immigrant Employed Population</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EP!$E$30:$E$55</c:f>
              <c:numCache>
                <c:formatCode>General</c:formatCode>
                <c:ptCount val="26"/>
              </c:numCache>
            </c:numRef>
          </c:val>
        </c:ser>
        <c:ser>
          <c:idx val="3"/>
          <c:order val="3"/>
          <c:tx>
            <c:strRef>
              <c:f>EP!$F$2</c:f>
              <c:strCache>
                <c:ptCount val="1"/>
                <c:pt idx="0">
                  <c:v>American Employed Population</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EP!$F$30:$F$55</c:f>
              <c:numCache>
                <c:formatCode>General</c:formatCode>
                <c:ptCount val="26"/>
              </c:numCache>
            </c:numRef>
          </c:val>
        </c:ser>
        <c:gapWidth val="100"/>
        <c:overlap val="0"/>
        <c:axId val="71200724"/>
        <c:axId val="21747479"/>
      </c:barChart>
      <c:catAx>
        <c:axId val="7120072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00455721147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747479"/>
        <c:crosses val="autoZero"/>
        <c:auto val="1"/>
        <c:lblAlgn val="ctr"/>
        <c:lblOffset val="100"/>
        <c:noMultiLvlLbl val="0"/>
      </c:catAx>
      <c:valAx>
        <c:axId val="2174747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1039242752909"/>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1200724"/>
        <c:crosses val="max"/>
        <c:crossBetween val="midCat"/>
      </c:valAx>
      <c:spPr>
        <a:noFill/>
        <a:ln w="0">
          <a:solidFill>
            <a:srgbClr val="b3b3b3"/>
          </a:solidFill>
        </a:ln>
      </c:spPr>
    </c:plotArea>
    <c:legend>
      <c:legendPos val="r"/>
      <c:layout>
        <c:manualLayout>
          <c:xMode val="edge"/>
          <c:yMode val="edge"/>
          <c:x val="0.804210692319823"/>
          <c:y val="0.0766919515318688"/>
          <c:w val="0.17001143397863"/>
          <c:h val="0.11166662561879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8114770262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AWHW!$C$4:$C$29</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AWHW!$D$4:$D$29</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AWHW!$E$4:$E$29</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AWHW!$F$4:$F$29</c:f>
              <c:numCache>
                <c:formatCode>General</c:formatCode>
                <c:ptCount val="26"/>
              </c:numCache>
            </c:numRef>
          </c:val>
        </c:ser>
        <c:gapWidth val="100"/>
        <c:overlap val="0"/>
        <c:axId val="72431589"/>
        <c:axId val="68342266"/>
      </c:barChart>
      <c:catAx>
        <c:axId val="7243158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05382436260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8342266"/>
        <c:crosses val="autoZero"/>
        <c:auto val="1"/>
        <c:lblAlgn val="ctr"/>
        <c:lblOffset val="100"/>
        <c:noMultiLvlLbl val="0"/>
      </c:catAx>
      <c:valAx>
        <c:axId val="6834226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039242752909"/>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431589"/>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Hours Worked</a:t>
            </a:r>
          </a:p>
        </c:rich>
      </c:tx>
      <c:layout>
        <c:manualLayout>
          <c:xMode val="edge"/>
          <c:yMode val="edge"/>
          <c:x val="0.24358114770262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AWHW!$C$2</c:f>
              <c:strCache>
                <c:ptCount val="1"/>
                <c:pt idx="0">
                  <c:v>Average Weekly Hours Worked</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AWHW!$C$30:$C$55</c:f>
              <c:numCache>
                <c:formatCode>General</c:formatCode>
                <c:ptCount val="26"/>
              </c:numCache>
            </c:numRef>
          </c:val>
        </c:ser>
        <c:ser>
          <c:idx val="1"/>
          <c:order val="1"/>
          <c:tx>
            <c:strRef>
              <c:f>AWHW!$D$2</c:f>
              <c:strCache>
                <c:ptCount val="1"/>
                <c:pt idx="0">
                  <c:v>Authorized Immigrant Average Weekly Hours Worked</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AWHW!$D$30:$D$55</c:f>
              <c:numCache>
                <c:formatCode>General</c:formatCode>
                <c:ptCount val="26"/>
              </c:numCache>
            </c:numRef>
          </c:val>
        </c:ser>
        <c:ser>
          <c:idx val="2"/>
          <c:order val="2"/>
          <c:tx>
            <c:strRef>
              <c:f>AWHW!$E$2</c:f>
              <c:strCache>
                <c:ptCount val="1"/>
                <c:pt idx="0">
                  <c:v>Unauthorized Immigrant Average Weekly Hours Worked</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AWHW!$E$30:$E$55</c:f>
              <c:numCache>
                <c:formatCode>General</c:formatCode>
                <c:ptCount val="26"/>
              </c:numCache>
            </c:numRef>
          </c:val>
        </c:ser>
        <c:ser>
          <c:idx val="3"/>
          <c:order val="3"/>
          <c:tx>
            <c:strRef>
              <c:f>AWHW!$F$2</c:f>
              <c:strCache>
                <c:ptCount val="1"/>
                <c:pt idx="0">
                  <c:v>American Average Weekly Hours Worked</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AWHW!$F$30:$F$55</c:f>
              <c:numCache>
                <c:formatCode>General</c:formatCode>
                <c:ptCount val="26"/>
              </c:numCache>
            </c:numRef>
          </c:val>
        </c:ser>
        <c:gapWidth val="100"/>
        <c:overlap val="0"/>
        <c:axId val="72158475"/>
        <c:axId val="59437825"/>
      </c:barChart>
      <c:catAx>
        <c:axId val="721584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697992363591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437825"/>
        <c:crosses val="autoZero"/>
        <c:auto val="1"/>
        <c:lblAlgn val="ctr"/>
        <c:lblOffset val="100"/>
        <c:noMultiLvlLbl val="0"/>
      </c:catAx>
      <c:valAx>
        <c:axId val="59437825"/>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Hours Worked</a:t>
                </a:r>
              </a:p>
            </c:rich>
          </c:tx>
          <c:layout>
            <c:manualLayout>
              <c:xMode val="edge"/>
              <c:yMode val="edge"/>
              <c:x val="0.431039242752909"/>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2158475"/>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936107276671"/>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FTER!$C$4:$C$29</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FTER!$D$4:$D$29</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FTER!$E$4:$E$29</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FTER!$F$4:$F$29</c:f>
              <c:numCache>
                <c:formatCode>0.00%</c:formatCode>
                <c:ptCount val="26"/>
              </c:numCache>
            </c:numRef>
          </c:val>
        </c:ser>
        <c:gapWidth val="100"/>
        <c:overlap val="0"/>
        <c:axId val="55319217"/>
        <c:axId val="10969928"/>
      </c:barChart>
      <c:catAx>
        <c:axId val="5531921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70291907870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969928"/>
        <c:crosses val="autoZero"/>
        <c:auto val="1"/>
        <c:lblAlgn val="ctr"/>
        <c:lblOffset val="100"/>
        <c:noMultiLvlLbl val="0"/>
      </c:catAx>
      <c:valAx>
        <c:axId val="1096992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94202326957"/>
              <c:y val="0.96915876339450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319217"/>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43936107276671"/>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FTER!$C$2</c:f>
              <c:strCache>
                <c:ptCount val="1"/>
                <c:pt idx="0">
                  <c:v>Full-Time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FTER!$C$30:$C$55</c:f>
              <c:numCache>
                <c:formatCode>0.00%</c:formatCode>
                <c:ptCount val="26"/>
              </c:numCache>
            </c:numRef>
          </c:val>
        </c:ser>
        <c:ser>
          <c:idx val="1"/>
          <c:order val="1"/>
          <c:tx>
            <c:strRef>
              <c:f>FTER!$D$2</c:f>
              <c:strCache>
                <c:ptCount val="1"/>
                <c:pt idx="0">
                  <c:v>Authorized Immigrant Full-Time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FTER!$D$30:$D$55</c:f>
              <c:numCache>
                <c:formatCode>0.00%</c:formatCode>
                <c:ptCount val="26"/>
              </c:numCache>
            </c:numRef>
          </c:val>
        </c:ser>
        <c:ser>
          <c:idx val="2"/>
          <c:order val="2"/>
          <c:tx>
            <c:strRef>
              <c:f>FTER!$E$2</c:f>
              <c:strCache>
                <c:ptCount val="1"/>
                <c:pt idx="0">
                  <c:v>Unauthorized Immigrant Full-Time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FTER!$E$30:$E$55</c:f>
              <c:numCache>
                <c:formatCode>0.00%</c:formatCode>
                <c:ptCount val="26"/>
              </c:numCache>
            </c:numRef>
          </c:val>
        </c:ser>
        <c:ser>
          <c:idx val="3"/>
          <c:order val="3"/>
          <c:tx>
            <c:strRef>
              <c:f>FTER!$F$2</c:f>
              <c:strCache>
                <c:ptCount val="1"/>
                <c:pt idx="0">
                  <c:v>American Full-Time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FTER!$F$30:$F$55</c:f>
              <c:numCache>
                <c:formatCode>0.00%</c:formatCode>
                <c:ptCount val="26"/>
              </c:numCache>
            </c:numRef>
          </c:val>
        </c:ser>
        <c:gapWidth val="100"/>
        <c:overlap val="0"/>
        <c:axId val="41177868"/>
        <c:axId val="96134181"/>
      </c:barChart>
      <c:catAx>
        <c:axId val="411778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69552900603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6134181"/>
        <c:crosses val="autoZero"/>
        <c:auto val="1"/>
        <c:lblAlgn val="ctr"/>
        <c:lblOffset val="100"/>
        <c:noMultiLvlLbl val="0"/>
      </c:catAx>
      <c:valAx>
        <c:axId val="9613418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1394202326957"/>
              <c:y val="0.96915876339450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177868"/>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97554722934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PTER!$C$4:$C$29</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PTER!$D$4:$D$29</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PTER!$E$4:$E$29</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PTER!$F$4:$F$29</c:f>
              <c:numCache>
                <c:formatCode>0.00%</c:formatCode>
                <c:ptCount val="26"/>
              </c:numCache>
            </c:numRef>
          </c:val>
        </c:ser>
        <c:gapWidth val="100"/>
        <c:overlap val="0"/>
        <c:axId val="88426873"/>
        <c:axId val="20296556"/>
      </c:barChart>
      <c:catAx>
        <c:axId val="8842687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697992363591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0296556"/>
        <c:crosses val="autoZero"/>
        <c:auto val="1"/>
        <c:lblAlgn val="ctr"/>
        <c:lblOffset val="100"/>
        <c:noMultiLvlLbl val="0"/>
      </c:catAx>
      <c:valAx>
        <c:axId val="2029655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078682705581"/>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426873"/>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Part-Time Employment Rate</a:t>
            </a:r>
          </a:p>
        </c:rich>
      </c:tx>
      <c:layout>
        <c:manualLayout>
          <c:xMode val="edge"/>
          <c:yMode val="edge"/>
          <c:x val="0.243975547229343"/>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PTER!$C$2</c:f>
              <c:strCache>
                <c:ptCount val="1"/>
                <c:pt idx="0">
                  <c:v>Part-Time Employment Rate</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PTER!$C$30:$C$55</c:f>
              <c:numCache>
                <c:formatCode>0.00%</c:formatCode>
                <c:ptCount val="26"/>
              </c:numCache>
            </c:numRef>
          </c:val>
        </c:ser>
        <c:ser>
          <c:idx val="1"/>
          <c:order val="1"/>
          <c:tx>
            <c:strRef>
              <c:f>PTER!$D$2</c:f>
              <c:strCache>
                <c:ptCount val="1"/>
                <c:pt idx="0">
                  <c:v>Authorized Immigrant Part-Time Employment Rate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PTER!$D$30:$D$55</c:f>
              <c:numCache>
                <c:formatCode>0.00%</c:formatCode>
                <c:ptCount val="26"/>
              </c:numCache>
            </c:numRef>
          </c:val>
        </c:ser>
        <c:ser>
          <c:idx val="2"/>
          <c:order val="2"/>
          <c:tx>
            <c:strRef>
              <c:f>PTER!$E$2</c:f>
              <c:strCache>
                <c:ptCount val="1"/>
                <c:pt idx="0">
                  <c:v>Unauthorized Immigrant Part-Time Employment Rate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PTER!$E$30:$E$55</c:f>
              <c:numCache>
                <c:formatCode>0.00%</c:formatCode>
                <c:ptCount val="26"/>
              </c:numCache>
            </c:numRef>
          </c:val>
        </c:ser>
        <c:ser>
          <c:idx val="3"/>
          <c:order val="3"/>
          <c:tx>
            <c:strRef>
              <c:f>PTER!$F$2</c:f>
              <c:strCache>
                <c:ptCount val="1"/>
                <c:pt idx="0">
                  <c:v>American Part-Time Employment Rate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PTER!$F$30:$F$55</c:f>
              <c:numCache>
                <c:formatCode>0.00%</c:formatCode>
                <c:ptCount val="26"/>
              </c:numCache>
            </c:numRef>
          </c:val>
        </c:ser>
        <c:gapWidth val="100"/>
        <c:overlap val="0"/>
        <c:axId val="74579968"/>
        <c:axId val="28293534"/>
      </c:barChart>
      <c:catAx>
        <c:axId val="7457996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693065648478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8293534"/>
        <c:crosses val="autoZero"/>
        <c:auto val="1"/>
        <c:lblAlgn val="ctr"/>
        <c:lblOffset val="100"/>
        <c:noMultiLvlLbl val="0"/>
      </c:catAx>
      <c:valAx>
        <c:axId val="2829353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Part-Time Employment Rate</a:t>
                </a:r>
              </a:p>
            </c:rich>
          </c:tx>
          <c:layout>
            <c:manualLayout>
              <c:xMode val="edge"/>
              <c:yMode val="edge"/>
              <c:x val="0.431078682705581"/>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579968"/>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014987182015"/>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81619979"/>
        <c:axId val="36892744"/>
      </c:barChart>
      <c:catAx>
        <c:axId val="8161997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695529006035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6892744"/>
        <c:crosses val="autoZero"/>
        <c:auto val="1"/>
        <c:lblAlgn val="ctr"/>
        <c:lblOffset val="100"/>
        <c:noMultiLvlLbl val="0"/>
      </c:catAx>
      <c:valAx>
        <c:axId val="3689274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078682705581"/>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1619979"/>
        <c:crosses val="max"/>
        <c:crossBetween val="midCat"/>
      </c:valAx>
      <c:spPr>
        <a:noFill/>
        <a:ln w="0">
          <a:solidFill>
            <a:srgbClr val="b3b3b3"/>
          </a:solidFill>
        </a:ln>
      </c:spPr>
    </c:plotArea>
    <c:legend>
      <c:legendPos val="r"/>
      <c:layout>
        <c:manualLayout>
          <c:xMode val="edge"/>
          <c:yMode val="edge"/>
          <c:x val="0.804242400346962"/>
          <c:y val="0.0766692116346083"/>
          <c:w val="0.170057566437978"/>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014987182015"/>
          <c:y val="0.0113807119103338"/>
        </c:manualLayout>
      </c:layout>
      <c:overlay val="0"/>
      <c:spPr>
        <a:noFill/>
        <a:ln w="0">
          <a:noFill/>
        </a:ln>
      </c:spPr>
    </c:title>
    <c:autoTitleDeleted val="0"/>
    <c:plotArea>
      <c:layout>
        <c:manualLayout>
          <c:layoutTarget val="inner"/>
          <c:xMode val="edge"/>
          <c:yMode val="edge"/>
          <c:x val="0.298954841254191"/>
          <c:y val="0.0469023278728908"/>
          <c:w val="0.470203115756261"/>
          <c:h val="0.873949993841606"/>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54864808"/>
        <c:axId val="6753657"/>
      </c:barChart>
      <c:catAx>
        <c:axId val="5486480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11003746795504"/>
              <c:y val="0.47690602290922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753657"/>
        <c:crosses val="autoZero"/>
        <c:auto val="1"/>
        <c:lblAlgn val="ctr"/>
        <c:lblOffset val="100"/>
        <c:noMultiLvlLbl val="0"/>
      </c:catAx>
      <c:valAx>
        <c:axId val="675365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1078682705581"/>
              <c:y val="0.969158763394507"/>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4864808"/>
        <c:crosses val="max"/>
        <c:crossBetween val="midCat"/>
      </c:valAx>
      <c:spPr>
        <a:noFill/>
        <a:ln w="0">
          <a:solidFill>
            <a:srgbClr val="b3b3b3"/>
          </a:solidFill>
        </a:ln>
      </c:spPr>
    </c:plotArea>
    <c:legend>
      <c:legendPos val="r"/>
      <c:layout>
        <c:manualLayout>
          <c:xMode val="edge"/>
          <c:yMode val="edge"/>
          <c:x val="0.804202972834444"/>
          <c:y val="0.0766692116346083"/>
          <c:w val="0.169978708303762"/>
          <c:h val="0.11166937589281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8.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9.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_rels/drawing10.xml.rels><?xml version="1.0" encoding="UTF-8"?>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
</Relationships>
</file>

<file path=xl/drawings/_rels/drawing11.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12.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_rels/drawing13.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14.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15.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_rels/drawing16.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
</Relationships>
</file>

<file path=xl/drawings/_rels/drawing17.xml.rels><?xml version="1.0" encoding="UTF-8"?>
<Relationships xmlns="http://schemas.openxmlformats.org/package/2006/relationships"><Relationship Id="rId1" Type="http://schemas.openxmlformats.org/officeDocument/2006/relationships/chart" Target="../charts/chart27.xml"/><Relationship Id="rId2" Type="http://schemas.openxmlformats.org/officeDocument/2006/relationships/chart" Target="../charts/chart28.xml"/>
</Relationships>
</file>

<file path=xl/drawings/_rels/drawing18.xml.rels><?xml version="1.0" encoding="UTF-8"?>
<Relationships xmlns="http://schemas.openxmlformats.org/package/2006/relationships"><Relationship Id="rId1" Type="http://schemas.openxmlformats.org/officeDocument/2006/relationships/chart" Target="../charts/chart29.xml"/><Relationship Id="rId2" Type="http://schemas.openxmlformats.org/officeDocument/2006/relationships/chart" Target="../charts/chart3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36720</xdr:rowOff>
    </xdr:from>
    <xdr:to>
      <xdr:col>7</xdr:col>
      <xdr:colOff>381960</xdr:colOff>
      <xdr:row>119</xdr:row>
      <xdr:rowOff>35640</xdr:rowOff>
    </xdr:to>
    <xdr:graphicFrame>
      <xdr:nvGraphicFramePr>
        <xdr:cNvPr id="1" name=""/>
        <xdr:cNvGraphicFramePr/>
      </xdr:nvGraphicFramePr>
      <xdr:xfrm>
        <a:off x="914400" y="6858000"/>
        <a:ext cx="914040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31</xdr:row>
      <xdr:rowOff>133920</xdr:rowOff>
    </xdr:from>
    <xdr:to>
      <xdr:col>7</xdr:col>
      <xdr:colOff>56880</xdr:colOff>
      <xdr:row>121</xdr:row>
      <xdr:rowOff>132840</xdr:rowOff>
    </xdr:to>
    <xdr:graphicFrame>
      <xdr:nvGraphicFramePr>
        <xdr:cNvPr id="2" name=""/>
        <xdr:cNvGraphicFramePr/>
      </xdr:nvGraphicFramePr>
      <xdr:xfrm>
        <a:off x="914400" y="7279560"/>
        <a:ext cx="914004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6</xdr:col>
      <xdr:colOff>594720</xdr:colOff>
      <xdr:row>119</xdr:row>
      <xdr:rowOff>34560</xdr:rowOff>
    </xdr:to>
    <xdr:graphicFrame>
      <xdr:nvGraphicFramePr>
        <xdr:cNvPr id="3" name=""/>
        <xdr:cNvGraphicFramePr/>
      </xdr:nvGraphicFramePr>
      <xdr:xfrm>
        <a:off x="914400" y="6858000"/>
        <a:ext cx="9142920" cy="1462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221400</xdr:colOff>
      <xdr:row>119</xdr:row>
      <xdr:rowOff>35280</xdr:rowOff>
    </xdr:to>
    <xdr:graphicFrame>
      <xdr:nvGraphicFramePr>
        <xdr:cNvPr id="4" name=""/>
        <xdr:cNvGraphicFramePr/>
      </xdr:nvGraphicFramePr>
      <xdr:xfrm>
        <a:off x="914400" y="6858000"/>
        <a:ext cx="9144360" cy="14630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36360</xdr:rowOff>
    </xdr:from>
    <xdr:to>
      <xdr:col>7</xdr:col>
      <xdr:colOff>221400</xdr:colOff>
      <xdr:row>119</xdr:row>
      <xdr:rowOff>36000</xdr:rowOff>
    </xdr:to>
    <xdr:graphicFrame>
      <xdr:nvGraphicFramePr>
        <xdr:cNvPr id="5" name=""/>
        <xdr:cNvGraphicFramePr/>
      </xdr:nvGraphicFramePr>
      <xdr:xfrm>
        <a:off x="914400" y="6858000"/>
        <a:ext cx="9143640" cy="14630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29</xdr:row>
      <xdr:rowOff>38880</xdr:rowOff>
    </xdr:from>
    <xdr:to>
      <xdr:col>7</xdr:col>
      <xdr:colOff>58680</xdr:colOff>
      <xdr:row>119</xdr:row>
      <xdr:rowOff>38520</xdr:rowOff>
    </xdr:to>
    <xdr:graphicFrame>
      <xdr:nvGraphicFramePr>
        <xdr:cNvPr id="6" name=""/>
        <xdr:cNvGraphicFramePr/>
      </xdr:nvGraphicFramePr>
      <xdr:xfrm>
        <a:off x="914400" y="6858000"/>
        <a:ext cx="9143640" cy="14630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804600</xdr:colOff>
      <xdr:row>60</xdr:row>
      <xdr:rowOff>720</xdr:rowOff>
    </xdr:from>
    <xdr:to>
      <xdr:col>6</xdr:col>
      <xdr:colOff>1119600</xdr:colOff>
      <xdr:row>149</xdr:row>
      <xdr:rowOff>146520</xdr:rowOff>
    </xdr:to>
    <xdr:graphicFrame>
      <xdr:nvGraphicFramePr>
        <xdr:cNvPr id="7" name=""/>
        <xdr:cNvGraphicFramePr/>
      </xdr:nvGraphicFramePr>
      <xdr:xfrm>
        <a:off x="804600" y="1003680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9720</xdr:rowOff>
    </xdr:from>
    <xdr:to>
      <xdr:col>6</xdr:col>
      <xdr:colOff>1119600</xdr:colOff>
      <xdr:row>244</xdr:row>
      <xdr:rowOff>155880</xdr:rowOff>
    </xdr:to>
    <xdr:graphicFrame>
      <xdr:nvGraphicFramePr>
        <xdr:cNvPr id="8" name=""/>
        <xdr:cNvGraphicFramePr/>
      </xdr:nvGraphicFramePr>
      <xdr:xfrm>
        <a:off x="804600" y="254890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59</xdr:row>
      <xdr:rowOff>158400</xdr:rowOff>
    </xdr:from>
    <xdr:to>
      <xdr:col>6</xdr:col>
      <xdr:colOff>1119960</xdr:colOff>
      <xdr:row>149</xdr:row>
      <xdr:rowOff>141840</xdr:rowOff>
    </xdr:to>
    <xdr:graphicFrame>
      <xdr:nvGraphicFramePr>
        <xdr:cNvPr id="9" name=""/>
        <xdr:cNvGraphicFramePr/>
      </xdr:nvGraphicFramePr>
      <xdr:xfrm>
        <a:off x="804960" y="1017432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1119600</xdr:colOff>
      <xdr:row>244</xdr:row>
      <xdr:rowOff>153000</xdr:rowOff>
    </xdr:to>
    <xdr:graphicFrame>
      <xdr:nvGraphicFramePr>
        <xdr:cNvPr id="10" name=""/>
        <xdr:cNvGraphicFramePr/>
      </xdr:nvGraphicFramePr>
      <xdr:xfrm>
        <a:off x="804600" y="2562876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60</xdr:row>
      <xdr:rowOff>20160</xdr:rowOff>
    </xdr:from>
    <xdr:to>
      <xdr:col>6</xdr:col>
      <xdr:colOff>1132200</xdr:colOff>
      <xdr:row>150</xdr:row>
      <xdr:rowOff>3600</xdr:rowOff>
    </xdr:to>
    <xdr:graphicFrame>
      <xdr:nvGraphicFramePr>
        <xdr:cNvPr id="11" name=""/>
        <xdr:cNvGraphicFramePr/>
      </xdr:nvGraphicFramePr>
      <xdr:xfrm>
        <a:off x="817200" y="1019844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7200</xdr:rowOff>
    </xdr:from>
    <xdr:to>
      <xdr:col>6</xdr:col>
      <xdr:colOff>1119600</xdr:colOff>
      <xdr:row>244</xdr:row>
      <xdr:rowOff>153000</xdr:rowOff>
    </xdr:to>
    <xdr:graphicFrame>
      <xdr:nvGraphicFramePr>
        <xdr:cNvPr id="12" name=""/>
        <xdr:cNvGraphicFramePr/>
      </xdr:nvGraphicFramePr>
      <xdr:xfrm>
        <a:off x="804600" y="2562876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1080</xdr:rowOff>
    </xdr:from>
    <xdr:to>
      <xdr:col>7</xdr:col>
      <xdr:colOff>258120</xdr:colOff>
      <xdr:row>149</xdr:row>
      <xdr:rowOff>146880</xdr:rowOff>
    </xdr:to>
    <xdr:graphicFrame>
      <xdr:nvGraphicFramePr>
        <xdr:cNvPr id="13" name=""/>
        <xdr:cNvGraphicFramePr/>
      </xdr:nvGraphicFramePr>
      <xdr:xfrm>
        <a:off x="804960" y="1031976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18720</xdr:rowOff>
    </xdr:from>
    <xdr:to>
      <xdr:col>7</xdr:col>
      <xdr:colOff>257760</xdr:colOff>
      <xdr:row>245</xdr:row>
      <xdr:rowOff>2160</xdr:rowOff>
    </xdr:to>
    <xdr:graphicFrame>
      <xdr:nvGraphicFramePr>
        <xdr:cNvPr id="14" name=""/>
        <xdr:cNvGraphicFramePr/>
      </xdr:nvGraphicFramePr>
      <xdr:xfrm>
        <a:off x="804600" y="257806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59</xdr:row>
      <xdr:rowOff>161280</xdr:rowOff>
    </xdr:from>
    <xdr:to>
      <xdr:col>7</xdr:col>
      <xdr:colOff>270360</xdr:colOff>
      <xdr:row>149</xdr:row>
      <xdr:rowOff>144720</xdr:rowOff>
    </xdr:to>
    <xdr:graphicFrame>
      <xdr:nvGraphicFramePr>
        <xdr:cNvPr id="15" name=""/>
        <xdr:cNvGraphicFramePr/>
      </xdr:nvGraphicFramePr>
      <xdr:xfrm>
        <a:off x="979560" y="1017540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155</xdr:row>
      <xdr:rowOff>21240</xdr:rowOff>
    </xdr:from>
    <xdr:to>
      <xdr:col>7</xdr:col>
      <xdr:colOff>262080</xdr:colOff>
      <xdr:row>245</xdr:row>
      <xdr:rowOff>4680</xdr:rowOff>
    </xdr:to>
    <xdr:graphicFrame>
      <xdr:nvGraphicFramePr>
        <xdr:cNvPr id="16" name=""/>
        <xdr:cNvGraphicFramePr/>
      </xdr:nvGraphicFramePr>
      <xdr:xfrm>
        <a:off x="971280" y="2564100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60</xdr:row>
      <xdr:rowOff>1440</xdr:rowOff>
    </xdr:from>
    <xdr:to>
      <xdr:col>7</xdr:col>
      <xdr:colOff>262080</xdr:colOff>
      <xdr:row>149</xdr:row>
      <xdr:rowOff>147240</xdr:rowOff>
    </xdr:to>
    <xdr:graphicFrame>
      <xdr:nvGraphicFramePr>
        <xdr:cNvPr id="17" name=""/>
        <xdr:cNvGraphicFramePr/>
      </xdr:nvGraphicFramePr>
      <xdr:xfrm>
        <a:off x="971280" y="1017792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21960</xdr:rowOff>
    </xdr:from>
    <xdr:to>
      <xdr:col>7</xdr:col>
      <xdr:colOff>262080</xdr:colOff>
      <xdr:row>246</xdr:row>
      <xdr:rowOff>5400</xdr:rowOff>
    </xdr:to>
    <xdr:graphicFrame>
      <xdr:nvGraphicFramePr>
        <xdr:cNvPr id="18" name=""/>
        <xdr:cNvGraphicFramePr/>
      </xdr:nvGraphicFramePr>
      <xdr:xfrm>
        <a:off x="971280" y="258040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262440</xdr:colOff>
      <xdr:row>150</xdr:row>
      <xdr:rowOff>15480</xdr:rowOff>
    </xdr:to>
    <xdr:graphicFrame>
      <xdr:nvGraphicFramePr>
        <xdr:cNvPr id="19" name=""/>
        <xdr:cNvGraphicFramePr/>
      </xdr:nvGraphicFramePr>
      <xdr:xfrm>
        <a:off x="971640" y="1020852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266400</xdr:colOff>
      <xdr:row>246</xdr:row>
      <xdr:rowOff>81720</xdr:rowOff>
    </xdr:to>
    <xdr:graphicFrame>
      <xdr:nvGraphicFramePr>
        <xdr:cNvPr id="20" name=""/>
        <xdr:cNvGraphicFramePr/>
      </xdr:nvGraphicFramePr>
      <xdr:xfrm>
        <a:off x="975600" y="2588040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32040</xdr:rowOff>
    </xdr:from>
    <xdr:to>
      <xdr:col>7</xdr:col>
      <xdr:colOff>262440</xdr:colOff>
      <xdr:row>150</xdr:row>
      <xdr:rowOff>15480</xdr:rowOff>
    </xdr:to>
    <xdr:graphicFrame>
      <xdr:nvGraphicFramePr>
        <xdr:cNvPr id="21" name=""/>
        <xdr:cNvGraphicFramePr/>
      </xdr:nvGraphicFramePr>
      <xdr:xfrm>
        <a:off x="971640" y="1020600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98280</xdr:rowOff>
    </xdr:from>
    <xdr:to>
      <xdr:col>7</xdr:col>
      <xdr:colOff>266400</xdr:colOff>
      <xdr:row>246</xdr:row>
      <xdr:rowOff>81720</xdr:rowOff>
    </xdr:to>
    <xdr:graphicFrame>
      <xdr:nvGraphicFramePr>
        <xdr:cNvPr id="22" name=""/>
        <xdr:cNvGraphicFramePr/>
      </xdr:nvGraphicFramePr>
      <xdr:xfrm>
        <a:off x="975600" y="258778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60</xdr:row>
      <xdr:rowOff>12960</xdr:rowOff>
    </xdr:from>
    <xdr:to>
      <xdr:col>7</xdr:col>
      <xdr:colOff>262440</xdr:colOff>
      <xdr:row>149</xdr:row>
      <xdr:rowOff>158760</xdr:rowOff>
    </xdr:to>
    <xdr:graphicFrame>
      <xdr:nvGraphicFramePr>
        <xdr:cNvPr id="23" name=""/>
        <xdr:cNvGraphicFramePr/>
      </xdr:nvGraphicFramePr>
      <xdr:xfrm>
        <a:off x="971640" y="1019124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79200</xdr:rowOff>
    </xdr:from>
    <xdr:to>
      <xdr:col>7</xdr:col>
      <xdr:colOff>266400</xdr:colOff>
      <xdr:row>246</xdr:row>
      <xdr:rowOff>62640</xdr:rowOff>
    </xdr:to>
    <xdr:graphicFrame>
      <xdr:nvGraphicFramePr>
        <xdr:cNvPr id="24" name=""/>
        <xdr:cNvGraphicFramePr/>
      </xdr:nvGraphicFramePr>
      <xdr:xfrm>
        <a:off x="975600" y="258634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262440</xdr:colOff>
      <xdr:row>149</xdr:row>
      <xdr:rowOff>72720</xdr:rowOff>
    </xdr:to>
    <xdr:graphicFrame>
      <xdr:nvGraphicFramePr>
        <xdr:cNvPr id="25" name=""/>
        <xdr:cNvGraphicFramePr/>
      </xdr:nvGraphicFramePr>
      <xdr:xfrm>
        <a:off x="971640" y="1010520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266400</xdr:colOff>
      <xdr:row>245</xdr:row>
      <xdr:rowOff>138960</xdr:rowOff>
    </xdr:to>
    <xdr:graphicFrame>
      <xdr:nvGraphicFramePr>
        <xdr:cNvPr id="26" name=""/>
        <xdr:cNvGraphicFramePr/>
      </xdr:nvGraphicFramePr>
      <xdr:xfrm>
        <a:off x="975600" y="257770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89280</xdr:rowOff>
    </xdr:from>
    <xdr:to>
      <xdr:col>7</xdr:col>
      <xdr:colOff>262440</xdr:colOff>
      <xdr:row>149</xdr:row>
      <xdr:rowOff>72720</xdr:rowOff>
    </xdr:to>
    <xdr:graphicFrame>
      <xdr:nvGraphicFramePr>
        <xdr:cNvPr id="27" name=""/>
        <xdr:cNvGraphicFramePr/>
      </xdr:nvGraphicFramePr>
      <xdr:xfrm>
        <a:off x="971640" y="1010520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155</xdr:row>
      <xdr:rowOff>155520</xdr:rowOff>
    </xdr:from>
    <xdr:to>
      <xdr:col>7</xdr:col>
      <xdr:colOff>266400</xdr:colOff>
      <xdr:row>245</xdr:row>
      <xdr:rowOff>138960</xdr:rowOff>
    </xdr:to>
    <xdr:graphicFrame>
      <xdr:nvGraphicFramePr>
        <xdr:cNvPr id="28" name=""/>
        <xdr:cNvGraphicFramePr/>
      </xdr:nvGraphicFramePr>
      <xdr:xfrm>
        <a:off x="975600" y="257770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262440</xdr:colOff>
      <xdr:row>149</xdr:row>
      <xdr:rowOff>93960</xdr:rowOff>
    </xdr:to>
    <xdr:graphicFrame>
      <xdr:nvGraphicFramePr>
        <xdr:cNvPr id="29" name=""/>
        <xdr:cNvGraphicFramePr/>
      </xdr:nvGraphicFramePr>
      <xdr:xfrm>
        <a:off x="971640" y="9984240"/>
        <a:ext cx="9127440" cy="1461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266400</xdr:colOff>
      <xdr:row>245</xdr:row>
      <xdr:rowOff>160560</xdr:rowOff>
    </xdr:to>
    <xdr:graphicFrame>
      <xdr:nvGraphicFramePr>
        <xdr:cNvPr id="30" name=""/>
        <xdr:cNvGraphicFramePr/>
      </xdr:nvGraphicFramePr>
      <xdr:xfrm>
        <a:off x="975600" y="25656480"/>
        <a:ext cx="9127440" cy="1461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7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3" activeCellId="0" sqref="C3"/>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1" collapsed="false">
      <c r="A2" s="4" t="s">
        <v>3</v>
      </c>
      <c r="B2" s="5" t="s">
        <v>4</v>
      </c>
      <c r="C2" s="5" t="s">
        <v>5</v>
      </c>
      <c r="D2" s="7"/>
    </row>
    <row r="3" customFormat="false" ht="12.8" hidden="false" customHeight="false" outlineLevel="1" collapsed="false">
      <c r="A3" s="8" t="str">
        <f aca="false">INVOKE!A$1</f>
        <v>LSD.REF.AL.INVOKE</v>
      </c>
      <c r="B3" s="9" t="str">
        <f aca="false">INVOKE!B$1</f>
        <v>Alabama Labor Statistic Logic Formulae</v>
      </c>
      <c r="C3" s="9" t="str">
        <f aca="false">INVOKE!C$1</f>
        <v>December 2025</v>
      </c>
      <c r="D3" s="7"/>
    </row>
    <row r="4" customFormat="false" ht="12.8" hidden="false" customHeight="false" outlineLevel="1" collapsed="false">
      <c r="A4" s="10" t="str">
        <f aca="false">FORM!A$1</f>
        <v>LSD.REF.AL.FORM</v>
      </c>
      <c r="B4" s="10" t="str">
        <f aca="false">FORM!B$1</f>
        <v>Alabama Labor Statistic Logic Interdependent Formulae</v>
      </c>
      <c r="C4" s="10" t="str">
        <f aca="false">FORM!C$1</f>
        <v>December, 2025</v>
      </c>
      <c r="D4" s="11"/>
    </row>
    <row r="5" customFormat="false" ht="12.8" hidden="false" customHeight="false" outlineLevel="1" collapsed="false">
      <c r="A5" s="12" t="str">
        <f aca="false">PARAM!A$1</f>
        <v>LSD.REF.AL.PARAM</v>
      </c>
      <c r="B5" s="12" t="str">
        <f aca="false">PARAM!B$1</f>
        <v>Alabama Labor Statistic Logic Interdependent Parameters</v>
      </c>
      <c r="C5" s="12" t="str">
        <f aca="false">PARAM!C$1</f>
        <v>December, 2025</v>
      </c>
      <c r="D5" s="11"/>
    </row>
    <row r="6" customFormat="false" ht="12.8" hidden="false" customHeight="false" outlineLevel="1" collapsed="false">
      <c r="A6" s="13" t="str">
        <f aca="false">CALC!A1</f>
        <v>LSD.RID.0.AL.CALC</v>
      </c>
      <c r="B6" s="13" t="str">
        <f aca="false">CALC!B1</f>
        <v>Alabama Labor Statistic Calculations</v>
      </c>
      <c r="C6" s="14" t="str">
        <f aca="false">CALC!C1</f>
        <v>December 2025</v>
      </c>
      <c r="D6" s="11"/>
    </row>
    <row r="7" customFormat="false" ht="12.8" hidden="false" customHeight="false" outlineLevel="1" collapsed="false">
      <c r="A7" s="15" t="e">
        <f aca="false">#REF!</f>
        <v>#REF!</v>
      </c>
      <c r="B7" s="15" t="e">
        <f aca="false">#REF!</f>
        <v>#REF!</v>
      </c>
      <c r="C7" s="16" t="e">
        <f aca="false">#REF!</f>
        <v>#REF!</v>
      </c>
      <c r="D7" s="11"/>
    </row>
    <row r="8" customFormat="false" ht="12.8" hidden="false" customHeight="false" outlineLevel="1" collapsed="false">
      <c r="A8" s="17" t="str">
        <f aca="false">LFP!A1</f>
        <v>LSD.RID.0.AL.LFP</v>
      </c>
      <c r="B8" s="17" t="str">
        <f aca="false">LFP!B1</f>
        <v>Alabama Labor Force Population</v>
      </c>
      <c r="C8" s="18" t="str">
        <f aca="false">LFP!C1</f>
        <v>December 2025</v>
      </c>
      <c r="D8" s="11"/>
    </row>
    <row r="9" customFormat="false" ht="12.8" hidden="false" customHeight="false" outlineLevel="1" collapsed="false">
      <c r="A9" s="19" t="str">
        <f aca="false">ETPR!A1</f>
        <v>LSD.RID.0.AL.ETPR</v>
      </c>
      <c r="B9" s="19" t="str">
        <f aca="false">ETPR!B1</f>
        <v>Alabama Employment-to-Population Ratio (ETPR)</v>
      </c>
      <c r="C9" s="20" t="str">
        <f aca="false">ETPR!C1</f>
        <v>December 2025</v>
      </c>
      <c r="D9" s="11"/>
    </row>
    <row r="10" customFormat="false" ht="12.8" hidden="false" customHeight="false" outlineLevel="1" collapsed="false">
      <c r="A10" s="21" t="str">
        <f aca="false">LFPR!A1</f>
        <v>LSD.RID.0.AL.LFPR</v>
      </c>
      <c r="B10" s="21" t="str">
        <f aca="false">LFPR!B1</f>
        <v>Alabama Labor Force Participation Rate (LFPR)</v>
      </c>
      <c r="C10" s="22" t="str">
        <f aca="false">LFPR!C1</f>
        <v>December 2025</v>
      </c>
      <c r="D10" s="11"/>
    </row>
    <row r="11" customFormat="false" ht="12.8" hidden="false" customHeight="false" outlineLevel="1" collapsed="false">
      <c r="A11" s="23" t="str">
        <f aca="false">U3R!A1</f>
        <v>LSD.RID.0.AL.U3R</v>
      </c>
      <c r="B11" s="23" t="str">
        <f aca="false">U3R!B1</f>
        <v>Alabama Unemployment Rate (U3R)</v>
      </c>
      <c r="C11" s="24" t="str">
        <f aca="false">U3R!C1</f>
        <v>December 2025</v>
      </c>
      <c r="D11" s="11"/>
    </row>
    <row r="12" customFormat="false" ht="12.8" hidden="false" customHeight="false" outlineLevel="1" collapsed="false">
      <c r="A12" s="25" t="str">
        <f aca="false">U6R!A1</f>
        <v>LSD.RID.0.AL.U6R</v>
      </c>
      <c r="B12" s="25" t="str">
        <f aca="false">U6R!B1</f>
        <v>Alabama Underemployment Rate (U6R)</v>
      </c>
      <c r="C12" s="26" t="str">
        <f aca="false">U6R!C1</f>
        <v>December 2025</v>
      </c>
      <c r="D12" s="11"/>
    </row>
    <row r="13" customFormat="false" ht="12.8" hidden="false" customHeight="false" outlineLevel="1" collapsed="false">
      <c r="A13" s="27" t="str">
        <f aca="false">WAVG!A1</f>
        <v>LSD.RID.0.AL.WAVG</v>
      </c>
      <c r="B13" s="27" t="str">
        <f aca="false">WAVG!B1</f>
        <v>Alabama Wage Average (WAVG)</v>
      </c>
      <c r="C13" s="28" t="str">
        <f aca="false">WAVG!C1</f>
        <v>December 2025</v>
      </c>
      <c r="D13" s="11"/>
    </row>
    <row r="14" customFormat="false" ht="12.8" hidden="false" customHeight="false" outlineLevel="1" collapsed="false">
      <c r="A14" s="29" t="str">
        <f aca="false">AIAVG!A1</f>
        <v>LSD.RID.0.AL.AIAVG</v>
      </c>
      <c r="B14" s="29" t="str">
        <f aca="false">AIAVG!B1</f>
        <v>Alabama Annual Income Average (AIAVG)</v>
      </c>
      <c r="C14" s="30" t="str">
        <f aca="false">AIAVG!C1</f>
        <v>December 2025</v>
      </c>
      <c r="D14" s="11"/>
    </row>
    <row r="15" customFormat="false" ht="12.8" hidden="false" customHeight="false" outlineLevel="1" collapsed="false">
      <c r="A15" s="31" t="str">
        <f aca="false">FPITREV!A1</f>
        <v>LSD.RID.0.AL.FPITREV</v>
      </c>
      <c r="B15" s="31" t="str">
        <f aca="false">FPITREV!B1</f>
        <v>Alabama Federal Personal Income Tax Revenue (FPITREV)</v>
      </c>
      <c r="C15" s="32" t="str">
        <f aca="false">FPITREV!C1</f>
        <v>December 2025</v>
      </c>
      <c r="D15" s="11"/>
    </row>
    <row r="16" customFormat="false" ht="12.8" hidden="false" customHeight="false" outlineLevel="1" collapsed="false">
      <c r="A16" s="33" t="str">
        <f aca="false">FPPTREV!A1</f>
        <v>LSD.RID.0.AL.FPPTR</v>
      </c>
      <c r="B16" s="33" t="str">
        <f aca="false">FPPTREV!B1</f>
        <v>Alabama Federal Personal Payrol Tax Revenue</v>
      </c>
      <c r="C16" s="34" t="str">
        <f aca="false">FPPTREV!C1</f>
        <v>December 2025</v>
      </c>
      <c r="D16" s="11"/>
    </row>
    <row r="17" customFormat="false" ht="12.8" hidden="false" customHeight="false" outlineLevel="1" collapsed="false">
      <c r="A17" s="35" t="str">
        <f aca="false">EITCREF!A1</f>
        <v>LSD.RID.0.AL.EITCREF</v>
      </c>
      <c r="B17" s="35" t="str">
        <f aca="false">EITCREF!B1</f>
        <v>Alabama Earned Income Tax Credit Refund</v>
      </c>
      <c r="C17" s="36" t="str">
        <f aca="false">EITCREF!C1</f>
        <v>December 2025</v>
      </c>
      <c r="D17" s="11"/>
    </row>
    <row r="18" customFormat="false" ht="12.8" hidden="false" customHeight="false" outlineLevel="1" collapsed="false">
      <c r="A18" s="37" t="str">
        <f aca="false">ACTCREF!A1</f>
        <v>LSD.RID.0.AL.ACTCREF</v>
      </c>
      <c r="B18" s="37" t="str">
        <f aca="false">ACTCREF!B1</f>
        <v>Alabama Additional Child Tax Credit Refund</v>
      </c>
      <c r="C18" s="38" t="str">
        <f aca="false">ACTCREF!C1</f>
        <v>December 2025</v>
      </c>
      <c r="D18" s="11"/>
    </row>
    <row r="19" customFormat="false" ht="12.8" hidden="false" customHeight="false" outlineLevel="1" collapsed="false">
      <c r="A19" s="15" t="str">
        <f aca="false">AOTCREF!A1</f>
        <v>LSD.RID.0.AL.AOTCREF</v>
      </c>
      <c r="B19" s="15" t="str">
        <f aca="false">AOTCREF!B1</f>
        <v>Alabama American Opportunity Tax Credit Refund</v>
      </c>
      <c r="C19" s="16" t="str">
        <f aca="false">AOTCREF!C1</f>
        <v>December 2025</v>
      </c>
      <c r="D19" s="11"/>
    </row>
    <row r="20" customFormat="false" ht="12.8" hidden="false" customHeight="false" outlineLevel="0" collapsed="false">
      <c r="A20" s="11"/>
      <c r="B20" s="11"/>
      <c r="C20" s="11"/>
      <c r="D20" s="11"/>
    </row>
    <row r="21" customFormat="false" ht="12.8" hidden="false" customHeight="false" outlineLevel="0" collapsed="false">
      <c r="A21" s="4" t="s">
        <v>6</v>
      </c>
      <c r="B21" s="7" t="s">
        <v>7</v>
      </c>
      <c r="C21" s="7" t="s">
        <v>8</v>
      </c>
    </row>
    <row r="22" customFormat="false" ht="12.8" hidden="false" customHeight="false" outlineLevel="1" collapsed="false">
      <c r="A22" s="4" t="s">
        <v>9</v>
      </c>
      <c r="B22" s="7" t="s">
        <v>10</v>
      </c>
      <c r="C22" s="7" t="s">
        <v>11</v>
      </c>
    </row>
    <row r="23" customFormat="false" ht="12.8" hidden="false" customHeight="false" outlineLevel="1" collapsed="false">
      <c r="A23" s="39" t="s">
        <v>12</v>
      </c>
      <c r="B23" s="2" t="s">
        <v>13</v>
      </c>
      <c r="C23" s="2" t="s">
        <v>14</v>
      </c>
    </row>
    <row r="24" customFormat="false" ht="12.8" hidden="false" customHeight="false" outlineLevel="1" collapsed="false">
      <c r="A24" s="39" t="s">
        <v>15</v>
      </c>
      <c r="B24" s="2" t="s">
        <v>16</v>
      </c>
      <c r="C24" s="2" t="s">
        <v>17</v>
      </c>
    </row>
    <row r="25" customFormat="false" ht="12.8" hidden="false" customHeight="false" outlineLevel="1" collapsed="false">
      <c r="A25" s="39" t="s">
        <v>18</v>
      </c>
      <c r="B25" s="2" t="s">
        <v>19</v>
      </c>
      <c r="C25" s="2" t="s">
        <v>20</v>
      </c>
    </row>
    <row r="26" customFormat="false" ht="12.8" hidden="false" customHeight="false" outlineLevel="1" collapsed="false">
      <c r="A26" s="39" t="s">
        <v>21</v>
      </c>
      <c r="B26" s="2" t="s">
        <v>22</v>
      </c>
      <c r="C26" s="2" t="s">
        <v>23</v>
      </c>
    </row>
    <row r="27" customFormat="false" ht="12.8" hidden="false" customHeight="false" outlineLevel="1" collapsed="false">
      <c r="A27" s="39" t="s">
        <v>24</v>
      </c>
      <c r="B27" s="2" t="s">
        <v>25</v>
      </c>
      <c r="C27" s="2" t="s">
        <v>26</v>
      </c>
    </row>
    <row r="28" customFormat="false" ht="12.8" hidden="false" customHeight="false" outlineLevel="1" collapsed="false">
      <c r="A28" s="39" t="s">
        <v>27</v>
      </c>
      <c r="B28" s="2" t="s">
        <v>28</v>
      </c>
      <c r="C28" s="2" t="s">
        <v>29</v>
      </c>
    </row>
    <row r="29" customFormat="false" ht="12.8" hidden="false" customHeight="false" outlineLevel="1" collapsed="false">
      <c r="A29" s="39" t="s">
        <v>30</v>
      </c>
      <c r="B29" s="2" t="s">
        <v>13</v>
      </c>
      <c r="C29" s="2" t="s">
        <v>14</v>
      </c>
    </row>
    <row r="30" customFormat="false" ht="12.8" hidden="false" customHeight="false" outlineLevel="1" collapsed="false">
      <c r="A30" s="39" t="s">
        <v>31</v>
      </c>
      <c r="B30" s="2" t="s">
        <v>32</v>
      </c>
      <c r="C30" s="2" t="s">
        <v>33</v>
      </c>
    </row>
    <row r="31" customFormat="false" ht="12.8" hidden="false" customHeight="false" outlineLevel="1" collapsed="false">
      <c r="A31" s="39" t="s">
        <v>34</v>
      </c>
      <c r="B31" s="2" t="s">
        <v>35</v>
      </c>
      <c r="C31" s="2" t="s">
        <v>36</v>
      </c>
    </row>
    <row r="32" customFormat="false" ht="12.8" hidden="false" customHeight="false" outlineLevel="1" collapsed="false">
      <c r="A32" s="39" t="s">
        <v>37</v>
      </c>
      <c r="B32" s="2" t="s">
        <v>38</v>
      </c>
      <c r="C32" s="2" t="s">
        <v>39</v>
      </c>
    </row>
    <row r="33" customFormat="false" ht="12.8" hidden="false" customHeight="false" outlineLevel="1" collapsed="false">
      <c r="A33" s="39" t="s">
        <v>40</v>
      </c>
      <c r="B33" s="2" t="s">
        <v>41</v>
      </c>
      <c r="C33" s="2" t="s">
        <v>42</v>
      </c>
    </row>
    <row r="34" customFormat="false" ht="12.8" hidden="false" customHeight="false" outlineLevel="1" collapsed="false">
      <c r="A34" s="39" t="s">
        <v>43</v>
      </c>
      <c r="B34" s="2" t="s">
        <v>44</v>
      </c>
      <c r="C34" s="2" t="s">
        <v>45</v>
      </c>
    </row>
    <row r="35" customFormat="false" ht="12.8" hidden="false" customHeight="false" outlineLevel="1" collapsed="false">
      <c r="A35" s="39" t="s">
        <v>46</v>
      </c>
      <c r="B35" s="2" t="s">
        <v>47</v>
      </c>
      <c r="C35" s="2" t="s">
        <v>48</v>
      </c>
    </row>
    <row r="36" customFormat="false" ht="12.8" hidden="false" customHeight="false" outlineLevel="1" collapsed="false">
      <c r="A36" s="39" t="s">
        <v>49</v>
      </c>
      <c r="B36" s="2" t="s">
        <v>50</v>
      </c>
      <c r="C36" s="2" t="s">
        <v>51</v>
      </c>
    </row>
    <row r="37" customFormat="false" ht="12.8" hidden="false" customHeight="false" outlineLevel="1" collapsed="false">
      <c r="A37" s="39" t="s">
        <v>52</v>
      </c>
      <c r="B37" s="2" t="s">
        <v>53</v>
      </c>
      <c r="C37" s="2" t="s">
        <v>54</v>
      </c>
    </row>
    <row r="38" customFormat="false" ht="12.8" hidden="false" customHeight="false" outlineLevel="1" collapsed="false">
      <c r="A38" s="39" t="s">
        <v>55</v>
      </c>
      <c r="B38" s="2" t="s">
        <v>56</v>
      </c>
      <c r="C38" s="2" t="s">
        <v>57</v>
      </c>
    </row>
    <row r="39" customFormat="false" ht="12.8" hidden="false" customHeight="false" outlineLevel="1" collapsed="false">
      <c r="A39" s="39" t="s">
        <v>58</v>
      </c>
      <c r="B39" s="2" t="s">
        <v>59</v>
      </c>
      <c r="C39" s="2" t="s">
        <v>60</v>
      </c>
    </row>
    <row r="40" customFormat="false" ht="12.8" hidden="false" customHeight="false" outlineLevel="1" collapsed="false">
      <c r="A40" s="39" t="s">
        <v>61</v>
      </c>
      <c r="B40" s="2" t="s">
        <v>62</v>
      </c>
      <c r="C40" s="2" t="s">
        <v>63</v>
      </c>
    </row>
    <row r="41" customFormat="false" ht="12.8" hidden="false" customHeight="false" outlineLevel="1" collapsed="false">
      <c r="A41" s="39" t="s">
        <v>64</v>
      </c>
      <c r="B41" s="2" t="s">
        <v>65</v>
      </c>
      <c r="C41" s="2" t="s">
        <v>66</v>
      </c>
    </row>
    <row r="42" customFormat="false" ht="12.8" hidden="false" customHeight="false" outlineLevel="1" collapsed="false">
      <c r="A42" s="39" t="s">
        <v>67</v>
      </c>
      <c r="B42" s="40" t="s">
        <v>68</v>
      </c>
      <c r="C42" s="2" t="s">
        <v>69</v>
      </c>
    </row>
    <row r="43" customFormat="false" ht="12.8" hidden="false" customHeight="false" outlineLevel="1" collapsed="false">
      <c r="A43" s="39" t="s">
        <v>70</v>
      </c>
      <c r="B43" s="40" t="s">
        <v>71</v>
      </c>
      <c r="C43" s="2" t="s">
        <v>72</v>
      </c>
    </row>
    <row r="44" customFormat="false" ht="12.8" hidden="false" customHeight="false" outlineLevel="1" collapsed="false">
      <c r="A44" s="39" t="s">
        <v>73</v>
      </c>
      <c r="B44" s="40" t="s">
        <v>74</v>
      </c>
      <c r="C44" s="2" t="s">
        <v>75</v>
      </c>
    </row>
    <row r="45" customFormat="false" ht="12.8" hidden="false" customHeight="false" outlineLevel="1" collapsed="false">
      <c r="A45" s="39" t="s">
        <v>76</v>
      </c>
      <c r="B45" s="40" t="s">
        <v>77</v>
      </c>
      <c r="C45" s="2" t="s">
        <v>78</v>
      </c>
    </row>
    <row r="46" customFormat="false" ht="12.8" hidden="false" customHeight="false" outlineLevel="1" collapsed="false">
      <c r="A46" s="39" t="s">
        <v>79</v>
      </c>
      <c r="B46" s="40" t="s">
        <v>80</v>
      </c>
      <c r="C46" s="2" t="s">
        <v>81</v>
      </c>
    </row>
    <row r="47" customFormat="false" ht="12.8" hidden="false" customHeight="false" outlineLevel="1" collapsed="false">
      <c r="A47" s="39" t="s">
        <v>82</v>
      </c>
      <c r="B47" s="40" t="s">
        <v>83</v>
      </c>
      <c r="C47" s="2" t="s">
        <v>84</v>
      </c>
    </row>
    <row r="48" customFormat="false" ht="12.8" hidden="false" customHeight="false" outlineLevel="1" collapsed="false">
      <c r="A48" s="39" t="s">
        <v>85</v>
      </c>
      <c r="B48" s="40" t="s">
        <v>86</v>
      </c>
      <c r="C48" s="2" t="s">
        <v>87</v>
      </c>
    </row>
    <row r="49" customFormat="false" ht="12.8" hidden="false" customHeight="false" outlineLevel="1" collapsed="false">
      <c r="A49" s="39" t="s">
        <v>88</v>
      </c>
      <c r="B49" s="40" t="s">
        <v>89</v>
      </c>
      <c r="C49" s="2" t="s">
        <v>90</v>
      </c>
    </row>
    <row r="50" customFormat="false" ht="12.8" hidden="false" customHeight="false" outlineLevel="1" collapsed="false">
      <c r="A50" s="39" t="s">
        <v>91</v>
      </c>
      <c r="B50" s="40" t="s">
        <v>92</v>
      </c>
      <c r="C50" s="2" t="s">
        <v>93</v>
      </c>
    </row>
    <row r="51" customFormat="false" ht="12.8" hidden="false" customHeight="false" outlineLevel="1" collapsed="false">
      <c r="A51" s="39" t="s">
        <v>94</v>
      </c>
      <c r="B51" s="40" t="s">
        <v>95</v>
      </c>
      <c r="C51" s="2" t="s">
        <v>96</v>
      </c>
    </row>
    <row r="52" customFormat="false" ht="12.8" hidden="false" customHeight="false" outlineLevel="1" collapsed="false">
      <c r="A52" s="39" t="s">
        <v>97</v>
      </c>
      <c r="B52" s="40" t="s">
        <v>98</v>
      </c>
      <c r="C52" s="2" t="s">
        <v>99</v>
      </c>
    </row>
    <row r="53" customFormat="false" ht="12.8" hidden="false" customHeight="false" outlineLevel="1" collapsed="false">
      <c r="A53" s="39" t="s">
        <v>100</v>
      </c>
      <c r="B53" s="2" t="s">
        <v>101</v>
      </c>
      <c r="C53" s="2" t="s">
        <v>102</v>
      </c>
    </row>
    <row r="54" customFormat="false" ht="12.8" hidden="false" customHeight="false" outlineLevel="1" collapsed="false">
      <c r="A54" s="39" t="s">
        <v>103</v>
      </c>
      <c r="B54" s="2" t="s">
        <v>104</v>
      </c>
      <c r="C54" s="2" t="s">
        <v>105</v>
      </c>
    </row>
    <row r="55" customFormat="false" ht="12.8" hidden="false" customHeight="false" outlineLevel="1" collapsed="false">
      <c r="A55" s="39" t="s">
        <v>106</v>
      </c>
      <c r="B55" s="2" t="s">
        <v>107</v>
      </c>
      <c r="C55" s="2" t="s">
        <v>108</v>
      </c>
    </row>
    <row r="56" customFormat="false" ht="12.8" hidden="false" customHeight="false" outlineLevel="1" collapsed="false">
      <c r="A56" s="39" t="s">
        <v>109</v>
      </c>
      <c r="B56" s="2" t="s">
        <v>110</v>
      </c>
      <c r="C56" s="2" t="s">
        <v>111</v>
      </c>
    </row>
    <row r="57" customFormat="false" ht="12.8" hidden="false" customHeight="false" outlineLevel="1" collapsed="false">
      <c r="A57" s="39" t="s">
        <v>112</v>
      </c>
      <c r="B57" s="2" t="s">
        <v>113</v>
      </c>
      <c r="C57" s="2" t="s">
        <v>114</v>
      </c>
    </row>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row r="68" s="3" customFormat="true" ht="12.8" hidden="false" customHeight="false" outlineLevel="0" collapsed="false"/>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row r="77"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2"/>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E4" activeCellId="0" sqref="E4"/>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s">
        <v>64</v>
      </c>
      <c r="B3" s="7" t="s">
        <v>122</v>
      </c>
      <c r="C3" s="7" t="s">
        <v>123</v>
      </c>
      <c r="D3" s="7" t="s">
        <v>124</v>
      </c>
      <c r="E3" s="7" t="s">
        <v>125</v>
      </c>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12.8" hidden="false" customHeight="false" outlineLevel="0" collapsed="false">
      <c r="A4" s="4" t="s">
        <v>64</v>
      </c>
      <c r="B4" s="7" t="s">
        <v>126</v>
      </c>
      <c r="C4" s="7" t="s">
        <v>127</v>
      </c>
      <c r="D4" s="7" t="s">
        <v>128</v>
      </c>
      <c r="E4" s="7" t="s">
        <v>129</v>
      </c>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113.4" hidden="false" customHeight="false" outlineLevel="0" collapsed="false">
      <c r="A5" s="4" t="n">
        <v>17</v>
      </c>
      <c r="B5" s="7" t="s">
        <v>7</v>
      </c>
      <c r="C5" s="44" t="s">
        <v>130</v>
      </c>
      <c r="D5" s="7" t="s">
        <v>131</v>
      </c>
      <c r="E5" s="39" t="s">
        <v>132</v>
      </c>
      <c r="F5" s="7"/>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80.55" hidden="false" customHeight="false" outlineLevel="0" collapsed="false">
      <c r="A6" s="4" t="n">
        <v>16</v>
      </c>
      <c r="B6" s="7" t="s">
        <v>133</v>
      </c>
      <c r="C6" s="44" t="s">
        <v>134</v>
      </c>
      <c r="D6" s="7" t="s">
        <v>135</v>
      </c>
      <c r="E6" s="39" t="s">
        <v>129</v>
      </c>
      <c r="F6" s="7"/>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58.2" hidden="false" customHeight="false" outlineLevel="0" collapsed="false">
      <c r="A7" s="4" t="n">
        <v>15</v>
      </c>
      <c r="B7" s="2" t="s">
        <v>136</v>
      </c>
      <c r="C7" s="44" t="s">
        <v>137</v>
      </c>
      <c r="D7" s="7" t="s">
        <v>138</v>
      </c>
      <c r="E7" s="7" t="s">
        <v>132</v>
      </c>
      <c r="F7" s="7"/>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2.8" hidden="false" customHeight="false" outlineLevel="0" collapsed="false">
      <c r="A8" s="4" t="n">
        <v>14</v>
      </c>
      <c r="B8" s="2" t="s">
        <v>136</v>
      </c>
      <c r="C8" s="7" t="s">
        <v>139</v>
      </c>
      <c r="D8" s="7" t="s">
        <v>140</v>
      </c>
      <c r="E8" s="7" t="s">
        <v>129</v>
      </c>
      <c r="F8" s="7"/>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4" t="n">
        <v>13</v>
      </c>
      <c r="B9" s="2" t="s">
        <v>136</v>
      </c>
      <c r="C9" s="7" t="s">
        <v>139</v>
      </c>
      <c r="D9" s="7" t="s">
        <v>141</v>
      </c>
      <c r="E9" s="7" t="s">
        <v>129</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58.2" hidden="false" customHeight="false" outlineLevel="0" collapsed="false">
      <c r="A10" s="4" t="n">
        <v>12</v>
      </c>
      <c r="B10" s="2" t="s">
        <v>136</v>
      </c>
      <c r="C10" s="45" t="s">
        <v>142</v>
      </c>
      <c r="D10" s="7" t="s">
        <v>143</v>
      </c>
      <c r="E10" s="46" t="s">
        <v>132</v>
      </c>
      <c r="F10" s="7"/>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020.1" hidden="false" customHeight="false" outlineLevel="0" collapsed="false">
      <c r="A11" s="1" t="n">
        <v>11</v>
      </c>
      <c r="B11" s="2" t="s">
        <v>136</v>
      </c>
      <c r="C11" s="45" t="s">
        <v>142</v>
      </c>
      <c r="D11" s="2" t="s">
        <v>144</v>
      </c>
      <c r="E11" s="2" t="s">
        <v>125</v>
      </c>
      <c r="F11" s="45" t="s">
        <v>145</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2.8" hidden="false" customHeight="false" outlineLevel="0" collapsed="false">
      <c r="A12" s="1" t="s">
        <v>40</v>
      </c>
      <c r="B12" s="2" t="s">
        <v>146</v>
      </c>
      <c r="C12" s="2" t="s">
        <v>147</v>
      </c>
      <c r="D12" s="2" t="s">
        <v>148</v>
      </c>
      <c r="E12" s="2" t="s">
        <v>132</v>
      </c>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47" hidden="false" customHeight="false" outlineLevel="0" collapsed="false">
      <c r="A13" s="1" t="s">
        <v>37</v>
      </c>
      <c r="B13" s="2" t="s">
        <v>7</v>
      </c>
      <c r="C13" s="45" t="s">
        <v>149</v>
      </c>
      <c r="D13" s="2" t="s">
        <v>150</v>
      </c>
      <c r="E13" s="46" t="s">
        <v>125</v>
      </c>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69.4" hidden="false" customHeight="false" outlineLevel="0" collapsed="false">
      <c r="A14" s="1" t="n">
        <v>8</v>
      </c>
      <c r="B14" s="2" t="s">
        <v>7</v>
      </c>
      <c r="C14" s="45" t="s">
        <v>151</v>
      </c>
      <c r="D14" s="2"/>
      <c r="E14" s="46" t="s">
        <v>132</v>
      </c>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69.4" hidden="false" customHeight="false" outlineLevel="0" collapsed="false">
      <c r="A15" s="1" t="n">
        <v>7</v>
      </c>
      <c r="B15" s="2" t="s">
        <v>7</v>
      </c>
      <c r="C15" s="45" t="s">
        <v>151</v>
      </c>
      <c r="D15" s="2" t="s">
        <v>150</v>
      </c>
      <c r="E15" s="46" t="s">
        <v>125</v>
      </c>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35.8" hidden="false" customHeight="false" outlineLevel="0" collapsed="false">
      <c r="A16" s="1" t="n">
        <v>6</v>
      </c>
      <c r="B16" s="2" t="s">
        <v>152</v>
      </c>
      <c r="C16" s="45" t="s">
        <v>153</v>
      </c>
      <c r="D16" s="2" t="s">
        <v>154</v>
      </c>
      <c r="E16" s="2" t="s">
        <v>125</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69.4" hidden="false" customHeight="false" outlineLevel="0" collapsed="false">
      <c r="A17" s="1" t="n">
        <v>5</v>
      </c>
      <c r="B17" s="2" t="s">
        <v>155</v>
      </c>
      <c r="C17" s="47" t="s">
        <v>156</v>
      </c>
      <c r="D17" s="2" t="s">
        <v>157</v>
      </c>
      <c r="E17" s="46" t="s">
        <v>132</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2.8" hidden="false" customHeight="false" outlineLevel="0" collapsed="false">
      <c r="A18" s="1" t="s">
        <v>24</v>
      </c>
      <c r="B18" s="2" t="s">
        <v>158</v>
      </c>
      <c r="C18" s="2" t="s">
        <v>159</v>
      </c>
      <c r="D18" s="2" t="s">
        <v>160</v>
      </c>
      <c r="E18" s="2" t="s">
        <v>125</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2.8" hidden="false" customHeight="false" outlineLevel="0" collapsed="false">
      <c r="A19" s="1" t="s">
        <v>21</v>
      </c>
      <c r="B19" s="2" t="s">
        <v>161</v>
      </c>
      <c r="C19" s="2" t="s">
        <v>159</v>
      </c>
      <c r="D19" s="2" t="s">
        <v>162</v>
      </c>
      <c r="E19" s="2" t="s">
        <v>129</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02.2" hidden="false" customHeight="false" outlineLevel="0" collapsed="false">
      <c r="A20" s="1" t="s">
        <v>18</v>
      </c>
      <c r="B20" s="2" t="s">
        <v>163</v>
      </c>
      <c r="C20" s="45" t="s">
        <v>164</v>
      </c>
      <c r="D20" s="2" t="s">
        <v>165</v>
      </c>
      <c r="E20" s="2" t="s">
        <v>132</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13.4" hidden="false" customHeight="false" outlineLevel="0" collapsed="false">
      <c r="A21" s="1" t="s">
        <v>15</v>
      </c>
      <c r="B21" s="2" t="s">
        <v>166</v>
      </c>
      <c r="C21" s="45" t="s">
        <v>167</v>
      </c>
      <c r="D21" s="2" t="s">
        <v>168</v>
      </c>
      <c r="E21" s="2" t="s">
        <v>125</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13.4" hidden="false" customHeight="false" outlineLevel="0" collapsed="false">
      <c r="A22" s="1" t="s">
        <v>12</v>
      </c>
      <c r="B22" s="2" t="s">
        <v>169</v>
      </c>
      <c r="C22" s="45" t="s">
        <v>167</v>
      </c>
      <c r="D22" s="2" t="s">
        <v>170</v>
      </c>
      <c r="E22" s="2" t="s">
        <v>132</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3" activeCellId="0" sqref="A23"/>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1" t="s">
        <v>171</v>
      </c>
      <c r="B1" s="39" t="s">
        <v>172</v>
      </c>
      <c r="C1" s="39" t="s">
        <v>173</v>
      </c>
      <c r="D1" s="39"/>
      <c r="E1" s="39"/>
      <c r="F1" s="39"/>
    </row>
    <row r="2" customFormat="false" ht="12.8" hidden="false" customHeight="false" outlineLevel="0" collapsed="false">
      <c r="A2" s="49" t="s">
        <v>174</v>
      </c>
      <c r="B2" s="49" t="s">
        <v>175</v>
      </c>
      <c r="C2" s="49" t="s">
        <v>176</v>
      </c>
      <c r="D2" s="49" t="s">
        <v>177</v>
      </c>
      <c r="E2" s="49" t="s">
        <v>178</v>
      </c>
      <c r="F2" s="49" t="s">
        <v>179</v>
      </c>
    </row>
    <row r="3" customFormat="false" ht="12.8" hidden="false" customHeight="false" outlineLevel="0" collapsed="false">
      <c r="A3" s="39" t="s">
        <v>180</v>
      </c>
      <c r="B3" s="39" t="s">
        <v>181</v>
      </c>
      <c r="C3" s="39" t="s">
        <v>182</v>
      </c>
      <c r="D3" s="39" t="s">
        <v>183</v>
      </c>
      <c r="E3" s="39" t="s">
        <v>184</v>
      </c>
      <c r="F3" s="39" t="s">
        <v>185</v>
      </c>
    </row>
    <row r="4" customFormat="false" ht="12.8" hidden="false" customHeight="false" outlineLevel="0" collapsed="false">
      <c r="A4" s="39" t="s">
        <v>186</v>
      </c>
      <c r="B4" s="39" t="s">
        <v>181</v>
      </c>
      <c r="C4" s="39" t="s">
        <v>187</v>
      </c>
      <c r="D4" s="39" t="s">
        <v>188</v>
      </c>
      <c r="E4" s="39" t="s">
        <v>189</v>
      </c>
      <c r="F4" s="39" t="s">
        <v>190</v>
      </c>
    </row>
    <row r="5" customFormat="false" ht="12.8" hidden="false" customHeight="false" outlineLevel="0" collapsed="false">
      <c r="A5" s="39" t="s">
        <v>191</v>
      </c>
      <c r="B5" s="39" t="s">
        <v>181</v>
      </c>
      <c r="C5" s="39" t="s">
        <v>192</v>
      </c>
      <c r="D5" s="39" t="s">
        <v>193</v>
      </c>
      <c r="E5" s="39" t="s">
        <v>194</v>
      </c>
      <c r="F5" s="39" t="s">
        <v>195</v>
      </c>
    </row>
    <row r="6" customFormat="false" ht="12.8" hidden="false" customHeight="false" outlineLevel="0" collapsed="false">
      <c r="A6" s="39" t="s">
        <v>196</v>
      </c>
      <c r="B6" s="39" t="s">
        <v>181</v>
      </c>
      <c r="C6" s="39" t="s">
        <v>197</v>
      </c>
      <c r="D6" s="39" t="s">
        <v>198</v>
      </c>
      <c r="E6" s="39" t="s">
        <v>199</v>
      </c>
      <c r="F6" s="39" t="s">
        <v>200</v>
      </c>
    </row>
    <row r="7" customFormat="false" ht="12.8" hidden="false" customHeight="false" outlineLevel="0" collapsed="false">
      <c r="A7" s="39" t="s">
        <v>201</v>
      </c>
      <c r="B7" s="39" t="s">
        <v>181</v>
      </c>
      <c r="C7" s="39" t="s">
        <v>202</v>
      </c>
      <c r="D7" s="39" t="s">
        <v>203</v>
      </c>
      <c r="E7" s="39" t="s">
        <v>204</v>
      </c>
      <c r="F7" s="39" t="s">
        <v>205</v>
      </c>
    </row>
    <row r="8" customFormat="false" ht="12.8" hidden="false" customHeight="false" outlineLevel="0" collapsed="false">
      <c r="A8" s="39" t="s">
        <v>206</v>
      </c>
      <c r="B8" s="39" t="s">
        <v>181</v>
      </c>
      <c r="C8" s="39" t="s">
        <v>207</v>
      </c>
      <c r="D8" s="39" t="s">
        <v>208</v>
      </c>
      <c r="E8" s="39" t="s">
        <v>209</v>
      </c>
      <c r="F8" s="39" t="s">
        <v>210</v>
      </c>
    </row>
    <row r="9" customFormat="false" ht="12.8" hidden="false" customHeight="false" outlineLevel="0" collapsed="false">
      <c r="A9" s="39" t="s">
        <v>211</v>
      </c>
      <c r="B9" s="39" t="s">
        <v>181</v>
      </c>
      <c r="C9" s="39" t="s">
        <v>212</v>
      </c>
      <c r="D9" s="39" t="s">
        <v>213</v>
      </c>
      <c r="E9" s="39" t="s">
        <v>214</v>
      </c>
      <c r="F9" s="39" t="s">
        <v>215</v>
      </c>
    </row>
    <row r="10" customFormat="false" ht="12.8" hidden="false" customHeight="false" outlineLevel="0" collapsed="false">
      <c r="A10" s="39" t="s">
        <v>216</v>
      </c>
      <c r="B10" s="39" t="s">
        <v>181</v>
      </c>
      <c r="C10" s="39" t="s">
        <v>217</v>
      </c>
      <c r="D10" s="39" t="s">
        <v>218</v>
      </c>
      <c r="E10" s="39" t="s">
        <v>219</v>
      </c>
      <c r="F10" s="39" t="s">
        <v>220</v>
      </c>
    </row>
    <row r="11" customFormat="false" ht="12.8" hidden="false" customHeight="false" outlineLevel="0" collapsed="false">
      <c r="A11" s="39" t="s">
        <v>221</v>
      </c>
      <c r="B11" s="39" t="s">
        <v>181</v>
      </c>
      <c r="C11" s="39" t="s">
        <v>222</v>
      </c>
      <c r="D11" s="39" t="s">
        <v>223</v>
      </c>
      <c r="E11" s="39" t="s">
        <v>224</v>
      </c>
      <c r="F11" s="39" t="s">
        <v>225</v>
      </c>
    </row>
    <row r="12" customFormat="false" ht="12.8" hidden="false" customHeight="false" outlineLevel="0" collapsed="false">
      <c r="A12" s="39" t="s">
        <v>226</v>
      </c>
      <c r="B12" s="39" t="s">
        <v>181</v>
      </c>
      <c r="C12" s="39" t="s">
        <v>227</v>
      </c>
      <c r="D12" s="39" t="s">
        <v>228</v>
      </c>
      <c r="E12" s="39" t="s">
        <v>229</v>
      </c>
      <c r="F12" s="39" t="s">
        <v>230</v>
      </c>
    </row>
    <row r="13" customFormat="false" ht="12.8" hidden="false" customHeight="false" outlineLevel="0" collapsed="false">
      <c r="A13" s="39" t="s">
        <v>231</v>
      </c>
      <c r="B13" s="39" t="s">
        <v>181</v>
      </c>
      <c r="C13" s="39" t="s">
        <v>232</v>
      </c>
      <c r="D13" s="39" t="s">
        <v>233</v>
      </c>
      <c r="E13" s="39" t="s">
        <v>234</v>
      </c>
      <c r="F13" s="39" t="s">
        <v>235</v>
      </c>
    </row>
    <row r="14" customFormat="false" ht="12.8" hidden="false" customHeight="false" outlineLevel="0" collapsed="false">
      <c r="A14" s="39" t="s">
        <v>236</v>
      </c>
      <c r="B14" s="39" t="s">
        <v>181</v>
      </c>
      <c r="C14" s="39" t="s">
        <v>237</v>
      </c>
      <c r="D14" s="39" t="s">
        <v>238</v>
      </c>
      <c r="E14" s="39" t="s">
        <v>239</v>
      </c>
      <c r="F14" s="39" t="s">
        <v>240</v>
      </c>
    </row>
    <row r="15" customFormat="false" ht="12.8" hidden="false" customHeight="false" outlineLevel="0" collapsed="false">
      <c r="A15" s="39" t="s">
        <v>241</v>
      </c>
      <c r="B15" s="39" t="s">
        <v>181</v>
      </c>
      <c r="C15" s="39" t="s">
        <v>242</v>
      </c>
      <c r="D15" s="39" t="s">
        <v>243</v>
      </c>
      <c r="E15" s="39" t="s">
        <v>244</v>
      </c>
      <c r="F15" s="39" t="s">
        <v>245</v>
      </c>
    </row>
    <row r="16" customFormat="false" ht="12.8" hidden="false" customHeight="false" outlineLevel="0" collapsed="false">
      <c r="A16" s="39" t="s">
        <v>246</v>
      </c>
      <c r="B16" s="39" t="s">
        <v>181</v>
      </c>
      <c r="C16" s="39" t="s">
        <v>247</v>
      </c>
      <c r="D16" s="39" t="s">
        <v>248</v>
      </c>
      <c r="E16" s="39" t="s">
        <v>249</v>
      </c>
      <c r="F16" s="39" t="s">
        <v>250</v>
      </c>
    </row>
    <row r="17" customFormat="false" ht="12.8" hidden="false" customHeight="false" outlineLevel="0" collapsed="false">
      <c r="A17" s="39" t="s">
        <v>251</v>
      </c>
      <c r="B17" s="39" t="s">
        <v>181</v>
      </c>
      <c r="C17" s="39" t="s">
        <v>252</v>
      </c>
      <c r="D17" s="39" t="s">
        <v>253</v>
      </c>
      <c r="E17" s="39" t="s">
        <v>254</v>
      </c>
      <c r="F17" s="39" t="s">
        <v>255</v>
      </c>
    </row>
    <row r="18" customFormat="false" ht="12.8" hidden="false" customHeight="false" outlineLevel="0" collapsed="false">
      <c r="A18" s="39" t="s">
        <v>256</v>
      </c>
      <c r="B18" s="39" t="s">
        <v>181</v>
      </c>
      <c r="C18" s="39" t="s">
        <v>257</v>
      </c>
      <c r="D18" s="39" t="s">
        <v>258</v>
      </c>
      <c r="E18" s="39" t="s">
        <v>259</v>
      </c>
      <c r="F18" s="39" t="s">
        <v>260</v>
      </c>
    </row>
    <row r="19" customFormat="false" ht="12.8" hidden="false" customHeight="false" outlineLevel="0" collapsed="false">
      <c r="A19" s="39" t="s">
        <v>261</v>
      </c>
      <c r="B19" s="39" t="s">
        <v>181</v>
      </c>
      <c r="C19" s="39" t="s">
        <v>262</v>
      </c>
      <c r="D19" s="39" t="s">
        <v>263</v>
      </c>
      <c r="E19" s="39" t="s">
        <v>264</v>
      </c>
      <c r="F19" s="39" t="s">
        <v>265</v>
      </c>
    </row>
    <row r="20" customFormat="false" ht="12.8" hidden="false" customHeight="false" outlineLevel="0" collapsed="false">
      <c r="A20" s="39" t="s">
        <v>266</v>
      </c>
      <c r="B20" s="39" t="s">
        <v>181</v>
      </c>
      <c r="C20" s="39" t="s">
        <v>267</v>
      </c>
      <c r="D20" s="39" t="s">
        <v>268</v>
      </c>
      <c r="E20" s="39" t="s">
        <v>269</v>
      </c>
      <c r="F20" s="39" t="s">
        <v>270</v>
      </c>
    </row>
    <row r="21" customFormat="false" ht="12.8" hidden="false" customHeight="false" outlineLevel="0" collapsed="false">
      <c r="A21" s="39" t="s">
        <v>271</v>
      </c>
      <c r="B21" s="39" t="s">
        <v>181</v>
      </c>
      <c r="C21" s="39" t="s">
        <v>272</v>
      </c>
      <c r="D21" s="39" t="s">
        <v>273</v>
      </c>
      <c r="E21" s="39" t="s">
        <v>274</v>
      </c>
      <c r="F21" s="39" t="s">
        <v>275</v>
      </c>
    </row>
    <row r="22" customFormat="false" ht="12.8" hidden="false" customHeight="false" outlineLevel="0" collapsed="false">
      <c r="A22" s="39" t="s">
        <v>276</v>
      </c>
      <c r="B22" s="39" t="s">
        <v>181</v>
      </c>
      <c r="C22" s="39" t="s">
        <v>277</v>
      </c>
      <c r="D22" s="39" t="s">
        <v>278</v>
      </c>
      <c r="E22" s="39" t="s">
        <v>279</v>
      </c>
      <c r="F22" s="39" t="s">
        <v>280</v>
      </c>
    </row>
    <row r="23" customFormat="false" ht="12.8" hidden="false" customHeight="false" outlineLevel="0" collapsed="false">
      <c r="A23" s="39" t="s">
        <v>281</v>
      </c>
      <c r="B23" s="39" t="s">
        <v>181</v>
      </c>
      <c r="C23" s="39" t="s">
        <v>282</v>
      </c>
      <c r="D23" s="39" t="s">
        <v>283</v>
      </c>
      <c r="E23" s="39" t="s">
        <v>284</v>
      </c>
      <c r="F23" s="39" t="s">
        <v>285</v>
      </c>
    </row>
    <row r="24" customFormat="false" ht="12.8" hidden="false" customHeight="false" outlineLevel="0" collapsed="false">
      <c r="A24" s="39" t="s">
        <v>286</v>
      </c>
      <c r="B24" s="39" t="s">
        <v>181</v>
      </c>
      <c r="C24" s="39" t="s">
        <v>287</v>
      </c>
      <c r="D24" s="39" t="s">
        <v>288</v>
      </c>
      <c r="E24" s="39" t="s">
        <v>289</v>
      </c>
      <c r="F24" s="39" t="s">
        <v>290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2" topLeftCell="C291" activePane="bottomRight" state="frozen"/>
      <selection pane="topLeft" activeCell="A1" activeCellId="0" sqref="A1"/>
      <selection pane="topRight" activeCell="C1" activeCellId="0" sqref="C1"/>
      <selection pane="bottomLeft" activeCell="A291" activeCellId="0" sqref="A291"/>
      <selection pane="bottomRight" activeCell="A318" activeCellId="0" sqref="A318"/>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0" t="s">
        <v>291</v>
      </c>
      <c r="B1" s="39" t="s">
        <v>292</v>
      </c>
      <c r="C1" s="39" t="s">
        <v>173</v>
      </c>
      <c r="E1" s="39"/>
      <c r="F1" s="39"/>
      <c r="G1" s="39"/>
      <c r="H1" s="3"/>
    </row>
    <row r="2" customFormat="false" ht="12.8" hidden="false" customHeight="false" outlineLevel="0" collapsed="false">
      <c r="A2" s="49" t="s">
        <v>174</v>
      </c>
      <c r="B2" s="49" t="s">
        <v>176</v>
      </c>
      <c r="C2" s="49" t="s">
        <v>293</v>
      </c>
      <c r="D2" s="49" t="s">
        <v>178</v>
      </c>
      <c r="E2" s="49" t="s">
        <v>294</v>
      </c>
      <c r="F2" s="49" t="s">
        <v>295</v>
      </c>
      <c r="G2" s="49" t="s">
        <v>296</v>
      </c>
      <c r="H2" s="49" t="s">
        <v>179</v>
      </c>
    </row>
    <row r="3" customFormat="false" ht="12.8" hidden="false" customHeight="false" outlineLevel="0" collapsed="false">
      <c r="A3" s="39" t="s">
        <v>297</v>
      </c>
      <c r="B3" s="39" t="s">
        <v>298</v>
      </c>
      <c r="C3" s="39" t="n">
        <v>2215000</v>
      </c>
      <c r="D3" s="39" t="s">
        <v>299</v>
      </c>
      <c r="E3" s="39" t="s">
        <v>300</v>
      </c>
      <c r="F3" s="39" t="s">
        <v>301</v>
      </c>
      <c r="G3" s="51" t="s">
        <v>302</v>
      </c>
      <c r="H3" s="39"/>
    </row>
    <row r="4" customFormat="false" ht="12.8" hidden="false" customHeight="false" outlineLevel="0" collapsed="false">
      <c r="A4" s="39" t="s">
        <v>303</v>
      </c>
      <c r="B4" s="39" t="s">
        <v>304</v>
      </c>
      <c r="C4" s="39" t="n">
        <v>33500</v>
      </c>
      <c r="D4" s="39" t="s">
        <v>305</v>
      </c>
      <c r="E4" s="39" t="s">
        <v>306</v>
      </c>
      <c r="F4" s="39" t="s">
        <v>307</v>
      </c>
      <c r="G4" s="51" t="s">
        <v>302</v>
      </c>
      <c r="H4" s="39"/>
    </row>
    <row r="5" customFormat="false" ht="12.8" hidden="false" customHeight="false" outlineLevel="0" collapsed="false">
      <c r="A5" s="39" t="s">
        <v>308</v>
      </c>
      <c r="B5" s="39" t="s">
        <v>309</v>
      </c>
      <c r="C5" s="39" t="n">
        <v>9500</v>
      </c>
      <c r="D5" s="39" t="s">
        <v>310</v>
      </c>
      <c r="E5" s="39" t="s">
        <v>300</v>
      </c>
      <c r="F5" s="39" t="s">
        <v>311</v>
      </c>
      <c r="G5" s="51" t="s">
        <v>302</v>
      </c>
      <c r="H5" s="39"/>
    </row>
    <row r="6" customFormat="false" ht="12.8" hidden="false" customHeight="false" outlineLevel="0" collapsed="false">
      <c r="A6" s="39" t="s">
        <v>312</v>
      </c>
      <c r="B6" s="39" t="s">
        <v>313</v>
      </c>
      <c r="C6" s="39" t="n">
        <v>112500</v>
      </c>
      <c r="D6" s="39" t="s">
        <v>314</v>
      </c>
      <c r="E6" s="39" t="s">
        <v>300</v>
      </c>
      <c r="F6" s="39" t="s">
        <v>311</v>
      </c>
      <c r="G6" s="51" t="s">
        <v>302</v>
      </c>
      <c r="H6" s="39"/>
    </row>
    <row r="7" customFormat="false" ht="12.8" hidden="false" customHeight="false" outlineLevel="0" collapsed="false">
      <c r="A7" s="39" t="s">
        <v>315</v>
      </c>
      <c r="B7" s="39" t="s">
        <v>316</v>
      </c>
      <c r="C7" s="39" t="n">
        <v>287500</v>
      </c>
      <c r="D7" s="39" t="s">
        <v>317</v>
      </c>
      <c r="E7" s="39" t="s">
        <v>300</v>
      </c>
      <c r="F7" s="39" t="s">
        <v>311</v>
      </c>
      <c r="G7" s="51" t="s">
        <v>302</v>
      </c>
      <c r="H7" s="39"/>
    </row>
    <row r="8" customFormat="false" ht="12.8" hidden="false" customHeight="false" outlineLevel="0" collapsed="false">
      <c r="A8" s="39" t="s">
        <v>318</v>
      </c>
      <c r="B8" s="39" t="s">
        <v>319</v>
      </c>
      <c r="C8" s="39" t="n">
        <v>408500</v>
      </c>
      <c r="D8" s="39" t="s">
        <v>320</v>
      </c>
      <c r="E8" s="39" t="s">
        <v>300</v>
      </c>
      <c r="F8" s="39" t="s">
        <v>311</v>
      </c>
      <c r="G8" s="51" t="s">
        <v>302</v>
      </c>
      <c r="H8" s="39"/>
    </row>
    <row r="9" customFormat="false" ht="12.8" hidden="false" customHeight="false" outlineLevel="0" collapsed="false">
      <c r="A9" s="39" t="s">
        <v>321</v>
      </c>
      <c r="B9" s="39" t="s">
        <v>322</v>
      </c>
      <c r="C9" s="39" t="n">
        <v>23200</v>
      </c>
      <c r="D9" s="39" t="s">
        <v>323</v>
      </c>
      <c r="E9" s="39" t="s">
        <v>300</v>
      </c>
      <c r="F9" s="39" t="s">
        <v>311</v>
      </c>
      <c r="G9" s="51" t="s">
        <v>302</v>
      </c>
      <c r="H9" s="39"/>
    </row>
    <row r="10" customFormat="false" ht="12.8" hidden="false" customHeight="false" outlineLevel="0" collapsed="false">
      <c r="A10" s="39" t="s">
        <v>324</v>
      </c>
      <c r="B10" s="39" t="s">
        <v>325</v>
      </c>
      <c r="C10" s="39" t="n">
        <v>101200</v>
      </c>
      <c r="D10" s="39" t="s">
        <v>326</v>
      </c>
      <c r="E10" s="39" t="s">
        <v>300</v>
      </c>
      <c r="F10" s="39" t="s">
        <v>311</v>
      </c>
      <c r="G10" s="51" t="s">
        <v>302</v>
      </c>
      <c r="H10" s="39"/>
    </row>
    <row r="11" customFormat="false" ht="12.8" hidden="false" customHeight="false" outlineLevel="0" collapsed="false">
      <c r="A11" s="39" t="s">
        <v>327</v>
      </c>
      <c r="B11" s="39" t="s">
        <v>328</v>
      </c>
      <c r="C11" s="39" t="n">
        <v>261000</v>
      </c>
      <c r="D11" s="39" t="s">
        <v>329</v>
      </c>
      <c r="E11" s="39" t="s">
        <v>300</v>
      </c>
      <c r="F11" s="39" t="s">
        <v>311</v>
      </c>
      <c r="G11" s="51" t="s">
        <v>302</v>
      </c>
      <c r="H11" s="39"/>
    </row>
    <row r="12" customFormat="false" ht="12.8" hidden="false" customHeight="false" outlineLevel="0" collapsed="false">
      <c r="A12" s="39" t="s">
        <v>330</v>
      </c>
      <c r="B12" s="39" t="s">
        <v>331</v>
      </c>
      <c r="C12" s="39" t="n">
        <v>273500</v>
      </c>
      <c r="D12" s="39" t="s">
        <v>332</v>
      </c>
      <c r="E12" s="39" t="s">
        <v>300</v>
      </c>
      <c r="F12" s="39" t="s">
        <v>311</v>
      </c>
      <c r="G12" s="51" t="s">
        <v>302</v>
      </c>
      <c r="H12" s="39"/>
    </row>
    <row r="13" customFormat="false" ht="12.8" hidden="false" customHeight="false" outlineLevel="0" collapsed="false">
      <c r="A13" s="39" t="s">
        <v>333</v>
      </c>
      <c r="B13" s="39" t="s">
        <v>334</v>
      </c>
      <c r="C13" s="39" t="n">
        <v>217600</v>
      </c>
      <c r="D13" s="39" t="s">
        <v>335</v>
      </c>
      <c r="E13" s="39" t="s">
        <v>300</v>
      </c>
      <c r="F13" s="39" t="s">
        <v>311</v>
      </c>
      <c r="G13" s="51" t="s">
        <v>302</v>
      </c>
      <c r="H13" s="39"/>
    </row>
    <row r="14" customFormat="false" ht="12.8" hidden="false" customHeight="false" outlineLevel="0" collapsed="false">
      <c r="A14" s="39" t="s">
        <v>336</v>
      </c>
      <c r="B14" s="39" t="s">
        <v>337</v>
      </c>
      <c r="C14" s="39" t="n">
        <v>98800</v>
      </c>
      <c r="D14" s="39" t="s">
        <v>338</v>
      </c>
      <c r="E14" s="39" t="s">
        <v>300</v>
      </c>
      <c r="F14" s="39" t="s">
        <v>311</v>
      </c>
      <c r="G14" s="51" t="s">
        <v>302</v>
      </c>
      <c r="H14" s="39"/>
    </row>
    <row r="15" customFormat="false" ht="12.8" hidden="false" customHeight="false" outlineLevel="0" collapsed="false">
      <c r="A15" s="39" t="s">
        <v>339</v>
      </c>
      <c r="B15" s="39" t="s">
        <v>340</v>
      </c>
      <c r="C15" s="39" t="n">
        <v>421300</v>
      </c>
      <c r="D15" s="39" t="s">
        <v>341</v>
      </c>
      <c r="E15" s="39" t="s">
        <v>300</v>
      </c>
      <c r="F15" s="39" t="s">
        <v>311</v>
      </c>
      <c r="G15" s="51" t="s">
        <v>302</v>
      </c>
      <c r="H15" s="39"/>
    </row>
    <row r="16" customFormat="false" ht="12.8" hidden="false" customHeight="false" outlineLevel="0" collapsed="false">
      <c r="A16" s="39" t="s">
        <v>342</v>
      </c>
      <c r="B16" s="39" t="s">
        <v>343</v>
      </c>
      <c r="C16" s="39" t="n">
        <v>50000</v>
      </c>
      <c r="D16" s="39" t="s">
        <v>344</v>
      </c>
      <c r="E16" s="39" t="s">
        <v>306</v>
      </c>
      <c r="F16" s="39" t="s">
        <v>345</v>
      </c>
      <c r="G16" s="51" t="s">
        <v>302</v>
      </c>
      <c r="H16" s="39"/>
    </row>
    <row r="17" customFormat="false" ht="12.8" hidden="false" customHeight="false" outlineLevel="0" collapsed="false">
      <c r="A17" s="39" t="s">
        <v>346</v>
      </c>
      <c r="B17" s="39" t="s">
        <v>347</v>
      </c>
      <c r="C17" s="39" t="n">
        <v>4500</v>
      </c>
      <c r="D17" s="39" t="s">
        <v>348</v>
      </c>
      <c r="E17" s="39" t="s">
        <v>300</v>
      </c>
      <c r="F17" s="39" t="s">
        <v>349</v>
      </c>
      <c r="G17" s="51" t="s">
        <v>302</v>
      </c>
      <c r="H17" s="39"/>
    </row>
    <row r="18" customFormat="false" ht="12.8" hidden="false" customHeight="false" outlineLevel="0" collapsed="false">
      <c r="A18" s="39" t="s">
        <v>350</v>
      </c>
      <c r="B18" s="39" t="s">
        <v>351</v>
      </c>
      <c r="C18" s="39" t="n">
        <v>0.05</v>
      </c>
      <c r="D18" s="39" t="s">
        <v>352</v>
      </c>
      <c r="E18" s="39" t="s">
        <v>300</v>
      </c>
      <c r="F18" s="39" t="s">
        <v>353</v>
      </c>
      <c r="G18" s="51" t="s">
        <v>302</v>
      </c>
      <c r="H18" s="39"/>
    </row>
    <row r="19" customFormat="false" ht="12.8" hidden="false" customHeight="false" outlineLevel="0" collapsed="false">
      <c r="A19" s="39" t="s">
        <v>354</v>
      </c>
      <c r="B19" s="39" t="s">
        <v>355</v>
      </c>
      <c r="C19" s="39" t="n">
        <v>0.01</v>
      </c>
      <c r="D19" s="39" t="s">
        <v>356</v>
      </c>
      <c r="E19" s="39" t="s">
        <v>300</v>
      </c>
      <c r="F19" s="39" t="s">
        <v>353</v>
      </c>
      <c r="G19" s="51" t="s">
        <v>302</v>
      </c>
      <c r="H19" s="39"/>
    </row>
    <row r="20" customFormat="false" ht="12.8" hidden="false" customHeight="false" outlineLevel="0" collapsed="false">
      <c r="A20" s="39" t="s">
        <v>357</v>
      </c>
      <c r="B20" s="39" t="s">
        <v>358</v>
      </c>
      <c r="C20" s="39" t="n">
        <v>4130000</v>
      </c>
      <c r="D20" s="39" t="s">
        <v>359</v>
      </c>
      <c r="E20" s="39" t="s">
        <v>300</v>
      </c>
      <c r="F20" s="39" t="s">
        <v>360</v>
      </c>
      <c r="G20" s="51" t="s">
        <v>302</v>
      </c>
      <c r="H20" s="39"/>
    </row>
    <row r="21" customFormat="false" ht="12.8" hidden="false" customHeight="false" outlineLevel="0" collapsed="false">
      <c r="A21" s="39" t="s">
        <v>361</v>
      </c>
      <c r="B21" s="39" t="s">
        <v>362</v>
      </c>
      <c r="C21" s="39" t="n">
        <v>152000</v>
      </c>
      <c r="D21" s="39" t="s">
        <v>363</v>
      </c>
      <c r="E21" s="39" t="s">
        <v>306</v>
      </c>
      <c r="F21" s="39" t="s">
        <v>364</v>
      </c>
      <c r="G21" s="51" t="s">
        <v>302</v>
      </c>
      <c r="H21" s="39"/>
    </row>
    <row r="22" customFormat="false" ht="12.8" hidden="false" customHeight="false" outlineLevel="0" collapsed="false">
      <c r="A22" s="39" t="s">
        <v>365</v>
      </c>
      <c r="B22" s="39" t="s">
        <v>366</v>
      </c>
      <c r="C22" s="39" t="n">
        <v>82000</v>
      </c>
      <c r="D22" s="39" t="s">
        <v>367</v>
      </c>
      <c r="E22" s="39" t="s">
        <v>368</v>
      </c>
      <c r="F22" s="39" t="s">
        <v>369</v>
      </c>
      <c r="G22" s="51" t="s">
        <v>302</v>
      </c>
      <c r="H22" s="39"/>
    </row>
    <row r="23" customFormat="false" ht="12.8" hidden="false" customHeight="false" outlineLevel="0" collapsed="false">
      <c r="A23" s="39" t="s">
        <v>370</v>
      </c>
      <c r="B23" s="39" t="s">
        <v>371</v>
      </c>
      <c r="C23" s="39" t="n">
        <v>3896000</v>
      </c>
      <c r="D23" s="39" t="s">
        <v>372</v>
      </c>
      <c r="E23" s="39" t="s">
        <v>300</v>
      </c>
      <c r="F23" s="39" t="s">
        <v>373</v>
      </c>
      <c r="G23" s="51" t="s">
        <v>302</v>
      </c>
      <c r="H23" s="39"/>
    </row>
    <row r="24" customFormat="false" ht="12.8" hidden="false" customHeight="false" outlineLevel="0" collapsed="false">
      <c r="A24" s="39" t="s">
        <v>374</v>
      </c>
      <c r="B24" s="39" t="s">
        <v>375</v>
      </c>
      <c r="C24" s="39" t="n">
        <v>0.562</v>
      </c>
      <c r="D24" s="39" t="s">
        <v>376</v>
      </c>
      <c r="E24" s="39" t="s">
        <v>300</v>
      </c>
      <c r="F24" s="39" t="s">
        <v>377</v>
      </c>
      <c r="G24" s="51" t="s">
        <v>302</v>
      </c>
      <c r="H24" s="39"/>
    </row>
    <row r="25" customFormat="false" ht="12.8" hidden="false" customHeight="false" outlineLevel="0" collapsed="false">
      <c r="A25" s="39" t="s">
        <v>378</v>
      </c>
      <c r="B25" s="39" t="s">
        <v>379</v>
      </c>
      <c r="C25" s="39" t="n">
        <v>0.92</v>
      </c>
      <c r="D25" s="39" t="s">
        <v>380</v>
      </c>
      <c r="E25" s="39" t="s">
        <v>306</v>
      </c>
      <c r="F25" s="39" t="s">
        <v>381</v>
      </c>
      <c r="G25" s="51" t="s">
        <v>302</v>
      </c>
      <c r="H25" s="39"/>
    </row>
    <row r="26" customFormat="false" ht="12.8" hidden="false" customHeight="false" outlineLevel="0" collapsed="false">
      <c r="A26" s="39" t="s">
        <v>382</v>
      </c>
      <c r="B26" s="39" t="s">
        <v>383</v>
      </c>
      <c r="C26" s="39" t="n">
        <v>1.05</v>
      </c>
      <c r="D26" s="39" t="s">
        <v>384</v>
      </c>
      <c r="E26" s="39" t="s">
        <v>306</v>
      </c>
      <c r="F26" s="39" t="s">
        <v>385</v>
      </c>
      <c r="G26" s="51" t="s">
        <v>302</v>
      </c>
      <c r="H26" s="39"/>
    </row>
    <row r="27" customFormat="false" ht="12.8" hidden="false" customHeight="false" outlineLevel="0" collapsed="false">
      <c r="A27" s="39" t="s">
        <v>386</v>
      </c>
      <c r="B27" s="39" t="s">
        <v>387</v>
      </c>
      <c r="C27" s="39" t="n">
        <v>0.95</v>
      </c>
      <c r="D27" s="39" t="s">
        <v>388</v>
      </c>
      <c r="E27" s="39" t="s">
        <v>368</v>
      </c>
      <c r="F27" s="39" t="s">
        <v>389</v>
      </c>
      <c r="G27" s="51" t="s">
        <v>302</v>
      </c>
      <c r="H27" s="39"/>
    </row>
    <row r="28" customFormat="false" ht="12.8" hidden="false" customHeight="false" outlineLevel="0" collapsed="false">
      <c r="A28" s="39" t="s">
        <v>390</v>
      </c>
      <c r="B28" s="39" t="s">
        <v>391</v>
      </c>
      <c r="C28" s="39" t="n">
        <v>0.92</v>
      </c>
      <c r="D28" s="39" t="s">
        <v>392</v>
      </c>
      <c r="E28" s="39" t="s">
        <v>306</v>
      </c>
      <c r="F28" s="39" t="s">
        <v>381</v>
      </c>
      <c r="G28" s="51" t="s">
        <v>302</v>
      </c>
      <c r="H28" s="39"/>
    </row>
    <row r="29" customFormat="false" ht="12.8" hidden="false" customHeight="false" outlineLevel="0" collapsed="false">
      <c r="A29" s="39" t="s">
        <v>393</v>
      </c>
      <c r="B29" s="39" t="s">
        <v>394</v>
      </c>
      <c r="C29" s="39" t="n">
        <v>1.05</v>
      </c>
      <c r="D29" s="39" t="s">
        <v>395</v>
      </c>
      <c r="E29" s="39" t="s">
        <v>306</v>
      </c>
      <c r="F29" s="39" t="s">
        <v>385</v>
      </c>
      <c r="G29" s="51" t="s">
        <v>302</v>
      </c>
      <c r="H29" s="39"/>
    </row>
    <row r="30" customFormat="false" ht="12.8" hidden="false" customHeight="false" outlineLevel="0" collapsed="false">
      <c r="A30" s="39" t="s">
        <v>396</v>
      </c>
      <c r="B30" s="39" t="s">
        <v>397</v>
      </c>
      <c r="C30" s="39" t="n">
        <v>0.03</v>
      </c>
      <c r="D30" s="39" t="s">
        <v>398</v>
      </c>
      <c r="E30" s="39" t="s">
        <v>368</v>
      </c>
      <c r="F30" s="39" t="s">
        <v>389</v>
      </c>
      <c r="G30" s="51" t="s">
        <v>302</v>
      </c>
      <c r="H30" s="39"/>
    </row>
    <row r="31" customFormat="false" ht="12.8" hidden="false" customHeight="false" outlineLevel="0" collapsed="false">
      <c r="A31" s="39" t="s">
        <v>399</v>
      </c>
      <c r="B31" s="39" t="s">
        <v>400</v>
      </c>
      <c r="C31" s="39" t="n">
        <v>0.577</v>
      </c>
      <c r="D31" s="39" t="s">
        <v>401</v>
      </c>
      <c r="E31" s="39" t="s">
        <v>300</v>
      </c>
      <c r="F31" s="39" t="s">
        <v>402</v>
      </c>
      <c r="G31" s="51" t="s">
        <v>302</v>
      </c>
      <c r="H31" s="39"/>
    </row>
    <row r="32" customFormat="false" ht="12.8" hidden="false" customHeight="false" outlineLevel="0" collapsed="false">
      <c r="A32" s="39" t="s">
        <v>403</v>
      </c>
      <c r="B32" s="39" t="s">
        <v>404</v>
      </c>
      <c r="C32" s="39" t="n">
        <v>0.04</v>
      </c>
      <c r="D32" s="39" t="s">
        <v>405</v>
      </c>
      <c r="E32" s="39" t="s">
        <v>368</v>
      </c>
      <c r="F32" s="39" t="s">
        <v>389</v>
      </c>
      <c r="G32" s="51" t="s">
        <v>302</v>
      </c>
      <c r="H32" s="39"/>
    </row>
    <row r="33" customFormat="false" ht="12.8" hidden="false" customHeight="false" outlineLevel="0" collapsed="false">
      <c r="A33" s="39" t="s">
        <v>406</v>
      </c>
      <c r="B33" s="39" t="s">
        <v>407</v>
      </c>
      <c r="C33" s="39" t="n">
        <v>1.15</v>
      </c>
      <c r="D33" s="39" t="s">
        <v>408</v>
      </c>
      <c r="E33" s="39" t="s">
        <v>306</v>
      </c>
      <c r="F33" s="39" t="s">
        <v>409</v>
      </c>
      <c r="G33" s="51" t="s">
        <v>302</v>
      </c>
      <c r="H33" s="39" t="s">
        <v>410</v>
      </c>
    </row>
    <row r="34" customFormat="false" ht="12.8" hidden="false" customHeight="false" outlineLevel="0" collapsed="false">
      <c r="A34" s="39" t="s">
        <v>411</v>
      </c>
      <c r="B34" s="39" t="s">
        <v>412</v>
      </c>
      <c r="C34" s="39" t="n">
        <v>1.15</v>
      </c>
      <c r="D34" s="39" t="s">
        <v>413</v>
      </c>
      <c r="E34" s="39" t="s">
        <v>306</v>
      </c>
      <c r="F34" s="39" t="s">
        <v>409</v>
      </c>
      <c r="G34" s="51" t="s">
        <v>302</v>
      </c>
      <c r="H34" s="39" t="s">
        <v>410</v>
      </c>
    </row>
    <row r="35" customFormat="false" ht="12.8" hidden="false" customHeight="false" outlineLevel="0" collapsed="false">
      <c r="A35" s="39" t="s">
        <v>414</v>
      </c>
      <c r="B35" s="39" t="s">
        <v>415</v>
      </c>
      <c r="C35" s="39" t="n">
        <v>1.15</v>
      </c>
      <c r="D35" s="39" t="s">
        <v>416</v>
      </c>
      <c r="E35" s="39" t="s">
        <v>306</v>
      </c>
      <c r="F35" s="39" t="s">
        <v>409</v>
      </c>
      <c r="G35" s="51" t="s">
        <v>302</v>
      </c>
      <c r="H35" s="39" t="s">
        <v>417</v>
      </c>
    </row>
    <row r="36" customFormat="false" ht="12.8" hidden="false" customHeight="false" outlineLevel="0" collapsed="false">
      <c r="A36" s="39" t="s">
        <v>418</v>
      </c>
      <c r="B36" s="39" t="s">
        <v>419</v>
      </c>
      <c r="C36" s="39" t="n">
        <v>0.8</v>
      </c>
      <c r="D36" s="39" t="s">
        <v>420</v>
      </c>
      <c r="E36" s="39" t="s">
        <v>306</v>
      </c>
      <c r="F36" s="39" t="s">
        <v>409</v>
      </c>
      <c r="G36" s="51" t="s">
        <v>302</v>
      </c>
      <c r="H36" s="39" t="s">
        <v>421</v>
      </c>
    </row>
    <row r="37" customFormat="false" ht="12.8" hidden="false" customHeight="false" outlineLevel="0" collapsed="false">
      <c r="A37" s="39" t="s">
        <v>422</v>
      </c>
      <c r="B37" s="39" t="s">
        <v>423</v>
      </c>
      <c r="C37" s="39" t="n">
        <v>0.8</v>
      </c>
      <c r="D37" s="39" t="s">
        <v>424</v>
      </c>
      <c r="E37" s="39" t="s">
        <v>306</v>
      </c>
      <c r="F37" s="39" t="s">
        <v>409</v>
      </c>
      <c r="G37" s="51" t="s">
        <v>302</v>
      </c>
      <c r="H37" s="39" t="s">
        <v>425</v>
      </c>
    </row>
    <row r="38" customFormat="false" ht="12.8" hidden="false" customHeight="false" outlineLevel="0" collapsed="false">
      <c r="A38" s="39" t="s">
        <v>426</v>
      </c>
      <c r="B38" s="39" t="s">
        <v>427</v>
      </c>
      <c r="C38" s="39" t="n">
        <v>0.8</v>
      </c>
      <c r="D38" s="39" t="s">
        <v>428</v>
      </c>
      <c r="E38" s="39" t="s">
        <v>306</v>
      </c>
      <c r="F38" s="39" t="s">
        <v>409</v>
      </c>
      <c r="G38" s="51" t="s">
        <v>302</v>
      </c>
      <c r="H38" s="39" t="s">
        <v>425</v>
      </c>
    </row>
    <row r="39" customFormat="false" ht="12.8" hidden="false" customHeight="false" outlineLevel="0" collapsed="false">
      <c r="A39" s="39" t="s">
        <v>429</v>
      </c>
      <c r="B39" s="39" t="s">
        <v>430</v>
      </c>
      <c r="C39" s="39" t="n">
        <v>0.8</v>
      </c>
      <c r="D39" s="39" t="s">
        <v>431</v>
      </c>
      <c r="E39" s="39" t="s">
        <v>306</v>
      </c>
      <c r="F39" s="39" t="s">
        <v>409</v>
      </c>
      <c r="G39" s="51" t="s">
        <v>302</v>
      </c>
      <c r="H39" s="39" t="s">
        <v>425</v>
      </c>
    </row>
    <row r="40" customFormat="false" ht="12.8" hidden="false" customHeight="false" outlineLevel="0" collapsed="false">
      <c r="A40" s="39" t="s">
        <v>432</v>
      </c>
      <c r="B40" s="39" t="s">
        <v>433</v>
      </c>
      <c r="C40" s="39" t="n">
        <v>0.85</v>
      </c>
      <c r="D40" s="39" t="s">
        <v>434</v>
      </c>
      <c r="E40" s="39" t="s">
        <v>368</v>
      </c>
      <c r="F40" s="39" t="s">
        <v>409</v>
      </c>
      <c r="G40" s="51" t="s">
        <v>302</v>
      </c>
      <c r="H40" s="39" t="s">
        <v>435</v>
      </c>
    </row>
    <row r="41" customFormat="false" ht="12.8" hidden="false" customHeight="false" outlineLevel="0" collapsed="false">
      <c r="A41" s="39" t="s">
        <v>436</v>
      </c>
      <c r="B41" s="39" t="s">
        <v>437</v>
      </c>
      <c r="C41" s="39" t="n">
        <v>0.85</v>
      </c>
      <c r="D41" s="39" t="s">
        <v>438</v>
      </c>
      <c r="E41" s="39" t="s">
        <v>306</v>
      </c>
      <c r="F41" s="39" t="s">
        <v>409</v>
      </c>
      <c r="G41" s="51" t="s">
        <v>302</v>
      </c>
      <c r="H41" s="39" t="s">
        <v>439</v>
      </c>
    </row>
    <row r="42" customFormat="false" ht="12.8" hidden="false" customHeight="false" outlineLevel="0" collapsed="false">
      <c r="A42" s="39" t="s">
        <v>440</v>
      </c>
      <c r="B42" s="39" t="s">
        <v>441</v>
      </c>
      <c r="C42" s="39" t="n">
        <v>1.05</v>
      </c>
      <c r="D42" s="39" t="s">
        <v>442</v>
      </c>
      <c r="E42" s="39" t="s">
        <v>306</v>
      </c>
      <c r="F42" s="39" t="s">
        <v>409</v>
      </c>
      <c r="G42" s="51" t="s">
        <v>302</v>
      </c>
      <c r="H42" s="39" t="s">
        <v>443</v>
      </c>
    </row>
    <row r="43" customFormat="false" ht="12.8" hidden="false" customHeight="false" outlineLevel="0" collapsed="false">
      <c r="A43" s="39" t="s">
        <v>444</v>
      </c>
      <c r="B43" s="39" t="s">
        <v>445</v>
      </c>
      <c r="C43" s="39" t="n">
        <v>1.05</v>
      </c>
      <c r="D43" s="39" t="s">
        <v>446</v>
      </c>
      <c r="E43" s="39" t="s">
        <v>306</v>
      </c>
      <c r="F43" s="39" t="s">
        <v>409</v>
      </c>
      <c r="G43" s="51" t="s">
        <v>302</v>
      </c>
      <c r="H43" s="39" t="s">
        <v>447</v>
      </c>
    </row>
    <row r="44" customFormat="false" ht="12.8" hidden="false" customHeight="false" outlineLevel="0" collapsed="false">
      <c r="A44" s="39" t="s">
        <v>448</v>
      </c>
      <c r="B44" s="39" t="s">
        <v>449</v>
      </c>
      <c r="C44" s="39" t="n">
        <v>1.15</v>
      </c>
      <c r="D44" s="39" t="s">
        <v>450</v>
      </c>
      <c r="E44" s="39" t="s">
        <v>306</v>
      </c>
      <c r="F44" s="39" t="s">
        <v>409</v>
      </c>
      <c r="G44" s="51" t="s">
        <v>302</v>
      </c>
      <c r="H44" s="39" t="s">
        <v>451</v>
      </c>
    </row>
    <row r="45" customFormat="false" ht="12.8" hidden="false" customHeight="false" outlineLevel="0" collapsed="false">
      <c r="A45" s="39" t="s">
        <v>452</v>
      </c>
      <c r="B45" s="39" t="s">
        <v>453</v>
      </c>
      <c r="C45" s="39" t="n">
        <v>1.15</v>
      </c>
      <c r="D45" s="39" t="s">
        <v>454</v>
      </c>
      <c r="E45" s="39" t="s">
        <v>368</v>
      </c>
      <c r="F45" s="39" t="s">
        <v>409</v>
      </c>
      <c r="G45" s="51" t="s">
        <v>302</v>
      </c>
      <c r="H45" s="39" t="s">
        <v>455</v>
      </c>
    </row>
    <row r="46" customFormat="false" ht="12.8" hidden="false" customHeight="false" outlineLevel="0" collapsed="false">
      <c r="A46" s="39" t="s">
        <v>456</v>
      </c>
      <c r="B46" s="39" t="s">
        <v>457</v>
      </c>
      <c r="C46" s="39" t="n">
        <v>1.15</v>
      </c>
      <c r="D46" s="39" t="s">
        <v>458</v>
      </c>
      <c r="E46" s="39" t="s">
        <v>368</v>
      </c>
      <c r="F46" s="39" t="s">
        <v>409</v>
      </c>
      <c r="G46" s="51" t="s">
        <v>302</v>
      </c>
      <c r="H46" s="39" t="s">
        <v>459</v>
      </c>
    </row>
    <row r="47" customFormat="false" ht="12.8" hidden="false" customHeight="false" outlineLevel="0" collapsed="false">
      <c r="A47" s="39" t="s">
        <v>460</v>
      </c>
      <c r="B47" s="39" t="s">
        <v>461</v>
      </c>
      <c r="C47" s="39" t="n">
        <v>0.92</v>
      </c>
      <c r="D47" s="39" t="s">
        <v>462</v>
      </c>
      <c r="E47" s="39" t="s">
        <v>368</v>
      </c>
      <c r="F47" s="39" t="s">
        <v>463</v>
      </c>
      <c r="G47" s="51" t="s">
        <v>302</v>
      </c>
      <c r="H47" s="39" t="s">
        <v>464</v>
      </c>
    </row>
    <row r="48" customFormat="false" ht="12.8" hidden="false" customHeight="false" outlineLevel="0" collapsed="false">
      <c r="A48" s="39" t="s">
        <v>465</v>
      </c>
      <c r="B48" s="39" t="s">
        <v>466</v>
      </c>
      <c r="C48" s="39" t="n">
        <v>0.96</v>
      </c>
      <c r="D48" s="39" t="s">
        <v>467</v>
      </c>
      <c r="E48" s="39" t="s">
        <v>300</v>
      </c>
      <c r="F48" s="39" t="s">
        <v>463</v>
      </c>
      <c r="G48" s="51" t="s">
        <v>302</v>
      </c>
      <c r="H48" s="39"/>
    </row>
    <row r="49" customFormat="false" ht="12.8" hidden="false" customHeight="false" outlineLevel="0" collapsed="false">
      <c r="A49" s="39" t="s">
        <v>468</v>
      </c>
      <c r="B49" s="39" t="s">
        <v>469</v>
      </c>
      <c r="C49" s="39" t="n">
        <v>0.98</v>
      </c>
      <c r="D49" s="39" t="s">
        <v>470</v>
      </c>
      <c r="E49" s="39" t="s">
        <v>300</v>
      </c>
      <c r="F49" s="39" t="s">
        <v>463</v>
      </c>
      <c r="G49" s="51" t="s">
        <v>302</v>
      </c>
      <c r="H49" s="39"/>
    </row>
    <row r="50" customFormat="false" ht="12.8" hidden="false" customHeight="false" outlineLevel="0" collapsed="false">
      <c r="A50" s="39" t="s">
        <v>471</v>
      </c>
      <c r="B50" s="39" t="s">
        <v>472</v>
      </c>
      <c r="C50" s="39" t="n">
        <v>0.92</v>
      </c>
      <c r="D50" s="39" t="s">
        <v>473</v>
      </c>
      <c r="E50" s="39" t="s">
        <v>300</v>
      </c>
      <c r="F50" s="39" t="s">
        <v>463</v>
      </c>
      <c r="G50" s="51" t="s">
        <v>302</v>
      </c>
      <c r="H50" s="39" t="s">
        <v>464</v>
      </c>
    </row>
    <row r="51" customFormat="false" ht="12.8" hidden="false" customHeight="false" outlineLevel="0" collapsed="false">
      <c r="A51" s="39" t="s">
        <v>474</v>
      </c>
      <c r="B51" s="39" t="s">
        <v>475</v>
      </c>
      <c r="C51" s="39" t="n">
        <v>0.94</v>
      </c>
      <c r="D51" s="39" t="s">
        <v>476</v>
      </c>
      <c r="E51" s="39" t="s">
        <v>306</v>
      </c>
      <c r="F51" s="39" t="s">
        <v>463</v>
      </c>
      <c r="G51" s="51" t="s">
        <v>302</v>
      </c>
      <c r="H51" s="39" t="s">
        <v>477</v>
      </c>
    </row>
    <row r="52" customFormat="false" ht="12.8" hidden="false" customHeight="false" outlineLevel="0" collapsed="false">
      <c r="A52" s="39" t="s">
        <v>478</v>
      </c>
      <c r="B52" s="39" t="s">
        <v>479</v>
      </c>
      <c r="C52" s="39" t="n">
        <v>0.95</v>
      </c>
      <c r="D52" s="39" t="s">
        <v>480</v>
      </c>
      <c r="E52" s="39" t="s">
        <v>300</v>
      </c>
      <c r="F52" s="39" t="s">
        <v>463</v>
      </c>
      <c r="G52" s="51" t="s">
        <v>302</v>
      </c>
      <c r="H52" s="39" t="s">
        <v>481</v>
      </c>
    </row>
    <row r="53" customFormat="false" ht="12.8" hidden="false" customHeight="false" outlineLevel="0" collapsed="false">
      <c r="A53" s="39" t="s">
        <v>482</v>
      </c>
      <c r="B53" s="39" t="s">
        <v>483</v>
      </c>
      <c r="C53" s="39" t="n">
        <v>0.97</v>
      </c>
      <c r="D53" s="39" t="s">
        <v>484</v>
      </c>
      <c r="E53" s="39" t="s">
        <v>368</v>
      </c>
      <c r="F53" s="39" t="s">
        <v>463</v>
      </c>
      <c r="G53" s="51" t="s">
        <v>302</v>
      </c>
      <c r="H53" s="39"/>
    </row>
    <row r="54" customFormat="false" ht="12.8" hidden="false" customHeight="false" outlineLevel="0" collapsed="false">
      <c r="A54" s="39" t="s">
        <v>485</v>
      </c>
      <c r="B54" s="39" t="s">
        <v>486</v>
      </c>
      <c r="C54" s="39" t="n">
        <v>1.02</v>
      </c>
      <c r="D54" s="39" t="s">
        <v>487</v>
      </c>
      <c r="E54" s="39" t="s">
        <v>300</v>
      </c>
      <c r="F54" s="39" t="s">
        <v>463</v>
      </c>
      <c r="G54" s="51" t="s">
        <v>302</v>
      </c>
      <c r="H54" s="39"/>
    </row>
    <row r="55" customFormat="false" ht="12.8" hidden="false" customHeight="false" outlineLevel="0" collapsed="false">
      <c r="A55" s="39" t="s">
        <v>488</v>
      </c>
      <c r="B55" s="39" t="s">
        <v>489</v>
      </c>
      <c r="C55" s="39" t="n">
        <v>0.98</v>
      </c>
      <c r="D55" s="39" t="s">
        <v>490</v>
      </c>
      <c r="E55" s="39" t="s">
        <v>306</v>
      </c>
      <c r="F55" s="39" t="s">
        <v>463</v>
      </c>
      <c r="G55" s="51" t="s">
        <v>302</v>
      </c>
      <c r="H55" s="39"/>
    </row>
    <row r="56" customFormat="false" ht="12.8" hidden="false" customHeight="false" outlineLevel="0" collapsed="false">
      <c r="A56" s="39" t="s">
        <v>491</v>
      </c>
      <c r="B56" s="39" t="s">
        <v>492</v>
      </c>
      <c r="C56" s="39" t="n">
        <v>1.04</v>
      </c>
      <c r="D56" s="39" t="s">
        <v>493</v>
      </c>
      <c r="E56" s="39" t="s">
        <v>300</v>
      </c>
      <c r="F56" s="39" t="s">
        <v>463</v>
      </c>
      <c r="G56" s="51" t="s">
        <v>302</v>
      </c>
      <c r="H56" s="39"/>
    </row>
    <row r="57" customFormat="false" ht="12.8" hidden="false" customHeight="false" outlineLevel="0" collapsed="false">
      <c r="A57" s="39" t="s">
        <v>494</v>
      </c>
      <c r="B57" s="39" t="s">
        <v>495</v>
      </c>
      <c r="C57" s="39" t="n">
        <v>0.93</v>
      </c>
      <c r="D57" s="39" t="s">
        <v>496</v>
      </c>
      <c r="E57" s="39" t="s">
        <v>306</v>
      </c>
      <c r="F57" s="39" t="s">
        <v>463</v>
      </c>
      <c r="G57" s="51" t="s">
        <v>302</v>
      </c>
      <c r="H57" s="39" t="s">
        <v>497</v>
      </c>
    </row>
    <row r="58" customFormat="false" ht="12.8" hidden="false" customHeight="false" outlineLevel="0" collapsed="false">
      <c r="A58" s="39" t="s">
        <v>498</v>
      </c>
      <c r="B58" s="39" t="s">
        <v>499</v>
      </c>
      <c r="C58" s="39" t="n">
        <v>1.02</v>
      </c>
      <c r="D58" s="39" t="s">
        <v>500</v>
      </c>
      <c r="E58" s="39" t="s">
        <v>300</v>
      </c>
      <c r="F58" s="39" t="s">
        <v>463</v>
      </c>
      <c r="G58" s="51" t="s">
        <v>302</v>
      </c>
      <c r="H58" s="39"/>
    </row>
    <row r="59" customFormat="false" ht="12.8" hidden="false" customHeight="false" outlineLevel="0" collapsed="false">
      <c r="A59" s="39" t="s">
        <v>501</v>
      </c>
      <c r="B59" s="39" t="s">
        <v>502</v>
      </c>
      <c r="C59" s="39" t="n">
        <v>1.03</v>
      </c>
      <c r="D59" s="39" t="s">
        <v>503</v>
      </c>
      <c r="E59" s="39" t="s">
        <v>300</v>
      </c>
      <c r="F59" s="39" t="s">
        <v>463</v>
      </c>
      <c r="G59" s="51" t="s">
        <v>302</v>
      </c>
      <c r="H59" s="39"/>
    </row>
    <row r="60" customFormat="false" ht="12.8" hidden="false" customHeight="false" outlineLevel="0" collapsed="false">
      <c r="A60" s="39" t="s">
        <v>504</v>
      </c>
      <c r="B60" s="39" t="s">
        <v>505</v>
      </c>
      <c r="C60" s="39" t="n">
        <v>0.94</v>
      </c>
      <c r="D60" s="39" t="s">
        <v>506</v>
      </c>
      <c r="E60" s="39" t="s">
        <v>368</v>
      </c>
      <c r="F60" s="39" t="s">
        <v>463</v>
      </c>
      <c r="G60" s="51" t="s">
        <v>302</v>
      </c>
      <c r="H60" s="39" t="s">
        <v>507</v>
      </c>
    </row>
    <row r="61" customFormat="false" ht="12.8" hidden="false" customHeight="false" outlineLevel="0" collapsed="false">
      <c r="A61" s="39" t="s">
        <v>508</v>
      </c>
      <c r="B61" s="39" t="s">
        <v>509</v>
      </c>
      <c r="C61" s="39" t="n">
        <v>0.91</v>
      </c>
      <c r="D61" s="39" t="s">
        <v>510</v>
      </c>
      <c r="E61" s="39" t="s">
        <v>368</v>
      </c>
      <c r="F61" s="39" t="s">
        <v>463</v>
      </c>
      <c r="G61" s="51" t="s">
        <v>302</v>
      </c>
      <c r="H61" s="39" t="s">
        <v>511</v>
      </c>
    </row>
    <row r="62" customFormat="false" ht="12.8" hidden="false" customHeight="false" outlineLevel="0" collapsed="false">
      <c r="A62" s="39" t="s">
        <v>512</v>
      </c>
      <c r="B62" s="39" t="s">
        <v>513</v>
      </c>
      <c r="C62" s="39" t="n">
        <v>0.93</v>
      </c>
      <c r="D62" s="39" t="s">
        <v>514</v>
      </c>
      <c r="E62" s="39" t="s">
        <v>368</v>
      </c>
      <c r="F62" s="39" t="s">
        <v>463</v>
      </c>
      <c r="G62" s="51" t="s">
        <v>302</v>
      </c>
      <c r="H62" s="39" t="s">
        <v>515</v>
      </c>
    </row>
    <row r="63" customFormat="false" ht="12.8" hidden="false" customHeight="false" outlineLevel="0" collapsed="false">
      <c r="A63" s="39" t="s">
        <v>516</v>
      </c>
      <c r="B63" s="39" t="s">
        <v>517</v>
      </c>
      <c r="C63" s="39" t="n">
        <v>1.05</v>
      </c>
      <c r="D63" s="39" t="s">
        <v>518</v>
      </c>
      <c r="E63" s="39" t="s">
        <v>300</v>
      </c>
      <c r="F63" s="39" t="s">
        <v>463</v>
      </c>
      <c r="G63" s="51" t="s">
        <v>302</v>
      </c>
      <c r="H63" s="39"/>
    </row>
    <row r="64" customFormat="false" ht="12.8" hidden="false" customHeight="false" outlineLevel="0" collapsed="false">
      <c r="A64" s="39" t="s">
        <v>519</v>
      </c>
      <c r="B64" s="39" t="s">
        <v>520</v>
      </c>
      <c r="C64" s="39" t="n">
        <v>1.15</v>
      </c>
      <c r="D64" s="39" t="s">
        <v>521</v>
      </c>
      <c r="E64" s="39" t="s">
        <v>306</v>
      </c>
      <c r="F64" s="39" t="s">
        <v>409</v>
      </c>
      <c r="G64" s="51" t="s">
        <v>302</v>
      </c>
      <c r="H64" s="39"/>
    </row>
    <row r="65" customFormat="false" ht="12.8" hidden="false" customHeight="false" outlineLevel="0" collapsed="false">
      <c r="A65" s="39" t="s">
        <v>522</v>
      </c>
      <c r="B65" s="39" t="s">
        <v>523</v>
      </c>
      <c r="C65" s="39" t="n">
        <v>1.15</v>
      </c>
      <c r="D65" s="39" t="s">
        <v>524</v>
      </c>
      <c r="E65" s="39" t="s">
        <v>306</v>
      </c>
      <c r="F65" s="39" t="s">
        <v>409</v>
      </c>
      <c r="G65" s="51" t="s">
        <v>302</v>
      </c>
      <c r="H65" s="39"/>
    </row>
    <row r="66" customFormat="false" ht="12.8" hidden="false" customHeight="false" outlineLevel="0" collapsed="false">
      <c r="A66" s="39" t="s">
        <v>525</v>
      </c>
      <c r="B66" s="39" t="s">
        <v>526</v>
      </c>
      <c r="C66" s="39" t="n">
        <v>1.15</v>
      </c>
      <c r="D66" s="39" t="s">
        <v>527</v>
      </c>
      <c r="E66" s="39" t="s">
        <v>306</v>
      </c>
      <c r="F66" s="39" t="s">
        <v>409</v>
      </c>
      <c r="G66" s="51" t="s">
        <v>302</v>
      </c>
      <c r="H66" s="39"/>
    </row>
    <row r="67" customFormat="false" ht="12.8" hidden="false" customHeight="false" outlineLevel="0" collapsed="false">
      <c r="A67" s="39" t="s">
        <v>528</v>
      </c>
      <c r="B67" s="39" t="s">
        <v>529</v>
      </c>
      <c r="C67" s="39" t="n">
        <v>0.8</v>
      </c>
      <c r="D67" s="39" t="s">
        <v>530</v>
      </c>
      <c r="E67" s="39" t="s">
        <v>306</v>
      </c>
      <c r="F67" s="39" t="s">
        <v>409</v>
      </c>
      <c r="G67" s="51" t="s">
        <v>302</v>
      </c>
      <c r="H67" s="39"/>
    </row>
    <row r="68" customFormat="false" ht="12.8" hidden="false" customHeight="false" outlineLevel="0" collapsed="false">
      <c r="A68" s="39" t="s">
        <v>531</v>
      </c>
      <c r="B68" s="39" t="s">
        <v>532</v>
      </c>
      <c r="C68" s="39" t="n">
        <v>0.91</v>
      </c>
      <c r="D68" s="39" t="s">
        <v>533</v>
      </c>
      <c r="E68" s="39" t="s">
        <v>368</v>
      </c>
      <c r="F68" s="39" t="s">
        <v>463</v>
      </c>
      <c r="G68" s="51" t="s">
        <v>302</v>
      </c>
      <c r="H68" s="39"/>
    </row>
    <row r="69" customFormat="false" ht="12.8" hidden="false" customHeight="false" outlineLevel="0" collapsed="false">
      <c r="A69" s="39" t="s">
        <v>534</v>
      </c>
      <c r="B69" s="39" t="s">
        <v>535</v>
      </c>
      <c r="C69" s="39" t="n">
        <v>0.91</v>
      </c>
      <c r="D69" s="39" t="s">
        <v>536</v>
      </c>
      <c r="E69" s="39" t="s">
        <v>300</v>
      </c>
      <c r="F69" s="39" t="s">
        <v>463</v>
      </c>
      <c r="G69" s="51" t="s">
        <v>302</v>
      </c>
      <c r="H69" s="39"/>
    </row>
    <row r="70" customFormat="false" ht="12.8" hidden="false" customHeight="false" outlineLevel="0" collapsed="false">
      <c r="A70" s="39" t="s">
        <v>537</v>
      </c>
      <c r="B70" s="39" t="s">
        <v>538</v>
      </c>
      <c r="C70" s="39" t="n">
        <v>0.9</v>
      </c>
      <c r="D70" s="39" t="s">
        <v>539</v>
      </c>
      <c r="E70" s="39" t="s">
        <v>368</v>
      </c>
      <c r="F70" s="39" t="s">
        <v>463</v>
      </c>
      <c r="G70" s="51" t="s">
        <v>302</v>
      </c>
      <c r="H70" s="39"/>
    </row>
    <row r="71" customFormat="false" ht="12.8" hidden="false" customHeight="false" outlineLevel="0" collapsed="false">
      <c r="A71" s="39" t="s">
        <v>540</v>
      </c>
      <c r="B71" s="39" t="s">
        <v>541</v>
      </c>
      <c r="C71" s="39" t="n">
        <v>0.92</v>
      </c>
      <c r="D71" s="39" t="s">
        <v>542</v>
      </c>
      <c r="E71" s="39" t="s">
        <v>306</v>
      </c>
      <c r="F71" s="39" t="s">
        <v>463</v>
      </c>
      <c r="G71" s="51" t="s">
        <v>302</v>
      </c>
      <c r="H71" s="39"/>
    </row>
    <row r="72" customFormat="false" ht="12.8" hidden="false" customHeight="false" outlineLevel="0" collapsed="false">
      <c r="A72" s="39" t="s">
        <v>543</v>
      </c>
      <c r="B72" s="39" t="s">
        <v>544</v>
      </c>
      <c r="C72" s="39" t="n">
        <v>0.93</v>
      </c>
      <c r="D72" s="39" t="s">
        <v>545</v>
      </c>
      <c r="E72" s="39" t="s">
        <v>368</v>
      </c>
      <c r="F72" s="39" t="s">
        <v>463</v>
      </c>
      <c r="G72" s="51" t="s">
        <v>302</v>
      </c>
      <c r="H72" s="39"/>
    </row>
    <row r="73" customFormat="false" ht="12.8" hidden="false" customHeight="false" outlineLevel="0" collapsed="false">
      <c r="A73" s="39" t="s">
        <v>546</v>
      </c>
      <c r="B73" s="39" t="s">
        <v>547</v>
      </c>
      <c r="C73" s="39" t="n">
        <v>0.92</v>
      </c>
      <c r="D73" s="39" t="s">
        <v>548</v>
      </c>
      <c r="E73" s="39" t="s">
        <v>368</v>
      </c>
      <c r="F73" s="39" t="s">
        <v>463</v>
      </c>
      <c r="G73" s="51" t="s">
        <v>302</v>
      </c>
      <c r="H73" s="39"/>
    </row>
    <row r="74" customFormat="false" ht="12.8" hidden="false" customHeight="false" outlineLevel="0" collapsed="false">
      <c r="A74" s="39" t="s">
        <v>549</v>
      </c>
      <c r="B74" s="39" t="s">
        <v>550</v>
      </c>
      <c r="C74" s="39" t="n">
        <v>0.93</v>
      </c>
      <c r="D74" s="39" t="s">
        <v>551</v>
      </c>
      <c r="E74" s="39" t="s">
        <v>306</v>
      </c>
      <c r="F74" s="39" t="s">
        <v>463</v>
      </c>
      <c r="G74" s="51" t="s">
        <v>302</v>
      </c>
      <c r="H74" s="39"/>
    </row>
    <row r="75" customFormat="false" ht="12.8" hidden="false" customHeight="false" outlineLevel="0" collapsed="false">
      <c r="A75" s="39" t="s">
        <v>552</v>
      </c>
      <c r="B75" s="39" t="s">
        <v>553</v>
      </c>
      <c r="C75" s="39" t="n">
        <v>0.94</v>
      </c>
      <c r="D75" s="39" t="s">
        <v>554</v>
      </c>
      <c r="E75" s="39" t="s">
        <v>300</v>
      </c>
      <c r="F75" s="39" t="s">
        <v>463</v>
      </c>
      <c r="G75" s="51" t="s">
        <v>302</v>
      </c>
      <c r="H75" s="39"/>
    </row>
    <row r="76" customFormat="false" ht="12.8" hidden="false" customHeight="false" outlineLevel="0" collapsed="false">
      <c r="A76" s="39" t="s">
        <v>555</v>
      </c>
      <c r="B76" s="39" t="s">
        <v>556</v>
      </c>
      <c r="C76" s="39" t="n">
        <v>0.96</v>
      </c>
      <c r="D76" s="39" t="s">
        <v>557</v>
      </c>
      <c r="E76" s="39" t="s">
        <v>368</v>
      </c>
      <c r="F76" s="39" t="s">
        <v>463</v>
      </c>
      <c r="G76" s="51" t="s">
        <v>302</v>
      </c>
      <c r="H76" s="39"/>
    </row>
    <row r="77" customFormat="false" ht="12.8" hidden="false" customHeight="false" outlineLevel="0" collapsed="false">
      <c r="A77" s="39" t="s">
        <v>558</v>
      </c>
      <c r="B77" s="39" t="s">
        <v>559</v>
      </c>
      <c r="C77" s="39" t="n">
        <v>0.97</v>
      </c>
      <c r="D77" s="39" t="s">
        <v>560</v>
      </c>
      <c r="E77" s="39" t="s">
        <v>306</v>
      </c>
      <c r="F77" s="39" t="s">
        <v>463</v>
      </c>
      <c r="G77" s="51" t="s">
        <v>302</v>
      </c>
      <c r="H77" s="39"/>
    </row>
    <row r="78" customFormat="false" ht="12.8" hidden="false" customHeight="false" outlineLevel="0" collapsed="false">
      <c r="A78" s="39" t="s">
        <v>561</v>
      </c>
      <c r="B78" s="39" t="s">
        <v>562</v>
      </c>
      <c r="C78" s="39" t="n">
        <v>1.02</v>
      </c>
      <c r="D78" s="39" t="s">
        <v>563</v>
      </c>
      <c r="E78" s="39" t="s">
        <v>300</v>
      </c>
      <c r="F78" s="39" t="s">
        <v>463</v>
      </c>
      <c r="G78" s="51" t="s">
        <v>302</v>
      </c>
      <c r="H78" s="39"/>
    </row>
    <row r="79" customFormat="false" ht="12.8" hidden="false" customHeight="false" outlineLevel="0" collapsed="false">
      <c r="A79" s="39" t="s">
        <v>564</v>
      </c>
      <c r="B79" s="39" t="s">
        <v>565</v>
      </c>
      <c r="C79" s="39" t="n">
        <v>1.04</v>
      </c>
      <c r="D79" s="39" t="s">
        <v>566</v>
      </c>
      <c r="E79" s="39" t="s">
        <v>300</v>
      </c>
      <c r="F79" s="39" t="s">
        <v>463</v>
      </c>
      <c r="G79" s="51" t="s">
        <v>302</v>
      </c>
      <c r="H79" s="39"/>
    </row>
    <row r="80" customFormat="false" ht="12.8" hidden="false" customHeight="false" outlineLevel="0" collapsed="false">
      <c r="A80" s="39" t="s">
        <v>567</v>
      </c>
      <c r="B80" s="39" t="s">
        <v>568</v>
      </c>
      <c r="C80" s="39" t="n">
        <v>1.02</v>
      </c>
      <c r="D80" s="39" t="s">
        <v>569</v>
      </c>
      <c r="E80" s="39" t="s">
        <v>300</v>
      </c>
      <c r="F80" s="39" t="s">
        <v>463</v>
      </c>
      <c r="G80" s="51" t="s">
        <v>302</v>
      </c>
      <c r="H80" s="39"/>
    </row>
    <row r="81" customFormat="false" ht="12.8" hidden="false" customHeight="false" outlineLevel="0" collapsed="false">
      <c r="A81" s="39" t="s">
        <v>570</v>
      </c>
      <c r="B81" s="39" t="s">
        <v>571</v>
      </c>
      <c r="C81" s="39" t="n">
        <v>1.03</v>
      </c>
      <c r="D81" s="39" t="s">
        <v>572</v>
      </c>
      <c r="E81" s="39" t="s">
        <v>300</v>
      </c>
      <c r="F81" s="39" t="s">
        <v>463</v>
      </c>
      <c r="G81" s="51" t="s">
        <v>302</v>
      </c>
      <c r="H81" s="39"/>
    </row>
    <row r="82" customFormat="false" ht="12.8" hidden="false" customHeight="false" outlineLevel="0" collapsed="false">
      <c r="A82" s="39" t="s">
        <v>573</v>
      </c>
      <c r="B82" s="39" t="s">
        <v>574</v>
      </c>
      <c r="C82" s="39" t="n">
        <v>0.95</v>
      </c>
      <c r="D82" s="39" t="s">
        <v>575</v>
      </c>
      <c r="E82" s="39" t="s">
        <v>300</v>
      </c>
      <c r="F82" s="39" t="s">
        <v>463</v>
      </c>
      <c r="G82" s="51" t="s">
        <v>302</v>
      </c>
      <c r="H82" s="39"/>
    </row>
    <row r="83" customFormat="false" ht="12.8" hidden="false" customHeight="false" outlineLevel="0" collapsed="false">
      <c r="A83" s="39" t="s">
        <v>576</v>
      </c>
      <c r="B83" s="39" t="s">
        <v>577</v>
      </c>
      <c r="C83" s="39" t="n">
        <v>0.98</v>
      </c>
      <c r="D83" s="39" t="s">
        <v>578</v>
      </c>
      <c r="E83" s="39" t="s">
        <v>300</v>
      </c>
      <c r="F83" s="39" t="s">
        <v>463</v>
      </c>
      <c r="G83" s="51" t="s">
        <v>302</v>
      </c>
      <c r="H83" s="39"/>
    </row>
    <row r="84" customFormat="false" ht="12.8" hidden="false" customHeight="false" outlineLevel="0" collapsed="false">
      <c r="A84" s="39" t="s">
        <v>579</v>
      </c>
      <c r="B84" s="39" t="s">
        <v>580</v>
      </c>
      <c r="C84" s="39" t="n">
        <v>0.96</v>
      </c>
      <c r="D84" s="39" t="s">
        <v>581</v>
      </c>
      <c r="E84" s="39" t="s">
        <v>300</v>
      </c>
      <c r="F84" s="39" t="s">
        <v>463</v>
      </c>
      <c r="G84" s="51" t="s">
        <v>302</v>
      </c>
      <c r="H84" s="39"/>
    </row>
    <row r="85" customFormat="false" ht="12.8" hidden="false" customHeight="false" outlineLevel="0" collapsed="false">
      <c r="A85" s="39" t="s">
        <v>582</v>
      </c>
      <c r="B85" s="39" t="s">
        <v>583</v>
      </c>
      <c r="C85" s="39" t="n">
        <v>0.94</v>
      </c>
      <c r="D85" s="39" t="s">
        <v>584</v>
      </c>
      <c r="E85" s="39" t="s">
        <v>306</v>
      </c>
      <c r="F85" s="39" t="s">
        <v>463</v>
      </c>
      <c r="G85" s="51" t="s">
        <v>302</v>
      </c>
      <c r="H85" s="39"/>
    </row>
    <row r="86" customFormat="false" ht="12.8" hidden="false" customHeight="false" outlineLevel="0" collapsed="false">
      <c r="A86" s="39" t="s">
        <v>585</v>
      </c>
      <c r="B86" s="39" t="s">
        <v>586</v>
      </c>
      <c r="C86" s="39" t="n">
        <v>0.93</v>
      </c>
      <c r="D86" s="39" t="s">
        <v>587</v>
      </c>
      <c r="E86" s="39" t="s">
        <v>306</v>
      </c>
      <c r="F86" s="39" t="s">
        <v>463</v>
      </c>
      <c r="G86" s="51" t="s">
        <v>302</v>
      </c>
      <c r="H86" s="39"/>
    </row>
    <row r="87" customFormat="false" ht="12.8" hidden="false" customHeight="false" outlineLevel="0" collapsed="false">
      <c r="A87" s="39" t="s">
        <v>588</v>
      </c>
      <c r="B87" s="39" t="s">
        <v>589</v>
      </c>
      <c r="C87" s="39" t="n">
        <v>0.94</v>
      </c>
      <c r="D87" s="39" t="s">
        <v>590</v>
      </c>
      <c r="E87" s="39" t="s">
        <v>306</v>
      </c>
      <c r="F87" s="39" t="s">
        <v>463</v>
      </c>
      <c r="G87" s="51" t="s">
        <v>302</v>
      </c>
      <c r="H87" s="39"/>
    </row>
    <row r="88" customFormat="false" ht="12.8" hidden="false" customHeight="false" outlineLevel="0" collapsed="false">
      <c r="A88" s="39" t="s">
        <v>591</v>
      </c>
      <c r="B88" s="39" t="s">
        <v>592</v>
      </c>
      <c r="C88" s="39" t="n">
        <v>0.93</v>
      </c>
      <c r="D88" s="39" t="s">
        <v>593</v>
      </c>
      <c r="E88" s="39" t="s">
        <v>306</v>
      </c>
      <c r="F88" s="39" t="s">
        <v>463</v>
      </c>
      <c r="G88" s="51" t="s">
        <v>302</v>
      </c>
      <c r="H88" s="39"/>
    </row>
    <row r="89" customFormat="false" ht="12.8" hidden="false" customHeight="false" outlineLevel="0" collapsed="false">
      <c r="A89" s="39" t="s">
        <v>594</v>
      </c>
      <c r="B89" s="39" t="s">
        <v>595</v>
      </c>
      <c r="C89" s="39" t="n">
        <v>1.05</v>
      </c>
      <c r="D89" s="39" t="s">
        <v>596</v>
      </c>
      <c r="E89" s="39" t="s">
        <v>300</v>
      </c>
      <c r="F89" s="39" t="s">
        <v>463</v>
      </c>
      <c r="G89" s="51" t="s">
        <v>302</v>
      </c>
      <c r="H89" s="39"/>
    </row>
    <row r="90" customFormat="false" ht="12.8" hidden="false" customHeight="false" outlineLevel="0" collapsed="false">
      <c r="A90" s="39" t="s">
        <v>597</v>
      </c>
      <c r="B90" s="39" t="s">
        <v>598</v>
      </c>
      <c r="C90" s="39" t="n">
        <v>0.035</v>
      </c>
      <c r="D90" s="39" t="s">
        <v>599</v>
      </c>
      <c r="E90" s="39" t="s">
        <v>300</v>
      </c>
      <c r="F90" s="39" t="s">
        <v>600</v>
      </c>
      <c r="G90" s="51" t="s">
        <v>302</v>
      </c>
      <c r="H90" s="39" t="s">
        <v>601</v>
      </c>
    </row>
    <row r="91" customFormat="false" ht="12.8" hidden="false" customHeight="false" outlineLevel="0" collapsed="false">
      <c r="A91" s="39" t="s">
        <v>602</v>
      </c>
      <c r="B91" s="39" t="s">
        <v>603</v>
      </c>
      <c r="C91" s="39" t="n">
        <v>1.02</v>
      </c>
      <c r="D91" s="39" t="s">
        <v>604</v>
      </c>
      <c r="E91" s="39" t="s">
        <v>306</v>
      </c>
      <c r="F91" s="39" t="s">
        <v>381</v>
      </c>
      <c r="G91" s="51" t="s">
        <v>302</v>
      </c>
      <c r="H91" s="39" t="s">
        <v>605</v>
      </c>
    </row>
    <row r="92" customFormat="false" ht="12.8" hidden="false" customHeight="false" outlineLevel="0" collapsed="false">
      <c r="A92" s="39" t="s">
        <v>606</v>
      </c>
      <c r="B92" s="39" t="s">
        <v>607</v>
      </c>
      <c r="C92" s="39" t="n">
        <v>0.015</v>
      </c>
      <c r="D92" s="39" t="s">
        <v>608</v>
      </c>
      <c r="E92" s="39" t="s">
        <v>368</v>
      </c>
      <c r="F92" s="39" t="s">
        <v>463</v>
      </c>
      <c r="G92" s="51" t="s">
        <v>302</v>
      </c>
      <c r="H92" s="39" t="s">
        <v>609</v>
      </c>
    </row>
    <row r="93" customFormat="false" ht="12.8" hidden="false" customHeight="false" outlineLevel="0" collapsed="false">
      <c r="A93" s="39" t="s">
        <v>610</v>
      </c>
      <c r="B93" s="39" t="s">
        <v>611</v>
      </c>
      <c r="C93" s="39" t="n">
        <v>0.018</v>
      </c>
      <c r="D93" s="39" t="s">
        <v>612</v>
      </c>
      <c r="E93" s="39" t="s">
        <v>306</v>
      </c>
      <c r="F93" s="39" t="s">
        <v>463</v>
      </c>
      <c r="G93" s="51" t="s">
        <v>302</v>
      </c>
      <c r="H93" s="39" t="s">
        <v>613</v>
      </c>
    </row>
    <row r="94" customFormat="false" ht="12.8" hidden="false" customHeight="false" outlineLevel="0" collapsed="false">
      <c r="A94" s="39" t="s">
        <v>614</v>
      </c>
      <c r="B94" s="39" t="s">
        <v>615</v>
      </c>
      <c r="C94" s="39" t="n">
        <v>0.008</v>
      </c>
      <c r="D94" s="39" t="s">
        <v>616</v>
      </c>
      <c r="E94" s="39" t="s">
        <v>300</v>
      </c>
      <c r="F94" s="39" t="s">
        <v>463</v>
      </c>
      <c r="G94" s="51" t="s">
        <v>302</v>
      </c>
      <c r="H94" s="39" t="s">
        <v>617</v>
      </c>
    </row>
    <row r="95" customFormat="false" ht="12.8" hidden="false" customHeight="false" outlineLevel="0" collapsed="false">
      <c r="A95" s="39" t="s">
        <v>618</v>
      </c>
      <c r="B95" s="39" t="s">
        <v>619</v>
      </c>
      <c r="C95" s="39" t="n">
        <v>0.02</v>
      </c>
      <c r="D95" s="39" t="s">
        <v>620</v>
      </c>
      <c r="E95" s="39" t="s">
        <v>306</v>
      </c>
      <c r="F95" s="39" t="s">
        <v>463</v>
      </c>
      <c r="G95" s="51" t="s">
        <v>302</v>
      </c>
      <c r="H95" s="39" t="s">
        <v>621</v>
      </c>
    </row>
    <row r="96" customFormat="false" ht="12.8" hidden="false" customHeight="false" outlineLevel="0" collapsed="false">
      <c r="A96" s="39" t="s">
        <v>622</v>
      </c>
      <c r="B96" s="39" t="s">
        <v>623</v>
      </c>
      <c r="C96" s="39" t="n">
        <v>0.012</v>
      </c>
      <c r="D96" s="39" t="s">
        <v>624</v>
      </c>
      <c r="E96" s="39" t="s">
        <v>368</v>
      </c>
      <c r="F96" s="39" t="s">
        <v>463</v>
      </c>
      <c r="G96" s="51" t="s">
        <v>302</v>
      </c>
      <c r="H96" s="39" t="s">
        <v>625</v>
      </c>
    </row>
    <row r="97" customFormat="false" ht="12.8" hidden="false" customHeight="false" outlineLevel="0" collapsed="false">
      <c r="A97" s="39" t="s">
        <v>626</v>
      </c>
      <c r="B97" s="39" t="s">
        <v>627</v>
      </c>
      <c r="C97" s="39" t="n">
        <v>0.013</v>
      </c>
      <c r="D97" s="39" t="s">
        <v>628</v>
      </c>
      <c r="E97" s="39" t="s">
        <v>368</v>
      </c>
      <c r="F97" s="39" t="s">
        <v>463</v>
      </c>
      <c r="G97" s="51" t="s">
        <v>302</v>
      </c>
      <c r="H97" s="39" t="s">
        <v>625</v>
      </c>
    </row>
    <row r="98" customFormat="false" ht="12.8" hidden="false" customHeight="false" outlineLevel="0" collapsed="false">
      <c r="A98" s="39" t="s">
        <v>629</v>
      </c>
      <c r="B98" s="39" t="s">
        <v>630</v>
      </c>
      <c r="C98" s="39" t="n">
        <v>0.011</v>
      </c>
      <c r="D98" s="39" t="s">
        <v>631</v>
      </c>
      <c r="E98" s="39" t="s">
        <v>306</v>
      </c>
      <c r="F98" s="39" t="s">
        <v>463</v>
      </c>
      <c r="G98" s="51" t="s">
        <v>302</v>
      </c>
      <c r="H98" s="39" t="s">
        <v>632</v>
      </c>
    </row>
    <row r="99" customFormat="false" ht="12.8" hidden="false" customHeight="false" outlineLevel="0" collapsed="false">
      <c r="A99" s="39" t="s">
        <v>633</v>
      </c>
      <c r="B99" s="39" t="s">
        <v>634</v>
      </c>
      <c r="C99" s="39" t="n">
        <v>0.01</v>
      </c>
      <c r="D99" s="39" t="s">
        <v>635</v>
      </c>
      <c r="E99" s="39" t="s">
        <v>300</v>
      </c>
      <c r="F99" s="39" t="s">
        <v>463</v>
      </c>
      <c r="G99" s="51" t="s">
        <v>302</v>
      </c>
      <c r="H99" s="39" t="s">
        <v>636</v>
      </c>
    </row>
    <row r="100" customFormat="false" ht="12.8" hidden="false" customHeight="false" outlineLevel="0" collapsed="false">
      <c r="A100" s="39" t="s">
        <v>637</v>
      </c>
      <c r="B100" s="39" t="s">
        <v>638</v>
      </c>
      <c r="C100" s="39" t="n">
        <v>0.016</v>
      </c>
      <c r="D100" s="39" t="s">
        <v>639</v>
      </c>
      <c r="E100" s="39" t="s">
        <v>368</v>
      </c>
      <c r="F100" s="39" t="s">
        <v>463</v>
      </c>
      <c r="G100" s="51" t="s">
        <v>302</v>
      </c>
      <c r="H100" s="39" t="s">
        <v>640</v>
      </c>
    </row>
    <row r="101" customFormat="false" ht="12.8" hidden="false" customHeight="false" outlineLevel="0" collapsed="false">
      <c r="A101" s="39" t="s">
        <v>641</v>
      </c>
      <c r="B101" s="39" t="s">
        <v>642</v>
      </c>
      <c r="C101" s="39" t="n">
        <v>0.017</v>
      </c>
      <c r="D101" s="39" t="s">
        <v>643</v>
      </c>
      <c r="E101" s="39" t="s">
        <v>368</v>
      </c>
      <c r="F101" s="39" t="s">
        <v>463</v>
      </c>
      <c r="G101" s="51" t="s">
        <v>302</v>
      </c>
      <c r="H101" s="39" t="s">
        <v>644</v>
      </c>
    </row>
    <row r="102" customFormat="false" ht="12.8" hidden="false" customHeight="false" outlineLevel="0" collapsed="false">
      <c r="A102" s="39" t="s">
        <v>645</v>
      </c>
      <c r="B102" s="39" t="s">
        <v>646</v>
      </c>
      <c r="C102" s="39" t="n">
        <v>0.014</v>
      </c>
      <c r="D102" s="39" t="s">
        <v>647</v>
      </c>
      <c r="E102" s="39" t="s">
        <v>306</v>
      </c>
      <c r="F102" s="39" t="s">
        <v>463</v>
      </c>
      <c r="G102" s="51" t="s">
        <v>302</v>
      </c>
      <c r="H102" s="39" t="s">
        <v>648</v>
      </c>
    </row>
    <row r="103" customFormat="false" ht="12.8" hidden="false" customHeight="false" outlineLevel="0" collapsed="false">
      <c r="A103" s="39" t="s">
        <v>649</v>
      </c>
      <c r="B103" s="39" t="s">
        <v>650</v>
      </c>
      <c r="C103" s="39" t="n">
        <v>0.015</v>
      </c>
      <c r="D103" s="39" t="s">
        <v>651</v>
      </c>
      <c r="E103" s="39" t="s">
        <v>368</v>
      </c>
      <c r="F103" s="39" t="s">
        <v>463</v>
      </c>
      <c r="G103" s="51" t="s">
        <v>302</v>
      </c>
      <c r="H103" s="39" t="s">
        <v>652</v>
      </c>
    </row>
    <row r="104" customFormat="false" ht="12.8" hidden="false" customHeight="false" outlineLevel="0" collapsed="false">
      <c r="A104" s="39" t="s">
        <v>653</v>
      </c>
      <c r="B104" s="39" t="s">
        <v>654</v>
      </c>
      <c r="C104" s="39" t="n">
        <v>0.009</v>
      </c>
      <c r="D104" s="39" t="s">
        <v>655</v>
      </c>
      <c r="E104" s="39" t="s">
        <v>368</v>
      </c>
      <c r="F104" s="39" t="s">
        <v>463</v>
      </c>
      <c r="G104" s="51" t="s">
        <v>302</v>
      </c>
      <c r="H104" s="39" t="s">
        <v>656</v>
      </c>
    </row>
    <row r="105" customFormat="false" ht="12.8" hidden="false" customHeight="false" outlineLevel="0" collapsed="false">
      <c r="A105" s="39" t="s">
        <v>657</v>
      </c>
      <c r="B105" s="39" t="s">
        <v>658</v>
      </c>
      <c r="C105" s="39" t="n">
        <v>0.007</v>
      </c>
      <c r="D105" s="39" t="s">
        <v>659</v>
      </c>
      <c r="E105" s="39" t="s">
        <v>300</v>
      </c>
      <c r="F105" s="39" t="s">
        <v>463</v>
      </c>
      <c r="G105" s="51" t="s">
        <v>302</v>
      </c>
      <c r="H105" s="39" t="s">
        <v>660</v>
      </c>
    </row>
    <row r="106" customFormat="false" ht="12.8" hidden="false" customHeight="false" outlineLevel="0" collapsed="false">
      <c r="A106" s="39" t="s">
        <v>661</v>
      </c>
      <c r="B106" s="39" t="s">
        <v>662</v>
      </c>
      <c r="C106" s="39" t="n">
        <v>0.008</v>
      </c>
      <c r="D106" s="39" t="s">
        <v>663</v>
      </c>
      <c r="E106" s="39" t="s">
        <v>306</v>
      </c>
      <c r="F106" s="39" t="s">
        <v>463</v>
      </c>
      <c r="G106" s="51" t="s">
        <v>302</v>
      </c>
      <c r="H106" s="39" t="s">
        <v>664</v>
      </c>
    </row>
    <row r="107" customFormat="false" ht="12.8" hidden="false" customHeight="false" outlineLevel="0" collapsed="false">
      <c r="A107" s="39" t="s">
        <v>665</v>
      </c>
      <c r="B107" s="39" t="s">
        <v>666</v>
      </c>
      <c r="C107" s="39" t="n">
        <v>0.006</v>
      </c>
      <c r="D107" s="39" t="s">
        <v>667</v>
      </c>
      <c r="E107" s="39" t="s">
        <v>300</v>
      </c>
      <c r="F107" s="39" t="s">
        <v>463</v>
      </c>
      <c r="G107" s="51" t="s">
        <v>302</v>
      </c>
      <c r="H107" s="39" t="s">
        <v>668</v>
      </c>
    </row>
    <row r="108" customFormat="false" ht="12.8" hidden="false" customHeight="false" outlineLevel="0" collapsed="false">
      <c r="A108" s="39" t="s">
        <v>669</v>
      </c>
      <c r="B108" s="39" t="s">
        <v>670</v>
      </c>
      <c r="C108" s="39" t="n">
        <v>0.012</v>
      </c>
      <c r="D108" s="39" t="s">
        <v>671</v>
      </c>
      <c r="E108" s="39" t="s">
        <v>368</v>
      </c>
      <c r="F108" s="39" t="s">
        <v>463</v>
      </c>
      <c r="G108" s="51" t="s">
        <v>302</v>
      </c>
      <c r="H108" s="39" t="s">
        <v>672</v>
      </c>
    </row>
    <row r="109" customFormat="false" ht="12.8" hidden="false" customHeight="false" outlineLevel="0" collapsed="false">
      <c r="A109" s="39" t="s">
        <v>673</v>
      </c>
      <c r="B109" s="39" t="s">
        <v>674</v>
      </c>
      <c r="C109" s="39" t="n">
        <v>0.005</v>
      </c>
      <c r="D109" s="39" t="s">
        <v>675</v>
      </c>
      <c r="E109" s="39" t="s">
        <v>300</v>
      </c>
      <c r="F109" s="39" t="s">
        <v>463</v>
      </c>
      <c r="G109" s="51" t="s">
        <v>302</v>
      </c>
      <c r="H109" s="39" t="s">
        <v>676</v>
      </c>
    </row>
    <row r="110" customFormat="false" ht="12.8" hidden="false" customHeight="false" outlineLevel="0" collapsed="false">
      <c r="A110" s="39" t="s">
        <v>677</v>
      </c>
      <c r="B110" s="39" t="s">
        <v>678</v>
      </c>
      <c r="C110" s="39" t="n">
        <v>0.006</v>
      </c>
      <c r="D110" s="39" t="s">
        <v>679</v>
      </c>
      <c r="E110" s="39" t="s">
        <v>300</v>
      </c>
      <c r="F110" s="39" t="s">
        <v>463</v>
      </c>
      <c r="G110" s="51" t="s">
        <v>302</v>
      </c>
      <c r="H110" s="39" t="s">
        <v>680</v>
      </c>
    </row>
    <row r="111" customFormat="false" ht="12.8" hidden="false" customHeight="false" outlineLevel="0" collapsed="false">
      <c r="A111" s="39" t="s">
        <v>681</v>
      </c>
      <c r="B111" s="39" t="s">
        <v>682</v>
      </c>
      <c r="C111" s="39" t="n">
        <v>0.016</v>
      </c>
      <c r="D111" s="39" t="s">
        <v>683</v>
      </c>
      <c r="E111" s="39" t="s">
        <v>368</v>
      </c>
      <c r="F111" s="39" t="s">
        <v>463</v>
      </c>
      <c r="G111" s="51" t="s">
        <v>302</v>
      </c>
      <c r="H111" s="39" t="s">
        <v>684</v>
      </c>
    </row>
    <row r="112" customFormat="false" ht="12.8" hidden="false" customHeight="false" outlineLevel="0" collapsed="false">
      <c r="A112" s="39" t="s">
        <v>685</v>
      </c>
      <c r="B112" s="39" t="s">
        <v>686</v>
      </c>
      <c r="C112" s="39" t="n">
        <v>0.018</v>
      </c>
      <c r="D112" s="39" t="s">
        <v>687</v>
      </c>
      <c r="E112" s="39" t="s">
        <v>368</v>
      </c>
      <c r="F112" s="39" t="s">
        <v>463</v>
      </c>
      <c r="G112" s="51" t="s">
        <v>302</v>
      </c>
      <c r="H112" s="39" t="s">
        <v>688</v>
      </c>
    </row>
    <row r="113" customFormat="false" ht="12.8" hidden="false" customHeight="false" outlineLevel="0" collapsed="false">
      <c r="A113" s="39" t="s">
        <v>689</v>
      </c>
      <c r="B113" s="39" t="s">
        <v>690</v>
      </c>
      <c r="C113" s="39" t="n">
        <v>0.013</v>
      </c>
      <c r="D113" s="39" t="s">
        <v>691</v>
      </c>
      <c r="E113" s="39" t="s">
        <v>368</v>
      </c>
      <c r="F113" s="39" t="s">
        <v>463</v>
      </c>
      <c r="G113" s="51" t="s">
        <v>302</v>
      </c>
      <c r="H113" s="39" t="s">
        <v>692</v>
      </c>
    </row>
    <row r="114" customFormat="false" ht="12.8" hidden="false" customHeight="false" outlineLevel="0" collapsed="false">
      <c r="A114" s="39" t="s">
        <v>693</v>
      </c>
      <c r="B114" s="39" t="s">
        <v>694</v>
      </c>
      <c r="C114" s="39" t="n">
        <v>0.004</v>
      </c>
      <c r="D114" s="39" t="s">
        <v>695</v>
      </c>
      <c r="E114" s="39" t="s">
        <v>300</v>
      </c>
      <c r="F114" s="39" t="s">
        <v>463</v>
      </c>
      <c r="G114" s="51" t="s">
        <v>302</v>
      </c>
      <c r="H114" s="39" t="s">
        <v>696</v>
      </c>
    </row>
    <row r="115" customFormat="false" ht="12.8" hidden="false" customHeight="false" outlineLevel="0" collapsed="false">
      <c r="A115" s="39" t="s">
        <v>697</v>
      </c>
      <c r="B115" s="39" t="s">
        <v>698</v>
      </c>
      <c r="C115" s="39" t="n">
        <v>0.91</v>
      </c>
      <c r="D115" s="39" t="s">
        <v>699</v>
      </c>
      <c r="E115" s="39" t="s">
        <v>368</v>
      </c>
      <c r="F115" s="39" t="s">
        <v>463</v>
      </c>
      <c r="G115" s="51" t="s">
        <v>302</v>
      </c>
      <c r="H115" s="39" t="s">
        <v>700</v>
      </c>
    </row>
    <row r="116" customFormat="false" ht="12.8" hidden="false" customHeight="false" outlineLevel="0" collapsed="false">
      <c r="A116" s="39" t="s">
        <v>701</v>
      </c>
      <c r="B116" s="39" t="s">
        <v>702</v>
      </c>
      <c r="C116" s="39" t="n">
        <v>0.93</v>
      </c>
      <c r="D116" s="39" t="s">
        <v>703</v>
      </c>
      <c r="E116" s="39" t="s">
        <v>306</v>
      </c>
      <c r="F116" s="39" t="s">
        <v>463</v>
      </c>
      <c r="G116" s="51" t="s">
        <v>302</v>
      </c>
      <c r="H116" s="39" t="s">
        <v>704</v>
      </c>
    </row>
    <row r="117" customFormat="false" ht="12.8" hidden="false" customHeight="false" outlineLevel="0" collapsed="false">
      <c r="A117" s="39" t="s">
        <v>705</v>
      </c>
      <c r="B117" s="39" t="s">
        <v>706</v>
      </c>
      <c r="C117" s="39" t="n">
        <v>0.99</v>
      </c>
      <c r="D117" s="39" t="s">
        <v>707</v>
      </c>
      <c r="E117" s="39" t="s">
        <v>300</v>
      </c>
      <c r="F117" s="39" t="s">
        <v>463</v>
      </c>
      <c r="G117" s="51" t="s">
        <v>302</v>
      </c>
      <c r="H117" s="39" t="s">
        <v>708</v>
      </c>
    </row>
    <row r="118" customFormat="false" ht="12.8" hidden="false" customHeight="false" outlineLevel="0" collapsed="false">
      <c r="A118" s="39" t="s">
        <v>709</v>
      </c>
      <c r="B118" s="39" t="s">
        <v>710</v>
      </c>
      <c r="C118" s="39" t="n">
        <v>0.9</v>
      </c>
      <c r="D118" s="39" t="s">
        <v>711</v>
      </c>
      <c r="E118" s="39" t="s">
        <v>306</v>
      </c>
      <c r="F118" s="39" t="s">
        <v>463</v>
      </c>
      <c r="G118" s="51" t="s">
        <v>302</v>
      </c>
      <c r="H118" s="39" t="s">
        <v>712</v>
      </c>
    </row>
    <row r="119" customFormat="false" ht="12.8" hidden="false" customHeight="false" outlineLevel="0" collapsed="false">
      <c r="A119" s="39" t="s">
        <v>713</v>
      </c>
      <c r="B119" s="39" t="s">
        <v>714</v>
      </c>
      <c r="C119" s="39" t="n">
        <v>0.94</v>
      </c>
      <c r="D119" s="39" t="s">
        <v>715</v>
      </c>
      <c r="E119" s="39" t="s">
        <v>368</v>
      </c>
      <c r="F119" s="39" t="s">
        <v>463</v>
      </c>
      <c r="G119" s="51" t="s">
        <v>302</v>
      </c>
      <c r="H119" s="39" t="s">
        <v>716</v>
      </c>
    </row>
    <row r="120" customFormat="false" ht="12.8" hidden="false" customHeight="false" outlineLevel="0" collapsed="false">
      <c r="A120" s="39" t="s">
        <v>717</v>
      </c>
      <c r="B120" s="39" t="s">
        <v>718</v>
      </c>
      <c r="C120" s="39" t="n">
        <v>0.95</v>
      </c>
      <c r="D120" s="39" t="s">
        <v>719</v>
      </c>
      <c r="E120" s="39" t="s">
        <v>368</v>
      </c>
      <c r="F120" s="39" t="s">
        <v>463</v>
      </c>
      <c r="G120" s="51" t="s">
        <v>302</v>
      </c>
      <c r="H120" s="39" t="s">
        <v>720</v>
      </c>
    </row>
    <row r="121" customFormat="false" ht="12.8" hidden="false" customHeight="false" outlineLevel="0" collapsed="false">
      <c r="A121" s="39" t="s">
        <v>721</v>
      </c>
      <c r="B121" s="39" t="s">
        <v>722</v>
      </c>
      <c r="C121" s="39" t="n">
        <v>0.93</v>
      </c>
      <c r="D121" s="39" t="s">
        <v>723</v>
      </c>
      <c r="E121" s="39" t="s">
        <v>306</v>
      </c>
      <c r="F121" s="39" t="s">
        <v>463</v>
      </c>
      <c r="G121" s="51" t="s">
        <v>302</v>
      </c>
      <c r="H121" s="39" t="s">
        <v>724</v>
      </c>
    </row>
    <row r="122" customFormat="false" ht="12.8" hidden="false" customHeight="false" outlineLevel="0" collapsed="false">
      <c r="A122" s="39" t="s">
        <v>725</v>
      </c>
      <c r="B122" s="39" t="s">
        <v>726</v>
      </c>
      <c r="C122" s="39" t="n">
        <v>0.96</v>
      </c>
      <c r="D122" s="39" t="s">
        <v>727</v>
      </c>
      <c r="E122" s="39" t="s">
        <v>300</v>
      </c>
      <c r="F122" s="39" t="s">
        <v>463</v>
      </c>
      <c r="G122" s="51" t="s">
        <v>302</v>
      </c>
      <c r="H122" s="39" t="s">
        <v>728</v>
      </c>
    </row>
    <row r="123" customFormat="false" ht="12.8" hidden="false" customHeight="false" outlineLevel="0" collapsed="false">
      <c r="A123" s="39" t="s">
        <v>729</v>
      </c>
      <c r="B123" s="39" t="s">
        <v>730</v>
      </c>
      <c r="C123" s="39" t="n">
        <v>0.92</v>
      </c>
      <c r="D123" s="39" t="s">
        <v>731</v>
      </c>
      <c r="E123" s="39" t="s">
        <v>368</v>
      </c>
      <c r="F123" s="39" t="s">
        <v>463</v>
      </c>
      <c r="G123" s="51" t="s">
        <v>302</v>
      </c>
      <c r="H123" s="39" t="s">
        <v>732</v>
      </c>
    </row>
    <row r="124" customFormat="false" ht="12.8" hidden="false" customHeight="false" outlineLevel="0" collapsed="false">
      <c r="A124" s="39" t="s">
        <v>733</v>
      </c>
      <c r="B124" s="39" t="s">
        <v>734</v>
      </c>
      <c r="C124" s="39" t="n">
        <v>0.91</v>
      </c>
      <c r="D124" s="39" t="s">
        <v>735</v>
      </c>
      <c r="E124" s="39" t="s">
        <v>368</v>
      </c>
      <c r="F124" s="39" t="s">
        <v>463</v>
      </c>
      <c r="G124" s="51" t="s">
        <v>302</v>
      </c>
      <c r="H124" s="39" t="s">
        <v>736</v>
      </c>
    </row>
    <row r="125" customFormat="false" ht="12.8" hidden="false" customHeight="false" outlineLevel="0" collapsed="false">
      <c r="A125" s="39" t="s">
        <v>737</v>
      </c>
      <c r="B125" s="39" t="s">
        <v>738</v>
      </c>
      <c r="C125" s="39" t="n">
        <v>0.94</v>
      </c>
      <c r="D125" s="39" t="s">
        <v>739</v>
      </c>
      <c r="E125" s="39" t="s">
        <v>306</v>
      </c>
      <c r="F125" s="39" t="s">
        <v>463</v>
      </c>
      <c r="G125" s="51" t="s">
        <v>302</v>
      </c>
      <c r="H125" s="39" t="s">
        <v>740</v>
      </c>
    </row>
    <row r="126" customFormat="false" ht="12.8" hidden="false" customHeight="false" outlineLevel="0" collapsed="false">
      <c r="A126" s="39" t="s">
        <v>741</v>
      </c>
      <c r="B126" s="39" t="s">
        <v>742</v>
      </c>
      <c r="C126" s="39" t="n">
        <v>0.92</v>
      </c>
      <c r="D126" s="39" t="s">
        <v>743</v>
      </c>
      <c r="E126" s="39" t="s">
        <v>368</v>
      </c>
      <c r="F126" s="39" t="s">
        <v>463</v>
      </c>
      <c r="G126" s="51" t="s">
        <v>302</v>
      </c>
      <c r="H126" s="39" t="s">
        <v>744</v>
      </c>
    </row>
    <row r="127" customFormat="false" ht="12.8" hidden="false" customHeight="false" outlineLevel="0" collapsed="false">
      <c r="A127" s="39" t="s">
        <v>745</v>
      </c>
      <c r="B127" s="39" t="s">
        <v>746</v>
      </c>
      <c r="C127" s="39" t="n">
        <v>0.97</v>
      </c>
      <c r="D127" s="39" t="s">
        <v>747</v>
      </c>
      <c r="E127" s="39" t="s">
        <v>368</v>
      </c>
      <c r="F127" s="39" t="s">
        <v>463</v>
      </c>
      <c r="G127" s="51" t="s">
        <v>302</v>
      </c>
      <c r="H127" s="39" t="s">
        <v>748</v>
      </c>
    </row>
    <row r="128" customFormat="false" ht="12.8" hidden="false" customHeight="false" outlineLevel="0" collapsed="false">
      <c r="A128" s="39" t="s">
        <v>749</v>
      </c>
      <c r="B128" s="39" t="s">
        <v>750</v>
      </c>
      <c r="C128" s="39" t="n">
        <v>1.01</v>
      </c>
      <c r="D128" s="39" t="s">
        <v>751</v>
      </c>
      <c r="E128" s="39" t="s">
        <v>300</v>
      </c>
      <c r="F128" s="39" t="s">
        <v>463</v>
      </c>
      <c r="G128" s="51" t="s">
        <v>302</v>
      </c>
      <c r="H128" s="39" t="s">
        <v>752</v>
      </c>
    </row>
    <row r="129" customFormat="false" ht="12.8" hidden="false" customHeight="false" outlineLevel="0" collapsed="false">
      <c r="A129" s="39" t="s">
        <v>753</v>
      </c>
      <c r="B129" s="39" t="s">
        <v>754</v>
      </c>
      <c r="C129" s="39" t="n">
        <v>0.98</v>
      </c>
      <c r="D129" s="39" t="s">
        <v>755</v>
      </c>
      <c r="E129" s="39" t="s">
        <v>306</v>
      </c>
      <c r="F129" s="39" t="s">
        <v>463</v>
      </c>
      <c r="G129" s="51" t="s">
        <v>302</v>
      </c>
      <c r="H129" s="39" t="s">
        <v>756</v>
      </c>
    </row>
    <row r="130" customFormat="false" ht="12.8" hidden="false" customHeight="false" outlineLevel="0" collapsed="false">
      <c r="A130" s="39" t="s">
        <v>757</v>
      </c>
      <c r="B130" s="39" t="s">
        <v>758</v>
      </c>
      <c r="C130" s="39" t="n">
        <v>1.03</v>
      </c>
      <c r="D130" s="39" t="s">
        <v>759</v>
      </c>
      <c r="E130" s="39" t="s">
        <v>300</v>
      </c>
      <c r="F130" s="39" t="s">
        <v>463</v>
      </c>
      <c r="G130" s="51" t="s">
        <v>302</v>
      </c>
      <c r="H130" s="39" t="s">
        <v>760</v>
      </c>
    </row>
    <row r="131" customFormat="false" ht="12.8" hidden="false" customHeight="false" outlineLevel="0" collapsed="false">
      <c r="A131" s="39" t="s">
        <v>761</v>
      </c>
      <c r="B131" s="39" t="s">
        <v>762</v>
      </c>
      <c r="C131" s="39" t="n">
        <v>0.94</v>
      </c>
      <c r="D131" s="39" t="s">
        <v>763</v>
      </c>
      <c r="E131" s="39" t="s">
        <v>368</v>
      </c>
      <c r="F131" s="39" t="s">
        <v>463</v>
      </c>
      <c r="G131" s="51" t="s">
        <v>302</v>
      </c>
      <c r="H131" s="39" t="s">
        <v>764</v>
      </c>
    </row>
    <row r="132" customFormat="false" ht="12.8" hidden="false" customHeight="false" outlineLevel="0" collapsed="false">
      <c r="A132" s="39" t="s">
        <v>765</v>
      </c>
      <c r="B132" s="39" t="s">
        <v>766</v>
      </c>
      <c r="C132" s="39" t="n">
        <v>1.01</v>
      </c>
      <c r="D132" s="39" t="s">
        <v>767</v>
      </c>
      <c r="E132" s="39" t="s">
        <v>300</v>
      </c>
      <c r="F132" s="39" t="s">
        <v>463</v>
      </c>
      <c r="G132" s="51" t="s">
        <v>302</v>
      </c>
      <c r="H132" s="39" t="s">
        <v>768</v>
      </c>
    </row>
    <row r="133" customFormat="false" ht="12.8" hidden="false" customHeight="false" outlineLevel="0" collapsed="false">
      <c r="A133" s="39" t="s">
        <v>769</v>
      </c>
      <c r="B133" s="39" t="s">
        <v>770</v>
      </c>
      <c r="C133" s="39" t="n">
        <v>1.02</v>
      </c>
      <c r="D133" s="39" t="s">
        <v>771</v>
      </c>
      <c r="E133" s="39" t="s">
        <v>300</v>
      </c>
      <c r="F133" s="39" t="s">
        <v>463</v>
      </c>
      <c r="G133" s="51" t="s">
        <v>302</v>
      </c>
      <c r="H133" s="39" t="s">
        <v>772</v>
      </c>
    </row>
    <row r="134" customFormat="false" ht="12.8" hidden="false" customHeight="false" outlineLevel="0" collapsed="false">
      <c r="A134" s="39" t="s">
        <v>773</v>
      </c>
      <c r="B134" s="39" t="s">
        <v>774</v>
      </c>
      <c r="C134" s="39" t="n">
        <v>0.93</v>
      </c>
      <c r="D134" s="39" t="s">
        <v>775</v>
      </c>
      <c r="E134" s="39" t="s">
        <v>368</v>
      </c>
      <c r="F134" s="39" t="s">
        <v>463</v>
      </c>
      <c r="G134" s="51" t="s">
        <v>302</v>
      </c>
      <c r="H134" s="39" t="s">
        <v>776</v>
      </c>
    </row>
    <row r="135" customFormat="false" ht="12.8" hidden="false" customHeight="false" outlineLevel="0" collapsed="false">
      <c r="A135" s="39" t="s">
        <v>777</v>
      </c>
      <c r="B135" s="39" t="s">
        <v>778</v>
      </c>
      <c r="C135" s="39" t="n">
        <v>0.9</v>
      </c>
      <c r="D135" s="39" t="s">
        <v>779</v>
      </c>
      <c r="E135" s="39" t="s">
        <v>368</v>
      </c>
      <c r="F135" s="39" t="s">
        <v>463</v>
      </c>
      <c r="G135" s="51" t="s">
        <v>302</v>
      </c>
      <c r="H135" s="39" t="s">
        <v>780</v>
      </c>
    </row>
    <row r="136" customFormat="false" ht="12.8" hidden="false" customHeight="false" outlineLevel="0" collapsed="false">
      <c r="A136" s="39" t="s">
        <v>781</v>
      </c>
      <c r="B136" s="39" t="s">
        <v>782</v>
      </c>
      <c r="C136" s="39" t="n">
        <v>0.95</v>
      </c>
      <c r="D136" s="39" t="s">
        <v>783</v>
      </c>
      <c r="E136" s="39" t="s">
        <v>368</v>
      </c>
      <c r="F136" s="39" t="s">
        <v>463</v>
      </c>
      <c r="G136" s="51" t="s">
        <v>302</v>
      </c>
      <c r="H136" s="39" t="s">
        <v>784</v>
      </c>
    </row>
    <row r="137" customFormat="false" ht="12.8" hidden="false" customHeight="false" outlineLevel="0" collapsed="false">
      <c r="A137" s="39" t="s">
        <v>785</v>
      </c>
      <c r="B137" s="39" t="s">
        <v>786</v>
      </c>
      <c r="C137" s="39" t="n">
        <v>1.04</v>
      </c>
      <c r="D137" s="39" t="s">
        <v>787</v>
      </c>
      <c r="E137" s="39" t="s">
        <v>300</v>
      </c>
      <c r="F137" s="39" t="s">
        <v>463</v>
      </c>
      <c r="G137" s="51" t="s">
        <v>302</v>
      </c>
      <c r="H137" s="39" t="s">
        <v>788</v>
      </c>
    </row>
    <row r="138" customFormat="false" ht="12.8" hidden="false" customHeight="false" outlineLevel="0" collapsed="false">
      <c r="A138" s="39" t="s">
        <v>789</v>
      </c>
      <c r="B138" s="39" t="s">
        <v>790</v>
      </c>
      <c r="C138" s="39" t="n">
        <v>1.12</v>
      </c>
      <c r="D138" s="39" t="s">
        <v>791</v>
      </c>
      <c r="E138" s="39" t="s">
        <v>306</v>
      </c>
      <c r="F138" s="39" t="s">
        <v>792</v>
      </c>
      <c r="G138" s="51" t="s">
        <v>302</v>
      </c>
      <c r="H138" s="39" t="s">
        <v>793</v>
      </c>
    </row>
    <row r="139" customFormat="false" ht="12.8" hidden="false" customHeight="false" outlineLevel="0" collapsed="false">
      <c r="A139" s="39" t="s">
        <v>794</v>
      </c>
      <c r="B139" s="39" t="s">
        <v>795</v>
      </c>
      <c r="C139" s="39" t="n">
        <v>1.1</v>
      </c>
      <c r="D139" s="39" t="s">
        <v>796</v>
      </c>
      <c r="E139" s="39" t="s">
        <v>306</v>
      </c>
      <c r="F139" s="39" t="s">
        <v>792</v>
      </c>
      <c r="G139" s="51" t="s">
        <v>302</v>
      </c>
      <c r="H139" s="39" t="s">
        <v>797</v>
      </c>
    </row>
    <row r="140" customFormat="false" ht="12.8" hidden="false" customHeight="false" outlineLevel="0" collapsed="false">
      <c r="A140" s="39" t="s">
        <v>798</v>
      </c>
      <c r="B140" s="39" t="s">
        <v>799</v>
      </c>
      <c r="C140" s="39" t="n">
        <v>0.85</v>
      </c>
      <c r="D140" s="39" t="s">
        <v>800</v>
      </c>
      <c r="E140" s="39" t="s">
        <v>300</v>
      </c>
      <c r="F140" s="39" t="s">
        <v>792</v>
      </c>
      <c r="G140" s="51" t="s">
        <v>302</v>
      </c>
      <c r="H140" s="39" t="s">
        <v>801</v>
      </c>
    </row>
    <row r="141" customFormat="false" ht="12.8" hidden="false" customHeight="false" outlineLevel="0" collapsed="false">
      <c r="A141" s="39" t="s">
        <v>802</v>
      </c>
      <c r="B141" s="39" t="s">
        <v>803</v>
      </c>
      <c r="C141" s="39" t="n">
        <v>1.15</v>
      </c>
      <c r="D141" s="39" t="s">
        <v>804</v>
      </c>
      <c r="E141" s="39" t="s">
        <v>306</v>
      </c>
      <c r="F141" s="39" t="s">
        <v>792</v>
      </c>
      <c r="G141" s="51" t="s">
        <v>302</v>
      </c>
      <c r="H141" s="39" t="s">
        <v>805</v>
      </c>
    </row>
    <row r="142" customFormat="false" ht="12.8" hidden="false" customHeight="false" outlineLevel="0" collapsed="false">
      <c r="A142" s="39" t="s">
        <v>806</v>
      </c>
      <c r="B142" s="39" t="s">
        <v>807</v>
      </c>
      <c r="C142" s="39" t="n">
        <v>1.08</v>
      </c>
      <c r="D142" s="39" t="s">
        <v>808</v>
      </c>
      <c r="E142" s="39" t="s">
        <v>368</v>
      </c>
      <c r="F142" s="39" t="s">
        <v>792</v>
      </c>
      <c r="G142" s="51" t="s">
        <v>302</v>
      </c>
      <c r="H142" s="39" t="s">
        <v>809</v>
      </c>
    </row>
    <row r="143" customFormat="false" ht="12.8" hidden="false" customHeight="false" outlineLevel="0" collapsed="false">
      <c r="A143" s="39" t="s">
        <v>810</v>
      </c>
      <c r="B143" s="39" t="s">
        <v>811</v>
      </c>
      <c r="C143" s="39" t="n">
        <v>1.07</v>
      </c>
      <c r="D143" s="39" t="s">
        <v>812</v>
      </c>
      <c r="E143" s="39" t="s">
        <v>368</v>
      </c>
      <c r="F143" s="39" t="s">
        <v>792</v>
      </c>
      <c r="G143" s="51" t="s">
        <v>302</v>
      </c>
      <c r="H143" s="39" t="s">
        <v>716</v>
      </c>
    </row>
    <row r="144" customFormat="false" ht="12.8" hidden="false" customHeight="false" outlineLevel="0" collapsed="false">
      <c r="A144" s="39" t="s">
        <v>813</v>
      </c>
      <c r="B144" s="39" t="s">
        <v>814</v>
      </c>
      <c r="C144" s="39" t="n">
        <v>1.06</v>
      </c>
      <c r="D144" s="39" t="s">
        <v>815</v>
      </c>
      <c r="E144" s="39" t="s">
        <v>306</v>
      </c>
      <c r="F144" s="39" t="s">
        <v>792</v>
      </c>
      <c r="G144" s="51" t="s">
        <v>302</v>
      </c>
      <c r="H144" s="39" t="s">
        <v>816</v>
      </c>
    </row>
    <row r="145" customFormat="false" ht="12.8" hidden="false" customHeight="false" outlineLevel="0" collapsed="false">
      <c r="A145" s="39" t="s">
        <v>817</v>
      </c>
      <c r="B145" s="39" t="s">
        <v>818</v>
      </c>
      <c r="C145" s="39" t="n">
        <v>0.95</v>
      </c>
      <c r="D145" s="39" t="s">
        <v>819</v>
      </c>
      <c r="E145" s="39" t="s">
        <v>300</v>
      </c>
      <c r="F145" s="39" t="s">
        <v>792</v>
      </c>
      <c r="G145" s="51" t="s">
        <v>302</v>
      </c>
      <c r="H145" s="39" t="s">
        <v>820</v>
      </c>
    </row>
    <row r="146" customFormat="false" ht="12.8" hidden="false" customHeight="false" outlineLevel="0" collapsed="false">
      <c r="A146" s="39" t="s">
        <v>821</v>
      </c>
      <c r="B146" s="39" t="s">
        <v>822</v>
      </c>
      <c r="C146" s="39" t="n">
        <v>1.09</v>
      </c>
      <c r="D146" s="39" t="s">
        <v>823</v>
      </c>
      <c r="E146" s="39" t="s">
        <v>368</v>
      </c>
      <c r="F146" s="39" t="s">
        <v>792</v>
      </c>
      <c r="G146" s="51" t="s">
        <v>302</v>
      </c>
      <c r="H146" s="39" t="s">
        <v>824</v>
      </c>
    </row>
    <row r="147" customFormat="false" ht="12.8" hidden="false" customHeight="false" outlineLevel="0" collapsed="false">
      <c r="A147" s="39" t="s">
        <v>825</v>
      </c>
      <c r="B147" s="39" t="s">
        <v>826</v>
      </c>
      <c r="C147" s="39" t="n">
        <v>1.11</v>
      </c>
      <c r="D147" s="39" t="s">
        <v>827</v>
      </c>
      <c r="E147" s="39" t="s">
        <v>368</v>
      </c>
      <c r="F147" s="39" t="s">
        <v>792</v>
      </c>
      <c r="G147" s="51" t="s">
        <v>302</v>
      </c>
      <c r="H147" s="39" t="s">
        <v>828</v>
      </c>
    </row>
    <row r="148" customFormat="false" ht="12.8" hidden="false" customHeight="false" outlineLevel="0" collapsed="false">
      <c r="A148" s="39" t="s">
        <v>829</v>
      </c>
      <c r="B148" s="39" t="s">
        <v>830</v>
      </c>
      <c r="C148" s="39" t="n">
        <v>1.08</v>
      </c>
      <c r="D148" s="39" t="s">
        <v>831</v>
      </c>
      <c r="E148" s="39" t="s">
        <v>306</v>
      </c>
      <c r="F148" s="39" t="s">
        <v>792</v>
      </c>
      <c r="G148" s="51" t="s">
        <v>302</v>
      </c>
      <c r="H148" s="39" t="s">
        <v>832</v>
      </c>
    </row>
    <row r="149" customFormat="false" ht="12.8" hidden="false" customHeight="false" outlineLevel="0" collapsed="false">
      <c r="A149" s="39" t="s">
        <v>833</v>
      </c>
      <c r="B149" s="39" t="s">
        <v>834</v>
      </c>
      <c r="C149" s="39" t="n">
        <v>1.1</v>
      </c>
      <c r="D149" s="39" t="s">
        <v>835</v>
      </c>
      <c r="E149" s="39" t="s">
        <v>368</v>
      </c>
      <c r="F149" s="39" t="s">
        <v>792</v>
      </c>
      <c r="G149" s="51" t="s">
        <v>302</v>
      </c>
      <c r="H149" s="39" t="s">
        <v>836</v>
      </c>
    </row>
    <row r="150" customFormat="false" ht="12.8" hidden="false" customHeight="false" outlineLevel="0" collapsed="false">
      <c r="A150" s="39" t="s">
        <v>837</v>
      </c>
      <c r="B150" s="39" t="s">
        <v>838</v>
      </c>
      <c r="C150" s="39" t="n">
        <v>0.9</v>
      </c>
      <c r="D150" s="39" t="s">
        <v>839</v>
      </c>
      <c r="E150" s="39" t="s">
        <v>368</v>
      </c>
      <c r="F150" s="39" t="s">
        <v>792</v>
      </c>
      <c r="G150" s="51" t="s">
        <v>302</v>
      </c>
      <c r="H150" s="39" t="s">
        <v>840</v>
      </c>
    </row>
    <row r="151" customFormat="false" ht="12.8" hidden="false" customHeight="false" outlineLevel="0" collapsed="false">
      <c r="A151" s="39" t="s">
        <v>841</v>
      </c>
      <c r="B151" s="39" t="s">
        <v>842</v>
      </c>
      <c r="C151" s="39" t="n">
        <v>0.82</v>
      </c>
      <c r="D151" s="39" t="s">
        <v>843</v>
      </c>
      <c r="E151" s="39" t="s">
        <v>300</v>
      </c>
      <c r="F151" s="39" t="s">
        <v>792</v>
      </c>
      <c r="G151" s="51" t="s">
        <v>302</v>
      </c>
      <c r="H151" s="39" t="s">
        <v>844</v>
      </c>
    </row>
    <row r="152" customFormat="false" ht="12.8" hidden="false" customHeight="false" outlineLevel="0" collapsed="false">
      <c r="A152" s="39" t="s">
        <v>845</v>
      </c>
      <c r="B152" s="39" t="s">
        <v>846</v>
      </c>
      <c r="C152" s="39" t="n">
        <v>0.88</v>
      </c>
      <c r="D152" s="39" t="s">
        <v>847</v>
      </c>
      <c r="E152" s="39" t="s">
        <v>306</v>
      </c>
      <c r="F152" s="39" t="s">
        <v>792</v>
      </c>
      <c r="G152" s="51" t="s">
        <v>302</v>
      </c>
      <c r="H152" s="39" t="s">
        <v>848</v>
      </c>
    </row>
    <row r="153" customFormat="false" ht="12.8" hidden="false" customHeight="false" outlineLevel="0" collapsed="false">
      <c r="A153" s="39" t="s">
        <v>849</v>
      </c>
      <c r="B153" s="39" t="s">
        <v>850</v>
      </c>
      <c r="C153" s="39" t="n">
        <v>0.8</v>
      </c>
      <c r="D153" s="39" t="s">
        <v>851</v>
      </c>
      <c r="E153" s="39" t="s">
        <v>300</v>
      </c>
      <c r="F153" s="39" t="s">
        <v>792</v>
      </c>
      <c r="G153" s="51" t="s">
        <v>302</v>
      </c>
      <c r="H153" s="39" t="s">
        <v>852</v>
      </c>
    </row>
    <row r="154" customFormat="false" ht="12.8" hidden="false" customHeight="false" outlineLevel="0" collapsed="false">
      <c r="A154" s="39" t="s">
        <v>853</v>
      </c>
      <c r="B154" s="39" t="s">
        <v>854</v>
      </c>
      <c r="C154" s="39" t="n">
        <v>1.13</v>
      </c>
      <c r="D154" s="39" t="s">
        <v>855</v>
      </c>
      <c r="E154" s="39" t="s">
        <v>368</v>
      </c>
      <c r="F154" s="39" t="s">
        <v>792</v>
      </c>
      <c r="G154" s="51" t="s">
        <v>302</v>
      </c>
      <c r="H154" s="39" t="s">
        <v>856</v>
      </c>
    </row>
    <row r="155" customFormat="false" ht="12.8" hidden="false" customHeight="false" outlineLevel="0" collapsed="false">
      <c r="A155" s="39" t="s">
        <v>857</v>
      </c>
      <c r="B155" s="39" t="s">
        <v>858</v>
      </c>
      <c r="C155" s="39" t="n">
        <v>0.85</v>
      </c>
      <c r="D155" s="39" t="s">
        <v>859</v>
      </c>
      <c r="E155" s="39" t="s">
        <v>300</v>
      </c>
      <c r="F155" s="39" t="s">
        <v>792</v>
      </c>
      <c r="G155" s="51" t="s">
        <v>302</v>
      </c>
      <c r="H155" s="39" t="s">
        <v>860</v>
      </c>
    </row>
    <row r="156" customFormat="false" ht="12.8" hidden="false" customHeight="false" outlineLevel="0" collapsed="false">
      <c r="A156" s="39" t="s">
        <v>861</v>
      </c>
      <c r="B156" s="39" t="s">
        <v>862</v>
      </c>
      <c r="C156" s="39" t="n">
        <v>0.87</v>
      </c>
      <c r="D156" s="39" t="s">
        <v>863</v>
      </c>
      <c r="E156" s="39" t="s">
        <v>300</v>
      </c>
      <c r="F156" s="39" t="s">
        <v>792</v>
      </c>
      <c r="G156" s="51" t="s">
        <v>302</v>
      </c>
      <c r="H156" s="39" t="s">
        <v>864</v>
      </c>
    </row>
    <row r="157" customFormat="false" ht="12.8" hidden="false" customHeight="false" outlineLevel="0" collapsed="false">
      <c r="A157" s="39" t="s">
        <v>865</v>
      </c>
      <c r="B157" s="39" t="s">
        <v>866</v>
      </c>
      <c r="C157" s="39" t="n">
        <v>1.12</v>
      </c>
      <c r="D157" s="39" t="s">
        <v>867</v>
      </c>
      <c r="E157" s="39" t="s">
        <v>368</v>
      </c>
      <c r="F157" s="39" t="s">
        <v>792</v>
      </c>
      <c r="G157" s="51" t="s">
        <v>302</v>
      </c>
      <c r="H157" s="39" t="s">
        <v>868</v>
      </c>
    </row>
    <row r="158" customFormat="false" ht="12.8" hidden="false" customHeight="false" outlineLevel="0" collapsed="false">
      <c r="A158" s="39" t="s">
        <v>869</v>
      </c>
      <c r="B158" s="39" t="s">
        <v>870</v>
      </c>
      <c r="C158" s="39" t="n">
        <v>1.14</v>
      </c>
      <c r="D158" s="39" t="s">
        <v>871</v>
      </c>
      <c r="E158" s="39" t="s">
        <v>368</v>
      </c>
      <c r="F158" s="39" t="s">
        <v>792</v>
      </c>
      <c r="G158" s="51" t="s">
        <v>302</v>
      </c>
      <c r="H158" s="39" t="s">
        <v>872</v>
      </c>
    </row>
    <row r="159" customFormat="false" ht="12.8" hidden="false" customHeight="false" outlineLevel="0" collapsed="false">
      <c r="A159" s="39" t="s">
        <v>873</v>
      </c>
      <c r="B159" s="39" t="s">
        <v>874</v>
      </c>
      <c r="C159" s="39" t="n">
        <v>1.09</v>
      </c>
      <c r="D159" s="39" t="s">
        <v>875</v>
      </c>
      <c r="E159" s="39" t="s">
        <v>368</v>
      </c>
      <c r="F159" s="39" t="s">
        <v>792</v>
      </c>
      <c r="G159" s="51" t="s">
        <v>302</v>
      </c>
      <c r="H159" s="39" t="s">
        <v>876</v>
      </c>
    </row>
    <row r="160" customFormat="false" ht="12.8" hidden="false" customHeight="false" outlineLevel="0" collapsed="false">
      <c r="A160" s="39" t="s">
        <v>877</v>
      </c>
      <c r="B160" s="39" t="s">
        <v>878</v>
      </c>
      <c r="C160" s="39" t="n">
        <v>0.78</v>
      </c>
      <c r="D160" s="39" t="s">
        <v>879</v>
      </c>
      <c r="E160" s="39" t="s">
        <v>300</v>
      </c>
      <c r="F160" s="39" t="s">
        <v>792</v>
      </c>
      <c r="G160" s="51" t="s">
        <v>302</v>
      </c>
      <c r="H160" s="39" t="s">
        <v>880</v>
      </c>
    </row>
    <row r="161" customFormat="false" ht="12.8" hidden="false" customHeight="false" outlineLevel="0" collapsed="false">
      <c r="A161" s="39" t="s">
        <v>881</v>
      </c>
      <c r="B161" s="39" t="s">
        <v>882</v>
      </c>
      <c r="C161" s="39" t="n">
        <v>0.045</v>
      </c>
      <c r="D161" s="39" t="s">
        <v>883</v>
      </c>
      <c r="E161" s="39" t="s">
        <v>306</v>
      </c>
      <c r="F161" s="39" t="s">
        <v>884</v>
      </c>
      <c r="G161" s="51" t="s">
        <v>302</v>
      </c>
      <c r="H161" s="39" t="s">
        <v>885</v>
      </c>
    </row>
    <row r="162" customFormat="false" ht="12.8" hidden="false" customHeight="false" outlineLevel="0" collapsed="false">
      <c r="A162" s="39" t="s">
        <v>886</v>
      </c>
      <c r="B162" s="39" t="s">
        <v>887</v>
      </c>
      <c r="C162" s="39" t="n">
        <v>1.05</v>
      </c>
      <c r="D162" s="39" t="s">
        <v>888</v>
      </c>
      <c r="E162" s="39" t="s">
        <v>368</v>
      </c>
      <c r="F162" s="39" t="s">
        <v>889</v>
      </c>
      <c r="G162" s="51" t="s">
        <v>302</v>
      </c>
      <c r="H162" s="39" t="s">
        <v>890</v>
      </c>
    </row>
    <row r="163" customFormat="false" ht="12.8" hidden="false" customHeight="false" outlineLevel="0" collapsed="false">
      <c r="A163" s="39" t="s">
        <v>891</v>
      </c>
      <c r="B163" s="39" t="s">
        <v>892</v>
      </c>
      <c r="C163" s="39" t="n">
        <v>0.85</v>
      </c>
      <c r="D163" s="39" t="s">
        <v>893</v>
      </c>
      <c r="E163" s="39" t="s">
        <v>368</v>
      </c>
      <c r="F163" s="39" t="s">
        <v>894</v>
      </c>
      <c r="G163" s="51" t="s">
        <v>302</v>
      </c>
      <c r="H163" s="39" t="s">
        <v>895</v>
      </c>
    </row>
    <row r="164" customFormat="false" ht="12.8" hidden="false" customHeight="false" outlineLevel="0" collapsed="false">
      <c r="A164" s="39" t="s">
        <v>896</v>
      </c>
      <c r="B164" s="39" t="s">
        <v>897</v>
      </c>
      <c r="C164" s="39" t="n">
        <v>0.06</v>
      </c>
      <c r="D164" s="39" t="s">
        <v>898</v>
      </c>
      <c r="E164" s="39" t="s">
        <v>368</v>
      </c>
      <c r="F164" s="39" t="s">
        <v>389</v>
      </c>
      <c r="G164" s="51" t="s">
        <v>302</v>
      </c>
      <c r="H164" s="39" t="s">
        <v>899</v>
      </c>
    </row>
    <row r="165" customFormat="false" ht="12.8" hidden="false" customHeight="false" outlineLevel="0" collapsed="false">
      <c r="A165" s="39" t="s">
        <v>900</v>
      </c>
      <c r="B165" s="39" t="s">
        <v>901</v>
      </c>
      <c r="C165" s="39" t="n">
        <v>0.25</v>
      </c>
      <c r="D165" s="39" t="s">
        <v>902</v>
      </c>
      <c r="E165" s="39" t="s">
        <v>368</v>
      </c>
      <c r="F165" s="39" t="s">
        <v>463</v>
      </c>
      <c r="G165" s="51" t="s">
        <v>302</v>
      </c>
      <c r="H165" s="39" t="s">
        <v>903</v>
      </c>
    </row>
    <row r="166" customFormat="false" ht="12.8" hidden="false" customHeight="false" outlineLevel="0" collapsed="false">
      <c r="A166" s="39" t="s">
        <v>904</v>
      </c>
      <c r="B166" s="39" t="s">
        <v>905</v>
      </c>
      <c r="C166" s="39" t="n">
        <v>0.025</v>
      </c>
      <c r="D166" s="39" t="s">
        <v>906</v>
      </c>
      <c r="E166" s="39" t="s">
        <v>368</v>
      </c>
      <c r="F166" s="39" t="s">
        <v>463</v>
      </c>
      <c r="G166" s="51" t="s">
        <v>302</v>
      </c>
      <c r="H166" s="39" t="s">
        <v>907</v>
      </c>
    </row>
    <row r="167" customFormat="false" ht="12.8" hidden="false" customHeight="false" outlineLevel="0" collapsed="false">
      <c r="A167" s="39" t="s">
        <v>908</v>
      </c>
      <c r="B167" s="39" t="s">
        <v>909</v>
      </c>
      <c r="C167" s="39" t="n">
        <v>0.028</v>
      </c>
      <c r="D167" s="39" t="s">
        <v>910</v>
      </c>
      <c r="E167" s="39" t="s">
        <v>368</v>
      </c>
      <c r="F167" s="39" t="s">
        <v>463</v>
      </c>
      <c r="G167" s="51" t="s">
        <v>302</v>
      </c>
      <c r="H167" s="39" t="s">
        <v>911</v>
      </c>
    </row>
    <row r="168" customFormat="false" ht="12.8" hidden="false" customHeight="false" outlineLevel="0" collapsed="false">
      <c r="A168" s="39" t="s">
        <v>912</v>
      </c>
      <c r="B168" s="39" t="s">
        <v>913</v>
      </c>
      <c r="C168" s="39" t="n">
        <v>0.012</v>
      </c>
      <c r="D168" s="39" t="s">
        <v>914</v>
      </c>
      <c r="E168" s="39" t="s">
        <v>300</v>
      </c>
      <c r="F168" s="39" t="s">
        <v>463</v>
      </c>
      <c r="G168" s="51" t="s">
        <v>302</v>
      </c>
      <c r="H168" s="39" t="s">
        <v>911</v>
      </c>
    </row>
    <row r="169" customFormat="false" ht="12.8" hidden="false" customHeight="false" outlineLevel="0" collapsed="false">
      <c r="A169" s="39" t="s">
        <v>915</v>
      </c>
      <c r="B169" s="39" t="s">
        <v>916</v>
      </c>
      <c r="C169" s="39" t="n">
        <v>0.03</v>
      </c>
      <c r="D169" s="39" t="s">
        <v>917</v>
      </c>
      <c r="E169" s="39" t="s">
        <v>368</v>
      </c>
      <c r="F169" s="39" t="s">
        <v>463</v>
      </c>
      <c r="G169" s="51" t="s">
        <v>302</v>
      </c>
      <c r="H169" s="39" t="s">
        <v>911</v>
      </c>
    </row>
    <row r="170" customFormat="false" ht="12.8" hidden="false" customHeight="false" outlineLevel="0" collapsed="false">
      <c r="A170" s="39" t="s">
        <v>918</v>
      </c>
      <c r="B170" s="39" t="s">
        <v>919</v>
      </c>
      <c r="C170" s="39" t="n">
        <v>0.02</v>
      </c>
      <c r="D170" s="39" t="s">
        <v>920</v>
      </c>
      <c r="E170" s="39" t="s">
        <v>368</v>
      </c>
      <c r="F170" s="39" t="s">
        <v>463</v>
      </c>
      <c r="G170" s="51" t="s">
        <v>302</v>
      </c>
      <c r="H170" s="39" t="s">
        <v>911</v>
      </c>
    </row>
    <row r="171" customFormat="false" ht="12.8" hidden="false" customHeight="false" outlineLevel="0" collapsed="false">
      <c r="A171" s="39" t="s">
        <v>921</v>
      </c>
      <c r="B171" s="39" t="s">
        <v>922</v>
      </c>
      <c r="C171" s="39" t="n">
        <v>0.021</v>
      </c>
      <c r="D171" s="39" t="s">
        <v>923</v>
      </c>
      <c r="E171" s="39" t="s">
        <v>368</v>
      </c>
      <c r="F171" s="39" t="s">
        <v>463</v>
      </c>
      <c r="G171" s="51" t="s">
        <v>302</v>
      </c>
      <c r="H171" s="39" t="s">
        <v>911</v>
      </c>
    </row>
    <row r="172" customFormat="false" ht="12.8" hidden="false" customHeight="false" outlineLevel="0" collapsed="false">
      <c r="A172" s="39" t="s">
        <v>924</v>
      </c>
      <c r="B172" s="39" t="s">
        <v>925</v>
      </c>
      <c r="C172" s="39" t="n">
        <v>0.018</v>
      </c>
      <c r="D172" s="39" t="s">
        <v>926</v>
      </c>
      <c r="E172" s="39" t="s">
        <v>368</v>
      </c>
      <c r="F172" s="39" t="s">
        <v>463</v>
      </c>
      <c r="G172" s="51" t="s">
        <v>302</v>
      </c>
      <c r="H172" s="39" t="s">
        <v>911</v>
      </c>
    </row>
    <row r="173" customFormat="false" ht="12.8" hidden="false" customHeight="false" outlineLevel="0" collapsed="false">
      <c r="A173" s="39" t="s">
        <v>927</v>
      </c>
      <c r="B173" s="39" t="s">
        <v>928</v>
      </c>
      <c r="C173" s="39" t="n">
        <v>0.016</v>
      </c>
      <c r="D173" s="39" t="s">
        <v>929</v>
      </c>
      <c r="E173" s="39" t="s">
        <v>300</v>
      </c>
      <c r="F173" s="39" t="s">
        <v>463</v>
      </c>
      <c r="G173" s="51" t="s">
        <v>302</v>
      </c>
      <c r="H173" s="39" t="s">
        <v>911</v>
      </c>
    </row>
    <row r="174" customFormat="false" ht="12.8" hidden="false" customHeight="false" outlineLevel="0" collapsed="false">
      <c r="A174" s="39" t="s">
        <v>930</v>
      </c>
      <c r="B174" s="39" t="s">
        <v>931</v>
      </c>
      <c r="C174" s="39" t="n">
        <v>0.026</v>
      </c>
      <c r="D174" s="39" t="s">
        <v>932</v>
      </c>
      <c r="E174" s="39" t="s">
        <v>368</v>
      </c>
      <c r="F174" s="39" t="s">
        <v>463</v>
      </c>
      <c r="G174" s="51" t="s">
        <v>302</v>
      </c>
      <c r="H174" s="39" t="s">
        <v>911</v>
      </c>
    </row>
    <row r="175" customFormat="false" ht="12.8" hidden="false" customHeight="false" outlineLevel="0" collapsed="false">
      <c r="A175" s="39" t="s">
        <v>933</v>
      </c>
      <c r="B175" s="39" t="s">
        <v>934</v>
      </c>
      <c r="C175" s="39" t="n">
        <v>0.027</v>
      </c>
      <c r="D175" s="39" t="s">
        <v>935</v>
      </c>
      <c r="E175" s="39" t="s">
        <v>368</v>
      </c>
      <c r="F175" s="39" t="s">
        <v>463</v>
      </c>
      <c r="G175" s="51" t="s">
        <v>302</v>
      </c>
      <c r="H175" s="39" t="s">
        <v>911</v>
      </c>
    </row>
    <row r="176" customFormat="false" ht="12.8" hidden="false" customHeight="false" outlineLevel="0" collapsed="false">
      <c r="A176" s="39" t="s">
        <v>936</v>
      </c>
      <c r="B176" s="39" t="s">
        <v>937</v>
      </c>
      <c r="C176" s="39" t="n">
        <v>0.022</v>
      </c>
      <c r="D176" s="39" t="s">
        <v>938</v>
      </c>
      <c r="E176" s="39" t="s">
        <v>368</v>
      </c>
      <c r="F176" s="39" t="s">
        <v>463</v>
      </c>
      <c r="G176" s="51" t="s">
        <v>302</v>
      </c>
      <c r="H176" s="39" t="s">
        <v>911</v>
      </c>
    </row>
    <row r="177" customFormat="false" ht="12.8" hidden="false" customHeight="false" outlineLevel="0" collapsed="false">
      <c r="A177" s="39" t="s">
        <v>939</v>
      </c>
      <c r="B177" s="39" t="s">
        <v>940</v>
      </c>
      <c r="C177" s="39" t="n">
        <v>0.025</v>
      </c>
      <c r="D177" s="39" t="s">
        <v>941</v>
      </c>
      <c r="E177" s="39" t="s">
        <v>368</v>
      </c>
      <c r="F177" s="39" t="s">
        <v>463</v>
      </c>
      <c r="G177" s="51" t="s">
        <v>302</v>
      </c>
      <c r="H177" s="39" t="s">
        <v>911</v>
      </c>
    </row>
    <row r="178" customFormat="false" ht="12.8" hidden="false" customHeight="false" outlineLevel="0" collapsed="false">
      <c r="A178" s="39" t="s">
        <v>942</v>
      </c>
      <c r="B178" s="39" t="s">
        <v>943</v>
      </c>
      <c r="C178" s="39" t="n">
        <v>0.014</v>
      </c>
      <c r="D178" s="39" t="s">
        <v>944</v>
      </c>
      <c r="E178" s="39" t="s">
        <v>368</v>
      </c>
      <c r="F178" s="39" t="s">
        <v>463</v>
      </c>
      <c r="G178" s="51" t="s">
        <v>302</v>
      </c>
      <c r="H178" s="39" t="s">
        <v>911</v>
      </c>
    </row>
    <row r="179" customFormat="false" ht="12.8" hidden="false" customHeight="false" outlineLevel="0" collapsed="false">
      <c r="A179" s="39" t="s">
        <v>945</v>
      </c>
      <c r="B179" s="39" t="s">
        <v>946</v>
      </c>
      <c r="C179" s="39" t="n">
        <v>0.011</v>
      </c>
      <c r="D179" s="39" t="s">
        <v>947</v>
      </c>
      <c r="E179" s="39" t="s">
        <v>300</v>
      </c>
      <c r="F179" s="39" t="s">
        <v>463</v>
      </c>
      <c r="G179" s="51" t="s">
        <v>302</v>
      </c>
      <c r="H179" s="39" t="s">
        <v>911</v>
      </c>
    </row>
    <row r="180" customFormat="false" ht="12.8" hidden="false" customHeight="false" outlineLevel="0" collapsed="false">
      <c r="A180" s="39" t="s">
        <v>948</v>
      </c>
      <c r="B180" s="39" t="s">
        <v>949</v>
      </c>
      <c r="C180" s="39" t="n">
        <v>0.013</v>
      </c>
      <c r="D180" s="39" t="s">
        <v>950</v>
      </c>
      <c r="E180" s="39" t="s">
        <v>368</v>
      </c>
      <c r="F180" s="39" t="s">
        <v>463</v>
      </c>
      <c r="G180" s="51" t="s">
        <v>302</v>
      </c>
      <c r="H180" s="39" t="s">
        <v>911</v>
      </c>
    </row>
    <row r="181" customFormat="false" ht="12.8" hidden="false" customHeight="false" outlineLevel="0" collapsed="false">
      <c r="A181" s="39" t="s">
        <v>951</v>
      </c>
      <c r="B181" s="39" t="s">
        <v>952</v>
      </c>
      <c r="C181" s="39" t="n">
        <v>0.01</v>
      </c>
      <c r="D181" s="39" t="s">
        <v>953</v>
      </c>
      <c r="E181" s="39" t="s">
        <v>300</v>
      </c>
      <c r="F181" s="39" t="s">
        <v>463</v>
      </c>
      <c r="G181" s="51" t="s">
        <v>302</v>
      </c>
      <c r="H181" s="39" t="s">
        <v>911</v>
      </c>
    </row>
    <row r="182" customFormat="false" ht="12.8" hidden="false" customHeight="false" outlineLevel="0" collapsed="false">
      <c r="A182" s="39" t="s">
        <v>954</v>
      </c>
      <c r="B182" s="39" t="s">
        <v>955</v>
      </c>
      <c r="C182" s="39" t="n">
        <v>0.02</v>
      </c>
      <c r="D182" s="39" t="s">
        <v>956</v>
      </c>
      <c r="E182" s="39" t="s">
        <v>368</v>
      </c>
      <c r="F182" s="39" t="s">
        <v>463</v>
      </c>
      <c r="G182" s="51" t="s">
        <v>302</v>
      </c>
      <c r="H182" s="39" t="s">
        <v>911</v>
      </c>
    </row>
    <row r="183" customFormat="false" ht="12.8" hidden="false" customHeight="false" outlineLevel="0" collapsed="false">
      <c r="A183" s="39" t="s">
        <v>957</v>
      </c>
      <c r="B183" s="39" t="s">
        <v>958</v>
      </c>
      <c r="C183" s="39" t="n">
        <v>0.008</v>
      </c>
      <c r="D183" s="39" t="s">
        <v>959</v>
      </c>
      <c r="E183" s="39" t="s">
        <v>300</v>
      </c>
      <c r="F183" s="39" t="s">
        <v>463</v>
      </c>
      <c r="G183" s="51" t="s">
        <v>302</v>
      </c>
      <c r="H183" s="39" t="s">
        <v>911</v>
      </c>
    </row>
    <row r="184" customFormat="false" ht="12.8" hidden="false" customHeight="false" outlineLevel="0" collapsed="false">
      <c r="A184" s="39" t="s">
        <v>960</v>
      </c>
      <c r="B184" s="39" t="s">
        <v>961</v>
      </c>
      <c r="C184" s="39" t="n">
        <v>0.01</v>
      </c>
      <c r="D184" s="39" t="s">
        <v>962</v>
      </c>
      <c r="E184" s="39" t="s">
        <v>300</v>
      </c>
      <c r="F184" s="39" t="s">
        <v>463</v>
      </c>
      <c r="G184" s="51" t="s">
        <v>302</v>
      </c>
      <c r="H184" s="39" t="s">
        <v>911</v>
      </c>
    </row>
    <row r="185" customFormat="false" ht="12.8" hidden="false" customHeight="false" outlineLevel="0" collapsed="false">
      <c r="A185" s="39" t="s">
        <v>963</v>
      </c>
      <c r="B185" s="39" t="s">
        <v>964</v>
      </c>
      <c r="C185" s="39" t="n">
        <v>0.026</v>
      </c>
      <c r="D185" s="39" t="s">
        <v>965</v>
      </c>
      <c r="E185" s="39" t="s">
        <v>368</v>
      </c>
      <c r="F185" s="39" t="s">
        <v>463</v>
      </c>
      <c r="G185" s="51" t="s">
        <v>302</v>
      </c>
      <c r="H185" s="39" t="s">
        <v>911</v>
      </c>
    </row>
    <row r="186" customFormat="false" ht="12.8" hidden="false" customHeight="false" outlineLevel="0" collapsed="false">
      <c r="A186" s="39" t="s">
        <v>966</v>
      </c>
      <c r="B186" s="39" t="s">
        <v>967</v>
      </c>
      <c r="C186" s="39" t="n">
        <v>0.028</v>
      </c>
      <c r="D186" s="39" t="s">
        <v>968</v>
      </c>
      <c r="E186" s="39" t="s">
        <v>368</v>
      </c>
      <c r="F186" s="39" t="s">
        <v>463</v>
      </c>
      <c r="G186" s="51" t="s">
        <v>302</v>
      </c>
      <c r="H186" s="39" t="s">
        <v>911</v>
      </c>
    </row>
    <row r="187" customFormat="false" ht="12.8" hidden="false" customHeight="false" outlineLevel="0" collapsed="false">
      <c r="A187" s="39" t="s">
        <v>969</v>
      </c>
      <c r="B187" s="39" t="s">
        <v>970</v>
      </c>
      <c r="C187" s="39" t="n">
        <v>0.021</v>
      </c>
      <c r="D187" s="39" t="s">
        <v>971</v>
      </c>
      <c r="E187" s="39" t="s">
        <v>368</v>
      </c>
      <c r="F187" s="39" t="s">
        <v>463</v>
      </c>
      <c r="G187" s="51" t="s">
        <v>302</v>
      </c>
      <c r="H187" s="39" t="s">
        <v>911</v>
      </c>
    </row>
    <row r="188" customFormat="false" ht="12.8" hidden="false" customHeight="false" outlineLevel="0" collapsed="false">
      <c r="A188" s="39" t="s">
        <v>972</v>
      </c>
      <c r="B188" s="39" t="s">
        <v>973</v>
      </c>
      <c r="C188" s="39" t="n">
        <v>0.006</v>
      </c>
      <c r="D188" s="39" t="s">
        <v>974</v>
      </c>
      <c r="E188" s="39" t="s">
        <v>300</v>
      </c>
      <c r="F188" s="39" t="s">
        <v>463</v>
      </c>
      <c r="G188" s="51" t="s">
        <v>302</v>
      </c>
      <c r="H188" s="39" t="s">
        <v>911</v>
      </c>
    </row>
    <row r="189" customFormat="false" ht="12.8" hidden="false" customHeight="false" outlineLevel="0" collapsed="false">
      <c r="A189" s="39" t="s">
        <v>975</v>
      </c>
      <c r="B189" s="39" t="s">
        <v>976</v>
      </c>
      <c r="C189" s="39" t="n">
        <v>0.88</v>
      </c>
      <c r="D189" s="39" t="s">
        <v>977</v>
      </c>
      <c r="E189" s="39" t="s">
        <v>368</v>
      </c>
      <c r="F189" s="39" t="s">
        <v>463</v>
      </c>
      <c r="G189" s="51" t="s">
        <v>302</v>
      </c>
      <c r="H189" s="39" t="s">
        <v>978</v>
      </c>
    </row>
    <row r="190" customFormat="false" ht="12.8" hidden="false" customHeight="false" outlineLevel="0" collapsed="false">
      <c r="A190" s="39" t="s">
        <v>979</v>
      </c>
      <c r="B190" s="39" t="s">
        <v>980</v>
      </c>
      <c r="C190" s="39" t="n">
        <v>0.9</v>
      </c>
      <c r="D190" s="39" t="s">
        <v>981</v>
      </c>
      <c r="E190" s="39" t="s">
        <v>368</v>
      </c>
      <c r="F190" s="39" t="s">
        <v>463</v>
      </c>
      <c r="G190" s="51" t="s">
        <v>302</v>
      </c>
      <c r="H190" s="39" t="s">
        <v>911</v>
      </c>
    </row>
    <row r="191" customFormat="false" ht="12.8" hidden="false" customHeight="false" outlineLevel="0" collapsed="false">
      <c r="A191" s="39" t="s">
        <v>982</v>
      </c>
      <c r="B191" s="39" t="s">
        <v>983</v>
      </c>
      <c r="C191" s="39" t="n">
        <v>0.97</v>
      </c>
      <c r="D191" s="39" t="s">
        <v>984</v>
      </c>
      <c r="E191" s="39" t="s">
        <v>300</v>
      </c>
      <c r="F191" s="39" t="s">
        <v>463</v>
      </c>
      <c r="G191" s="51" t="s">
        <v>302</v>
      </c>
      <c r="H191" s="39" t="s">
        <v>911</v>
      </c>
    </row>
    <row r="192" customFormat="false" ht="12.8" hidden="false" customHeight="false" outlineLevel="0" collapsed="false">
      <c r="A192" s="39" t="s">
        <v>985</v>
      </c>
      <c r="B192" s="39" t="s">
        <v>986</v>
      </c>
      <c r="C192" s="39" t="n">
        <v>0.87</v>
      </c>
      <c r="D192" s="39" t="s">
        <v>987</v>
      </c>
      <c r="E192" s="39" t="s">
        <v>368</v>
      </c>
      <c r="F192" s="39" t="s">
        <v>463</v>
      </c>
      <c r="G192" s="51" t="s">
        <v>302</v>
      </c>
      <c r="H192" s="39" t="s">
        <v>911</v>
      </c>
    </row>
    <row r="193" customFormat="false" ht="12.8" hidden="false" customHeight="false" outlineLevel="0" collapsed="false">
      <c r="A193" s="39" t="s">
        <v>988</v>
      </c>
      <c r="B193" s="39" t="s">
        <v>989</v>
      </c>
      <c r="C193" s="39" t="n">
        <v>0.91</v>
      </c>
      <c r="D193" s="39" t="s">
        <v>990</v>
      </c>
      <c r="E193" s="39" t="s">
        <v>368</v>
      </c>
      <c r="F193" s="39" t="s">
        <v>463</v>
      </c>
      <c r="G193" s="51" t="s">
        <v>302</v>
      </c>
      <c r="H193" s="39" t="s">
        <v>911</v>
      </c>
    </row>
    <row r="194" customFormat="false" ht="12.8" hidden="false" customHeight="false" outlineLevel="0" collapsed="false">
      <c r="A194" s="39" t="s">
        <v>991</v>
      </c>
      <c r="B194" s="39" t="s">
        <v>992</v>
      </c>
      <c r="C194" s="39" t="n">
        <v>0.92</v>
      </c>
      <c r="D194" s="39" t="s">
        <v>993</v>
      </c>
      <c r="E194" s="39" t="s">
        <v>368</v>
      </c>
      <c r="F194" s="39" t="s">
        <v>463</v>
      </c>
      <c r="G194" s="51" t="s">
        <v>302</v>
      </c>
      <c r="H194" s="39" t="s">
        <v>911</v>
      </c>
    </row>
    <row r="195" customFormat="false" ht="12.8" hidden="false" customHeight="false" outlineLevel="0" collapsed="false">
      <c r="A195" s="39" t="s">
        <v>994</v>
      </c>
      <c r="B195" s="39" t="s">
        <v>995</v>
      </c>
      <c r="C195" s="39" t="n">
        <v>0.9</v>
      </c>
      <c r="D195" s="39" t="s">
        <v>996</v>
      </c>
      <c r="E195" s="39" t="s">
        <v>368</v>
      </c>
      <c r="F195" s="39" t="s">
        <v>463</v>
      </c>
      <c r="G195" s="51" t="s">
        <v>302</v>
      </c>
      <c r="H195" s="39" t="s">
        <v>911</v>
      </c>
    </row>
    <row r="196" customFormat="false" ht="12.8" hidden="false" customHeight="false" outlineLevel="0" collapsed="false">
      <c r="A196" s="39" t="s">
        <v>997</v>
      </c>
      <c r="B196" s="39" t="s">
        <v>998</v>
      </c>
      <c r="C196" s="39" t="n">
        <v>0.93</v>
      </c>
      <c r="D196" s="39" t="s">
        <v>999</v>
      </c>
      <c r="E196" s="39" t="s">
        <v>300</v>
      </c>
      <c r="F196" s="39" t="s">
        <v>463</v>
      </c>
      <c r="G196" s="51" t="s">
        <v>302</v>
      </c>
      <c r="H196" s="39" t="s">
        <v>911</v>
      </c>
    </row>
    <row r="197" customFormat="false" ht="12.8" hidden="false" customHeight="false" outlineLevel="0" collapsed="false">
      <c r="A197" s="39" t="s">
        <v>1000</v>
      </c>
      <c r="B197" s="39" t="s">
        <v>1001</v>
      </c>
      <c r="C197" s="39" t="n">
        <v>0.89</v>
      </c>
      <c r="D197" s="39" t="s">
        <v>1002</v>
      </c>
      <c r="E197" s="39" t="s">
        <v>368</v>
      </c>
      <c r="F197" s="39" t="s">
        <v>463</v>
      </c>
      <c r="G197" s="51" t="s">
        <v>302</v>
      </c>
      <c r="H197" s="39" t="s">
        <v>911</v>
      </c>
    </row>
    <row r="198" customFormat="false" ht="12.8" hidden="false" customHeight="false" outlineLevel="0" collapsed="false">
      <c r="A198" s="39" t="s">
        <v>1003</v>
      </c>
      <c r="B198" s="39" t="s">
        <v>1004</v>
      </c>
      <c r="C198" s="39" t="n">
        <v>0.88</v>
      </c>
      <c r="D198" s="39" t="s">
        <v>1005</v>
      </c>
      <c r="E198" s="39" t="s">
        <v>368</v>
      </c>
      <c r="F198" s="39" t="s">
        <v>463</v>
      </c>
      <c r="G198" s="51" t="s">
        <v>302</v>
      </c>
      <c r="H198" s="39" t="s">
        <v>911</v>
      </c>
    </row>
    <row r="199" customFormat="false" ht="12.8" hidden="false" customHeight="false" outlineLevel="0" collapsed="false">
      <c r="A199" s="39" t="s">
        <v>1006</v>
      </c>
      <c r="B199" s="39" t="s">
        <v>1007</v>
      </c>
      <c r="C199" s="39" t="n">
        <v>0.91</v>
      </c>
      <c r="D199" s="39" t="s">
        <v>1008</v>
      </c>
      <c r="E199" s="39" t="s">
        <v>368</v>
      </c>
      <c r="F199" s="39" t="s">
        <v>463</v>
      </c>
      <c r="G199" s="51" t="s">
        <v>302</v>
      </c>
      <c r="H199" s="39" t="s">
        <v>911</v>
      </c>
    </row>
    <row r="200" customFormat="false" ht="12.8" hidden="false" customHeight="false" outlineLevel="0" collapsed="false">
      <c r="A200" s="39" t="s">
        <v>1009</v>
      </c>
      <c r="B200" s="39" t="s">
        <v>1010</v>
      </c>
      <c r="C200" s="39" t="n">
        <v>0.89</v>
      </c>
      <c r="D200" s="39" t="s">
        <v>1011</v>
      </c>
      <c r="E200" s="39" t="s">
        <v>368</v>
      </c>
      <c r="F200" s="39" t="s">
        <v>463</v>
      </c>
      <c r="G200" s="51" t="s">
        <v>302</v>
      </c>
      <c r="H200" s="39" t="s">
        <v>911</v>
      </c>
    </row>
    <row r="201" customFormat="false" ht="12.8" hidden="false" customHeight="false" outlineLevel="0" collapsed="false">
      <c r="A201" s="39" t="s">
        <v>1012</v>
      </c>
      <c r="B201" s="39" t="s">
        <v>1013</v>
      </c>
      <c r="C201" s="39" t="n">
        <v>0.94</v>
      </c>
      <c r="D201" s="39" t="s">
        <v>1014</v>
      </c>
      <c r="E201" s="39" t="s">
        <v>368</v>
      </c>
      <c r="F201" s="39" t="s">
        <v>463</v>
      </c>
      <c r="G201" s="51" t="s">
        <v>302</v>
      </c>
      <c r="H201" s="39" t="s">
        <v>911</v>
      </c>
    </row>
    <row r="202" customFormat="false" ht="12.8" hidden="false" customHeight="false" outlineLevel="0" collapsed="false">
      <c r="A202" s="39" t="s">
        <v>1015</v>
      </c>
      <c r="B202" s="39" t="s">
        <v>1016</v>
      </c>
      <c r="C202" s="39" t="n">
        <v>0.98</v>
      </c>
      <c r="D202" s="39" t="s">
        <v>1017</v>
      </c>
      <c r="E202" s="39" t="s">
        <v>300</v>
      </c>
      <c r="F202" s="39" t="s">
        <v>463</v>
      </c>
      <c r="G202" s="51" t="s">
        <v>302</v>
      </c>
      <c r="H202" s="39" t="s">
        <v>911</v>
      </c>
    </row>
    <row r="203" customFormat="false" ht="12.8" hidden="false" customHeight="false" outlineLevel="0" collapsed="false">
      <c r="A203" s="39" t="s">
        <v>1018</v>
      </c>
      <c r="B203" s="39" t="s">
        <v>1019</v>
      </c>
      <c r="C203" s="39" t="n">
        <v>0.95</v>
      </c>
      <c r="D203" s="39" t="s">
        <v>1020</v>
      </c>
      <c r="E203" s="39" t="s">
        <v>368</v>
      </c>
      <c r="F203" s="39" t="s">
        <v>463</v>
      </c>
      <c r="G203" s="51" t="s">
        <v>302</v>
      </c>
      <c r="H203" s="39" t="s">
        <v>911</v>
      </c>
    </row>
    <row r="204" customFormat="false" ht="12.8" hidden="false" customHeight="false" outlineLevel="0" collapsed="false">
      <c r="A204" s="39" t="s">
        <v>1021</v>
      </c>
      <c r="B204" s="39" t="s">
        <v>1022</v>
      </c>
      <c r="C204" s="39" t="n">
        <v>1</v>
      </c>
      <c r="D204" s="39" t="s">
        <v>1023</v>
      </c>
      <c r="E204" s="39" t="s">
        <v>300</v>
      </c>
      <c r="F204" s="39" t="s">
        <v>463</v>
      </c>
      <c r="G204" s="51" t="s">
        <v>302</v>
      </c>
      <c r="H204" s="39" t="s">
        <v>911</v>
      </c>
    </row>
    <row r="205" customFormat="false" ht="12.8" hidden="false" customHeight="false" outlineLevel="0" collapsed="false">
      <c r="A205" s="39" t="s">
        <v>1024</v>
      </c>
      <c r="B205" s="39" t="s">
        <v>1025</v>
      </c>
      <c r="C205" s="39" t="n">
        <v>0.91</v>
      </c>
      <c r="D205" s="39" t="s">
        <v>1026</v>
      </c>
      <c r="E205" s="39" t="s">
        <v>368</v>
      </c>
      <c r="F205" s="39" t="s">
        <v>463</v>
      </c>
      <c r="G205" s="51" t="s">
        <v>302</v>
      </c>
      <c r="H205" s="39" t="s">
        <v>911</v>
      </c>
    </row>
    <row r="206" customFormat="false" ht="12.8" hidden="false" customHeight="false" outlineLevel="0" collapsed="false">
      <c r="A206" s="39" t="s">
        <v>1027</v>
      </c>
      <c r="B206" s="39" t="s">
        <v>1028</v>
      </c>
      <c r="C206" s="39" t="n">
        <v>0.98</v>
      </c>
      <c r="D206" s="39" t="s">
        <v>1029</v>
      </c>
      <c r="E206" s="39" t="s">
        <v>300</v>
      </c>
      <c r="F206" s="39" t="s">
        <v>463</v>
      </c>
      <c r="G206" s="51" t="s">
        <v>302</v>
      </c>
      <c r="H206" s="39" t="s">
        <v>911</v>
      </c>
    </row>
    <row r="207" customFormat="false" ht="12.8" hidden="false" customHeight="false" outlineLevel="0" collapsed="false">
      <c r="A207" s="39" t="s">
        <v>1030</v>
      </c>
      <c r="B207" s="39" t="s">
        <v>1031</v>
      </c>
      <c r="C207" s="39" t="n">
        <v>0.99</v>
      </c>
      <c r="D207" s="39" t="s">
        <v>1032</v>
      </c>
      <c r="E207" s="39" t="s">
        <v>300</v>
      </c>
      <c r="F207" s="39" t="s">
        <v>463</v>
      </c>
      <c r="G207" s="51" t="s">
        <v>302</v>
      </c>
      <c r="H207" s="39" t="s">
        <v>911</v>
      </c>
    </row>
    <row r="208" customFormat="false" ht="12.8" hidden="false" customHeight="false" outlineLevel="0" collapsed="false">
      <c r="A208" s="39" t="s">
        <v>1033</v>
      </c>
      <c r="B208" s="39" t="s">
        <v>1034</v>
      </c>
      <c r="C208" s="39" t="n">
        <v>0.9</v>
      </c>
      <c r="D208" s="39" t="s">
        <v>1035</v>
      </c>
      <c r="E208" s="39" t="s">
        <v>368</v>
      </c>
      <c r="F208" s="39" t="s">
        <v>463</v>
      </c>
      <c r="G208" s="51" t="s">
        <v>302</v>
      </c>
      <c r="H208" s="39" t="s">
        <v>911</v>
      </c>
    </row>
    <row r="209" customFormat="false" ht="12.8" hidden="false" customHeight="false" outlineLevel="0" collapsed="false">
      <c r="A209" s="39" t="s">
        <v>1036</v>
      </c>
      <c r="B209" s="39" t="s">
        <v>1037</v>
      </c>
      <c r="C209" s="39" t="n">
        <v>0.86</v>
      </c>
      <c r="D209" s="39" t="s">
        <v>1038</v>
      </c>
      <c r="E209" s="39" t="s">
        <v>368</v>
      </c>
      <c r="F209" s="39" t="s">
        <v>463</v>
      </c>
      <c r="G209" s="51" t="s">
        <v>302</v>
      </c>
      <c r="H209" s="39" t="s">
        <v>911</v>
      </c>
    </row>
    <row r="210" customFormat="false" ht="12.8" hidden="false" customHeight="false" outlineLevel="0" collapsed="false">
      <c r="A210" s="39" t="s">
        <v>1039</v>
      </c>
      <c r="B210" s="39" t="s">
        <v>1040</v>
      </c>
      <c r="C210" s="39" t="n">
        <v>0.92</v>
      </c>
      <c r="D210" s="39" t="s">
        <v>1041</v>
      </c>
      <c r="E210" s="39" t="s">
        <v>368</v>
      </c>
      <c r="F210" s="39" t="s">
        <v>463</v>
      </c>
      <c r="G210" s="51" t="s">
        <v>302</v>
      </c>
      <c r="H210" s="39" t="s">
        <v>911</v>
      </c>
    </row>
    <row r="211" customFormat="false" ht="12.8" hidden="false" customHeight="false" outlineLevel="0" collapsed="false">
      <c r="A211" s="39" t="s">
        <v>1042</v>
      </c>
      <c r="B211" s="39" t="s">
        <v>1043</v>
      </c>
      <c r="C211" s="39" t="n">
        <v>1.02</v>
      </c>
      <c r="D211" s="39" t="s">
        <v>1044</v>
      </c>
      <c r="E211" s="39" t="s">
        <v>300</v>
      </c>
      <c r="F211" s="39" t="s">
        <v>463</v>
      </c>
      <c r="G211" s="51" t="s">
        <v>302</v>
      </c>
      <c r="H211" s="39" t="s">
        <v>911</v>
      </c>
    </row>
    <row r="212" customFormat="false" ht="12.8" hidden="false" customHeight="false" outlineLevel="0" collapsed="false">
      <c r="A212" s="39" t="s">
        <v>1045</v>
      </c>
      <c r="B212" s="39" t="s">
        <v>1046</v>
      </c>
      <c r="C212" s="39" t="n">
        <v>1.25</v>
      </c>
      <c r="D212" s="39" t="s">
        <v>1047</v>
      </c>
      <c r="E212" s="39" t="s">
        <v>368</v>
      </c>
      <c r="F212" s="39" t="s">
        <v>792</v>
      </c>
      <c r="G212" s="51" t="s">
        <v>302</v>
      </c>
      <c r="H212" s="39" t="s">
        <v>1048</v>
      </c>
    </row>
    <row r="213" customFormat="false" ht="12.8" hidden="false" customHeight="false" outlineLevel="0" collapsed="false">
      <c r="A213" s="39" t="s">
        <v>1049</v>
      </c>
      <c r="B213" s="39" t="s">
        <v>1050</v>
      </c>
      <c r="C213" s="39" t="n">
        <v>1.22</v>
      </c>
      <c r="D213" s="39" t="s">
        <v>1051</v>
      </c>
      <c r="E213" s="39" t="s">
        <v>368</v>
      </c>
      <c r="F213" s="39" t="s">
        <v>792</v>
      </c>
      <c r="G213" s="51" t="s">
        <v>302</v>
      </c>
      <c r="H213" s="39" t="s">
        <v>911</v>
      </c>
    </row>
    <row r="214" customFormat="false" ht="12.8" hidden="false" customHeight="false" outlineLevel="0" collapsed="false">
      <c r="A214" s="39" t="s">
        <v>1052</v>
      </c>
      <c r="B214" s="39" t="s">
        <v>1053</v>
      </c>
      <c r="C214" s="39" t="n">
        <v>0.9</v>
      </c>
      <c r="D214" s="39" t="s">
        <v>1054</v>
      </c>
      <c r="E214" s="39" t="s">
        <v>300</v>
      </c>
      <c r="F214" s="39" t="s">
        <v>792</v>
      </c>
      <c r="G214" s="51" t="s">
        <v>302</v>
      </c>
      <c r="H214" s="39" t="s">
        <v>911</v>
      </c>
    </row>
    <row r="215" customFormat="false" ht="12.8" hidden="false" customHeight="false" outlineLevel="0" collapsed="false">
      <c r="A215" s="39" t="s">
        <v>1055</v>
      </c>
      <c r="B215" s="39" t="s">
        <v>1056</v>
      </c>
      <c r="C215" s="39" t="n">
        <v>1.28</v>
      </c>
      <c r="D215" s="39" t="s">
        <v>1057</v>
      </c>
      <c r="E215" s="39" t="s">
        <v>368</v>
      </c>
      <c r="F215" s="39" t="s">
        <v>792</v>
      </c>
      <c r="G215" s="51" t="s">
        <v>302</v>
      </c>
      <c r="H215" s="39" t="s">
        <v>911</v>
      </c>
    </row>
    <row r="216" customFormat="false" ht="12.8" hidden="false" customHeight="false" outlineLevel="0" collapsed="false">
      <c r="A216" s="39" t="s">
        <v>1058</v>
      </c>
      <c r="B216" s="39" t="s">
        <v>1059</v>
      </c>
      <c r="C216" s="39" t="n">
        <v>1.18</v>
      </c>
      <c r="D216" s="39" t="s">
        <v>1060</v>
      </c>
      <c r="E216" s="39" t="s">
        <v>368</v>
      </c>
      <c r="F216" s="39" t="s">
        <v>792</v>
      </c>
      <c r="G216" s="51" t="s">
        <v>302</v>
      </c>
      <c r="H216" s="39" t="s">
        <v>911</v>
      </c>
    </row>
    <row r="217" customFormat="false" ht="12.8" hidden="false" customHeight="false" outlineLevel="0" collapsed="false">
      <c r="A217" s="39" t="s">
        <v>1061</v>
      </c>
      <c r="B217" s="39" t="s">
        <v>1062</v>
      </c>
      <c r="C217" s="39" t="n">
        <v>1.17</v>
      </c>
      <c r="D217" s="39" t="s">
        <v>1063</v>
      </c>
      <c r="E217" s="39" t="s">
        <v>368</v>
      </c>
      <c r="F217" s="39" t="s">
        <v>792</v>
      </c>
      <c r="G217" s="51" t="s">
        <v>302</v>
      </c>
      <c r="H217" s="39" t="s">
        <v>911</v>
      </c>
    </row>
    <row r="218" customFormat="false" ht="12.8" hidden="false" customHeight="false" outlineLevel="0" collapsed="false">
      <c r="A218" s="39" t="s">
        <v>1064</v>
      </c>
      <c r="B218" s="39" t="s">
        <v>1065</v>
      </c>
      <c r="C218" s="39" t="n">
        <v>1.16</v>
      </c>
      <c r="D218" s="39" t="s">
        <v>1066</v>
      </c>
      <c r="E218" s="39" t="s">
        <v>368</v>
      </c>
      <c r="F218" s="39" t="s">
        <v>792</v>
      </c>
      <c r="G218" s="51" t="s">
        <v>302</v>
      </c>
      <c r="H218" s="39" t="s">
        <v>911</v>
      </c>
    </row>
    <row r="219" customFormat="false" ht="12.8" hidden="false" customHeight="false" outlineLevel="0" collapsed="false">
      <c r="A219" s="39" t="s">
        <v>1067</v>
      </c>
      <c r="B219" s="39" t="s">
        <v>1068</v>
      </c>
      <c r="C219" s="39" t="n">
        <v>1.05</v>
      </c>
      <c r="D219" s="39" t="s">
        <v>1069</v>
      </c>
      <c r="E219" s="39" t="s">
        <v>300</v>
      </c>
      <c r="F219" s="39" t="s">
        <v>792</v>
      </c>
      <c r="G219" s="51" t="s">
        <v>302</v>
      </c>
      <c r="H219" s="39" t="s">
        <v>911</v>
      </c>
    </row>
    <row r="220" customFormat="false" ht="12.8" hidden="false" customHeight="false" outlineLevel="0" collapsed="false">
      <c r="A220" s="39" t="s">
        <v>1070</v>
      </c>
      <c r="B220" s="39" t="s">
        <v>1071</v>
      </c>
      <c r="C220" s="39" t="n">
        <v>1.19</v>
      </c>
      <c r="D220" s="39" t="s">
        <v>1072</v>
      </c>
      <c r="E220" s="39" t="s">
        <v>368</v>
      </c>
      <c r="F220" s="39" t="s">
        <v>792</v>
      </c>
      <c r="G220" s="51" t="s">
        <v>302</v>
      </c>
      <c r="H220" s="39" t="s">
        <v>911</v>
      </c>
    </row>
    <row r="221" customFormat="false" ht="12.8" hidden="false" customHeight="false" outlineLevel="0" collapsed="false">
      <c r="A221" s="39" t="s">
        <v>1073</v>
      </c>
      <c r="B221" s="39" t="s">
        <v>1074</v>
      </c>
      <c r="C221" s="39" t="n">
        <v>1.21</v>
      </c>
      <c r="D221" s="39" t="s">
        <v>1075</v>
      </c>
      <c r="E221" s="39" t="s">
        <v>368</v>
      </c>
      <c r="F221" s="39" t="s">
        <v>792</v>
      </c>
      <c r="G221" s="51" t="s">
        <v>302</v>
      </c>
      <c r="H221" s="39" t="s">
        <v>911</v>
      </c>
    </row>
    <row r="222" customFormat="false" ht="12.8" hidden="false" customHeight="false" outlineLevel="0" collapsed="false">
      <c r="A222" s="39" t="s">
        <v>1076</v>
      </c>
      <c r="B222" s="39" t="s">
        <v>1077</v>
      </c>
      <c r="C222" s="39" t="n">
        <v>1.18</v>
      </c>
      <c r="D222" s="39" t="s">
        <v>1078</v>
      </c>
      <c r="E222" s="39" t="s">
        <v>368</v>
      </c>
      <c r="F222" s="39" t="s">
        <v>792</v>
      </c>
      <c r="G222" s="51" t="s">
        <v>302</v>
      </c>
      <c r="H222" s="39" t="s">
        <v>911</v>
      </c>
    </row>
    <row r="223" customFormat="false" ht="12.8" hidden="false" customHeight="false" outlineLevel="0" collapsed="false">
      <c r="A223" s="39" t="s">
        <v>1079</v>
      </c>
      <c r="B223" s="39" t="s">
        <v>1080</v>
      </c>
      <c r="C223" s="39" t="n">
        <v>1.2</v>
      </c>
      <c r="D223" s="39" t="s">
        <v>1081</v>
      </c>
      <c r="E223" s="39" t="s">
        <v>368</v>
      </c>
      <c r="F223" s="39" t="s">
        <v>792</v>
      </c>
      <c r="G223" s="51" t="s">
        <v>302</v>
      </c>
      <c r="H223" s="39" t="s">
        <v>911</v>
      </c>
    </row>
    <row r="224" customFormat="false" ht="12.8" hidden="false" customHeight="false" outlineLevel="0" collapsed="false">
      <c r="A224" s="39" t="s">
        <v>1082</v>
      </c>
      <c r="B224" s="39" t="s">
        <v>1083</v>
      </c>
      <c r="C224" s="39" t="n">
        <v>0.95</v>
      </c>
      <c r="D224" s="39" t="s">
        <v>1084</v>
      </c>
      <c r="E224" s="39" t="s">
        <v>368</v>
      </c>
      <c r="F224" s="39" t="s">
        <v>792</v>
      </c>
      <c r="G224" s="51" t="s">
        <v>302</v>
      </c>
      <c r="H224" s="39" t="s">
        <v>911</v>
      </c>
    </row>
    <row r="225" customFormat="false" ht="12.8" hidden="false" customHeight="false" outlineLevel="0" collapsed="false">
      <c r="A225" s="39" t="s">
        <v>1085</v>
      </c>
      <c r="B225" s="39" t="s">
        <v>1086</v>
      </c>
      <c r="C225" s="39" t="n">
        <v>0.87</v>
      </c>
      <c r="D225" s="39" t="s">
        <v>1087</v>
      </c>
      <c r="E225" s="39" t="s">
        <v>300</v>
      </c>
      <c r="F225" s="39" t="s">
        <v>792</v>
      </c>
      <c r="G225" s="51" t="s">
        <v>302</v>
      </c>
      <c r="H225" s="39" t="s">
        <v>911</v>
      </c>
    </row>
    <row r="226" customFormat="false" ht="12.8" hidden="false" customHeight="false" outlineLevel="0" collapsed="false">
      <c r="A226" s="39" t="s">
        <v>1088</v>
      </c>
      <c r="B226" s="39" t="s">
        <v>1089</v>
      </c>
      <c r="C226" s="39" t="n">
        <v>0.93</v>
      </c>
      <c r="D226" s="39" t="s">
        <v>1090</v>
      </c>
      <c r="E226" s="39" t="s">
        <v>368</v>
      </c>
      <c r="F226" s="39" t="s">
        <v>792</v>
      </c>
      <c r="G226" s="51" t="s">
        <v>302</v>
      </c>
      <c r="H226" s="39" t="s">
        <v>911</v>
      </c>
    </row>
    <row r="227" customFormat="false" ht="12.8" hidden="false" customHeight="false" outlineLevel="0" collapsed="false">
      <c r="A227" s="39" t="s">
        <v>1091</v>
      </c>
      <c r="B227" s="39" t="s">
        <v>1092</v>
      </c>
      <c r="C227" s="39" t="n">
        <v>0.85</v>
      </c>
      <c r="D227" s="39" t="s">
        <v>1093</v>
      </c>
      <c r="E227" s="39" t="s">
        <v>300</v>
      </c>
      <c r="F227" s="39" t="s">
        <v>792</v>
      </c>
      <c r="G227" s="51" t="s">
        <v>302</v>
      </c>
      <c r="H227" s="39" t="s">
        <v>911</v>
      </c>
    </row>
    <row r="228" customFormat="false" ht="12.8" hidden="false" customHeight="false" outlineLevel="0" collapsed="false">
      <c r="A228" s="39" t="s">
        <v>1094</v>
      </c>
      <c r="B228" s="39" t="s">
        <v>1095</v>
      </c>
      <c r="C228" s="39" t="n">
        <v>1.23</v>
      </c>
      <c r="D228" s="39" t="s">
        <v>1096</v>
      </c>
      <c r="E228" s="39" t="s">
        <v>368</v>
      </c>
      <c r="F228" s="39" t="s">
        <v>792</v>
      </c>
      <c r="G228" s="51" t="s">
        <v>302</v>
      </c>
      <c r="H228" s="39" t="s">
        <v>911</v>
      </c>
    </row>
    <row r="229" customFormat="false" ht="12.8" hidden="false" customHeight="false" outlineLevel="0" collapsed="false">
      <c r="A229" s="39" t="s">
        <v>1097</v>
      </c>
      <c r="B229" s="39" t="s">
        <v>1098</v>
      </c>
      <c r="C229" s="39" t="n">
        <v>0.9</v>
      </c>
      <c r="D229" s="39" t="s">
        <v>1099</v>
      </c>
      <c r="E229" s="39" t="s">
        <v>300</v>
      </c>
      <c r="F229" s="39" t="s">
        <v>792</v>
      </c>
      <c r="G229" s="51" t="s">
        <v>302</v>
      </c>
      <c r="H229" s="39" t="s">
        <v>911</v>
      </c>
    </row>
    <row r="230" customFormat="false" ht="12.8" hidden="false" customHeight="false" outlineLevel="0" collapsed="false">
      <c r="A230" s="39" t="s">
        <v>1100</v>
      </c>
      <c r="B230" s="39" t="s">
        <v>1101</v>
      </c>
      <c r="C230" s="39" t="n">
        <v>0.92</v>
      </c>
      <c r="D230" s="39" t="s">
        <v>1102</v>
      </c>
      <c r="E230" s="39" t="s">
        <v>300</v>
      </c>
      <c r="F230" s="39" t="s">
        <v>792</v>
      </c>
      <c r="G230" s="51" t="s">
        <v>302</v>
      </c>
      <c r="H230" s="39" t="s">
        <v>911</v>
      </c>
    </row>
    <row r="231" customFormat="false" ht="12.8" hidden="false" customHeight="false" outlineLevel="0" collapsed="false">
      <c r="A231" s="39" t="s">
        <v>1103</v>
      </c>
      <c r="B231" s="39" t="s">
        <v>1104</v>
      </c>
      <c r="C231" s="39" t="n">
        <v>1.22</v>
      </c>
      <c r="D231" s="39" t="s">
        <v>1105</v>
      </c>
      <c r="E231" s="39" t="s">
        <v>368</v>
      </c>
      <c r="F231" s="39" t="s">
        <v>792</v>
      </c>
      <c r="G231" s="51" t="s">
        <v>302</v>
      </c>
      <c r="H231" s="39" t="s">
        <v>911</v>
      </c>
    </row>
    <row r="232" customFormat="false" ht="12.8" hidden="false" customHeight="false" outlineLevel="0" collapsed="false">
      <c r="A232" s="39" t="s">
        <v>1106</v>
      </c>
      <c r="B232" s="39" t="s">
        <v>1107</v>
      </c>
      <c r="C232" s="39" t="n">
        <v>1.3</v>
      </c>
      <c r="D232" s="39" t="s">
        <v>1108</v>
      </c>
      <c r="E232" s="39" t="s">
        <v>368</v>
      </c>
      <c r="F232" s="39" t="s">
        <v>792</v>
      </c>
      <c r="G232" s="51" t="s">
        <v>302</v>
      </c>
      <c r="H232" s="39" t="s">
        <v>1109</v>
      </c>
    </row>
    <row r="233" customFormat="false" ht="12.8" hidden="false" customHeight="false" outlineLevel="0" collapsed="false">
      <c r="A233" s="39" t="s">
        <v>1110</v>
      </c>
      <c r="B233" s="39" t="s">
        <v>1111</v>
      </c>
      <c r="C233" s="39" t="n">
        <v>1.19</v>
      </c>
      <c r="D233" s="39" t="s">
        <v>1112</v>
      </c>
      <c r="E233" s="39" t="s">
        <v>368</v>
      </c>
      <c r="F233" s="39" t="s">
        <v>792</v>
      </c>
      <c r="G233" s="51" t="s">
        <v>302</v>
      </c>
      <c r="H233" s="39" t="s">
        <v>911</v>
      </c>
    </row>
    <row r="234" customFormat="false" ht="12.8" hidden="false" customHeight="false" outlineLevel="0" collapsed="false">
      <c r="A234" s="39" t="s">
        <v>1113</v>
      </c>
      <c r="B234" s="39" t="s">
        <v>1114</v>
      </c>
      <c r="C234" s="39" t="n">
        <v>0.83</v>
      </c>
      <c r="D234" s="39" t="s">
        <v>1115</v>
      </c>
      <c r="E234" s="39" t="s">
        <v>300</v>
      </c>
      <c r="F234" s="39" t="s">
        <v>792</v>
      </c>
      <c r="G234" s="51" t="s">
        <v>302</v>
      </c>
      <c r="H234" s="39" t="s">
        <v>911</v>
      </c>
    </row>
    <row r="235" customFormat="false" ht="12.8" hidden="false" customHeight="false" outlineLevel="0" collapsed="false">
      <c r="A235" s="39" t="s">
        <v>1116</v>
      </c>
      <c r="B235" s="39" t="s">
        <v>1117</v>
      </c>
      <c r="C235" s="39" t="n">
        <v>2211200</v>
      </c>
      <c r="D235" s="39" t="s">
        <v>1118</v>
      </c>
      <c r="E235" s="39" t="s">
        <v>300</v>
      </c>
      <c r="F235" s="39" t="s">
        <v>1119</v>
      </c>
      <c r="G235" s="51" t="s">
        <v>302</v>
      </c>
      <c r="H235" s="39" t="s">
        <v>1120</v>
      </c>
    </row>
    <row r="236" customFormat="false" ht="12.8" hidden="false" customHeight="false" outlineLevel="0" collapsed="false">
      <c r="A236" s="39" t="s">
        <v>1121</v>
      </c>
      <c r="B236" s="39" t="s">
        <v>1122</v>
      </c>
      <c r="C236" s="39" t="n">
        <v>0.015</v>
      </c>
      <c r="D236" s="39" t="s">
        <v>1123</v>
      </c>
      <c r="E236" s="39" t="s">
        <v>300</v>
      </c>
      <c r="F236" s="39" t="s">
        <v>353</v>
      </c>
      <c r="G236" s="51" t="s">
        <v>302</v>
      </c>
      <c r="H236" s="39" t="s">
        <v>1124</v>
      </c>
    </row>
    <row r="237" customFormat="false" ht="12.8" hidden="false" customHeight="false" outlineLevel="0" collapsed="false">
      <c r="A237" s="39" t="s">
        <v>1125</v>
      </c>
      <c r="B237" s="39" t="s">
        <v>1126</v>
      </c>
      <c r="C237" s="39" t="n">
        <v>0.98</v>
      </c>
      <c r="D237" s="39" t="s">
        <v>1127</v>
      </c>
      <c r="E237" s="39" t="s">
        <v>300</v>
      </c>
      <c r="F237" s="39" t="s">
        <v>1128</v>
      </c>
      <c r="G237" s="51" t="s">
        <v>302</v>
      </c>
      <c r="H237" s="39" t="s">
        <v>1129</v>
      </c>
    </row>
    <row r="238" customFormat="false" ht="12.8" hidden="false" customHeight="false" outlineLevel="0" collapsed="false">
      <c r="A238" s="39" t="s">
        <v>1130</v>
      </c>
      <c r="B238" s="39" t="s">
        <v>1131</v>
      </c>
      <c r="C238" s="51" t="s">
        <v>1132</v>
      </c>
      <c r="D238" s="39" t="s">
        <v>1133</v>
      </c>
      <c r="E238" s="39" t="s">
        <v>300</v>
      </c>
      <c r="F238" s="39" t="s">
        <v>1134</v>
      </c>
      <c r="G238" s="51" t="s">
        <v>302</v>
      </c>
      <c r="H238" s="39" t="s">
        <v>1135</v>
      </c>
    </row>
    <row r="239" customFormat="false" ht="12.8" hidden="false" customHeight="false" outlineLevel="0" collapsed="false">
      <c r="A239" s="39" t="s">
        <v>1136</v>
      </c>
      <c r="B239" s="39" t="s">
        <v>1137</v>
      </c>
      <c r="C239" s="39" t="n">
        <v>1.05</v>
      </c>
      <c r="D239" s="39" t="s">
        <v>1138</v>
      </c>
      <c r="E239" s="39" t="s">
        <v>368</v>
      </c>
      <c r="F239" s="39" t="s">
        <v>1139</v>
      </c>
      <c r="G239" s="51" t="s">
        <v>302</v>
      </c>
      <c r="H239" s="39" t="s">
        <v>1140</v>
      </c>
    </row>
    <row r="240" customFormat="false" ht="12.8" hidden="false" customHeight="false" outlineLevel="0" collapsed="false">
      <c r="A240" s="39" t="s">
        <v>1141</v>
      </c>
      <c r="B240" s="39" t="s">
        <v>1142</v>
      </c>
      <c r="C240" s="39" t="n">
        <v>0.008</v>
      </c>
      <c r="D240" s="39" t="s">
        <v>1143</v>
      </c>
      <c r="E240" s="39" t="s">
        <v>300</v>
      </c>
      <c r="F240" s="39" t="s">
        <v>1144</v>
      </c>
      <c r="G240" s="51" t="s">
        <v>302</v>
      </c>
      <c r="H240" s="39" t="s">
        <v>1145</v>
      </c>
    </row>
    <row r="241" customFormat="false" ht="12.8" hidden="false" customHeight="false" outlineLevel="0" collapsed="false">
      <c r="A241" s="39" t="s">
        <v>1146</v>
      </c>
      <c r="B241" s="39" t="s">
        <v>1147</v>
      </c>
      <c r="C241" s="39" t="n">
        <v>0.005</v>
      </c>
      <c r="D241" s="39" t="s">
        <v>1148</v>
      </c>
      <c r="E241" s="39" t="s">
        <v>300</v>
      </c>
      <c r="F241" s="39" t="s">
        <v>1144</v>
      </c>
      <c r="G241" s="51" t="s">
        <v>302</v>
      </c>
      <c r="H241" s="39"/>
    </row>
    <row r="242" customFormat="false" ht="12.8" hidden="false" customHeight="false" outlineLevel="0" collapsed="false">
      <c r="A242" s="39" t="s">
        <v>1149</v>
      </c>
      <c r="B242" s="39" t="s">
        <v>1150</v>
      </c>
      <c r="C242" s="39" t="n">
        <v>0.012</v>
      </c>
      <c r="D242" s="39" t="s">
        <v>1151</v>
      </c>
      <c r="E242" s="39" t="s">
        <v>368</v>
      </c>
      <c r="F242" s="39" t="s">
        <v>1144</v>
      </c>
      <c r="G242" s="51" t="s">
        <v>302</v>
      </c>
      <c r="H242" s="39"/>
    </row>
    <row r="243" customFormat="false" ht="12.8" hidden="false" customHeight="false" outlineLevel="0" collapsed="false">
      <c r="A243" s="39" t="s">
        <v>1152</v>
      </c>
      <c r="B243" s="39" t="s">
        <v>1153</v>
      </c>
      <c r="C243" s="39" t="n">
        <v>0.007</v>
      </c>
      <c r="D243" s="39" t="s">
        <v>1154</v>
      </c>
      <c r="E243" s="39" t="s">
        <v>300</v>
      </c>
      <c r="F243" s="39" t="s">
        <v>1144</v>
      </c>
      <c r="G243" s="51" t="s">
        <v>302</v>
      </c>
      <c r="H243" s="39"/>
    </row>
    <row r="244" customFormat="false" ht="12.8" hidden="false" customHeight="false" outlineLevel="0" collapsed="false">
      <c r="A244" s="39" t="s">
        <v>1155</v>
      </c>
      <c r="B244" s="39" t="s">
        <v>1156</v>
      </c>
      <c r="C244" s="39" t="n">
        <v>0.007</v>
      </c>
      <c r="D244" s="39" t="s">
        <v>1157</v>
      </c>
      <c r="E244" s="39" t="s">
        <v>300</v>
      </c>
      <c r="F244" s="39" t="s">
        <v>1144</v>
      </c>
      <c r="G244" s="51" t="s">
        <v>302</v>
      </c>
      <c r="H244" s="39"/>
    </row>
    <row r="245" customFormat="false" ht="12.8" hidden="false" customHeight="false" outlineLevel="0" collapsed="false">
      <c r="A245" s="39" t="s">
        <v>1158</v>
      </c>
      <c r="B245" s="39" t="s">
        <v>1159</v>
      </c>
      <c r="C245" s="39" t="n">
        <v>0.006</v>
      </c>
      <c r="D245" s="39" t="s">
        <v>1160</v>
      </c>
      <c r="E245" s="39" t="s">
        <v>300</v>
      </c>
      <c r="F245" s="39" t="s">
        <v>1144</v>
      </c>
      <c r="G245" s="51" t="s">
        <v>302</v>
      </c>
      <c r="H245" s="39"/>
    </row>
    <row r="246" customFormat="false" ht="12.8" hidden="false" customHeight="false" outlineLevel="0" collapsed="false">
      <c r="A246" s="39" t="s">
        <v>1161</v>
      </c>
      <c r="B246" s="39" t="s">
        <v>1162</v>
      </c>
      <c r="C246" s="39" t="n">
        <v>0.006</v>
      </c>
      <c r="D246" s="39" t="s">
        <v>1163</v>
      </c>
      <c r="E246" s="39" t="s">
        <v>300</v>
      </c>
      <c r="F246" s="39" t="s">
        <v>1144</v>
      </c>
      <c r="G246" s="51" t="s">
        <v>302</v>
      </c>
      <c r="H246" s="39"/>
    </row>
    <row r="247" customFormat="false" ht="12.8" hidden="false" customHeight="false" outlineLevel="0" collapsed="false">
      <c r="A247" s="39" t="s">
        <v>1164</v>
      </c>
      <c r="B247" s="39" t="s">
        <v>1165</v>
      </c>
      <c r="C247" s="39" t="n">
        <v>0.009</v>
      </c>
      <c r="D247" s="39" t="s">
        <v>1166</v>
      </c>
      <c r="E247" s="39" t="s">
        <v>306</v>
      </c>
      <c r="F247" s="39" t="s">
        <v>1144</v>
      </c>
      <c r="G247" s="51" t="s">
        <v>302</v>
      </c>
      <c r="H247" s="39"/>
    </row>
    <row r="248" customFormat="false" ht="12.8" hidden="false" customHeight="false" outlineLevel="0" collapsed="false">
      <c r="A248" s="39" t="s">
        <v>1167</v>
      </c>
      <c r="B248" s="39" t="s">
        <v>1168</v>
      </c>
      <c r="C248" s="39" t="n">
        <v>0.01</v>
      </c>
      <c r="D248" s="39" t="s">
        <v>1169</v>
      </c>
      <c r="E248" s="39" t="s">
        <v>306</v>
      </c>
      <c r="F248" s="39" t="s">
        <v>1144</v>
      </c>
      <c r="G248" s="51" t="s">
        <v>302</v>
      </c>
      <c r="H248" s="39"/>
    </row>
    <row r="249" customFormat="false" ht="12.8" hidden="false" customHeight="false" outlineLevel="0" collapsed="false">
      <c r="A249" s="39" t="s">
        <v>1170</v>
      </c>
      <c r="B249" s="39" t="s">
        <v>1171</v>
      </c>
      <c r="C249" s="39" t="n">
        <v>0.008</v>
      </c>
      <c r="D249" s="39" t="s">
        <v>1172</v>
      </c>
      <c r="E249" s="39" t="s">
        <v>300</v>
      </c>
      <c r="F249" s="39" t="s">
        <v>1144</v>
      </c>
      <c r="G249" s="51" t="s">
        <v>302</v>
      </c>
      <c r="H249" s="39"/>
    </row>
    <row r="250" customFormat="false" ht="12.8" hidden="false" customHeight="false" outlineLevel="0" collapsed="false">
      <c r="A250" s="39" t="s">
        <v>1173</v>
      </c>
      <c r="B250" s="39" t="s">
        <v>1174</v>
      </c>
      <c r="C250" s="39" t="n">
        <v>0.009</v>
      </c>
      <c r="D250" s="39" t="s">
        <v>1175</v>
      </c>
      <c r="E250" s="39" t="s">
        <v>306</v>
      </c>
      <c r="F250" s="39" t="s">
        <v>1144</v>
      </c>
      <c r="G250" s="51" t="s">
        <v>302</v>
      </c>
      <c r="H250" s="39"/>
    </row>
    <row r="251" customFormat="false" ht="12.8" hidden="false" customHeight="false" outlineLevel="0" collapsed="false">
      <c r="A251" s="39" t="s">
        <v>1176</v>
      </c>
      <c r="B251" s="39" t="s">
        <v>1177</v>
      </c>
      <c r="C251" s="39" t="n">
        <v>0.005</v>
      </c>
      <c r="D251" s="39" t="s">
        <v>1178</v>
      </c>
      <c r="E251" s="39" t="s">
        <v>300</v>
      </c>
      <c r="F251" s="39" t="s">
        <v>1144</v>
      </c>
      <c r="G251" s="51" t="s">
        <v>302</v>
      </c>
      <c r="H251" s="39"/>
    </row>
    <row r="252" customFormat="false" ht="12.8" hidden="false" customHeight="false" outlineLevel="0" collapsed="false">
      <c r="A252" s="39" t="s">
        <v>1179</v>
      </c>
      <c r="B252" s="39" t="s">
        <v>1180</v>
      </c>
      <c r="C252" s="39" t="n">
        <v>0.004</v>
      </c>
      <c r="D252" s="39" t="s">
        <v>1181</v>
      </c>
      <c r="E252" s="39" t="s">
        <v>300</v>
      </c>
      <c r="F252" s="39" t="s">
        <v>1144</v>
      </c>
      <c r="G252" s="51" t="s">
        <v>302</v>
      </c>
      <c r="H252" s="39"/>
    </row>
    <row r="253" customFormat="false" ht="12.8" hidden="false" customHeight="false" outlineLevel="0" collapsed="false">
      <c r="A253" s="39" t="s">
        <v>1182</v>
      </c>
      <c r="B253" s="39" t="s">
        <v>1183</v>
      </c>
      <c r="C253" s="39" t="n">
        <v>0.006</v>
      </c>
      <c r="D253" s="39" t="s">
        <v>1184</v>
      </c>
      <c r="E253" s="39" t="s">
        <v>300</v>
      </c>
      <c r="F253" s="39" t="s">
        <v>1144</v>
      </c>
      <c r="G253" s="51" t="s">
        <v>302</v>
      </c>
      <c r="H253" s="39"/>
    </row>
    <row r="254" customFormat="false" ht="12.8" hidden="false" customHeight="false" outlineLevel="0" collapsed="false">
      <c r="A254" s="39" t="s">
        <v>1185</v>
      </c>
      <c r="B254" s="39" t="s">
        <v>1186</v>
      </c>
      <c r="C254" s="39" t="n">
        <v>0.004</v>
      </c>
      <c r="D254" s="39" t="s">
        <v>1187</v>
      </c>
      <c r="E254" s="39" t="s">
        <v>300</v>
      </c>
      <c r="F254" s="39" t="s">
        <v>1144</v>
      </c>
      <c r="G254" s="51" t="s">
        <v>302</v>
      </c>
      <c r="H254" s="39"/>
    </row>
    <row r="255" customFormat="false" ht="12.8" hidden="false" customHeight="false" outlineLevel="0" collapsed="false">
      <c r="A255" s="39" t="s">
        <v>1188</v>
      </c>
      <c r="B255" s="39" t="s">
        <v>1189</v>
      </c>
      <c r="C255" s="39" t="n">
        <v>0.009</v>
      </c>
      <c r="D255" s="39" t="s">
        <v>1190</v>
      </c>
      <c r="E255" s="39" t="s">
        <v>306</v>
      </c>
      <c r="F255" s="39" t="s">
        <v>1144</v>
      </c>
      <c r="G255" s="51" t="s">
        <v>302</v>
      </c>
      <c r="H255" s="39"/>
    </row>
    <row r="256" customFormat="false" ht="12.8" hidden="false" customHeight="false" outlineLevel="0" collapsed="false">
      <c r="A256" s="39" t="s">
        <v>1191</v>
      </c>
      <c r="B256" s="39" t="s">
        <v>1192</v>
      </c>
      <c r="C256" s="39" t="n">
        <v>0.003</v>
      </c>
      <c r="D256" s="39" t="s">
        <v>1193</v>
      </c>
      <c r="E256" s="39" t="s">
        <v>300</v>
      </c>
      <c r="F256" s="39" t="s">
        <v>1144</v>
      </c>
      <c r="G256" s="51" t="s">
        <v>302</v>
      </c>
      <c r="H256" s="39"/>
    </row>
    <row r="257" customFormat="false" ht="12.8" hidden="false" customHeight="false" outlineLevel="0" collapsed="false">
      <c r="A257" s="39" t="s">
        <v>1194</v>
      </c>
      <c r="B257" s="39" t="s">
        <v>1195</v>
      </c>
      <c r="C257" s="39" t="n">
        <v>0.004</v>
      </c>
      <c r="D257" s="39" t="s">
        <v>1196</v>
      </c>
      <c r="E257" s="39" t="s">
        <v>300</v>
      </c>
      <c r="F257" s="39" t="s">
        <v>1144</v>
      </c>
      <c r="G257" s="51" t="s">
        <v>302</v>
      </c>
      <c r="H257" s="39"/>
    </row>
    <row r="258" customFormat="false" ht="12.8" hidden="false" customHeight="false" outlineLevel="0" collapsed="false">
      <c r="A258" s="39" t="s">
        <v>1197</v>
      </c>
      <c r="B258" s="39" t="s">
        <v>1198</v>
      </c>
      <c r="C258" s="39" t="n">
        <v>0.011</v>
      </c>
      <c r="D258" s="39" t="s">
        <v>1199</v>
      </c>
      <c r="E258" s="39" t="s">
        <v>368</v>
      </c>
      <c r="F258" s="39" t="s">
        <v>1144</v>
      </c>
      <c r="G258" s="51" t="s">
        <v>302</v>
      </c>
      <c r="H258" s="39"/>
    </row>
    <row r="259" customFormat="false" ht="12.8" hidden="false" customHeight="false" outlineLevel="0" collapsed="false">
      <c r="A259" s="39" t="s">
        <v>1200</v>
      </c>
      <c r="B259" s="39" t="s">
        <v>1201</v>
      </c>
      <c r="C259" s="39" t="n">
        <v>0.012</v>
      </c>
      <c r="D259" s="39" t="s">
        <v>1202</v>
      </c>
      <c r="E259" s="39" t="s">
        <v>368</v>
      </c>
      <c r="F259" s="39" t="s">
        <v>1144</v>
      </c>
      <c r="G259" s="51" t="s">
        <v>302</v>
      </c>
      <c r="H259" s="39"/>
    </row>
    <row r="260" customFormat="false" ht="12.8" hidden="false" customHeight="false" outlineLevel="0" collapsed="false">
      <c r="A260" s="39" t="s">
        <v>1203</v>
      </c>
      <c r="B260" s="39" t="s">
        <v>1204</v>
      </c>
      <c r="C260" s="39" t="n">
        <v>0.008</v>
      </c>
      <c r="D260" s="39" t="s">
        <v>1205</v>
      </c>
      <c r="E260" s="39" t="s">
        <v>306</v>
      </c>
      <c r="F260" s="39" t="s">
        <v>1144</v>
      </c>
      <c r="G260" s="51" t="s">
        <v>302</v>
      </c>
      <c r="H260" s="39"/>
    </row>
    <row r="261" customFormat="false" ht="12.8" hidden="false" customHeight="false" outlineLevel="0" collapsed="false">
      <c r="A261" s="39" t="s">
        <v>1206</v>
      </c>
      <c r="B261" s="39" t="s">
        <v>1207</v>
      </c>
      <c r="C261" s="39" t="n">
        <v>0.003</v>
      </c>
      <c r="D261" s="39" t="s">
        <v>1208</v>
      </c>
      <c r="E261" s="39" t="s">
        <v>300</v>
      </c>
      <c r="F261" s="39" t="s">
        <v>1144</v>
      </c>
      <c r="G261" s="51" t="s">
        <v>302</v>
      </c>
      <c r="H261" s="39"/>
    </row>
    <row r="262" customFormat="false" ht="12.8" hidden="false" customHeight="false" outlineLevel="0" collapsed="false">
      <c r="A262" s="39" t="s">
        <v>1209</v>
      </c>
      <c r="B262" s="39" t="s">
        <v>1210</v>
      </c>
      <c r="C262" s="39" t="n">
        <v>1</v>
      </c>
      <c r="D262" s="39" t="s">
        <v>1211</v>
      </c>
      <c r="E262" s="39" t="s">
        <v>300</v>
      </c>
      <c r="F262" s="39" t="s">
        <v>1212</v>
      </c>
      <c r="G262" s="51" t="s">
        <v>302</v>
      </c>
      <c r="H262" s="39" t="s">
        <v>1213</v>
      </c>
    </row>
    <row r="263" customFormat="false" ht="12.8" hidden="false" customHeight="false" outlineLevel="0" collapsed="false">
      <c r="A263" s="39" t="s">
        <v>1214</v>
      </c>
      <c r="B263" s="39" t="s">
        <v>1215</v>
      </c>
      <c r="C263" s="39" t="n">
        <v>1.01</v>
      </c>
      <c r="D263" s="39" t="s">
        <v>1216</v>
      </c>
      <c r="E263" s="39" t="s">
        <v>300</v>
      </c>
      <c r="F263" s="39" t="s">
        <v>1212</v>
      </c>
      <c r="G263" s="51" t="s">
        <v>302</v>
      </c>
      <c r="H263" s="39"/>
    </row>
    <row r="264" customFormat="false" ht="12.8" hidden="false" customHeight="false" outlineLevel="0" collapsed="false">
      <c r="A264" s="39" t="s">
        <v>1217</v>
      </c>
      <c r="B264" s="39" t="s">
        <v>1218</v>
      </c>
      <c r="C264" s="39" t="n">
        <v>0.99</v>
      </c>
      <c r="D264" s="39" t="s">
        <v>1219</v>
      </c>
      <c r="E264" s="39" t="s">
        <v>306</v>
      </c>
      <c r="F264" s="39" t="s">
        <v>1212</v>
      </c>
      <c r="G264" s="51" t="s">
        <v>302</v>
      </c>
      <c r="H264" s="39"/>
    </row>
    <row r="265" customFormat="false" ht="12.8" hidden="false" customHeight="false" outlineLevel="0" collapsed="false">
      <c r="A265" s="39" t="s">
        <v>1220</v>
      </c>
      <c r="B265" s="39" t="s">
        <v>1221</v>
      </c>
      <c r="C265" s="39" t="n">
        <v>1</v>
      </c>
      <c r="D265" s="39" t="s">
        <v>1222</v>
      </c>
      <c r="E265" s="39" t="s">
        <v>300</v>
      </c>
      <c r="F265" s="39" t="s">
        <v>1212</v>
      </c>
      <c r="G265" s="51" t="s">
        <v>302</v>
      </c>
      <c r="H265" s="39"/>
    </row>
    <row r="266" customFormat="false" ht="12.8" hidden="false" customHeight="false" outlineLevel="0" collapsed="false">
      <c r="A266" s="39" t="s">
        <v>1223</v>
      </c>
      <c r="B266" s="39" t="s">
        <v>1224</v>
      </c>
      <c r="C266" s="39" t="n">
        <v>1</v>
      </c>
      <c r="D266" s="39" t="s">
        <v>1225</v>
      </c>
      <c r="E266" s="39" t="s">
        <v>300</v>
      </c>
      <c r="F266" s="39" t="s">
        <v>1212</v>
      </c>
      <c r="G266" s="51" t="s">
        <v>302</v>
      </c>
      <c r="H266" s="39"/>
    </row>
    <row r="267" customFormat="false" ht="12.8" hidden="false" customHeight="false" outlineLevel="0" collapsed="false">
      <c r="A267" s="39" t="s">
        <v>1226</v>
      </c>
      <c r="B267" s="39" t="s">
        <v>1227</v>
      </c>
      <c r="C267" s="39" t="n">
        <v>1</v>
      </c>
      <c r="D267" s="39" t="s">
        <v>1228</v>
      </c>
      <c r="E267" s="39" t="s">
        <v>300</v>
      </c>
      <c r="F267" s="39" t="s">
        <v>1212</v>
      </c>
      <c r="G267" s="51" t="s">
        <v>302</v>
      </c>
      <c r="H267" s="39"/>
    </row>
    <row r="268" customFormat="false" ht="12.8" hidden="false" customHeight="false" outlineLevel="0" collapsed="false">
      <c r="A268" s="39" t="s">
        <v>1229</v>
      </c>
      <c r="B268" s="39" t="s">
        <v>1230</v>
      </c>
      <c r="C268" s="39" t="n">
        <v>1.01</v>
      </c>
      <c r="D268" s="39" t="s">
        <v>1231</v>
      </c>
      <c r="E268" s="39" t="s">
        <v>300</v>
      </c>
      <c r="F268" s="39" t="s">
        <v>1212</v>
      </c>
      <c r="G268" s="51" t="s">
        <v>302</v>
      </c>
      <c r="H268" s="39"/>
    </row>
    <row r="269" customFormat="false" ht="12.8" hidden="false" customHeight="false" outlineLevel="0" collapsed="false">
      <c r="A269" s="39" t="s">
        <v>1232</v>
      </c>
      <c r="B269" s="39" t="s">
        <v>1233</v>
      </c>
      <c r="C269" s="39" t="n">
        <v>0.99</v>
      </c>
      <c r="D269" s="39" t="s">
        <v>1234</v>
      </c>
      <c r="E269" s="39" t="s">
        <v>306</v>
      </c>
      <c r="F269" s="39" t="s">
        <v>1212</v>
      </c>
      <c r="G269" s="51" t="s">
        <v>302</v>
      </c>
      <c r="H269" s="39"/>
    </row>
    <row r="270" customFormat="false" ht="12.8" hidden="false" customHeight="false" outlineLevel="0" collapsed="false">
      <c r="A270" s="39" t="s">
        <v>1235</v>
      </c>
      <c r="B270" s="39" t="s">
        <v>1236</v>
      </c>
      <c r="C270" s="39" t="n">
        <v>0.99</v>
      </c>
      <c r="D270" s="39" t="s">
        <v>1237</v>
      </c>
      <c r="E270" s="39" t="s">
        <v>306</v>
      </c>
      <c r="F270" s="39" t="s">
        <v>1212</v>
      </c>
      <c r="G270" s="51" t="s">
        <v>302</v>
      </c>
      <c r="H270" s="39"/>
    </row>
    <row r="271" customFormat="false" ht="12.8" hidden="false" customHeight="false" outlineLevel="0" collapsed="false">
      <c r="A271" s="39" t="s">
        <v>1238</v>
      </c>
      <c r="B271" s="39" t="s">
        <v>1239</v>
      </c>
      <c r="C271" s="39" t="n">
        <v>1</v>
      </c>
      <c r="D271" s="39" t="s">
        <v>1240</v>
      </c>
      <c r="E271" s="39" t="s">
        <v>300</v>
      </c>
      <c r="F271" s="39" t="s">
        <v>1212</v>
      </c>
      <c r="G271" s="51" t="s">
        <v>302</v>
      </c>
      <c r="H271" s="39"/>
    </row>
    <row r="272" customFormat="false" ht="12.8" hidden="false" customHeight="false" outlineLevel="0" collapsed="false">
      <c r="A272" s="39" t="s">
        <v>1241</v>
      </c>
      <c r="B272" s="39" t="s">
        <v>1242</v>
      </c>
      <c r="C272" s="39" t="n">
        <v>1</v>
      </c>
      <c r="D272" s="39" t="s">
        <v>1243</v>
      </c>
      <c r="E272" s="39" t="s">
        <v>306</v>
      </c>
      <c r="F272" s="39" t="s">
        <v>1212</v>
      </c>
      <c r="G272" s="51" t="s">
        <v>302</v>
      </c>
      <c r="H272" s="39"/>
    </row>
    <row r="273" customFormat="false" ht="12.8" hidden="false" customHeight="false" outlineLevel="0" collapsed="false">
      <c r="A273" s="39" t="s">
        <v>1244</v>
      </c>
      <c r="B273" s="39" t="s">
        <v>1245</v>
      </c>
      <c r="C273" s="39" t="n">
        <v>1.01</v>
      </c>
      <c r="D273" s="39" t="s">
        <v>1246</v>
      </c>
      <c r="E273" s="39" t="s">
        <v>300</v>
      </c>
      <c r="F273" s="39" t="s">
        <v>1212</v>
      </c>
      <c r="G273" s="51" t="s">
        <v>302</v>
      </c>
      <c r="H273" s="39"/>
    </row>
    <row r="274" customFormat="false" ht="12.8" hidden="false" customHeight="false" outlineLevel="0" collapsed="false">
      <c r="A274" s="39" t="s">
        <v>1247</v>
      </c>
      <c r="B274" s="39" t="s">
        <v>1248</v>
      </c>
      <c r="C274" s="39" t="n">
        <v>1.02</v>
      </c>
      <c r="D274" s="39" t="s">
        <v>1249</v>
      </c>
      <c r="E274" s="39" t="s">
        <v>300</v>
      </c>
      <c r="F274" s="39" t="s">
        <v>1212</v>
      </c>
      <c r="G274" s="51" t="s">
        <v>302</v>
      </c>
      <c r="H274" s="39"/>
    </row>
    <row r="275" customFormat="false" ht="12.8" hidden="false" customHeight="false" outlineLevel="0" collapsed="false">
      <c r="A275" s="39" t="s">
        <v>1250</v>
      </c>
      <c r="B275" s="39" t="s">
        <v>1251</v>
      </c>
      <c r="C275" s="39" t="n">
        <v>1</v>
      </c>
      <c r="D275" s="39" t="s">
        <v>1252</v>
      </c>
      <c r="E275" s="39" t="s">
        <v>300</v>
      </c>
      <c r="F275" s="39" t="s">
        <v>1212</v>
      </c>
      <c r="G275" s="51" t="s">
        <v>302</v>
      </c>
      <c r="H275" s="39"/>
    </row>
    <row r="276" customFormat="false" ht="12.8" hidden="false" customHeight="false" outlineLevel="0" collapsed="false">
      <c r="A276" s="39" t="s">
        <v>1253</v>
      </c>
      <c r="B276" s="39" t="s">
        <v>1254</v>
      </c>
      <c r="C276" s="39" t="n">
        <v>1.03</v>
      </c>
      <c r="D276" s="39" t="s">
        <v>1255</v>
      </c>
      <c r="E276" s="39" t="s">
        <v>300</v>
      </c>
      <c r="F276" s="39" t="s">
        <v>1212</v>
      </c>
      <c r="G276" s="51" t="s">
        <v>302</v>
      </c>
      <c r="H276" s="39"/>
    </row>
    <row r="277" customFormat="false" ht="12.8" hidden="false" customHeight="false" outlineLevel="0" collapsed="false">
      <c r="A277" s="39" t="s">
        <v>1256</v>
      </c>
      <c r="B277" s="39" t="s">
        <v>1257</v>
      </c>
      <c r="C277" s="39" t="n">
        <v>0.98</v>
      </c>
      <c r="D277" s="39" t="s">
        <v>1258</v>
      </c>
      <c r="E277" s="39" t="s">
        <v>306</v>
      </c>
      <c r="F277" s="39" t="s">
        <v>1212</v>
      </c>
      <c r="G277" s="51" t="s">
        <v>302</v>
      </c>
      <c r="H277" s="39"/>
    </row>
    <row r="278" customFormat="false" ht="12.8" hidden="false" customHeight="false" outlineLevel="0" collapsed="false">
      <c r="A278" s="39" t="s">
        <v>1259</v>
      </c>
      <c r="B278" s="39" t="s">
        <v>1260</v>
      </c>
      <c r="C278" s="39" t="n">
        <v>1.01</v>
      </c>
      <c r="D278" s="39" t="s">
        <v>1261</v>
      </c>
      <c r="E278" s="39" t="s">
        <v>300</v>
      </c>
      <c r="F278" s="39" t="s">
        <v>1212</v>
      </c>
      <c r="G278" s="51" t="s">
        <v>302</v>
      </c>
      <c r="H278" s="39"/>
    </row>
    <row r="279" customFormat="false" ht="12.8" hidden="false" customHeight="false" outlineLevel="0" collapsed="false">
      <c r="A279" s="39" t="s">
        <v>1262</v>
      </c>
      <c r="B279" s="39" t="s">
        <v>1263</v>
      </c>
      <c r="C279" s="39" t="n">
        <v>1.02</v>
      </c>
      <c r="D279" s="39" t="s">
        <v>1264</v>
      </c>
      <c r="E279" s="39" t="s">
        <v>300</v>
      </c>
      <c r="F279" s="39" t="s">
        <v>1212</v>
      </c>
      <c r="G279" s="51" t="s">
        <v>302</v>
      </c>
      <c r="H279" s="39"/>
    </row>
    <row r="280" customFormat="false" ht="12.8" hidden="false" customHeight="false" outlineLevel="0" collapsed="false">
      <c r="A280" s="39" t="s">
        <v>1265</v>
      </c>
      <c r="B280" s="39" t="s">
        <v>1266</v>
      </c>
      <c r="C280" s="39" t="n">
        <v>0.99</v>
      </c>
      <c r="D280" s="39" t="s">
        <v>1267</v>
      </c>
      <c r="E280" s="39" t="s">
        <v>368</v>
      </c>
      <c r="F280" s="39" t="s">
        <v>1212</v>
      </c>
      <c r="G280" s="51" t="s">
        <v>302</v>
      </c>
      <c r="H280" s="39"/>
    </row>
    <row r="281" customFormat="false" ht="12.8" hidden="false" customHeight="false" outlineLevel="0" collapsed="false">
      <c r="A281" s="39" t="s">
        <v>1268</v>
      </c>
      <c r="B281" s="39" t="s">
        <v>1269</v>
      </c>
      <c r="C281" s="39" t="n">
        <v>0.98</v>
      </c>
      <c r="D281" s="39" t="s">
        <v>1270</v>
      </c>
      <c r="E281" s="39" t="s">
        <v>368</v>
      </c>
      <c r="F281" s="39" t="s">
        <v>1212</v>
      </c>
      <c r="G281" s="51" t="s">
        <v>302</v>
      </c>
      <c r="H281" s="39"/>
    </row>
    <row r="282" customFormat="false" ht="12.8" hidden="false" customHeight="false" outlineLevel="0" collapsed="false">
      <c r="A282" s="39" t="s">
        <v>1271</v>
      </c>
      <c r="B282" s="39" t="s">
        <v>1272</v>
      </c>
      <c r="C282" s="39" t="n">
        <v>0.99</v>
      </c>
      <c r="D282" s="39" t="s">
        <v>1273</v>
      </c>
      <c r="E282" s="39" t="s">
        <v>306</v>
      </c>
      <c r="F282" s="39" t="s">
        <v>1212</v>
      </c>
      <c r="G282" s="51" t="s">
        <v>302</v>
      </c>
      <c r="H282" s="39"/>
    </row>
    <row r="283" customFormat="false" ht="12.8" hidden="false" customHeight="false" outlineLevel="0" collapsed="false">
      <c r="A283" s="39" t="s">
        <v>1274</v>
      </c>
      <c r="B283" s="39" t="s">
        <v>1275</v>
      </c>
      <c r="C283" s="39" t="n">
        <v>1.04</v>
      </c>
      <c r="D283" s="39" t="s">
        <v>1276</v>
      </c>
      <c r="E283" s="39" t="s">
        <v>300</v>
      </c>
      <c r="F283" s="39" t="s">
        <v>1212</v>
      </c>
      <c r="G283" s="51" t="s">
        <v>302</v>
      </c>
      <c r="H283" s="39"/>
    </row>
    <row r="284" customFormat="false" ht="12.8" hidden="false" customHeight="false" outlineLevel="0" collapsed="false">
      <c r="A284" s="39" t="s">
        <v>1277</v>
      </c>
      <c r="B284" s="39" t="s">
        <v>1278</v>
      </c>
      <c r="C284" s="39" t="n">
        <v>1.05</v>
      </c>
      <c r="D284" s="39" t="s">
        <v>1279</v>
      </c>
      <c r="E284" s="39" t="s">
        <v>306</v>
      </c>
      <c r="F284" s="39" t="s">
        <v>792</v>
      </c>
      <c r="G284" s="51" t="s">
        <v>302</v>
      </c>
      <c r="H284" s="39" t="s">
        <v>1213</v>
      </c>
    </row>
    <row r="285" customFormat="false" ht="12.8" hidden="false" customHeight="false" outlineLevel="0" collapsed="false">
      <c r="A285" s="39" t="s">
        <v>1280</v>
      </c>
      <c r="B285" s="39" t="s">
        <v>1281</v>
      </c>
      <c r="C285" s="39" t="n">
        <v>0.85</v>
      </c>
      <c r="D285" s="39" t="s">
        <v>1282</v>
      </c>
      <c r="E285" s="39" t="s">
        <v>300</v>
      </c>
      <c r="F285" s="39" t="s">
        <v>792</v>
      </c>
      <c r="G285" s="51" t="s">
        <v>302</v>
      </c>
      <c r="H285" s="39"/>
    </row>
    <row r="286" customFormat="false" ht="12.8" hidden="false" customHeight="false" outlineLevel="0" collapsed="false">
      <c r="A286" s="39" t="s">
        <v>1130</v>
      </c>
      <c r="B286" s="39" t="s">
        <v>1283</v>
      </c>
      <c r="C286" s="39" t="n">
        <v>1.35</v>
      </c>
      <c r="D286" s="39" t="s">
        <v>1284</v>
      </c>
      <c r="E286" s="39" t="s">
        <v>306</v>
      </c>
      <c r="F286" s="39" t="s">
        <v>792</v>
      </c>
      <c r="G286" s="51" t="s">
        <v>302</v>
      </c>
      <c r="H286" s="39"/>
    </row>
    <row r="287" customFormat="false" ht="12.8" hidden="false" customHeight="false" outlineLevel="0" collapsed="false">
      <c r="A287" s="39" t="s">
        <v>1136</v>
      </c>
      <c r="B287" s="39" t="s">
        <v>1285</v>
      </c>
      <c r="C287" s="39" t="n">
        <v>1.1</v>
      </c>
      <c r="D287" s="39" t="s">
        <v>1286</v>
      </c>
      <c r="E287" s="39" t="s">
        <v>368</v>
      </c>
      <c r="F287" s="39" t="s">
        <v>792</v>
      </c>
      <c r="G287" s="51" t="s">
        <v>302</v>
      </c>
      <c r="H287" s="39"/>
    </row>
    <row r="288" customFormat="false" ht="12.8" hidden="false" customHeight="false" outlineLevel="0" collapsed="false">
      <c r="A288" s="39" t="s">
        <v>1287</v>
      </c>
      <c r="B288" s="39" t="s">
        <v>1288</v>
      </c>
      <c r="C288" s="39" t="n">
        <v>1.1</v>
      </c>
      <c r="D288" s="39" t="s">
        <v>1289</v>
      </c>
      <c r="E288" s="39" t="s">
        <v>368</v>
      </c>
      <c r="F288" s="39" t="s">
        <v>792</v>
      </c>
      <c r="G288" s="51" t="s">
        <v>302</v>
      </c>
      <c r="H288" s="39"/>
    </row>
    <row r="289" customFormat="false" ht="12.8" hidden="false" customHeight="false" outlineLevel="0" collapsed="false">
      <c r="A289" s="39" t="s">
        <v>1290</v>
      </c>
      <c r="B289" s="39" t="s">
        <v>1291</v>
      </c>
      <c r="C289" s="39" t="n">
        <v>1.08</v>
      </c>
      <c r="D289" s="39" t="s">
        <v>1292</v>
      </c>
      <c r="E289" s="39" t="s">
        <v>306</v>
      </c>
      <c r="F289" s="39" t="s">
        <v>792</v>
      </c>
      <c r="G289" s="51" t="s">
        <v>302</v>
      </c>
      <c r="H289" s="39"/>
    </row>
    <row r="290" customFormat="false" ht="12.8" hidden="false" customHeight="false" outlineLevel="0" collapsed="false">
      <c r="A290" s="39" t="s">
        <v>1293</v>
      </c>
      <c r="B290" s="39" t="s">
        <v>1294</v>
      </c>
      <c r="C290" s="39" t="n">
        <v>0.95</v>
      </c>
      <c r="D290" s="39" t="s">
        <v>1295</v>
      </c>
      <c r="E290" s="39" t="s">
        <v>300</v>
      </c>
      <c r="F290" s="39" t="s">
        <v>792</v>
      </c>
      <c r="G290" s="51" t="s">
        <v>302</v>
      </c>
      <c r="H290" s="39"/>
    </row>
    <row r="291" customFormat="false" ht="12.8" hidden="false" customHeight="false" outlineLevel="0" collapsed="false">
      <c r="A291" s="39" t="s">
        <v>1296</v>
      </c>
      <c r="B291" s="39" t="s">
        <v>1297</v>
      </c>
      <c r="C291" s="39" t="n">
        <v>1.15</v>
      </c>
      <c r="D291" s="39" t="s">
        <v>1298</v>
      </c>
      <c r="E291" s="39" t="s">
        <v>368</v>
      </c>
      <c r="F291" s="39" t="s">
        <v>792</v>
      </c>
      <c r="G291" s="51" t="s">
        <v>302</v>
      </c>
      <c r="H291" s="39"/>
    </row>
    <row r="292" customFormat="false" ht="12.8" hidden="false" customHeight="false" outlineLevel="0" collapsed="false">
      <c r="A292" s="39" t="s">
        <v>1299</v>
      </c>
      <c r="B292" s="39" t="s">
        <v>1300</v>
      </c>
      <c r="C292" s="39" t="n">
        <v>1.18</v>
      </c>
      <c r="D292" s="39" t="s">
        <v>1301</v>
      </c>
      <c r="E292" s="39" t="s">
        <v>368</v>
      </c>
      <c r="F292" s="39" t="s">
        <v>792</v>
      </c>
      <c r="G292" s="51" t="s">
        <v>302</v>
      </c>
      <c r="H292" s="39"/>
    </row>
    <row r="293" customFormat="false" ht="12.8" hidden="false" customHeight="false" outlineLevel="0" collapsed="false">
      <c r="A293" s="39" t="s">
        <v>1302</v>
      </c>
      <c r="B293" s="39" t="s">
        <v>1303</v>
      </c>
      <c r="C293" s="39" t="n">
        <v>1.12</v>
      </c>
      <c r="D293" s="39" t="s">
        <v>1304</v>
      </c>
      <c r="E293" s="39" t="s">
        <v>306</v>
      </c>
      <c r="F293" s="39" t="s">
        <v>792</v>
      </c>
      <c r="G293" s="51" t="s">
        <v>302</v>
      </c>
      <c r="H293" s="39"/>
    </row>
    <row r="294" customFormat="false" ht="12.8" hidden="false" customHeight="false" outlineLevel="0" collapsed="false">
      <c r="A294" s="39" t="s">
        <v>1305</v>
      </c>
      <c r="B294" s="39" t="s">
        <v>1306</v>
      </c>
      <c r="C294" s="39" t="n">
        <v>1.15</v>
      </c>
      <c r="D294" s="39" t="s">
        <v>1307</v>
      </c>
      <c r="E294" s="39" t="s">
        <v>368</v>
      </c>
      <c r="F294" s="39" t="s">
        <v>792</v>
      </c>
      <c r="G294" s="51" t="s">
        <v>302</v>
      </c>
      <c r="H294" s="39"/>
    </row>
    <row r="295" customFormat="false" ht="12.8" hidden="false" customHeight="false" outlineLevel="0" collapsed="false">
      <c r="A295" s="39" t="s">
        <v>1308</v>
      </c>
      <c r="B295" s="39" t="s">
        <v>1309</v>
      </c>
      <c r="C295" s="39" t="n">
        <v>0.9</v>
      </c>
      <c r="D295" s="39" t="s">
        <v>1310</v>
      </c>
      <c r="E295" s="39" t="s">
        <v>368</v>
      </c>
      <c r="F295" s="39" t="s">
        <v>792</v>
      </c>
      <c r="G295" s="51" t="s">
        <v>302</v>
      </c>
      <c r="H295" s="39"/>
    </row>
    <row r="296" customFormat="false" ht="12.8" hidden="false" customHeight="false" outlineLevel="0" collapsed="false">
      <c r="A296" s="39" t="s">
        <v>1311</v>
      </c>
      <c r="B296" s="39" t="s">
        <v>1312</v>
      </c>
      <c r="C296" s="39" t="n">
        <v>0.8</v>
      </c>
      <c r="D296" s="39" t="s">
        <v>1313</v>
      </c>
      <c r="E296" s="39" t="s">
        <v>300</v>
      </c>
      <c r="F296" s="39" t="s">
        <v>792</v>
      </c>
      <c r="G296" s="51" t="s">
        <v>302</v>
      </c>
      <c r="H296" s="39"/>
    </row>
    <row r="297" customFormat="false" ht="12.8" hidden="false" customHeight="false" outlineLevel="0" collapsed="false">
      <c r="A297" s="39" t="s">
        <v>1314</v>
      </c>
      <c r="B297" s="39" t="s">
        <v>1315</v>
      </c>
      <c r="C297" s="39" t="n">
        <v>0.95</v>
      </c>
      <c r="D297" s="39" t="s">
        <v>1316</v>
      </c>
      <c r="E297" s="39" t="s">
        <v>306</v>
      </c>
      <c r="F297" s="39" t="s">
        <v>792</v>
      </c>
      <c r="G297" s="51" t="s">
        <v>302</v>
      </c>
      <c r="H297" s="39"/>
    </row>
    <row r="298" customFormat="false" ht="12.8" hidden="false" customHeight="false" outlineLevel="0" collapsed="false">
      <c r="A298" s="39" t="s">
        <v>1317</v>
      </c>
      <c r="B298" s="39" t="s">
        <v>1318</v>
      </c>
      <c r="C298" s="39" t="n">
        <v>0.75</v>
      </c>
      <c r="D298" s="39" t="s">
        <v>1319</v>
      </c>
      <c r="E298" s="39" t="s">
        <v>300</v>
      </c>
      <c r="F298" s="39" t="s">
        <v>792</v>
      </c>
      <c r="G298" s="51" t="s">
        <v>302</v>
      </c>
      <c r="H298" s="39"/>
    </row>
    <row r="299" customFormat="false" ht="12.8" hidden="false" customHeight="false" outlineLevel="0" collapsed="false">
      <c r="A299" s="39" t="s">
        <v>1320</v>
      </c>
      <c r="B299" s="39" t="s">
        <v>1321</v>
      </c>
      <c r="C299" s="39" t="n">
        <v>1.25</v>
      </c>
      <c r="D299" s="39" t="s">
        <v>1322</v>
      </c>
      <c r="E299" s="39" t="s">
        <v>368</v>
      </c>
      <c r="F299" s="39" t="s">
        <v>792</v>
      </c>
      <c r="G299" s="51" t="s">
        <v>302</v>
      </c>
      <c r="H299" s="39"/>
    </row>
    <row r="300" customFormat="false" ht="12.8" hidden="false" customHeight="false" outlineLevel="0" collapsed="false">
      <c r="A300" s="39" t="s">
        <v>1323</v>
      </c>
      <c r="B300" s="39" t="s">
        <v>1324</v>
      </c>
      <c r="C300" s="39" t="n">
        <v>0.8</v>
      </c>
      <c r="D300" s="39" t="s">
        <v>1325</v>
      </c>
      <c r="E300" s="39" t="s">
        <v>300</v>
      </c>
      <c r="F300" s="39" t="s">
        <v>792</v>
      </c>
      <c r="G300" s="51" t="s">
        <v>302</v>
      </c>
      <c r="H300" s="39"/>
    </row>
    <row r="301" customFormat="false" ht="12.8" hidden="false" customHeight="false" outlineLevel="0" collapsed="false">
      <c r="A301" s="39" t="s">
        <v>1326</v>
      </c>
      <c r="B301" s="39" t="s">
        <v>1327</v>
      </c>
      <c r="C301" s="39" t="n">
        <v>0.85</v>
      </c>
      <c r="D301" s="39" t="s">
        <v>1328</v>
      </c>
      <c r="E301" s="39" t="s">
        <v>300</v>
      </c>
      <c r="F301" s="39" t="s">
        <v>792</v>
      </c>
      <c r="G301" s="51" t="s">
        <v>302</v>
      </c>
      <c r="H301" s="39"/>
    </row>
    <row r="302" customFormat="false" ht="12.8" hidden="false" customHeight="false" outlineLevel="0" collapsed="false">
      <c r="A302" s="39" t="s">
        <v>1329</v>
      </c>
      <c r="B302" s="39" t="s">
        <v>1330</v>
      </c>
      <c r="C302" s="39" t="n">
        <v>1.2</v>
      </c>
      <c r="D302" s="39" t="s">
        <v>1331</v>
      </c>
      <c r="E302" s="39" t="s">
        <v>368</v>
      </c>
      <c r="F302" s="39" t="s">
        <v>792</v>
      </c>
      <c r="G302" s="51" t="s">
        <v>302</v>
      </c>
      <c r="H302" s="39"/>
    </row>
    <row r="303" customFormat="false" ht="12.8" hidden="false" customHeight="false" outlineLevel="0" collapsed="false">
      <c r="A303" s="39" t="s">
        <v>1332</v>
      </c>
      <c r="B303" s="39" t="s">
        <v>1333</v>
      </c>
      <c r="C303" s="39" t="n">
        <v>1.38</v>
      </c>
      <c r="D303" s="39" t="s">
        <v>1334</v>
      </c>
      <c r="E303" s="39" t="s">
        <v>368</v>
      </c>
      <c r="F303" s="39" t="s">
        <v>792</v>
      </c>
      <c r="G303" s="51" t="s">
        <v>302</v>
      </c>
      <c r="H303" s="39"/>
    </row>
    <row r="304" customFormat="false" ht="12.8" hidden="false" customHeight="false" outlineLevel="0" collapsed="false">
      <c r="A304" s="39" t="s">
        <v>1335</v>
      </c>
      <c r="B304" s="39" t="s">
        <v>1336</v>
      </c>
      <c r="C304" s="39" t="n">
        <v>1.15</v>
      </c>
      <c r="D304" s="39" t="s">
        <v>1337</v>
      </c>
      <c r="E304" s="39" t="s">
        <v>368</v>
      </c>
      <c r="F304" s="39" t="s">
        <v>792</v>
      </c>
      <c r="G304" s="51" t="s">
        <v>302</v>
      </c>
      <c r="H304" s="39"/>
    </row>
    <row r="305" customFormat="false" ht="12.8" hidden="false" customHeight="false" outlineLevel="0" collapsed="false">
      <c r="A305" s="39" t="s">
        <v>1338</v>
      </c>
      <c r="B305" s="39" t="s">
        <v>1339</v>
      </c>
      <c r="C305" s="39" t="n">
        <v>0.75</v>
      </c>
      <c r="D305" s="39" t="s">
        <v>1340</v>
      </c>
      <c r="E305" s="39" t="s">
        <v>300</v>
      </c>
      <c r="F305" s="39" t="s">
        <v>792</v>
      </c>
      <c r="G305" s="51" t="s">
        <v>302</v>
      </c>
      <c r="H305" s="3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DS27"/>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E13" activeCellId="0" sqref="E13"/>
    </sheetView>
  </sheetViews>
  <sheetFormatPr defaultColWidth="11.53515625" defaultRowHeight="12.8" customHeight="false" zeroHeight="false" outlineLevelRow="0" outlineLevelCol="0"/>
  <cols>
    <col collapsed="false" customWidth="true" hidden="false" outlineLevel="0" max="1" min="1" style="50"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39" min="5" style="39" width="16.84"/>
    <col collapsed="false" customWidth="true" hidden="false" outlineLevel="0" max="53" min="40" style="39" width="17.78"/>
    <col collapsed="false" customWidth="true" hidden="false" outlineLevel="0" max="55" min="54" style="39" width="15.48"/>
    <col collapsed="false" customWidth="true" hidden="false" outlineLevel="0" max="56" min="56" style="3" width="15.48"/>
    <col collapsed="false" customWidth="false" hidden="false" outlineLevel="0" max="60" min="60" style="39" width="11.53"/>
    <col collapsed="false" customWidth="true" hidden="false" outlineLevel="0" max="61" min="61" style="39" width="18.45"/>
    <col collapsed="false" customWidth="true" hidden="false" outlineLevel="0" max="64" min="62" style="39" width="16.14"/>
    <col collapsed="false" customWidth="true" hidden="false" outlineLevel="0" max="71" min="65" style="39" width="13.84"/>
    <col collapsed="false" customWidth="true" hidden="false" outlineLevel="0" max="72" min="72" style="3" width="13.84"/>
  </cols>
  <sheetData>
    <row r="1" customFormat="false" ht="12.8" hidden="false" customHeight="false" outlineLevel="0" collapsed="false">
      <c r="A1" s="4" t="s">
        <v>1341</v>
      </c>
      <c r="B1" s="42" t="s">
        <v>7</v>
      </c>
      <c r="C1" s="6" t="s">
        <v>2</v>
      </c>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D1" s="42"/>
      <c r="BE1" s="42"/>
      <c r="BF1" s="42"/>
      <c r="BG1" s="42"/>
      <c r="BH1" s="42"/>
      <c r="BI1" s="42"/>
      <c r="BJ1" s="42"/>
      <c r="BK1" s="42"/>
      <c r="BL1" s="42"/>
      <c r="BM1" s="42"/>
      <c r="BN1" s="42"/>
      <c r="BO1" s="42"/>
      <c r="BP1" s="42"/>
      <c r="BQ1" s="42"/>
      <c r="BR1" s="42"/>
      <c r="BS1" s="42"/>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c r="DL1" s="3"/>
      <c r="DM1" s="3"/>
      <c r="DN1" s="3"/>
      <c r="DO1" s="3"/>
    </row>
    <row r="2" customFormat="false" ht="12.8" hidden="false" customHeight="false" outlineLevel="0" collapsed="false">
      <c r="A2" s="5" t="s">
        <v>1342</v>
      </c>
      <c r="B2" s="5"/>
      <c r="C2" s="5"/>
      <c r="D2" s="52" t="s">
        <v>1343</v>
      </c>
      <c r="E2" s="52"/>
      <c r="F2" s="52"/>
      <c r="G2" s="52"/>
      <c r="H2" s="5" t="s">
        <v>1344</v>
      </c>
      <c r="I2" s="5"/>
      <c r="J2" s="5"/>
      <c r="K2" s="5"/>
      <c r="L2" s="5" t="s">
        <v>1345</v>
      </c>
      <c r="M2" s="5"/>
      <c r="N2" s="5"/>
      <c r="O2" s="5"/>
      <c r="P2" s="5" t="s">
        <v>1346</v>
      </c>
      <c r="Q2" s="5"/>
      <c r="R2" s="5"/>
      <c r="S2" s="5"/>
      <c r="T2" s="5" t="s">
        <v>1347</v>
      </c>
      <c r="U2" s="5"/>
      <c r="V2" s="5"/>
      <c r="W2" s="5"/>
      <c r="X2" s="5" t="s">
        <v>1348</v>
      </c>
      <c r="Y2" s="5"/>
      <c r="Z2" s="5"/>
      <c r="AA2" s="5"/>
      <c r="AB2" s="5" t="s">
        <v>1349</v>
      </c>
      <c r="AC2" s="5"/>
      <c r="AD2" s="5"/>
      <c r="AE2" s="5" t="s">
        <v>1350</v>
      </c>
      <c r="AF2" s="5"/>
      <c r="AG2" s="5"/>
      <c r="AH2" s="5" t="s">
        <v>1351</v>
      </c>
      <c r="AI2" s="5"/>
      <c r="AJ2" s="5"/>
      <c r="AK2" s="5" t="s">
        <v>1352</v>
      </c>
      <c r="AL2" s="5"/>
      <c r="AM2" s="5"/>
      <c r="AN2" s="5" t="s">
        <v>1353</v>
      </c>
      <c r="AO2" s="5"/>
      <c r="AP2" s="5"/>
      <c r="AQ2" s="5" t="s">
        <v>1354</v>
      </c>
      <c r="AR2" s="5"/>
      <c r="AS2" s="5"/>
      <c r="AT2" s="5" t="s">
        <v>1355</v>
      </c>
      <c r="AU2" s="5"/>
      <c r="AV2" s="5"/>
      <c r="AW2" s="5" t="s">
        <v>1356</v>
      </c>
      <c r="AX2" s="5"/>
      <c r="AY2" s="5"/>
      <c r="AZ2" s="5" t="s">
        <v>1357</v>
      </c>
      <c r="BA2" s="5"/>
      <c r="BB2" s="5"/>
      <c r="BC2" s="5"/>
      <c r="BD2" s="5" t="s">
        <v>1358</v>
      </c>
      <c r="BE2" s="5"/>
      <c r="BF2" s="5"/>
      <c r="BG2" s="5"/>
      <c r="BH2" s="5" t="s">
        <v>1359</v>
      </c>
      <c r="BI2" s="5"/>
      <c r="BJ2" s="5"/>
      <c r="BK2" s="5"/>
      <c r="BL2" s="5" t="s">
        <v>1360</v>
      </c>
      <c r="BM2" s="5"/>
      <c r="BN2" s="5"/>
      <c r="BO2" s="5"/>
      <c r="BP2" s="5" t="s">
        <v>1361</v>
      </c>
      <c r="BQ2" s="5"/>
      <c r="BR2" s="5"/>
      <c r="BS2" s="5"/>
      <c r="BT2" s="53" t="s">
        <v>1362</v>
      </c>
      <c r="BU2" s="53"/>
      <c r="BV2" s="53"/>
      <c r="BW2" s="53"/>
      <c r="BX2" s="53" t="s">
        <v>1363</v>
      </c>
      <c r="BY2" s="53"/>
      <c r="BZ2" s="53"/>
      <c r="CA2" s="53"/>
      <c r="CB2" s="53"/>
      <c r="CC2" s="53"/>
      <c r="CD2" s="53" t="s">
        <v>1364</v>
      </c>
      <c r="CE2" s="53"/>
      <c r="CF2" s="53"/>
      <c r="CG2" s="53"/>
      <c r="CH2" s="53" t="s">
        <v>1365</v>
      </c>
      <c r="CI2" s="53"/>
      <c r="CJ2" s="53"/>
      <c r="CK2" s="53"/>
      <c r="CL2" s="53" t="s">
        <v>1366</v>
      </c>
      <c r="CM2" s="53"/>
      <c r="CN2" s="53"/>
      <c r="CO2" s="53"/>
      <c r="CP2" s="53"/>
      <c r="CQ2" s="53"/>
      <c r="CR2" s="53" t="s">
        <v>1367</v>
      </c>
      <c r="CS2" s="53"/>
      <c r="CT2" s="53"/>
      <c r="CU2" s="53"/>
      <c r="CV2" s="53" t="s">
        <v>1368</v>
      </c>
      <c r="CW2" s="53"/>
      <c r="CX2" s="53"/>
      <c r="CY2" s="53"/>
      <c r="CZ2" s="53" t="s">
        <v>1369</v>
      </c>
      <c r="DA2" s="53"/>
      <c r="DB2" s="53"/>
      <c r="DC2" s="53"/>
      <c r="DD2" s="53" t="s">
        <v>1370</v>
      </c>
      <c r="DE2" s="53"/>
      <c r="DF2" s="53"/>
      <c r="DG2" s="53"/>
      <c r="DH2" s="53" t="s">
        <v>1371</v>
      </c>
      <c r="DI2" s="53"/>
      <c r="DJ2" s="53"/>
      <c r="DK2" s="53"/>
      <c r="DL2" s="53" t="s">
        <v>1372</v>
      </c>
      <c r="DM2" s="53"/>
      <c r="DN2" s="53"/>
      <c r="DO2" s="53"/>
      <c r="DP2" s="53"/>
      <c r="DQ2" s="53"/>
      <c r="DR2" s="53"/>
      <c r="DS2" s="53"/>
    </row>
    <row r="3" customFormat="false" ht="12.8" hidden="false" customHeight="false" outlineLevel="0" collapsed="false">
      <c r="A3" s="11" t="s">
        <v>1373</v>
      </c>
      <c r="B3" s="42" t="s">
        <v>1374</v>
      </c>
      <c r="C3" s="42" t="s">
        <v>1375</v>
      </c>
      <c r="D3" s="54" t="s">
        <v>1376</v>
      </c>
      <c r="E3" s="54" t="s">
        <v>1377</v>
      </c>
      <c r="F3" s="54" t="s">
        <v>1378</v>
      </c>
      <c r="G3" s="54" t="s">
        <v>1379</v>
      </c>
      <c r="H3" s="55" t="s">
        <v>1380</v>
      </c>
      <c r="I3" s="55" t="s">
        <v>1381</v>
      </c>
      <c r="J3" s="55" t="s">
        <v>1382</v>
      </c>
      <c r="K3" s="55" t="s">
        <v>1383</v>
      </c>
      <c r="L3" s="55" t="s">
        <v>1384</v>
      </c>
      <c r="M3" s="55" t="s">
        <v>1385</v>
      </c>
      <c r="N3" s="55" t="s">
        <v>1386</v>
      </c>
      <c r="O3" s="55" t="s">
        <v>1387</v>
      </c>
      <c r="P3" s="42" t="s">
        <v>1388</v>
      </c>
      <c r="Q3" s="42" t="s">
        <v>1389</v>
      </c>
      <c r="R3" s="42" t="s">
        <v>1390</v>
      </c>
      <c r="S3" s="42" t="s">
        <v>1391</v>
      </c>
      <c r="T3" s="42" t="s">
        <v>1392</v>
      </c>
      <c r="U3" s="42" t="s">
        <v>1393</v>
      </c>
      <c r="V3" s="42" t="s">
        <v>1394</v>
      </c>
      <c r="W3" s="42" t="s">
        <v>1395</v>
      </c>
      <c r="X3" s="42" t="s">
        <v>1396</v>
      </c>
      <c r="Y3" s="42" t="s">
        <v>1397</v>
      </c>
      <c r="Z3" s="42" t="s">
        <v>1398</v>
      </c>
      <c r="AA3" s="42" t="s">
        <v>1399</v>
      </c>
      <c r="AB3" s="42" t="s">
        <v>1400</v>
      </c>
      <c r="AC3" s="42" t="s">
        <v>1401</v>
      </c>
      <c r="AD3" s="42" t="s">
        <v>1402</v>
      </c>
      <c r="AE3" s="42" t="s">
        <v>1403</v>
      </c>
      <c r="AF3" s="42" t="s">
        <v>1404</v>
      </c>
      <c r="AG3" s="42" t="s">
        <v>1405</v>
      </c>
      <c r="AH3" s="42" t="s">
        <v>1406</v>
      </c>
      <c r="AI3" s="42" t="s">
        <v>1407</v>
      </c>
      <c r="AJ3" s="42" t="s">
        <v>1408</v>
      </c>
      <c r="AK3" s="42" t="s">
        <v>1409</v>
      </c>
      <c r="AL3" s="42" t="s">
        <v>1410</v>
      </c>
      <c r="AM3" s="42" t="s">
        <v>1411</v>
      </c>
      <c r="AN3" s="42" t="s">
        <v>1412</v>
      </c>
      <c r="AO3" s="42" t="s">
        <v>1413</v>
      </c>
      <c r="AP3" s="42" t="s">
        <v>1414</v>
      </c>
      <c r="AQ3" s="42" t="s">
        <v>1415</v>
      </c>
      <c r="AR3" s="42" t="s">
        <v>1416</v>
      </c>
      <c r="AS3" s="42" t="s">
        <v>1417</v>
      </c>
      <c r="AT3" s="42" t="s">
        <v>1418</v>
      </c>
      <c r="AU3" s="42" t="s">
        <v>1419</v>
      </c>
      <c r="AV3" s="42" t="s">
        <v>1420</v>
      </c>
      <c r="AW3" s="42" t="s">
        <v>1421</v>
      </c>
      <c r="AX3" s="42" t="s">
        <v>1422</v>
      </c>
      <c r="AY3" s="42" t="s">
        <v>1423</v>
      </c>
      <c r="AZ3" s="42" t="s">
        <v>1424</v>
      </c>
      <c r="BA3" s="42" t="s">
        <v>1425</v>
      </c>
      <c r="BB3" s="42" t="s">
        <v>1426</v>
      </c>
      <c r="BC3" s="42" t="s">
        <v>1427</v>
      </c>
      <c r="BD3" s="42" t="s">
        <v>1428</v>
      </c>
      <c r="BE3" s="42" t="s">
        <v>1429</v>
      </c>
      <c r="BF3" s="42" t="s">
        <v>1430</v>
      </c>
      <c r="BG3" s="42" t="s">
        <v>1431</v>
      </c>
      <c r="BH3" s="42" t="s">
        <v>1432</v>
      </c>
      <c r="BI3" s="42" t="s">
        <v>1433</v>
      </c>
      <c r="BJ3" s="42" t="s">
        <v>1434</v>
      </c>
      <c r="BK3" s="42" t="s">
        <v>1435</v>
      </c>
      <c r="BL3" s="42" t="s">
        <v>1436</v>
      </c>
      <c r="BM3" s="42" t="s">
        <v>1437</v>
      </c>
      <c r="BN3" s="42" t="s">
        <v>1438</v>
      </c>
      <c r="BO3" s="42" t="s">
        <v>1439</v>
      </c>
      <c r="BP3" s="42" t="s">
        <v>1440</v>
      </c>
      <c r="BQ3" s="42" t="s">
        <v>1441</v>
      </c>
      <c r="BR3" s="42" t="s">
        <v>1442</v>
      </c>
      <c r="BS3" s="42" t="s">
        <v>1443</v>
      </c>
      <c r="BT3" s="42" t="s">
        <v>69</v>
      </c>
      <c r="BU3" s="42" t="s">
        <v>1444</v>
      </c>
      <c r="BV3" s="42" t="s">
        <v>1445</v>
      </c>
      <c r="BW3" s="42" t="s">
        <v>1446</v>
      </c>
      <c r="BX3" s="42" t="s">
        <v>72</v>
      </c>
      <c r="BY3" s="42" t="s">
        <v>1447</v>
      </c>
      <c r="BZ3" s="42" t="s">
        <v>1448</v>
      </c>
      <c r="CA3" s="42" t="s">
        <v>1449</v>
      </c>
      <c r="CB3" s="42" t="s">
        <v>1450</v>
      </c>
      <c r="CC3" s="42" t="s">
        <v>1451</v>
      </c>
      <c r="CD3" s="42" t="s">
        <v>75</v>
      </c>
      <c r="CE3" s="42" t="s">
        <v>1452</v>
      </c>
      <c r="CF3" s="42" t="s">
        <v>1453</v>
      </c>
      <c r="CG3" s="42" t="s">
        <v>1454</v>
      </c>
      <c r="CH3" s="42" t="s">
        <v>78</v>
      </c>
      <c r="CI3" s="42" t="s">
        <v>1455</v>
      </c>
      <c r="CJ3" s="42" t="s">
        <v>1456</v>
      </c>
      <c r="CK3" s="42" t="s">
        <v>1457</v>
      </c>
      <c r="CL3" s="42" t="s">
        <v>1458</v>
      </c>
      <c r="CM3" s="42" t="s">
        <v>1459</v>
      </c>
      <c r="CN3" s="42" t="s">
        <v>1460</v>
      </c>
      <c r="CO3" s="42" t="s">
        <v>1461</v>
      </c>
      <c r="CP3" s="42" t="s">
        <v>1462</v>
      </c>
      <c r="CQ3" s="42" t="s">
        <v>1463</v>
      </c>
      <c r="CR3" s="42" t="s">
        <v>84</v>
      </c>
      <c r="CS3" s="42" t="s">
        <v>1464</v>
      </c>
      <c r="CT3" s="42" t="s">
        <v>1465</v>
      </c>
      <c r="CU3" s="42" t="s">
        <v>1466</v>
      </c>
      <c r="CV3" s="42" t="s">
        <v>1467</v>
      </c>
      <c r="CW3" s="42" t="s">
        <v>1468</v>
      </c>
      <c r="CX3" s="42" t="s">
        <v>1469</v>
      </c>
      <c r="CY3" s="42" t="s">
        <v>1470</v>
      </c>
      <c r="CZ3" s="42" t="s">
        <v>1471</v>
      </c>
      <c r="DA3" s="42" t="s">
        <v>1472</v>
      </c>
      <c r="DB3" s="42" t="s">
        <v>1473</v>
      </c>
      <c r="DC3" s="42" t="s">
        <v>1474</v>
      </c>
      <c r="DD3" s="42" t="s">
        <v>1475</v>
      </c>
      <c r="DE3" s="42" t="s">
        <v>1476</v>
      </c>
      <c r="DF3" s="42" t="s">
        <v>1477</v>
      </c>
      <c r="DG3" s="42" t="s">
        <v>1478</v>
      </c>
      <c r="DH3" s="42" t="s">
        <v>1479</v>
      </c>
      <c r="DI3" s="42" t="s">
        <v>1480</v>
      </c>
      <c r="DJ3" s="42" t="s">
        <v>1481</v>
      </c>
      <c r="DK3" s="42" t="s">
        <v>1482</v>
      </c>
      <c r="DL3" s="42" t="s">
        <v>99</v>
      </c>
      <c r="DM3" s="42" t="s">
        <v>1483</v>
      </c>
      <c r="DN3" s="42" t="s">
        <v>1484</v>
      </c>
      <c r="DO3" s="42" t="s">
        <v>1485</v>
      </c>
    </row>
    <row r="4" customFormat="false" ht="12.8" hidden="false" customHeight="false" outlineLevel="0" collapsed="false">
      <c r="A4" s="50" t="n">
        <v>0</v>
      </c>
      <c r="B4" s="39" t="s">
        <v>1486</v>
      </c>
      <c r="C4" s="39" t="s">
        <v>1487</v>
      </c>
      <c r="D4" s="42" t="n">
        <f aca="false">LFP!C4</f>
        <v>2385000</v>
      </c>
      <c r="E4" s="42" t="n">
        <f aca="false">LFP!D4</f>
        <v>62388</v>
      </c>
      <c r="F4" s="42" t="n">
        <f aca="false">LFP!E4</f>
        <v>50000</v>
      </c>
      <c r="G4" s="42" t="n">
        <f aca="false">LFP!F4</f>
        <v>2270612</v>
      </c>
      <c r="H4" s="42"/>
      <c r="I4" s="42"/>
      <c r="J4" s="42"/>
      <c r="K4" s="42"/>
      <c r="L4" s="56" t="n">
        <f aca="false">ETPR!C4</f>
        <v>0.562</v>
      </c>
      <c r="M4" s="56" t="n">
        <f aca="false">ETPR!D4</f>
        <v>0.369</v>
      </c>
      <c r="N4" s="56" t="n">
        <f aca="false">ETPR!E4</f>
        <v>0.61</v>
      </c>
      <c r="O4" s="56" t="n">
        <f aca="false">ETPR!F4</f>
        <v>0.582</v>
      </c>
      <c r="P4" s="56" t="n">
        <f aca="false">LFPR!C4</f>
        <v>0.577</v>
      </c>
      <c r="Q4" s="56" t="n">
        <f aca="false">LFPR!D4</f>
        <v>0.41</v>
      </c>
      <c r="R4" s="56" t="n">
        <f aca="false">LFPR!E4</f>
        <v>0.61</v>
      </c>
      <c r="S4" s="56" t="n">
        <f aca="false">LFPR!F4</f>
        <v>0.583</v>
      </c>
      <c r="BD4" s="39"/>
      <c r="BE4" s="3"/>
      <c r="BF4" s="3"/>
      <c r="BG4" s="3"/>
      <c r="BH4" s="3"/>
      <c r="BT4" s="39"/>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row>
    <row r="5" customFormat="false" ht="23.85" hidden="false" customHeight="false" outlineLevel="0" collapsed="false">
      <c r="A5" s="50" t="n">
        <v>1</v>
      </c>
      <c r="B5" s="39" t="n">
        <v>11</v>
      </c>
      <c r="C5" s="40" t="s">
        <v>1488</v>
      </c>
      <c r="D5" s="42" t="n">
        <f aca="false">LFP!C5</f>
        <v>38000</v>
      </c>
      <c r="E5" s="42" t="n">
        <f aca="false">LFP!D5</f>
        <v>152</v>
      </c>
      <c r="F5" s="42" t="n">
        <f aca="false">LFP!E5</f>
        <v>5320</v>
      </c>
      <c r="G5" s="42" t="n">
        <f aca="false">LFP!F5</f>
        <v>32528</v>
      </c>
      <c r="H5" s="42"/>
      <c r="I5" s="42"/>
      <c r="J5" s="42"/>
      <c r="K5" s="42"/>
      <c r="L5" s="56" t="n">
        <f aca="false">ETPR!C5</f>
        <v>0.545</v>
      </c>
      <c r="M5" s="56" t="n">
        <f aca="false">ETPR!D5</f>
        <v>0.36</v>
      </c>
      <c r="N5" s="56" t="n">
        <f aca="false">ETPR!E5</f>
        <v>0.7</v>
      </c>
      <c r="O5" s="56" t="n">
        <f aca="false">ETPR!F5</f>
        <v>0.545</v>
      </c>
      <c r="P5" s="56" t="n">
        <f aca="false">LFPR!C5</f>
        <v>0.545</v>
      </c>
      <c r="Q5" s="56" t="n">
        <f aca="false">LFPR!D5</f>
        <v>0.4</v>
      </c>
      <c r="R5" s="56" t="n">
        <f aca="false">LFPR!E5</f>
        <v>0.7</v>
      </c>
      <c r="S5" s="56" t="n">
        <f aca="false">LFPR!F5</f>
        <v>0.545</v>
      </c>
      <c r="BD5" s="39"/>
      <c r="BE5" s="3"/>
      <c r="BF5" s="3"/>
      <c r="BG5" s="3"/>
      <c r="BH5" s="3"/>
      <c r="BT5" s="39"/>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row>
    <row r="6" customFormat="false" ht="23.85" hidden="false" customHeight="false" outlineLevel="0" collapsed="false">
      <c r="A6" s="50" t="n">
        <v>2</v>
      </c>
      <c r="B6" s="39" t="n">
        <v>21</v>
      </c>
      <c r="C6" s="40" t="s">
        <v>1489</v>
      </c>
      <c r="D6" s="42" t="n">
        <f aca="false">LFP!C6</f>
        <v>14000</v>
      </c>
      <c r="E6" s="42" t="n">
        <f aca="false">LFP!D6</f>
        <v>196</v>
      </c>
      <c r="F6" s="42" t="n">
        <f aca="false">LFP!E6</f>
        <v>560</v>
      </c>
      <c r="G6" s="42" t="n">
        <f aca="false">LFP!F6</f>
        <v>13244</v>
      </c>
      <c r="H6" s="42"/>
      <c r="I6" s="42"/>
      <c r="J6" s="42"/>
      <c r="K6" s="42"/>
      <c r="L6" s="56" t="n">
        <f aca="false">ETPR!C6</f>
        <v>0.585</v>
      </c>
      <c r="M6" s="56" t="n">
        <f aca="false">ETPR!D6</f>
        <v>0.37</v>
      </c>
      <c r="N6" s="56" t="n">
        <f aca="false">ETPR!E6</f>
        <v>0.65</v>
      </c>
      <c r="O6" s="56" t="n">
        <f aca="false">ETPR!F6</f>
        <v>0.585</v>
      </c>
      <c r="P6" s="56" t="n">
        <f aca="false">LFPR!C6</f>
        <v>0.585</v>
      </c>
      <c r="Q6" s="56" t="n">
        <f aca="false">LFPR!D6</f>
        <v>0.415</v>
      </c>
      <c r="R6" s="56" t="n">
        <f aca="false">LFPR!E6</f>
        <v>0.65</v>
      </c>
      <c r="S6" s="56" t="n">
        <f aca="false">LFPR!F6</f>
        <v>0.585</v>
      </c>
      <c r="BD6" s="39"/>
      <c r="BE6" s="3"/>
      <c r="BF6" s="3"/>
      <c r="BG6" s="3"/>
      <c r="BH6" s="3"/>
      <c r="BT6" s="39"/>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row>
    <row r="7" customFormat="false" ht="12.8" hidden="false" customHeight="false" outlineLevel="0" collapsed="false">
      <c r="A7" s="3" t="n">
        <v>3</v>
      </c>
      <c r="B7" s="3" t="n">
        <v>22</v>
      </c>
      <c r="C7" s="3" t="s">
        <v>1490</v>
      </c>
      <c r="D7" s="42" t="n">
        <f aca="false">LFP!C7</f>
        <v>28000</v>
      </c>
      <c r="E7" s="42" t="n">
        <f aca="false">LFP!D7</f>
        <v>560</v>
      </c>
      <c r="F7" s="42" t="n">
        <f aca="false">LFP!E7</f>
        <v>224</v>
      </c>
      <c r="G7" s="42" t="n">
        <f aca="false">LFP!F7</f>
        <v>27216</v>
      </c>
      <c r="H7" s="42"/>
      <c r="I7" s="42"/>
      <c r="J7" s="42"/>
      <c r="K7" s="42"/>
      <c r="L7" s="56" t="n">
        <f aca="false">ETPR!C7</f>
        <v>0.575</v>
      </c>
      <c r="M7" s="56" t="n">
        <f aca="false">ETPR!D7</f>
        <v>0.369</v>
      </c>
      <c r="N7" s="56" t="n">
        <f aca="false">ETPR!E7</f>
        <v>0.62</v>
      </c>
      <c r="O7" s="56" t="n">
        <f aca="false">ETPR!F7</f>
        <v>0.575</v>
      </c>
      <c r="P7" s="56" t="n">
        <f aca="false">LFPR!C7</f>
        <v>0.575</v>
      </c>
      <c r="Q7" s="56" t="n">
        <f aca="false">LFPR!D7</f>
        <v>0.41</v>
      </c>
      <c r="R7" s="56" t="n">
        <f aca="false">LFPR!E7</f>
        <v>0.62</v>
      </c>
      <c r="S7" s="56" t="n">
        <f aca="false">LFPR!F7</f>
        <v>0.575</v>
      </c>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E7" s="3"/>
      <c r="BF7" s="3"/>
      <c r="BG7" s="3"/>
      <c r="BH7" s="3"/>
      <c r="BI7" s="3"/>
      <c r="BJ7" s="3"/>
      <c r="BK7" s="3"/>
      <c r="BL7" s="3"/>
      <c r="BM7" s="3"/>
      <c r="BN7" s="3"/>
      <c r="BO7" s="3"/>
      <c r="BP7" s="3"/>
      <c r="BQ7" s="3"/>
      <c r="BR7" s="3"/>
      <c r="BS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row>
    <row r="8" customFormat="false" ht="12.8" hidden="false" customHeight="false" outlineLevel="0" collapsed="false">
      <c r="A8" s="3" t="n">
        <v>4</v>
      </c>
      <c r="B8" s="3" t="n">
        <v>23</v>
      </c>
      <c r="C8" s="3" t="s">
        <v>1491</v>
      </c>
      <c r="D8" s="42" t="n">
        <f aca="false">LFP!C8</f>
        <v>135000</v>
      </c>
      <c r="E8" s="42" t="n">
        <f aca="false">LFP!D8</f>
        <v>4590</v>
      </c>
      <c r="F8" s="42" t="n">
        <f aca="false">LFP!E8</f>
        <v>13770</v>
      </c>
      <c r="G8" s="42" t="n">
        <f aca="false">LFP!F8</f>
        <v>116640</v>
      </c>
      <c r="H8" s="42"/>
      <c r="I8" s="42"/>
      <c r="J8" s="42"/>
      <c r="K8" s="42"/>
      <c r="L8" s="56" t="n">
        <f aca="false">ETPR!C8</f>
        <v>0.545</v>
      </c>
      <c r="M8" s="56" t="n">
        <f aca="false">ETPR!D8</f>
        <v>0.36</v>
      </c>
      <c r="N8" s="56" t="n">
        <f aca="false">ETPR!E8</f>
        <v>0.7</v>
      </c>
      <c r="O8" s="56" t="n">
        <f aca="false">ETPR!F8</f>
        <v>0.545</v>
      </c>
      <c r="P8" s="56" t="n">
        <f aca="false">LFPR!C8</f>
        <v>0.545</v>
      </c>
      <c r="Q8" s="56" t="n">
        <f aca="false">LFPR!D8</f>
        <v>0.4</v>
      </c>
      <c r="R8" s="56" t="n">
        <f aca="false">LFPR!E8</f>
        <v>0.7</v>
      </c>
      <c r="S8" s="56" t="n">
        <f aca="false">LFPR!F8</f>
        <v>0.545</v>
      </c>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E8" s="3"/>
      <c r="BF8" s="3"/>
      <c r="BG8" s="3"/>
      <c r="BH8" s="3"/>
      <c r="BI8" s="3"/>
      <c r="BJ8" s="3"/>
      <c r="BK8" s="3"/>
      <c r="BL8" s="3"/>
      <c r="BM8" s="3"/>
      <c r="BN8" s="3"/>
      <c r="BO8" s="3"/>
      <c r="BP8" s="3"/>
      <c r="BQ8" s="3"/>
      <c r="BR8" s="3"/>
      <c r="BS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row>
    <row r="9" customFormat="false" ht="23.85" hidden="false" customHeight="false" outlineLevel="0" collapsed="false">
      <c r="A9" s="3" t="n">
        <v>5</v>
      </c>
      <c r="B9" s="3" t="n">
        <v>31</v>
      </c>
      <c r="C9" s="40" t="s">
        <v>1492</v>
      </c>
      <c r="D9" s="42" t="n">
        <f aca="false">LFP!C9</f>
        <v>65000</v>
      </c>
      <c r="E9" s="42" t="n">
        <f aca="false">LFP!D9</f>
        <v>4680</v>
      </c>
      <c r="F9" s="42" t="n">
        <f aca="false">LFP!E9</f>
        <v>2405</v>
      </c>
      <c r="G9" s="42" t="n">
        <f aca="false">LFP!F9</f>
        <v>57915</v>
      </c>
      <c r="H9" s="42"/>
      <c r="I9" s="42"/>
      <c r="J9" s="42"/>
      <c r="K9" s="42"/>
      <c r="L9" s="56" t="n">
        <f aca="false">ETPR!C9</f>
        <v>0.565</v>
      </c>
      <c r="M9" s="56" t="n">
        <f aca="false">ETPR!D9</f>
        <v>0.365</v>
      </c>
      <c r="N9" s="56" t="n">
        <f aca="false">ETPR!E9</f>
        <v>0.66</v>
      </c>
      <c r="O9" s="56" t="n">
        <f aca="false">ETPR!F9</f>
        <v>0.565</v>
      </c>
      <c r="P9" s="56" t="n">
        <f aca="false">LFPR!C9</f>
        <v>0.565</v>
      </c>
      <c r="Q9" s="56" t="n">
        <f aca="false">LFPR!D9</f>
        <v>0.405</v>
      </c>
      <c r="R9" s="56" t="n">
        <f aca="false">LFPR!E9</f>
        <v>0.66</v>
      </c>
      <c r="S9" s="56" t="n">
        <f aca="false">LFPR!F9</f>
        <v>0.565</v>
      </c>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E9" s="3"/>
      <c r="BF9" s="3"/>
      <c r="BG9" s="3"/>
      <c r="BH9" s="3"/>
      <c r="BI9" s="3"/>
      <c r="BJ9" s="3"/>
      <c r="BK9" s="3"/>
      <c r="BL9" s="3"/>
      <c r="BM9" s="3"/>
      <c r="BN9" s="3"/>
      <c r="BO9" s="3"/>
      <c r="BP9" s="3"/>
      <c r="BQ9" s="3"/>
      <c r="BR9" s="3"/>
      <c r="BS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row>
    <row r="10" customFormat="false" ht="23.85" hidden="false" customHeight="false" outlineLevel="0" collapsed="false">
      <c r="A10" s="3" t="n">
        <v>6</v>
      </c>
      <c r="B10" s="3" t="n">
        <v>32</v>
      </c>
      <c r="C10" s="40" t="s">
        <v>1493</v>
      </c>
      <c r="D10" s="42" t="n">
        <f aca="false">LFP!C10</f>
        <v>52000</v>
      </c>
      <c r="E10" s="42" t="n">
        <f aca="false">LFP!D10</f>
        <v>3744</v>
      </c>
      <c r="F10" s="42" t="n">
        <f aca="false">LFP!E10</f>
        <v>1924</v>
      </c>
      <c r="G10" s="42" t="n">
        <f aca="false">LFP!F10</f>
        <v>46332</v>
      </c>
      <c r="H10" s="42"/>
      <c r="I10" s="42"/>
      <c r="J10" s="42"/>
      <c r="K10" s="42"/>
      <c r="L10" s="56" t="n">
        <f aca="false">ETPR!C10</f>
        <v>0.565</v>
      </c>
      <c r="M10" s="56" t="n">
        <f aca="false">ETPR!D10</f>
        <v>0.365</v>
      </c>
      <c r="N10" s="56" t="n">
        <f aca="false">ETPR!E10</f>
        <v>0.66</v>
      </c>
      <c r="O10" s="56" t="n">
        <f aca="false">ETPR!F10</f>
        <v>0.565</v>
      </c>
      <c r="P10" s="56" t="n">
        <f aca="false">LFPR!C10</f>
        <v>0.565</v>
      </c>
      <c r="Q10" s="56" t="n">
        <f aca="false">LFPR!D10</f>
        <v>0.405</v>
      </c>
      <c r="R10" s="56" t="n">
        <f aca="false">LFPR!E10</f>
        <v>0.66</v>
      </c>
      <c r="S10" s="56" t="n">
        <f aca="false">LFPR!F10</f>
        <v>0.565</v>
      </c>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E10" s="3"/>
      <c r="BF10" s="3"/>
      <c r="BG10" s="3"/>
      <c r="BH10" s="3"/>
      <c r="BI10" s="3"/>
      <c r="BJ10" s="3"/>
      <c r="BK10" s="3"/>
      <c r="BL10" s="3"/>
      <c r="BM10" s="3"/>
      <c r="BN10" s="3"/>
      <c r="BO10" s="3"/>
      <c r="BP10" s="3"/>
      <c r="BQ10" s="3"/>
      <c r="BR10" s="3"/>
      <c r="BS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row>
    <row r="11" customFormat="false" ht="23.85" hidden="false" customHeight="false" outlineLevel="0" collapsed="false">
      <c r="A11" s="3" t="n">
        <v>7</v>
      </c>
      <c r="B11" s="3" t="n">
        <v>33</v>
      </c>
      <c r="C11" s="40" t="s">
        <v>1494</v>
      </c>
      <c r="D11" s="42" t="n">
        <f aca="false">LFP!C11</f>
        <v>170000</v>
      </c>
      <c r="E11" s="42" t="n">
        <f aca="false">LFP!D11</f>
        <v>12240</v>
      </c>
      <c r="F11" s="42" t="n">
        <f aca="false">LFP!E11</f>
        <v>6290</v>
      </c>
      <c r="G11" s="42" t="n">
        <f aca="false">LFP!F11</f>
        <v>151470</v>
      </c>
      <c r="H11" s="42"/>
      <c r="I11" s="42"/>
      <c r="J11" s="42"/>
      <c r="K11" s="42"/>
      <c r="L11" s="56" t="n">
        <f aca="false">ETPR!C11</f>
        <v>0.565</v>
      </c>
      <c r="M11" s="56" t="n">
        <f aca="false">ETPR!D11</f>
        <v>0.365</v>
      </c>
      <c r="N11" s="56" t="n">
        <f aca="false">ETPR!E11</f>
        <v>0.66</v>
      </c>
      <c r="O11" s="56" t="n">
        <f aca="false">ETPR!F11</f>
        <v>0.565</v>
      </c>
      <c r="P11" s="56" t="n">
        <f aca="false">LFPR!C11</f>
        <v>0.565</v>
      </c>
      <c r="Q11" s="56" t="n">
        <f aca="false">LFPR!D11</f>
        <v>0.405</v>
      </c>
      <c r="R11" s="56" t="n">
        <f aca="false">LFPR!E11</f>
        <v>0.66</v>
      </c>
      <c r="S11" s="56" t="n">
        <f aca="false">LFPR!F11</f>
        <v>0.565</v>
      </c>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E11" s="3"/>
      <c r="BF11" s="3"/>
      <c r="BG11" s="3"/>
      <c r="BH11" s="3"/>
      <c r="BI11" s="3"/>
      <c r="BJ11" s="3"/>
      <c r="BK11" s="3"/>
      <c r="BL11" s="3"/>
      <c r="BM11" s="3"/>
      <c r="BN11" s="3"/>
      <c r="BO11" s="3"/>
      <c r="BP11" s="3"/>
      <c r="BQ11" s="3"/>
      <c r="BR11" s="3"/>
      <c r="BS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row>
    <row r="12" customFormat="false" ht="12.8" hidden="false" customHeight="false" outlineLevel="0" collapsed="false">
      <c r="A12" s="3" t="n">
        <v>8</v>
      </c>
      <c r="B12" s="3" t="n">
        <v>42</v>
      </c>
      <c r="C12" s="3" t="s">
        <v>1495</v>
      </c>
      <c r="D12" s="42" t="n">
        <f aca="false">LFP!C12</f>
        <v>85000</v>
      </c>
      <c r="E12" s="42" t="n">
        <f aca="false">LFP!D12</f>
        <v>1700</v>
      </c>
      <c r="F12" s="42" t="n">
        <f aca="false">LFP!E12</f>
        <v>3570</v>
      </c>
      <c r="G12" s="42" t="n">
        <f aca="false">LFP!F12</f>
        <v>79730</v>
      </c>
      <c r="H12" s="42"/>
      <c r="I12" s="42"/>
      <c r="J12" s="42"/>
      <c r="K12" s="42"/>
      <c r="L12" s="56" t="n">
        <f aca="false">ETPR!C12</f>
        <v>0.57</v>
      </c>
      <c r="M12" s="56" t="n">
        <f aca="false">ETPR!D12</f>
        <v>0.369</v>
      </c>
      <c r="N12" s="56" t="n">
        <f aca="false">ETPR!E12</f>
        <v>0.64</v>
      </c>
      <c r="O12" s="56" t="n">
        <f aca="false">ETPR!F12</f>
        <v>0.57</v>
      </c>
      <c r="P12" s="56" t="n">
        <f aca="false">LFPR!C12</f>
        <v>0.57</v>
      </c>
      <c r="Q12" s="56" t="n">
        <f aca="false">LFPR!D12</f>
        <v>0.41</v>
      </c>
      <c r="R12" s="56" t="n">
        <f aca="false">LFPR!E12</f>
        <v>0.64</v>
      </c>
      <c r="S12" s="56" t="n">
        <f aca="false">LFPR!F12</f>
        <v>0.57</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E12" s="3"/>
      <c r="BF12" s="3"/>
      <c r="BG12" s="3"/>
      <c r="BH12" s="3"/>
      <c r="BI12" s="3"/>
      <c r="BJ12" s="3"/>
      <c r="BK12" s="3"/>
      <c r="BL12" s="3"/>
      <c r="BM12" s="3"/>
      <c r="BN12" s="3"/>
      <c r="BO12" s="3"/>
      <c r="BP12" s="3"/>
      <c r="BQ12" s="3"/>
      <c r="BR12" s="3"/>
      <c r="BS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row>
    <row r="13" customFormat="false" ht="23.85" hidden="false" customHeight="false" outlineLevel="0" collapsed="false">
      <c r="A13" s="3" t="n">
        <v>9</v>
      </c>
      <c r="B13" s="3" t="n">
        <v>44</v>
      </c>
      <c r="C13" s="40" t="s">
        <v>1496</v>
      </c>
      <c r="D13" s="42" t="n">
        <f aca="false">LFP!C13</f>
        <v>95000</v>
      </c>
      <c r="E13" s="42" t="n">
        <f aca="false">LFP!D13</f>
        <v>1900</v>
      </c>
      <c r="F13" s="42" t="n">
        <f aca="false">LFP!E13</f>
        <v>3990</v>
      </c>
      <c r="G13" s="42" t="n">
        <f aca="false">LFP!F13</f>
        <v>89110</v>
      </c>
      <c r="H13" s="42"/>
      <c r="I13" s="42"/>
      <c r="J13" s="42"/>
      <c r="K13" s="42"/>
      <c r="L13" s="56" t="n">
        <f aca="false">ETPR!C13</f>
        <v>0.57</v>
      </c>
      <c r="M13" s="56" t="n">
        <f aca="false">ETPR!D13</f>
        <v>0.369</v>
      </c>
      <c r="N13" s="56" t="n">
        <f aca="false">ETPR!E13</f>
        <v>0.64</v>
      </c>
      <c r="O13" s="56" t="n">
        <f aca="false">ETPR!F13</f>
        <v>0.57</v>
      </c>
      <c r="P13" s="56" t="n">
        <f aca="false">LFPR!C13</f>
        <v>0.57</v>
      </c>
      <c r="Q13" s="56" t="n">
        <f aca="false">LFPR!D13</f>
        <v>0.41</v>
      </c>
      <c r="R13" s="56" t="n">
        <f aca="false">LFPR!E13</f>
        <v>0.64</v>
      </c>
      <c r="S13" s="56" t="n">
        <f aca="false">LFPR!F13</f>
        <v>0.57</v>
      </c>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E13" s="3"/>
      <c r="BF13" s="3"/>
      <c r="BG13" s="3"/>
      <c r="BH13" s="3"/>
      <c r="BI13" s="3"/>
      <c r="BJ13" s="3"/>
      <c r="BK13" s="3"/>
      <c r="BL13" s="3"/>
      <c r="BM13" s="3"/>
      <c r="BN13" s="3"/>
      <c r="BO13" s="3"/>
      <c r="BP13" s="3"/>
      <c r="BQ13" s="3"/>
      <c r="BR13" s="3"/>
      <c r="BS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row>
    <row r="14" customFormat="false" ht="23.85" hidden="false" customHeight="false" outlineLevel="0" collapsed="false">
      <c r="A14" s="3" t="n">
        <v>10</v>
      </c>
      <c r="B14" s="3" t="n">
        <v>45</v>
      </c>
      <c r="C14" s="40" t="s">
        <v>1497</v>
      </c>
      <c r="D14" s="42" t="n">
        <f aca="false">LFP!C14</f>
        <v>165000</v>
      </c>
      <c r="E14" s="42" t="n">
        <f aca="false">LFP!D14</f>
        <v>3300</v>
      </c>
      <c r="F14" s="42" t="n">
        <f aca="false">LFP!E14</f>
        <v>6930</v>
      </c>
      <c r="G14" s="42" t="n">
        <f aca="false">LFP!F14</f>
        <v>154770</v>
      </c>
      <c r="H14" s="42"/>
      <c r="I14" s="42"/>
      <c r="J14" s="42"/>
      <c r="K14" s="42"/>
      <c r="L14" s="56" t="n">
        <f aca="false">ETPR!C14</f>
        <v>0.57</v>
      </c>
      <c r="M14" s="56" t="n">
        <f aca="false">ETPR!D14</f>
        <v>0.369</v>
      </c>
      <c r="N14" s="56" t="n">
        <f aca="false">ETPR!E14</f>
        <v>0.64</v>
      </c>
      <c r="O14" s="56" t="n">
        <f aca="false">ETPR!F14</f>
        <v>0.57</v>
      </c>
      <c r="P14" s="56" t="n">
        <f aca="false">LFPR!C14</f>
        <v>0.57</v>
      </c>
      <c r="Q14" s="56" t="n">
        <f aca="false">LFPR!D14</f>
        <v>0.41</v>
      </c>
      <c r="R14" s="56" t="n">
        <f aca="false">LFPR!E14</f>
        <v>0.64</v>
      </c>
      <c r="S14" s="56" t="n">
        <f aca="false">LFPR!F14</f>
        <v>0.57</v>
      </c>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E14" s="3"/>
      <c r="BF14" s="3"/>
      <c r="BG14" s="3"/>
      <c r="BH14" s="3"/>
      <c r="BI14" s="3"/>
      <c r="BJ14" s="3"/>
      <c r="BK14" s="3"/>
      <c r="BL14" s="3"/>
      <c r="BM14" s="3"/>
      <c r="BN14" s="3"/>
      <c r="BO14" s="3"/>
      <c r="BP14" s="3"/>
      <c r="BQ14" s="3"/>
      <c r="BR14" s="3"/>
      <c r="BS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row>
    <row r="15" customFormat="false" ht="12.8" hidden="false" customHeight="false" outlineLevel="0" collapsed="false">
      <c r="A15" s="3" t="n">
        <v>11</v>
      </c>
      <c r="B15" s="3" t="n">
        <v>48</v>
      </c>
      <c r="C15" s="3" t="s">
        <v>1498</v>
      </c>
      <c r="D15" s="42" t="n">
        <f aca="false">LFP!C15</f>
        <v>65000</v>
      </c>
      <c r="E15" s="42" t="n">
        <f aca="false">LFP!D15</f>
        <v>1300</v>
      </c>
      <c r="F15" s="42" t="n">
        <f aca="false">LFP!E15</f>
        <v>2730</v>
      </c>
      <c r="G15" s="42" t="n">
        <f aca="false">LFP!F15</f>
        <v>60970</v>
      </c>
      <c r="H15" s="42"/>
      <c r="I15" s="42"/>
      <c r="J15" s="42"/>
      <c r="K15" s="42"/>
      <c r="L15" s="56" t="n">
        <f aca="false">ETPR!C15</f>
        <v>0.57</v>
      </c>
      <c r="M15" s="56" t="n">
        <f aca="false">ETPR!D15</f>
        <v>0.369</v>
      </c>
      <c r="N15" s="56" t="n">
        <f aca="false">ETPR!E15</f>
        <v>0.64</v>
      </c>
      <c r="O15" s="56" t="n">
        <f aca="false">ETPR!F15</f>
        <v>0.57</v>
      </c>
      <c r="P15" s="56" t="n">
        <f aca="false">LFPR!C15</f>
        <v>0.57</v>
      </c>
      <c r="Q15" s="56" t="n">
        <f aca="false">LFPR!D15</f>
        <v>0.41</v>
      </c>
      <c r="R15" s="56" t="n">
        <f aca="false">LFPR!E15</f>
        <v>0.64</v>
      </c>
      <c r="S15" s="56" t="n">
        <f aca="false">LFPR!F15</f>
        <v>0.57</v>
      </c>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E15" s="3"/>
      <c r="BF15" s="3"/>
      <c r="BG15" s="3"/>
      <c r="BH15" s="3"/>
      <c r="BI15" s="3"/>
      <c r="BJ15" s="3"/>
      <c r="BK15" s="3"/>
      <c r="BL15" s="3"/>
      <c r="BM15" s="3"/>
      <c r="BN15" s="3"/>
      <c r="BO15" s="3"/>
      <c r="BP15" s="3"/>
      <c r="BQ15" s="3"/>
      <c r="BR15" s="3"/>
      <c r="BS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row>
    <row r="16" customFormat="false" ht="12.8" hidden="false" customHeight="false" outlineLevel="0" collapsed="false">
      <c r="A16" s="3" t="n">
        <v>12</v>
      </c>
      <c r="B16" s="3" t="n">
        <v>49</v>
      </c>
      <c r="C16" s="3" t="s">
        <v>1499</v>
      </c>
      <c r="D16" s="42" t="n">
        <f aca="false">LFP!C16</f>
        <v>38000</v>
      </c>
      <c r="E16" s="42" t="n">
        <f aca="false">LFP!D16</f>
        <v>760</v>
      </c>
      <c r="F16" s="42" t="n">
        <f aca="false">LFP!E16</f>
        <v>1596</v>
      </c>
      <c r="G16" s="42" t="n">
        <f aca="false">LFP!F16</f>
        <v>35644</v>
      </c>
      <c r="H16" s="42"/>
      <c r="I16" s="42"/>
      <c r="J16" s="42"/>
      <c r="K16" s="42"/>
      <c r="L16" s="56" t="n">
        <f aca="false">ETPR!C16</f>
        <v>0.57</v>
      </c>
      <c r="M16" s="56" t="n">
        <f aca="false">ETPR!D16</f>
        <v>0.369</v>
      </c>
      <c r="N16" s="56" t="n">
        <f aca="false">ETPR!E16</f>
        <v>0.64</v>
      </c>
      <c r="O16" s="56" t="n">
        <f aca="false">ETPR!F16</f>
        <v>0.57</v>
      </c>
      <c r="P16" s="56" t="n">
        <f aca="false">LFPR!C16</f>
        <v>0.57</v>
      </c>
      <c r="Q16" s="56" t="n">
        <f aca="false">LFPR!D16</f>
        <v>0.41</v>
      </c>
      <c r="R16" s="56" t="n">
        <f aca="false">LFPR!E16</f>
        <v>0.64</v>
      </c>
      <c r="S16" s="56" t="n">
        <f aca="false">LFPR!F16</f>
        <v>0.57</v>
      </c>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E16" s="3"/>
      <c r="BF16" s="3"/>
      <c r="BG16" s="3"/>
      <c r="BH16" s="3"/>
      <c r="BI16" s="3"/>
      <c r="BJ16" s="3"/>
      <c r="BK16" s="3"/>
      <c r="BL16" s="3"/>
      <c r="BM16" s="3"/>
      <c r="BN16" s="3"/>
      <c r="BO16" s="3"/>
      <c r="BP16" s="3"/>
      <c r="BQ16" s="3"/>
      <c r="BR16" s="3"/>
      <c r="BS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row>
    <row r="17" customFormat="false" ht="12.8" hidden="false" customHeight="false" outlineLevel="0" collapsed="false">
      <c r="A17" s="3" t="n">
        <v>13</v>
      </c>
      <c r="B17" s="3" t="n">
        <v>51</v>
      </c>
      <c r="C17" s="3" t="s">
        <v>1500</v>
      </c>
      <c r="D17" s="42" t="n">
        <f aca="false">LFP!C17</f>
        <v>26000</v>
      </c>
      <c r="E17" s="42" t="n">
        <f aca="false">LFP!D17</f>
        <v>546</v>
      </c>
      <c r="F17" s="42" t="n">
        <f aca="false">LFP!E17</f>
        <v>221</v>
      </c>
      <c r="G17" s="42" t="n">
        <f aca="false">LFP!F17</f>
        <v>25233</v>
      </c>
      <c r="H17" s="42"/>
      <c r="I17" s="42"/>
      <c r="J17" s="42"/>
      <c r="K17" s="42"/>
      <c r="L17" s="56" t="n">
        <f aca="false">ETPR!C17</f>
        <v>0.58</v>
      </c>
      <c r="M17" s="56" t="n">
        <f aca="false">ETPR!D17</f>
        <v>0.37</v>
      </c>
      <c r="N17" s="56" t="n">
        <f aca="false">ETPR!E17</f>
        <v>0.6</v>
      </c>
      <c r="O17" s="56" t="n">
        <f aca="false">ETPR!F17</f>
        <v>0.58</v>
      </c>
      <c r="P17" s="56" t="n">
        <f aca="false">LFPR!C17</f>
        <v>0.58</v>
      </c>
      <c r="Q17" s="56" t="n">
        <f aca="false">LFPR!D17</f>
        <v>0.415</v>
      </c>
      <c r="R17" s="56" t="n">
        <f aca="false">LFPR!E17</f>
        <v>0.6</v>
      </c>
      <c r="S17" s="56" t="n">
        <f aca="false">LFPR!F17</f>
        <v>0.58</v>
      </c>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E17" s="3"/>
      <c r="BF17" s="3"/>
      <c r="BG17" s="3"/>
      <c r="BH17" s="3"/>
      <c r="BI17" s="3"/>
      <c r="BJ17" s="3"/>
      <c r="BK17" s="3"/>
      <c r="BL17" s="3"/>
      <c r="BM17" s="3"/>
      <c r="BN17" s="3"/>
      <c r="BO17" s="3"/>
      <c r="BP17" s="3"/>
      <c r="BQ17" s="3"/>
      <c r="BR17" s="3"/>
      <c r="BS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row>
    <row r="18" customFormat="false" ht="12.8" hidden="false" customHeight="false" outlineLevel="0" collapsed="false">
      <c r="A18" s="50" t="n">
        <v>14</v>
      </c>
      <c r="B18" s="39" t="n">
        <v>52</v>
      </c>
      <c r="C18" s="39" t="s">
        <v>1501</v>
      </c>
      <c r="D18" s="42" t="n">
        <f aca="false">LFP!C18</f>
        <v>115000</v>
      </c>
      <c r="E18" s="42" t="n">
        <f aca="false">LFP!D18</f>
        <v>3220</v>
      </c>
      <c r="F18" s="42" t="n">
        <f aca="false">LFP!E18</f>
        <v>920</v>
      </c>
      <c r="G18" s="42" t="n">
        <f aca="false">LFP!F18</f>
        <v>111860</v>
      </c>
      <c r="H18" s="42"/>
      <c r="I18" s="42"/>
      <c r="J18" s="42"/>
      <c r="K18" s="42"/>
      <c r="L18" s="56" t="n">
        <f aca="false">ETPR!C18</f>
        <v>0.595</v>
      </c>
      <c r="M18" s="56" t="n">
        <f aca="false">ETPR!D18</f>
        <v>0.375</v>
      </c>
      <c r="N18" s="56" t="n">
        <f aca="false">ETPR!E18</f>
        <v>0.52</v>
      </c>
      <c r="O18" s="56" t="n">
        <f aca="false">ETPR!F18</f>
        <v>0.595</v>
      </c>
      <c r="P18" s="56" t="n">
        <f aca="false">LFPR!C18</f>
        <v>0.595</v>
      </c>
      <c r="Q18" s="56" t="n">
        <f aca="false">LFPR!D18</f>
        <v>0.42</v>
      </c>
      <c r="R18" s="56" t="n">
        <f aca="false">LFPR!E18</f>
        <v>0.52</v>
      </c>
      <c r="S18" s="56" t="n">
        <f aca="false">LFPR!F18</f>
        <v>0.595</v>
      </c>
      <c r="BD18" s="39"/>
      <c r="BE18" s="3"/>
      <c r="BF18" s="3"/>
      <c r="BG18" s="3"/>
      <c r="BH18" s="3"/>
      <c r="BT18" s="39"/>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row>
    <row r="19" customFormat="false" ht="23.85" hidden="false" customHeight="false" outlineLevel="0" collapsed="false">
      <c r="A19" s="50" t="n">
        <v>15</v>
      </c>
      <c r="B19" s="39" t="n">
        <v>53</v>
      </c>
      <c r="C19" s="40" t="s">
        <v>1502</v>
      </c>
      <c r="D19" s="42" t="n">
        <f aca="false">LFP!C19</f>
        <v>42000</v>
      </c>
      <c r="E19" s="42" t="n">
        <f aca="false">LFP!D19</f>
        <v>1176</v>
      </c>
      <c r="F19" s="42" t="n">
        <f aca="false">LFP!E19</f>
        <v>336</v>
      </c>
      <c r="G19" s="42" t="n">
        <f aca="false">LFP!F19</f>
        <v>40588</v>
      </c>
      <c r="H19" s="42"/>
      <c r="I19" s="42"/>
      <c r="J19" s="42"/>
      <c r="K19" s="42"/>
      <c r="L19" s="56" t="n">
        <f aca="false">ETPR!C19</f>
        <v>0.575</v>
      </c>
      <c r="M19" s="56" t="n">
        <f aca="false">ETPR!D19</f>
        <v>0.37</v>
      </c>
      <c r="N19" s="56" t="n">
        <f aca="false">ETPR!E19</f>
        <v>0.6</v>
      </c>
      <c r="O19" s="56" t="n">
        <f aca="false">ETPR!F19</f>
        <v>0.575</v>
      </c>
      <c r="P19" s="56" t="n">
        <f aca="false">LFPR!C19</f>
        <v>0.575</v>
      </c>
      <c r="Q19" s="56" t="n">
        <f aca="false">LFPR!D19</f>
        <v>0.415</v>
      </c>
      <c r="R19" s="56" t="n">
        <f aca="false">LFPR!E19</f>
        <v>0.6</v>
      </c>
      <c r="S19" s="56" t="n">
        <f aca="false">LFPR!F19</f>
        <v>0.575</v>
      </c>
      <c r="BD19" s="39"/>
      <c r="BE19" s="3"/>
      <c r="BF19" s="3"/>
      <c r="BG19" s="3"/>
      <c r="BH19" s="3"/>
      <c r="BT19" s="39"/>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row>
    <row r="20" customFormat="false" ht="23.85" hidden="false" customHeight="false" outlineLevel="0" collapsed="false">
      <c r="A20" s="50" t="n">
        <v>16</v>
      </c>
      <c r="B20" s="39" t="n">
        <v>54</v>
      </c>
      <c r="C20" s="40" t="s">
        <v>1503</v>
      </c>
      <c r="D20" s="42" t="n">
        <f aca="false">LFP!C20</f>
        <v>135000</v>
      </c>
      <c r="E20" s="42" t="n">
        <f aca="false">LFP!D20</f>
        <v>2835</v>
      </c>
      <c r="F20" s="42" t="n">
        <f aca="false">LFP!E20</f>
        <v>1080</v>
      </c>
      <c r="G20" s="42" t="n">
        <f aca="false">LFP!F20</f>
        <v>130085</v>
      </c>
      <c r="H20" s="42"/>
      <c r="I20" s="42"/>
      <c r="J20" s="42"/>
      <c r="K20" s="42"/>
      <c r="L20" s="56" t="n">
        <f aca="false">ETPR!C20</f>
        <v>0.605</v>
      </c>
      <c r="M20" s="56" t="n">
        <f aca="false">ETPR!D20</f>
        <v>0.375</v>
      </c>
      <c r="N20" s="56" t="n">
        <f aca="false">ETPR!E20</f>
        <v>0.56</v>
      </c>
      <c r="O20" s="56" t="n">
        <f aca="false">ETPR!F20</f>
        <v>0.605</v>
      </c>
      <c r="P20" s="56" t="n">
        <f aca="false">LFPR!C20</f>
        <v>0.605</v>
      </c>
      <c r="Q20" s="56" t="n">
        <f aca="false">LFPR!D20</f>
        <v>0.42</v>
      </c>
      <c r="R20" s="56" t="n">
        <f aca="false">LFPR!E20</f>
        <v>0.56</v>
      </c>
      <c r="S20" s="56" t="n">
        <f aca="false">LFPR!F20</f>
        <v>0.605</v>
      </c>
      <c r="BD20" s="39"/>
      <c r="BE20" s="3"/>
      <c r="BF20" s="3"/>
      <c r="BG20" s="3"/>
      <c r="BH20" s="3"/>
      <c r="BT20" s="39"/>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row>
    <row r="21" customFormat="false" ht="34.8" hidden="false" customHeight="false" outlineLevel="0" collapsed="false">
      <c r="A21" s="50" t="n">
        <v>17</v>
      </c>
      <c r="B21" s="39" t="n">
        <v>56</v>
      </c>
      <c r="C21" s="40" t="s">
        <v>1504</v>
      </c>
      <c r="D21" s="42" t="n">
        <f aca="false">LFP!C21</f>
        <v>145000</v>
      </c>
      <c r="E21" s="42" t="n">
        <f aca="false">LFP!D21</f>
        <v>2900</v>
      </c>
      <c r="F21" s="42" t="n">
        <f aca="false">LFP!E21</f>
        <v>16675</v>
      </c>
      <c r="G21" s="42" t="n">
        <f aca="false">LFP!F21</f>
        <v>118425</v>
      </c>
      <c r="H21" s="42"/>
      <c r="I21" s="42"/>
      <c r="J21" s="42"/>
      <c r="K21" s="42"/>
      <c r="L21" s="56" t="n">
        <f aca="false">ETPR!C21</f>
        <v>0.565</v>
      </c>
      <c r="M21" s="56" t="n">
        <f aca="false">ETPR!D21</f>
        <v>0.365</v>
      </c>
      <c r="N21" s="56" t="n">
        <f aca="false">ETPR!E21</f>
        <v>0.67</v>
      </c>
      <c r="O21" s="56" t="n">
        <f aca="false">ETPR!F21</f>
        <v>0.565</v>
      </c>
      <c r="P21" s="56" t="n">
        <f aca="false">LFPR!C21</f>
        <v>0.565</v>
      </c>
      <c r="Q21" s="56" t="n">
        <f aca="false">LFPR!D21</f>
        <v>0.405</v>
      </c>
      <c r="R21" s="56" t="n">
        <f aca="false">LFPR!E21</f>
        <v>0.67</v>
      </c>
      <c r="S21" s="56" t="n">
        <f aca="false">LFPR!F21</f>
        <v>0.565</v>
      </c>
      <c r="BD21" s="39"/>
      <c r="BE21" s="3"/>
      <c r="BF21" s="3"/>
      <c r="BG21" s="3"/>
      <c r="BH21" s="3"/>
      <c r="BT21" s="39"/>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row>
    <row r="22" customFormat="false" ht="12.8" hidden="false" customHeight="false" outlineLevel="0" collapsed="false">
      <c r="A22" s="50" t="n">
        <v>18</v>
      </c>
      <c r="B22" s="39" t="n">
        <v>61</v>
      </c>
      <c r="C22" s="39" t="s">
        <v>1505</v>
      </c>
      <c r="D22" s="42" t="n">
        <f aca="false">LFP!C22</f>
        <v>95000</v>
      </c>
      <c r="E22" s="42" t="n">
        <f aca="false">LFP!D22</f>
        <v>6460</v>
      </c>
      <c r="F22" s="42" t="n">
        <f aca="false">LFP!E22</f>
        <v>760</v>
      </c>
      <c r="G22" s="42" t="n">
        <f aca="false">LFP!F22</f>
        <v>87780</v>
      </c>
      <c r="H22" s="42"/>
      <c r="I22" s="42"/>
      <c r="J22" s="42"/>
      <c r="K22" s="42"/>
      <c r="L22" s="56" t="n">
        <f aca="false">ETPR!C22</f>
        <v>0.58</v>
      </c>
      <c r="M22" s="56" t="n">
        <f aca="false">ETPR!D22</f>
        <v>0.375</v>
      </c>
      <c r="N22" s="56" t="n">
        <f aca="false">ETPR!E22</f>
        <v>0.56</v>
      </c>
      <c r="O22" s="56" t="n">
        <f aca="false">ETPR!F22</f>
        <v>0.58</v>
      </c>
      <c r="P22" s="56" t="n">
        <f aca="false">LFPR!C22</f>
        <v>0.58</v>
      </c>
      <c r="Q22" s="56" t="n">
        <f aca="false">LFPR!D22</f>
        <v>0.42</v>
      </c>
      <c r="R22" s="56" t="n">
        <f aca="false">LFPR!E22</f>
        <v>0.56</v>
      </c>
      <c r="S22" s="56" t="n">
        <f aca="false">LFPR!F22</f>
        <v>0.58</v>
      </c>
      <c r="BD22" s="39"/>
      <c r="BE22" s="3"/>
      <c r="BF22" s="3"/>
      <c r="BG22" s="3"/>
      <c r="BH22" s="3"/>
      <c r="BT22" s="39"/>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row>
    <row r="23" customFormat="false" ht="23.85" hidden="false" customHeight="false" outlineLevel="0" collapsed="false">
      <c r="A23" s="50" t="n">
        <v>19</v>
      </c>
      <c r="B23" s="39" t="n">
        <v>62</v>
      </c>
      <c r="C23" s="40" t="s">
        <v>1506</v>
      </c>
      <c r="D23" s="42" t="n">
        <f aca="false">LFP!C23</f>
        <v>240000</v>
      </c>
      <c r="E23" s="42" t="n">
        <f aca="false">LFP!D23</f>
        <v>16320</v>
      </c>
      <c r="F23" s="42" t="n">
        <f aca="false">LFP!E23</f>
        <v>1560</v>
      </c>
      <c r="G23" s="42" t="n">
        <f aca="false">LFP!F23</f>
        <v>222120</v>
      </c>
      <c r="H23" s="42"/>
      <c r="I23" s="42"/>
      <c r="J23" s="42"/>
      <c r="K23" s="42"/>
      <c r="L23" s="56" t="n">
        <f aca="false">ETPR!C23</f>
        <v>0.58</v>
      </c>
      <c r="M23" s="56" t="n">
        <f aca="false">ETPR!D23</f>
        <v>0.375</v>
      </c>
      <c r="N23" s="56" t="n">
        <f aca="false">ETPR!E23</f>
        <v>0.56</v>
      </c>
      <c r="O23" s="56" t="n">
        <f aca="false">ETPR!F23</f>
        <v>0.58</v>
      </c>
      <c r="P23" s="56" t="n">
        <f aca="false">LFPR!C23</f>
        <v>0.58</v>
      </c>
      <c r="Q23" s="56" t="n">
        <f aca="false">LFPR!D23</f>
        <v>0.42</v>
      </c>
      <c r="R23" s="56" t="n">
        <f aca="false">LFPR!E23</f>
        <v>0.56</v>
      </c>
      <c r="S23" s="56" t="n">
        <f aca="false">LFPR!F23</f>
        <v>0.58</v>
      </c>
      <c r="BD23" s="39"/>
      <c r="BE23" s="3"/>
      <c r="BF23" s="3"/>
      <c r="BG23" s="3"/>
      <c r="BH23" s="3"/>
      <c r="BT23" s="39"/>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row>
    <row r="24" customFormat="false" ht="23.85" hidden="false" customHeight="false" outlineLevel="0" collapsed="false">
      <c r="A24" s="50" t="n">
        <v>20</v>
      </c>
      <c r="B24" s="39" t="n">
        <v>71</v>
      </c>
      <c r="C24" s="40" t="s">
        <v>1507</v>
      </c>
      <c r="D24" s="42" t="n">
        <f aca="false">LFP!C24</f>
        <v>32000</v>
      </c>
      <c r="E24" s="42" t="n">
        <f aca="false">LFP!D24</f>
        <v>448</v>
      </c>
      <c r="F24" s="42" t="n">
        <f aca="false">LFP!E24</f>
        <v>3520</v>
      </c>
      <c r="G24" s="42" t="n">
        <f aca="false">LFP!F24</f>
        <v>28032</v>
      </c>
      <c r="H24" s="42"/>
      <c r="I24" s="42"/>
      <c r="J24" s="42"/>
      <c r="K24" s="42"/>
      <c r="L24" s="56" t="n">
        <f aca="false">ETPR!C24</f>
        <v>0.565</v>
      </c>
      <c r="M24" s="56" t="n">
        <f aca="false">ETPR!D24</f>
        <v>0.365</v>
      </c>
      <c r="N24" s="56" t="n">
        <f aca="false">ETPR!E24</f>
        <v>0.67</v>
      </c>
      <c r="O24" s="56" t="n">
        <f aca="false">ETPR!F24</f>
        <v>0.565</v>
      </c>
      <c r="P24" s="56" t="n">
        <f aca="false">LFPR!C24</f>
        <v>0.565</v>
      </c>
      <c r="Q24" s="56" t="n">
        <f aca="false">LFPR!D24</f>
        <v>0.405</v>
      </c>
      <c r="R24" s="56" t="n">
        <f aca="false">LFPR!E24</f>
        <v>0.67</v>
      </c>
      <c r="S24" s="56" t="n">
        <f aca="false">LFPR!F24</f>
        <v>0.565</v>
      </c>
      <c r="BD24" s="39"/>
      <c r="BE24" s="3"/>
      <c r="BF24" s="3"/>
      <c r="BG24" s="3"/>
      <c r="BH24" s="3"/>
      <c r="BT24" s="39"/>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row>
    <row r="25" customFormat="false" ht="23.85" hidden="false" customHeight="false" outlineLevel="0" collapsed="false">
      <c r="A25" s="50" t="n">
        <v>21</v>
      </c>
      <c r="B25" s="39" t="n">
        <v>72</v>
      </c>
      <c r="C25" s="40" t="s">
        <v>1508</v>
      </c>
      <c r="D25" s="42" t="n">
        <f aca="false">LFP!C25</f>
        <v>185000</v>
      </c>
      <c r="E25" s="42" t="n">
        <f aca="false">LFP!D25</f>
        <v>2590</v>
      </c>
      <c r="F25" s="42" t="n">
        <f aca="false">LFP!E25</f>
        <v>12950</v>
      </c>
      <c r="G25" s="42" t="n">
        <f aca="false">LFP!F25</f>
        <v>169460</v>
      </c>
      <c r="H25" s="42"/>
      <c r="I25" s="42"/>
      <c r="J25" s="42"/>
      <c r="K25" s="42"/>
      <c r="L25" s="56" t="n">
        <f aca="false">ETPR!C25</f>
        <v>0.545</v>
      </c>
      <c r="M25" s="56" t="n">
        <f aca="false">ETPR!D25</f>
        <v>0.36</v>
      </c>
      <c r="N25" s="56" t="n">
        <f aca="false">ETPR!E25</f>
        <v>0.7</v>
      </c>
      <c r="O25" s="56" t="n">
        <f aca="false">ETPR!F25</f>
        <v>0.545</v>
      </c>
      <c r="P25" s="56" t="n">
        <f aca="false">LFPR!C25</f>
        <v>0.545</v>
      </c>
      <c r="Q25" s="56" t="n">
        <f aca="false">LFPR!D25</f>
        <v>0.4</v>
      </c>
      <c r="R25" s="56" t="n">
        <f aca="false">LFPR!E25</f>
        <v>0.7</v>
      </c>
      <c r="S25" s="56" t="n">
        <f aca="false">LFPR!F25</f>
        <v>0.545</v>
      </c>
      <c r="BD25" s="39"/>
      <c r="BE25" s="3"/>
      <c r="BF25" s="3"/>
      <c r="BG25" s="3"/>
      <c r="BH25" s="3"/>
      <c r="BT25" s="39"/>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row>
    <row r="26" customFormat="false" ht="23.85" hidden="false" customHeight="false" outlineLevel="0" collapsed="false">
      <c r="A26" s="50" t="n">
        <v>22</v>
      </c>
      <c r="B26" s="39" t="n">
        <v>81</v>
      </c>
      <c r="C26" s="40" t="s">
        <v>1509</v>
      </c>
      <c r="D26" s="42" t="n">
        <f aca="false">LFP!C26</f>
        <v>105000</v>
      </c>
      <c r="E26" s="42" t="n">
        <f aca="false">LFP!D26</f>
        <v>840</v>
      </c>
      <c r="F26" s="42" t="n">
        <f aca="false">LFP!E26</f>
        <v>12180</v>
      </c>
      <c r="G26" s="42" t="n">
        <f aca="false">LFP!F26</f>
        <v>95980</v>
      </c>
      <c r="H26" s="42"/>
      <c r="I26" s="42"/>
      <c r="J26" s="42"/>
      <c r="K26" s="42"/>
      <c r="L26" s="56" t="n">
        <f aca="false">ETPR!C26</f>
        <v>0.565</v>
      </c>
      <c r="M26" s="56" t="n">
        <f aca="false">ETPR!D26</f>
        <v>0.365</v>
      </c>
      <c r="N26" s="56" t="n">
        <f aca="false">ETPR!E26</f>
        <v>0.67</v>
      </c>
      <c r="O26" s="56" t="n">
        <f aca="false">ETPR!F26</f>
        <v>0.565</v>
      </c>
      <c r="P26" s="56" t="n">
        <f aca="false">LFPR!C26</f>
        <v>0.565</v>
      </c>
      <c r="Q26" s="56" t="n">
        <f aca="false">LFPR!D26</f>
        <v>0.405</v>
      </c>
      <c r="R26" s="56" t="n">
        <f aca="false">LFPR!E26</f>
        <v>0.67</v>
      </c>
      <c r="S26" s="56" t="n">
        <f aca="false">LFPR!F26</f>
        <v>0.565</v>
      </c>
      <c r="BD26" s="39"/>
      <c r="BE26" s="3"/>
      <c r="BF26" s="3"/>
      <c r="BG26" s="3"/>
      <c r="BH26" s="3"/>
      <c r="BT26" s="39"/>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row>
    <row r="27" customFormat="false" ht="12.8" hidden="false" customHeight="false" outlineLevel="0" collapsed="false">
      <c r="A27" s="50" t="n">
        <v>23</v>
      </c>
      <c r="B27" s="39" t="n">
        <v>92</v>
      </c>
      <c r="C27" s="39" t="s">
        <v>1510</v>
      </c>
      <c r="D27" s="42" t="n">
        <f aca="false">LFP!C27</f>
        <v>125000</v>
      </c>
      <c r="E27" s="42" t="n">
        <f aca="false">LFP!D27</f>
        <v>1000</v>
      </c>
      <c r="F27" s="42" t="n">
        <f aca="false">LFP!E27</f>
        <v>875</v>
      </c>
      <c r="G27" s="42" t="n">
        <f aca="false">LFP!F27</f>
        <v>123125</v>
      </c>
      <c r="H27" s="42"/>
      <c r="I27" s="42"/>
      <c r="J27" s="42"/>
      <c r="K27" s="42"/>
      <c r="L27" s="56" t="n">
        <f aca="false">ETPR!C27</f>
        <v>0.595</v>
      </c>
      <c r="M27" s="56" t="n">
        <f aca="false">ETPR!D27</f>
        <v>0.375</v>
      </c>
      <c r="N27" s="56" t="n">
        <f aca="false">ETPR!E27</f>
        <v>0.5</v>
      </c>
      <c r="O27" s="56" t="n">
        <f aca="false">ETPR!F27</f>
        <v>0.595</v>
      </c>
      <c r="P27" s="56" t="n">
        <f aca="false">LFPR!C27</f>
        <v>0.595</v>
      </c>
      <c r="Q27" s="56" t="n">
        <f aca="false">LFPR!D27</f>
        <v>0.42</v>
      </c>
      <c r="R27" s="56" t="n">
        <f aca="false">LFPR!E27</f>
        <v>0.5</v>
      </c>
      <c r="S27" s="56" t="n">
        <f aca="false">LFPR!F27</f>
        <v>0.595</v>
      </c>
      <c r="BD27" s="39"/>
      <c r="BE27" s="3"/>
      <c r="BF27" s="3"/>
      <c r="BG27" s="3"/>
      <c r="BH27" s="3"/>
      <c r="BT27" s="39"/>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row>
  </sheetData>
  <mergeCells count="31">
    <mergeCell ref="A2:C2"/>
    <mergeCell ref="D2:G2"/>
    <mergeCell ref="H2:K2"/>
    <mergeCell ref="L2:O2"/>
    <mergeCell ref="P2:S2"/>
    <mergeCell ref="T2:W2"/>
    <mergeCell ref="X2:AA2"/>
    <mergeCell ref="AB2:AD2"/>
    <mergeCell ref="AE2:AG2"/>
    <mergeCell ref="AH2:AJ2"/>
    <mergeCell ref="AK2:AM2"/>
    <mergeCell ref="AN2:AP2"/>
    <mergeCell ref="AQ2:AS2"/>
    <mergeCell ref="AT2:AV2"/>
    <mergeCell ref="AW2:AY2"/>
    <mergeCell ref="AZ2:BC2"/>
    <mergeCell ref="BD2:BG2"/>
    <mergeCell ref="BH2:BK2"/>
    <mergeCell ref="BL2:BO2"/>
    <mergeCell ref="BP2:BS2"/>
    <mergeCell ref="BT2:BW2"/>
    <mergeCell ref="BX2:CC2"/>
    <mergeCell ref="CD2:CG2"/>
    <mergeCell ref="CH2:CK2"/>
    <mergeCell ref="CL2:CQ2"/>
    <mergeCell ref="CR2:CU2"/>
    <mergeCell ref="CV2:CY2"/>
    <mergeCell ref="CZ2:DC2"/>
    <mergeCell ref="DD2:DG2"/>
    <mergeCell ref="DH2:DK2"/>
    <mergeCell ref="DL2:DO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BE33D"/>
    <pageSetUpPr fitToPage="false"/>
  </sheetPr>
  <dimension ref="A1:BQ216"/>
  <sheetViews>
    <sheetView showFormulas="false" showGridLines="true" showRowColHeaders="true" showZeros="true" rightToLeft="false" tabSelected="false" showOutlineSymbols="true" defaultGridColor="true" view="normal" topLeftCell="A172" colorId="64" zoomScale="75" zoomScaleNormal="75" zoomScalePageLayoutView="100" workbookViewId="0">
      <selection pane="topLeft" activeCell="A207" activeCellId="0" sqref="A207"/>
    </sheetView>
  </sheetViews>
  <sheetFormatPr defaultColWidth="11.53515625" defaultRowHeight="12.8" customHeight="false" zeroHeight="false" outlineLevelRow="0" outlineLevelCol="0"/>
  <cols>
    <col collapsed="false" customWidth="true" hidden="false" outlineLevel="0" max="1" min="1" style="57" width="23.07"/>
    <col collapsed="false" customWidth="true" hidden="false" outlineLevel="0" max="2" min="2" style="58" width="29.97"/>
    <col collapsed="false" customWidth="true" hidden="false" outlineLevel="0" max="3" min="3" style="58" width="16.84"/>
    <col collapsed="false" customWidth="true" hidden="false" outlineLevel="0" max="35" min="4" style="59" width="16.84"/>
    <col collapsed="false" customWidth="true" hidden="false" outlineLevel="0" max="49" min="36" style="59" width="17.78"/>
    <col collapsed="false" customWidth="true" hidden="false" outlineLevel="0" max="52" min="50" style="59" width="15.48"/>
    <col collapsed="false" customWidth="false" hidden="false" outlineLevel="0" max="56" min="53" style="59" width="11.53"/>
    <col collapsed="false" customWidth="true" hidden="false" outlineLevel="0" max="57" min="57" style="59" width="18.45"/>
    <col collapsed="false" customWidth="true" hidden="false" outlineLevel="0" max="60" min="58" style="59" width="16.14"/>
    <col collapsed="false" customWidth="true" hidden="false" outlineLevel="0" max="68" min="61" style="59" width="13.84"/>
    <col collapsed="false" customWidth="false" hidden="false" outlineLevel="0" max="69" min="69" style="59" width="11.53"/>
    <col collapsed="false" customWidth="false" hidden="false" outlineLevel="0" max="16384" min="73" style="59" width="11.53"/>
  </cols>
  <sheetData>
    <row r="1" customFormat="false" ht="12.8" hidden="false" customHeight="false" outlineLevel="0" collapsed="false">
      <c r="A1" s="60" t="s">
        <v>1511</v>
      </c>
      <c r="B1" s="61" t="s">
        <v>1512</v>
      </c>
      <c r="C1" s="52" t="s">
        <v>2</v>
      </c>
      <c r="D1" s="62" t="s">
        <v>1513</v>
      </c>
      <c r="BG1" s="3"/>
      <c r="BH1" s="3"/>
      <c r="BI1" s="3"/>
      <c r="BJ1" s="3"/>
      <c r="BK1" s="3"/>
      <c r="BL1" s="3"/>
      <c r="BM1" s="3"/>
      <c r="BN1" s="3"/>
      <c r="BO1" s="3"/>
      <c r="BP1" s="3"/>
      <c r="BQ1" s="3"/>
    </row>
    <row r="2" customFormat="false" ht="12.8" hidden="false" customHeight="false" outlineLevel="0" collapsed="false">
      <c r="A2" s="60" t="str">
        <f aca="false">_xlfn.CONCAT($A$1, ".", "CALC")</f>
        <v>LSD.RID.0.AL.LFP.CALC</v>
      </c>
      <c r="B2" s="61" t="str">
        <f aca="false">_xlfn.CONCAT($B$1, " ", "Calculations")</f>
        <v>Alabama Labor Force Population Calculations</v>
      </c>
      <c r="C2" s="52" t="str">
        <f aca="false">CALC!D2</f>
        <v>Labor Force Population (LFP)</v>
      </c>
      <c r="D2" s="52"/>
      <c r="E2" s="52"/>
      <c r="F2" s="52"/>
      <c r="BG2" s="3"/>
      <c r="BH2" s="3"/>
      <c r="BI2" s="3"/>
      <c r="BJ2" s="3"/>
      <c r="BK2" s="3"/>
      <c r="BL2" s="3"/>
      <c r="BM2" s="3"/>
      <c r="BN2" s="3"/>
      <c r="BO2" s="3"/>
      <c r="BP2" s="3"/>
      <c r="BQ2" s="3"/>
    </row>
    <row r="3" customFormat="false" ht="12.8" hidden="false" customHeight="false" outlineLevel="0" collapsed="false">
      <c r="A3" s="60" t="str">
        <f aca="false">CALC!A3</f>
        <v>LSID</v>
      </c>
      <c r="B3" s="42" t="str">
        <f aca="false">CALC!C3</f>
        <v>Labor Sector</v>
      </c>
      <c r="C3" s="54" t="str">
        <f aca="false">CALC!D3</f>
        <v>Overall LFP</v>
      </c>
      <c r="D3" s="54" t="str">
        <f aca="false">CALC!E3</f>
        <v>Authorized LFP</v>
      </c>
      <c r="E3" s="54" t="str">
        <f aca="false">CALC!F3</f>
        <v>Unauthorized LFP</v>
      </c>
      <c r="F3" s="54" t="str">
        <f aca="false">CALC!G3</f>
        <v>American LFP</v>
      </c>
      <c r="BA3" s="3"/>
      <c r="BB3" s="3"/>
      <c r="BC3" s="3"/>
      <c r="BD3" s="3"/>
      <c r="BE3" s="3"/>
      <c r="BF3" s="3"/>
      <c r="BG3" s="3"/>
      <c r="BH3" s="3"/>
      <c r="BI3" s="3"/>
      <c r="BJ3" s="3"/>
      <c r="BK3" s="3"/>
      <c r="BL3" s="3"/>
      <c r="BM3" s="3"/>
      <c r="BN3" s="3"/>
      <c r="BO3" s="3"/>
      <c r="BP3" s="3"/>
      <c r="BQ3" s="3"/>
    </row>
    <row r="4" customFormat="false" ht="12.8" hidden="false" customHeight="false" outlineLevel="0" collapsed="false">
      <c r="A4" s="60" t="str">
        <f aca="false">_xlfn.CONCAT($A$1, ".", CALC!A4)</f>
        <v>LSD.RID.0.AL.LFP.0</v>
      </c>
      <c r="B4" s="42" t="str">
        <f aca="false">CALC!C4</f>
        <v>All Industries</v>
      </c>
      <c r="C4" s="59" t="n">
        <v>2385000</v>
      </c>
      <c r="D4" s="59" t="n">
        <v>62388</v>
      </c>
      <c r="E4" s="59" t="n">
        <v>50000</v>
      </c>
      <c r="F4" s="59" t="n">
        <v>2270612</v>
      </c>
      <c r="BA4" s="3"/>
      <c r="BB4" s="3"/>
      <c r="BC4" s="3"/>
      <c r="BD4" s="3"/>
      <c r="BE4" s="3"/>
      <c r="BF4" s="3"/>
      <c r="BG4" s="3"/>
      <c r="BH4" s="3"/>
      <c r="BI4" s="3"/>
      <c r="BJ4" s="3"/>
      <c r="BK4" s="3"/>
      <c r="BL4" s="3"/>
      <c r="BM4" s="3"/>
      <c r="BN4" s="3"/>
      <c r="BO4" s="3"/>
      <c r="BP4" s="3"/>
      <c r="BQ4" s="3"/>
    </row>
    <row r="5" customFormat="false" ht="23.85" hidden="false" customHeight="false" outlineLevel="0" collapsed="false">
      <c r="A5" s="60" t="str">
        <f aca="false">_xlfn.CONCAT($A$1, ".", CALC!A5)</f>
        <v>LSD.RID.0.AL.LFP.1</v>
      </c>
      <c r="B5" s="63" t="str">
        <f aca="false">CALC!C5</f>
        <v>Agriculture, Forestry, 
Fishing and Hunting</v>
      </c>
      <c r="C5" s="59" t="n">
        <v>38000</v>
      </c>
      <c r="D5" s="59" t="n">
        <v>152</v>
      </c>
      <c r="E5" s="59" t="n">
        <v>5320</v>
      </c>
      <c r="F5" s="59" t="n">
        <v>32528</v>
      </c>
      <c r="BA5" s="3"/>
      <c r="BB5" s="3"/>
      <c r="BC5" s="3"/>
      <c r="BD5" s="3"/>
      <c r="BE5" s="3"/>
      <c r="BF5" s="3"/>
      <c r="BG5" s="3"/>
      <c r="BH5" s="3"/>
      <c r="BI5" s="3"/>
      <c r="BJ5" s="3"/>
      <c r="BK5" s="3"/>
      <c r="BL5" s="3"/>
      <c r="BM5" s="3"/>
      <c r="BN5" s="3"/>
      <c r="BO5" s="3"/>
      <c r="BP5" s="3"/>
      <c r="BQ5" s="3"/>
    </row>
    <row r="6" customFormat="false" ht="23.85" hidden="false" customHeight="false" outlineLevel="0" collapsed="false">
      <c r="A6" s="60" t="str">
        <f aca="false">_xlfn.CONCAT($A$1, ".", CALC!A6)</f>
        <v>LSD.RID.0.AL.LFP.2</v>
      </c>
      <c r="B6" s="63" t="str">
        <f aca="false">CALC!C6</f>
        <v>Mining, Quarrying, and
Oil and Gas Extraction</v>
      </c>
      <c r="C6" s="59" t="n">
        <v>14000</v>
      </c>
      <c r="D6" s="59" t="n">
        <v>196</v>
      </c>
      <c r="E6" s="59" t="n">
        <v>560</v>
      </c>
      <c r="F6" s="59" t="n">
        <v>13244</v>
      </c>
      <c r="BA6" s="3"/>
      <c r="BB6" s="3"/>
      <c r="BC6" s="3"/>
      <c r="BD6" s="3"/>
      <c r="BE6" s="3"/>
      <c r="BF6" s="3"/>
      <c r="BG6" s="3"/>
      <c r="BH6" s="3"/>
      <c r="BI6" s="3"/>
      <c r="BJ6" s="3"/>
      <c r="BK6" s="3"/>
      <c r="BL6" s="3"/>
      <c r="BM6" s="3"/>
      <c r="BN6" s="3"/>
      <c r="BO6" s="3"/>
      <c r="BP6" s="3"/>
      <c r="BQ6" s="3"/>
    </row>
    <row r="7" customFormat="false" ht="12.8" hidden="false" customHeight="false" outlineLevel="0" collapsed="false">
      <c r="A7" s="60" t="str">
        <f aca="false">_xlfn.CONCAT($A$1, ".", CALC!A7)</f>
        <v>LSD.RID.0.AL.LFP.3</v>
      </c>
      <c r="B7" s="42" t="str">
        <f aca="false">CALC!C7</f>
        <v>Utilities</v>
      </c>
      <c r="C7" s="59" t="n">
        <v>28000</v>
      </c>
      <c r="D7" s="59" t="n">
        <v>560</v>
      </c>
      <c r="E7" s="59" t="n">
        <v>224</v>
      </c>
      <c r="F7" s="59" t="n">
        <v>27216</v>
      </c>
      <c r="BA7" s="3"/>
      <c r="BB7" s="3"/>
      <c r="BC7" s="3"/>
      <c r="BD7" s="3"/>
      <c r="BE7" s="3"/>
      <c r="BF7" s="3"/>
      <c r="BG7" s="3"/>
      <c r="BH7" s="3"/>
      <c r="BI7" s="3"/>
      <c r="BJ7" s="3"/>
      <c r="BK7" s="3"/>
      <c r="BL7" s="3"/>
      <c r="BM7" s="3"/>
      <c r="BN7" s="3"/>
      <c r="BO7" s="3"/>
      <c r="BP7" s="3"/>
      <c r="BQ7" s="3"/>
    </row>
    <row r="8" customFormat="false" ht="12.8" hidden="false" customHeight="false" outlineLevel="0" collapsed="false">
      <c r="A8" s="60" t="str">
        <f aca="false">_xlfn.CONCAT($A$1, ".", CALC!A8)</f>
        <v>LSD.RID.0.AL.LFP.4</v>
      </c>
      <c r="B8" s="42" t="str">
        <f aca="false">CALC!C8</f>
        <v>Construction</v>
      </c>
      <c r="C8" s="59" t="n">
        <v>135000</v>
      </c>
      <c r="D8" s="59" t="n">
        <v>4590</v>
      </c>
      <c r="E8" s="59" t="n">
        <v>13770</v>
      </c>
      <c r="F8" s="59" t="n">
        <v>116640</v>
      </c>
      <c r="BA8" s="3"/>
      <c r="BB8" s="3"/>
      <c r="BC8" s="3"/>
      <c r="BD8" s="3"/>
      <c r="BE8" s="3"/>
      <c r="BF8" s="3"/>
      <c r="BG8" s="3"/>
      <c r="BH8" s="3"/>
      <c r="BI8" s="3"/>
      <c r="BJ8" s="3"/>
      <c r="BK8" s="3"/>
      <c r="BL8" s="3"/>
      <c r="BM8" s="3"/>
      <c r="BN8" s="3"/>
      <c r="BO8" s="3"/>
      <c r="BP8" s="3"/>
      <c r="BQ8" s="3"/>
    </row>
    <row r="9" customFormat="false" ht="23.85" hidden="false" customHeight="false" outlineLevel="0" collapsed="false">
      <c r="A9" s="60" t="str">
        <f aca="false">_xlfn.CONCAT($A$1, ".", CALC!A9)</f>
        <v>LSD.RID.0.AL.LFP.5</v>
      </c>
      <c r="B9" s="63" t="str">
        <f aca="false">CALC!C9</f>
        <v>Manufacturing
(Food,Textile, etc.)</v>
      </c>
      <c r="C9" s="59" t="n">
        <v>65000</v>
      </c>
      <c r="D9" s="59" t="n">
        <v>4680</v>
      </c>
      <c r="E9" s="59" t="n">
        <v>2405</v>
      </c>
      <c r="F9" s="59" t="n">
        <v>57915</v>
      </c>
      <c r="BA9" s="3"/>
      <c r="BB9" s="3"/>
      <c r="BC9" s="3"/>
      <c r="BD9" s="3"/>
      <c r="BE9" s="3"/>
      <c r="BF9" s="3"/>
      <c r="BG9" s="3"/>
      <c r="BH9" s="3"/>
      <c r="BI9" s="3"/>
      <c r="BJ9" s="3"/>
      <c r="BK9" s="3"/>
      <c r="BL9" s="3"/>
      <c r="BM9" s="3"/>
      <c r="BN9" s="3"/>
      <c r="BO9" s="3"/>
      <c r="BP9" s="3"/>
      <c r="BQ9" s="3"/>
    </row>
    <row r="10" customFormat="false" ht="23.85" hidden="false" customHeight="false" outlineLevel="0" collapsed="false">
      <c r="A10" s="60" t="str">
        <f aca="false">_xlfn.CONCAT($A$1, ".", CALC!A10)</f>
        <v>LSD.RID.0.AL.LFP.6</v>
      </c>
      <c r="B10" s="63" t="str">
        <f aca="false">CALC!C10</f>
        <v>Manufacturing (Wood,
Paper, Printing, etc.)</v>
      </c>
      <c r="C10" s="59" t="n">
        <v>52000</v>
      </c>
      <c r="D10" s="59" t="n">
        <v>3744</v>
      </c>
      <c r="E10" s="59" t="n">
        <v>1924</v>
      </c>
      <c r="F10" s="59" t="n">
        <v>46332</v>
      </c>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0" t="str">
        <f aca="false">_xlfn.CONCAT($A$1, ".", CALC!A11)</f>
        <v>LSD.RID.0.AL.LFP.7</v>
      </c>
      <c r="B11" s="63" t="str">
        <f aca="false">CALC!C11</f>
        <v>Manufacturing
(Machinery, Transport)</v>
      </c>
      <c r="C11" s="59" t="n">
        <v>170000</v>
      </c>
      <c r="D11" s="59" t="n">
        <v>12240</v>
      </c>
      <c r="E11" s="59" t="n">
        <v>6290</v>
      </c>
      <c r="F11" s="59" t="n">
        <v>151470</v>
      </c>
      <c r="BA11" s="3"/>
      <c r="BB11" s="3"/>
      <c r="BC11" s="3"/>
      <c r="BD11" s="3"/>
      <c r="BE11" s="3"/>
      <c r="BF11" s="3"/>
      <c r="BG11" s="3"/>
      <c r="BH11" s="3"/>
      <c r="BI11" s="3"/>
      <c r="BJ11" s="3"/>
      <c r="BK11" s="3"/>
      <c r="BL11" s="3"/>
      <c r="BM11" s="3"/>
      <c r="BN11" s="3"/>
      <c r="BO11" s="3"/>
      <c r="BP11" s="3"/>
      <c r="BQ11" s="3"/>
    </row>
    <row r="12" customFormat="false" ht="12.8" hidden="false" customHeight="false" outlineLevel="0" collapsed="false">
      <c r="A12" s="60" t="str">
        <f aca="false">_xlfn.CONCAT($A$1, ".", CALC!A12)</f>
        <v>LSD.RID.0.AL.LFP.8</v>
      </c>
      <c r="B12" s="42" t="str">
        <f aca="false">CALC!C12</f>
        <v>Wholesale Trade</v>
      </c>
      <c r="C12" s="59" t="n">
        <v>85000</v>
      </c>
      <c r="D12" s="59" t="n">
        <v>1700</v>
      </c>
      <c r="E12" s="59" t="n">
        <v>3570</v>
      </c>
      <c r="F12" s="59" t="n">
        <v>79730</v>
      </c>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0" t="str">
        <f aca="false">_xlfn.CONCAT($A$1, ".", CALC!A13)</f>
        <v>LSD.RID.0.AL.LFP.9</v>
      </c>
      <c r="B13" s="63" t="str">
        <f aca="false">CALC!C13</f>
        <v>Retail Trade (Motor
Vehicle, Electronics)</v>
      </c>
      <c r="C13" s="59" t="n">
        <v>95000</v>
      </c>
      <c r="D13" s="59" t="n">
        <v>1900</v>
      </c>
      <c r="E13" s="59" t="n">
        <v>3990</v>
      </c>
      <c r="F13" s="59" t="n">
        <v>89110</v>
      </c>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0" t="str">
        <f aca="false">_xlfn.CONCAT($A$1, ".", CALC!A14)</f>
        <v>LSD.RID.0.AL.LFP.10</v>
      </c>
      <c r="B14" s="63" t="str">
        <f aca="false">CALC!C14</f>
        <v>Retail Trade (Food, Clothing,
General Merchandise, etc.)</v>
      </c>
      <c r="C14" s="59" t="n">
        <v>165000</v>
      </c>
      <c r="D14" s="59" t="n">
        <v>3300</v>
      </c>
      <c r="E14" s="59" t="n">
        <v>6930</v>
      </c>
      <c r="F14" s="59" t="n">
        <v>154770</v>
      </c>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0" t="str">
        <f aca="false">_xlfn.CONCAT($A$1, ".", CALC!A15)</f>
        <v>LSD.RID.0.AL.LFP.11</v>
      </c>
      <c r="B15" s="42" t="str">
        <f aca="false">CALC!C15</f>
        <v>Transportation</v>
      </c>
      <c r="C15" s="59" t="n">
        <v>65000</v>
      </c>
      <c r="D15" s="59" t="n">
        <v>1300</v>
      </c>
      <c r="E15" s="59" t="n">
        <v>2730</v>
      </c>
      <c r="F15" s="59" t="n">
        <v>60970</v>
      </c>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0" t="str">
        <f aca="false">_xlfn.CONCAT($A$1, ".", CALC!A16)</f>
        <v>LSD.RID.0.AL.LFP.12</v>
      </c>
      <c r="B16" s="42" t="str">
        <f aca="false">CALC!C16</f>
        <v>Warehousing and Storage</v>
      </c>
      <c r="C16" s="59" t="n">
        <v>38000</v>
      </c>
      <c r="D16" s="59" t="n">
        <v>760</v>
      </c>
      <c r="E16" s="59" t="n">
        <v>1596</v>
      </c>
      <c r="F16" s="59" t="n">
        <v>35644</v>
      </c>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0" t="str">
        <f aca="false">_xlfn.CONCAT($A$1, ".", CALC!A17)</f>
        <v>LSD.RID.0.AL.LFP.13</v>
      </c>
      <c r="B17" s="42" t="str">
        <f aca="false">CALC!C17</f>
        <v>Information</v>
      </c>
      <c r="C17" s="59" t="n">
        <v>26000</v>
      </c>
      <c r="D17" s="59" t="n">
        <v>546</v>
      </c>
      <c r="E17" s="59" t="n">
        <v>221</v>
      </c>
      <c r="F17" s="59" t="n">
        <v>25233</v>
      </c>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0" t="str">
        <f aca="false">_xlfn.CONCAT($A$1, ".", CALC!A18)</f>
        <v>LSD.RID.0.AL.LFP.14</v>
      </c>
      <c r="B18" s="42" t="str">
        <f aca="false">CALC!C18</f>
        <v>Finance and Insurance</v>
      </c>
      <c r="C18" s="59" t="n">
        <v>115000</v>
      </c>
      <c r="D18" s="59" t="n">
        <v>3220</v>
      </c>
      <c r="E18" s="59" t="n">
        <v>920</v>
      </c>
      <c r="F18" s="59" t="n">
        <v>111860</v>
      </c>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0" t="str">
        <f aca="false">_xlfn.CONCAT($A$1, ".", CALC!A19)</f>
        <v>LSD.RID.0.AL.LFP.15</v>
      </c>
      <c r="B19" s="63" t="str">
        <f aca="false">CALC!C19</f>
        <v>Real Estate and
Rental and Leasing</v>
      </c>
      <c r="C19" s="59" t="n">
        <v>42000</v>
      </c>
      <c r="D19" s="59" t="n">
        <v>1176</v>
      </c>
      <c r="E19" s="59" t="n">
        <v>336</v>
      </c>
      <c r="F19" s="59" t="n">
        <v>40588</v>
      </c>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0" t="str">
        <f aca="false">_xlfn.CONCAT($A$1, ".", CALC!A20)</f>
        <v>LSD.RID.0.AL.LFP.16</v>
      </c>
      <c r="B20" s="63" t="str">
        <f aca="false">CALC!C20</f>
        <v>Professional, Scientific,
and Technical Services</v>
      </c>
      <c r="C20" s="59" t="n">
        <v>135000</v>
      </c>
      <c r="D20" s="59" t="n">
        <v>2835</v>
      </c>
      <c r="E20" s="59" t="n">
        <v>1080</v>
      </c>
      <c r="F20" s="59" t="n">
        <v>130085</v>
      </c>
      <c r="BA20" s="3"/>
      <c r="BB20" s="3"/>
      <c r="BC20" s="3"/>
      <c r="BD20" s="3"/>
      <c r="BE20" s="3"/>
      <c r="BF20" s="3"/>
      <c r="BG20" s="3"/>
      <c r="BH20" s="3"/>
      <c r="BI20" s="3"/>
      <c r="BJ20" s="3"/>
      <c r="BK20" s="3"/>
      <c r="BL20" s="3"/>
      <c r="BM20" s="3"/>
      <c r="BN20" s="3"/>
      <c r="BO20" s="3"/>
      <c r="BP20" s="3"/>
      <c r="BQ20" s="3"/>
    </row>
    <row r="21" customFormat="false" ht="35.05" hidden="false" customHeight="false" outlineLevel="0" collapsed="false">
      <c r="A21" s="60" t="str">
        <f aca="false">_xlfn.CONCAT($A$1, ".", CALC!A21)</f>
        <v>LSD.RID.0.AL.LFP.17</v>
      </c>
      <c r="B21" s="63" t="str">
        <f aca="false">CALC!C21</f>
        <v>Administrative and Support
and Waste Management
and Remediation Services</v>
      </c>
      <c r="C21" s="59" t="n">
        <v>145000</v>
      </c>
      <c r="D21" s="59" t="n">
        <v>2900</v>
      </c>
      <c r="E21" s="59" t="n">
        <v>16675</v>
      </c>
      <c r="F21" s="59" t="n">
        <v>118425</v>
      </c>
      <c r="BA21" s="3"/>
      <c r="BB21" s="3"/>
      <c r="BC21" s="3"/>
      <c r="BD21" s="3"/>
      <c r="BE21" s="3"/>
      <c r="BF21" s="3"/>
      <c r="BG21" s="3"/>
      <c r="BH21" s="3"/>
      <c r="BI21" s="3"/>
      <c r="BJ21" s="3"/>
      <c r="BK21" s="3"/>
      <c r="BL21" s="3"/>
      <c r="BM21" s="3"/>
      <c r="BN21" s="3"/>
      <c r="BO21" s="3"/>
      <c r="BP21" s="3"/>
      <c r="BQ21" s="3"/>
    </row>
    <row r="22" customFormat="false" ht="12.8" hidden="false" customHeight="false" outlineLevel="0" collapsed="false">
      <c r="A22" s="60" t="str">
        <f aca="false">_xlfn.CONCAT($A$1, ".", CALC!A22)</f>
        <v>LSD.RID.0.AL.LFP.18</v>
      </c>
      <c r="B22" s="42" t="str">
        <f aca="false">CALC!C22</f>
        <v>Educational Services</v>
      </c>
      <c r="C22" s="59" t="n">
        <v>95000</v>
      </c>
      <c r="D22" s="59" t="n">
        <v>6460</v>
      </c>
      <c r="E22" s="59" t="n">
        <v>760</v>
      </c>
      <c r="F22" s="59" t="n">
        <v>87780</v>
      </c>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0" t="str">
        <f aca="false">_xlfn.CONCAT($A$1, ".", CALC!A23)</f>
        <v>LSD.RID.0.AL.LFP.19</v>
      </c>
      <c r="B23" s="63" t="str">
        <f aca="false">CALC!C23</f>
        <v>Health Care and
Social Assistance</v>
      </c>
      <c r="C23" s="59" t="n">
        <v>240000</v>
      </c>
      <c r="D23" s="59" t="n">
        <v>16320</v>
      </c>
      <c r="E23" s="59" t="n">
        <v>1560</v>
      </c>
      <c r="F23" s="59" t="n">
        <v>222120</v>
      </c>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0" t="str">
        <f aca="false">_xlfn.CONCAT($A$1, ".", CALC!A24)</f>
        <v>LSD.RID.0.AL.LFP.20</v>
      </c>
      <c r="B24" s="63" t="str">
        <f aca="false">CALC!C24</f>
        <v>Arts, Entertainment,
and Recreation</v>
      </c>
      <c r="C24" s="59" t="n">
        <v>32000</v>
      </c>
      <c r="D24" s="59" t="n">
        <v>448</v>
      </c>
      <c r="E24" s="59" t="n">
        <v>3520</v>
      </c>
      <c r="F24" s="59" t="n">
        <v>28032</v>
      </c>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0" t="str">
        <f aca="false">_xlfn.CONCAT($A$1, ".", CALC!A25)</f>
        <v>LSD.RID.0.AL.LFP.21</v>
      </c>
      <c r="B25" s="63" t="str">
        <f aca="false">CALC!C25</f>
        <v>Accommodation
and Food Services</v>
      </c>
      <c r="C25" s="59" t="n">
        <v>185000</v>
      </c>
      <c r="D25" s="59" t="n">
        <v>2590</v>
      </c>
      <c r="E25" s="59" t="n">
        <v>12950</v>
      </c>
      <c r="F25" s="59" t="n">
        <v>169460</v>
      </c>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0" t="str">
        <f aca="false">_xlfn.CONCAT($A$1, ".", CALC!A26)</f>
        <v>LSD.RID.0.AL.LFP.22</v>
      </c>
      <c r="B26" s="63" t="str">
        <f aca="false">CALC!C26</f>
        <v>Other Services (except
Public Administration)</v>
      </c>
      <c r="C26" s="59" t="n">
        <v>105000</v>
      </c>
      <c r="D26" s="59" t="n">
        <v>840</v>
      </c>
      <c r="E26" s="59" t="n">
        <v>12180</v>
      </c>
      <c r="F26" s="59" t="n">
        <v>95980</v>
      </c>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0" t="str">
        <f aca="false">_xlfn.CONCAT($A$1, ".", CALC!A27)</f>
        <v>LSD.RID.0.AL.LFP.23</v>
      </c>
      <c r="B27" s="42" t="str">
        <f aca="false">CALC!C27</f>
        <v>Public Administration</v>
      </c>
      <c r="C27" s="59" t="n">
        <v>125000</v>
      </c>
      <c r="D27" s="59" t="n">
        <v>1000</v>
      </c>
      <c r="E27" s="59" t="n">
        <v>875</v>
      </c>
      <c r="F27" s="59" t="n">
        <v>123125</v>
      </c>
      <c r="BD27" s="3"/>
      <c r="BE27" s="3"/>
      <c r="BF27" s="3"/>
      <c r="BG27" s="3"/>
      <c r="BH27" s="3"/>
      <c r="BI27" s="3"/>
      <c r="BJ27" s="3"/>
      <c r="BK27" s="3"/>
      <c r="BL27" s="3"/>
      <c r="BM27" s="3"/>
      <c r="BN27" s="3"/>
      <c r="BO27" s="3"/>
      <c r="BP27" s="3"/>
      <c r="BQ27" s="3"/>
    </row>
    <row r="28" customFormat="false" ht="12.8" hidden="false" customHeight="false" outlineLevel="0" collapsed="false">
      <c r="A28" s="60"/>
      <c r="B28" s="42"/>
      <c r="C28" s="59"/>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130" customFormat="false" ht="12.8" hidden="false" customHeight="false" outlineLevel="0" collapsed="false">
      <c r="A130" s="60" t="str">
        <f aca="false">_xlfn.CONCAT($A$1, ".", "FORM")</f>
        <v>LSD.RID.0.AL.LFP.FORM</v>
      </c>
      <c r="B130" s="61" t="str">
        <f aca="false">_xlfn.CONCAT($B$1, " ", "Formulae")</f>
        <v>Alabama Labor Force Population Formulae</v>
      </c>
      <c r="C130" s="61"/>
    </row>
    <row r="131" customFormat="false" ht="12.8" hidden="false" customHeight="false" outlineLevel="0" collapsed="false">
      <c r="A131" s="49" t="s">
        <v>174</v>
      </c>
      <c r="B131" s="49" t="s">
        <v>175</v>
      </c>
      <c r="C131" s="49" t="s">
        <v>176</v>
      </c>
      <c r="D131" s="49" t="s">
        <v>177</v>
      </c>
      <c r="E131" s="49" t="s">
        <v>178</v>
      </c>
      <c r="F131" s="49" t="s">
        <v>179</v>
      </c>
      <c r="G131" s="49" t="s">
        <v>179</v>
      </c>
    </row>
    <row r="132" customFormat="false" ht="12.8" hidden="false" customHeight="false" outlineLevel="0" collapsed="false">
      <c r="A132" s="39" t="s">
        <v>1514</v>
      </c>
      <c r="B132" s="39" t="s">
        <v>1515</v>
      </c>
      <c r="C132" s="39" t="s">
        <v>1516</v>
      </c>
      <c r="D132" s="39" t="s">
        <v>1517</v>
      </c>
      <c r="E132" s="39" t="s">
        <v>1518</v>
      </c>
      <c r="F132" s="39" t="s">
        <v>1519</v>
      </c>
      <c r="G132" s="39" t="s">
        <v>1520</v>
      </c>
    </row>
    <row r="133" customFormat="false" ht="12.8" hidden="false" customHeight="false" outlineLevel="0" collapsed="false">
      <c r="A133" s="39" t="s">
        <v>1521</v>
      </c>
      <c r="B133" s="39" t="s">
        <v>1522</v>
      </c>
      <c r="C133" s="39" t="s">
        <v>1523</v>
      </c>
      <c r="D133" s="39" t="s">
        <v>1524</v>
      </c>
      <c r="E133" s="39" t="s">
        <v>1525</v>
      </c>
      <c r="F133" s="39" t="s">
        <v>1526</v>
      </c>
      <c r="G133" s="39" t="s">
        <v>1527</v>
      </c>
    </row>
    <row r="134" customFormat="false" ht="12.8" hidden="false" customHeight="false" outlineLevel="0" collapsed="false">
      <c r="A134" s="39" t="s">
        <v>1528</v>
      </c>
      <c r="B134" s="39" t="s">
        <v>1529</v>
      </c>
      <c r="C134" s="39" t="s">
        <v>1530</v>
      </c>
      <c r="D134" s="39" t="s">
        <v>1531</v>
      </c>
      <c r="E134" s="39" t="s">
        <v>1532</v>
      </c>
      <c r="F134" s="39" t="s">
        <v>1533</v>
      </c>
      <c r="G134" s="39" t="s">
        <v>1534</v>
      </c>
    </row>
    <row r="135" customFormat="false" ht="12.8" hidden="false" customHeight="false" outlineLevel="0" collapsed="false">
      <c r="A135" s="39" t="s">
        <v>1535</v>
      </c>
      <c r="B135" s="39" t="s">
        <v>1536</v>
      </c>
      <c r="C135" s="39" t="s">
        <v>1537</v>
      </c>
      <c r="D135" s="39" t="s">
        <v>1538</v>
      </c>
      <c r="E135" s="39" t="s">
        <v>1539</v>
      </c>
      <c r="F135" s="39" t="s">
        <v>1533</v>
      </c>
      <c r="G135" s="39" t="s">
        <v>1540</v>
      </c>
    </row>
    <row r="136" customFormat="false" ht="12.8" hidden="false" customHeight="false" outlineLevel="0" collapsed="false">
      <c r="A136" s="39" t="s">
        <v>1541</v>
      </c>
      <c r="B136" s="39" t="s">
        <v>1542</v>
      </c>
      <c r="C136" s="39" t="s">
        <v>1543</v>
      </c>
      <c r="D136" s="39" t="s">
        <v>1544</v>
      </c>
      <c r="E136" s="39" t="s">
        <v>1545</v>
      </c>
      <c r="F136" s="39" t="s">
        <v>1546</v>
      </c>
      <c r="G136" s="39" t="s">
        <v>1547</v>
      </c>
    </row>
    <row r="137" customFormat="false" ht="12.8" hidden="false" customHeight="false" outlineLevel="0" collapsed="false">
      <c r="A137" s="39" t="s">
        <v>1548</v>
      </c>
      <c r="B137" s="39" t="s">
        <v>1549</v>
      </c>
      <c r="C137" s="39" t="s">
        <v>1550</v>
      </c>
      <c r="D137" s="39" t="s">
        <v>1551</v>
      </c>
      <c r="E137" s="39" t="s">
        <v>1552</v>
      </c>
      <c r="F137" s="39" t="s">
        <v>1553</v>
      </c>
      <c r="G137" s="39"/>
    </row>
    <row r="138" customFormat="false" ht="12.8" hidden="false" customHeight="false" outlineLevel="0" collapsed="false">
      <c r="A138" s="50"/>
      <c r="B138" s="64"/>
      <c r="C138" s="64"/>
      <c r="D138" s="39"/>
      <c r="E138" s="39"/>
      <c r="F138" s="39"/>
      <c r="G138" s="39"/>
    </row>
    <row r="139" customFormat="false" ht="12.8" hidden="false" customHeight="false" outlineLevel="0" collapsed="false">
      <c r="A139" s="60" t="str">
        <f aca="false">_xlfn.CONCAT($A$1, ".", "PARAM")</f>
        <v>LSD.RID.0.AL.LFP.PARAM</v>
      </c>
      <c r="B139" s="61" t="str">
        <f aca="false">_xlfn.CONCAT($B$1, " ", "Parameters")</f>
        <v>Alabama Labor Force Population Parameters</v>
      </c>
      <c r="C139" s="61"/>
    </row>
    <row r="140" customFormat="false" ht="12.8" hidden="false" customHeight="false" outlineLevel="0" collapsed="false">
      <c r="A140" s="49" t="s">
        <v>174</v>
      </c>
      <c r="B140" s="49" t="s">
        <v>176</v>
      </c>
      <c r="C140" s="49" t="s">
        <v>293</v>
      </c>
      <c r="D140" s="49" t="s">
        <v>178</v>
      </c>
      <c r="E140" s="49" t="s">
        <v>294</v>
      </c>
      <c r="F140" s="49" t="s">
        <v>295</v>
      </c>
      <c r="G140" s="49" t="s">
        <v>296</v>
      </c>
      <c r="H140" s="49" t="s">
        <v>296</v>
      </c>
    </row>
    <row r="141" customFormat="false" ht="12.8" hidden="false" customHeight="false" outlineLevel="0" collapsed="false">
      <c r="A141" s="39" t="s">
        <v>1554</v>
      </c>
      <c r="B141" s="39" t="s">
        <v>1555</v>
      </c>
      <c r="C141" s="39" t="n">
        <v>2385000</v>
      </c>
      <c r="D141" s="39" t="s">
        <v>1556</v>
      </c>
      <c r="E141" s="39" t="s">
        <v>300</v>
      </c>
      <c r="F141" s="39" t="s">
        <v>377</v>
      </c>
      <c r="G141" s="51" t="s">
        <v>302</v>
      </c>
      <c r="H141" s="49"/>
    </row>
    <row r="142" customFormat="false" ht="12.8" hidden="false" customHeight="false" outlineLevel="0" collapsed="false">
      <c r="A142" s="39" t="s">
        <v>1557</v>
      </c>
      <c r="B142" s="39" t="s">
        <v>1558</v>
      </c>
      <c r="C142" s="39" t="n">
        <v>0.9</v>
      </c>
      <c r="D142" s="39" t="s">
        <v>1559</v>
      </c>
      <c r="E142" s="39" t="s">
        <v>368</v>
      </c>
      <c r="F142" s="39" t="s">
        <v>1560</v>
      </c>
      <c r="G142" s="51" t="s">
        <v>302</v>
      </c>
      <c r="H142" s="49"/>
    </row>
    <row r="143" customFormat="false" ht="12.8" hidden="false" customHeight="false" outlineLevel="0" collapsed="false">
      <c r="A143" s="39" t="s">
        <v>1561</v>
      </c>
      <c r="B143" s="39" t="s">
        <v>1562</v>
      </c>
      <c r="C143" s="39" t="n">
        <v>0.94</v>
      </c>
      <c r="D143" s="39" t="s">
        <v>1563</v>
      </c>
      <c r="E143" s="39" t="s">
        <v>300</v>
      </c>
      <c r="F143" s="39" t="s">
        <v>1564</v>
      </c>
      <c r="G143" s="51" t="s">
        <v>302</v>
      </c>
      <c r="H143" s="49"/>
    </row>
    <row r="144" customFormat="false" ht="12.8" hidden="false" customHeight="false" outlineLevel="0" collapsed="false">
      <c r="A144" s="39" t="s">
        <v>1565</v>
      </c>
      <c r="B144" s="39" t="s">
        <v>1566</v>
      </c>
      <c r="C144" s="39" t="n">
        <v>0.9</v>
      </c>
      <c r="D144" s="39" t="s">
        <v>1567</v>
      </c>
      <c r="E144" s="39" t="s">
        <v>300</v>
      </c>
      <c r="F144" s="39" t="s">
        <v>1568</v>
      </c>
      <c r="G144" s="51" t="s">
        <v>302</v>
      </c>
      <c r="H144" s="49"/>
    </row>
    <row r="145" customFormat="false" ht="12.8" hidden="false" customHeight="false" outlineLevel="0" collapsed="false">
      <c r="A145" s="39" t="s">
        <v>1569</v>
      </c>
      <c r="B145" s="39" t="s">
        <v>1570</v>
      </c>
      <c r="C145" s="39" t="n">
        <v>0.92</v>
      </c>
      <c r="D145" s="39" t="s">
        <v>1571</v>
      </c>
      <c r="E145" s="39" t="s">
        <v>300</v>
      </c>
      <c r="F145" s="39" t="s">
        <v>1564</v>
      </c>
      <c r="G145" s="51" t="s">
        <v>302</v>
      </c>
      <c r="H145" s="49"/>
    </row>
    <row r="146" customFormat="false" ht="12.8" hidden="false" customHeight="false" outlineLevel="0" collapsed="false">
      <c r="A146" s="39" t="s">
        <v>1572</v>
      </c>
      <c r="B146" s="39" t="s">
        <v>1573</v>
      </c>
      <c r="C146" s="39" t="n">
        <v>0.92</v>
      </c>
      <c r="D146" s="39" t="s">
        <v>1574</v>
      </c>
      <c r="E146" s="39" t="s">
        <v>300</v>
      </c>
      <c r="F146" s="39" t="s">
        <v>1564</v>
      </c>
      <c r="G146" s="51" t="s">
        <v>302</v>
      </c>
      <c r="H146" s="49"/>
    </row>
    <row r="147" customFormat="false" ht="12.8" hidden="false" customHeight="false" outlineLevel="0" collapsed="false">
      <c r="A147" s="39" t="s">
        <v>1575</v>
      </c>
      <c r="B147" s="39" t="s">
        <v>1576</v>
      </c>
      <c r="C147" s="39" t="n">
        <v>0.93</v>
      </c>
      <c r="D147" s="39" t="s">
        <v>1577</v>
      </c>
      <c r="E147" s="39" t="s">
        <v>368</v>
      </c>
      <c r="F147" s="39" t="s">
        <v>463</v>
      </c>
      <c r="G147" s="51" t="s">
        <v>302</v>
      </c>
      <c r="H147" s="49"/>
    </row>
    <row r="148" customFormat="false" ht="12.8" hidden="false" customHeight="false" outlineLevel="0" collapsed="false">
      <c r="A148" s="39" t="s">
        <v>1578</v>
      </c>
      <c r="B148" s="39" t="s">
        <v>1579</v>
      </c>
      <c r="C148" s="39" t="n">
        <v>0.97</v>
      </c>
      <c r="D148" s="39" t="s">
        <v>1580</v>
      </c>
      <c r="E148" s="39" t="s">
        <v>300</v>
      </c>
      <c r="F148" s="39" t="s">
        <v>1564</v>
      </c>
      <c r="G148" s="51" t="s">
        <v>302</v>
      </c>
      <c r="H148" s="49"/>
    </row>
    <row r="149" customFormat="false" ht="12.8" hidden="false" customHeight="false" outlineLevel="0" collapsed="false">
      <c r="A149" s="39" t="s">
        <v>1581</v>
      </c>
      <c r="B149" s="39" t="s">
        <v>1582</v>
      </c>
      <c r="C149" s="39" t="n">
        <v>0.98</v>
      </c>
      <c r="D149" s="39" t="s">
        <v>1583</v>
      </c>
      <c r="E149" s="39" t="s">
        <v>300</v>
      </c>
      <c r="F149" s="39" t="s">
        <v>1564</v>
      </c>
      <c r="G149" s="51" t="s">
        <v>302</v>
      </c>
      <c r="H149" s="49"/>
    </row>
    <row r="150" customFormat="false" ht="12.8" hidden="false" customHeight="false" outlineLevel="0" collapsed="false">
      <c r="A150" s="39" t="s">
        <v>1584</v>
      </c>
      <c r="B150" s="39" t="s">
        <v>1585</v>
      </c>
      <c r="C150" s="39" t="n">
        <v>0.94</v>
      </c>
      <c r="D150" s="39" t="s">
        <v>1586</v>
      </c>
      <c r="E150" s="39" t="s">
        <v>300</v>
      </c>
      <c r="F150" s="39" t="s">
        <v>1564</v>
      </c>
      <c r="G150" s="51" t="s">
        <v>302</v>
      </c>
      <c r="H150" s="49"/>
    </row>
    <row r="151" customFormat="false" ht="12.8" hidden="false" customHeight="false" outlineLevel="0" collapsed="false">
      <c r="A151" s="39" t="s">
        <v>1587</v>
      </c>
      <c r="B151" s="39" t="s">
        <v>1588</v>
      </c>
      <c r="C151" s="39" t="n">
        <v>0.89</v>
      </c>
      <c r="D151" s="39" t="s">
        <v>1589</v>
      </c>
      <c r="E151" s="39" t="s">
        <v>300</v>
      </c>
      <c r="F151" s="39" t="s">
        <v>1564</v>
      </c>
      <c r="G151" s="51" t="s">
        <v>302</v>
      </c>
      <c r="H151" s="49"/>
    </row>
    <row r="152" customFormat="false" ht="12.8" hidden="false" customHeight="false" outlineLevel="0" collapsed="false">
      <c r="A152" s="39" t="s">
        <v>1590</v>
      </c>
      <c r="B152" s="39" t="s">
        <v>1591</v>
      </c>
      <c r="C152" s="39" t="n">
        <v>0.91</v>
      </c>
      <c r="D152" s="39" t="s">
        <v>1592</v>
      </c>
      <c r="E152" s="39" t="s">
        <v>368</v>
      </c>
      <c r="F152" s="39" t="s">
        <v>463</v>
      </c>
      <c r="G152" s="51" t="s">
        <v>302</v>
      </c>
      <c r="H152" s="49"/>
    </row>
    <row r="153" customFormat="false" ht="12.8" hidden="false" customHeight="false" outlineLevel="0" collapsed="false">
      <c r="A153" s="39" t="s">
        <v>1593</v>
      </c>
      <c r="B153" s="39" t="s">
        <v>1594</v>
      </c>
      <c r="C153" s="39" t="n">
        <v>0.97</v>
      </c>
      <c r="D153" s="39" t="s">
        <v>1595</v>
      </c>
      <c r="E153" s="39" t="s">
        <v>300</v>
      </c>
      <c r="F153" s="39" t="s">
        <v>1564</v>
      </c>
      <c r="G153" s="51" t="s">
        <v>302</v>
      </c>
      <c r="H153" s="49"/>
    </row>
    <row r="154" customFormat="false" ht="12.8" hidden="false" customHeight="false" outlineLevel="0" collapsed="false">
      <c r="A154" s="39" t="s">
        <v>1596</v>
      </c>
      <c r="B154" s="39" t="s">
        <v>1597</v>
      </c>
      <c r="C154" s="39" t="n">
        <v>0.91</v>
      </c>
      <c r="D154" s="39" t="s">
        <v>1598</v>
      </c>
      <c r="E154" s="39" t="s">
        <v>306</v>
      </c>
      <c r="F154" s="39" t="s">
        <v>1599</v>
      </c>
      <c r="G154" s="51" t="s">
        <v>302</v>
      </c>
      <c r="H154" s="49"/>
    </row>
    <row r="155" customFormat="false" ht="12.8" hidden="false" customHeight="false" outlineLevel="0" collapsed="false">
      <c r="A155" s="39" t="s">
        <v>1600</v>
      </c>
      <c r="B155" s="39" t="s">
        <v>1601</v>
      </c>
      <c r="C155" s="39" t="n">
        <v>1.06</v>
      </c>
      <c r="D155" s="39" t="s">
        <v>1602</v>
      </c>
      <c r="E155" s="39" t="s">
        <v>306</v>
      </c>
      <c r="F155" s="39" t="s">
        <v>1603</v>
      </c>
      <c r="G155" s="51" t="s">
        <v>302</v>
      </c>
      <c r="H155" s="49"/>
    </row>
    <row r="156" customFormat="false" ht="12.8" hidden="false" customHeight="false" outlineLevel="0" collapsed="false">
      <c r="A156" s="39" t="s">
        <v>1604</v>
      </c>
      <c r="B156" s="39" t="s">
        <v>1605</v>
      </c>
      <c r="C156" s="39" t="n">
        <v>0.92</v>
      </c>
      <c r="D156" s="39" t="s">
        <v>1606</v>
      </c>
      <c r="E156" s="39" t="s">
        <v>300</v>
      </c>
      <c r="F156" s="39" t="s">
        <v>353</v>
      </c>
      <c r="G156" s="51" t="s">
        <v>302</v>
      </c>
      <c r="H156" s="49"/>
    </row>
    <row r="157" customFormat="false" ht="12.8" hidden="false" customHeight="false" outlineLevel="0" collapsed="false">
      <c r="A157" s="39" t="s">
        <v>1607</v>
      </c>
      <c r="B157" s="39" t="s">
        <v>1608</v>
      </c>
      <c r="C157" s="39" t="n">
        <v>0.75</v>
      </c>
      <c r="D157" s="39" t="s">
        <v>1609</v>
      </c>
      <c r="E157" s="39" t="s">
        <v>306</v>
      </c>
      <c r="F157" s="39" t="s">
        <v>353</v>
      </c>
      <c r="G157" s="51" t="s">
        <v>302</v>
      </c>
      <c r="H157" s="49"/>
    </row>
    <row r="158" customFormat="false" ht="12.8" hidden="false" customHeight="false" outlineLevel="0" collapsed="false">
      <c r="A158" s="39" t="s">
        <v>1610</v>
      </c>
      <c r="B158" s="39" t="s">
        <v>1611</v>
      </c>
      <c r="C158" s="39" t="n">
        <v>0.65</v>
      </c>
      <c r="D158" s="39" t="s">
        <v>1612</v>
      </c>
      <c r="E158" s="39" t="s">
        <v>306</v>
      </c>
      <c r="F158" s="39" t="s">
        <v>353</v>
      </c>
      <c r="G158" s="51" t="s">
        <v>302</v>
      </c>
      <c r="H158" s="49"/>
    </row>
    <row r="159" customFormat="false" ht="12.8" hidden="false" customHeight="false" outlineLevel="0" collapsed="false">
      <c r="A159" s="39" t="s">
        <v>1613</v>
      </c>
      <c r="B159" s="39" t="s">
        <v>1614</v>
      </c>
      <c r="C159" s="39" t="n">
        <v>0.005</v>
      </c>
      <c r="D159" s="39" t="s">
        <v>1615</v>
      </c>
      <c r="E159" s="39" t="s">
        <v>306</v>
      </c>
      <c r="F159" s="39" t="s">
        <v>1616</v>
      </c>
      <c r="G159" s="51" t="s">
        <v>302</v>
      </c>
      <c r="H159" s="49"/>
    </row>
    <row r="160" customFormat="false" ht="12.8" hidden="false" customHeight="false" outlineLevel="0" collapsed="false">
      <c r="A160" s="39" t="s">
        <v>1617</v>
      </c>
      <c r="B160" s="39" t="s">
        <v>1618</v>
      </c>
      <c r="C160" s="39" t="n">
        <v>0.145</v>
      </c>
      <c r="D160" s="39" t="s">
        <v>1619</v>
      </c>
      <c r="E160" s="39" t="s">
        <v>306</v>
      </c>
      <c r="F160" s="39" t="s">
        <v>1620</v>
      </c>
      <c r="G160" s="51" t="s">
        <v>302</v>
      </c>
      <c r="H160" s="49"/>
    </row>
    <row r="161" customFormat="false" ht="12.8" hidden="false" customHeight="false" outlineLevel="0" collapsed="false">
      <c r="A161" s="39" t="s">
        <v>1621</v>
      </c>
      <c r="B161" s="39" t="s">
        <v>1622</v>
      </c>
      <c r="C161" s="39" t="n">
        <v>0.072</v>
      </c>
      <c r="D161" s="39" t="s">
        <v>1623</v>
      </c>
      <c r="E161" s="39" t="s">
        <v>306</v>
      </c>
      <c r="F161" s="39" t="s">
        <v>1616</v>
      </c>
      <c r="G161" s="51" t="s">
        <v>302</v>
      </c>
      <c r="H161" s="49"/>
    </row>
    <row r="162" customFormat="false" ht="12.8" hidden="false" customHeight="false" outlineLevel="0" collapsed="false">
      <c r="A162" s="39" t="s">
        <v>1624</v>
      </c>
      <c r="B162" s="39" t="s">
        <v>1625</v>
      </c>
      <c r="C162" s="39" t="n">
        <v>0.037</v>
      </c>
      <c r="D162" s="39" t="s">
        <v>1626</v>
      </c>
      <c r="E162" s="39" t="s">
        <v>306</v>
      </c>
      <c r="F162" s="39" t="s">
        <v>1620</v>
      </c>
      <c r="G162" s="51" t="s">
        <v>302</v>
      </c>
      <c r="H162" s="49"/>
    </row>
    <row r="163" customFormat="false" ht="12.8" hidden="false" customHeight="false" outlineLevel="0" collapsed="false">
      <c r="A163" s="39" t="s">
        <v>1627</v>
      </c>
      <c r="B163" s="39" t="s">
        <v>1628</v>
      </c>
      <c r="C163" s="39" t="n">
        <v>0.014</v>
      </c>
      <c r="D163" s="39" t="s">
        <v>1629</v>
      </c>
      <c r="E163" s="39" t="s">
        <v>306</v>
      </c>
      <c r="F163" s="39" t="s">
        <v>1616</v>
      </c>
      <c r="G163" s="51" t="s">
        <v>302</v>
      </c>
      <c r="H163" s="49"/>
    </row>
    <row r="164" customFormat="false" ht="12.8" hidden="false" customHeight="false" outlineLevel="0" collapsed="false">
      <c r="A164" s="39" t="s">
        <v>1630</v>
      </c>
      <c r="B164" s="39" t="s">
        <v>1631</v>
      </c>
      <c r="C164" s="39" t="n">
        <v>0.04</v>
      </c>
      <c r="D164" s="39" t="s">
        <v>1632</v>
      </c>
      <c r="E164" s="39" t="s">
        <v>306</v>
      </c>
      <c r="F164" s="39" t="s">
        <v>1620</v>
      </c>
      <c r="G164" s="51" t="s">
        <v>302</v>
      </c>
      <c r="H164" s="49"/>
    </row>
    <row r="165" customFormat="false" ht="12.8" hidden="false" customHeight="false" outlineLevel="0" collapsed="false">
      <c r="A165" s="39" t="s">
        <v>1633</v>
      </c>
      <c r="B165" s="39" t="s">
        <v>1634</v>
      </c>
      <c r="C165" s="39" t="n">
        <v>0.034</v>
      </c>
      <c r="D165" s="39" t="s">
        <v>1635</v>
      </c>
      <c r="E165" s="39" t="s">
        <v>306</v>
      </c>
      <c r="F165" s="39" t="s">
        <v>1616</v>
      </c>
      <c r="G165" s="51" t="s">
        <v>302</v>
      </c>
      <c r="H165" s="49"/>
    </row>
    <row r="166" customFormat="false" ht="12.8" hidden="false" customHeight="false" outlineLevel="0" collapsed="false">
      <c r="A166" s="39" t="s">
        <v>1636</v>
      </c>
      <c r="B166" s="39" t="s">
        <v>1637</v>
      </c>
      <c r="C166" s="39" t="n">
        <v>0.102</v>
      </c>
      <c r="D166" s="39" t="s">
        <v>1638</v>
      </c>
      <c r="E166" s="39" t="s">
        <v>306</v>
      </c>
      <c r="F166" s="39" t="s">
        <v>1620</v>
      </c>
      <c r="G166" s="51" t="s">
        <v>302</v>
      </c>
      <c r="H166" s="49"/>
    </row>
    <row r="167" customFormat="false" ht="12.8" hidden="false" customHeight="false" outlineLevel="0" collapsed="false">
      <c r="A167" s="39" t="s">
        <v>1639</v>
      </c>
      <c r="B167" s="39" t="s">
        <v>1640</v>
      </c>
      <c r="C167" s="39" t="n">
        <v>0.021</v>
      </c>
      <c r="D167" s="39" t="s">
        <v>1641</v>
      </c>
      <c r="E167" s="39" t="s">
        <v>306</v>
      </c>
      <c r="F167" s="39" t="s">
        <v>1616</v>
      </c>
      <c r="G167" s="51" t="s">
        <v>302</v>
      </c>
      <c r="H167" s="49"/>
    </row>
    <row r="168" customFormat="false" ht="12.8" hidden="false" customHeight="false" outlineLevel="0" collapsed="false">
      <c r="A168" s="39" t="s">
        <v>1642</v>
      </c>
      <c r="B168" s="39" t="s">
        <v>1643</v>
      </c>
      <c r="C168" s="39" t="n">
        <v>0.039</v>
      </c>
      <c r="D168" s="39" t="s">
        <v>1644</v>
      </c>
      <c r="E168" s="39" t="s">
        <v>306</v>
      </c>
      <c r="F168" s="39" t="s">
        <v>1620</v>
      </c>
      <c r="G168" s="51" t="s">
        <v>302</v>
      </c>
      <c r="H168" s="49"/>
    </row>
    <row r="169" customFormat="false" ht="12.8" hidden="false" customHeight="false" outlineLevel="0" collapsed="false">
      <c r="A169" s="39" t="s">
        <v>1645</v>
      </c>
      <c r="B169" s="39" t="s">
        <v>1646</v>
      </c>
      <c r="C169" s="39" t="n">
        <v>0.021</v>
      </c>
      <c r="D169" s="39" t="s">
        <v>1647</v>
      </c>
      <c r="E169" s="39" t="s">
        <v>306</v>
      </c>
      <c r="F169" s="39" t="s">
        <v>1616</v>
      </c>
      <c r="G169" s="51" t="s">
        <v>302</v>
      </c>
      <c r="H169" s="49"/>
    </row>
    <row r="170" customFormat="false" ht="12.8" hidden="false" customHeight="false" outlineLevel="0" collapsed="false">
      <c r="A170" s="39" t="s">
        <v>1648</v>
      </c>
      <c r="B170" s="39" t="s">
        <v>1649</v>
      </c>
      <c r="C170" s="39" t="n">
        <v>0.014</v>
      </c>
      <c r="D170" s="39" t="s">
        <v>1650</v>
      </c>
      <c r="E170" s="39" t="s">
        <v>306</v>
      </c>
      <c r="F170" s="39" t="s">
        <v>1620</v>
      </c>
      <c r="G170" s="51" t="s">
        <v>302</v>
      </c>
      <c r="H170" s="49"/>
    </row>
    <row r="171" customFormat="false" ht="12.8" hidden="false" customHeight="false" outlineLevel="0" collapsed="false">
      <c r="A171" s="39" t="s">
        <v>1651</v>
      </c>
      <c r="B171" s="39" t="s">
        <v>1652</v>
      </c>
      <c r="C171" s="39" t="n">
        <v>0.028</v>
      </c>
      <c r="D171" s="39" t="s">
        <v>1653</v>
      </c>
      <c r="E171" s="39" t="s">
        <v>306</v>
      </c>
      <c r="F171" s="39" t="s">
        <v>1616</v>
      </c>
      <c r="G171" s="51" t="s">
        <v>302</v>
      </c>
      <c r="H171" s="49"/>
    </row>
    <row r="172" customFormat="false" ht="12.8" hidden="false" customHeight="false" outlineLevel="0" collapsed="false">
      <c r="A172" s="39" t="s">
        <v>1654</v>
      </c>
      <c r="B172" s="39" t="s">
        <v>1655</v>
      </c>
      <c r="C172" s="39" t="n">
        <v>0.014</v>
      </c>
      <c r="D172" s="39" t="s">
        <v>1656</v>
      </c>
      <c r="E172" s="39" t="s">
        <v>306</v>
      </c>
      <c r="F172" s="39" t="s">
        <v>1620</v>
      </c>
      <c r="G172" s="51" t="s">
        <v>302</v>
      </c>
      <c r="H172" s="49"/>
    </row>
    <row r="173" customFormat="false" ht="12.8" hidden="false" customHeight="false" outlineLevel="0" collapsed="false">
      <c r="A173" s="39" t="s">
        <v>1657</v>
      </c>
      <c r="B173" s="39" t="s">
        <v>1658</v>
      </c>
      <c r="C173" s="39" t="n">
        <v>0.021</v>
      </c>
      <c r="D173" s="39" t="s">
        <v>1659</v>
      </c>
      <c r="E173" s="39" t="s">
        <v>306</v>
      </c>
      <c r="F173" s="39" t="s">
        <v>1616</v>
      </c>
      <c r="G173" s="51" t="s">
        <v>302</v>
      </c>
      <c r="H173" s="49"/>
    </row>
    <row r="174" customFormat="false" ht="12.8" hidden="false" customHeight="false" outlineLevel="0" collapsed="false">
      <c r="A174" s="39" t="s">
        <v>1660</v>
      </c>
      <c r="B174" s="39" t="s">
        <v>1661</v>
      </c>
      <c r="C174" s="39" t="n">
        <v>0.026</v>
      </c>
      <c r="D174" s="39" t="s">
        <v>1662</v>
      </c>
      <c r="E174" s="39" t="s">
        <v>306</v>
      </c>
      <c r="F174" s="39" t="s">
        <v>1620</v>
      </c>
      <c r="G174" s="51" t="s">
        <v>302</v>
      </c>
      <c r="H174" s="49"/>
    </row>
    <row r="175" customFormat="false" ht="12.8" hidden="false" customHeight="false" outlineLevel="0" collapsed="false">
      <c r="A175" s="39" t="s">
        <v>1663</v>
      </c>
      <c r="B175" s="39" t="s">
        <v>1664</v>
      </c>
      <c r="C175" s="39" t="n">
        <v>0.068</v>
      </c>
      <c r="D175" s="39" t="s">
        <v>1665</v>
      </c>
      <c r="E175" s="39" t="s">
        <v>306</v>
      </c>
      <c r="F175" s="39" t="s">
        <v>1616</v>
      </c>
      <c r="G175" s="51" t="s">
        <v>302</v>
      </c>
      <c r="H175" s="49"/>
    </row>
    <row r="176" customFormat="false" ht="12.8" hidden="false" customHeight="false" outlineLevel="0" collapsed="false">
      <c r="A176" s="39" t="s">
        <v>1666</v>
      </c>
      <c r="B176" s="39" t="s">
        <v>1667</v>
      </c>
      <c r="C176" s="39" t="n">
        <v>0.026</v>
      </c>
      <c r="D176" s="39" t="s">
        <v>1668</v>
      </c>
      <c r="E176" s="39" t="s">
        <v>306</v>
      </c>
      <c r="F176" s="39" t="s">
        <v>1620</v>
      </c>
      <c r="G176" s="51" t="s">
        <v>302</v>
      </c>
      <c r="H176" s="49"/>
    </row>
    <row r="177" customFormat="false" ht="12.8" hidden="false" customHeight="false" outlineLevel="0" collapsed="false">
      <c r="A177" s="39" t="s">
        <v>1669</v>
      </c>
      <c r="B177" s="39" t="s">
        <v>1670</v>
      </c>
      <c r="C177" s="39" t="n">
        <v>0.014</v>
      </c>
      <c r="D177" s="39" t="s">
        <v>1671</v>
      </c>
      <c r="E177" s="39" t="s">
        <v>306</v>
      </c>
      <c r="F177" s="39" t="s">
        <v>1616</v>
      </c>
      <c r="G177" s="51" t="s">
        <v>302</v>
      </c>
      <c r="H177" s="49"/>
    </row>
    <row r="178" customFormat="false" ht="12.8" hidden="false" customHeight="false" outlineLevel="0" collapsed="false">
      <c r="A178" s="39" t="s">
        <v>1672</v>
      </c>
      <c r="B178" s="39" t="s">
        <v>1673</v>
      </c>
      <c r="C178" s="39" t="n">
        <v>0.077</v>
      </c>
      <c r="D178" s="39" t="s">
        <v>1674</v>
      </c>
      <c r="E178" s="39" t="s">
        <v>306</v>
      </c>
      <c r="F178" s="39" t="s">
        <v>1620</v>
      </c>
      <c r="G178" s="51" t="s">
        <v>302</v>
      </c>
      <c r="H178" s="49"/>
    </row>
    <row r="179" customFormat="false" ht="12.8" hidden="false" customHeight="false" outlineLevel="0" collapsed="false">
      <c r="A179" s="39" t="s">
        <v>1675</v>
      </c>
      <c r="B179" s="39" t="s">
        <v>1676</v>
      </c>
      <c r="C179" s="39" t="n">
        <v>0.008</v>
      </c>
      <c r="D179" s="39" t="s">
        <v>1677</v>
      </c>
      <c r="E179" s="39" t="s">
        <v>306</v>
      </c>
      <c r="F179" s="39" t="s">
        <v>1616</v>
      </c>
      <c r="G179" s="51" t="s">
        <v>302</v>
      </c>
      <c r="H179" s="49"/>
    </row>
    <row r="180" customFormat="false" ht="12.8" hidden="false" customHeight="false" outlineLevel="0" collapsed="false">
      <c r="A180" s="39" t="s">
        <v>1678</v>
      </c>
      <c r="B180" s="39" t="s">
        <v>1679</v>
      </c>
      <c r="C180" s="39" t="n">
        <v>0.039</v>
      </c>
      <c r="D180" s="39" t="s">
        <v>1680</v>
      </c>
      <c r="E180" s="39" t="s">
        <v>306</v>
      </c>
      <c r="F180" s="39" t="s">
        <v>1620</v>
      </c>
      <c r="G180" s="51" t="s">
        <v>302</v>
      </c>
      <c r="H180" s="49"/>
    </row>
    <row r="181" customFormat="false" ht="12.8" hidden="false" customHeight="false" outlineLevel="0" collapsed="false">
      <c r="A181" s="39" t="s">
        <v>1681</v>
      </c>
      <c r="B181" s="39" t="s">
        <v>1682</v>
      </c>
      <c r="C181" s="39" t="n">
        <v>0.008</v>
      </c>
      <c r="D181" s="39" t="s">
        <v>1683</v>
      </c>
      <c r="E181" s="39" t="s">
        <v>306</v>
      </c>
      <c r="F181" s="39" t="s">
        <v>1616</v>
      </c>
      <c r="G181" s="51" t="s">
        <v>302</v>
      </c>
      <c r="H181" s="49"/>
    </row>
    <row r="182" customFormat="false" ht="12.8" hidden="false" customHeight="false" outlineLevel="0" collapsed="false">
      <c r="A182" s="39" t="s">
        <v>1684</v>
      </c>
      <c r="B182" s="39" t="s">
        <v>1685</v>
      </c>
      <c r="C182" s="39" t="n">
        <v>0.007</v>
      </c>
      <c r="D182" s="39" t="s">
        <v>1686</v>
      </c>
      <c r="E182" s="39" t="s">
        <v>306</v>
      </c>
      <c r="F182" s="39" t="s">
        <v>1620</v>
      </c>
      <c r="G182" s="51" t="s">
        <v>302</v>
      </c>
      <c r="H182" s="49"/>
    </row>
    <row r="183" customFormat="false" ht="12.8" hidden="false" customHeight="false" outlineLevel="0" collapsed="false">
      <c r="A183" s="39" t="s">
        <v>1687</v>
      </c>
      <c r="B183" s="39" t="s">
        <v>1688</v>
      </c>
      <c r="C183" s="39" t="n">
        <v>0.028</v>
      </c>
      <c r="D183" s="39" t="s">
        <v>1689</v>
      </c>
      <c r="E183" s="39" t="s">
        <v>368</v>
      </c>
      <c r="F183" s="39" t="s">
        <v>1690</v>
      </c>
      <c r="G183" s="51" t="s">
        <v>302</v>
      </c>
      <c r="H183" s="49"/>
    </row>
    <row r="184" customFormat="false" ht="12.8" hidden="false" customHeight="false" outlineLevel="0" collapsed="false">
      <c r="A184" s="39" t="s">
        <v>1691</v>
      </c>
      <c r="B184" s="39" t="s">
        <v>1692</v>
      </c>
      <c r="C184" s="39" t="n">
        <v>0.021</v>
      </c>
      <c r="D184" s="39" t="s">
        <v>1693</v>
      </c>
      <c r="E184" s="39" t="s">
        <v>306</v>
      </c>
      <c r="F184" s="39" t="s">
        <v>1690</v>
      </c>
      <c r="G184" s="51" t="s">
        <v>302</v>
      </c>
      <c r="H184" s="49"/>
    </row>
    <row r="185" customFormat="false" ht="12.8" hidden="false" customHeight="false" outlineLevel="0" collapsed="false">
      <c r="A185" s="39" t="s">
        <v>1694</v>
      </c>
      <c r="B185" s="39" t="s">
        <v>1695</v>
      </c>
      <c r="C185" s="39" t="n">
        <v>0.016</v>
      </c>
      <c r="D185" s="39" t="s">
        <v>1696</v>
      </c>
      <c r="E185" s="39" t="s">
        <v>300</v>
      </c>
      <c r="F185" s="39" t="s">
        <v>1690</v>
      </c>
      <c r="G185" s="51" t="s">
        <v>302</v>
      </c>
      <c r="H185" s="49"/>
    </row>
    <row r="186" customFormat="false" ht="12.8" hidden="false" customHeight="false" outlineLevel="0" collapsed="false">
      <c r="A186" s="39" t="s">
        <v>1697</v>
      </c>
      <c r="B186" s="39" t="s">
        <v>1698</v>
      </c>
      <c r="C186" s="39" t="n">
        <v>0.032</v>
      </c>
      <c r="D186" s="39" t="s">
        <v>1699</v>
      </c>
      <c r="E186" s="39" t="s">
        <v>300</v>
      </c>
      <c r="F186" s="39" t="s">
        <v>1690</v>
      </c>
      <c r="G186" s="51" t="s">
        <v>302</v>
      </c>
      <c r="H186" s="49"/>
    </row>
    <row r="187" customFormat="false" ht="12.8" hidden="false" customHeight="false" outlineLevel="0" collapsed="false">
      <c r="A187" s="39" t="s">
        <v>1700</v>
      </c>
      <c r="B187" s="39" t="s">
        <v>1701</v>
      </c>
      <c r="C187" s="39" t="n">
        <v>0.02</v>
      </c>
      <c r="D187" s="39" t="s">
        <v>1702</v>
      </c>
      <c r="E187" s="39" t="s">
        <v>306</v>
      </c>
      <c r="F187" s="39" t="s">
        <v>1690</v>
      </c>
      <c r="G187" s="51" t="s">
        <v>302</v>
      </c>
      <c r="H187" s="49"/>
    </row>
    <row r="188" customFormat="false" ht="12.8" hidden="false" customHeight="false" outlineLevel="0" collapsed="false">
      <c r="A188" s="39" t="s">
        <v>1703</v>
      </c>
      <c r="B188" s="39" t="s">
        <v>1704</v>
      </c>
      <c r="C188" s="39" t="n">
        <v>0.022</v>
      </c>
      <c r="D188" s="39" t="s">
        <v>1705</v>
      </c>
      <c r="E188" s="39" t="s">
        <v>306</v>
      </c>
      <c r="F188" s="39" t="s">
        <v>1690</v>
      </c>
      <c r="G188" s="51" t="s">
        <v>302</v>
      </c>
      <c r="H188" s="49"/>
    </row>
    <row r="189" customFormat="false" ht="12.8" hidden="false" customHeight="false" outlineLevel="0" collapsed="false">
      <c r="A189" s="39" t="s">
        <v>1706</v>
      </c>
      <c r="B189" s="39" t="s">
        <v>1707</v>
      </c>
      <c r="C189" s="39" t="n">
        <v>0.017</v>
      </c>
      <c r="D189" s="39" t="s">
        <v>1708</v>
      </c>
      <c r="E189" s="39" t="s">
        <v>300</v>
      </c>
      <c r="F189" s="39" t="s">
        <v>1690</v>
      </c>
      <c r="G189" s="51" t="s">
        <v>302</v>
      </c>
      <c r="H189" s="49"/>
    </row>
    <row r="190" customFormat="false" ht="12.8" hidden="false" customHeight="false" outlineLevel="0" collapsed="false">
      <c r="A190" s="39" t="s">
        <v>1709</v>
      </c>
      <c r="B190" s="39" t="s">
        <v>1710</v>
      </c>
      <c r="C190" s="39" t="n">
        <v>0.015</v>
      </c>
      <c r="D190" s="39" t="s">
        <v>1711</v>
      </c>
      <c r="E190" s="39" t="s">
        <v>300</v>
      </c>
      <c r="F190" s="39" t="s">
        <v>1690</v>
      </c>
      <c r="G190" s="51" t="s">
        <v>302</v>
      </c>
      <c r="H190" s="49"/>
    </row>
    <row r="191" customFormat="false" ht="12.8" hidden="false" customHeight="false" outlineLevel="0" collapsed="false">
      <c r="A191" s="39" t="s">
        <v>1712</v>
      </c>
      <c r="B191" s="39" t="s">
        <v>1713</v>
      </c>
      <c r="C191" s="39" t="n">
        <v>0.025</v>
      </c>
      <c r="D191" s="39" t="s">
        <v>1714</v>
      </c>
      <c r="E191" s="39" t="s">
        <v>306</v>
      </c>
      <c r="F191" s="39" t="s">
        <v>1690</v>
      </c>
      <c r="G191" s="51" t="s">
        <v>302</v>
      </c>
      <c r="H191" s="49"/>
    </row>
    <row r="192" customFormat="false" ht="12.8" hidden="false" customHeight="false" outlineLevel="0" collapsed="false">
      <c r="A192" s="39" t="s">
        <v>1715</v>
      </c>
      <c r="B192" s="39" t="s">
        <v>1716</v>
      </c>
      <c r="C192" s="39" t="n">
        <v>0.028</v>
      </c>
      <c r="D192" s="39" t="s">
        <v>1717</v>
      </c>
      <c r="E192" s="39" t="s">
        <v>306</v>
      </c>
      <c r="F192" s="39" t="s">
        <v>1690</v>
      </c>
      <c r="G192" s="51" t="s">
        <v>302</v>
      </c>
      <c r="H192" s="49"/>
    </row>
    <row r="193" customFormat="false" ht="12.8" hidden="false" customHeight="false" outlineLevel="0" collapsed="false">
      <c r="A193" s="39" t="s">
        <v>1718</v>
      </c>
      <c r="B193" s="39" t="s">
        <v>1719</v>
      </c>
      <c r="C193" s="39" t="n">
        <v>0.023</v>
      </c>
      <c r="D193" s="39" t="s">
        <v>1720</v>
      </c>
      <c r="E193" s="39" t="s">
        <v>306</v>
      </c>
      <c r="F193" s="39" t="s">
        <v>1690</v>
      </c>
      <c r="G193" s="51" t="s">
        <v>302</v>
      </c>
      <c r="H193" s="49"/>
    </row>
    <row r="194" customFormat="false" ht="12.8" hidden="false" customHeight="false" outlineLevel="0" collapsed="false">
      <c r="A194" s="39" t="s">
        <v>1721</v>
      </c>
      <c r="B194" s="39" t="s">
        <v>1722</v>
      </c>
      <c r="C194" s="39" t="n">
        <v>0.029</v>
      </c>
      <c r="D194" s="39" t="s">
        <v>1723</v>
      </c>
      <c r="E194" s="39" t="s">
        <v>306</v>
      </c>
      <c r="F194" s="39" t="s">
        <v>1690</v>
      </c>
      <c r="G194" s="51" t="s">
        <v>302</v>
      </c>
      <c r="H194" s="49"/>
    </row>
    <row r="195" customFormat="false" ht="12.8" hidden="false" customHeight="false" outlineLevel="0" collapsed="false">
      <c r="A195" s="39" t="s">
        <v>1724</v>
      </c>
      <c r="B195" s="39" t="s">
        <v>1725</v>
      </c>
      <c r="C195" s="39" t="n">
        <v>0.02</v>
      </c>
      <c r="D195" s="39" t="s">
        <v>1726</v>
      </c>
      <c r="E195" s="39" t="s">
        <v>368</v>
      </c>
      <c r="F195" s="39" t="s">
        <v>1690</v>
      </c>
      <c r="G195" s="51" t="s">
        <v>302</v>
      </c>
      <c r="H195" s="49"/>
    </row>
    <row r="196" customFormat="false" ht="12.8" hidden="false" customHeight="false" outlineLevel="0" collapsed="false">
      <c r="A196" s="39" t="s">
        <v>1727</v>
      </c>
      <c r="B196" s="39" t="s">
        <v>1728</v>
      </c>
      <c r="C196" s="39" t="n">
        <v>0.014</v>
      </c>
      <c r="D196" s="39" t="s">
        <v>1729</v>
      </c>
      <c r="E196" s="39" t="s">
        <v>300</v>
      </c>
      <c r="F196" s="39" t="s">
        <v>1690</v>
      </c>
      <c r="G196" s="51" t="s">
        <v>302</v>
      </c>
      <c r="H196" s="49"/>
    </row>
    <row r="197" customFormat="false" ht="12.8" hidden="false" customHeight="false" outlineLevel="0" collapsed="false">
      <c r="A197" s="39" t="s">
        <v>1730</v>
      </c>
      <c r="B197" s="39" t="s">
        <v>1731</v>
      </c>
      <c r="C197" s="39" t="n">
        <v>0.021</v>
      </c>
      <c r="D197" s="39" t="s">
        <v>1732</v>
      </c>
      <c r="E197" s="39" t="s">
        <v>306</v>
      </c>
      <c r="F197" s="39" t="s">
        <v>1690</v>
      </c>
      <c r="G197" s="51" t="s">
        <v>302</v>
      </c>
      <c r="H197" s="49"/>
    </row>
    <row r="198" customFormat="false" ht="12.8" hidden="false" customHeight="false" outlineLevel="0" collapsed="false">
      <c r="A198" s="39" t="s">
        <v>1733</v>
      </c>
      <c r="B198" s="39" t="s">
        <v>1734</v>
      </c>
      <c r="C198" s="39" t="n">
        <v>0.022</v>
      </c>
      <c r="D198" s="39" t="s">
        <v>1735</v>
      </c>
      <c r="E198" s="39" t="s">
        <v>306</v>
      </c>
      <c r="F198" s="39" t="s">
        <v>1690</v>
      </c>
      <c r="G198" s="51" t="s">
        <v>302</v>
      </c>
      <c r="H198" s="49"/>
    </row>
    <row r="199" customFormat="false" ht="12.8" hidden="false" customHeight="false" outlineLevel="0" collapsed="false">
      <c r="A199" s="39" t="s">
        <v>1736</v>
      </c>
      <c r="B199" s="39" t="s">
        <v>1737</v>
      </c>
      <c r="C199" s="39" t="n">
        <v>0.026</v>
      </c>
      <c r="D199" s="39" t="s">
        <v>1738</v>
      </c>
      <c r="E199" s="39" t="s">
        <v>306</v>
      </c>
      <c r="F199" s="39" t="s">
        <v>1690</v>
      </c>
      <c r="G199" s="51" t="s">
        <v>302</v>
      </c>
      <c r="H199" s="49"/>
    </row>
    <row r="200" customFormat="false" ht="12.8" hidden="false" customHeight="false" outlineLevel="0" collapsed="false">
      <c r="A200" s="39" t="s">
        <v>1739</v>
      </c>
      <c r="B200" s="39" t="s">
        <v>1740</v>
      </c>
      <c r="C200" s="39" t="n">
        <v>0.015</v>
      </c>
      <c r="D200" s="39" t="s">
        <v>1741</v>
      </c>
      <c r="E200" s="39" t="s">
        <v>300</v>
      </c>
      <c r="F200" s="39" t="s">
        <v>1690</v>
      </c>
      <c r="G200" s="51" t="s">
        <v>302</v>
      </c>
      <c r="H200" s="49"/>
    </row>
    <row r="201" customFormat="false" ht="12.8" hidden="false" customHeight="false" outlineLevel="0" collapsed="false">
      <c r="A201" s="39" t="s">
        <v>1742</v>
      </c>
      <c r="B201" s="39" t="s">
        <v>1743</v>
      </c>
      <c r="C201" s="39" t="n">
        <v>0.014</v>
      </c>
      <c r="D201" s="39" t="s">
        <v>1744</v>
      </c>
      <c r="E201" s="39" t="s">
        <v>300</v>
      </c>
      <c r="F201" s="39" t="s">
        <v>1690</v>
      </c>
      <c r="G201" s="51" t="s">
        <v>302</v>
      </c>
      <c r="H201" s="49"/>
    </row>
    <row r="202" customFormat="false" ht="12.8" hidden="false" customHeight="false" outlineLevel="0" collapsed="false">
      <c r="A202" s="39" t="s">
        <v>1745</v>
      </c>
      <c r="B202" s="39" t="s">
        <v>1746</v>
      </c>
      <c r="C202" s="39" t="n">
        <v>0.03</v>
      </c>
      <c r="D202" s="39" t="s">
        <v>1747</v>
      </c>
      <c r="E202" s="39" t="s">
        <v>368</v>
      </c>
      <c r="F202" s="39" t="s">
        <v>1690</v>
      </c>
      <c r="G202" s="51" t="s">
        <v>302</v>
      </c>
      <c r="H202" s="49"/>
    </row>
    <row r="203" customFormat="false" ht="12.8" hidden="false" customHeight="false" outlineLevel="0" collapsed="false">
      <c r="A203" s="39" t="s">
        <v>1748</v>
      </c>
      <c r="B203" s="39" t="s">
        <v>1749</v>
      </c>
      <c r="C203" s="39" t="n">
        <v>0.033</v>
      </c>
      <c r="D203" s="39" t="s">
        <v>1750</v>
      </c>
      <c r="E203" s="39" t="s">
        <v>368</v>
      </c>
      <c r="F203" s="39" t="s">
        <v>1690</v>
      </c>
      <c r="G203" s="51" t="s">
        <v>302</v>
      </c>
      <c r="H203" s="49"/>
    </row>
    <row r="204" customFormat="false" ht="12.8" hidden="false" customHeight="false" outlineLevel="0" collapsed="false">
      <c r="A204" s="39" t="s">
        <v>1751</v>
      </c>
      <c r="B204" s="39" t="s">
        <v>1752</v>
      </c>
      <c r="C204" s="39" t="n">
        <v>0.027</v>
      </c>
      <c r="D204" s="39" t="s">
        <v>1753</v>
      </c>
      <c r="E204" s="39" t="s">
        <v>368</v>
      </c>
      <c r="F204" s="39" t="s">
        <v>1690</v>
      </c>
      <c r="G204" s="51" t="s">
        <v>302</v>
      </c>
      <c r="H204" s="49"/>
    </row>
    <row r="205" customFormat="false" ht="12.8" hidden="false" customHeight="false" outlineLevel="0" collapsed="false">
      <c r="A205" s="39" t="s">
        <v>1754</v>
      </c>
      <c r="B205" s="39" t="s">
        <v>1755</v>
      </c>
      <c r="C205" s="39" t="n">
        <v>0.011</v>
      </c>
      <c r="D205" s="39" t="s">
        <v>1756</v>
      </c>
      <c r="E205" s="39" t="s">
        <v>300</v>
      </c>
      <c r="F205" s="39" t="s">
        <v>1690</v>
      </c>
      <c r="G205" s="51" t="s">
        <v>302</v>
      </c>
      <c r="H205" s="49"/>
    </row>
    <row r="206" customFormat="false" ht="12.8" hidden="false" customHeight="false" outlineLevel="0" collapsed="false">
      <c r="A206" s="39"/>
      <c r="B206" s="39"/>
      <c r="C206" s="39"/>
      <c r="D206" s="39"/>
      <c r="E206" s="39"/>
      <c r="F206" s="39"/>
      <c r="G206" s="39"/>
      <c r="H206" s="49"/>
    </row>
    <row r="207" customFormat="false" ht="12.8" hidden="false" customHeight="false" outlineLevel="0" collapsed="false">
      <c r="A207" s="60" t="str">
        <f aca="false">_xlfn.CONCAT($A$1, ".", "VALID")</f>
        <v>LSD.RID.0.AL.LFP.VALID</v>
      </c>
      <c r="B207" s="61" t="str">
        <f aca="false">_xlfn.CONCAT($B$1, " ", "Validation")</f>
        <v>Alabama Labor Force Population Validation</v>
      </c>
      <c r="C207" s="61"/>
    </row>
    <row r="208" customFormat="false" ht="12.8" hidden="false" customHeight="false" outlineLevel="0" collapsed="false">
      <c r="A208" s="49" t="s">
        <v>113</v>
      </c>
      <c r="B208" s="49" t="s">
        <v>1757</v>
      </c>
      <c r="C208" s="49" t="s">
        <v>1758</v>
      </c>
      <c r="D208" s="49" t="s">
        <v>1759</v>
      </c>
      <c r="E208" s="49" t="s">
        <v>295</v>
      </c>
      <c r="F208" s="49" t="s">
        <v>1760</v>
      </c>
      <c r="G208" s="49" t="s">
        <v>1761</v>
      </c>
      <c r="H208" s="49" t="s">
        <v>1761</v>
      </c>
    </row>
    <row r="209" customFormat="false" ht="12.8" hidden="false" customHeight="false" outlineLevel="0" collapsed="false">
      <c r="A209" s="39" t="s">
        <v>1762</v>
      </c>
      <c r="B209" s="39" t="s">
        <v>1763</v>
      </c>
      <c r="C209" s="39" t="n">
        <v>2385000</v>
      </c>
      <c r="D209" s="39" t="n">
        <v>2385000</v>
      </c>
      <c r="E209" s="39" t="s">
        <v>1764</v>
      </c>
      <c r="F209" s="39" t="s">
        <v>300</v>
      </c>
      <c r="G209" s="39" t="s">
        <v>1765</v>
      </c>
      <c r="H209" s="39" t="s">
        <v>1766</v>
      </c>
    </row>
    <row r="210" customFormat="false" ht="12.8" hidden="false" customHeight="false" outlineLevel="0" collapsed="false">
      <c r="A210" s="39" t="s">
        <v>1767</v>
      </c>
      <c r="B210" s="39" t="s">
        <v>1768</v>
      </c>
      <c r="C210" s="39" t="n">
        <v>62388</v>
      </c>
      <c r="D210" s="39" t="s">
        <v>1769</v>
      </c>
      <c r="E210" s="39" t="s">
        <v>1770</v>
      </c>
      <c r="F210" s="39" t="s">
        <v>300</v>
      </c>
      <c r="G210" s="39" t="s">
        <v>1771</v>
      </c>
      <c r="H210" s="39" t="s">
        <v>1772</v>
      </c>
    </row>
    <row r="211" customFormat="false" ht="12.8" hidden="false" customHeight="false" outlineLevel="0" collapsed="false">
      <c r="A211" s="39" t="s">
        <v>1773</v>
      </c>
      <c r="B211" s="39" t="s">
        <v>1774</v>
      </c>
      <c r="C211" s="39" t="s">
        <v>1775</v>
      </c>
      <c r="D211" s="39" t="s">
        <v>1776</v>
      </c>
      <c r="E211" s="39" t="s">
        <v>1777</v>
      </c>
      <c r="F211" s="39" t="s">
        <v>300</v>
      </c>
      <c r="G211" s="39" t="s">
        <v>1778</v>
      </c>
      <c r="H211" s="39" t="s">
        <v>1779</v>
      </c>
    </row>
    <row r="212" customFormat="false" ht="12.8" hidden="false" customHeight="false" outlineLevel="0" collapsed="false">
      <c r="A212" s="39" t="s">
        <v>1780</v>
      </c>
      <c r="B212" s="39" t="s">
        <v>1781</v>
      </c>
      <c r="C212" s="39" t="n">
        <v>2270612</v>
      </c>
      <c r="D212" s="39" t="s">
        <v>1782</v>
      </c>
      <c r="E212" s="39" t="s">
        <v>1783</v>
      </c>
      <c r="F212" s="39" t="s">
        <v>300</v>
      </c>
      <c r="G212" s="39" t="s">
        <v>1784</v>
      </c>
      <c r="H212" s="39" t="s">
        <v>1785</v>
      </c>
    </row>
    <row r="213" customFormat="false" ht="12.8" hidden="false" customHeight="false" outlineLevel="0" collapsed="false">
      <c r="A213" s="39" t="s">
        <v>1786</v>
      </c>
      <c r="B213" s="39" t="s">
        <v>1787</v>
      </c>
      <c r="C213" s="39" t="s">
        <v>1788</v>
      </c>
      <c r="D213" s="39" t="s">
        <v>1789</v>
      </c>
      <c r="E213" s="39" t="s">
        <v>1790</v>
      </c>
      <c r="F213" s="39" t="s">
        <v>300</v>
      </c>
      <c r="G213" s="39" t="s">
        <v>1791</v>
      </c>
      <c r="H213" s="39" t="s">
        <v>1792</v>
      </c>
    </row>
    <row r="214" customFormat="false" ht="12.8" hidden="false" customHeight="false" outlineLevel="0" collapsed="false">
      <c r="A214" s="39" t="s">
        <v>1793</v>
      </c>
      <c r="B214" s="39" t="s">
        <v>1794</v>
      </c>
      <c r="C214" s="39" t="s">
        <v>1795</v>
      </c>
      <c r="D214" s="39" t="s">
        <v>1796</v>
      </c>
      <c r="E214" s="39" t="s">
        <v>1797</v>
      </c>
      <c r="F214" s="39" t="s">
        <v>300</v>
      </c>
      <c r="G214" s="39" t="s">
        <v>1798</v>
      </c>
      <c r="H214" s="39" t="s">
        <v>1799</v>
      </c>
    </row>
    <row r="215" customFormat="false" ht="12.8" hidden="false" customHeight="false" outlineLevel="0" collapsed="false">
      <c r="A215" s="39" t="s">
        <v>1800</v>
      </c>
      <c r="B215" s="39" t="s">
        <v>1801</v>
      </c>
      <c r="C215" s="39" t="s">
        <v>1802</v>
      </c>
      <c r="D215" s="39" t="s">
        <v>1803</v>
      </c>
      <c r="E215" s="39" t="s">
        <v>1804</v>
      </c>
      <c r="F215" s="39" t="s">
        <v>300</v>
      </c>
      <c r="G215" s="39" t="s">
        <v>1805</v>
      </c>
      <c r="H215" s="39" t="s">
        <v>1806</v>
      </c>
    </row>
    <row r="216" customFormat="false" ht="12.8" hidden="false" customHeight="false" outlineLevel="0" collapsed="false">
      <c r="A216" s="39" t="s">
        <v>1807</v>
      </c>
      <c r="B216" s="39" t="s">
        <v>1808</v>
      </c>
      <c r="C216" s="39" t="s">
        <v>1809</v>
      </c>
      <c r="D216" s="39" t="n">
        <v>2385000</v>
      </c>
      <c r="E216" s="39" t="s">
        <v>1810</v>
      </c>
      <c r="F216" s="39" t="s">
        <v>300</v>
      </c>
      <c r="G216" s="39" t="s">
        <v>1811</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Q199"/>
  <sheetViews>
    <sheetView showFormulas="false" showGridLines="true" showRowColHeaders="true" showZeros="true" rightToLeft="false" tabSelected="false" showOutlineSymbols="true" defaultGridColor="true" view="normal" topLeftCell="A155" colorId="64" zoomScale="75" zoomScaleNormal="75" zoomScalePageLayoutView="100" workbookViewId="0">
      <selection pane="topLeft" activeCell="A190" activeCellId="0" sqref="A190"/>
    </sheetView>
  </sheetViews>
  <sheetFormatPr defaultColWidth="11.53515625" defaultRowHeight="12.8" customHeight="false" zeroHeight="false" outlineLevelRow="0" outlineLevelCol="0"/>
  <cols>
    <col collapsed="false" customWidth="true" hidden="false" outlineLevel="0" max="1" min="1" style="57" width="27.68"/>
    <col collapsed="false" customWidth="true" hidden="false" outlineLevel="0" max="2" min="2" style="58" width="29.97"/>
    <col collapsed="false" customWidth="true" hidden="false" outlineLevel="0" max="3" min="3" style="58" width="16.84"/>
    <col collapsed="false" customWidth="true" hidden="false" outlineLevel="0" max="35" min="4" style="59" width="16.84"/>
    <col collapsed="false" customWidth="true" hidden="false" outlineLevel="0" max="49" min="36" style="59" width="17.78"/>
    <col collapsed="false" customWidth="true" hidden="false" outlineLevel="0" max="52" min="50" style="59" width="15.48"/>
    <col collapsed="false" customWidth="false" hidden="false" outlineLevel="0" max="56" min="53" style="59" width="11.53"/>
    <col collapsed="false" customWidth="true" hidden="false" outlineLevel="0" max="57" min="57" style="59" width="18.45"/>
    <col collapsed="false" customWidth="true" hidden="false" outlineLevel="0" max="60" min="58" style="59" width="16.14"/>
    <col collapsed="false" customWidth="true" hidden="false" outlineLevel="0" max="68" min="61" style="59" width="13.84"/>
    <col collapsed="false" customWidth="false" hidden="false" outlineLevel="0" max="69" min="69" style="59" width="11.53"/>
    <col collapsed="false" customWidth="false" hidden="false" outlineLevel="0" max="16384" min="70" style="3" width="11.53"/>
  </cols>
  <sheetData>
    <row r="1" customFormat="false" ht="12.8" hidden="false" customHeight="false" outlineLevel="0" collapsed="false">
      <c r="A1" s="60" t="s">
        <v>1812</v>
      </c>
      <c r="B1" s="61" t="s">
        <v>1512</v>
      </c>
      <c r="C1" s="52" t="s">
        <v>2</v>
      </c>
      <c r="D1" s="62" t="s">
        <v>1513</v>
      </c>
      <c r="BG1" s="3"/>
      <c r="BH1" s="3"/>
      <c r="BI1" s="3"/>
      <c r="BJ1" s="3"/>
      <c r="BK1" s="3"/>
      <c r="BL1" s="3"/>
      <c r="BM1" s="3"/>
      <c r="BN1" s="3"/>
      <c r="BO1" s="3"/>
      <c r="BP1" s="3"/>
      <c r="BQ1" s="3"/>
    </row>
    <row r="2" customFormat="false" ht="12.8" hidden="false" customHeight="false" outlineLevel="0" collapsed="false">
      <c r="A2" s="60" t="str">
        <f aca="false">_xlfn.CONCAT($A$1, ".", "CALC")</f>
        <v>LSD.RID.0.AL.TNPE.CALC</v>
      </c>
      <c r="B2" s="61" t="str">
        <f aca="false">_xlfn.CONCAT($B$1, " ", "Calculations")</f>
        <v>Alabama Labor Force Population Calculations</v>
      </c>
      <c r="C2" s="52" t="str">
        <f aca="false">CALC!H2</f>
        <v>Total Nonfarm Payroll Employment (TNPE)</v>
      </c>
      <c r="D2" s="52"/>
      <c r="E2" s="52"/>
      <c r="F2" s="52"/>
      <c r="BG2" s="3"/>
      <c r="BH2" s="3"/>
      <c r="BI2" s="3"/>
      <c r="BJ2" s="3"/>
      <c r="BK2" s="3"/>
      <c r="BL2" s="3"/>
      <c r="BM2" s="3"/>
      <c r="BN2" s="3"/>
      <c r="BO2" s="3"/>
      <c r="BP2" s="3"/>
      <c r="BQ2" s="3"/>
    </row>
    <row r="3" customFormat="false" ht="12.8" hidden="false" customHeight="false" outlineLevel="0" collapsed="false">
      <c r="A3" s="60" t="str">
        <f aca="false">CALC!A3</f>
        <v>LSID</v>
      </c>
      <c r="B3" s="42" t="str">
        <f aca="false">CALC!C3</f>
        <v>Labor Sector</v>
      </c>
      <c r="C3" s="54" t="str">
        <f aca="false">CALC!H3</f>
        <v>Overall TNPE</v>
      </c>
      <c r="D3" s="54" t="str">
        <f aca="false">CALC!I3</f>
        <v>Authorized TNPE</v>
      </c>
      <c r="E3" s="54" t="str">
        <f aca="false">CALC!J3</f>
        <v>Unauthorized TNPE</v>
      </c>
      <c r="F3" s="54" t="str">
        <f aca="false">CALC!K3</f>
        <v>American TNPE</v>
      </c>
      <c r="H3" s="65"/>
      <c r="I3" s="65"/>
      <c r="J3" s="65"/>
      <c r="K3" s="65"/>
      <c r="L3" s="65"/>
      <c r="M3" s="65"/>
      <c r="N3" s="65"/>
      <c r="O3" s="49"/>
      <c r="BA3" s="3"/>
      <c r="BB3" s="3"/>
      <c r="BC3" s="3"/>
      <c r="BD3" s="3"/>
      <c r="BE3" s="3"/>
      <c r="BF3" s="3"/>
      <c r="BG3" s="3"/>
      <c r="BH3" s="3"/>
      <c r="BI3" s="3"/>
      <c r="BJ3" s="3"/>
      <c r="BK3" s="3"/>
      <c r="BL3" s="3"/>
      <c r="BM3" s="3"/>
      <c r="BN3" s="3"/>
      <c r="BO3" s="3"/>
      <c r="BP3" s="3"/>
      <c r="BQ3" s="3"/>
    </row>
    <row r="4" customFormat="false" ht="12.8" hidden="false" customHeight="false" outlineLevel="0" collapsed="false">
      <c r="A4" s="60" t="str">
        <f aca="false">_xlfn.CONCAT($A$1, ".", CALC!A4)</f>
        <v>LSD.RID.0.AL.TNPE.0</v>
      </c>
      <c r="B4" s="42" t="str">
        <f aca="false">CALC!C4</f>
        <v>All Industries</v>
      </c>
      <c r="C4" s="39" t="n">
        <v>2211200</v>
      </c>
      <c r="D4" s="39" t="n">
        <v>81814</v>
      </c>
      <c r="E4" s="39" t="n">
        <v>48646</v>
      </c>
      <c r="F4" s="39" t="n">
        <v>2080740</v>
      </c>
      <c r="G4" s="40"/>
      <c r="H4" s="40"/>
      <c r="I4" s="40"/>
      <c r="J4" s="40"/>
      <c r="K4" s="40"/>
      <c r="L4" s="40"/>
      <c r="M4" s="40"/>
      <c r="N4" s="40"/>
      <c r="O4" s="39"/>
      <c r="BA4" s="3"/>
      <c r="BB4" s="3"/>
      <c r="BC4" s="3"/>
      <c r="BD4" s="3"/>
      <c r="BE4" s="3"/>
      <c r="BF4" s="3"/>
      <c r="BG4" s="3"/>
      <c r="BH4" s="3"/>
      <c r="BI4" s="3"/>
      <c r="BJ4" s="3"/>
      <c r="BK4" s="3"/>
      <c r="BL4" s="3"/>
      <c r="BM4" s="3"/>
      <c r="BN4" s="3"/>
      <c r="BO4" s="3"/>
      <c r="BP4" s="3"/>
      <c r="BQ4" s="3"/>
    </row>
    <row r="5" customFormat="false" ht="23.85" hidden="false" customHeight="false" outlineLevel="0" collapsed="false">
      <c r="A5" s="60" t="str">
        <f aca="false">_xlfn.CONCAT($A$1, ".", CALC!A5)</f>
        <v>LSD.RID.0.AL.TNPE.1</v>
      </c>
      <c r="B5" s="63" t="str">
        <f aca="false">CALC!C5</f>
        <v>Agriculture, Forestry, 
Fishing and Hunting</v>
      </c>
      <c r="C5" s="39" t="n">
        <v>33500</v>
      </c>
      <c r="D5" s="39" t="n">
        <v>1240</v>
      </c>
      <c r="E5" s="39" t="n">
        <v>884</v>
      </c>
      <c r="F5" s="39" t="n">
        <v>31376</v>
      </c>
      <c r="G5" s="40"/>
      <c r="H5" s="40"/>
      <c r="I5" s="40"/>
      <c r="J5" s="40"/>
      <c r="K5" s="40"/>
      <c r="L5" s="40"/>
      <c r="M5" s="40"/>
      <c r="N5" s="40"/>
      <c r="O5" s="39"/>
      <c r="BA5" s="3"/>
      <c r="BB5" s="3"/>
      <c r="BC5" s="3"/>
      <c r="BD5" s="3"/>
      <c r="BE5" s="3"/>
      <c r="BF5" s="3"/>
      <c r="BG5" s="3"/>
      <c r="BH5" s="3"/>
      <c r="BI5" s="3"/>
      <c r="BJ5" s="3"/>
      <c r="BK5" s="3"/>
      <c r="BL5" s="3"/>
      <c r="BM5" s="3"/>
      <c r="BN5" s="3"/>
      <c r="BO5" s="3"/>
      <c r="BP5" s="3"/>
      <c r="BQ5" s="3"/>
    </row>
    <row r="6" customFormat="false" ht="23.85" hidden="false" customHeight="false" outlineLevel="0" collapsed="false">
      <c r="A6" s="60" t="str">
        <f aca="false">_xlfn.CONCAT($A$1, ".", CALC!A6)</f>
        <v>LSD.RID.0.AL.TNPE.2</v>
      </c>
      <c r="B6" s="63" t="str">
        <f aca="false">CALC!C6</f>
        <v>Mining, Quarrying, and
Oil and Gas Extraction</v>
      </c>
      <c r="C6" s="39" t="n">
        <v>4800</v>
      </c>
      <c r="D6" s="39" t="n">
        <v>178</v>
      </c>
      <c r="E6" s="39" t="n">
        <v>106</v>
      </c>
      <c r="F6" s="39" t="n">
        <v>4516</v>
      </c>
      <c r="G6" s="40"/>
      <c r="H6" s="40"/>
      <c r="I6" s="40"/>
      <c r="J6" s="40"/>
      <c r="K6" s="40"/>
      <c r="L6" s="40"/>
      <c r="M6" s="40"/>
      <c r="N6" s="40"/>
      <c r="O6" s="39"/>
      <c r="BA6" s="3"/>
      <c r="BB6" s="3"/>
      <c r="BC6" s="3"/>
      <c r="BD6" s="3"/>
      <c r="BE6" s="3"/>
      <c r="BF6" s="3"/>
      <c r="BG6" s="3"/>
      <c r="BH6" s="3"/>
      <c r="BI6" s="3"/>
      <c r="BJ6" s="3"/>
      <c r="BK6" s="3"/>
      <c r="BL6" s="3"/>
      <c r="BM6" s="3"/>
      <c r="BN6" s="3"/>
      <c r="BO6" s="3"/>
      <c r="BP6" s="3"/>
      <c r="BQ6" s="3"/>
    </row>
    <row r="7" customFormat="false" ht="12.8" hidden="false" customHeight="false" outlineLevel="0" collapsed="false">
      <c r="A7" s="60" t="str">
        <f aca="false">_xlfn.CONCAT($A$1, ".", CALC!A7)</f>
        <v>LSD.RID.0.AL.TNPE.3</v>
      </c>
      <c r="B7" s="42" t="str">
        <f aca="false">CALC!C7</f>
        <v>Utilities</v>
      </c>
      <c r="C7" s="39" t="n">
        <v>7100</v>
      </c>
      <c r="D7" s="39" t="n">
        <v>263</v>
      </c>
      <c r="E7" s="39" t="n">
        <v>156</v>
      </c>
      <c r="F7" s="39" t="n">
        <v>6681</v>
      </c>
      <c r="G7" s="40"/>
      <c r="H7" s="40"/>
      <c r="I7" s="40"/>
      <c r="J7" s="40"/>
      <c r="K7" s="40"/>
      <c r="L7" s="40"/>
      <c r="M7" s="40"/>
      <c r="N7" s="40"/>
      <c r="O7" s="39"/>
      <c r="BA7" s="3"/>
      <c r="BB7" s="3"/>
      <c r="BC7" s="3"/>
      <c r="BD7" s="3"/>
      <c r="BE7" s="3"/>
      <c r="BF7" s="3"/>
      <c r="BG7" s="3"/>
      <c r="BH7" s="3"/>
      <c r="BI7" s="3"/>
      <c r="BJ7" s="3"/>
      <c r="BK7" s="3"/>
      <c r="BL7" s="3"/>
      <c r="BM7" s="3"/>
      <c r="BN7" s="3"/>
      <c r="BO7" s="3"/>
      <c r="BP7" s="3"/>
      <c r="BQ7" s="3"/>
    </row>
    <row r="8" customFormat="false" ht="12.8" hidden="false" customHeight="false" outlineLevel="0" collapsed="false">
      <c r="A8" s="60" t="str">
        <f aca="false">_xlfn.CONCAT($A$1, ".", CALC!A8)</f>
        <v>LSD.RID.0.AL.TNPE.4</v>
      </c>
      <c r="B8" s="42" t="str">
        <f aca="false">CALC!C8</f>
        <v>Construction</v>
      </c>
      <c r="C8" s="39" t="n">
        <v>56600</v>
      </c>
      <c r="D8" s="39" t="n">
        <v>2094</v>
      </c>
      <c r="E8" s="39" t="n">
        <v>1681</v>
      </c>
      <c r="F8" s="39" t="n">
        <v>52825</v>
      </c>
      <c r="G8" s="40"/>
      <c r="H8" s="40"/>
      <c r="I8" s="40"/>
      <c r="J8" s="40"/>
      <c r="K8" s="40"/>
      <c r="L8" s="40"/>
      <c r="M8" s="40"/>
      <c r="N8" s="40"/>
      <c r="O8" s="39"/>
      <c r="BA8" s="3"/>
      <c r="BB8" s="3"/>
      <c r="BC8" s="3"/>
      <c r="BD8" s="3"/>
      <c r="BE8" s="3"/>
      <c r="BF8" s="3"/>
      <c r="BG8" s="3"/>
      <c r="BH8" s="3"/>
      <c r="BI8" s="3"/>
      <c r="BJ8" s="3"/>
      <c r="BK8" s="3"/>
      <c r="BL8" s="3"/>
      <c r="BM8" s="3"/>
      <c r="BN8" s="3"/>
      <c r="BO8" s="3"/>
      <c r="BP8" s="3"/>
      <c r="BQ8" s="3"/>
    </row>
    <row r="9" customFormat="false" ht="23.85" hidden="false" customHeight="false" outlineLevel="0" collapsed="false">
      <c r="A9" s="60" t="str">
        <f aca="false">_xlfn.CONCAT($A$1, ".", CALC!A9)</f>
        <v>LSD.RID.0.AL.TNPE.5</v>
      </c>
      <c r="B9" s="63" t="str">
        <f aca="false">CALC!C9</f>
        <v>Manufacturing
(Food,Textile, etc.)</v>
      </c>
      <c r="C9" s="39" t="n">
        <v>46200</v>
      </c>
      <c r="D9" s="39" t="n">
        <v>1709</v>
      </c>
      <c r="E9" s="39" t="n">
        <v>1016</v>
      </c>
      <c r="F9" s="39" t="n">
        <v>43475</v>
      </c>
      <c r="G9" s="40"/>
      <c r="H9" s="40"/>
      <c r="I9" s="40"/>
      <c r="J9" s="40"/>
      <c r="K9" s="40"/>
      <c r="L9" s="40"/>
      <c r="M9" s="40"/>
      <c r="N9" s="40"/>
      <c r="O9" s="39"/>
      <c r="BA9" s="3"/>
      <c r="BB9" s="3"/>
      <c r="BC9" s="3"/>
      <c r="BD9" s="3"/>
      <c r="BE9" s="3"/>
      <c r="BF9" s="3"/>
      <c r="BG9" s="3"/>
      <c r="BH9" s="3"/>
      <c r="BI9" s="3"/>
      <c r="BJ9" s="3"/>
      <c r="BK9" s="3"/>
      <c r="BL9" s="3"/>
      <c r="BM9" s="3"/>
      <c r="BN9" s="3"/>
      <c r="BO9" s="3"/>
      <c r="BP9" s="3"/>
      <c r="BQ9" s="3"/>
    </row>
    <row r="10" customFormat="false" ht="23.85" hidden="false" customHeight="false" outlineLevel="0" collapsed="false">
      <c r="A10" s="60" t="str">
        <f aca="false">_xlfn.CONCAT($A$1, ".", CALC!A10)</f>
        <v>LSD.RID.0.AL.TNPE.6</v>
      </c>
      <c r="B10" s="63" t="str">
        <f aca="false">CALC!C10</f>
        <v>Manufacturing (Wood,
Paper, Printing, etc.)</v>
      </c>
      <c r="C10" s="39" t="n">
        <v>47600</v>
      </c>
      <c r="D10" s="39" t="n">
        <v>1761</v>
      </c>
      <c r="E10" s="39" t="n">
        <v>1047</v>
      </c>
      <c r="F10" s="39" t="n">
        <v>44792</v>
      </c>
      <c r="G10" s="40"/>
      <c r="H10" s="40"/>
      <c r="I10" s="40"/>
      <c r="J10" s="40"/>
      <c r="K10" s="40"/>
      <c r="L10" s="40"/>
      <c r="M10" s="40"/>
      <c r="N10" s="40"/>
      <c r="O10" s="39"/>
      <c r="BA10" s="3"/>
      <c r="BB10" s="3"/>
      <c r="BC10" s="3"/>
      <c r="BD10" s="3"/>
      <c r="BE10" s="3"/>
      <c r="BF10" s="3"/>
      <c r="BG10" s="3"/>
      <c r="BH10" s="3"/>
      <c r="BI10" s="3"/>
      <c r="BJ10" s="3"/>
      <c r="BK10" s="3"/>
      <c r="BL10" s="3"/>
      <c r="BM10" s="3"/>
      <c r="BN10" s="3"/>
      <c r="BO10" s="3"/>
      <c r="BP10" s="3"/>
      <c r="BQ10" s="3"/>
    </row>
    <row r="11" customFormat="false" ht="23.85" hidden="false" customHeight="false" outlineLevel="0" collapsed="false">
      <c r="A11" s="60" t="str">
        <f aca="false">_xlfn.CONCAT($A$1, ".", CALC!A11)</f>
        <v>LSD.RID.0.AL.TNPE.7</v>
      </c>
      <c r="B11" s="63" t="str">
        <f aca="false">CALC!C11</f>
        <v>Manufacturing
(Machinery, Transport)</v>
      </c>
      <c r="C11" s="39" t="n">
        <v>50200</v>
      </c>
      <c r="D11" s="39" t="n">
        <v>1857</v>
      </c>
      <c r="E11" s="39" t="n">
        <v>1104</v>
      </c>
      <c r="F11" s="39" t="n">
        <v>47239</v>
      </c>
      <c r="G11" s="40"/>
      <c r="H11" s="40"/>
      <c r="I11" s="40"/>
      <c r="J11" s="40"/>
      <c r="K11" s="40"/>
      <c r="L11" s="40"/>
      <c r="M11" s="40"/>
      <c r="N11" s="40"/>
      <c r="O11" s="39"/>
      <c r="BA11" s="3"/>
      <c r="BB11" s="3"/>
      <c r="BC11" s="3"/>
      <c r="BD11" s="3"/>
      <c r="BE11" s="3"/>
      <c r="BF11" s="3"/>
      <c r="BG11" s="3"/>
      <c r="BH11" s="3"/>
      <c r="BI11" s="3"/>
      <c r="BJ11" s="3"/>
      <c r="BK11" s="3"/>
      <c r="BL11" s="3"/>
      <c r="BM11" s="3"/>
      <c r="BN11" s="3"/>
      <c r="BO11" s="3"/>
      <c r="BP11" s="3"/>
      <c r="BQ11" s="3"/>
    </row>
    <row r="12" customFormat="false" ht="12.9" hidden="false" customHeight="false" outlineLevel="0" collapsed="false">
      <c r="A12" s="60" t="str">
        <f aca="false">_xlfn.CONCAT($A$1, ".", CALC!A12)</f>
        <v>LSD.RID.0.AL.TNPE.8</v>
      </c>
      <c r="B12" s="42" t="str">
        <f aca="false">CALC!C12</f>
        <v>Wholesale Trade</v>
      </c>
      <c r="C12" s="39" t="n">
        <v>20400</v>
      </c>
      <c r="D12" s="39" t="n">
        <v>755</v>
      </c>
      <c r="E12" s="39" t="n">
        <v>449</v>
      </c>
      <c r="F12" s="39" t="n">
        <v>19196</v>
      </c>
      <c r="G12" s="40"/>
      <c r="H12" s="40"/>
      <c r="I12" s="40"/>
      <c r="J12" s="40"/>
      <c r="K12" s="40"/>
      <c r="L12" s="40"/>
      <c r="M12" s="40"/>
      <c r="N12" s="40"/>
      <c r="O12" s="39"/>
      <c r="BA12" s="3"/>
      <c r="BB12" s="3"/>
      <c r="BC12" s="3"/>
      <c r="BD12" s="3"/>
      <c r="BE12" s="3"/>
      <c r="BF12" s="3"/>
      <c r="BG12" s="3"/>
      <c r="BH12" s="3"/>
      <c r="BI12" s="3"/>
      <c r="BJ12" s="3"/>
      <c r="BK12" s="3"/>
      <c r="BL12" s="3"/>
      <c r="BM12" s="3"/>
      <c r="BN12" s="3"/>
      <c r="BO12" s="3"/>
      <c r="BP12" s="3"/>
      <c r="BQ12" s="3"/>
    </row>
    <row r="13" customFormat="false" ht="23.85" hidden="false" customHeight="false" outlineLevel="0" collapsed="false">
      <c r="A13" s="60" t="str">
        <f aca="false">_xlfn.CONCAT($A$1, ".", CALC!A13)</f>
        <v>LSD.RID.0.AL.TNPE.9</v>
      </c>
      <c r="B13" s="63" t="str">
        <f aca="false">CALC!C13</f>
        <v>Retail Trade (Motor
Vehicle, Electronics)</v>
      </c>
      <c r="C13" s="39" t="n">
        <v>32500</v>
      </c>
      <c r="D13" s="39" t="n">
        <v>1202</v>
      </c>
      <c r="E13" s="39" t="n">
        <v>715</v>
      </c>
      <c r="F13" s="39" t="n">
        <v>30583</v>
      </c>
      <c r="G13" s="40"/>
      <c r="H13" s="40"/>
      <c r="I13" s="40"/>
      <c r="J13" s="40"/>
      <c r="K13" s="40"/>
      <c r="L13" s="40"/>
      <c r="M13" s="40"/>
      <c r="N13" s="40"/>
      <c r="O13" s="39"/>
      <c r="BA13" s="3"/>
      <c r="BB13" s="3"/>
      <c r="BC13" s="3"/>
      <c r="BD13" s="3"/>
      <c r="BE13" s="3"/>
      <c r="BF13" s="3"/>
      <c r="BG13" s="3"/>
      <c r="BH13" s="3"/>
      <c r="BI13" s="3"/>
      <c r="BJ13" s="3"/>
      <c r="BK13" s="3"/>
      <c r="BL13" s="3"/>
      <c r="BM13" s="3"/>
      <c r="BN13" s="3"/>
      <c r="BO13" s="3"/>
      <c r="BP13" s="3"/>
      <c r="BQ13" s="3"/>
    </row>
    <row r="14" customFormat="false" ht="23.85" hidden="false" customHeight="false" outlineLevel="0" collapsed="false">
      <c r="A14" s="60" t="str">
        <f aca="false">_xlfn.CONCAT($A$1, ".", CALC!A14)</f>
        <v>LSD.RID.0.AL.TNPE.10</v>
      </c>
      <c r="B14" s="63" t="str">
        <f aca="false">CALC!C14</f>
        <v>Retail Trade (Food, Clothing,
General Merchandise, etc.)</v>
      </c>
      <c r="C14" s="39" t="n">
        <v>75100</v>
      </c>
      <c r="D14" s="39" t="n">
        <v>2779</v>
      </c>
      <c r="E14" s="39" t="n">
        <v>1652</v>
      </c>
      <c r="F14" s="39" t="n">
        <v>70669</v>
      </c>
      <c r="G14" s="40"/>
      <c r="H14" s="40"/>
      <c r="I14" s="40"/>
      <c r="J14" s="40"/>
      <c r="K14" s="40"/>
      <c r="L14" s="40"/>
      <c r="M14" s="40"/>
      <c r="N14" s="40"/>
      <c r="O14" s="39"/>
      <c r="BA14" s="3"/>
      <c r="BB14" s="3"/>
      <c r="BC14" s="3"/>
      <c r="BD14" s="3"/>
      <c r="BE14" s="3"/>
      <c r="BF14" s="3"/>
      <c r="BG14" s="3"/>
      <c r="BH14" s="3"/>
      <c r="BI14" s="3"/>
      <c r="BJ14" s="3"/>
      <c r="BK14" s="3"/>
      <c r="BL14" s="3"/>
      <c r="BM14" s="3"/>
      <c r="BN14" s="3"/>
      <c r="BO14" s="3"/>
      <c r="BP14" s="3"/>
      <c r="BQ14" s="3"/>
    </row>
    <row r="15" customFormat="false" ht="12.8" hidden="false" customHeight="false" outlineLevel="0" collapsed="false">
      <c r="A15" s="60" t="str">
        <f aca="false">_xlfn.CONCAT($A$1, ".", CALC!A15)</f>
        <v>LSD.RID.0.AL.TNPE.11</v>
      </c>
      <c r="B15" s="42" t="str">
        <f aca="false">CALC!C15</f>
        <v>Transportation</v>
      </c>
      <c r="C15" s="39" t="n">
        <v>32500</v>
      </c>
      <c r="D15" s="39" t="n">
        <v>1202</v>
      </c>
      <c r="E15" s="39" t="n">
        <v>715</v>
      </c>
      <c r="F15" s="39" t="n">
        <v>30583</v>
      </c>
      <c r="G15" s="40"/>
      <c r="H15" s="40"/>
      <c r="I15" s="40"/>
      <c r="J15" s="40"/>
      <c r="K15" s="40"/>
      <c r="L15" s="40"/>
      <c r="M15" s="40"/>
      <c r="N15" s="40"/>
      <c r="O15" s="39"/>
      <c r="BA15" s="3"/>
      <c r="BB15" s="3"/>
      <c r="BC15" s="3"/>
      <c r="BD15" s="3"/>
      <c r="BE15" s="3"/>
      <c r="BF15" s="3"/>
      <c r="BG15" s="3"/>
      <c r="BH15" s="3"/>
      <c r="BI15" s="3"/>
      <c r="BJ15" s="3"/>
      <c r="BK15" s="3"/>
      <c r="BL15" s="3"/>
      <c r="BM15" s="3"/>
      <c r="BN15" s="3"/>
      <c r="BO15" s="3"/>
      <c r="BP15" s="3"/>
      <c r="BQ15" s="3"/>
    </row>
    <row r="16" customFormat="false" ht="12.8" hidden="false" customHeight="false" outlineLevel="0" collapsed="false">
      <c r="A16" s="60" t="str">
        <f aca="false">_xlfn.CONCAT($A$1, ".", CALC!A16)</f>
        <v>LSD.RID.0.AL.TNPE.12</v>
      </c>
      <c r="B16" s="42" t="str">
        <f aca="false">CALC!C16</f>
        <v>Warehousing and Storage</v>
      </c>
      <c r="C16" s="39" t="n">
        <v>17500</v>
      </c>
      <c r="D16" s="39" t="n">
        <v>648</v>
      </c>
      <c r="E16" s="39" t="n">
        <v>385</v>
      </c>
      <c r="F16" s="39" t="n">
        <v>16467</v>
      </c>
      <c r="G16" s="40"/>
      <c r="H16" s="40"/>
      <c r="I16" s="40"/>
      <c r="J16" s="40"/>
      <c r="K16" s="40"/>
      <c r="L16" s="40"/>
      <c r="M16" s="40"/>
      <c r="N16" s="40"/>
      <c r="O16" s="39"/>
      <c r="BA16" s="3"/>
      <c r="BB16" s="3"/>
      <c r="BC16" s="3"/>
      <c r="BD16" s="3"/>
      <c r="BE16" s="3"/>
      <c r="BF16" s="3"/>
      <c r="BG16" s="3"/>
      <c r="BH16" s="3"/>
      <c r="BI16" s="3"/>
      <c r="BJ16" s="3"/>
      <c r="BK16" s="3"/>
      <c r="BL16" s="3"/>
      <c r="BM16" s="3"/>
      <c r="BN16" s="3"/>
      <c r="BO16" s="3"/>
      <c r="BP16" s="3"/>
      <c r="BQ16" s="3"/>
    </row>
    <row r="17" customFormat="false" ht="12.8" hidden="false" customHeight="false" outlineLevel="0" collapsed="false">
      <c r="A17" s="60" t="str">
        <f aca="false">_xlfn.CONCAT($A$1, ".", CALC!A17)</f>
        <v>LSD.RID.0.AL.TNPE.13</v>
      </c>
      <c r="B17" s="42" t="str">
        <f aca="false">CALC!C17</f>
        <v>Information</v>
      </c>
      <c r="C17" s="39" t="n">
        <v>11600</v>
      </c>
      <c r="D17" s="39" t="n">
        <v>429</v>
      </c>
      <c r="E17" s="39" t="n">
        <v>255</v>
      </c>
      <c r="F17" s="39" t="n">
        <v>10916</v>
      </c>
      <c r="G17" s="40"/>
      <c r="H17" s="40"/>
      <c r="I17" s="40"/>
      <c r="J17" s="40"/>
      <c r="K17" s="40"/>
      <c r="L17" s="40"/>
      <c r="M17" s="40"/>
      <c r="N17" s="40"/>
      <c r="O17" s="39"/>
      <c r="BA17" s="3"/>
      <c r="BB17" s="3"/>
      <c r="BC17" s="3"/>
      <c r="BD17" s="3"/>
      <c r="BE17" s="3"/>
      <c r="BF17" s="3"/>
      <c r="BG17" s="3"/>
      <c r="BH17" s="3"/>
      <c r="BI17" s="3"/>
      <c r="BJ17" s="3"/>
      <c r="BK17" s="3"/>
      <c r="BL17" s="3"/>
      <c r="BM17" s="3"/>
      <c r="BN17" s="3"/>
      <c r="BO17" s="3"/>
      <c r="BP17" s="3"/>
      <c r="BQ17" s="3"/>
    </row>
    <row r="18" customFormat="false" ht="12.8" hidden="false" customHeight="false" outlineLevel="0" collapsed="false">
      <c r="A18" s="60" t="str">
        <f aca="false">_xlfn.CONCAT($A$1, ".", CALC!A18)</f>
        <v>LSD.RID.0.AL.TNPE.14</v>
      </c>
      <c r="B18" s="42" t="str">
        <f aca="false">CALC!C18</f>
        <v>Finance and Insurance</v>
      </c>
      <c r="C18" s="39" t="n">
        <v>50700</v>
      </c>
      <c r="D18" s="39" t="n">
        <v>1876</v>
      </c>
      <c r="E18" s="39" t="n">
        <v>1115</v>
      </c>
      <c r="F18" s="39" t="n">
        <v>47709</v>
      </c>
      <c r="G18" s="40"/>
      <c r="H18" s="40"/>
      <c r="I18" s="40"/>
      <c r="J18" s="40"/>
      <c r="K18" s="40"/>
      <c r="L18" s="40"/>
      <c r="M18" s="40"/>
      <c r="N18" s="40"/>
      <c r="O18" s="39"/>
      <c r="BA18" s="3"/>
      <c r="BB18" s="3"/>
      <c r="BC18" s="3"/>
      <c r="BD18" s="3"/>
      <c r="BE18" s="3"/>
      <c r="BF18" s="3"/>
      <c r="BG18" s="3"/>
      <c r="BH18" s="3"/>
      <c r="BI18" s="3"/>
      <c r="BJ18" s="3"/>
      <c r="BK18" s="3"/>
      <c r="BL18" s="3"/>
      <c r="BM18" s="3"/>
      <c r="BN18" s="3"/>
      <c r="BO18" s="3"/>
      <c r="BP18" s="3"/>
      <c r="BQ18" s="3"/>
    </row>
    <row r="19" customFormat="false" ht="23.85" hidden="false" customHeight="false" outlineLevel="0" collapsed="false">
      <c r="A19" s="60" t="str">
        <f aca="false">_xlfn.CONCAT($A$1, ".", CALC!A19)</f>
        <v>LSD.RID.0.AL.TNPE.15</v>
      </c>
      <c r="B19" s="63" t="str">
        <f aca="false">CALC!C19</f>
        <v>Real Estate and
Rental and Leasing</v>
      </c>
      <c r="C19" s="39" t="n">
        <v>12500</v>
      </c>
      <c r="D19" s="39" t="n">
        <v>462</v>
      </c>
      <c r="E19" s="39" t="n">
        <v>275</v>
      </c>
      <c r="F19" s="39" t="n">
        <v>11763</v>
      </c>
      <c r="G19" s="40"/>
      <c r="H19" s="40"/>
      <c r="I19" s="40"/>
      <c r="J19" s="40"/>
      <c r="K19" s="40"/>
      <c r="L19" s="40"/>
      <c r="M19" s="40"/>
      <c r="N19" s="40"/>
      <c r="O19" s="39"/>
      <c r="BA19" s="3"/>
      <c r="BB19" s="3"/>
      <c r="BC19" s="3"/>
      <c r="BD19" s="3"/>
      <c r="BE19" s="3"/>
      <c r="BF19" s="3"/>
      <c r="BG19" s="3"/>
      <c r="BH19" s="3"/>
      <c r="BI19" s="3"/>
      <c r="BJ19" s="3"/>
      <c r="BK19" s="3"/>
      <c r="BL19" s="3"/>
      <c r="BM19" s="3"/>
      <c r="BN19" s="3"/>
      <c r="BO19" s="3"/>
      <c r="BP19" s="3"/>
      <c r="BQ19" s="3"/>
    </row>
    <row r="20" customFormat="false" ht="23.85" hidden="false" customHeight="false" outlineLevel="0" collapsed="false">
      <c r="A20" s="60" t="str">
        <f aca="false">_xlfn.CONCAT($A$1, ".", CALC!A20)</f>
        <v>LSD.RID.0.AL.TNPE.16</v>
      </c>
      <c r="B20" s="63" t="str">
        <f aca="false">CALC!C20</f>
        <v>Professional, Scientific,
and Technical Services</v>
      </c>
      <c r="C20" s="39" t="n">
        <v>65100</v>
      </c>
      <c r="D20" s="39" t="n">
        <v>2409</v>
      </c>
      <c r="E20" s="39" t="n">
        <v>1432</v>
      </c>
      <c r="F20" s="39" t="n">
        <v>61259</v>
      </c>
      <c r="G20" s="40"/>
      <c r="H20" s="40"/>
      <c r="I20" s="40"/>
      <c r="J20" s="40"/>
      <c r="K20" s="40"/>
      <c r="L20" s="40"/>
      <c r="M20" s="40"/>
      <c r="N20" s="40"/>
      <c r="O20" s="39"/>
      <c r="BA20" s="3"/>
      <c r="BB20" s="3"/>
      <c r="BC20" s="3"/>
      <c r="BD20" s="3"/>
      <c r="BE20" s="3"/>
      <c r="BF20" s="3"/>
      <c r="BG20" s="3"/>
      <c r="BH20" s="3"/>
      <c r="BI20" s="3"/>
      <c r="BJ20" s="3"/>
      <c r="BK20" s="3"/>
      <c r="BL20" s="3"/>
      <c r="BM20" s="3"/>
      <c r="BN20" s="3"/>
      <c r="BO20" s="3"/>
      <c r="BP20" s="3"/>
      <c r="BQ20" s="3"/>
    </row>
    <row r="21" customFormat="false" ht="34.8" hidden="false" customHeight="false" outlineLevel="0" collapsed="false">
      <c r="A21" s="60" t="str">
        <f aca="false">_xlfn.CONCAT($A$1, ".", CALC!A21)</f>
        <v>LSD.RID.0.AL.TNPE.17</v>
      </c>
      <c r="B21" s="63" t="str">
        <f aca="false">CALC!C21</f>
        <v>Administrative and Support
and Waste Management
and Remediation Services</v>
      </c>
      <c r="C21" s="39" t="n">
        <v>65600</v>
      </c>
      <c r="D21" s="39" t="n">
        <v>2427</v>
      </c>
      <c r="E21" s="39" t="n">
        <v>1804</v>
      </c>
      <c r="F21" s="39" t="n">
        <v>61369</v>
      </c>
      <c r="G21" s="40"/>
      <c r="H21" s="40"/>
      <c r="I21" s="40"/>
      <c r="J21" s="40"/>
      <c r="K21" s="40"/>
      <c r="L21" s="40"/>
      <c r="M21" s="40"/>
      <c r="N21" s="40"/>
      <c r="O21" s="39"/>
      <c r="BA21" s="3"/>
      <c r="BB21" s="3"/>
      <c r="BC21" s="3"/>
      <c r="BD21" s="3"/>
      <c r="BE21" s="3"/>
      <c r="BF21" s="3"/>
      <c r="BG21" s="3"/>
      <c r="BH21" s="3"/>
      <c r="BI21" s="3"/>
      <c r="BJ21" s="3"/>
      <c r="BK21" s="3"/>
      <c r="BL21" s="3"/>
      <c r="BM21" s="3"/>
      <c r="BN21" s="3"/>
      <c r="BO21" s="3"/>
      <c r="BP21" s="3"/>
      <c r="BQ21" s="3"/>
    </row>
    <row r="22" customFormat="false" ht="12.9" hidden="false" customHeight="false" outlineLevel="0" collapsed="false">
      <c r="A22" s="60" t="str">
        <f aca="false">_xlfn.CONCAT($A$1, ".", CALC!A22)</f>
        <v>LSD.RID.0.AL.TNPE.18</v>
      </c>
      <c r="B22" s="42" t="str">
        <f aca="false">CALC!C22</f>
        <v>Educational Services</v>
      </c>
      <c r="C22" s="39" t="n">
        <v>27500</v>
      </c>
      <c r="D22" s="39" t="n">
        <v>1018</v>
      </c>
      <c r="E22" s="39" t="n">
        <v>605</v>
      </c>
      <c r="F22" s="39" t="n">
        <v>25877</v>
      </c>
      <c r="G22" s="40"/>
      <c r="H22" s="40"/>
      <c r="I22" s="40"/>
      <c r="J22" s="40"/>
      <c r="K22" s="40"/>
      <c r="L22" s="40"/>
      <c r="M22" s="40"/>
      <c r="N22" s="40"/>
      <c r="O22" s="39"/>
      <c r="BA22" s="3"/>
      <c r="BB22" s="3"/>
      <c r="BC22" s="3"/>
      <c r="BD22" s="3"/>
      <c r="BE22" s="3"/>
      <c r="BF22" s="3"/>
      <c r="BG22" s="3"/>
      <c r="BH22" s="3"/>
      <c r="BI22" s="3"/>
      <c r="BJ22" s="3"/>
      <c r="BK22" s="3"/>
      <c r="BL22" s="3"/>
      <c r="BM22" s="3"/>
      <c r="BN22" s="3"/>
      <c r="BO22" s="3"/>
      <c r="BP22" s="3"/>
      <c r="BQ22" s="3"/>
    </row>
    <row r="23" customFormat="false" ht="23.85" hidden="false" customHeight="false" outlineLevel="0" collapsed="false">
      <c r="A23" s="60" t="str">
        <f aca="false">_xlfn.CONCAT($A$1, ".", CALC!A23)</f>
        <v>LSD.RID.0.AL.TNPE.19</v>
      </c>
      <c r="B23" s="63" t="str">
        <f aca="false">CALC!C23</f>
        <v>Health Care and
Social Assistance</v>
      </c>
      <c r="C23" s="39" t="n">
        <v>109400</v>
      </c>
      <c r="D23" s="39" t="n">
        <v>4048</v>
      </c>
      <c r="E23" s="39" t="n">
        <v>2407</v>
      </c>
      <c r="F23" s="39" t="n">
        <v>102945</v>
      </c>
      <c r="G23" s="40"/>
      <c r="H23" s="40"/>
      <c r="I23" s="40"/>
      <c r="J23" s="40"/>
      <c r="K23" s="40"/>
      <c r="L23" s="40"/>
      <c r="M23" s="40"/>
      <c r="N23" s="40"/>
      <c r="O23" s="39"/>
      <c r="BA23" s="3"/>
      <c r="BB23" s="3"/>
      <c r="BC23" s="3"/>
      <c r="BD23" s="3"/>
      <c r="BE23" s="3"/>
      <c r="BF23" s="3"/>
      <c r="BG23" s="3"/>
      <c r="BH23" s="3"/>
      <c r="BI23" s="3"/>
      <c r="BJ23" s="3"/>
      <c r="BK23" s="3"/>
      <c r="BL23" s="3"/>
      <c r="BM23" s="3"/>
      <c r="BN23" s="3"/>
      <c r="BO23" s="3"/>
      <c r="BP23" s="3"/>
      <c r="BQ23" s="3"/>
    </row>
    <row r="24" customFormat="false" ht="23.85" hidden="false" customHeight="false" outlineLevel="0" collapsed="false">
      <c r="A24" s="60" t="str">
        <f aca="false">_xlfn.CONCAT($A$1, ".", CALC!A24)</f>
        <v>LSD.RID.0.AL.TNPE.20</v>
      </c>
      <c r="B24" s="63" t="str">
        <f aca="false">CALC!C24</f>
        <v>Arts, Entertainment,
and Recreation</v>
      </c>
      <c r="C24" s="39" t="n">
        <v>12500</v>
      </c>
      <c r="D24" s="39" t="n">
        <v>462</v>
      </c>
      <c r="E24" s="39" t="n">
        <v>275</v>
      </c>
      <c r="F24" s="39" t="n">
        <v>11763</v>
      </c>
      <c r="G24" s="40"/>
      <c r="H24" s="40"/>
      <c r="I24" s="40"/>
      <c r="J24" s="40"/>
      <c r="K24" s="40"/>
      <c r="L24" s="40"/>
      <c r="M24" s="40"/>
      <c r="N24" s="40"/>
      <c r="O24" s="39"/>
      <c r="BA24" s="3"/>
      <c r="BB24" s="3"/>
      <c r="BC24" s="3"/>
      <c r="BD24" s="3"/>
      <c r="BE24" s="3"/>
      <c r="BF24" s="3"/>
      <c r="BG24" s="3"/>
      <c r="BH24" s="3"/>
      <c r="BI24" s="3"/>
      <c r="BJ24" s="3"/>
      <c r="BK24" s="3"/>
      <c r="BL24" s="3"/>
      <c r="BM24" s="3"/>
      <c r="BN24" s="3"/>
      <c r="BO24" s="3"/>
      <c r="BP24" s="3"/>
      <c r="BQ24" s="3"/>
    </row>
    <row r="25" customFormat="false" ht="23.85" hidden="false" customHeight="false" outlineLevel="0" collapsed="false">
      <c r="A25" s="60" t="str">
        <f aca="false">_xlfn.CONCAT($A$1, ".", CALC!A25)</f>
        <v>LSD.RID.0.AL.TNPE.21</v>
      </c>
      <c r="B25" s="63" t="str">
        <f aca="false">CALC!C25</f>
        <v>Accommodation
and Food Services</v>
      </c>
      <c r="C25" s="39" t="n">
        <v>96800</v>
      </c>
      <c r="D25" s="39" t="n">
        <v>3582</v>
      </c>
      <c r="E25" s="39" t="n">
        <v>2939</v>
      </c>
      <c r="F25" s="39" t="n">
        <v>90279</v>
      </c>
      <c r="G25" s="40"/>
      <c r="H25" s="40"/>
      <c r="I25" s="40"/>
      <c r="J25" s="40"/>
      <c r="K25" s="40"/>
      <c r="L25" s="40"/>
      <c r="M25" s="40"/>
      <c r="N25" s="40"/>
      <c r="O25" s="39"/>
      <c r="BA25" s="3"/>
      <c r="BB25" s="3"/>
      <c r="BC25" s="3"/>
      <c r="BD25" s="3"/>
      <c r="BE25" s="3"/>
      <c r="BF25" s="3"/>
      <c r="BG25" s="3"/>
      <c r="BH25" s="3"/>
      <c r="BI25" s="3"/>
      <c r="BJ25" s="3"/>
      <c r="BK25" s="3"/>
      <c r="BL25" s="3"/>
      <c r="BM25" s="3"/>
      <c r="BN25" s="3"/>
      <c r="BO25" s="3"/>
      <c r="BP25" s="3"/>
      <c r="BQ25" s="3"/>
    </row>
    <row r="26" customFormat="false" ht="23.85" hidden="false" customHeight="false" outlineLevel="0" collapsed="false">
      <c r="A26" s="60" t="str">
        <f aca="false">_xlfn.CONCAT($A$1, ".", CALC!A26)</f>
        <v>LSD.RID.0.AL.TNPE.22</v>
      </c>
      <c r="B26" s="63" t="str">
        <f aca="false">CALC!C26</f>
        <v>Other Services (except
Public Administration)</v>
      </c>
      <c r="C26" s="39" t="n">
        <v>49500</v>
      </c>
      <c r="D26" s="39" t="n">
        <v>1832</v>
      </c>
      <c r="E26" s="39" t="n">
        <v>1089</v>
      </c>
      <c r="F26" s="39" t="n">
        <v>46579</v>
      </c>
      <c r="G26" s="40"/>
      <c r="H26" s="40"/>
      <c r="I26" s="40"/>
      <c r="J26" s="40"/>
      <c r="K26" s="40"/>
      <c r="L26" s="40"/>
      <c r="M26" s="40"/>
      <c r="N26" s="40"/>
      <c r="O26" s="39"/>
      <c r="BA26" s="3"/>
      <c r="BB26" s="3"/>
      <c r="BC26" s="3"/>
      <c r="BD26" s="3"/>
      <c r="BE26" s="3"/>
      <c r="BF26" s="3"/>
      <c r="BG26" s="3"/>
      <c r="BH26" s="3"/>
      <c r="BI26" s="3"/>
      <c r="BJ26" s="3"/>
      <c r="BK26" s="3"/>
      <c r="BL26" s="3"/>
      <c r="BM26" s="3"/>
      <c r="BN26" s="3"/>
      <c r="BO26" s="3"/>
      <c r="BP26" s="3"/>
      <c r="BQ26" s="3"/>
    </row>
    <row r="27" customFormat="false" ht="12.8" hidden="false" customHeight="false" outlineLevel="0" collapsed="false">
      <c r="A27" s="60" t="str">
        <f aca="false">_xlfn.CONCAT($A$1, ".", CALC!A27)</f>
        <v>LSD.RID.0.AL.TNPE.23</v>
      </c>
      <c r="B27" s="42" t="str">
        <f aca="false">CALC!C27</f>
        <v>Public Administration</v>
      </c>
      <c r="C27" s="39" t="n">
        <v>211000</v>
      </c>
      <c r="D27" s="39" t="n">
        <v>7807</v>
      </c>
      <c r="E27" s="39" t="n">
        <v>4642</v>
      </c>
      <c r="F27" s="39" t="n">
        <v>198551</v>
      </c>
      <c r="G27" s="40"/>
      <c r="H27" s="40"/>
      <c r="I27" s="40"/>
      <c r="J27" s="40"/>
      <c r="K27" s="40"/>
      <c r="L27" s="40"/>
      <c r="M27" s="40"/>
      <c r="N27" s="40"/>
      <c r="O27" s="39"/>
      <c r="BD27" s="3"/>
      <c r="BE27" s="3"/>
      <c r="BF27" s="3"/>
      <c r="BG27" s="3"/>
      <c r="BH27" s="3"/>
      <c r="BI27" s="3"/>
      <c r="BJ27" s="3"/>
      <c r="BK27" s="3"/>
      <c r="BL27" s="3"/>
      <c r="BM27" s="3"/>
      <c r="BN27" s="3"/>
      <c r="BO27" s="3"/>
      <c r="BP27" s="3"/>
      <c r="BQ27" s="3"/>
    </row>
    <row r="28" customFormat="false" ht="12.8" hidden="false" customHeight="false" outlineLevel="0" collapsed="false">
      <c r="A28" s="60"/>
      <c r="B28" s="42"/>
      <c r="C28" s="59"/>
      <c r="BJ28" s="3"/>
      <c r="BK28" s="3"/>
      <c r="BL28" s="3"/>
      <c r="BM28" s="3"/>
      <c r="BN28" s="3"/>
      <c r="BO28" s="3"/>
      <c r="BP28" s="3"/>
      <c r="BQ28" s="3"/>
    </row>
    <row r="29" customFormat="false" ht="12.8" hidden="false" customHeight="false" outlineLevel="0" collapsed="false">
      <c r="B29" s="39"/>
      <c r="C29" s="39"/>
      <c r="BK29" s="3"/>
      <c r="BL29" s="3"/>
      <c r="BM29" s="3"/>
      <c r="BN29" s="3"/>
      <c r="BO29" s="3"/>
      <c r="BP29" s="3"/>
      <c r="BQ29" s="3"/>
    </row>
    <row r="130" customFormat="false" ht="12.8" hidden="false" customHeight="false" outlineLevel="0" collapsed="false">
      <c r="A130" s="60" t="str">
        <f aca="false">_xlfn.CONCAT($A$1, ".", "FORM")</f>
        <v>LSD.RID.0.AL.TNPE.FORM</v>
      </c>
      <c r="B130" s="61" t="str">
        <f aca="false">_xlfn.CONCAT($B$1, " ", "Formulae")</f>
        <v>Alabama Labor Force Population Formulae</v>
      </c>
      <c r="C130" s="61"/>
    </row>
    <row r="131" customFormat="false" ht="12.8" hidden="false" customHeight="false" outlineLevel="0" collapsed="false">
      <c r="A131" s="49" t="s">
        <v>174</v>
      </c>
      <c r="B131" s="49" t="s">
        <v>175</v>
      </c>
      <c r="C131" s="49" t="s">
        <v>176</v>
      </c>
      <c r="D131" s="49" t="s">
        <v>1813</v>
      </c>
      <c r="E131" s="49" t="s">
        <v>178</v>
      </c>
      <c r="F131" s="49" t="s">
        <v>179</v>
      </c>
      <c r="G131" s="49" t="s">
        <v>179</v>
      </c>
    </row>
    <row r="132" customFormat="false" ht="12.8" hidden="false" customHeight="false" outlineLevel="0" collapsed="false">
      <c r="A132" s="39" t="s">
        <v>1814</v>
      </c>
      <c r="B132" s="39" t="s">
        <v>1815</v>
      </c>
      <c r="C132" s="39" t="s">
        <v>1816</v>
      </c>
      <c r="D132" s="39" t="s">
        <v>1817</v>
      </c>
      <c r="E132" s="39" t="s">
        <v>1818</v>
      </c>
      <c r="F132" s="39" t="s">
        <v>1819</v>
      </c>
      <c r="G132" s="39" t="s">
        <v>1820</v>
      </c>
    </row>
    <row r="133" customFormat="false" ht="12.8" hidden="false" customHeight="false" outlineLevel="0" collapsed="false">
      <c r="A133" s="39" t="s">
        <v>1821</v>
      </c>
      <c r="B133" s="39" t="s">
        <v>1822</v>
      </c>
      <c r="C133" s="39" t="s">
        <v>1823</v>
      </c>
      <c r="D133" s="39" t="s">
        <v>1824</v>
      </c>
      <c r="E133" s="39" t="s">
        <v>1825</v>
      </c>
      <c r="F133" s="39" t="s">
        <v>1826</v>
      </c>
      <c r="G133" s="39" t="s">
        <v>1527</v>
      </c>
    </row>
    <row r="134" customFormat="false" ht="12.8" hidden="false" customHeight="false" outlineLevel="0" collapsed="false">
      <c r="A134" s="39" t="s">
        <v>1827</v>
      </c>
      <c r="B134" s="39" t="s">
        <v>1828</v>
      </c>
      <c r="C134" s="39" t="s">
        <v>1829</v>
      </c>
      <c r="D134" s="39" t="s">
        <v>1830</v>
      </c>
      <c r="E134" s="39" t="s">
        <v>1831</v>
      </c>
      <c r="F134" s="39" t="s">
        <v>1832</v>
      </c>
      <c r="G134" s="39" t="s">
        <v>1534</v>
      </c>
    </row>
    <row r="135" customFormat="false" ht="12.8" hidden="false" customHeight="false" outlineLevel="0" collapsed="false">
      <c r="A135" s="39" t="s">
        <v>1833</v>
      </c>
      <c r="B135" s="39" t="s">
        <v>1834</v>
      </c>
      <c r="C135" s="39" t="s">
        <v>1835</v>
      </c>
      <c r="D135" s="39" t="s">
        <v>1836</v>
      </c>
      <c r="E135" s="39" t="s">
        <v>1837</v>
      </c>
      <c r="F135" s="39" t="s">
        <v>1838</v>
      </c>
      <c r="G135" s="39" t="s">
        <v>1540</v>
      </c>
    </row>
    <row r="136" customFormat="false" ht="12.8" hidden="false" customHeight="false" outlineLevel="0" collapsed="false">
      <c r="A136" s="50"/>
      <c r="B136" s="64"/>
      <c r="C136" s="64"/>
      <c r="D136" s="39"/>
      <c r="E136" s="39"/>
      <c r="F136" s="39"/>
      <c r="G136" s="39"/>
    </row>
    <row r="137" customFormat="false" ht="12.8" hidden="false" customHeight="false" outlineLevel="0" collapsed="false">
      <c r="A137" s="60" t="str">
        <f aca="false">_xlfn.CONCAT($A$1, ".", "PARAM")</f>
        <v>LSD.RID.0.AL.TNPE.PARAM</v>
      </c>
      <c r="B137" s="61" t="str">
        <f aca="false">_xlfn.CONCAT($B$1, " ", "Parameters")</f>
        <v>Alabama Labor Force Population Parameters</v>
      </c>
      <c r="C137" s="61"/>
    </row>
    <row r="138" customFormat="false" ht="12.8" hidden="false" customHeight="false" outlineLevel="0" collapsed="false">
      <c r="A138" s="49" t="s">
        <v>174</v>
      </c>
      <c r="B138" s="49" t="s">
        <v>176</v>
      </c>
      <c r="C138" s="49" t="s">
        <v>293</v>
      </c>
      <c r="D138" s="49" t="s">
        <v>178</v>
      </c>
      <c r="E138" s="49" t="s">
        <v>294</v>
      </c>
      <c r="F138" s="49" t="s">
        <v>295</v>
      </c>
      <c r="G138" s="49" t="s">
        <v>296</v>
      </c>
      <c r="H138" s="49" t="s">
        <v>179</v>
      </c>
    </row>
    <row r="139" customFormat="false" ht="12.8" hidden="false" customHeight="false" outlineLevel="0" collapsed="false">
      <c r="A139" s="39" t="s">
        <v>1839</v>
      </c>
      <c r="B139" s="39" t="s">
        <v>1840</v>
      </c>
      <c r="C139" s="39" t="s">
        <v>300</v>
      </c>
      <c r="D139" s="39" t="s">
        <v>1841</v>
      </c>
      <c r="E139" s="39" t="s">
        <v>300</v>
      </c>
      <c r="F139" s="39" t="s">
        <v>1842</v>
      </c>
      <c r="G139" s="51" t="s">
        <v>302</v>
      </c>
      <c r="H139" s="39" t="s">
        <v>1843</v>
      </c>
    </row>
    <row r="140" customFormat="false" ht="12.8" hidden="false" customHeight="false" outlineLevel="0" collapsed="false">
      <c r="A140" s="39" t="s">
        <v>1844</v>
      </c>
      <c r="B140" s="39" t="s">
        <v>1845</v>
      </c>
      <c r="C140" s="39" t="s">
        <v>300</v>
      </c>
      <c r="D140" s="39" t="s">
        <v>1846</v>
      </c>
      <c r="E140" s="39" t="s">
        <v>300</v>
      </c>
      <c r="F140" s="39" t="s">
        <v>1842</v>
      </c>
      <c r="G140" s="51" t="s">
        <v>302</v>
      </c>
      <c r="H140" s="39"/>
    </row>
    <row r="141" customFormat="false" ht="12.8" hidden="false" customHeight="false" outlineLevel="0" collapsed="false">
      <c r="A141" s="39" t="s">
        <v>1847</v>
      </c>
      <c r="B141" s="39" t="s">
        <v>1848</v>
      </c>
      <c r="C141" s="39" t="s">
        <v>306</v>
      </c>
      <c r="D141" s="39" t="s">
        <v>1849</v>
      </c>
      <c r="E141" s="39" t="s">
        <v>306</v>
      </c>
      <c r="F141" s="39" t="s">
        <v>1842</v>
      </c>
      <c r="G141" s="51" t="s">
        <v>302</v>
      </c>
      <c r="H141" s="39"/>
    </row>
    <row r="142" customFormat="false" ht="12.8" hidden="false" customHeight="false" outlineLevel="0" collapsed="false">
      <c r="A142" s="39" t="s">
        <v>1850</v>
      </c>
      <c r="B142" s="39" t="s">
        <v>1851</v>
      </c>
      <c r="C142" s="39" t="s">
        <v>300</v>
      </c>
      <c r="D142" s="39" t="s">
        <v>1852</v>
      </c>
      <c r="E142" s="39" t="s">
        <v>300</v>
      </c>
      <c r="F142" s="39" t="s">
        <v>1842</v>
      </c>
      <c r="G142" s="51" t="s">
        <v>302</v>
      </c>
      <c r="H142" s="39"/>
    </row>
    <row r="143" customFormat="false" ht="12.8" hidden="false" customHeight="false" outlineLevel="0" collapsed="false">
      <c r="A143" s="39" t="s">
        <v>1853</v>
      </c>
      <c r="B143" s="39" t="s">
        <v>1854</v>
      </c>
      <c r="C143" s="39" t="s">
        <v>300</v>
      </c>
      <c r="D143" s="39" t="s">
        <v>1855</v>
      </c>
      <c r="E143" s="39" t="s">
        <v>300</v>
      </c>
      <c r="F143" s="39" t="s">
        <v>1842</v>
      </c>
      <c r="G143" s="51" t="s">
        <v>302</v>
      </c>
      <c r="H143" s="39"/>
    </row>
    <row r="144" customFormat="false" ht="12.8" hidden="false" customHeight="false" outlineLevel="0" collapsed="false">
      <c r="A144" s="39" t="s">
        <v>1856</v>
      </c>
      <c r="B144" s="39" t="s">
        <v>1857</v>
      </c>
      <c r="C144" s="39" t="s">
        <v>300</v>
      </c>
      <c r="D144" s="39" t="s">
        <v>1858</v>
      </c>
      <c r="E144" s="39" t="s">
        <v>300</v>
      </c>
      <c r="F144" s="39" t="s">
        <v>1842</v>
      </c>
      <c r="G144" s="51" t="s">
        <v>302</v>
      </c>
      <c r="H144" s="39"/>
    </row>
    <row r="145" customFormat="false" ht="12.8" hidden="false" customHeight="false" outlineLevel="0" collapsed="false">
      <c r="A145" s="39" t="s">
        <v>1859</v>
      </c>
      <c r="B145" s="39" t="s">
        <v>1860</v>
      </c>
      <c r="C145" s="39" t="s">
        <v>300</v>
      </c>
      <c r="D145" s="39" t="s">
        <v>1861</v>
      </c>
      <c r="E145" s="39" t="s">
        <v>300</v>
      </c>
      <c r="F145" s="39" t="s">
        <v>1842</v>
      </c>
      <c r="G145" s="51" t="s">
        <v>302</v>
      </c>
      <c r="H145" s="39"/>
    </row>
    <row r="146" customFormat="false" ht="12.8" hidden="false" customHeight="false" outlineLevel="0" collapsed="false">
      <c r="A146" s="39" t="s">
        <v>1862</v>
      </c>
      <c r="B146" s="39" t="s">
        <v>1863</v>
      </c>
      <c r="C146" s="39" t="s">
        <v>300</v>
      </c>
      <c r="D146" s="39" t="s">
        <v>1864</v>
      </c>
      <c r="E146" s="39" t="s">
        <v>300</v>
      </c>
      <c r="F146" s="39" t="s">
        <v>1842</v>
      </c>
      <c r="G146" s="51" t="s">
        <v>302</v>
      </c>
      <c r="H146" s="39"/>
    </row>
    <row r="147" customFormat="false" ht="12.8" hidden="false" customHeight="false" outlineLevel="0" collapsed="false">
      <c r="A147" s="39" t="s">
        <v>1865</v>
      </c>
      <c r="B147" s="39" t="s">
        <v>1866</v>
      </c>
      <c r="C147" s="39" t="s">
        <v>300</v>
      </c>
      <c r="D147" s="39" t="s">
        <v>1867</v>
      </c>
      <c r="E147" s="39" t="s">
        <v>300</v>
      </c>
      <c r="F147" s="39" t="s">
        <v>1842</v>
      </c>
      <c r="G147" s="51" t="s">
        <v>302</v>
      </c>
      <c r="H147" s="39"/>
    </row>
    <row r="148" customFormat="false" ht="12.8" hidden="false" customHeight="false" outlineLevel="0" collapsed="false">
      <c r="A148" s="39" t="s">
        <v>1868</v>
      </c>
      <c r="B148" s="39" t="s">
        <v>1869</v>
      </c>
      <c r="C148" s="39" t="s">
        <v>300</v>
      </c>
      <c r="D148" s="39" t="s">
        <v>1870</v>
      </c>
      <c r="E148" s="39" t="s">
        <v>300</v>
      </c>
      <c r="F148" s="39" t="s">
        <v>1842</v>
      </c>
      <c r="G148" s="51" t="s">
        <v>302</v>
      </c>
      <c r="H148" s="39"/>
    </row>
    <row r="149" customFormat="false" ht="12.8" hidden="false" customHeight="false" outlineLevel="0" collapsed="false">
      <c r="A149" s="39" t="s">
        <v>1871</v>
      </c>
      <c r="B149" s="39" t="s">
        <v>1872</v>
      </c>
      <c r="C149" s="39" t="s">
        <v>306</v>
      </c>
      <c r="D149" s="39" t="s">
        <v>1873</v>
      </c>
      <c r="E149" s="39" t="s">
        <v>306</v>
      </c>
      <c r="F149" s="39" t="s">
        <v>1842</v>
      </c>
      <c r="G149" s="51" t="s">
        <v>302</v>
      </c>
      <c r="H149" s="39"/>
    </row>
    <row r="150" customFormat="false" ht="12.8" hidden="false" customHeight="false" outlineLevel="0" collapsed="false">
      <c r="A150" s="39" t="s">
        <v>1874</v>
      </c>
      <c r="B150" s="39" t="s">
        <v>1875</v>
      </c>
      <c r="C150" s="39" t="s">
        <v>300</v>
      </c>
      <c r="D150" s="39" t="s">
        <v>1876</v>
      </c>
      <c r="E150" s="39" t="s">
        <v>300</v>
      </c>
      <c r="F150" s="39" t="s">
        <v>1842</v>
      </c>
      <c r="G150" s="51" t="s">
        <v>302</v>
      </c>
      <c r="H150" s="39"/>
    </row>
    <row r="151" customFormat="false" ht="12.8" hidden="false" customHeight="false" outlineLevel="0" collapsed="false">
      <c r="A151" s="39" t="s">
        <v>1877</v>
      </c>
      <c r="B151" s="39" t="s">
        <v>1878</v>
      </c>
      <c r="C151" s="39" t="s">
        <v>300</v>
      </c>
      <c r="D151" s="39" t="s">
        <v>1879</v>
      </c>
      <c r="E151" s="39" t="s">
        <v>300</v>
      </c>
      <c r="F151" s="39" t="s">
        <v>1842</v>
      </c>
      <c r="G151" s="51" t="s">
        <v>302</v>
      </c>
      <c r="H151" s="39"/>
    </row>
    <row r="152" customFormat="false" ht="12.8" hidden="false" customHeight="false" outlineLevel="0" collapsed="false">
      <c r="A152" s="39" t="s">
        <v>1880</v>
      </c>
      <c r="B152" s="39" t="s">
        <v>1881</v>
      </c>
      <c r="C152" s="39" t="s">
        <v>300</v>
      </c>
      <c r="D152" s="39" t="s">
        <v>1882</v>
      </c>
      <c r="E152" s="39" t="s">
        <v>300</v>
      </c>
      <c r="F152" s="39" t="s">
        <v>1842</v>
      </c>
      <c r="G152" s="51" t="s">
        <v>302</v>
      </c>
      <c r="H152" s="39"/>
    </row>
    <row r="153" customFormat="false" ht="12.8" hidden="false" customHeight="false" outlineLevel="0" collapsed="false">
      <c r="A153" s="39" t="s">
        <v>1883</v>
      </c>
      <c r="B153" s="39" t="s">
        <v>1884</v>
      </c>
      <c r="C153" s="39" t="s">
        <v>300</v>
      </c>
      <c r="D153" s="39" t="s">
        <v>1885</v>
      </c>
      <c r="E153" s="39" t="s">
        <v>300</v>
      </c>
      <c r="F153" s="39" t="s">
        <v>1842</v>
      </c>
      <c r="G153" s="51" t="s">
        <v>302</v>
      </c>
      <c r="H153" s="39"/>
    </row>
    <row r="154" customFormat="false" ht="12.8" hidden="false" customHeight="false" outlineLevel="0" collapsed="false">
      <c r="A154" s="39" t="s">
        <v>1886</v>
      </c>
      <c r="B154" s="39" t="s">
        <v>1887</v>
      </c>
      <c r="C154" s="39" t="s">
        <v>306</v>
      </c>
      <c r="D154" s="39" t="s">
        <v>1888</v>
      </c>
      <c r="E154" s="39" t="s">
        <v>306</v>
      </c>
      <c r="F154" s="39" t="s">
        <v>1842</v>
      </c>
      <c r="G154" s="51" t="s">
        <v>302</v>
      </c>
      <c r="H154" s="39"/>
    </row>
    <row r="155" customFormat="false" ht="12.8" hidden="false" customHeight="false" outlineLevel="0" collapsed="false">
      <c r="A155" s="39" t="s">
        <v>1889</v>
      </c>
      <c r="B155" s="39" t="s">
        <v>1890</v>
      </c>
      <c r="C155" s="39" t="s">
        <v>300</v>
      </c>
      <c r="D155" s="39" t="s">
        <v>1891</v>
      </c>
      <c r="E155" s="39" t="s">
        <v>300</v>
      </c>
      <c r="F155" s="39" t="s">
        <v>1842</v>
      </c>
      <c r="G155" s="51" t="s">
        <v>302</v>
      </c>
      <c r="H155" s="39"/>
    </row>
    <row r="156" customFormat="false" ht="12.8" hidden="false" customHeight="false" outlineLevel="0" collapsed="false">
      <c r="A156" s="39" t="s">
        <v>1892</v>
      </c>
      <c r="B156" s="39" t="s">
        <v>1893</v>
      </c>
      <c r="C156" s="39" t="s">
        <v>300</v>
      </c>
      <c r="D156" s="39" t="s">
        <v>1894</v>
      </c>
      <c r="E156" s="39" t="s">
        <v>300</v>
      </c>
      <c r="F156" s="39" t="s">
        <v>1842</v>
      </c>
      <c r="G156" s="51" t="s">
        <v>302</v>
      </c>
      <c r="H156" s="39"/>
    </row>
    <row r="157" customFormat="false" ht="12.8" hidden="false" customHeight="false" outlineLevel="0" collapsed="false">
      <c r="A157" s="39" t="s">
        <v>1895</v>
      </c>
      <c r="B157" s="39" t="s">
        <v>1896</v>
      </c>
      <c r="C157" s="39" t="s">
        <v>368</v>
      </c>
      <c r="D157" s="39" t="s">
        <v>1897</v>
      </c>
      <c r="E157" s="39" t="s">
        <v>368</v>
      </c>
      <c r="F157" s="39" t="s">
        <v>1842</v>
      </c>
      <c r="G157" s="51" t="s">
        <v>302</v>
      </c>
      <c r="H157" s="39"/>
    </row>
    <row r="158" customFormat="false" ht="12.8" hidden="false" customHeight="false" outlineLevel="0" collapsed="false">
      <c r="A158" s="39" t="s">
        <v>1898</v>
      </c>
      <c r="B158" s="39" t="s">
        <v>1899</v>
      </c>
      <c r="C158" s="39" t="s">
        <v>306</v>
      </c>
      <c r="D158" s="39" t="s">
        <v>1900</v>
      </c>
      <c r="E158" s="39" t="s">
        <v>306</v>
      </c>
      <c r="F158" s="39" t="s">
        <v>1842</v>
      </c>
      <c r="G158" s="51" t="s">
        <v>302</v>
      </c>
      <c r="H158" s="39"/>
    </row>
    <row r="159" customFormat="false" ht="12.8" hidden="false" customHeight="false" outlineLevel="0" collapsed="false">
      <c r="A159" s="39" t="s">
        <v>1901</v>
      </c>
      <c r="B159" s="39" t="s">
        <v>1902</v>
      </c>
      <c r="C159" s="39" t="s">
        <v>300</v>
      </c>
      <c r="D159" s="39" t="s">
        <v>1903</v>
      </c>
      <c r="E159" s="39" t="s">
        <v>300</v>
      </c>
      <c r="F159" s="39" t="s">
        <v>1842</v>
      </c>
      <c r="G159" s="51" t="s">
        <v>302</v>
      </c>
      <c r="H159" s="39"/>
    </row>
    <row r="160" customFormat="false" ht="12.8" hidden="false" customHeight="false" outlineLevel="0" collapsed="false">
      <c r="A160" s="39" t="s">
        <v>1904</v>
      </c>
      <c r="B160" s="39" t="s">
        <v>1905</v>
      </c>
      <c r="C160" s="39" t="s">
        <v>300</v>
      </c>
      <c r="D160" s="39" t="s">
        <v>1906</v>
      </c>
      <c r="E160" s="39" t="s">
        <v>300</v>
      </c>
      <c r="F160" s="39" t="s">
        <v>1842</v>
      </c>
      <c r="G160" s="51" t="s">
        <v>302</v>
      </c>
      <c r="H160" s="39"/>
    </row>
    <row r="161" customFormat="false" ht="12.8" hidden="false" customHeight="false" outlineLevel="0" collapsed="false">
      <c r="A161" s="39" t="s">
        <v>1907</v>
      </c>
      <c r="B161" s="39" t="s">
        <v>1908</v>
      </c>
      <c r="C161" s="39" t="s">
        <v>368</v>
      </c>
      <c r="D161" s="39" t="s">
        <v>1909</v>
      </c>
      <c r="E161" s="39" t="s">
        <v>368</v>
      </c>
      <c r="F161" s="39" t="s">
        <v>1910</v>
      </c>
      <c r="G161" s="51" t="s">
        <v>302</v>
      </c>
      <c r="H161" s="39" t="s">
        <v>1911</v>
      </c>
    </row>
    <row r="162" customFormat="false" ht="12.8" hidden="false" customHeight="false" outlineLevel="0" collapsed="false">
      <c r="A162" s="39" t="s">
        <v>1912</v>
      </c>
      <c r="B162" s="39" t="s">
        <v>1913</v>
      </c>
      <c r="C162" s="39" t="n">
        <v>0.008</v>
      </c>
      <c r="D162" s="39" t="s">
        <v>1914</v>
      </c>
      <c r="E162" s="39" t="s">
        <v>300</v>
      </c>
      <c r="F162" s="39" t="s">
        <v>353</v>
      </c>
      <c r="G162" s="51" t="s">
        <v>302</v>
      </c>
      <c r="H162" s="39" t="s">
        <v>1129</v>
      </c>
    </row>
    <row r="163" customFormat="false" ht="12.8" hidden="false" customHeight="false" outlineLevel="0" collapsed="false">
      <c r="A163" s="39" t="s">
        <v>1915</v>
      </c>
      <c r="B163" s="39" t="s">
        <v>1916</v>
      </c>
      <c r="C163" s="39" t="n">
        <v>0.005</v>
      </c>
      <c r="D163" s="39" t="s">
        <v>1917</v>
      </c>
      <c r="E163" s="39" t="s">
        <v>300</v>
      </c>
      <c r="F163" s="39" t="s">
        <v>353</v>
      </c>
      <c r="G163" s="51" t="s">
        <v>302</v>
      </c>
      <c r="H163" s="39" t="s">
        <v>1843</v>
      </c>
    </row>
    <row r="164" customFormat="false" ht="12.8" hidden="false" customHeight="false" outlineLevel="0" collapsed="false">
      <c r="A164" s="39" t="s">
        <v>1918</v>
      </c>
      <c r="B164" s="39" t="s">
        <v>1919</v>
      </c>
      <c r="C164" s="39" t="n">
        <v>0.004</v>
      </c>
      <c r="D164" s="39" t="s">
        <v>1920</v>
      </c>
      <c r="E164" s="39" t="s">
        <v>300</v>
      </c>
      <c r="F164" s="39" t="s">
        <v>353</v>
      </c>
      <c r="G164" s="51" t="s">
        <v>302</v>
      </c>
      <c r="H164" s="39"/>
    </row>
    <row r="165" customFormat="false" ht="12.8" hidden="false" customHeight="false" outlineLevel="0" collapsed="false">
      <c r="A165" s="39" t="s">
        <v>1921</v>
      </c>
      <c r="B165" s="39" t="s">
        <v>1922</v>
      </c>
      <c r="C165" s="39" t="n">
        <v>0.006</v>
      </c>
      <c r="D165" s="39" t="s">
        <v>1923</v>
      </c>
      <c r="E165" s="39" t="s">
        <v>306</v>
      </c>
      <c r="F165" s="39" t="s">
        <v>353</v>
      </c>
      <c r="G165" s="51" t="s">
        <v>302</v>
      </c>
      <c r="H165" s="39"/>
    </row>
    <row r="166" customFormat="false" ht="12.8" hidden="false" customHeight="false" outlineLevel="0" collapsed="false">
      <c r="A166" s="39" t="s">
        <v>1924</v>
      </c>
      <c r="B166" s="39" t="s">
        <v>1925</v>
      </c>
      <c r="C166" s="39" t="n">
        <v>0.004</v>
      </c>
      <c r="D166" s="39" t="s">
        <v>1926</v>
      </c>
      <c r="E166" s="39" t="s">
        <v>300</v>
      </c>
      <c r="F166" s="39" t="s">
        <v>353</v>
      </c>
      <c r="G166" s="51" t="s">
        <v>302</v>
      </c>
      <c r="H166" s="39"/>
    </row>
    <row r="167" customFormat="false" ht="12.8" hidden="false" customHeight="false" outlineLevel="0" collapsed="false">
      <c r="A167" s="39" t="s">
        <v>1927</v>
      </c>
      <c r="B167" s="39" t="s">
        <v>1928</v>
      </c>
      <c r="C167" s="39" t="n">
        <v>0.004</v>
      </c>
      <c r="D167" s="39" t="s">
        <v>1929</v>
      </c>
      <c r="E167" s="39" t="s">
        <v>300</v>
      </c>
      <c r="F167" s="39" t="s">
        <v>353</v>
      </c>
      <c r="G167" s="51" t="s">
        <v>302</v>
      </c>
      <c r="H167" s="39"/>
    </row>
    <row r="168" customFormat="false" ht="12.8" hidden="false" customHeight="false" outlineLevel="0" collapsed="false">
      <c r="A168" s="39" t="s">
        <v>1930</v>
      </c>
      <c r="B168" s="39" t="s">
        <v>1931</v>
      </c>
      <c r="C168" s="39" t="n">
        <v>0.003</v>
      </c>
      <c r="D168" s="39" t="s">
        <v>1932</v>
      </c>
      <c r="E168" s="39" t="s">
        <v>300</v>
      </c>
      <c r="F168" s="39" t="s">
        <v>353</v>
      </c>
      <c r="G168" s="51" t="s">
        <v>302</v>
      </c>
      <c r="H168" s="39"/>
    </row>
    <row r="169" customFormat="false" ht="12.8" hidden="false" customHeight="false" outlineLevel="0" collapsed="false">
      <c r="A169" s="39" t="s">
        <v>1933</v>
      </c>
      <c r="B169" s="39" t="s">
        <v>1934</v>
      </c>
      <c r="C169" s="39" t="n">
        <v>0.003</v>
      </c>
      <c r="D169" s="39" t="s">
        <v>1935</v>
      </c>
      <c r="E169" s="39" t="s">
        <v>300</v>
      </c>
      <c r="F169" s="39" t="s">
        <v>353</v>
      </c>
      <c r="G169" s="51" t="s">
        <v>302</v>
      </c>
      <c r="H169" s="39"/>
    </row>
    <row r="170" customFormat="false" ht="12.8" hidden="false" customHeight="false" outlineLevel="0" collapsed="false">
      <c r="A170" s="39" t="s">
        <v>1936</v>
      </c>
      <c r="B170" s="39" t="s">
        <v>1937</v>
      </c>
      <c r="C170" s="39" t="n">
        <v>0.005</v>
      </c>
      <c r="D170" s="39" t="s">
        <v>1938</v>
      </c>
      <c r="E170" s="39" t="s">
        <v>306</v>
      </c>
      <c r="F170" s="39" t="s">
        <v>353</v>
      </c>
      <c r="G170" s="51" t="s">
        <v>302</v>
      </c>
      <c r="H170" s="39"/>
    </row>
    <row r="171" customFormat="false" ht="12.8" hidden="false" customHeight="false" outlineLevel="0" collapsed="false">
      <c r="A171" s="39" t="s">
        <v>1939</v>
      </c>
      <c r="B171" s="39" t="s">
        <v>1940</v>
      </c>
      <c r="C171" s="39" t="n">
        <v>0.005</v>
      </c>
      <c r="D171" s="39" t="s">
        <v>1941</v>
      </c>
      <c r="E171" s="39" t="s">
        <v>306</v>
      </c>
      <c r="F171" s="39" t="s">
        <v>353</v>
      </c>
      <c r="G171" s="51" t="s">
        <v>302</v>
      </c>
      <c r="H171" s="39"/>
    </row>
    <row r="172" customFormat="false" ht="12.8" hidden="false" customHeight="false" outlineLevel="0" collapsed="false">
      <c r="A172" s="39" t="s">
        <v>1942</v>
      </c>
      <c r="B172" s="39" t="s">
        <v>1943</v>
      </c>
      <c r="C172" s="39" t="n">
        <v>0.004</v>
      </c>
      <c r="D172" s="39" t="s">
        <v>1944</v>
      </c>
      <c r="E172" s="39" t="s">
        <v>300</v>
      </c>
      <c r="F172" s="39" t="s">
        <v>353</v>
      </c>
      <c r="G172" s="51" t="s">
        <v>302</v>
      </c>
      <c r="H172" s="39"/>
    </row>
    <row r="173" customFormat="false" ht="12.8" hidden="false" customHeight="false" outlineLevel="0" collapsed="false">
      <c r="A173" s="39" t="s">
        <v>1945</v>
      </c>
      <c r="B173" s="39" t="s">
        <v>1946</v>
      </c>
      <c r="C173" s="39" t="n">
        <v>0.005</v>
      </c>
      <c r="D173" s="39" t="s">
        <v>1947</v>
      </c>
      <c r="E173" s="39" t="s">
        <v>306</v>
      </c>
      <c r="F173" s="39" t="s">
        <v>353</v>
      </c>
      <c r="G173" s="51" t="s">
        <v>302</v>
      </c>
      <c r="H173" s="39"/>
    </row>
    <row r="174" customFormat="false" ht="12.8" hidden="false" customHeight="false" outlineLevel="0" collapsed="false">
      <c r="A174" s="39" t="s">
        <v>1948</v>
      </c>
      <c r="B174" s="39" t="s">
        <v>1949</v>
      </c>
      <c r="C174" s="39" t="n">
        <v>0.003</v>
      </c>
      <c r="D174" s="39" t="s">
        <v>1950</v>
      </c>
      <c r="E174" s="39" t="s">
        <v>300</v>
      </c>
      <c r="F174" s="39" t="s">
        <v>353</v>
      </c>
      <c r="G174" s="51" t="s">
        <v>302</v>
      </c>
      <c r="H174" s="39"/>
    </row>
    <row r="175" customFormat="false" ht="12.8" hidden="false" customHeight="false" outlineLevel="0" collapsed="false">
      <c r="A175" s="39" t="s">
        <v>1951</v>
      </c>
      <c r="B175" s="39" t="s">
        <v>1952</v>
      </c>
      <c r="C175" s="39" t="n">
        <v>0.002</v>
      </c>
      <c r="D175" s="39" t="s">
        <v>1953</v>
      </c>
      <c r="E175" s="39" t="s">
        <v>300</v>
      </c>
      <c r="F175" s="39" t="s">
        <v>353</v>
      </c>
      <c r="G175" s="51" t="s">
        <v>302</v>
      </c>
      <c r="H175" s="39"/>
    </row>
    <row r="176" customFormat="false" ht="12.8" hidden="false" customHeight="false" outlineLevel="0" collapsed="false">
      <c r="A176" s="39" t="s">
        <v>1954</v>
      </c>
      <c r="B176" s="39" t="s">
        <v>1955</v>
      </c>
      <c r="C176" s="39" t="n">
        <v>0.003</v>
      </c>
      <c r="D176" s="39" t="s">
        <v>1956</v>
      </c>
      <c r="E176" s="39" t="s">
        <v>300</v>
      </c>
      <c r="F176" s="39" t="s">
        <v>353</v>
      </c>
      <c r="G176" s="51" t="s">
        <v>302</v>
      </c>
      <c r="H176" s="39"/>
    </row>
    <row r="177" customFormat="false" ht="12.8" hidden="false" customHeight="false" outlineLevel="0" collapsed="false">
      <c r="A177" s="39" t="s">
        <v>1957</v>
      </c>
      <c r="B177" s="39" t="s">
        <v>1958</v>
      </c>
      <c r="C177" s="39" t="n">
        <v>0.002</v>
      </c>
      <c r="D177" s="39" t="s">
        <v>1959</v>
      </c>
      <c r="E177" s="39" t="s">
        <v>300</v>
      </c>
      <c r="F177" s="39" t="s">
        <v>353</v>
      </c>
      <c r="G177" s="51" t="s">
        <v>302</v>
      </c>
      <c r="H177" s="39"/>
    </row>
    <row r="178" customFormat="false" ht="12.8" hidden="false" customHeight="false" outlineLevel="0" collapsed="false">
      <c r="A178" s="39" t="s">
        <v>1960</v>
      </c>
      <c r="B178" s="39" t="s">
        <v>1961</v>
      </c>
      <c r="C178" s="39" t="n">
        <v>0.005</v>
      </c>
      <c r="D178" s="39" t="s">
        <v>1962</v>
      </c>
      <c r="E178" s="39" t="s">
        <v>306</v>
      </c>
      <c r="F178" s="39" t="s">
        <v>353</v>
      </c>
      <c r="G178" s="51" t="s">
        <v>302</v>
      </c>
      <c r="H178" s="39"/>
    </row>
    <row r="179" customFormat="false" ht="12.8" hidden="false" customHeight="false" outlineLevel="0" collapsed="false">
      <c r="A179" s="39" t="s">
        <v>1963</v>
      </c>
      <c r="B179" s="39" t="s">
        <v>1964</v>
      </c>
      <c r="C179" s="39" t="n">
        <v>0.002</v>
      </c>
      <c r="D179" s="39" t="s">
        <v>1965</v>
      </c>
      <c r="E179" s="39" t="s">
        <v>300</v>
      </c>
      <c r="F179" s="39" t="s">
        <v>353</v>
      </c>
      <c r="G179" s="51" t="s">
        <v>302</v>
      </c>
      <c r="H179" s="39"/>
    </row>
    <row r="180" customFormat="false" ht="12.8" hidden="false" customHeight="false" outlineLevel="0" collapsed="false">
      <c r="A180" s="39" t="s">
        <v>1966</v>
      </c>
      <c r="B180" s="39" t="s">
        <v>1967</v>
      </c>
      <c r="C180" s="39" t="n">
        <v>0.002</v>
      </c>
      <c r="D180" s="39" t="s">
        <v>1968</v>
      </c>
      <c r="E180" s="39" t="s">
        <v>300</v>
      </c>
      <c r="F180" s="39" t="s">
        <v>353</v>
      </c>
      <c r="G180" s="51" t="s">
        <v>302</v>
      </c>
      <c r="H180" s="39"/>
    </row>
    <row r="181" customFormat="false" ht="12.8" hidden="false" customHeight="false" outlineLevel="0" collapsed="false">
      <c r="A181" s="39" t="s">
        <v>1969</v>
      </c>
      <c r="B181" s="39" t="s">
        <v>1970</v>
      </c>
      <c r="C181" s="39" t="n">
        <v>0.006</v>
      </c>
      <c r="D181" s="39" t="s">
        <v>1971</v>
      </c>
      <c r="E181" s="39" t="s">
        <v>368</v>
      </c>
      <c r="F181" s="39" t="s">
        <v>353</v>
      </c>
      <c r="G181" s="51" t="s">
        <v>302</v>
      </c>
      <c r="H181" s="39"/>
    </row>
    <row r="182" customFormat="false" ht="12.8" hidden="false" customHeight="false" outlineLevel="0" collapsed="false">
      <c r="A182" s="39" t="s">
        <v>1972</v>
      </c>
      <c r="B182" s="39" t="s">
        <v>1973</v>
      </c>
      <c r="C182" s="39" t="n">
        <v>0.006</v>
      </c>
      <c r="D182" s="39" t="s">
        <v>1974</v>
      </c>
      <c r="E182" s="39" t="s">
        <v>368</v>
      </c>
      <c r="F182" s="39" t="s">
        <v>353</v>
      </c>
      <c r="G182" s="51" t="s">
        <v>302</v>
      </c>
      <c r="H182" s="39"/>
    </row>
    <row r="183" customFormat="false" ht="12.8" hidden="false" customHeight="false" outlineLevel="0" collapsed="false">
      <c r="A183" s="39" t="s">
        <v>1975</v>
      </c>
      <c r="B183" s="39" t="s">
        <v>1976</v>
      </c>
      <c r="C183" s="39" t="n">
        <v>0.004</v>
      </c>
      <c r="D183" s="39" t="s">
        <v>1977</v>
      </c>
      <c r="E183" s="39" t="s">
        <v>306</v>
      </c>
      <c r="F183" s="39" t="s">
        <v>353</v>
      </c>
      <c r="G183" s="51" t="s">
        <v>302</v>
      </c>
      <c r="H183" s="39"/>
    </row>
    <row r="184" customFormat="false" ht="12.8" hidden="false" customHeight="false" outlineLevel="0" collapsed="false">
      <c r="A184" s="39" t="s">
        <v>1978</v>
      </c>
      <c r="B184" s="39" t="s">
        <v>1979</v>
      </c>
      <c r="C184" s="39" t="n">
        <v>0.002</v>
      </c>
      <c r="D184" s="39" t="s">
        <v>1980</v>
      </c>
      <c r="E184" s="39" t="s">
        <v>300</v>
      </c>
      <c r="F184" s="39" t="s">
        <v>353</v>
      </c>
      <c r="G184" s="51" t="s">
        <v>302</v>
      </c>
      <c r="H184" s="39"/>
    </row>
    <row r="185" customFormat="false" ht="12.8" hidden="false" customHeight="false" outlineLevel="0" collapsed="false">
      <c r="A185" s="39" t="s">
        <v>1981</v>
      </c>
      <c r="B185" s="39" t="s">
        <v>1982</v>
      </c>
      <c r="C185" s="39" t="n">
        <v>1.04</v>
      </c>
      <c r="D185" s="39" t="s">
        <v>1983</v>
      </c>
      <c r="E185" s="39" t="s">
        <v>306</v>
      </c>
      <c r="F185" s="39" t="s">
        <v>1984</v>
      </c>
      <c r="G185" s="51" t="s">
        <v>302</v>
      </c>
      <c r="H185" s="39" t="s">
        <v>1129</v>
      </c>
    </row>
    <row r="186" customFormat="false" ht="12.8" hidden="false" customHeight="false" outlineLevel="0" collapsed="false">
      <c r="A186" s="39" t="s">
        <v>1985</v>
      </c>
      <c r="B186" s="39" t="s">
        <v>1986</v>
      </c>
      <c r="C186" s="39" t="s">
        <v>1987</v>
      </c>
      <c r="D186" s="39" t="s">
        <v>1988</v>
      </c>
      <c r="E186" s="39" t="s">
        <v>300</v>
      </c>
      <c r="F186" s="39" t="s">
        <v>1989</v>
      </c>
      <c r="G186" s="51" t="s">
        <v>302</v>
      </c>
      <c r="H186" s="39" t="s">
        <v>1838</v>
      </c>
    </row>
    <row r="187" customFormat="false" ht="12.8" hidden="false" customHeight="false" outlineLevel="0" collapsed="false">
      <c r="A187" s="39" t="s">
        <v>1990</v>
      </c>
      <c r="B187" s="39" t="s">
        <v>1991</v>
      </c>
      <c r="C187" s="39" t="n">
        <v>2211200</v>
      </c>
      <c r="D187" s="39" t="s">
        <v>1992</v>
      </c>
      <c r="E187" s="39" t="s">
        <v>300</v>
      </c>
      <c r="F187" s="39" t="s">
        <v>1993</v>
      </c>
      <c r="G187" s="51" t="s">
        <v>302</v>
      </c>
      <c r="H187" s="39" t="s">
        <v>1994</v>
      </c>
    </row>
    <row r="188" customFormat="false" ht="12.8" hidden="false" customHeight="false" outlineLevel="0" collapsed="false">
      <c r="A188" s="39" t="s">
        <v>1995</v>
      </c>
      <c r="B188" s="39" t="s">
        <v>1996</v>
      </c>
      <c r="C188" s="39" t="n">
        <v>0.9983</v>
      </c>
      <c r="D188" s="39" t="s">
        <v>1997</v>
      </c>
      <c r="E188" s="39" t="s">
        <v>300</v>
      </c>
      <c r="F188" s="39" t="s">
        <v>1998</v>
      </c>
      <c r="G188" s="51" t="s">
        <v>302</v>
      </c>
      <c r="H188" s="39" t="s">
        <v>1999</v>
      </c>
    </row>
    <row r="190" customFormat="false" ht="12.8" hidden="false" customHeight="false" outlineLevel="0" collapsed="false">
      <c r="A190" s="60" t="str">
        <f aca="false">_xlfn.CONCAT($A$1, ".", "VALID")</f>
        <v>LSD.RID.0.AL.TNPE.VALID</v>
      </c>
      <c r="B190" s="61" t="str">
        <f aca="false">_xlfn.CONCAT($B$1, " ", "Validation")</f>
        <v>Alabama Labor Force Population Validation</v>
      </c>
    </row>
    <row r="191" customFormat="false" ht="12.8" hidden="false" customHeight="false" outlineLevel="0" collapsed="false">
      <c r="A191" s="49" t="s">
        <v>174</v>
      </c>
      <c r="B191" s="49" t="s">
        <v>2000</v>
      </c>
      <c r="C191" s="49" t="s">
        <v>1758</v>
      </c>
      <c r="D191" s="49" t="s">
        <v>2001</v>
      </c>
      <c r="E191" s="49" t="s">
        <v>2002</v>
      </c>
      <c r="F191" s="49" t="s">
        <v>294</v>
      </c>
      <c r="G191" s="49" t="s">
        <v>2003</v>
      </c>
    </row>
    <row r="192" customFormat="false" ht="12.8" hidden="false" customHeight="false" outlineLevel="0" collapsed="false">
      <c r="A192" s="39" t="s">
        <v>2004</v>
      </c>
      <c r="B192" s="39" t="s">
        <v>2005</v>
      </c>
      <c r="C192" s="39" t="n">
        <v>2211200</v>
      </c>
      <c r="D192" s="39" t="n">
        <v>2211200</v>
      </c>
      <c r="E192" s="39" t="s">
        <v>2006</v>
      </c>
      <c r="F192" s="39" t="s">
        <v>300</v>
      </c>
      <c r="G192" s="39" t="s">
        <v>2007</v>
      </c>
    </row>
    <row r="193" customFormat="false" ht="12.8" hidden="false" customHeight="false" outlineLevel="0" collapsed="false">
      <c r="A193" s="39" t="s">
        <v>2008</v>
      </c>
      <c r="B193" s="39" t="s">
        <v>2009</v>
      </c>
      <c r="C193" s="39" t="n">
        <v>2211200</v>
      </c>
      <c r="D193" s="39" t="s">
        <v>2010</v>
      </c>
      <c r="E193" s="39" t="s">
        <v>2011</v>
      </c>
      <c r="F193" s="39" t="s">
        <v>300</v>
      </c>
      <c r="G193" s="39" t="s">
        <v>2012</v>
      </c>
    </row>
    <row r="194" customFormat="false" ht="12.8" hidden="false" customHeight="false" outlineLevel="0" collapsed="false">
      <c r="A194" s="39" t="s">
        <v>2013</v>
      </c>
      <c r="B194" s="39" t="s">
        <v>2014</v>
      </c>
      <c r="C194" s="39" t="s">
        <v>2015</v>
      </c>
      <c r="D194" s="39" t="s">
        <v>2016</v>
      </c>
      <c r="E194" s="39" t="s">
        <v>2017</v>
      </c>
      <c r="F194" s="39" t="s">
        <v>300</v>
      </c>
      <c r="G194" s="39" t="s">
        <v>2018</v>
      </c>
    </row>
    <row r="195" customFormat="false" ht="12.8" hidden="false" customHeight="false" outlineLevel="0" collapsed="false">
      <c r="A195" s="39" t="s">
        <v>2019</v>
      </c>
      <c r="B195" s="39" t="s">
        <v>2020</v>
      </c>
      <c r="C195" s="39" t="s">
        <v>2021</v>
      </c>
      <c r="D195" s="39" t="s">
        <v>2022</v>
      </c>
      <c r="E195" s="39" t="s">
        <v>2023</v>
      </c>
      <c r="F195" s="39" t="s">
        <v>306</v>
      </c>
      <c r="G195" s="39" t="s">
        <v>2024</v>
      </c>
    </row>
    <row r="196" customFormat="false" ht="12.8" hidden="false" customHeight="false" outlineLevel="0" collapsed="false">
      <c r="A196" s="39" t="s">
        <v>2025</v>
      </c>
      <c r="B196" s="39" t="s">
        <v>2026</v>
      </c>
      <c r="C196" s="39" t="n">
        <v>0.9983</v>
      </c>
      <c r="D196" s="39" t="s">
        <v>2027</v>
      </c>
      <c r="E196" s="39" t="s">
        <v>2028</v>
      </c>
      <c r="F196" s="39" t="s">
        <v>300</v>
      </c>
      <c r="G196" s="39" t="s">
        <v>2029</v>
      </c>
    </row>
    <row r="197" customFormat="false" ht="12.8" hidden="false" customHeight="false" outlineLevel="0" collapsed="false">
      <c r="A197" s="39" t="s">
        <v>2030</v>
      </c>
      <c r="B197" s="39" t="s">
        <v>2031</v>
      </c>
      <c r="C197" s="39" t="s">
        <v>2032</v>
      </c>
      <c r="D197" s="39" t="s">
        <v>2033</v>
      </c>
      <c r="E197" s="39" t="s">
        <v>2034</v>
      </c>
      <c r="F197" s="39" t="s">
        <v>368</v>
      </c>
      <c r="G197" s="39" t="s">
        <v>2035</v>
      </c>
    </row>
    <row r="198" customFormat="false" ht="12.8" hidden="false" customHeight="false" outlineLevel="0" collapsed="false">
      <c r="A198" s="39" t="s">
        <v>2036</v>
      </c>
      <c r="B198" s="39" t="s">
        <v>2037</v>
      </c>
      <c r="C198" s="39" t="s">
        <v>2038</v>
      </c>
      <c r="D198" s="39" t="s">
        <v>2039</v>
      </c>
      <c r="E198" s="39" t="s">
        <v>2040</v>
      </c>
      <c r="F198" s="39" t="s">
        <v>300</v>
      </c>
      <c r="G198" s="39" t="s">
        <v>2041</v>
      </c>
    </row>
    <row r="199" customFormat="false" ht="12.8" hidden="false" customHeight="false" outlineLevel="0" collapsed="false">
      <c r="A199" s="39" t="s">
        <v>2042</v>
      </c>
      <c r="B199" s="39" t="s">
        <v>2043</v>
      </c>
      <c r="C199" s="39" t="s">
        <v>2044</v>
      </c>
      <c r="D199" s="39" t="s">
        <v>2045</v>
      </c>
      <c r="E199" s="39" t="s">
        <v>2046</v>
      </c>
      <c r="F199" s="39" t="s">
        <v>300</v>
      </c>
      <c r="G199" s="39" t="s">
        <v>2047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11"/>
  <sheetViews>
    <sheetView showFormulas="false" showGridLines="true" showRowColHeaders="true" showZeros="true" rightToLeft="false" tabSelected="false" showOutlineSymbols="true" defaultGridColor="true" view="normal" topLeftCell="A15" colorId="64" zoomScale="75" zoomScaleNormal="75" zoomScalePageLayoutView="100" workbookViewId="0">
      <selection pane="topLeft" activeCell="H57" activeCellId="0" sqref="H57"/>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34" min="7"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2048</v>
      </c>
      <c r="B1" s="42" t="s">
        <v>2049</v>
      </c>
      <c r="C1" s="6" t="s">
        <v>2</v>
      </c>
      <c r="D1" s="62" t="s">
        <v>2050</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customFormat="false" ht="12.8" hidden="false" customHeight="false" outlineLevel="0" collapsed="false">
      <c r="A2" s="60" t="str">
        <f aca="false">_xlfn.CONCAT($A$1, ".", "CALC")</f>
        <v>LSD.RID.0.AL.ETPR.CALC</v>
      </c>
      <c r="B2" s="61" t="str">
        <f aca="false">_xlfn.CONCAT($B$1, " ", "Calculations")</f>
        <v>Alabama Employment-to-Population Ratio (ETPR) Calculations</v>
      </c>
      <c r="C2" s="52" t="str">
        <f aca="false">CALC!L2</f>
        <v>Employment-to-Population Ratio (ETPR)</v>
      </c>
      <c r="D2" s="52"/>
      <c r="E2" s="52"/>
      <c r="F2" s="52"/>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row>
    <row r="3" customFormat="false" ht="12.8" hidden="false" customHeight="false" outlineLevel="0" collapsed="false">
      <c r="A3" s="60" t="str">
        <f aca="false">CALC!A3</f>
        <v>LSID</v>
      </c>
      <c r="B3" s="42" t="str">
        <f aca="false">CALC!C3</f>
        <v>Labor Sector</v>
      </c>
      <c r="C3" s="55" t="str">
        <f aca="false">CALC!L3</f>
        <v>Overall ETPR</v>
      </c>
      <c r="D3" s="55" t="str">
        <f aca="false">CALC!M3</f>
        <v>Authorized ETPR</v>
      </c>
      <c r="E3" s="55" t="str">
        <f aca="false">CALC!N3</f>
        <v>Unauthorized ETPR</v>
      </c>
      <c r="F3" s="55" t="str">
        <f aca="false">CALC!O3</f>
        <v>American ETPR</v>
      </c>
      <c r="AT3" s="3"/>
      <c r="AU3" s="3"/>
      <c r="AV3" s="3"/>
      <c r="AW3" s="3"/>
      <c r="AZ3" s="39"/>
      <c r="BA3" s="39"/>
      <c r="BB3" s="39"/>
      <c r="BC3" s="39"/>
      <c r="BJ3" s="3"/>
      <c r="BK3" s="3"/>
      <c r="BL3" s="3"/>
      <c r="BM3" s="3"/>
      <c r="BN3" s="3"/>
      <c r="BO3" s="3"/>
    </row>
    <row r="4" customFormat="false" ht="12.8" hidden="false" customHeight="false" outlineLevel="0" collapsed="false">
      <c r="A4" s="60" t="str">
        <f aca="false">_xlfn.CONCAT($A$1, ".", CALC!A4)</f>
        <v>LSD.RID.0.AL.ETPR.0</v>
      </c>
      <c r="B4" s="42" t="str">
        <f aca="false">CALC!C4</f>
        <v>All Industries</v>
      </c>
      <c r="C4" s="55" t="n">
        <v>0.562</v>
      </c>
      <c r="D4" s="55" t="n">
        <v>0.369</v>
      </c>
      <c r="E4" s="55" t="n">
        <v>0.61</v>
      </c>
      <c r="F4" s="55" t="n">
        <v>0.582</v>
      </c>
      <c r="AT4" s="3"/>
      <c r="AU4" s="3"/>
      <c r="AV4" s="3"/>
      <c r="AW4" s="3"/>
      <c r="AZ4" s="39"/>
      <c r="BA4" s="39"/>
      <c r="BB4" s="39"/>
      <c r="BC4" s="39"/>
      <c r="BJ4" s="3"/>
      <c r="BK4" s="3"/>
      <c r="BL4" s="3"/>
      <c r="BM4" s="3"/>
      <c r="BN4" s="3"/>
      <c r="BO4" s="3"/>
    </row>
    <row r="5" customFormat="false" ht="23.85" hidden="false" customHeight="false" outlineLevel="0" collapsed="false">
      <c r="A5" s="60" t="str">
        <f aca="false">_xlfn.CONCAT($A$1, ".", CALC!A5)</f>
        <v>LSD.RID.0.AL.ETPR.1</v>
      </c>
      <c r="B5" s="63" t="str">
        <f aca="false">CALC!C5</f>
        <v>Agriculture, Forestry, 
Fishing and Hunting</v>
      </c>
      <c r="C5" s="56" t="n">
        <v>0.545</v>
      </c>
      <c r="D5" s="56" t="n">
        <v>0.36</v>
      </c>
      <c r="E5" s="56" t="n">
        <v>0.7</v>
      </c>
      <c r="F5" s="56" t="n">
        <v>0.545</v>
      </c>
      <c r="AT5" s="3"/>
      <c r="AU5" s="3"/>
      <c r="AV5" s="3"/>
      <c r="AW5" s="3"/>
      <c r="AZ5" s="39"/>
      <c r="BA5" s="39"/>
      <c r="BB5" s="39"/>
      <c r="BC5" s="39"/>
      <c r="BJ5" s="3"/>
      <c r="BK5" s="3"/>
      <c r="BL5" s="3"/>
      <c r="BM5" s="3"/>
      <c r="BN5" s="3"/>
      <c r="BO5" s="3"/>
    </row>
    <row r="6" customFormat="false" ht="23.85" hidden="false" customHeight="false" outlineLevel="0" collapsed="false">
      <c r="A6" s="60" t="str">
        <f aca="false">_xlfn.CONCAT($A$1, ".", CALC!A6)</f>
        <v>LSD.RID.0.AL.ETPR.2</v>
      </c>
      <c r="B6" s="63" t="str">
        <f aca="false">CALC!C6</f>
        <v>Mining, Quarrying, and
Oil and Gas Extraction</v>
      </c>
      <c r="C6" s="56" t="n">
        <v>0.585</v>
      </c>
      <c r="D6" s="56" t="n">
        <v>0.37</v>
      </c>
      <c r="E6" s="56" t="n">
        <v>0.65</v>
      </c>
      <c r="F6" s="56" t="n">
        <v>0.585</v>
      </c>
      <c r="AT6" s="3"/>
      <c r="AU6" s="3"/>
      <c r="AV6" s="3"/>
      <c r="AW6" s="3"/>
      <c r="AZ6" s="39"/>
      <c r="BA6" s="39"/>
      <c r="BB6" s="39"/>
      <c r="BC6" s="39"/>
      <c r="BJ6" s="3"/>
      <c r="BK6" s="3"/>
      <c r="BL6" s="3"/>
      <c r="BM6" s="3"/>
      <c r="BN6" s="3"/>
      <c r="BO6" s="3"/>
    </row>
    <row r="7" customFormat="false" ht="12.8" hidden="false" customHeight="false" outlineLevel="0" collapsed="false">
      <c r="A7" s="60" t="str">
        <f aca="false">_xlfn.CONCAT($A$1, ".", CALC!A7)</f>
        <v>LSD.RID.0.AL.ETPR.3</v>
      </c>
      <c r="B7" s="42" t="str">
        <f aca="false">CALC!C7</f>
        <v>Utilities</v>
      </c>
      <c r="C7" s="56" t="n">
        <v>0.575</v>
      </c>
      <c r="D7" s="56" t="n">
        <v>0.369</v>
      </c>
      <c r="E7" s="56" t="n">
        <v>0.62</v>
      </c>
      <c r="F7" s="56" t="n">
        <v>0.575</v>
      </c>
      <c r="AT7" s="3"/>
      <c r="AU7" s="3"/>
      <c r="AV7" s="3"/>
      <c r="AW7" s="3"/>
      <c r="AZ7" s="39"/>
      <c r="BA7" s="39"/>
      <c r="BB7" s="39"/>
      <c r="BC7" s="39"/>
      <c r="BJ7" s="3"/>
      <c r="BK7" s="3"/>
      <c r="BL7" s="3"/>
      <c r="BM7" s="3"/>
      <c r="BN7" s="3"/>
      <c r="BO7" s="3"/>
    </row>
    <row r="8" customFormat="false" ht="12.8" hidden="false" customHeight="false" outlineLevel="0" collapsed="false">
      <c r="A8" s="60" t="str">
        <f aca="false">_xlfn.CONCAT($A$1, ".", CALC!A8)</f>
        <v>LSD.RID.0.AL.ETPR.4</v>
      </c>
      <c r="B8" s="42" t="str">
        <f aca="false">CALC!C8</f>
        <v>Construction</v>
      </c>
      <c r="C8" s="56" t="n">
        <v>0.545</v>
      </c>
      <c r="D8" s="56" t="n">
        <v>0.36</v>
      </c>
      <c r="E8" s="56" t="n">
        <v>0.7</v>
      </c>
      <c r="F8" s="56" t="n">
        <v>0.545</v>
      </c>
      <c r="AT8" s="3"/>
      <c r="AU8" s="3"/>
      <c r="AV8" s="3"/>
      <c r="AW8" s="3"/>
      <c r="AZ8" s="39"/>
      <c r="BA8" s="39"/>
      <c r="BB8" s="39"/>
      <c r="BC8" s="39"/>
      <c r="BJ8" s="3"/>
      <c r="BK8" s="3"/>
      <c r="BL8" s="3"/>
      <c r="BM8" s="3"/>
      <c r="BN8" s="3"/>
      <c r="BO8" s="3"/>
    </row>
    <row r="9" customFormat="false" ht="23.85" hidden="false" customHeight="false" outlineLevel="0" collapsed="false">
      <c r="A9" s="60" t="str">
        <f aca="false">_xlfn.CONCAT($A$1, ".", CALC!A9)</f>
        <v>LSD.RID.0.AL.ETPR.5</v>
      </c>
      <c r="B9" s="63" t="str">
        <f aca="false">CALC!C9</f>
        <v>Manufacturing
(Food,Textile, etc.)</v>
      </c>
      <c r="C9" s="56" t="n">
        <v>0.565</v>
      </c>
      <c r="D9" s="56" t="n">
        <v>0.365</v>
      </c>
      <c r="E9" s="56" t="n">
        <v>0.66</v>
      </c>
      <c r="F9" s="56" t="n">
        <v>0.565</v>
      </c>
      <c r="AT9" s="3"/>
      <c r="AU9" s="3"/>
      <c r="AV9" s="3"/>
      <c r="AW9" s="3"/>
      <c r="AZ9" s="39"/>
      <c r="BA9" s="39"/>
      <c r="BB9" s="39"/>
      <c r="BC9" s="39"/>
      <c r="BJ9" s="3"/>
      <c r="BK9" s="3"/>
      <c r="BL9" s="3"/>
      <c r="BM9" s="3"/>
      <c r="BN9" s="3"/>
      <c r="BO9" s="3"/>
    </row>
    <row r="10" customFormat="false" ht="23.85" hidden="false" customHeight="false" outlineLevel="0" collapsed="false">
      <c r="A10" s="60" t="str">
        <f aca="false">_xlfn.CONCAT($A$1, ".", CALC!A10)</f>
        <v>LSD.RID.0.AL.ETPR.6</v>
      </c>
      <c r="B10" s="63" t="str">
        <f aca="false">CALC!C10</f>
        <v>Manufacturing (Wood,
Paper, Printing, etc.)</v>
      </c>
      <c r="C10" s="56" t="n">
        <v>0.565</v>
      </c>
      <c r="D10" s="56" t="n">
        <v>0.365</v>
      </c>
      <c r="E10" s="56" t="n">
        <v>0.66</v>
      </c>
      <c r="F10" s="56" t="n">
        <v>0.565</v>
      </c>
      <c r="AT10" s="3"/>
      <c r="AU10" s="3"/>
      <c r="AV10" s="3"/>
      <c r="AW10" s="3"/>
      <c r="AZ10" s="39"/>
      <c r="BA10" s="39"/>
      <c r="BB10" s="39"/>
      <c r="BC10" s="39"/>
      <c r="BJ10" s="3"/>
      <c r="BK10" s="3"/>
      <c r="BL10" s="3"/>
      <c r="BM10" s="3"/>
      <c r="BN10" s="3"/>
      <c r="BO10" s="3"/>
    </row>
    <row r="11" customFormat="false" ht="23.85" hidden="false" customHeight="false" outlineLevel="0" collapsed="false">
      <c r="A11" s="60" t="str">
        <f aca="false">_xlfn.CONCAT($A$1, ".", CALC!A11)</f>
        <v>LSD.RID.0.AL.ETPR.7</v>
      </c>
      <c r="B11" s="63" t="str">
        <f aca="false">CALC!C11</f>
        <v>Manufacturing
(Machinery, Transport)</v>
      </c>
      <c r="C11" s="56" t="n">
        <v>0.565</v>
      </c>
      <c r="D11" s="56" t="n">
        <v>0.365</v>
      </c>
      <c r="E11" s="56" t="n">
        <v>0.66</v>
      </c>
      <c r="F11" s="56" t="n">
        <v>0.565</v>
      </c>
      <c r="AT11" s="3"/>
      <c r="AU11" s="3"/>
      <c r="AV11" s="3"/>
      <c r="AW11" s="3"/>
      <c r="AZ11" s="39"/>
      <c r="BA11" s="39"/>
      <c r="BB11" s="39"/>
      <c r="BC11" s="39"/>
      <c r="BJ11" s="3"/>
      <c r="BK11" s="3"/>
      <c r="BL11" s="3"/>
      <c r="BM11" s="3"/>
      <c r="BN11" s="3"/>
      <c r="BO11" s="3"/>
    </row>
    <row r="12" customFormat="false" ht="12.8" hidden="false" customHeight="false" outlineLevel="0" collapsed="false">
      <c r="A12" s="60" t="str">
        <f aca="false">_xlfn.CONCAT($A$1, ".", CALC!A12)</f>
        <v>LSD.RID.0.AL.ETPR.8</v>
      </c>
      <c r="B12" s="42" t="str">
        <f aca="false">CALC!C12</f>
        <v>Wholesale Trade</v>
      </c>
      <c r="C12" s="56" t="n">
        <v>0.57</v>
      </c>
      <c r="D12" s="56" t="n">
        <v>0.369</v>
      </c>
      <c r="E12" s="56" t="n">
        <v>0.64</v>
      </c>
      <c r="F12" s="56" t="n">
        <v>0.57</v>
      </c>
      <c r="AT12" s="3"/>
      <c r="AU12" s="3"/>
      <c r="AV12" s="3"/>
      <c r="AW12" s="3"/>
      <c r="AZ12" s="39"/>
      <c r="BA12" s="39"/>
      <c r="BB12" s="39"/>
      <c r="BC12" s="39"/>
      <c r="BJ12" s="3"/>
      <c r="BK12" s="3"/>
      <c r="BL12" s="3"/>
      <c r="BM12" s="3"/>
      <c r="BN12" s="3"/>
      <c r="BO12" s="3"/>
    </row>
    <row r="13" customFormat="false" ht="23.85" hidden="false" customHeight="false" outlineLevel="0" collapsed="false">
      <c r="A13" s="60" t="str">
        <f aca="false">_xlfn.CONCAT($A$1, ".", CALC!A13)</f>
        <v>LSD.RID.0.AL.ETPR.9</v>
      </c>
      <c r="B13" s="63" t="str">
        <f aca="false">CALC!C13</f>
        <v>Retail Trade (Motor
Vehicle, Electronics)</v>
      </c>
      <c r="C13" s="56" t="n">
        <v>0.57</v>
      </c>
      <c r="D13" s="56" t="n">
        <v>0.369</v>
      </c>
      <c r="E13" s="56" t="n">
        <v>0.64</v>
      </c>
      <c r="F13" s="56" t="n">
        <v>0.57</v>
      </c>
      <c r="AT13" s="3"/>
      <c r="AU13" s="3"/>
      <c r="AV13" s="3"/>
      <c r="AW13" s="3"/>
      <c r="AZ13" s="39"/>
      <c r="BA13" s="39"/>
      <c r="BB13" s="39"/>
      <c r="BC13" s="39"/>
      <c r="BJ13" s="3"/>
      <c r="BK13" s="3"/>
      <c r="BL13" s="3"/>
      <c r="BM13" s="3"/>
      <c r="BN13" s="3"/>
      <c r="BO13" s="3"/>
    </row>
    <row r="14" customFormat="false" ht="23.85" hidden="false" customHeight="false" outlineLevel="0" collapsed="false">
      <c r="A14" s="60" t="str">
        <f aca="false">_xlfn.CONCAT($A$1, ".", CALC!A14)</f>
        <v>LSD.RID.0.AL.ETPR.10</v>
      </c>
      <c r="B14" s="63" t="str">
        <f aca="false">CALC!C14</f>
        <v>Retail Trade (Food, Clothing,
General Merchandise, etc.)</v>
      </c>
      <c r="C14" s="56" t="n">
        <v>0.57</v>
      </c>
      <c r="D14" s="56" t="n">
        <v>0.369</v>
      </c>
      <c r="E14" s="56" t="n">
        <v>0.64</v>
      </c>
      <c r="F14" s="56" t="n">
        <v>0.57</v>
      </c>
      <c r="AT14" s="3"/>
      <c r="AU14" s="3"/>
      <c r="AV14" s="3"/>
      <c r="AW14" s="3"/>
      <c r="AZ14" s="39"/>
      <c r="BA14" s="39"/>
      <c r="BB14" s="39"/>
      <c r="BC14" s="39"/>
      <c r="BJ14" s="3"/>
      <c r="BK14" s="3"/>
      <c r="BL14" s="3"/>
      <c r="BM14" s="3"/>
      <c r="BN14" s="3"/>
      <c r="BO14" s="3"/>
    </row>
    <row r="15" customFormat="false" ht="12.8" hidden="false" customHeight="false" outlineLevel="0" collapsed="false">
      <c r="A15" s="60" t="str">
        <f aca="false">_xlfn.CONCAT($A$1, ".", CALC!A15)</f>
        <v>LSD.RID.0.AL.ETPR.11</v>
      </c>
      <c r="B15" s="42" t="str">
        <f aca="false">CALC!C15</f>
        <v>Transportation</v>
      </c>
      <c r="C15" s="56" t="n">
        <v>0.57</v>
      </c>
      <c r="D15" s="56" t="n">
        <v>0.369</v>
      </c>
      <c r="E15" s="56" t="n">
        <v>0.64</v>
      </c>
      <c r="F15" s="56" t="n">
        <v>0.57</v>
      </c>
      <c r="AT15" s="3"/>
      <c r="AU15" s="3"/>
      <c r="AV15" s="3"/>
      <c r="AW15" s="3"/>
      <c r="AZ15" s="39"/>
      <c r="BA15" s="39"/>
      <c r="BB15" s="39"/>
      <c r="BC15" s="39"/>
      <c r="BJ15" s="3"/>
      <c r="BK15" s="3"/>
      <c r="BL15" s="3"/>
      <c r="BM15" s="3"/>
      <c r="BN15" s="3"/>
      <c r="BO15" s="3"/>
    </row>
    <row r="16" customFormat="false" ht="12.8" hidden="false" customHeight="false" outlineLevel="0" collapsed="false">
      <c r="A16" s="60" t="str">
        <f aca="false">_xlfn.CONCAT($A$1, ".", CALC!A16)</f>
        <v>LSD.RID.0.AL.ETPR.12</v>
      </c>
      <c r="B16" s="42" t="str">
        <f aca="false">CALC!C16</f>
        <v>Warehousing and Storage</v>
      </c>
      <c r="C16" s="56" t="n">
        <v>0.57</v>
      </c>
      <c r="D16" s="56" t="n">
        <v>0.369</v>
      </c>
      <c r="E16" s="56" t="n">
        <v>0.64</v>
      </c>
      <c r="F16" s="56" t="n">
        <v>0.57</v>
      </c>
      <c r="AT16" s="3"/>
      <c r="AU16" s="3"/>
      <c r="AV16" s="3"/>
      <c r="AW16" s="3"/>
      <c r="AZ16" s="39"/>
      <c r="BA16" s="39"/>
      <c r="BB16" s="39"/>
      <c r="BC16" s="39"/>
      <c r="BJ16" s="3"/>
      <c r="BK16" s="3"/>
      <c r="BL16" s="3"/>
      <c r="BM16" s="3"/>
      <c r="BN16" s="3"/>
      <c r="BO16" s="3"/>
    </row>
    <row r="17" customFormat="false" ht="12.8" hidden="false" customHeight="false" outlineLevel="0" collapsed="false">
      <c r="A17" s="60" t="str">
        <f aca="false">_xlfn.CONCAT($A$1, ".", CALC!A17)</f>
        <v>LSD.RID.0.AL.ETPR.13</v>
      </c>
      <c r="B17" s="42" t="str">
        <f aca="false">CALC!C17</f>
        <v>Information</v>
      </c>
      <c r="C17" s="56" t="n">
        <v>0.58</v>
      </c>
      <c r="D17" s="56" t="n">
        <v>0.37</v>
      </c>
      <c r="E17" s="56" t="n">
        <v>0.6</v>
      </c>
      <c r="F17" s="56" t="n">
        <v>0.58</v>
      </c>
      <c r="AT17" s="3"/>
      <c r="AU17" s="3"/>
      <c r="AV17" s="3"/>
      <c r="AW17" s="3"/>
      <c r="AZ17" s="39"/>
      <c r="BA17" s="39"/>
      <c r="BB17" s="39"/>
      <c r="BC17" s="39"/>
      <c r="BJ17" s="3"/>
      <c r="BK17" s="3"/>
      <c r="BL17" s="3"/>
      <c r="BM17" s="3"/>
      <c r="BN17" s="3"/>
      <c r="BO17" s="3"/>
    </row>
    <row r="18" customFormat="false" ht="12.8" hidden="false" customHeight="false" outlineLevel="0" collapsed="false">
      <c r="A18" s="60" t="str">
        <f aca="false">_xlfn.CONCAT($A$1, ".", CALC!A18)</f>
        <v>LSD.RID.0.AL.ETPR.14</v>
      </c>
      <c r="B18" s="42" t="str">
        <f aca="false">CALC!C18</f>
        <v>Finance and Insurance</v>
      </c>
      <c r="C18" s="56" t="n">
        <v>0.595</v>
      </c>
      <c r="D18" s="56" t="n">
        <v>0.375</v>
      </c>
      <c r="E18" s="56" t="n">
        <v>0.52</v>
      </c>
      <c r="F18" s="56" t="n">
        <v>0.595</v>
      </c>
      <c r="AT18" s="3"/>
      <c r="AU18" s="3"/>
      <c r="AV18" s="3"/>
      <c r="AW18" s="3"/>
      <c r="AZ18" s="39"/>
      <c r="BA18" s="39"/>
      <c r="BB18" s="39"/>
      <c r="BC18" s="39"/>
      <c r="BJ18" s="3"/>
      <c r="BK18" s="3"/>
      <c r="BL18" s="3"/>
      <c r="BM18" s="3"/>
      <c r="BN18" s="3"/>
      <c r="BO18" s="3"/>
    </row>
    <row r="19" customFormat="false" ht="23.85" hidden="false" customHeight="false" outlineLevel="0" collapsed="false">
      <c r="A19" s="60" t="str">
        <f aca="false">_xlfn.CONCAT($A$1, ".", CALC!A19)</f>
        <v>LSD.RID.0.AL.ETPR.15</v>
      </c>
      <c r="B19" s="63" t="str">
        <f aca="false">CALC!C19</f>
        <v>Real Estate and
Rental and Leasing</v>
      </c>
      <c r="C19" s="56" t="n">
        <v>0.575</v>
      </c>
      <c r="D19" s="56" t="n">
        <v>0.37</v>
      </c>
      <c r="E19" s="56" t="n">
        <v>0.6</v>
      </c>
      <c r="F19" s="56" t="n">
        <v>0.575</v>
      </c>
      <c r="AT19" s="3"/>
      <c r="AU19" s="3"/>
      <c r="AV19" s="3"/>
      <c r="AW19" s="3"/>
      <c r="AZ19" s="39"/>
      <c r="BA19" s="39"/>
      <c r="BB19" s="39"/>
      <c r="BC19" s="39"/>
      <c r="BJ19" s="3"/>
      <c r="BK19" s="3"/>
      <c r="BL19" s="3"/>
      <c r="BM19" s="3"/>
      <c r="BN19" s="3"/>
      <c r="BO19" s="3"/>
    </row>
    <row r="20" customFormat="false" ht="23.85" hidden="false" customHeight="false" outlineLevel="0" collapsed="false">
      <c r="A20" s="60" t="str">
        <f aca="false">_xlfn.CONCAT($A$1, ".", CALC!A20)</f>
        <v>LSD.RID.0.AL.ETPR.16</v>
      </c>
      <c r="B20" s="63" t="str">
        <f aca="false">CALC!C20</f>
        <v>Professional, Scientific,
and Technical Services</v>
      </c>
      <c r="C20" s="56" t="n">
        <v>0.605</v>
      </c>
      <c r="D20" s="56" t="n">
        <v>0.375</v>
      </c>
      <c r="E20" s="56" t="n">
        <v>0.56</v>
      </c>
      <c r="F20" s="56" t="n">
        <v>0.605</v>
      </c>
      <c r="AT20" s="3"/>
      <c r="AU20" s="3"/>
      <c r="AV20" s="3"/>
      <c r="AW20" s="3"/>
      <c r="AZ20" s="39"/>
      <c r="BA20" s="39"/>
      <c r="BB20" s="39"/>
      <c r="BC20" s="39"/>
      <c r="BJ20" s="3"/>
      <c r="BK20" s="3"/>
      <c r="BL20" s="3"/>
      <c r="BM20" s="3"/>
      <c r="BN20" s="3"/>
      <c r="BO20" s="3"/>
    </row>
    <row r="21" customFormat="false" ht="35.05" hidden="false" customHeight="false" outlineLevel="0" collapsed="false">
      <c r="A21" s="60" t="str">
        <f aca="false">_xlfn.CONCAT($A$1, ".", CALC!A21)</f>
        <v>LSD.RID.0.AL.ETPR.17</v>
      </c>
      <c r="B21" s="63" t="str">
        <f aca="false">CALC!C21</f>
        <v>Administrative and Support
and Waste Management
and Remediation Services</v>
      </c>
      <c r="C21" s="56" t="n">
        <v>0.565</v>
      </c>
      <c r="D21" s="56" t="n">
        <v>0.365</v>
      </c>
      <c r="E21" s="56" t="n">
        <v>0.67</v>
      </c>
      <c r="F21" s="56" t="n">
        <v>0.565</v>
      </c>
      <c r="AT21" s="3"/>
      <c r="AU21" s="3"/>
      <c r="AV21" s="3"/>
      <c r="AW21" s="3"/>
      <c r="AZ21" s="39"/>
      <c r="BA21" s="39"/>
      <c r="BB21" s="39"/>
      <c r="BC21" s="39"/>
      <c r="BJ21" s="3"/>
      <c r="BK21" s="3"/>
      <c r="BL21" s="3"/>
      <c r="BM21" s="3"/>
      <c r="BN21" s="3"/>
      <c r="BO21" s="3"/>
    </row>
    <row r="22" customFormat="false" ht="12.8" hidden="false" customHeight="false" outlineLevel="0" collapsed="false">
      <c r="A22" s="60" t="str">
        <f aca="false">_xlfn.CONCAT($A$1, ".", CALC!A22)</f>
        <v>LSD.RID.0.AL.ETPR.18</v>
      </c>
      <c r="B22" s="42" t="str">
        <f aca="false">CALC!C22</f>
        <v>Educational Services</v>
      </c>
      <c r="C22" s="56" t="n">
        <v>0.58</v>
      </c>
      <c r="D22" s="56" t="n">
        <v>0.375</v>
      </c>
      <c r="E22" s="56" t="n">
        <v>0.56</v>
      </c>
      <c r="F22" s="56" t="n">
        <v>0.58</v>
      </c>
      <c r="AT22" s="3"/>
      <c r="AU22" s="3"/>
      <c r="AV22" s="3"/>
      <c r="AW22" s="3"/>
      <c r="AZ22" s="39"/>
      <c r="BA22" s="39"/>
      <c r="BB22" s="39"/>
      <c r="BC22" s="39"/>
      <c r="BJ22" s="3"/>
      <c r="BK22" s="3"/>
      <c r="BL22" s="3"/>
      <c r="BM22" s="3"/>
      <c r="BN22" s="3"/>
      <c r="BO22" s="3"/>
    </row>
    <row r="23" customFormat="false" ht="23.85" hidden="false" customHeight="false" outlineLevel="0" collapsed="false">
      <c r="A23" s="60" t="str">
        <f aca="false">_xlfn.CONCAT($A$1, ".", CALC!A23)</f>
        <v>LSD.RID.0.AL.ETPR.19</v>
      </c>
      <c r="B23" s="63" t="str">
        <f aca="false">CALC!C23</f>
        <v>Health Care and
Social Assistance</v>
      </c>
      <c r="C23" s="56" t="n">
        <v>0.58</v>
      </c>
      <c r="D23" s="56" t="n">
        <v>0.375</v>
      </c>
      <c r="E23" s="56" t="n">
        <v>0.56</v>
      </c>
      <c r="F23" s="56" t="n">
        <v>0.58</v>
      </c>
      <c r="AT23" s="3"/>
      <c r="AU23" s="3"/>
      <c r="AV23" s="3"/>
      <c r="AW23" s="3"/>
      <c r="AZ23" s="39"/>
      <c r="BA23" s="39"/>
      <c r="BB23" s="39"/>
      <c r="BC23" s="39"/>
      <c r="BJ23" s="3"/>
      <c r="BK23" s="3"/>
      <c r="BL23" s="3"/>
      <c r="BM23" s="3"/>
      <c r="BN23" s="3"/>
      <c r="BO23" s="3"/>
    </row>
    <row r="24" customFormat="false" ht="23.85" hidden="false" customHeight="false" outlineLevel="0" collapsed="false">
      <c r="A24" s="60" t="str">
        <f aca="false">_xlfn.CONCAT($A$1, ".", CALC!A24)</f>
        <v>LSD.RID.0.AL.ETPR.20</v>
      </c>
      <c r="B24" s="63" t="str">
        <f aca="false">CALC!C24</f>
        <v>Arts, Entertainment,
and Recreation</v>
      </c>
      <c r="C24" s="56" t="n">
        <v>0.565</v>
      </c>
      <c r="D24" s="56" t="n">
        <v>0.365</v>
      </c>
      <c r="E24" s="56" t="n">
        <v>0.67</v>
      </c>
      <c r="F24" s="56" t="n">
        <v>0.565</v>
      </c>
      <c r="AT24" s="3"/>
      <c r="AU24" s="3"/>
      <c r="AV24" s="3"/>
      <c r="AW24" s="3"/>
      <c r="AZ24" s="39"/>
      <c r="BA24" s="39"/>
      <c r="BB24" s="39"/>
      <c r="BC24" s="39"/>
      <c r="BJ24" s="3"/>
      <c r="BK24" s="3"/>
      <c r="BL24" s="3"/>
      <c r="BM24" s="3"/>
      <c r="BN24" s="3"/>
      <c r="BO24" s="3"/>
    </row>
    <row r="25" customFormat="false" ht="23.85" hidden="false" customHeight="false" outlineLevel="0" collapsed="false">
      <c r="A25" s="60" t="str">
        <f aca="false">_xlfn.CONCAT($A$1, ".", CALC!A25)</f>
        <v>LSD.RID.0.AL.ETPR.21</v>
      </c>
      <c r="B25" s="63" t="str">
        <f aca="false">CALC!C25</f>
        <v>Accommodation
and Food Services</v>
      </c>
      <c r="C25" s="56" t="n">
        <v>0.545</v>
      </c>
      <c r="D25" s="56" t="n">
        <v>0.36</v>
      </c>
      <c r="E25" s="56" t="n">
        <v>0.7</v>
      </c>
      <c r="F25" s="56" t="n">
        <v>0.545</v>
      </c>
      <c r="AT25" s="3"/>
      <c r="AU25" s="3"/>
      <c r="AV25" s="3"/>
      <c r="AW25" s="3"/>
      <c r="AZ25" s="39"/>
      <c r="BA25" s="39"/>
      <c r="BB25" s="39"/>
      <c r="BC25" s="39"/>
      <c r="BJ25" s="3"/>
      <c r="BK25" s="3"/>
      <c r="BL25" s="3"/>
      <c r="BM25" s="3"/>
      <c r="BN25" s="3"/>
      <c r="BO25" s="3"/>
    </row>
    <row r="26" customFormat="false" ht="23.85" hidden="false" customHeight="false" outlineLevel="0" collapsed="false">
      <c r="A26" s="60" t="str">
        <f aca="false">_xlfn.CONCAT($A$1, ".", CALC!A26)</f>
        <v>LSD.RID.0.AL.ETPR.22</v>
      </c>
      <c r="B26" s="63" t="str">
        <f aca="false">CALC!C26</f>
        <v>Other Services (except
Public Administration)</v>
      </c>
      <c r="C26" s="56" t="n">
        <v>0.565</v>
      </c>
      <c r="D26" s="56" t="n">
        <v>0.365</v>
      </c>
      <c r="E26" s="56" t="n">
        <v>0.67</v>
      </c>
      <c r="F26" s="56" t="n">
        <v>0.565</v>
      </c>
      <c r="AT26" s="3"/>
      <c r="AU26" s="3"/>
      <c r="AV26" s="3"/>
      <c r="AW26" s="3"/>
      <c r="AZ26" s="39"/>
      <c r="BA26" s="39"/>
      <c r="BB26" s="39"/>
      <c r="BC26" s="39"/>
      <c r="BJ26" s="3"/>
      <c r="BK26" s="3"/>
      <c r="BL26" s="3"/>
      <c r="BM26" s="3"/>
      <c r="BN26" s="3"/>
      <c r="BO26" s="3"/>
    </row>
    <row r="27" customFormat="false" ht="12.8" hidden="false" customHeight="false" outlineLevel="0" collapsed="false">
      <c r="A27" s="60" t="str">
        <f aca="false">_xlfn.CONCAT($A$1, ".", CALC!A27)</f>
        <v>LSD.RID.0.AL.ETPR.23</v>
      </c>
      <c r="B27" s="42" t="str">
        <f aca="false">CALC!C27</f>
        <v>Public Administration</v>
      </c>
      <c r="C27" s="56" t="n">
        <v>0.595</v>
      </c>
      <c r="D27" s="56" t="n">
        <v>0.375</v>
      </c>
      <c r="E27" s="56" t="n">
        <v>0.5</v>
      </c>
      <c r="F27" s="56" t="n">
        <v>0.595</v>
      </c>
      <c r="AT27" s="3"/>
      <c r="AU27" s="3"/>
      <c r="AV27" s="3"/>
      <c r="AW27" s="3"/>
      <c r="AZ27" s="39"/>
      <c r="BA27" s="39"/>
      <c r="BB27" s="39"/>
      <c r="BC27" s="39"/>
      <c r="BJ27" s="3"/>
      <c r="BK27" s="3"/>
      <c r="BL27" s="3"/>
      <c r="BM27" s="3"/>
      <c r="BN27" s="3"/>
      <c r="BO27" s="3"/>
    </row>
    <row r="125" customFormat="false" ht="12.8" hidden="false" customHeight="false" outlineLevel="0" collapsed="false">
      <c r="A125" s="60" t="str">
        <f aca="false">_xlfn.CONCAT($A$1, ".", "FORM")</f>
        <v>LSD.RID.0.AL.ETPR.FORM</v>
      </c>
      <c r="B125" s="61" t="str">
        <f aca="false">_xlfn.CONCAT($B$1, " ", "Formulae")</f>
        <v>Alabama Employment-to-Population Ratio (ETPR) Formulae</v>
      </c>
    </row>
    <row r="126" customFormat="false" ht="12.8" hidden="false" customHeight="false" outlineLevel="0" collapsed="false">
      <c r="A126" s="49" t="s">
        <v>2051</v>
      </c>
      <c r="B126" s="49" t="s">
        <v>175</v>
      </c>
      <c r="C126" s="49" t="s">
        <v>176</v>
      </c>
      <c r="D126" s="49" t="s">
        <v>177</v>
      </c>
      <c r="E126" s="49" t="s">
        <v>178</v>
      </c>
      <c r="F126" s="49" t="s">
        <v>179</v>
      </c>
    </row>
    <row r="127" customFormat="false" ht="12.8" hidden="false" customHeight="false" outlineLevel="0" collapsed="false">
      <c r="A127" s="39" t="s">
        <v>2052</v>
      </c>
      <c r="B127" s="39" t="s">
        <v>2053</v>
      </c>
      <c r="C127" s="39" t="s">
        <v>2054</v>
      </c>
      <c r="D127" s="39" t="s">
        <v>2055</v>
      </c>
      <c r="E127" s="39" t="s">
        <v>2056</v>
      </c>
      <c r="F127" s="39" t="s">
        <v>2057</v>
      </c>
    </row>
    <row r="128" customFormat="false" ht="12.8" hidden="false" customHeight="false" outlineLevel="0" collapsed="false">
      <c r="A128" s="39" t="s">
        <v>2058</v>
      </c>
      <c r="B128" s="39" t="s">
        <v>2059</v>
      </c>
      <c r="C128" s="39" t="s">
        <v>2060</v>
      </c>
      <c r="D128" s="39" t="s">
        <v>2061</v>
      </c>
      <c r="E128" s="39" t="s">
        <v>2062</v>
      </c>
      <c r="F128" s="39" t="s">
        <v>2063</v>
      </c>
    </row>
    <row r="129" customFormat="false" ht="12.8" hidden="false" customHeight="false" outlineLevel="0" collapsed="false">
      <c r="A129" s="39" t="s">
        <v>2064</v>
      </c>
      <c r="B129" s="39" t="s">
        <v>2065</v>
      </c>
      <c r="C129" s="39" t="s">
        <v>2066</v>
      </c>
      <c r="D129" s="39" t="s">
        <v>2067</v>
      </c>
      <c r="E129" s="39" t="s">
        <v>1532</v>
      </c>
      <c r="F129" s="39" t="s">
        <v>1533</v>
      </c>
    </row>
    <row r="130" customFormat="false" ht="12.8" hidden="false" customHeight="false" outlineLevel="0" collapsed="false">
      <c r="A130" s="39" t="s">
        <v>2068</v>
      </c>
      <c r="B130" s="39" t="s">
        <v>2069</v>
      </c>
      <c r="C130" s="39" t="s">
        <v>2070</v>
      </c>
      <c r="D130" s="39" t="s">
        <v>2071</v>
      </c>
      <c r="E130" s="39" t="s">
        <v>1539</v>
      </c>
      <c r="F130" s="39" t="s">
        <v>1533</v>
      </c>
    </row>
    <row r="131" customFormat="false" ht="12.8" hidden="false" customHeight="false" outlineLevel="0" collapsed="false">
      <c r="A131" s="39" t="s">
        <v>2072</v>
      </c>
      <c r="B131" s="39" t="s">
        <v>2073</v>
      </c>
      <c r="C131" s="39" t="s">
        <v>2074</v>
      </c>
      <c r="D131" s="39" t="s">
        <v>2075</v>
      </c>
      <c r="E131" s="39" t="s">
        <v>1545</v>
      </c>
      <c r="F131" s="39" t="s">
        <v>2076</v>
      </c>
    </row>
    <row r="132" customFormat="false" ht="12.8" hidden="false" customHeight="false" outlineLevel="0" collapsed="false">
      <c r="A132" s="39" t="s">
        <v>2077</v>
      </c>
      <c r="B132" s="39" t="s">
        <v>2078</v>
      </c>
      <c r="C132" s="39" t="s">
        <v>2079</v>
      </c>
      <c r="D132" s="39" t="s">
        <v>2080</v>
      </c>
      <c r="E132" s="39" t="s">
        <v>2081</v>
      </c>
      <c r="F132" s="39" t="s">
        <v>1533</v>
      </c>
    </row>
    <row r="134" customFormat="false" ht="12.8" hidden="false" customHeight="false" outlineLevel="0" collapsed="false">
      <c r="A134" s="60" t="str">
        <f aca="false">_xlfn.CONCAT($A$1, ".", "PARAM")</f>
        <v>LSD.RID.0.AL.ETPR.PARAM</v>
      </c>
      <c r="B134" s="61" t="str">
        <f aca="false">_xlfn.CONCAT($B$1, " ", "Parameters")</f>
        <v>Alabama Employment-to-Population Ratio (ETPR) Parameters</v>
      </c>
    </row>
    <row r="135" customFormat="false" ht="12.8" hidden="false" customHeight="false" outlineLevel="0" collapsed="false">
      <c r="A135" s="49" t="s">
        <v>2082</v>
      </c>
      <c r="B135" s="49" t="s">
        <v>176</v>
      </c>
      <c r="C135" s="49" t="s">
        <v>293</v>
      </c>
      <c r="D135" s="49" t="s">
        <v>178</v>
      </c>
      <c r="E135" s="49" t="s">
        <v>294</v>
      </c>
      <c r="F135" s="49" t="s">
        <v>295</v>
      </c>
      <c r="G135" s="49" t="s">
        <v>296</v>
      </c>
    </row>
    <row r="136" customFormat="false" ht="12.8" hidden="false" customHeight="false" outlineLevel="0" collapsed="false">
      <c r="A136" s="39" t="s">
        <v>2083</v>
      </c>
      <c r="B136" s="39" t="s">
        <v>2084</v>
      </c>
      <c r="C136" s="39" t="n">
        <v>0.562</v>
      </c>
      <c r="D136" s="39" t="s">
        <v>2085</v>
      </c>
      <c r="E136" s="39" t="s">
        <v>300</v>
      </c>
      <c r="F136" s="39" t="s">
        <v>377</v>
      </c>
      <c r="G136" s="51" t="s">
        <v>302</v>
      </c>
    </row>
    <row r="137" customFormat="false" ht="12.8" hidden="false" customHeight="false" outlineLevel="0" collapsed="false">
      <c r="A137" s="39" t="s">
        <v>2086</v>
      </c>
      <c r="B137" s="39" t="s">
        <v>2087</v>
      </c>
      <c r="C137" s="39" t="n">
        <v>0.91</v>
      </c>
      <c r="D137" s="39" t="s">
        <v>2088</v>
      </c>
      <c r="E137" s="39" t="s">
        <v>368</v>
      </c>
      <c r="F137" s="39" t="s">
        <v>1560</v>
      </c>
      <c r="G137" s="51" t="s">
        <v>302</v>
      </c>
    </row>
    <row r="138" customFormat="false" ht="12.8" hidden="false" customHeight="false" outlineLevel="0" collapsed="false">
      <c r="A138" s="39" t="s">
        <v>2089</v>
      </c>
      <c r="B138" s="39" t="s">
        <v>2090</v>
      </c>
      <c r="C138" s="39" t="n">
        <v>0.95</v>
      </c>
      <c r="D138" s="39" t="s">
        <v>2091</v>
      </c>
      <c r="E138" s="39" t="s">
        <v>300</v>
      </c>
      <c r="F138" s="39" t="s">
        <v>1564</v>
      </c>
      <c r="G138" s="51" t="s">
        <v>302</v>
      </c>
    </row>
    <row r="139" customFormat="false" ht="12.8" hidden="false" customHeight="false" outlineLevel="0" collapsed="false">
      <c r="A139" s="39" t="s">
        <v>2092</v>
      </c>
      <c r="B139" s="39" t="s">
        <v>2093</v>
      </c>
      <c r="C139" s="39" t="n">
        <v>0.91</v>
      </c>
      <c r="D139" s="39" t="s">
        <v>2094</v>
      </c>
      <c r="E139" s="39" t="s">
        <v>300</v>
      </c>
      <c r="F139" s="39" t="s">
        <v>1568</v>
      </c>
      <c r="G139" s="51" t="s">
        <v>302</v>
      </c>
    </row>
    <row r="140" customFormat="false" ht="12.8" hidden="false" customHeight="false" outlineLevel="0" collapsed="false">
      <c r="A140" s="39" t="s">
        <v>2095</v>
      </c>
      <c r="B140" s="39" t="s">
        <v>2096</v>
      </c>
      <c r="C140" s="39" t="n">
        <v>0.93</v>
      </c>
      <c r="D140" s="39" t="s">
        <v>2097</v>
      </c>
      <c r="E140" s="39" t="s">
        <v>300</v>
      </c>
      <c r="F140" s="39" t="s">
        <v>1564</v>
      </c>
      <c r="G140" s="51" t="s">
        <v>302</v>
      </c>
    </row>
    <row r="141" customFormat="false" ht="12.8" hidden="false" customHeight="false" outlineLevel="0" collapsed="false">
      <c r="A141" s="39" t="s">
        <v>2098</v>
      </c>
      <c r="B141" s="39" t="s">
        <v>2099</v>
      </c>
      <c r="C141" s="39" t="n">
        <v>0.93</v>
      </c>
      <c r="D141" s="39" t="s">
        <v>2100</v>
      </c>
      <c r="E141" s="39" t="s">
        <v>300</v>
      </c>
      <c r="F141" s="39" t="s">
        <v>1564</v>
      </c>
      <c r="G141" s="51" t="s">
        <v>302</v>
      </c>
    </row>
    <row r="142" customFormat="false" ht="12.8" hidden="false" customHeight="false" outlineLevel="0" collapsed="false">
      <c r="A142" s="39" t="s">
        <v>2101</v>
      </c>
      <c r="B142" s="39" t="s">
        <v>2102</v>
      </c>
      <c r="C142" s="39" t="n">
        <v>0.94</v>
      </c>
      <c r="D142" s="39" t="s">
        <v>2103</v>
      </c>
      <c r="E142" s="39" t="s">
        <v>368</v>
      </c>
      <c r="F142" s="39" t="s">
        <v>463</v>
      </c>
      <c r="G142" s="51" t="s">
        <v>302</v>
      </c>
    </row>
    <row r="143" customFormat="false" ht="12.8" hidden="false" customHeight="false" outlineLevel="0" collapsed="false">
      <c r="A143" s="39" t="s">
        <v>2104</v>
      </c>
      <c r="B143" s="39" t="s">
        <v>2105</v>
      </c>
      <c r="C143" s="39" t="n">
        <v>0.98</v>
      </c>
      <c r="D143" s="39" t="s">
        <v>2106</v>
      </c>
      <c r="E143" s="39" t="s">
        <v>300</v>
      </c>
      <c r="F143" s="39" t="s">
        <v>1564</v>
      </c>
      <c r="G143" s="51" t="s">
        <v>302</v>
      </c>
    </row>
    <row r="144" customFormat="false" ht="12.8" hidden="false" customHeight="false" outlineLevel="0" collapsed="false">
      <c r="A144" s="39" t="s">
        <v>2107</v>
      </c>
      <c r="B144" s="39" t="s">
        <v>2108</v>
      </c>
      <c r="C144" s="39" t="n">
        <v>0.99</v>
      </c>
      <c r="D144" s="39" t="s">
        <v>2109</v>
      </c>
      <c r="E144" s="39" t="s">
        <v>300</v>
      </c>
      <c r="F144" s="39" t="s">
        <v>1564</v>
      </c>
      <c r="G144" s="51" t="s">
        <v>302</v>
      </c>
    </row>
    <row r="145" customFormat="false" ht="12.8" hidden="false" customHeight="false" outlineLevel="0" collapsed="false">
      <c r="A145" s="39" t="s">
        <v>2110</v>
      </c>
      <c r="B145" s="39" t="s">
        <v>2111</v>
      </c>
      <c r="C145" s="39" t="n">
        <v>0.95</v>
      </c>
      <c r="D145" s="39" t="s">
        <v>2112</v>
      </c>
      <c r="E145" s="39" t="s">
        <v>300</v>
      </c>
      <c r="F145" s="39" t="s">
        <v>1564</v>
      </c>
      <c r="G145" s="51" t="s">
        <v>302</v>
      </c>
    </row>
    <row r="146" customFormat="false" ht="12.8" hidden="false" customHeight="false" outlineLevel="0" collapsed="false">
      <c r="A146" s="39" t="s">
        <v>2113</v>
      </c>
      <c r="B146" s="39" t="s">
        <v>2114</v>
      </c>
      <c r="C146" s="39" t="n">
        <v>0.9</v>
      </c>
      <c r="D146" s="39" t="s">
        <v>2115</v>
      </c>
      <c r="E146" s="39" t="s">
        <v>300</v>
      </c>
      <c r="F146" s="39" t="s">
        <v>1564</v>
      </c>
      <c r="G146" s="51" t="s">
        <v>302</v>
      </c>
    </row>
    <row r="147" customFormat="false" ht="12.8" hidden="false" customHeight="false" outlineLevel="0" collapsed="false">
      <c r="A147" s="39" t="s">
        <v>2116</v>
      </c>
      <c r="B147" s="39" t="s">
        <v>2117</v>
      </c>
      <c r="C147" s="39" t="n">
        <v>0.92</v>
      </c>
      <c r="D147" s="39" t="s">
        <v>2118</v>
      </c>
      <c r="E147" s="39" t="s">
        <v>368</v>
      </c>
      <c r="F147" s="39" t="s">
        <v>463</v>
      </c>
      <c r="G147" s="51" t="s">
        <v>302</v>
      </c>
    </row>
    <row r="148" customFormat="false" ht="12.8" hidden="false" customHeight="false" outlineLevel="0" collapsed="false">
      <c r="A148" s="39" t="s">
        <v>2119</v>
      </c>
      <c r="B148" s="39" t="s">
        <v>2120</v>
      </c>
      <c r="C148" s="39" t="n">
        <v>0.98</v>
      </c>
      <c r="D148" s="39" t="s">
        <v>2121</v>
      </c>
      <c r="E148" s="39" t="s">
        <v>300</v>
      </c>
      <c r="F148" s="39" t="s">
        <v>1564</v>
      </c>
      <c r="G148" s="51" t="s">
        <v>302</v>
      </c>
    </row>
    <row r="149" customFormat="false" ht="12.8" hidden="false" customHeight="false" outlineLevel="0" collapsed="false">
      <c r="A149" s="39" t="s">
        <v>2122</v>
      </c>
      <c r="B149" s="39" t="s">
        <v>2123</v>
      </c>
      <c r="C149" s="39" t="n">
        <v>0.91</v>
      </c>
      <c r="D149" s="39" t="s">
        <v>2124</v>
      </c>
      <c r="E149" s="39" t="s">
        <v>306</v>
      </c>
      <c r="F149" s="39" t="s">
        <v>1599</v>
      </c>
      <c r="G149" s="51" t="s">
        <v>302</v>
      </c>
    </row>
    <row r="150" customFormat="false" ht="12.8" hidden="false" customHeight="false" outlineLevel="0" collapsed="false">
      <c r="A150" s="39" t="s">
        <v>2125</v>
      </c>
      <c r="B150" s="39" t="s">
        <v>2126</v>
      </c>
      <c r="C150" s="39" t="n">
        <v>1.06</v>
      </c>
      <c r="D150" s="39" t="s">
        <v>2127</v>
      </c>
      <c r="E150" s="39" t="s">
        <v>306</v>
      </c>
      <c r="F150" s="39" t="s">
        <v>1603</v>
      </c>
      <c r="G150" s="51" t="s">
        <v>302</v>
      </c>
    </row>
    <row r="151" customFormat="false" ht="12.8" hidden="false" customHeight="false" outlineLevel="0" collapsed="false">
      <c r="A151" s="39" t="s">
        <v>2128</v>
      </c>
      <c r="B151" s="39" t="s">
        <v>2129</v>
      </c>
      <c r="C151" s="39" t="n">
        <v>0.92</v>
      </c>
      <c r="D151" s="39" t="s">
        <v>2130</v>
      </c>
      <c r="E151" s="39" t="s">
        <v>300</v>
      </c>
      <c r="F151" s="39" t="s">
        <v>353</v>
      </c>
      <c r="G151" s="51" t="s">
        <v>302</v>
      </c>
    </row>
    <row r="152" customFormat="false" ht="12.8" hidden="false" customHeight="false" outlineLevel="0" collapsed="false">
      <c r="A152" s="39" t="s">
        <v>2131</v>
      </c>
      <c r="B152" s="39" t="s">
        <v>2132</v>
      </c>
      <c r="C152" s="39" t="n">
        <v>0.75</v>
      </c>
      <c r="D152" s="39" t="s">
        <v>2133</v>
      </c>
      <c r="E152" s="39" t="s">
        <v>306</v>
      </c>
      <c r="F152" s="39" t="s">
        <v>353</v>
      </c>
      <c r="G152" s="51" t="s">
        <v>302</v>
      </c>
    </row>
    <row r="153" customFormat="false" ht="12.8" hidden="false" customHeight="false" outlineLevel="0" collapsed="false">
      <c r="A153" s="39" t="s">
        <v>2134</v>
      </c>
      <c r="B153" s="39" t="s">
        <v>2135</v>
      </c>
      <c r="C153" s="39" t="n">
        <v>0.65</v>
      </c>
      <c r="D153" s="39" t="s">
        <v>2136</v>
      </c>
      <c r="E153" s="39" t="s">
        <v>306</v>
      </c>
      <c r="F153" s="39" t="s">
        <v>353</v>
      </c>
      <c r="G153" s="51" t="s">
        <v>302</v>
      </c>
    </row>
    <row r="154" customFormat="false" ht="12.8" hidden="false" customHeight="false" outlineLevel="0" collapsed="false">
      <c r="A154" s="39" t="s">
        <v>2137</v>
      </c>
      <c r="B154" s="39" t="s">
        <v>1614</v>
      </c>
      <c r="C154" s="39" t="n">
        <v>0.005</v>
      </c>
      <c r="D154" s="39" t="s">
        <v>1615</v>
      </c>
      <c r="E154" s="39" t="s">
        <v>306</v>
      </c>
      <c r="F154" s="39" t="s">
        <v>1616</v>
      </c>
      <c r="G154" s="51" t="s">
        <v>302</v>
      </c>
    </row>
    <row r="155" customFormat="false" ht="12.8" hidden="false" customHeight="false" outlineLevel="0" collapsed="false">
      <c r="A155" s="39" t="s">
        <v>2138</v>
      </c>
      <c r="B155" s="39" t="s">
        <v>1618</v>
      </c>
      <c r="C155" s="39" t="n">
        <v>0.145</v>
      </c>
      <c r="D155" s="39" t="s">
        <v>1619</v>
      </c>
      <c r="E155" s="39" t="s">
        <v>306</v>
      </c>
      <c r="F155" s="39" t="s">
        <v>1620</v>
      </c>
      <c r="G155" s="51" t="s">
        <v>302</v>
      </c>
    </row>
    <row r="156" customFormat="false" ht="12.8" hidden="false" customHeight="false" outlineLevel="0" collapsed="false">
      <c r="A156" s="39" t="s">
        <v>2139</v>
      </c>
      <c r="B156" s="39" t="s">
        <v>1622</v>
      </c>
      <c r="C156" s="39" t="n">
        <v>0.072</v>
      </c>
      <c r="D156" s="39" t="s">
        <v>1623</v>
      </c>
      <c r="E156" s="39" t="s">
        <v>306</v>
      </c>
      <c r="F156" s="39" t="s">
        <v>1616</v>
      </c>
      <c r="G156" s="51" t="s">
        <v>302</v>
      </c>
    </row>
    <row r="157" customFormat="false" ht="12.8" hidden="false" customHeight="false" outlineLevel="0" collapsed="false">
      <c r="A157" s="39" t="s">
        <v>2140</v>
      </c>
      <c r="B157" s="39" t="s">
        <v>1625</v>
      </c>
      <c r="C157" s="39" t="n">
        <v>0.037</v>
      </c>
      <c r="D157" s="39" t="s">
        <v>1626</v>
      </c>
      <c r="E157" s="39" t="s">
        <v>306</v>
      </c>
      <c r="F157" s="39" t="s">
        <v>1620</v>
      </c>
      <c r="G157" s="51" t="s">
        <v>302</v>
      </c>
    </row>
    <row r="158" customFormat="false" ht="12.8" hidden="false" customHeight="false" outlineLevel="0" collapsed="false">
      <c r="A158" s="39" t="s">
        <v>2141</v>
      </c>
      <c r="B158" s="39" t="s">
        <v>1628</v>
      </c>
      <c r="C158" s="39" t="n">
        <v>0.014</v>
      </c>
      <c r="D158" s="39" t="s">
        <v>1629</v>
      </c>
      <c r="E158" s="39" t="s">
        <v>306</v>
      </c>
      <c r="F158" s="39" t="s">
        <v>1616</v>
      </c>
      <c r="G158" s="51" t="s">
        <v>302</v>
      </c>
    </row>
    <row r="159" customFormat="false" ht="12.8" hidden="false" customHeight="false" outlineLevel="0" collapsed="false">
      <c r="A159" s="39" t="s">
        <v>2142</v>
      </c>
      <c r="B159" s="39" t="s">
        <v>1631</v>
      </c>
      <c r="C159" s="39" t="n">
        <v>0.04</v>
      </c>
      <c r="D159" s="39" t="s">
        <v>1632</v>
      </c>
      <c r="E159" s="39" t="s">
        <v>306</v>
      </c>
      <c r="F159" s="39" t="s">
        <v>1620</v>
      </c>
      <c r="G159" s="51" t="s">
        <v>302</v>
      </c>
    </row>
    <row r="160" customFormat="false" ht="12.8" hidden="false" customHeight="false" outlineLevel="0" collapsed="false">
      <c r="A160" s="39" t="s">
        <v>2143</v>
      </c>
      <c r="B160" s="39" t="s">
        <v>1634</v>
      </c>
      <c r="C160" s="39" t="n">
        <v>0.034</v>
      </c>
      <c r="D160" s="39" t="s">
        <v>1635</v>
      </c>
      <c r="E160" s="39" t="s">
        <v>306</v>
      </c>
      <c r="F160" s="39" t="s">
        <v>1616</v>
      </c>
      <c r="G160" s="51" t="s">
        <v>302</v>
      </c>
    </row>
    <row r="161" customFormat="false" ht="12.8" hidden="false" customHeight="false" outlineLevel="0" collapsed="false">
      <c r="A161" s="39" t="s">
        <v>2144</v>
      </c>
      <c r="B161" s="39" t="s">
        <v>1637</v>
      </c>
      <c r="C161" s="39" t="n">
        <v>0.102</v>
      </c>
      <c r="D161" s="39" t="s">
        <v>1638</v>
      </c>
      <c r="E161" s="39" t="s">
        <v>306</v>
      </c>
      <c r="F161" s="39" t="s">
        <v>1620</v>
      </c>
      <c r="G161" s="51" t="s">
        <v>302</v>
      </c>
    </row>
    <row r="162" customFormat="false" ht="12.8" hidden="false" customHeight="false" outlineLevel="0" collapsed="false">
      <c r="A162" s="39" t="s">
        <v>2145</v>
      </c>
      <c r="B162" s="39" t="s">
        <v>1640</v>
      </c>
      <c r="C162" s="39" t="n">
        <v>0.021</v>
      </c>
      <c r="D162" s="39" t="s">
        <v>1641</v>
      </c>
      <c r="E162" s="39" t="s">
        <v>306</v>
      </c>
      <c r="F162" s="39" t="s">
        <v>1616</v>
      </c>
      <c r="G162" s="51" t="s">
        <v>302</v>
      </c>
    </row>
    <row r="163" customFormat="false" ht="12.8" hidden="false" customHeight="false" outlineLevel="0" collapsed="false">
      <c r="A163" s="39" t="s">
        <v>2146</v>
      </c>
      <c r="B163" s="39" t="s">
        <v>1643</v>
      </c>
      <c r="C163" s="39" t="n">
        <v>0.039</v>
      </c>
      <c r="D163" s="39" t="s">
        <v>1644</v>
      </c>
      <c r="E163" s="39" t="s">
        <v>306</v>
      </c>
      <c r="F163" s="39" t="s">
        <v>1620</v>
      </c>
      <c r="G163" s="51" t="s">
        <v>302</v>
      </c>
    </row>
    <row r="164" customFormat="false" ht="12.8" hidden="false" customHeight="false" outlineLevel="0" collapsed="false">
      <c r="A164" s="39" t="s">
        <v>2147</v>
      </c>
      <c r="B164" s="39" t="s">
        <v>1646</v>
      </c>
      <c r="C164" s="39" t="n">
        <v>0.021</v>
      </c>
      <c r="D164" s="39" t="s">
        <v>1647</v>
      </c>
      <c r="E164" s="39" t="s">
        <v>306</v>
      </c>
      <c r="F164" s="39" t="s">
        <v>1616</v>
      </c>
      <c r="G164" s="51" t="s">
        <v>302</v>
      </c>
    </row>
    <row r="165" customFormat="false" ht="12.8" hidden="false" customHeight="false" outlineLevel="0" collapsed="false">
      <c r="A165" s="39" t="s">
        <v>2148</v>
      </c>
      <c r="B165" s="39" t="s">
        <v>1649</v>
      </c>
      <c r="C165" s="39" t="n">
        <v>0.014</v>
      </c>
      <c r="D165" s="39" t="s">
        <v>1650</v>
      </c>
      <c r="E165" s="39" t="s">
        <v>306</v>
      </c>
      <c r="F165" s="39" t="s">
        <v>1620</v>
      </c>
      <c r="G165" s="51" t="s">
        <v>302</v>
      </c>
    </row>
    <row r="166" customFormat="false" ht="12.8" hidden="false" customHeight="false" outlineLevel="0" collapsed="false">
      <c r="A166" s="39" t="s">
        <v>2149</v>
      </c>
      <c r="B166" s="39" t="s">
        <v>1652</v>
      </c>
      <c r="C166" s="39" t="n">
        <v>0.028</v>
      </c>
      <c r="D166" s="39" t="s">
        <v>1653</v>
      </c>
      <c r="E166" s="39" t="s">
        <v>306</v>
      </c>
      <c r="F166" s="39" t="s">
        <v>1616</v>
      </c>
      <c r="G166" s="51" t="s">
        <v>302</v>
      </c>
    </row>
    <row r="167" customFormat="false" ht="12.8" hidden="false" customHeight="false" outlineLevel="0" collapsed="false">
      <c r="A167" s="39" t="s">
        <v>2150</v>
      </c>
      <c r="B167" s="39" t="s">
        <v>1655</v>
      </c>
      <c r="C167" s="39" t="n">
        <v>0.014</v>
      </c>
      <c r="D167" s="39" t="s">
        <v>1656</v>
      </c>
      <c r="E167" s="39" t="s">
        <v>306</v>
      </c>
      <c r="F167" s="39" t="s">
        <v>1620</v>
      </c>
      <c r="G167" s="51" t="s">
        <v>302</v>
      </c>
    </row>
    <row r="168" customFormat="false" ht="12.8" hidden="false" customHeight="false" outlineLevel="0" collapsed="false">
      <c r="A168" s="39" t="s">
        <v>2151</v>
      </c>
      <c r="B168" s="39" t="s">
        <v>1658</v>
      </c>
      <c r="C168" s="39" t="n">
        <v>0.021</v>
      </c>
      <c r="D168" s="39" t="s">
        <v>1659</v>
      </c>
      <c r="E168" s="39" t="s">
        <v>306</v>
      </c>
      <c r="F168" s="39" t="s">
        <v>1616</v>
      </c>
      <c r="G168" s="51" t="s">
        <v>302</v>
      </c>
    </row>
    <row r="169" customFormat="false" ht="12.8" hidden="false" customHeight="false" outlineLevel="0" collapsed="false">
      <c r="A169" s="39" t="s">
        <v>2152</v>
      </c>
      <c r="B169" s="39" t="s">
        <v>1661</v>
      </c>
      <c r="C169" s="39" t="n">
        <v>0.026</v>
      </c>
      <c r="D169" s="39" t="s">
        <v>1662</v>
      </c>
      <c r="E169" s="39" t="s">
        <v>306</v>
      </c>
      <c r="F169" s="39" t="s">
        <v>1620</v>
      </c>
      <c r="G169" s="51" t="s">
        <v>302</v>
      </c>
    </row>
    <row r="170" customFormat="false" ht="12.8" hidden="false" customHeight="false" outlineLevel="0" collapsed="false">
      <c r="A170" s="39" t="s">
        <v>2153</v>
      </c>
      <c r="B170" s="39" t="s">
        <v>1664</v>
      </c>
      <c r="C170" s="39" t="n">
        <v>0.068</v>
      </c>
      <c r="D170" s="39" t="s">
        <v>1665</v>
      </c>
      <c r="E170" s="39" t="s">
        <v>306</v>
      </c>
      <c r="F170" s="39" t="s">
        <v>1616</v>
      </c>
      <c r="G170" s="51" t="s">
        <v>302</v>
      </c>
    </row>
    <row r="171" customFormat="false" ht="12.8" hidden="false" customHeight="false" outlineLevel="0" collapsed="false">
      <c r="A171" s="39" t="s">
        <v>2154</v>
      </c>
      <c r="B171" s="39" t="s">
        <v>1667</v>
      </c>
      <c r="C171" s="39" t="n">
        <v>0.026</v>
      </c>
      <c r="D171" s="39" t="s">
        <v>1668</v>
      </c>
      <c r="E171" s="39" t="s">
        <v>306</v>
      </c>
      <c r="F171" s="39" t="s">
        <v>1620</v>
      </c>
      <c r="G171" s="51" t="s">
        <v>302</v>
      </c>
    </row>
    <row r="172" customFormat="false" ht="12.8" hidden="false" customHeight="false" outlineLevel="0" collapsed="false">
      <c r="A172" s="39" t="s">
        <v>2155</v>
      </c>
      <c r="B172" s="39" t="s">
        <v>1670</v>
      </c>
      <c r="C172" s="39" t="n">
        <v>0.014</v>
      </c>
      <c r="D172" s="39" t="s">
        <v>1671</v>
      </c>
      <c r="E172" s="39" t="s">
        <v>306</v>
      </c>
      <c r="F172" s="39" t="s">
        <v>1616</v>
      </c>
      <c r="G172" s="51" t="s">
        <v>302</v>
      </c>
    </row>
    <row r="173" customFormat="false" ht="12.8" hidden="false" customHeight="false" outlineLevel="0" collapsed="false">
      <c r="A173" s="39" t="s">
        <v>2156</v>
      </c>
      <c r="B173" s="39" t="s">
        <v>1673</v>
      </c>
      <c r="C173" s="39" t="n">
        <v>0.077</v>
      </c>
      <c r="D173" s="39" t="s">
        <v>1674</v>
      </c>
      <c r="E173" s="39" t="s">
        <v>306</v>
      </c>
      <c r="F173" s="39" t="s">
        <v>1620</v>
      </c>
      <c r="G173" s="51" t="s">
        <v>302</v>
      </c>
    </row>
    <row r="174" customFormat="false" ht="12.8" hidden="false" customHeight="false" outlineLevel="0" collapsed="false">
      <c r="A174" s="39" t="s">
        <v>2157</v>
      </c>
      <c r="B174" s="39" t="s">
        <v>1676</v>
      </c>
      <c r="C174" s="39" t="n">
        <v>0.008</v>
      </c>
      <c r="D174" s="39" t="s">
        <v>1677</v>
      </c>
      <c r="E174" s="39" t="s">
        <v>306</v>
      </c>
      <c r="F174" s="39" t="s">
        <v>1616</v>
      </c>
      <c r="G174" s="51" t="s">
        <v>302</v>
      </c>
    </row>
    <row r="175" customFormat="false" ht="12.8" hidden="false" customHeight="false" outlineLevel="0" collapsed="false">
      <c r="A175" s="39" t="s">
        <v>2158</v>
      </c>
      <c r="B175" s="39" t="s">
        <v>1679</v>
      </c>
      <c r="C175" s="39" t="n">
        <v>0.039</v>
      </c>
      <c r="D175" s="39" t="s">
        <v>1680</v>
      </c>
      <c r="E175" s="39" t="s">
        <v>306</v>
      </c>
      <c r="F175" s="39" t="s">
        <v>1620</v>
      </c>
      <c r="G175" s="51" t="s">
        <v>302</v>
      </c>
    </row>
    <row r="176" customFormat="false" ht="12.8" hidden="false" customHeight="false" outlineLevel="0" collapsed="false">
      <c r="A176" s="39" t="s">
        <v>2159</v>
      </c>
      <c r="B176" s="39" t="s">
        <v>1682</v>
      </c>
      <c r="C176" s="39" t="n">
        <v>0.008</v>
      </c>
      <c r="D176" s="39" t="s">
        <v>1683</v>
      </c>
      <c r="E176" s="39" t="s">
        <v>306</v>
      </c>
      <c r="F176" s="39" t="s">
        <v>1616</v>
      </c>
      <c r="G176" s="51" t="s">
        <v>302</v>
      </c>
    </row>
    <row r="177" customFormat="false" ht="12.8" hidden="false" customHeight="false" outlineLevel="0" collapsed="false">
      <c r="A177" s="39" t="s">
        <v>2160</v>
      </c>
      <c r="B177" s="39" t="s">
        <v>1685</v>
      </c>
      <c r="C177" s="39" t="n">
        <v>0.007</v>
      </c>
      <c r="D177" s="39" t="s">
        <v>1686</v>
      </c>
      <c r="E177" s="39" t="s">
        <v>306</v>
      </c>
      <c r="F177" s="39" t="s">
        <v>1620</v>
      </c>
      <c r="G177" s="51" t="s">
        <v>302</v>
      </c>
    </row>
    <row r="178" customFormat="false" ht="12.8" hidden="false" customHeight="false" outlineLevel="0" collapsed="false">
      <c r="A178" s="39" t="s">
        <v>2161</v>
      </c>
      <c r="B178" s="39" t="s">
        <v>2162</v>
      </c>
      <c r="C178" s="39" t="n">
        <v>0.025</v>
      </c>
      <c r="D178" s="39" t="s">
        <v>2163</v>
      </c>
      <c r="E178" s="39" t="s">
        <v>368</v>
      </c>
      <c r="F178" s="39" t="s">
        <v>1690</v>
      </c>
      <c r="G178" s="51" t="s">
        <v>302</v>
      </c>
    </row>
    <row r="179" customFormat="false" ht="12.8" hidden="false" customHeight="false" outlineLevel="0" collapsed="false">
      <c r="A179" s="39" t="s">
        <v>2164</v>
      </c>
      <c r="B179" s="39" t="s">
        <v>2165</v>
      </c>
      <c r="C179" s="39" t="n">
        <v>0.02</v>
      </c>
      <c r="D179" s="39" t="s">
        <v>2166</v>
      </c>
      <c r="E179" s="39" t="s">
        <v>306</v>
      </c>
      <c r="F179" s="39" t="s">
        <v>1690</v>
      </c>
      <c r="G179" s="51" t="s">
        <v>302</v>
      </c>
    </row>
    <row r="180" customFormat="false" ht="12.8" hidden="false" customHeight="false" outlineLevel="0" collapsed="false">
      <c r="A180" s="39" t="s">
        <v>2167</v>
      </c>
      <c r="B180" s="39" t="s">
        <v>2168</v>
      </c>
      <c r="C180" s="39" t="n">
        <v>0.015</v>
      </c>
      <c r="D180" s="39" t="s">
        <v>2169</v>
      </c>
      <c r="E180" s="39" t="s">
        <v>300</v>
      </c>
      <c r="F180" s="39" t="s">
        <v>1690</v>
      </c>
      <c r="G180" s="51" t="s">
        <v>302</v>
      </c>
    </row>
    <row r="181" customFormat="false" ht="12.8" hidden="false" customHeight="false" outlineLevel="0" collapsed="false">
      <c r="A181" s="39" t="s">
        <v>2170</v>
      </c>
      <c r="B181" s="39" t="s">
        <v>2171</v>
      </c>
      <c r="C181" s="39" t="n">
        <v>0.03</v>
      </c>
      <c r="D181" s="39" t="s">
        <v>2172</v>
      </c>
      <c r="E181" s="39" t="s">
        <v>300</v>
      </c>
      <c r="F181" s="39" t="s">
        <v>1690</v>
      </c>
      <c r="G181" s="51" t="s">
        <v>302</v>
      </c>
    </row>
    <row r="182" customFormat="false" ht="12.8" hidden="false" customHeight="false" outlineLevel="0" collapsed="false">
      <c r="A182" s="39" t="s">
        <v>2173</v>
      </c>
      <c r="B182" s="39" t="s">
        <v>2174</v>
      </c>
      <c r="C182" s="39" t="n">
        <v>0.018</v>
      </c>
      <c r="D182" s="39" t="s">
        <v>2175</v>
      </c>
      <c r="E182" s="39" t="s">
        <v>306</v>
      </c>
      <c r="F182" s="39" t="s">
        <v>1690</v>
      </c>
      <c r="G182" s="51" t="s">
        <v>302</v>
      </c>
    </row>
    <row r="183" customFormat="false" ht="12.8" hidden="false" customHeight="false" outlineLevel="0" collapsed="false">
      <c r="A183" s="39" t="s">
        <v>2176</v>
      </c>
      <c r="B183" s="39" t="s">
        <v>2177</v>
      </c>
      <c r="C183" s="39" t="n">
        <v>0.02</v>
      </c>
      <c r="D183" s="39" t="s">
        <v>2178</v>
      </c>
      <c r="E183" s="39" t="s">
        <v>306</v>
      </c>
      <c r="F183" s="39" t="s">
        <v>1690</v>
      </c>
      <c r="G183" s="51" t="s">
        <v>302</v>
      </c>
    </row>
    <row r="184" customFormat="false" ht="12.8" hidden="false" customHeight="false" outlineLevel="0" collapsed="false">
      <c r="A184" s="39" t="s">
        <v>2179</v>
      </c>
      <c r="B184" s="39" t="s">
        <v>2180</v>
      </c>
      <c r="C184" s="39" t="n">
        <v>0.016</v>
      </c>
      <c r="D184" s="39" t="s">
        <v>2181</v>
      </c>
      <c r="E184" s="39" t="s">
        <v>300</v>
      </c>
      <c r="F184" s="39" t="s">
        <v>1690</v>
      </c>
      <c r="G184" s="51" t="s">
        <v>302</v>
      </c>
    </row>
    <row r="185" customFormat="false" ht="12.8" hidden="false" customHeight="false" outlineLevel="0" collapsed="false">
      <c r="A185" s="39" t="s">
        <v>2182</v>
      </c>
      <c r="B185" s="39" t="s">
        <v>2183</v>
      </c>
      <c r="C185" s="39" t="n">
        <v>0.015</v>
      </c>
      <c r="D185" s="39" t="s">
        <v>2184</v>
      </c>
      <c r="E185" s="39" t="s">
        <v>300</v>
      </c>
      <c r="F185" s="39" t="s">
        <v>1690</v>
      </c>
      <c r="G185" s="51" t="s">
        <v>302</v>
      </c>
    </row>
    <row r="186" customFormat="false" ht="12.8" hidden="false" customHeight="false" outlineLevel="0" collapsed="false">
      <c r="A186" s="39" t="s">
        <v>2185</v>
      </c>
      <c r="B186" s="39" t="s">
        <v>2186</v>
      </c>
      <c r="C186" s="39" t="n">
        <v>0.024</v>
      </c>
      <c r="D186" s="39" t="s">
        <v>2187</v>
      </c>
      <c r="E186" s="39" t="s">
        <v>306</v>
      </c>
      <c r="F186" s="39" t="s">
        <v>1690</v>
      </c>
      <c r="G186" s="51" t="s">
        <v>302</v>
      </c>
    </row>
    <row r="187" customFormat="false" ht="12.8" hidden="false" customHeight="false" outlineLevel="0" collapsed="false">
      <c r="A187" s="39" t="s">
        <v>2188</v>
      </c>
      <c r="B187" s="39" t="s">
        <v>2189</v>
      </c>
      <c r="C187" s="39" t="n">
        <v>0.027</v>
      </c>
      <c r="D187" s="39" t="s">
        <v>2190</v>
      </c>
      <c r="E187" s="39" t="s">
        <v>306</v>
      </c>
      <c r="F187" s="39" t="s">
        <v>1690</v>
      </c>
      <c r="G187" s="51" t="s">
        <v>302</v>
      </c>
    </row>
    <row r="188" customFormat="false" ht="12.8" hidden="false" customHeight="false" outlineLevel="0" collapsed="false">
      <c r="A188" s="39" t="s">
        <v>2191</v>
      </c>
      <c r="B188" s="39" t="s">
        <v>2192</v>
      </c>
      <c r="C188" s="39" t="n">
        <v>0.022</v>
      </c>
      <c r="D188" s="39" t="s">
        <v>2193</v>
      </c>
      <c r="E188" s="39" t="s">
        <v>306</v>
      </c>
      <c r="F188" s="39" t="s">
        <v>1690</v>
      </c>
      <c r="G188" s="51" t="s">
        <v>302</v>
      </c>
    </row>
    <row r="189" customFormat="false" ht="12.8" hidden="false" customHeight="false" outlineLevel="0" collapsed="false">
      <c r="A189" s="39" t="s">
        <v>2194</v>
      </c>
      <c r="B189" s="39" t="s">
        <v>2195</v>
      </c>
      <c r="C189" s="39" t="n">
        <v>0.028</v>
      </c>
      <c r="D189" s="39" t="s">
        <v>2196</v>
      </c>
      <c r="E189" s="39" t="s">
        <v>306</v>
      </c>
      <c r="F189" s="39" t="s">
        <v>1690</v>
      </c>
      <c r="G189" s="51" t="s">
        <v>302</v>
      </c>
    </row>
    <row r="190" customFormat="false" ht="12.8" hidden="false" customHeight="false" outlineLevel="0" collapsed="false">
      <c r="A190" s="39" t="s">
        <v>2197</v>
      </c>
      <c r="B190" s="39" t="s">
        <v>2198</v>
      </c>
      <c r="C190" s="39" t="n">
        <v>0.018</v>
      </c>
      <c r="D190" s="39" t="s">
        <v>2199</v>
      </c>
      <c r="E190" s="39" t="s">
        <v>368</v>
      </c>
      <c r="F190" s="39" t="s">
        <v>1690</v>
      </c>
      <c r="G190" s="51" t="s">
        <v>302</v>
      </c>
    </row>
    <row r="191" customFormat="false" ht="12.8" hidden="false" customHeight="false" outlineLevel="0" collapsed="false">
      <c r="A191" s="39" t="s">
        <v>2200</v>
      </c>
      <c r="B191" s="39" t="s">
        <v>2201</v>
      </c>
      <c r="C191" s="39" t="n">
        <v>0.013</v>
      </c>
      <c r="D191" s="39" t="s">
        <v>2202</v>
      </c>
      <c r="E191" s="39" t="s">
        <v>300</v>
      </c>
      <c r="F191" s="39" t="s">
        <v>1690</v>
      </c>
      <c r="G191" s="51" t="s">
        <v>302</v>
      </c>
    </row>
    <row r="192" customFormat="false" ht="12.8" hidden="false" customHeight="false" outlineLevel="0" collapsed="false">
      <c r="A192" s="39" t="s">
        <v>2203</v>
      </c>
      <c r="B192" s="39" t="s">
        <v>2204</v>
      </c>
      <c r="C192" s="39" t="n">
        <v>0.02</v>
      </c>
      <c r="D192" s="39" t="s">
        <v>2205</v>
      </c>
      <c r="E192" s="39" t="s">
        <v>306</v>
      </c>
      <c r="F192" s="39" t="s">
        <v>1690</v>
      </c>
      <c r="G192" s="51" t="s">
        <v>302</v>
      </c>
    </row>
    <row r="193" customFormat="false" ht="12.8" hidden="false" customHeight="false" outlineLevel="0" collapsed="false">
      <c r="A193" s="39" t="s">
        <v>2206</v>
      </c>
      <c r="B193" s="39" t="s">
        <v>2207</v>
      </c>
      <c r="C193" s="39" t="n">
        <v>0.021</v>
      </c>
      <c r="D193" s="39" t="s">
        <v>2208</v>
      </c>
      <c r="E193" s="39" t="s">
        <v>306</v>
      </c>
      <c r="F193" s="39" t="s">
        <v>1690</v>
      </c>
      <c r="G193" s="51" t="s">
        <v>302</v>
      </c>
    </row>
    <row r="194" customFormat="false" ht="12.8" hidden="false" customHeight="false" outlineLevel="0" collapsed="false">
      <c r="A194" s="39" t="s">
        <v>2209</v>
      </c>
      <c r="B194" s="39" t="s">
        <v>2210</v>
      </c>
      <c r="C194" s="39" t="n">
        <v>0.025</v>
      </c>
      <c r="D194" s="39" t="s">
        <v>2211</v>
      </c>
      <c r="E194" s="39" t="s">
        <v>306</v>
      </c>
      <c r="F194" s="39" t="s">
        <v>1690</v>
      </c>
      <c r="G194" s="51" t="s">
        <v>302</v>
      </c>
    </row>
    <row r="195" customFormat="false" ht="12.8" hidden="false" customHeight="false" outlineLevel="0" collapsed="false">
      <c r="A195" s="39" t="s">
        <v>2212</v>
      </c>
      <c r="B195" s="39" t="s">
        <v>2213</v>
      </c>
      <c r="C195" s="39" t="n">
        <v>0.014</v>
      </c>
      <c r="D195" s="39" t="s">
        <v>2214</v>
      </c>
      <c r="E195" s="39" t="s">
        <v>300</v>
      </c>
      <c r="F195" s="39" t="s">
        <v>1690</v>
      </c>
      <c r="G195" s="51" t="s">
        <v>302</v>
      </c>
    </row>
    <row r="196" customFormat="false" ht="12.8" hidden="false" customHeight="false" outlineLevel="0" collapsed="false">
      <c r="A196" s="39" t="s">
        <v>2215</v>
      </c>
      <c r="B196" s="39" t="s">
        <v>2216</v>
      </c>
      <c r="C196" s="39" t="n">
        <v>0.013</v>
      </c>
      <c r="D196" s="39" t="s">
        <v>2217</v>
      </c>
      <c r="E196" s="39" t="s">
        <v>300</v>
      </c>
      <c r="F196" s="39" t="s">
        <v>1690</v>
      </c>
      <c r="G196" s="51" t="s">
        <v>302</v>
      </c>
    </row>
    <row r="197" customFormat="false" ht="12.8" hidden="false" customHeight="false" outlineLevel="0" collapsed="false">
      <c r="A197" s="39" t="s">
        <v>2218</v>
      </c>
      <c r="B197" s="39" t="s">
        <v>2219</v>
      </c>
      <c r="C197" s="39" t="n">
        <v>0.029</v>
      </c>
      <c r="D197" s="39" t="s">
        <v>2220</v>
      </c>
      <c r="E197" s="39" t="s">
        <v>368</v>
      </c>
      <c r="F197" s="39" t="s">
        <v>1690</v>
      </c>
      <c r="G197" s="51" t="s">
        <v>302</v>
      </c>
    </row>
    <row r="198" customFormat="false" ht="12.8" hidden="false" customHeight="false" outlineLevel="0" collapsed="false">
      <c r="A198" s="39" t="s">
        <v>2221</v>
      </c>
      <c r="B198" s="39" t="s">
        <v>2222</v>
      </c>
      <c r="C198" s="39" t="n">
        <v>0.032</v>
      </c>
      <c r="D198" s="39" t="s">
        <v>2223</v>
      </c>
      <c r="E198" s="39" t="s">
        <v>368</v>
      </c>
      <c r="F198" s="39" t="s">
        <v>1690</v>
      </c>
      <c r="G198" s="51" t="s">
        <v>302</v>
      </c>
    </row>
    <row r="199" customFormat="false" ht="12.8" hidden="false" customHeight="false" outlineLevel="0" collapsed="false">
      <c r="A199" s="39" t="s">
        <v>2224</v>
      </c>
      <c r="B199" s="39" t="s">
        <v>2225</v>
      </c>
      <c r="C199" s="39" t="n">
        <v>0.026</v>
      </c>
      <c r="D199" s="39" t="s">
        <v>2226</v>
      </c>
      <c r="E199" s="39" t="s">
        <v>368</v>
      </c>
      <c r="F199" s="39" t="s">
        <v>1690</v>
      </c>
      <c r="G199" s="51" t="s">
        <v>302</v>
      </c>
    </row>
    <row r="200" customFormat="false" ht="12.8" hidden="false" customHeight="false" outlineLevel="0" collapsed="false">
      <c r="A200" s="39" t="s">
        <v>2227</v>
      </c>
      <c r="B200" s="39" t="s">
        <v>2228</v>
      </c>
      <c r="C200" s="39" t="n">
        <v>0.01</v>
      </c>
      <c r="D200" s="39" t="s">
        <v>2229</v>
      </c>
      <c r="E200" s="39" t="s">
        <v>300</v>
      </c>
      <c r="F200" s="39" t="s">
        <v>1690</v>
      </c>
      <c r="G200" s="51" t="s">
        <v>302</v>
      </c>
    </row>
    <row r="202" customFormat="false" ht="12.8" hidden="false" customHeight="false" outlineLevel="0" collapsed="false">
      <c r="A202" s="60" t="str">
        <f aca="false">_xlfn.CONCAT($A$1, ".", "VALID")</f>
        <v>LSD.RID.0.AL.ETPR.VALID</v>
      </c>
      <c r="B202" s="61" t="str">
        <f aca="false">_xlfn.CONCAT($B$1, " ", "Validation")</f>
        <v>Alabama Employment-to-Population Ratio (ETPR) Validation</v>
      </c>
    </row>
    <row r="203" customFormat="false" ht="12.8" hidden="false" customHeight="false" outlineLevel="0" collapsed="false">
      <c r="A203" s="49" t="s">
        <v>113</v>
      </c>
      <c r="B203" s="49" t="s">
        <v>1757</v>
      </c>
      <c r="C203" s="49" t="s">
        <v>1758</v>
      </c>
      <c r="D203" s="49" t="s">
        <v>1759</v>
      </c>
      <c r="E203" s="49" t="s">
        <v>295</v>
      </c>
      <c r="F203" s="49" t="s">
        <v>1760</v>
      </c>
      <c r="G203" s="49" t="s">
        <v>1761</v>
      </c>
      <c r="H203" s="49" t="s">
        <v>1761</v>
      </c>
    </row>
    <row r="204" customFormat="false" ht="12.8" hidden="false" customHeight="false" outlineLevel="0" collapsed="false">
      <c r="A204" s="39" t="s">
        <v>2230</v>
      </c>
      <c r="B204" s="39" t="s">
        <v>2231</v>
      </c>
      <c r="C204" s="39" t="n">
        <v>0.562</v>
      </c>
      <c r="D204" s="39" t="s">
        <v>2232</v>
      </c>
      <c r="E204" s="39" t="s">
        <v>2233</v>
      </c>
      <c r="F204" s="39" t="s">
        <v>300</v>
      </c>
      <c r="G204" s="39" t="s">
        <v>2234</v>
      </c>
    </row>
    <row r="205" customFormat="false" ht="12.8" hidden="false" customHeight="false" outlineLevel="0" collapsed="false">
      <c r="A205" s="39" t="s">
        <v>2235</v>
      </c>
      <c r="B205" s="39" t="s">
        <v>2236</v>
      </c>
      <c r="C205" s="39" t="n">
        <v>0.369</v>
      </c>
      <c r="D205" s="39" t="s">
        <v>2237</v>
      </c>
      <c r="E205" s="39" t="s">
        <v>2238</v>
      </c>
      <c r="F205" s="39" t="s">
        <v>306</v>
      </c>
      <c r="G205" s="39" t="s">
        <v>2239</v>
      </c>
    </row>
    <row r="206" customFormat="false" ht="12.8" hidden="false" customHeight="false" outlineLevel="0" collapsed="false">
      <c r="A206" s="39" t="s">
        <v>2240</v>
      </c>
      <c r="B206" s="39" t="s">
        <v>2241</v>
      </c>
      <c r="C206" s="39" t="s">
        <v>2242</v>
      </c>
      <c r="D206" s="39" t="s">
        <v>2243</v>
      </c>
      <c r="E206" s="39" t="s">
        <v>2244</v>
      </c>
      <c r="F206" s="39" t="s">
        <v>300</v>
      </c>
      <c r="G206" s="39" t="s">
        <v>2245</v>
      </c>
    </row>
    <row r="207" customFormat="false" ht="12.8" hidden="false" customHeight="false" outlineLevel="0" collapsed="false">
      <c r="A207" s="39" t="s">
        <v>2246</v>
      </c>
      <c r="B207" s="39" t="s">
        <v>2247</v>
      </c>
      <c r="C207" s="39" t="n">
        <v>0.582</v>
      </c>
      <c r="D207" s="39" t="s">
        <v>2248</v>
      </c>
      <c r="E207" s="39" t="s">
        <v>2249</v>
      </c>
      <c r="F207" s="39" t="s">
        <v>300</v>
      </c>
      <c r="G207" s="39" t="s">
        <v>2250</v>
      </c>
    </row>
    <row r="208" customFormat="false" ht="12.8" hidden="false" customHeight="false" outlineLevel="0" collapsed="false">
      <c r="A208" s="39" t="s">
        <v>2251</v>
      </c>
      <c r="B208" s="39" t="s">
        <v>2252</v>
      </c>
      <c r="C208" s="39" t="s">
        <v>2253</v>
      </c>
      <c r="D208" s="39" t="s">
        <v>2254</v>
      </c>
      <c r="E208" s="39" t="s">
        <v>2255</v>
      </c>
      <c r="F208" s="39" t="s">
        <v>300</v>
      </c>
      <c r="G208" s="39" t="s">
        <v>2256</v>
      </c>
    </row>
    <row r="209" customFormat="false" ht="12.8" hidden="false" customHeight="false" outlineLevel="0" collapsed="false">
      <c r="A209" s="39" t="s">
        <v>2257</v>
      </c>
      <c r="B209" s="39" t="s">
        <v>2258</v>
      </c>
      <c r="C209" s="39" t="s">
        <v>2259</v>
      </c>
      <c r="D209" s="39" t="s">
        <v>2260</v>
      </c>
      <c r="E209" s="39" t="s">
        <v>2261</v>
      </c>
      <c r="F209" s="39" t="s">
        <v>300</v>
      </c>
      <c r="G209" s="39" t="s">
        <v>2262</v>
      </c>
    </row>
    <row r="210" customFormat="false" ht="12.8" hidden="false" customHeight="false" outlineLevel="0" collapsed="false">
      <c r="A210" s="39" t="s">
        <v>2263</v>
      </c>
      <c r="B210" s="39" t="s">
        <v>2264</v>
      </c>
      <c r="C210" s="39" t="s">
        <v>2265</v>
      </c>
      <c r="D210" s="39" t="s">
        <v>2266</v>
      </c>
      <c r="E210" s="39" t="s">
        <v>2267</v>
      </c>
      <c r="F210" s="39" t="s">
        <v>300</v>
      </c>
      <c r="G210" s="39" t="s">
        <v>2268</v>
      </c>
    </row>
    <row r="211" customFormat="false" ht="12.8" hidden="false" customHeight="false" outlineLevel="0" collapsed="false">
      <c r="A211" s="39" t="s">
        <v>2269</v>
      </c>
      <c r="B211" s="39" t="s">
        <v>2270</v>
      </c>
      <c r="C211" s="39" t="s">
        <v>2271</v>
      </c>
      <c r="D211" s="39" t="n">
        <v>0.562</v>
      </c>
      <c r="E211" s="39" t="s">
        <v>2272</v>
      </c>
      <c r="F211" s="39" t="s">
        <v>300</v>
      </c>
      <c r="G211" s="39" t="s">
        <v>2273</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O213"/>
  <sheetViews>
    <sheetView showFormulas="false" showGridLines="true" showRowColHeaders="true" showZeros="true" rightToLeft="false" tabSelected="false" showOutlineSymbols="true" defaultGridColor="true" view="normal" topLeftCell="A103" colorId="64" zoomScale="75" zoomScaleNormal="75" zoomScalePageLayoutView="100" workbookViewId="0">
      <selection pane="topLeft" activeCell="B155" activeCellId="0" sqref="B155"/>
    </sheetView>
  </sheetViews>
  <sheetFormatPr defaultColWidth="11.53515625" defaultRowHeight="12.8" customHeight="false" zeroHeight="false" outlineLevelRow="0" outlineLevelCol="0"/>
  <cols>
    <col collapsed="false" customWidth="true" hidden="false" outlineLevel="0" max="1" min="1" style="50" width="23.07"/>
    <col collapsed="false" customWidth="true" hidden="false" outlineLevel="0" max="2" min="2" style="39" width="27.68"/>
    <col collapsed="false" customWidth="true" hidden="false" outlineLevel="0" max="3" min="3" style="39" width="21.47"/>
    <col collapsed="false" customWidth="true" hidden="false" outlineLevel="0" max="7" min="4" style="39" width="16.84"/>
    <col collapsed="false" customWidth="true" hidden="false" outlineLevel="0" max="8" min="8" style="39" width="14.53"/>
    <col collapsed="false" customWidth="true" hidden="false" outlineLevel="0" max="34" min="9" style="39" width="16.84"/>
    <col collapsed="false" customWidth="true" hidden="false" outlineLevel="0" max="48" min="35" style="39" width="17.78"/>
    <col collapsed="false" customWidth="true" hidden="false" outlineLevel="0" max="51" min="49" style="39" width="15.48"/>
    <col collapsed="false" customWidth="false" hidden="false" outlineLevel="0" max="55" min="52" style="3" width="11.53"/>
    <col collapsed="false" customWidth="true" hidden="false" outlineLevel="0" max="56" min="56" style="39" width="18.45"/>
    <col collapsed="false" customWidth="true" hidden="false" outlineLevel="0" max="59" min="57" style="39" width="16.14"/>
    <col collapsed="false" customWidth="true" hidden="false" outlineLevel="0" max="67" min="60" style="39" width="13.84"/>
    <col collapsed="false" customWidth="false" hidden="false" outlineLevel="0" max="16384" min="68" style="3" width="11.53"/>
  </cols>
  <sheetData>
    <row r="1" customFormat="false" ht="12.9" hidden="false" customHeight="false" outlineLevel="0" collapsed="false">
      <c r="A1" s="11" t="s">
        <v>2274</v>
      </c>
      <c r="B1" s="42" t="s">
        <v>2275</v>
      </c>
      <c r="C1" s="6" t="s">
        <v>2</v>
      </c>
      <c r="D1" s="42" t="s">
        <v>2276</v>
      </c>
      <c r="E1" s="62" t="s">
        <v>2277</v>
      </c>
      <c r="AZ1" s="39"/>
      <c r="BA1" s="39"/>
      <c r="BB1" s="39"/>
      <c r="BC1" s="39"/>
    </row>
    <row r="2" customFormat="false" ht="12.8" hidden="false" customHeight="false" outlineLevel="0" collapsed="false">
      <c r="A2" s="60" t="str">
        <f aca="false">_xlfn.CONCAT($A$1, ".", "CALC")</f>
        <v>LSD.RID.0.AL.LFPR.CALC</v>
      </c>
      <c r="B2" s="61" t="str">
        <f aca="false">_xlfn.CONCAT($B$1, " ", "Calculations")</f>
        <v>Alabama Labor Force Participation Rate (LFPR) Calculations</v>
      </c>
      <c r="C2" s="3"/>
      <c r="D2" s="3"/>
      <c r="E2" s="3"/>
      <c r="F2" s="3"/>
    </row>
    <row r="3" customFormat="false" ht="12.8" hidden="false" customHeight="false" outlineLevel="0" collapsed="false">
      <c r="A3" s="60" t="str">
        <f aca="false">CALC!A3</f>
        <v>LSID</v>
      </c>
      <c r="B3" s="42" t="str">
        <f aca="false">CALC!C3</f>
        <v>Labor Sector</v>
      </c>
      <c r="C3" s="66" t="str">
        <f aca="false">CALC!P3</f>
        <v>Overall LFPR</v>
      </c>
      <c r="D3" s="66" t="str">
        <f aca="false">CALC!Q3</f>
        <v>Authorized LFPR</v>
      </c>
      <c r="E3" s="66" t="str">
        <f aca="false">CALC!R3</f>
        <v>Unauthorized LFPR</v>
      </c>
      <c r="F3" s="66" t="str">
        <f aca="false">CALC!S3</f>
        <v>American LFPR</v>
      </c>
      <c r="AB3" s="3"/>
      <c r="AC3" s="3"/>
      <c r="AD3" s="3"/>
      <c r="AE3" s="3"/>
      <c r="AR3" s="3"/>
      <c r="AS3" s="3"/>
      <c r="AT3" s="3"/>
      <c r="AU3" s="3"/>
      <c r="AV3" s="3"/>
      <c r="AW3" s="3"/>
      <c r="AX3" s="3"/>
      <c r="AY3" s="3"/>
      <c r="BD3" s="3"/>
      <c r="BE3" s="3"/>
      <c r="BF3" s="3"/>
      <c r="BG3" s="3"/>
      <c r="BH3" s="3"/>
      <c r="BI3" s="3"/>
      <c r="BJ3" s="3"/>
      <c r="BK3" s="3"/>
      <c r="BL3" s="3"/>
      <c r="BM3" s="3"/>
      <c r="BN3" s="3"/>
      <c r="BO3" s="3"/>
    </row>
    <row r="4" customFormat="false" ht="12.8" hidden="false" customHeight="false" outlineLevel="0" collapsed="false">
      <c r="A4" s="60" t="str">
        <f aca="false">_xlfn.CONCAT($A$1, ".", CALC!A4)</f>
        <v>LSD.RID.0.AL.LFPR.0</v>
      </c>
      <c r="B4" s="42" t="str">
        <f aca="false">CALC!C4</f>
        <v>All Industries</v>
      </c>
      <c r="C4" s="39" t="n">
        <v>0.577</v>
      </c>
      <c r="D4" s="39" t="n">
        <v>0.41</v>
      </c>
      <c r="E4" s="39" t="n">
        <v>0.61</v>
      </c>
      <c r="F4" s="39" t="n">
        <v>0.583</v>
      </c>
      <c r="AB4" s="3"/>
      <c r="AC4" s="3"/>
      <c r="AD4" s="3"/>
      <c r="AE4" s="3"/>
      <c r="AR4" s="3"/>
      <c r="AS4" s="3"/>
      <c r="AT4" s="3"/>
      <c r="AU4" s="3"/>
      <c r="AV4" s="3"/>
      <c r="AW4" s="3"/>
      <c r="AX4" s="3"/>
      <c r="AY4" s="3"/>
      <c r="BD4" s="3"/>
      <c r="BE4" s="3"/>
      <c r="BF4" s="3"/>
      <c r="BG4" s="3"/>
      <c r="BH4" s="3"/>
      <c r="BI4" s="3"/>
      <c r="BJ4" s="3"/>
      <c r="BK4" s="3"/>
      <c r="BL4" s="3"/>
      <c r="BM4" s="3"/>
      <c r="BN4" s="3"/>
      <c r="BO4" s="3"/>
    </row>
    <row r="5" customFormat="false" ht="23.85" hidden="false" customHeight="false" outlineLevel="0" collapsed="false">
      <c r="A5" s="60" t="str">
        <f aca="false">_xlfn.CONCAT($A$1, ".", CALC!A5)</f>
        <v>LSD.RID.0.AL.LFPR.1</v>
      </c>
      <c r="B5" s="63" t="str">
        <f aca="false">CALC!C5</f>
        <v>Agriculture, Forestry, 
Fishing and Hunting</v>
      </c>
      <c r="C5" s="39" t="n">
        <v>0.545</v>
      </c>
      <c r="D5" s="39" t="n">
        <v>0.4</v>
      </c>
      <c r="E5" s="39" t="n">
        <v>0.7</v>
      </c>
      <c r="F5" s="39" t="n">
        <v>0.545</v>
      </c>
      <c r="AB5" s="3"/>
      <c r="AC5" s="3"/>
      <c r="AD5" s="3"/>
      <c r="AE5" s="3"/>
      <c r="AR5" s="3"/>
      <c r="AS5" s="3"/>
      <c r="AT5" s="3"/>
      <c r="AU5" s="3"/>
      <c r="AV5" s="3"/>
      <c r="AW5" s="3"/>
      <c r="AX5" s="3"/>
      <c r="AY5" s="3"/>
      <c r="BD5" s="3"/>
      <c r="BE5" s="3"/>
      <c r="BF5" s="3"/>
      <c r="BG5" s="3"/>
      <c r="BH5" s="3"/>
      <c r="BI5" s="3"/>
      <c r="BJ5" s="3"/>
      <c r="BK5" s="3"/>
      <c r="BL5" s="3"/>
      <c r="BM5" s="3"/>
      <c r="BN5" s="3"/>
      <c r="BO5" s="3"/>
    </row>
    <row r="6" customFormat="false" ht="23.85" hidden="false" customHeight="false" outlineLevel="0" collapsed="false">
      <c r="A6" s="60" t="str">
        <f aca="false">_xlfn.CONCAT($A$1, ".", CALC!A6)</f>
        <v>LSD.RID.0.AL.LFPR.2</v>
      </c>
      <c r="B6" s="63" t="str">
        <f aca="false">CALC!C6</f>
        <v>Mining, Quarrying, and
Oil and Gas Extraction</v>
      </c>
      <c r="C6" s="39" t="n">
        <v>0.585</v>
      </c>
      <c r="D6" s="39" t="n">
        <v>0.415</v>
      </c>
      <c r="E6" s="39" t="n">
        <v>0.65</v>
      </c>
      <c r="F6" s="39" t="n">
        <v>0.585</v>
      </c>
      <c r="AB6" s="3"/>
      <c r="AC6" s="3"/>
      <c r="AD6" s="3"/>
      <c r="AE6" s="3"/>
      <c r="AR6" s="3"/>
      <c r="AS6" s="3"/>
      <c r="AT6" s="3"/>
      <c r="AU6" s="3"/>
      <c r="AV6" s="3"/>
      <c r="AW6" s="3"/>
      <c r="AX6" s="3"/>
      <c r="AY6" s="3"/>
      <c r="BD6" s="3"/>
      <c r="BE6" s="3"/>
      <c r="BF6" s="3"/>
      <c r="BG6" s="3"/>
      <c r="BH6" s="3"/>
      <c r="BI6" s="3"/>
      <c r="BJ6" s="3"/>
      <c r="BK6" s="3"/>
      <c r="BL6" s="3"/>
      <c r="BM6" s="3"/>
      <c r="BN6" s="3"/>
      <c r="BO6" s="3"/>
    </row>
    <row r="7" customFormat="false" ht="12.8" hidden="false" customHeight="false" outlineLevel="0" collapsed="false">
      <c r="A7" s="60" t="str">
        <f aca="false">_xlfn.CONCAT($A$1, ".", CALC!A7)</f>
        <v>LSD.RID.0.AL.LFPR.3</v>
      </c>
      <c r="B7" s="42" t="str">
        <f aca="false">CALC!C7</f>
        <v>Utilities</v>
      </c>
      <c r="C7" s="39" t="n">
        <v>0.575</v>
      </c>
      <c r="D7" s="39" t="n">
        <v>0.41</v>
      </c>
      <c r="E7" s="39" t="n">
        <v>0.62</v>
      </c>
      <c r="F7" s="39" t="n">
        <v>0.575</v>
      </c>
      <c r="AB7" s="3"/>
      <c r="AC7" s="3"/>
      <c r="AD7" s="3"/>
      <c r="AE7" s="3"/>
      <c r="AR7" s="3"/>
      <c r="AS7" s="3"/>
      <c r="AT7" s="3"/>
      <c r="AU7" s="3"/>
      <c r="AV7" s="3"/>
      <c r="AW7" s="3"/>
      <c r="AX7" s="3"/>
      <c r="AY7" s="3"/>
      <c r="BD7" s="3"/>
      <c r="BE7" s="3"/>
      <c r="BF7" s="3"/>
      <c r="BG7" s="3"/>
      <c r="BH7" s="3"/>
      <c r="BI7" s="3"/>
      <c r="BJ7" s="3"/>
      <c r="BK7" s="3"/>
      <c r="BL7" s="3"/>
      <c r="BM7" s="3"/>
      <c r="BN7" s="3"/>
      <c r="BO7" s="3"/>
    </row>
    <row r="8" customFormat="false" ht="12.8" hidden="false" customHeight="false" outlineLevel="0" collapsed="false">
      <c r="A8" s="60" t="str">
        <f aca="false">_xlfn.CONCAT($A$1, ".", CALC!A8)</f>
        <v>LSD.RID.0.AL.LFPR.4</v>
      </c>
      <c r="B8" s="42" t="str">
        <f aca="false">CALC!C8</f>
        <v>Construction</v>
      </c>
      <c r="C8" s="39" t="n">
        <v>0.545</v>
      </c>
      <c r="D8" s="39" t="n">
        <v>0.4</v>
      </c>
      <c r="E8" s="39" t="n">
        <v>0.7</v>
      </c>
      <c r="F8" s="39" t="n">
        <v>0.545</v>
      </c>
      <c r="AB8" s="3"/>
      <c r="AC8" s="3"/>
      <c r="AD8" s="3"/>
      <c r="AE8" s="3"/>
      <c r="AR8" s="3"/>
      <c r="AS8" s="3"/>
      <c r="AT8" s="3"/>
      <c r="AU8" s="3"/>
      <c r="AV8" s="3"/>
      <c r="AW8" s="3"/>
      <c r="AX8" s="3"/>
      <c r="AY8" s="3"/>
      <c r="BD8" s="3"/>
      <c r="BE8" s="3"/>
      <c r="BF8" s="3"/>
      <c r="BG8" s="3"/>
      <c r="BH8" s="3"/>
      <c r="BI8" s="3"/>
      <c r="BJ8" s="3"/>
      <c r="BK8" s="3"/>
      <c r="BL8" s="3"/>
      <c r="BM8" s="3"/>
      <c r="BN8" s="3"/>
      <c r="BO8" s="3"/>
    </row>
    <row r="9" customFormat="false" ht="23.85" hidden="false" customHeight="false" outlineLevel="0" collapsed="false">
      <c r="A9" s="60" t="str">
        <f aca="false">_xlfn.CONCAT($A$1, ".", CALC!A9)</f>
        <v>LSD.RID.0.AL.LFPR.5</v>
      </c>
      <c r="B9" s="63" t="str">
        <f aca="false">CALC!C9</f>
        <v>Manufacturing
(Food,Textile, etc.)</v>
      </c>
      <c r="C9" s="39" t="n">
        <v>0.565</v>
      </c>
      <c r="D9" s="39" t="n">
        <v>0.405</v>
      </c>
      <c r="E9" s="39" t="n">
        <v>0.66</v>
      </c>
      <c r="F9" s="39" t="n">
        <v>0.565</v>
      </c>
      <c r="AB9" s="3"/>
      <c r="AC9" s="3"/>
      <c r="AD9" s="3"/>
      <c r="AE9" s="3"/>
      <c r="AR9" s="3"/>
      <c r="AS9" s="3"/>
      <c r="AT9" s="3"/>
      <c r="AU9" s="3"/>
      <c r="AV9" s="3"/>
      <c r="AW9" s="3"/>
      <c r="AX9" s="3"/>
      <c r="AY9" s="3"/>
      <c r="BD9" s="3"/>
      <c r="BE9" s="3"/>
      <c r="BF9" s="3"/>
      <c r="BG9" s="3"/>
      <c r="BH9" s="3"/>
      <c r="BI9" s="3"/>
      <c r="BJ9" s="3"/>
      <c r="BK9" s="3"/>
      <c r="BL9" s="3"/>
      <c r="BM9" s="3"/>
      <c r="BN9" s="3"/>
      <c r="BO9" s="3"/>
    </row>
    <row r="10" customFormat="false" ht="23.85" hidden="false" customHeight="false" outlineLevel="0" collapsed="false">
      <c r="A10" s="60" t="str">
        <f aca="false">_xlfn.CONCAT($A$1, ".", CALC!A10)</f>
        <v>LSD.RID.0.AL.LFPR.6</v>
      </c>
      <c r="B10" s="63" t="str">
        <f aca="false">CALC!C10</f>
        <v>Manufacturing (Wood,
Paper, Printing, etc.)</v>
      </c>
      <c r="C10" s="39" t="n">
        <v>0.565</v>
      </c>
      <c r="D10" s="39" t="n">
        <v>0.405</v>
      </c>
      <c r="E10" s="39" t="n">
        <v>0.66</v>
      </c>
      <c r="F10" s="39" t="n">
        <v>0.565</v>
      </c>
      <c r="AB10" s="3"/>
      <c r="AC10" s="3"/>
      <c r="AD10" s="3"/>
      <c r="AE10" s="3"/>
      <c r="AR10" s="3"/>
      <c r="AS10" s="3"/>
      <c r="AT10" s="3"/>
      <c r="AU10" s="3"/>
      <c r="AV10" s="3"/>
      <c r="AW10" s="3"/>
      <c r="AX10" s="3"/>
      <c r="AY10" s="3"/>
      <c r="BD10" s="3"/>
      <c r="BE10" s="3"/>
      <c r="BF10" s="3"/>
      <c r="BG10" s="3"/>
      <c r="BH10" s="3"/>
      <c r="BI10" s="3"/>
      <c r="BJ10" s="3"/>
      <c r="BK10" s="3"/>
      <c r="BL10" s="3"/>
      <c r="BM10" s="3"/>
      <c r="BN10" s="3"/>
      <c r="BO10" s="3"/>
    </row>
    <row r="11" customFormat="false" ht="23.85" hidden="false" customHeight="false" outlineLevel="0" collapsed="false">
      <c r="A11" s="60" t="str">
        <f aca="false">_xlfn.CONCAT($A$1, ".", CALC!A11)</f>
        <v>LSD.RID.0.AL.LFPR.7</v>
      </c>
      <c r="B11" s="63" t="str">
        <f aca="false">CALC!C11</f>
        <v>Manufacturing
(Machinery, Transport)</v>
      </c>
      <c r="C11" s="39" t="n">
        <v>0.565</v>
      </c>
      <c r="D11" s="39" t="n">
        <v>0.405</v>
      </c>
      <c r="E11" s="39" t="n">
        <v>0.66</v>
      </c>
      <c r="F11" s="39" t="n">
        <v>0.565</v>
      </c>
      <c r="AB11" s="3"/>
      <c r="AC11" s="3"/>
      <c r="AD11" s="3"/>
      <c r="AE11" s="3"/>
      <c r="AR11" s="3"/>
      <c r="AS11" s="3"/>
      <c r="AT11" s="3"/>
      <c r="AU11" s="3"/>
      <c r="AV11" s="3"/>
      <c r="AW11" s="3"/>
      <c r="AX11" s="3"/>
      <c r="AY11" s="3"/>
      <c r="BD11" s="3"/>
      <c r="BE11" s="3"/>
      <c r="BF11" s="3"/>
      <c r="BG11" s="3"/>
      <c r="BH11" s="3"/>
      <c r="BI11" s="3"/>
      <c r="BJ11" s="3"/>
      <c r="BK11" s="3"/>
      <c r="BL11" s="3"/>
      <c r="BM11" s="3"/>
      <c r="BN11" s="3"/>
      <c r="BO11" s="3"/>
    </row>
    <row r="12" customFormat="false" ht="12.8" hidden="false" customHeight="false" outlineLevel="0" collapsed="false">
      <c r="A12" s="60" t="str">
        <f aca="false">_xlfn.CONCAT($A$1, ".", CALC!A12)</f>
        <v>LSD.RID.0.AL.LFPR.8</v>
      </c>
      <c r="B12" s="42" t="str">
        <f aca="false">CALC!C12</f>
        <v>Wholesale Trade</v>
      </c>
      <c r="C12" s="39" t="n">
        <v>0.57</v>
      </c>
      <c r="D12" s="39" t="n">
        <v>0.41</v>
      </c>
      <c r="E12" s="39" t="n">
        <v>0.64</v>
      </c>
      <c r="F12" s="39" t="n">
        <v>0.57</v>
      </c>
      <c r="AB12" s="3"/>
      <c r="AC12" s="3"/>
      <c r="AD12" s="3"/>
      <c r="AE12" s="3"/>
      <c r="AR12" s="3"/>
      <c r="AS12" s="3"/>
      <c r="AT12" s="3"/>
      <c r="AU12" s="3"/>
      <c r="AV12" s="3"/>
      <c r="AW12" s="3"/>
      <c r="AX12" s="3"/>
      <c r="AY12" s="3"/>
      <c r="BD12" s="3"/>
      <c r="BE12" s="3"/>
      <c r="BF12" s="3"/>
      <c r="BG12" s="3"/>
      <c r="BH12" s="3"/>
      <c r="BI12" s="3"/>
      <c r="BJ12" s="3"/>
      <c r="BK12" s="3"/>
      <c r="BL12" s="3"/>
      <c r="BM12" s="3"/>
      <c r="BN12" s="3"/>
      <c r="BO12" s="3"/>
    </row>
    <row r="13" customFormat="false" ht="23.85" hidden="false" customHeight="false" outlineLevel="0" collapsed="false">
      <c r="A13" s="60" t="str">
        <f aca="false">_xlfn.CONCAT($A$1, ".", CALC!A13)</f>
        <v>LSD.RID.0.AL.LFPR.9</v>
      </c>
      <c r="B13" s="63" t="str">
        <f aca="false">CALC!C13</f>
        <v>Retail Trade (Motor
Vehicle, Electronics)</v>
      </c>
      <c r="C13" s="39" t="n">
        <v>0.57</v>
      </c>
      <c r="D13" s="39" t="n">
        <v>0.41</v>
      </c>
      <c r="E13" s="39" t="n">
        <v>0.64</v>
      </c>
      <c r="F13" s="39" t="n">
        <v>0.57</v>
      </c>
      <c r="AB13" s="3"/>
      <c r="AC13" s="3"/>
      <c r="AD13" s="3"/>
      <c r="AE13" s="3"/>
      <c r="AR13" s="3"/>
      <c r="AS13" s="3"/>
      <c r="AT13" s="3"/>
      <c r="AU13" s="3"/>
      <c r="AV13" s="3"/>
      <c r="AW13" s="3"/>
      <c r="AX13" s="3"/>
      <c r="AY13" s="3"/>
      <c r="BD13" s="3"/>
      <c r="BE13" s="3"/>
      <c r="BF13" s="3"/>
      <c r="BG13" s="3"/>
      <c r="BH13" s="3"/>
      <c r="BI13" s="3"/>
      <c r="BJ13" s="3"/>
      <c r="BK13" s="3"/>
      <c r="BL13" s="3"/>
      <c r="BM13" s="3"/>
      <c r="BN13" s="3"/>
      <c r="BO13" s="3"/>
    </row>
    <row r="14" customFormat="false" ht="23.85" hidden="false" customHeight="false" outlineLevel="0" collapsed="false">
      <c r="A14" s="60" t="str">
        <f aca="false">_xlfn.CONCAT($A$1, ".", CALC!A14)</f>
        <v>LSD.RID.0.AL.LFPR.10</v>
      </c>
      <c r="B14" s="63" t="str">
        <f aca="false">CALC!C14</f>
        <v>Retail Trade (Food, Clothing,
General Merchandise, etc.)</v>
      </c>
      <c r="C14" s="39" t="n">
        <v>0.57</v>
      </c>
      <c r="D14" s="39" t="n">
        <v>0.41</v>
      </c>
      <c r="E14" s="39" t="n">
        <v>0.64</v>
      </c>
      <c r="F14" s="39" t="n">
        <v>0.57</v>
      </c>
      <c r="AB14" s="3"/>
      <c r="AC14" s="3"/>
      <c r="AD14" s="3"/>
      <c r="AE14" s="3"/>
      <c r="AR14" s="3"/>
      <c r="AS14" s="3"/>
      <c r="AT14" s="3"/>
      <c r="AU14" s="3"/>
      <c r="AV14" s="3"/>
      <c r="AW14" s="3"/>
      <c r="AX14" s="3"/>
      <c r="AY14" s="3"/>
      <c r="BD14" s="3"/>
      <c r="BE14" s="3"/>
      <c r="BF14" s="3"/>
      <c r="BG14" s="3"/>
      <c r="BH14" s="3"/>
      <c r="BI14" s="3"/>
      <c r="BJ14" s="3"/>
      <c r="BK14" s="3"/>
      <c r="BL14" s="3"/>
      <c r="BM14" s="3"/>
      <c r="BN14" s="3"/>
      <c r="BO14" s="3"/>
    </row>
    <row r="15" customFormat="false" ht="12.8" hidden="false" customHeight="false" outlineLevel="0" collapsed="false">
      <c r="A15" s="60" t="str">
        <f aca="false">_xlfn.CONCAT($A$1, ".", CALC!A15)</f>
        <v>LSD.RID.0.AL.LFPR.11</v>
      </c>
      <c r="B15" s="42" t="str">
        <f aca="false">CALC!C15</f>
        <v>Transportation</v>
      </c>
      <c r="C15" s="39" t="n">
        <v>0.57</v>
      </c>
      <c r="D15" s="39" t="n">
        <v>0.41</v>
      </c>
      <c r="E15" s="39" t="n">
        <v>0.64</v>
      </c>
      <c r="F15" s="39" t="n">
        <v>0.57</v>
      </c>
      <c r="AB15" s="3"/>
      <c r="AC15" s="3"/>
      <c r="AD15" s="3"/>
      <c r="AE15" s="3"/>
      <c r="AR15" s="3"/>
      <c r="AS15" s="3"/>
      <c r="AT15" s="3"/>
      <c r="AU15" s="3"/>
      <c r="AV15" s="3"/>
      <c r="AW15" s="3"/>
      <c r="AX15" s="3"/>
      <c r="AY15" s="3"/>
      <c r="BD15" s="3"/>
      <c r="BE15" s="3"/>
      <c r="BF15" s="3"/>
      <c r="BG15" s="3"/>
      <c r="BH15" s="3"/>
      <c r="BI15" s="3"/>
      <c r="BJ15" s="3"/>
      <c r="BK15" s="3"/>
      <c r="BL15" s="3"/>
      <c r="BM15" s="3"/>
      <c r="BN15" s="3"/>
      <c r="BO15" s="3"/>
    </row>
    <row r="16" customFormat="false" ht="12.8" hidden="false" customHeight="false" outlineLevel="0" collapsed="false">
      <c r="A16" s="60" t="str">
        <f aca="false">_xlfn.CONCAT($A$1, ".", CALC!A16)</f>
        <v>LSD.RID.0.AL.LFPR.12</v>
      </c>
      <c r="B16" s="42" t="str">
        <f aca="false">CALC!C16</f>
        <v>Warehousing and Storage</v>
      </c>
      <c r="C16" s="39" t="n">
        <v>0.57</v>
      </c>
      <c r="D16" s="39" t="n">
        <v>0.41</v>
      </c>
      <c r="E16" s="39" t="n">
        <v>0.64</v>
      </c>
      <c r="F16" s="39" t="n">
        <v>0.57</v>
      </c>
      <c r="AB16" s="3"/>
      <c r="AC16" s="3"/>
      <c r="AD16" s="3"/>
      <c r="AE16" s="3"/>
      <c r="AR16" s="3"/>
      <c r="AS16" s="3"/>
      <c r="AT16" s="3"/>
      <c r="AU16" s="3"/>
      <c r="AV16" s="3"/>
      <c r="AW16" s="3"/>
      <c r="AX16" s="3"/>
      <c r="AY16" s="3"/>
      <c r="BD16" s="3"/>
      <c r="BE16" s="3"/>
      <c r="BF16" s="3"/>
      <c r="BG16" s="3"/>
      <c r="BH16" s="3"/>
      <c r="BI16" s="3"/>
      <c r="BJ16" s="3"/>
      <c r="BK16" s="3"/>
      <c r="BL16" s="3"/>
      <c r="BM16" s="3"/>
      <c r="BN16" s="3"/>
      <c r="BO16" s="3"/>
    </row>
    <row r="17" customFormat="false" ht="12.8" hidden="false" customHeight="false" outlineLevel="0" collapsed="false">
      <c r="A17" s="60" t="str">
        <f aca="false">_xlfn.CONCAT($A$1, ".", CALC!A17)</f>
        <v>LSD.RID.0.AL.LFPR.13</v>
      </c>
      <c r="B17" s="42" t="str">
        <f aca="false">CALC!C17</f>
        <v>Information</v>
      </c>
      <c r="C17" s="39" t="n">
        <v>0.58</v>
      </c>
      <c r="D17" s="39" t="n">
        <v>0.415</v>
      </c>
      <c r="E17" s="39" t="n">
        <v>0.6</v>
      </c>
      <c r="F17" s="39" t="n">
        <v>0.58</v>
      </c>
      <c r="AB17" s="3"/>
      <c r="AC17" s="3"/>
      <c r="AD17" s="3"/>
      <c r="AE17" s="3"/>
      <c r="AR17" s="3"/>
      <c r="AS17" s="3"/>
      <c r="AT17" s="3"/>
      <c r="AU17" s="3"/>
      <c r="AV17" s="3"/>
      <c r="AW17" s="3"/>
      <c r="AX17" s="3"/>
      <c r="AY17" s="3"/>
      <c r="BD17" s="3"/>
      <c r="BE17" s="3"/>
      <c r="BF17" s="3"/>
      <c r="BG17" s="3"/>
      <c r="BH17" s="3"/>
      <c r="BI17" s="3"/>
      <c r="BJ17" s="3"/>
      <c r="BK17" s="3"/>
      <c r="BL17" s="3"/>
      <c r="BM17" s="3"/>
      <c r="BN17" s="3"/>
      <c r="BO17" s="3"/>
    </row>
    <row r="18" customFormat="false" ht="12.8" hidden="false" customHeight="false" outlineLevel="0" collapsed="false">
      <c r="A18" s="60" t="str">
        <f aca="false">_xlfn.CONCAT($A$1, ".", CALC!A18)</f>
        <v>LSD.RID.0.AL.LFPR.14</v>
      </c>
      <c r="B18" s="42" t="str">
        <f aca="false">CALC!C18</f>
        <v>Finance and Insurance</v>
      </c>
      <c r="C18" s="39" t="n">
        <v>0.595</v>
      </c>
      <c r="D18" s="39" t="n">
        <v>0.42</v>
      </c>
      <c r="E18" s="39" t="n">
        <v>0.52</v>
      </c>
      <c r="F18" s="39" t="n">
        <v>0.595</v>
      </c>
      <c r="AB18" s="3"/>
      <c r="AC18" s="3"/>
      <c r="AD18" s="3"/>
      <c r="AE18" s="3"/>
      <c r="AR18" s="3"/>
      <c r="AS18" s="3"/>
      <c r="AT18" s="3"/>
      <c r="AU18" s="3"/>
      <c r="AV18" s="3"/>
      <c r="AW18" s="3"/>
      <c r="AX18" s="3"/>
      <c r="AY18" s="3"/>
      <c r="BD18" s="3"/>
      <c r="BE18" s="3"/>
      <c r="BF18" s="3"/>
      <c r="BG18" s="3"/>
      <c r="BH18" s="3"/>
      <c r="BI18" s="3"/>
      <c r="BJ18" s="3"/>
      <c r="BK18" s="3"/>
      <c r="BL18" s="3"/>
      <c r="BM18" s="3"/>
      <c r="BN18" s="3"/>
      <c r="BO18" s="3"/>
    </row>
    <row r="19" customFormat="false" ht="23.85" hidden="false" customHeight="false" outlineLevel="0" collapsed="false">
      <c r="A19" s="60" t="str">
        <f aca="false">_xlfn.CONCAT($A$1, ".", CALC!A19)</f>
        <v>LSD.RID.0.AL.LFPR.15</v>
      </c>
      <c r="B19" s="63" t="str">
        <f aca="false">CALC!C19</f>
        <v>Real Estate and
Rental and Leasing</v>
      </c>
      <c r="C19" s="39" t="n">
        <v>0.575</v>
      </c>
      <c r="D19" s="39" t="n">
        <v>0.415</v>
      </c>
      <c r="E19" s="39" t="n">
        <v>0.6</v>
      </c>
      <c r="F19" s="39" t="n">
        <v>0.575</v>
      </c>
      <c r="AB19" s="3"/>
      <c r="AC19" s="3"/>
      <c r="AD19" s="3"/>
      <c r="AE19" s="3"/>
      <c r="AR19" s="3"/>
      <c r="AS19" s="3"/>
      <c r="AT19" s="3"/>
      <c r="AU19" s="3"/>
      <c r="AV19" s="3"/>
      <c r="AW19" s="3"/>
      <c r="AX19" s="3"/>
      <c r="AY19" s="3"/>
      <c r="BD19" s="3"/>
      <c r="BE19" s="3"/>
      <c r="BF19" s="3"/>
      <c r="BG19" s="3"/>
      <c r="BH19" s="3"/>
      <c r="BI19" s="3"/>
      <c r="BJ19" s="3"/>
      <c r="BK19" s="3"/>
      <c r="BL19" s="3"/>
      <c r="BM19" s="3"/>
      <c r="BN19" s="3"/>
      <c r="BO19" s="3"/>
    </row>
    <row r="20" customFormat="false" ht="23.85" hidden="false" customHeight="false" outlineLevel="0" collapsed="false">
      <c r="A20" s="60" t="str">
        <f aca="false">_xlfn.CONCAT($A$1, ".", CALC!A20)</f>
        <v>LSD.RID.0.AL.LFPR.16</v>
      </c>
      <c r="B20" s="63" t="str">
        <f aca="false">CALC!C20</f>
        <v>Professional, Scientific,
and Technical Services</v>
      </c>
      <c r="C20" s="39" t="n">
        <v>0.605</v>
      </c>
      <c r="D20" s="39" t="n">
        <v>0.42</v>
      </c>
      <c r="E20" s="39" t="n">
        <v>0.56</v>
      </c>
      <c r="F20" s="39" t="n">
        <v>0.605</v>
      </c>
      <c r="AB20" s="3"/>
      <c r="AC20" s="3"/>
      <c r="AD20" s="3"/>
      <c r="AE20" s="3"/>
      <c r="AR20" s="3"/>
      <c r="AS20" s="3"/>
      <c r="AT20" s="3"/>
      <c r="AU20" s="3"/>
      <c r="AV20" s="3"/>
      <c r="AW20" s="3"/>
      <c r="AX20" s="3"/>
      <c r="AY20" s="3"/>
      <c r="BD20" s="3"/>
      <c r="BE20" s="3"/>
      <c r="BF20" s="3"/>
      <c r="BG20" s="3"/>
      <c r="BH20" s="3"/>
      <c r="BI20" s="3"/>
      <c r="BJ20" s="3"/>
      <c r="BK20" s="3"/>
      <c r="BL20" s="3"/>
      <c r="BM20" s="3"/>
      <c r="BN20" s="3"/>
      <c r="BO20" s="3"/>
    </row>
    <row r="21" customFormat="false" ht="35.05" hidden="false" customHeight="false" outlineLevel="0" collapsed="false">
      <c r="A21" s="60" t="str">
        <f aca="false">_xlfn.CONCAT($A$1, ".", CALC!A21)</f>
        <v>LSD.RID.0.AL.LFPR.17</v>
      </c>
      <c r="B21" s="63" t="str">
        <f aca="false">CALC!C21</f>
        <v>Administrative and Support
and Waste Management
and Remediation Services</v>
      </c>
      <c r="C21" s="39" t="n">
        <v>0.565</v>
      </c>
      <c r="D21" s="39" t="n">
        <v>0.405</v>
      </c>
      <c r="E21" s="39" t="n">
        <v>0.67</v>
      </c>
      <c r="F21" s="39" t="n">
        <v>0.565</v>
      </c>
      <c r="AB21" s="3"/>
      <c r="AC21" s="3"/>
      <c r="AD21" s="3"/>
      <c r="AE21" s="3"/>
      <c r="AR21" s="3"/>
      <c r="AS21" s="3"/>
      <c r="AT21" s="3"/>
      <c r="AU21" s="3"/>
      <c r="AV21" s="3"/>
      <c r="AW21" s="3"/>
      <c r="AX21" s="3"/>
      <c r="AY21" s="3"/>
      <c r="BD21" s="3"/>
      <c r="BE21" s="3"/>
      <c r="BF21" s="3"/>
      <c r="BG21" s="3"/>
      <c r="BH21" s="3"/>
      <c r="BI21" s="3"/>
      <c r="BJ21" s="3"/>
      <c r="BK21" s="3"/>
      <c r="BL21" s="3"/>
      <c r="BM21" s="3"/>
      <c r="BN21" s="3"/>
      <c r="BO21" s="3"/>
    </row>
    <row r="22" customFormat="false" ht="12.8" hidden="false" customHeight="false" outlineLevel="0" collapsed="false">
      <c r="A22" s="60" t="str">
        <f aca="false">_xlfn.CONCAT($A$1, ".", CALC!A22)</f>
        <v>LSD.RID.0.AL.LFPR.18</v>
      </c>
      <c r="B22" s="42" t="str">
        <f aca="false">CALC!C22</f>
        <v>Educational Services</v>
      </c>
      <c r="C22" s="39" t="n">
        <v>0.58</v>
      </c>
      <c r="D22" s="39" t="n">
        <v>0.42</v>
      </c>
      <c r="E22" s="39" t="n">
        <v>0.56</v>
      </c>
      <c r="F22" s="39" t="n">
        <v>0.58</v>
      </c>
      <c r="AB22" s="3"/>
      <c r="AC22" s="3"/>
      <c r="AD22" s="3"/>
      <c r="AE22" s="3"/>
      <c r="AR22" s="3"/>
      <c r="AS22" s="3"/>
      <c r="AT22" s="3"/>
      <c r="AU22" s="3"/>
      <c r="AV22" s="3"/>
      <c r="AW22" s="3"/>
      <c r="AX22" s="3"/>
      <c r="AY22" s="3"/>
      <c r="BD22" s="3"/>
      <c r="BE22" s="3"/>
      <c r="BF22" s="3"/>
      <c r="BG22" s="3"/>
      <c r="BH22" s="3"/>
      <c r="BI22" s="3"/>
      <c r="BJ22" s="3"/>
      <c r="BK22" s="3"/>
      <c r="BL22" s="3"/>
      <c r="BM22" s="3"/>
      <c r="BN22" s="3"/>
      <c r="BO22" s="3"/>
    </row>
    <row r="23" customFormat="false" ht="23.85" hidden="false" customHeight="false" outlineLevel="0" collapsed="false">
      <c r="A23" s="60" t="str">
        <f aca="false">_xlfn.CONCAT($A$1, ".", CALC!A23)</f>
        <v>LSD.RID.0.AL.LFPR.19</v>
      </c>
      <c r="B23" s="63" t="str">
        <f aca="false">CALC!C23</f>
        <v>Health Care and
Social Assistance</v>
      </c>
      <c r="C23" s="39" t="n">
        <v>0.58</v>
      </c>
      <c r="D23" s="39" t="n">
        <v>0.42</v>
      </c>
      <c r="E23" s="39" t="n">
        <v>0.56</v>
      </c>
      <c r="F23" s="39" t="n">
        <v>0.58</v>
      </c>
      <c r="AB23" s="3"/>
      <c r="AC23" s="3"/>
      <c r="AD23" s="3"/>
      <c r="AE23" s="3"/>
      <c r="AR23" s="3"/>
      <c r="AS23" s="3"/>
      <c r="AT23" s="3"/>
      <c r="AU23" s="3"/>
      <c r="AV23" s="3"/>
      <c r="AW23" s="3"/>
      <c r="AX23" s="3"/>
      <c r="AY23" s="3"/>
      <c r="BD23" s="3"/>
      <c r="BE23" s="3"/>
      <c r="BF23" s="3"/>
      <c r="BG23" s="3"/>
      <c r="BH23" s="3"/>
      <c r="BI23" s="3"/>
      <c r="BJ23" s="3"/>
      <c r="BK23" s="3"/>
      <c r="BL23" s="3"/>
      <c r="BM23" s="3"/>
      <c r="BN23" s="3"/>
      <c r="BO23" s="3"/>
    </row>
    <row r="24" customFormat="false" ht="23.85" hidden="false" customHeight="false" outlineLevel="0" collapsed="false">
      <c r="A24" s="60" t="str">
        <f aca="false">_xlfn.CONCAT($A$1, ".", CALC!A24)</f>
        <v>LSD.RID.0.AL.LFPR.20</v>
      </c>
      <c r="B24" s="63" t="str">
        <f aca="false">CALC!C24</f>
        <v>Arts, Entertainment,
and Recreation</v>
      </c>
      <c r="C24" s="39" t="n">
        <v>0.565</v>
      </c>
      <c r="D24" s="39" t="n">
        <v>0.405</v>
      </c>
      <c r="E24" s="39" t="n">
        <v>0.67</v>
      </c>
      <c r="F24" s="39" t="n">
        <v>0.565</v>
      </c>
      <c r="AB24" s="3"/>
      <c r="AC24" s="3"/>
      <c r="AD24" s="3"/>
      <c r="AE24" s="3"/>
      <c r="AR24" s="3"/>
      <c r="AS24" s="3"/>
      <c r="AT24" s="3"/>
      <c r="AU24" s="3"/>
      <c r="AV24" s="3"/>
      <c r="AW24" s="3"/>
      <c r="AX24" s="3"/>
      <c r="AY24" s="3"/>
      <c r="BD24" s="3"/>
      <c r="BE24" s="3"/>
      <c r="BF24" s="3"/>
      <c r="BG24" s="3"/>
      <c r="BH24" s="3"/>
      <c r="BI24" s="3"/>
      <c r="BJ24" s="3"/>
      <c r="BK24" s="3"/>
      <c r="BL24" s="3"/>
      <c r="BM24" s="3"/>
      <c r="BN24" s="3"/>
      <c r="BO24" s="3"/>
    </row>
    <row r="25" customFormat="false" ht="23.85" hidden="false" customHeight="false" outlineLevel="0" collapsed="false">
      <c r="A25" s="60" t="str">
        <f aca="false">_xlfn.CONCAT($A$1, ".", CALC!A25)</f>
        <v>LSD.RID.0.AL.LFPR.21</v>
      </c>
      <c r="B25" s="63" t="str">
        <f aca="false">CALC!C25</f>
        <v>Accommodation
and Food Services</v>
      </c>
      <c r="C25" s="39" t="n">
        <v>0.545</v>
      </c>
      <c r="D25" s="39" t="n">
        <v>0.4</v>
      </c>
      <c r="E25" s="39" t="n">
        <v>0.7</v>
      </c>
      <c r="F25" s="39" t="n">
        <v>0.545</v>
      </c>
      <c r="AB25" s="3"/>
      <c r="AC25" s="3"/>
      <c r="AD25" s="3"/>
      <c r="AE25" s="3"/>
      <c r="AR25" s="3"/>
      <c r="AS25" s="3"/>
      <c r="AT25" s="3"/>
      <c r="AU25" s="3"/>
      <c r="AV25" s="3"/>
      <c r="AW25" s="3"/>
      <c r="AX25" s="3"/>
      <c r="AY25" s="3"/>
      <c r="BD25" s="3"/>
      <c r="BE25" s="3"/>
      <c r="BF25" s="3"/>
      <c r="BG25" s="3"/>
      <c r="BH25" s="3"/>
      <c r="BI25" s="3"/>
      <c r="BJ25" s="3"/>
      <c r="BK25" s="3"/>
      <c r="BL25" s="3"/>
      <c r="BM25" s="3"/>
      <c r="BN25" s="3"/>
      <c r="BO25" s="3"/>
    </row>
    <row r="26" customFormat="false" ht="23.85" hidden="false" customHeight="false" outlineLevel="0" collapsed="false">
      <c r="A26" s="60" t="str">
        <f aca="false">_xlfn.CONCAT($A$1, ".", CALC!A26)</f>
        <v>LSD.RID.0.AL.LFPR.22</v>
      </c>
      <c r="B26" s="63" t="str">
        <f aca="false">CALC!C26</f>
        <v>Other Services (except
Public Administration)</v>
      </c>
      <c r="C26" s="39" t="n">
        <v>0.565</v>
      </c>
      <c r="D26" s="39" t="n">
        <v>0.405</v>
      </c>
      <c r="E26" s="39" t="n">
        <v>0.67</v>
      </c>
      <c r="F26" s="39" t="n">
        <v>0.565</v>
      </c>
      <c r="AB26" s="3"/>
      <c r="AC26" s="3"/>
      <c r="AD26" s="3"/>
      <c r="AE26" s="3"/>
      <c r="AR26" s="3"/>
      <c r="AS26" s="3"/>
      <c r="AT26" s="3"/>
      <c r="AU26" s="3"/>
      <c r="AV26" s="3"/>
      <c r="AW26" s="3"/>
      <c r="AX26" s="3"/>
      <c r="AY26" s="3"/>
      <c r="BD26" s="3"/>
      <c r="BE26" s="3"/>
      <c r="BF26" s="3"/>
      <c r="BG26" s="3"/>
      <c r="BH26" s="3"/>
      <c r="BI26" s="3"/>
      <c r="BJ26" s="3"/>
      <c r="BK26" s="3"/>
      <c r="BL26" s="3"/>
      <c r="BM26" s="3"/>
      <c r="BN26" s="3"/>
      <c r="BO26" s="3"/>
    </row>
    <row r="27" customFormat="false" ht="12.8" hidden="false" customHeight="false" outlineLevel="0" collapsed="false">
      <c r="A27" s="60" t="str">
        <f aca="false">_xlfn.CONCAT($A$1, ".", CALC!A27)</f>
        <v>LSD.RID.0.AL.LFPR.23</v>
      </c>
      <c r="B27" s="42" t="str">
        <f aca="false">CALC!C27</f>
        <v>Public Administration</v>
      </c>
      <c r="C27" s="39" t="n">
        <v>0.595</v>
      </c>
      <c r="D27" s="39" t="n">
        <v>0.42</v>
      </c>
      <c r="E27" s="39" t="n">
        <v>0.5</v>
      </c>
      <c r="F27" s="39" t="n">
        <v>0.595</v>
      </c>
      <c r="AB27" s="3"/>
      <c r="AC27" s="3"/>
      <c r="AD27" s="3"/>
      <c r="AE27" s="3"/>
      <c r="AR27" s="3"/>
      <c r="AS27" s="3"/>
      <c r="AT27" s="3"/>
      <c r="AU27" s="3"/>
      <c r="AV27" s="3"/>
      <c r="AW27" s="3"/>
      <c r="AX27" s="3"/>
      <c r="AY27" s="3"/>
      <c r="BD27" s="3"/>
      <c r="BE27" s="3"/>
      <c r="BF27" s="3"/>
      <c r="BG27" s="3"/>
      <c r="BH27" s="3"/>
      <c r="BI27" s="3"/>
      <c r="BJ27" s="3"/>
      <c r="BK27" s="3"/>
      <c r="BL27" s="3"/>
      <c r="BM27" s="3"/>
      <c r="BN27" s="3"/>
      <c r="BO27" s="3"/>
    </row>
    <row r="28" customFormat="false" ht="12.8" hidden="false" customHeight="false" outlineLevel="0" collapsed="false">
      <c r="A28" s="4"/>
      <c r="B28" s="49"/>
      <c r="C28" s="66"/>
      <c r="D28" s="66"/>
      <c r="E28" s="66"/>
      <c r="F28" s="66"/>
    </row>
    <row r="29" customFormat="false" ht="12.8" hidden="false" customHeight="false" outlineLevel="0" collapsed="false">
      <c r="A29" s="4"/>
      <c r="B29" s="49"/>
      <c r="C29" s="66"/>
      <c r="D29" s="66"/>
      <c r="E29" s="66"/>
      <c r="F29" s="66"/>
    </row>
    <row r="125" customFormat="false" ht="12.8" hidden="false" customHeight="false" outlineLevel="0" collapsed="false">
      <c r="A125" s="60" t="str">
        <f aca="false">_xlfn.CONCAT($A$1, ".", "FORM")</f>
        <v>LSD.RID.0.AL.LFPR.FORM</v>
      </c>
      <c r="B125" s="61" t="str">
        <f aca="false">_xlfn.CONCAT($B$1, " ", "Formulae")</f>
        <v>Alabama Labor Force Participation Rate (LFPR) Formulae</v>
      </c>
    </row>
    <row r="126" customFormat="false" ht="12.8" hidden="false" customHeight="false" outlineLevel="0" collapsed="false">
      <c r="A126" s="49" t="s">
        <v>2051</v>
      </c>
      <c r="B126" s="49" t="s">
        <v>175</v>
      </c>
      <c r="C126" s="49" t="s">
        <v>176</v>
      </c>
      <c r="D126" s="49" t="s">
        <v>177</v>
      </c>
      <c r="E126" s="49" t="s">
        <v>178</v>
      </c>
      <c r="F126" s="49" t="s">
        <v>179</v>
      </c>
    </row>
    <row r="127" customFormat="false" ht="12.8" hidden="false" customHeight="false" outlineLevel="0" collapsed="false">
      <c r="A127" s="39" t="s">
        <v>2278</v>
      </c>
      <c r="B127" s="39" t="s">
        <v>2279</v>
      </c>
      <c r="C127" s="39" t="s">
        <v>2280</v>
      </c>
      <c r="D127" s="39" t="s">
        <v>2281</v>
      </c>
      <c r="E127" s="39" t="s">
        <v>2282</v>
      </c>
      <c r="F127" s="39" t="s">
        <v>2283</v>
      </c>
    </row>
    <row r="128" customFormat="false" ht="12.8" hidden="false" customHeight="false" outlineLevel="0" collapsed="false">
      <c r="A128" s="39" t="s">
        <v>2284</v>
      </c>
      <c r="B128" s="39" t="s">
        <v>2285</v>
      </c>
      <c r="C128" s="39" t="s">
        <v>2286</v>
      </c>
      <c r="D128" s="39" t="s">
        <v>2287</v>
      </c>
      <c r="E128" s="39" t="s">
        <v>2288</v>
      </c>
      <c r="F128" s="39" t="s">
        <v>2289</v>
      </c>
    </row>
    <row r="129" customFormat="false" ht="12.8" hidden="false" customHeight="false" outlineLevel="0" collapsed="false">
      <c r="A129" s="39" t="s">
        <v>2290</v>
      </c>
      <c r="B129" s="39" t="s">
        <v>2291</v>
      </c>
      <c r="C129" s="39" t="s">
        <v>2292</v>
      </c>
      <c r="D129" s="39" t="s">
        <v>2293</v>
      </c>
      <c r="E129" s="39" t="s">
        <v>1532</v>
      </c>
      <c r="F129" s="39" t="s">
        <v>1533</v>
      </c>
    </row>
    <row r="130" customFormat="false" ht="12.8" hidden="false" customHeight="false" outlineLevel="0" collapsed="false">
      <c r="A130" s="39" t="s">
        <v>2294</v>
      </c>
      <c r="B130" s="39" t="s">
        <v>2295</v>
      </c>
      <c r="C130" s="39" t="s">
        <v>2296</v>
      </c>
      <c r="D130" s="39" t="s">
        <v>2297</v>
      </c>
      <c r="E130" s="39" t="s">
        <v>1539</v>
      </c>
      <c r="F130" s="39" t="s">
        <v>1533</v>
      </c>
    </row>
    <row r="131" customFormat="false" ht="12.8" hidden="false" customHeight="false" outlineLevel="0" collapsed="false">
      <c r="A131" s="39" t="s">
        <v>2298</v>
      </c>
      <c r="B131" s="39" t="s">
        <v>2299</v>
      </c>
      <c r="C131" s="39" t="s">
        <v>2300</v>
      </c>
      <c r="D131" s="39" t="s">
        <v>2301</v>
      </c>
      <c r="E131" s="39" t="s">
        <v>1545</v>
      </c>
      <c r="F131" s="39" t="s">
        <v>1546</v>
      </c>
    </row>
    <row r="132" customFormat="false" ht="12.8" hidden="false" customHeight="false" outlineLevel="0" collapsed="false">
      <c r="A132" s="39" t="s">
        <v>2302</v>
      </c>
      <c r="B132" s="39" t="s">
        <v>2303</v>
      </c>
      <c r="C132" s="39" t="s">
        <v>2304</v>
      </c>
      <c r="D132" s="39" t="s">
        <v>2305</v>
      </c>
      <c r="E132" s="39" t="s">
        <v>2306</v>
      </c>
      <c r="F132" s="39" t="s">
        <v>1533</v>
      </c>
    </row>
    <row r="135" customFormat="false" ht="12.8" hidden="false" customHeight="false" outlineLevel="0" collapsed="false">
      <c r="A135" s="60" t="str">
        <f aca="false">_xlfn.CONCAT($A$1, ".", "PARAM")</f>
        <v>LSD.RID.0.AL.LFPR.PARAM</v>
      </c>
      <c r="B135" s="61" t="str">
        <f aca="false">_xlfn.CONCAT($B$1, " ", "Parameters")</f>
        <v>Alabama Labor Force Participation Rate (LFPR) Parameters</v>
      </c>
    </row>
    <row r="136" customFormat="false" ht="12.8" hidden="false" customHeight="false" outlineLevel="0" collapsed="false">
      <c r="A136" s="49" t="s">
        <v>2082</v>
      </c>
      <c r="B136" s="49" t="s">
        <v>176</v>
      </c>
      <c r="C136" s="49" t="s">
        <v>293</v>
      </c>
      <c r="D136" s="49" t="s">
        <v>178</v>
      </c>
      <c r="E136" s="49" t="s">
        <v>294</v>
      </c>
      <c r="F136" s="49" t="s">
        <v>295</v>
      </c>
      <c r="G136" s="49" t="s">
        <v>296</v>
      </c>
      <c r="H136" s="49" t="s">
        <v>179</v>
      </c>
      <c r="I136" s="3"/>
      <c r="J136" s="49" t="s">
        <v>174</v>
      </c>
      <c r="K136" s="49" t="s">
        <v>176</v>
      </c>
      <c r="L136" s="49" t="s">
        <v>293</v>
      </c>
      <c r="M136" s="49" t="s">
        <v>178</v>
      </c>
      <c r="N136" s="49" t="s">
        <v>294</v>
      </c>
      <c r="O136" s="49" t="s">
        <v>295</v>
      </c>
      <c r="P136" s="49" t="s">
        <v>296</v>
      </c>
      <c r="Q136" s="49" t="s">
        <v>179</v>
      </c>
    </row>
    <row r="137" customFormat="false" ht="12.8" hidden="false" customHeight="false" outlineLevel="0" collapsed="false">
      <c r="A137" s="50" t="s">
        <v>2307</v>
      </c>
      <c r="B137" s="39" t="s">
        <v>400</v>
      </c>
      <c r="C137" s="39" t="n">
        <v>0.577</v>
      </c>
      <c r="D137" s="39" t="s">
        <v>401</v>
      </c>
      <c r="E137" s="39" t="s">
        <v>300</v>
      </c>
      <c r="F137" s="39" t="s">
        <v>402</v>
      </c>
      <c r="G137" s="51" t="s">
        <v>302</v>
      </c>
      <c r="H137" s="39" t="s">
        <v>2308</v>
      </c>
      <c r="I137" s="3"/>
      <c r="J137" s="3"/>
      <c r="K137" s="3"/>
      <c r="L137" s="3"/>
      <c r="M137" s="3"/>
      <c r="N137" s="3"/>
      <c r="O137" s="3"/>
      <c r="P137" s="3"/>
      <c r="Q137" s="3"/>
    </row>
    <row r="138" customFormat="false" ht="12.8" hidden="false" customHeight="false" outlineLevel="0" collapsed="false">
      <c r="A138" s="50" t="s">
        <v>2309</v>
      </c>
      <c r="B138" s="39" t="s">
        <v>1558</v>
      </c>
      <c r="C138" s="39" t="n">
        <v>0.91</v>
      </c>
      <c r="D138" s="39" t="s">
        <v>2310</v>
      </c>
      <c r="E138" s="39" t="s">
        <v>368</v>
      </c>
      <c r="F138" s="39" t="s">
        <v>1560</v>
      </c>
      <c r="G138" s="51" t="s">
        <v>302</v>
      </c>
      <c r="H138" s="39" t="s">
        <v>2311</v>
      </c>
      <c r="I138" s="3"/>
      <c r="J138" s="3"/>
      <c r="K138" s="3"/>
      <c r="L138" s="3"/>
      <c r="M138" s="3"/>
      <c r="N138" s="3"/>
      <c r="O138" s="3"/>
      <c r="P138" s="3"/>
      <c r="Q138" s="3"/>
    </row>
    <row r="139" customFormat="false" ht="12.8" hidden="false" customHeight="false" outlineLevel="0" collapsed="false">
      <c r="A139" s="50" t="s">
        <v>2312</v>
      </c>
      <c r="B139" s="39" t="s">
        <v>1562</v>
      </c>
      <c r="C139" s="39" t="n">
        <v>0.95</v>
      </c>
      <c r="D139" s="39" t="s">
        <v>2313</v>
      </c>
      <c r="E139" s="39" t="s">
        <v>300</v>
      </c>
      <c r="F139" s="39" t="s">
        <v>1564</v>
      </c>
      <c r="G139" s="51" t="s">
        <v>302</v>
      </c>
      <c r="H139" s="39" t="s">
        <v>2314</v>
      </c>
      <c r="I139" s="3"/>
      <c r="J139" s="3"/>
      <c r="K139" s="3"/>
      <c r="L139" s="3"/>
      <c r="M139" s="3"/>
      <c r="N139" s="3"/>
      <c r="O139" s="3"/>
      <c r="P139" s="3"/>
      <c r="Q139" s="3"/>
    </row>
    <row r="140" customFormat="false" ht="12.8" hidden="false" customHeight="false" outlineLevel="0" collapsed="false">
      <c r="A140" s="50" t="s">
        <v>2315</v>
      </c>
      <c r="B140" s="39" t="s">
        <v>1566</v>
      </c>
      <c r="C140" s="39" t="n">
        <v>0.91</v>
      </c>
      <c r="D140" s="39" t="s">
        <v>2316</v>
      </c>
      <c r="E140" s="39" t="s">
        <v>300</v>
      </c>
      <c r="F140" s="39" t="s">
        <v>1568</v>
      </c>
      <c r="G140" s="51" t="s">
        <v>302</v>
      </c>
      <c r="H140" s="39" t="s">
        <v>2311</v>
      </c>
      <c r="I140" s="3"/>
      <c r="J140" s="3"/>
      <c r="K140" s="3"/>
      <c r="L140" s="3"/>
      <c r="M140" s="3"/>
      <c r="N140" s="3"/>
      <c r="O140" s="3"/>
      <c r="P140" s="3"/>
      <c r="Q140" s="3"/>
    </row>
    <row r="141" customFormat="false" ht="12.8" hidden="false" customHeight="false" outlineLevel="0" collapsed="false">
      <c r="A141" s="50" t="s">
        <v>2317</v>
      </c>
      <c r="B141" s="39" t="s">
        <v>1570</v>
      </c>
      <c r="C141" s="39" t="n">
        <v>0.93</v>
      </c>
      <c r="D141" s="39" t="s">
        <v>2318</v>
      </c>
      <c r="E141" s="39" t="s">
        <v>300</v>
      </c>
      <c r="F141" s="39" t="s">
        <v>1564</v>
      </c>
      <c r="G141" s="51" t="s">
        <v>302</v>
      </c>
      <c r="H141" s="39" t="s">
        <v>477</v>
      </c>
      <c r="I141" s="3"/>
      <c r="J141" s="3"/>
      <c r="K141" s="3"/>
      <c r="L141" s="3"/>
      <c r="M141" s="3"/>
      <c r="N141" s="3"/>
      <c r="O141" s="3"/>
      <c r="P141" s="3"/>
      <c r="Q141" s="3"/>
    </row>
    <row r="142" customFormat="false" ht="12.8" hidden="false" customHeight="false" outlineLevel="0" collapsed="false">
      <c r="A142" s="50" t="s">
        <v>2319</v>
      </c>
      <c r="B142" s="39" t="s">
        <v>1573</v>
      </c>
      <c r="C142" s="39" t="n">
        <v>0.93</v>
      </c>
      <c r="D142" s="39" t="s">
        <v>2320</v>
      </c>
      <c r="E142" s="39" t="s">
        <v>300</v>
      </c>
      <c r="F142" s="39" t="s">
        <v>1564</v>
      </c>
      <c r="G142" s="51" t="s">
        <v>302</v>
      </c>
      <c r="H142" s="39" t="s">
        <v>481</v>
      </c>
      <c r="I142" s="3"/>
      <c r="J142" s="3"/>
      <c r="K142" s="3"/>
      <c r="L142" s="3"/>
      <c r="M142" s="3"/>
      <c r="N142" s="3"/>
      <c r="O142" s="3"/>
      <c r="P142" s="3"/>
      <c r="Q142" s="3"/>
    </row>
    <row r="143" customFormat="false" ht="12.8" hidden="false" customHeight="false" outlineLevel="0" collapsed="false">
      <c r="A143" s="50" t="s">
        <v>2321</v>
      </c>
      <c r="B143" s="39" t="s">
        <v>1576</v>
      </c>
      <c r="C143" s="39" t="n">
        <v>0.94</v>
      </c>
      <c r="D143" s="39" t="s">
        <v>2322</v>
      </c>
      <c r="E143" s="39" t="s">
        <v>368</v>
      </c>
      <c r="F143" s="39" t="s">
        <v>463</v>
      </c>
      <c r="G143" s="51" t="s">
        <v>302</v>
      </c>
      <c r="H143" s="39" t="s">
        <v>2314</v>
      </c>
      <c r="I143" s="3"/>
      <c r="J143" s="3"/>
      <c r="K143" s="3"/>
      <c r="L143" s="3"/>
      <c r="M143" s="3"/>
      <c r="N143" s="3"/>
      <c r="O143" s="3"/>
      <c r="P143" s="3"/>
      <c r="Q143" s="3"/>
    </row>
    <row r="144" customFormat="false" ht="12.8" hidden="false" customHeight="false" outlineLevel="0" collapsed="false">
      <c r="A144" s="50" t="s">
        <v>2323</v>
      </c>
      <c r="B144" s="39" t="s">
        <v>1579</v>
      </c>
      <c r="C144" s="39" t="n">
        <v>0.98</v>
      </c>
      <c r="D144" s="39" t="s">
        <v>2324</v>
      </c>
      <c r="E144" s="39" t="s">
        <v>300</v>
      </c>
      <c r="F144" s="39" t="s">
        <v>1564</v>
      </c>
      <c r="G144" s="51" t="s">
        <v>302</v>
      </c>
      <c r="H144" s="39" t="s">
        <v>2325</v>
      </c>
      <c r="I144" s="3"/>
      <c r="J144" s="3"/>
      <c r="K144" s="3"/>
      <c r="L144" s="3"/>
      <c r="M144" s="3"/>
      <c r="N144" s="3"/>
      <c r="O144" s="3"/>
      <c r="P144" s="3"/>
      <c r="Q144" s="3"/>
    </row>
    <row r="145" customFormat="false" ht="12.8" hidden="false" customHeight="false" outlineLevel="0" collapsed="false">
      <c r="A145" s="50" t="s">
        <v>2326</v>
      </c>
      <c r="B145" s="39" t="s">
        <v>1582</v>
      </c>
      <c r="C145" s="39" t="n">
        <v>0.99</v>
      </c>
      <c r="D145" s="39" t="s">
        <v>2327</v>
      </c>
      <c r="E145" s="39" t="s">
        <v>300</v>
      </c>
      <c r="F145" s="39" t="s">
        <v>1564</v>
      </c>
      <c r="G145" s="51" t="s">
        <v>302</v>
      </c>
      <c r="H145" s="39" t="s">
        <v>2325</v>
      </c>
      <c r="I145" s="3"/>
      <c r="J145" s="3"/>
      <c r="K145" s="3"/>
      <c r="L145" s="3"/>
      <c r="M145" s="3"/>
      <c r="N145" s="3"/>
      <c r="O145" s="3"/>
      <c r="P145" s="3"/>
      <c r="Q145" s="3"/>
    </row>
    <row r="146" customFormat="false" ht="12.8" hidden="false" customHeight="false" outlineLevel="0" collapsed="false">
      <c r="A146" s="50" t="s">
        <v>2328</v>
      </c>
      <c r="B146" s="39" t="s">
        <v>1585</v>
      </c>
      <c r="C146" s="39" t="n">
        <v>0.95</v>
      </c>
      <c r="D146" s="39" t="s">
        <v>2329</v>
      </c>
      <c r="E146" s="39" t="s">
        <v>300</v>
      </c>
      <c r="F146" s="39" t="s">
        <v>1564</v>
      </c>
      <c r="G146" s="51" t="s">
        <v>302</v>
      </c>
      <c r="H146" s="39" t="s">
        <v>2330</v>
      </c>
      <c r="I146" s="3"/>
      <c r="J146" s="3"/>
      <c r="K146" s="3"/>
      <c r="L146" s="3"/>
      <c r="M146" s="3"/>
      <c r="N146" s="3"/>
      <c r="O146" s="3"/>
      <c r="P146" s="3"/>
      <c r="Q146" s="3"/>
    </row>
    <row r="147" customFormat="false" ht="12.8" hidden="false" customHeight="false" outlineLevel="0" collapsed="false">
      <c r="A147" s="50" t="s">
        <v>2331</v>
      </c>
      <c r="B147" s="39" t="s">
        <v>1588</v>
      </c>
      <c r="C147" s="39" t="n">
        <v>0.9</v>
      </c>
      <c r="D147" s="39" t="s">
        <v>2332</v>
      </c>
      <c r="E147" s="39" t="s">
        <v>300</v>
      </c>
      <c r="F147" s="39" t="s">
        <v>1564</v>
      </c>
      <c r="G147" s="51" t="s">
        <v>302</v>
      </c>
      <c r="H147" s="39" t="s">
        <v>2333</v>
      </c>
      <c r="I147" s="3"/>
      <c r="J147" s="3"/>
      <c r="K147" s="3"/>
      <c r="L147" s="3"/>
      <c r="M147" s="3"/>
      <c r="N147" s="3"/>
      <c r="O147" s="3"/>
      <c r="P147" s="3"/>
      <c r="Q147" s="3"/>
    </row>
    <row r="148" customFormat="false" ht="12.8" hidden="false" customHeight="false" outlineLevel="0" collapsed="false">
      <c r="A148" s="50" t="s">
        <v>2334</v>
      </c>
      <c r="B148" s="39" t="s">
        <v>1591</v>
      </c>
      <c r="C148" s="39" t="n">
        <v>0.92</v>
      </c>
      <c r="D148" s="39" t="s">
        <v>2335</v>
      </c>
      <c r="E148" s="39" t="s">
        <v>368</v>
      </c>
      <c r="F148" s="39" t="s">
        <v>463</v>
      </c>
      <c r="G148" s="51" t="s">
        <v>302</v>
      </c>
      <c r="H148" s="39" t="s">
        <v>515</v>
      </c>
      <c r="I148" s="3"/>
      <c r="J148" s="3"/>
      <c r="K148" s="3"/>
      <c r="L148" s="3"/>
      <c r="M148" s="3"/>
      <c r="N148" s="3"/>
      <c r="O148" s="3"/>
      <c r="P148" s="3"/>
      <c r="Q148" s="3"/>
    </row>
    <row r="149" customFormat="false" ht="12.8" hidden="false" customHeight="false" outlineLevel="0" collapsed="false">
      <c r="A149" s="50" t="s">
        <v>2336</v>
      </c>
      <c r="B149" s="39" t="s">
        <v>1594</v>
      </c>
      <c r="C149" s="39" t="n">
        <v>0.98</v>
      </c>
      <c r="D149" s="39" t="s">
        <v>2337</v>
      </c>
      <c r="E149" s="39" t="s">
        <v>300</v>
      </c>
      <c r="F149" s="39" t="s">
        <v>1564</v>
      </c>
      <c r="G149" s="51" t="s">
        <v>302</v>
      </c>
      <c r="H149" s="39" t="s">
        <v>2325</v>
      </c>
      <c r="I149" s="3"/>
      <c r="J149" s="3"/>
      <c r="K149" s="3"/>
      <c r="L149" s="3"/>
      <c r="M149" s="3"/>
      <c r="N149" s="3"/>
      <c r="O149" s="3"/>
      <c r="P149" s="3"/>
      <c r="Q149" s="3"/>
    </row>
    <row r="150" customFormat="false" ht="12.8" hidden="false" customHeight="false" outlineLevel="0" collapsed="false">
      <c r="A150" s="50" t="s">
        <v>2338</v>
      </c>
      <c r="B150" s="39" t="s">
        <v>2339</v>
      </c>
      <c r="C150" s="39" t="n">
        <v>0.91</v>
      </c>
      <c r="D150" s="39" t="s">
        <v>2340</v>
      </c>
      <c r="E150" s="39" t="s">
        <v>306</v>
      </c>
      <c r="F150" s="39" t="s">
        <v>1599</v>
      </c>
      <c r="G150" s="51" t="s">
        <v>302</v>
      </c>
      <c r="H150" s="39" t="s">
        <v>2308</v>
      </c>
      <c r="I150" s="3"/>
      <c r="J150" s="3"/>
      <c r="K150" s="3"/>
      <c r="L150" s="3"/>
      <c r="M150" s="3"/>
      <c r="N150" s="3"/>
      <c r="O150" s="3"/>
      <c r="P150" s="3"/>
      <c r="Q150" s="3"/>
    </row>
    <row r="151" customFormat="false" ht="12.8" hidden="false" customHeight="false" outlineLevel="0" collapsed="false">
      <c r="A151" s="50" t="s">
        <v>2341</v>
      </c>
      <c r="B151" s="39" t="s">
        <v>2342</v>
      </c>
      <c r="C151" s="39" t="n">
        <v>1.06</v>
      </c>
      <c r="D151" s="39" t="s">
        <v>2343</v>
      </c>
      <c r="E151" s="39" t="s">
        <v>306</v>
      </c>
      <c r="F151" s="39" t="s">
        <v>1603</v>
      </c>
      <c r="G151" s="51" t="s">
        <v>302</v>
      </c>
      <c r="H151" s="39" t="s">
        <v>2308</v>
      </c>
      <c r="I151" s="3"/>
      <c r="J151" s="3"/>
      <c r="K151" s="3"/>
      <c r="L151" s="3"/>
      <c r="M151" s="3"/>
      <c r="N151" s="3"/>
      <c r="O151" s="3"/>
      <c r="P151" s="3"/>
      <c r="Q151" s="3"/>
    </row>
    <row r="152" customFormat="false" ht="12.8" hidden="false" customHeight="false" outlineLevel="0" collapsed="false">
      <c r="A152" s="50" t="s">
        <v>2344</v>
      </c>
      <c r="B152" s="39" t="s">
        <v>2345</v>
      </c>
      <c r="C152" s="39" t="n">
        <v>0.92</v>
      </c>
      <c r="D152" s="39" t="s">
        <v>2346</v>
      </c>
      <c r="E152" s="39" t="s">
        <v>300</v>
      </c>
      <c r="F152" s="39" t="s">
        <v>353</v>
      </c>
      <c r="G152" s="51" t="s">
        <v>302</v>
      </c>
      <c r="H152" s="39" t="s">
        <v>2308</v>
      </c>
      <c r="I152" s="3"/>
      <c r="J152" s="3"/>
      <c r="K152" s="3"/>
      <c r="L152" s="3"/>
      <c r="M152" s="3"/>
      <c r="N152" s="3"/>
      <c r="O152" s="3"/>
      <c r="P152" s="3"/>
      <c r="Q152" s="3"/>
    </row>
    <row r="153" customFormat="false" ht="12.8" hidden="false" customHeight="false" outlineLevel="0" collapsed="false">
      <c r="A153" s="50" t="s">
        <v>2347</v>
      </c>
      <c r="B153" s="39" t="s">
        <v>2348</v>
      </c>
      <c r="C153" s="39" t="n">
        <v>0.75</v>
      </c>
      <c r="D153" s="39" t="s">
        <v>2349</v>
      </c>
      <c r="E153" s="39" t="s">
        <v>306</v>
      </c>
      <c r="F153" s="39" t="s">
        <v>353</v>
      </c>
      <c r="G153" s="51" t="s">
        <v>302</v>
      </c>
      <c r="H153" s="39" t="s">
        <v>2308</v>
      </c>
      <c r="I153" s="3"/>
      <c r="J153" s="3"/>
      <c r="K153" s="3"/>
      <c r="L153" s="3"/>
      <c r="M153" s="3"/>
      <c r="N153" s="3"/>
      <c r="O153" s="3"/>
      <c r="P153" s="3"/>
      <c r="Q153" s="3"/>
    </row>
    <row r="154" customFormat="false" ht="12.8" hidden="false" customHeight="false" outlineLevel="0" collapsed="false">
      <c r="A154" s="50" t="s">
        <v>2350</v>
      </c>
      <c r="B154" s="39" t="s">
        <v>2351</v>
      </c>
      <c r="C154" s="39" t="n">
        <v>0.65</v>
      </c>
      <c r="D154" s="39" t="s">
        <v>2352</v>
      </c>
      <c r="E154" s="39" t="s">
        <v>306</v>
      </c>
      <c r="F154" s="39" t="s">
        <v>353</v>
      </c>
      <c r="G154" s="51" t="s">
        <v>302</v>
      </c>
      <c r="H154" s="39" t="s">
        <v>2308</v>
      </c>
      <c r="I154" s="3"/>
      <c r="J154" s="3"/>
      <c r="K154" s="3"/>
      <c r="L154" s="3"/>
      <c r="M154" s="3"/>
      <c r="N154" s="3"/>
      <c r="O154" s="3"/>
      <c r="P154" s="3"/>
      <c r="Q154" s="3"/>
    </row>
    <row r="155" customFormat="false" ht="12.8" hidden="false" customHeight="false" outlineLevel="0" collapsed="false">
      <c r="A155" s="50" t="s">
        <v>2353</v>
      </c>
      <c r="B155" s="39" t="s">
        <v>1614</v>
      </c>
      <c r="C155" s="39" t="n">
        <v>0.005</v>
      </c>
      <c r="D155" s="39" t="s">
        <v>1615</v>
      </c>
      <c r="E155" s="39" t="s">
        <v>306</v>
      </c>
      <c r="F155" s="39" t="s">
        <v>1616</v>
      </c>
      <c r="G155" s="51" t="s">
        <v>302</v>
      </c>
      <c r="H155" s="39" t="s">
        <v>2308</v>
      </c>
      <c r="I155" s="3"/>
      <c r="J155" s="3"/>
      <c r="K155" s="3"/>
      <c r="L155" s="3"/>
      <c r="M155" s="3"/>
      <c r="N155" s="3"/>
      <c r="O155" s="3"/>
      <c r="P155" s="3"/>
      <c r="Q155" s="3"/>
    </row>
    <row r="156" customFormat="false" ht="12.8" hidden="false" customHeight="false" outlineLevel="0" collapsed="false">
      <c r="A156" s="50" t="s">
        <v>2354</v>
      </c>
      <c r="B156" s="39" t="s">
        <v>1618</v>
      </c>
      <c r="C156" s="39" t="n">
        <v>0.145</v>
      </c>
      <c r="D156" s="39" t="s">
        <v>1619</v>
      </c>
      <c r="E156" s="39" t="s">
        <v>306</v>
      </c>
      <c r="F156" s="39" t="s">
        <v>1620</v>
      </c>
      <c r="G156" s="51" t="s">
        <v>302</v>
      </c>
      <c r="H156" s="3"/>
      <c r="I156" s="3"/>
      <c r="J156" s="50" t="s">
        <v>2355</v>
      </c>
      <c r="K156" s="39" t="s">
        <v>2356</v>
      </c>
      <c r="L156" s="39" t="s">
        <v>2356</v>
      </c>
      <c r="M156" s="39" t="s">
        <v>2356</v>
      </c>
      <c r="N156" s="39" t="s">
        <v>2356</v>
      </c>
      <c r="O156" s="39" t="s">
        <v>2356</v>
      </c>
      <c r="P156" s="39" t="s">
        <v>2356</v>
      </c>
      <c r="Q156" s="3"/>
    </row>
    <row r="157" customFormat="false" ht="12.8" hidden="false" customHeight="false" outlineLevel="0" collapsed="false">
      <c r="A157" s="50" t="s">
        <v>2357</v>
      </c>
      <c r="B157" s="39" t="s">
        <v>1622</v>
      </c>
      <c r="C157" s="39" t="n">
        <v>0.072</v>
      </c>
      <c r="D157" s="39" t="s">
        <v>1623</v>
      </c>
      <c r="E157" s="39" t="s">
        <v>306</v>
      </c>
      <c r="F157" s="39" t="s">
        <v>1616</v>
      </c>
      <c r="G157" s="51" t="s">
        <v>302</v>
      </c>
      <c r="H157" s="3"/>
      <c r="I157" s="3"/>
      <c r="J157" s="3"/>
      <c r="K157" s="3"/>
      <c r="L157" s="3"/>
      <c r="M157" s="3"/>
      <c r="N157" s="3"/>
      <c r="O157" s="3"/>
      <c r="P157" s="3"/>
      <c r="Q157" s="3"/>
    </row>
    <row r="158" customFormat="false" ht="12.8" hidden="false" customHeight="false" outlineLevel="0" collapsed="false">
      <c r="A158" s="50" t="s">
        <v>2358</v>
      </c>
      <c r="B158" s="39" t="s">
        <v>1625</v>
      </c>
      <c r="C158" s="39" t="n">
        <v>0.037</v>
      </c>
      <c r="D158" s="39" t="s">
        <v>1626</v>
      </c>
      <c r="E158" s="39" t="s">
        <v>306</v>
      </c>
      <c r="F158" s="39" t="s">
        <v>1620</v>
      </c>
      <c r="G158" s="51" t="s">
        <v>302</v>
      </c>
      <c r="H158" s="3"/>
      <c r="I158" s="3"/>
      <c r="J158" s="3"/>
      <c r="K158" s="3"/>
      <c r="L158" s="3"/>
      <c r="M158" s="3"/>
      <c r="N158" s="3"/>
      <c r="O158" s="3"/>
      <c r="P158" s="3"/>
      <c r="Q158" s="3"/>
    </row>
    <row r="159" customFormat="false" ht="12.8" hidden="false" customHeight="false" outlineLevel="0" collapsed="false">
      <c r="A159" s="50" t="s">
        <v>2359</v>
      </c>
      <c r="B159" s="39" t="s">
        <v>1628</v>
      </c>
      <c r="C159" s="39" t="n">
        <v>0.014</v>
      </c>
      <c r="D159" s="39" t="s">
        <v>1629</v>
      </c>
      <c r="E159" s="39" t="s">
        <v>306</v>
      </c>
      <c r="F159" s="39" t="s">
        <v>1616</v>
      </c>
      <c r="G159" s="51" t="s">
        <v>302</v>
      </c>
      <c r="H159" s="3"/>
      <c r="I159" s="3"/>
      <c r="J159" s="3"/>
      <c r="K159" s="3"/>
      <c r="L159" s="3"/>
      <c r="M159" s="3"/>
      <c r="N159" s="3"/>
      <c r="O159" s="3"/>
      <c r="P159" s="3"/>
      <c r="Q159" s="3"/>
    </row>
    <row r="160" customFormat="false" ht="12.8" hidden="false" customHeight="false" outlineLevel="0" collapsed="false">
      <c r="A160" s="50" t="s">
        <v>2360</v>
      </c>
      <c r="B160" s="39" t="s">
        <v>1631</v>
      </c>
      <c r="C160" s="39" t="n">
        <v>0.04</v>
      </c>
      <c r="D160" s="39" t="s">
        <v>1632</v>
      </c>
      <c r="E160" s="39" t="s">
        <v>306</v>
      </c>
      <c r="F160" s="39" t="s">
        <v>1620</v>
      </c>
      <c r="G160" s="51" t="s">
        <v>302</v>
      </c>
      <c r="H160" s="3"/>
      <c r="I160" s="3"/>
      <c r="J160" s="3"/>
      <c r="K160" s="3"/>
      <c r="L160" s="3"/>
      <c r="M160" s="3"/>
      <c r="N160" s="3"/>
      <c r="O160" s="3"/>
      <c r="P160" s="3"/>
      <c r="Q160" s="3"/>
    </row>
    <row r="161" customFormat="false" ht="12.8" hidden="false" customHeight="false" outlineLevel="0" collapsed="false">
      <c r="A161" s="50" t="s">
        <v>2361</v>
      </c>
      <c r="B161" s="39" t="s">
        <v>1634</v>
      </c>
      <c r="C161" s="39" t="n">
        <v>0.034</v>
      </c>
      <c r="D161" s="39" t="s">
        <v>1635</v>
      </c>
      <c r="E161" s="39" t="s">
        <v>306</v>
      </c>
      <c r="F161" s="39" t="s">
        <v>1616</v>
      </c>
      <c r="G161" s="51" t="s">
        <v>302</v>
      </c>
      <c r="H161" s="3"/>
      <c r="I161" s="3"/>
      <c r="J161" s="3"/>
      <c r="K161" s="3"/>
      <c r="L161" s="3"/>
      <c r="M161" s="3"/>
      <c r="N161" s="3"/>
      <c r="O161" s="3"/>
      <c r="P161" s="3"/>
      <c r="Q161" s="3"/>
    </row>
    <row r="162" customFormat="false" ht="12.8" hidden="false" customHeight="false" outlineLevel="0" collapsed="false">
      <c r="A162" s="50" t="s">
        <v>2362</v>
      </c>
      <c r="B162" s="39" t="s">
        <v>1637</v>
      </c>
      <c r="C162" s="39" t="n">
        <v>0.102</v>
      </c>
      <c r="D162" s="39" t="s">
        <v>1638</v>
      </c>
      <c r="E162" s="39" t="s">
        <v>306</v>
      </c>
      <c r="F162" s="39" t="s">
        <v>1620</v>
      </c>
      <c r="G162" s="51" t="s">
        <v>302</v>
      </c>
      <c r="H162" s="3"/>
      <c r="I162" s="3"/>
      <c r="J162" s="3"/>
      <c r="K162" s="3"/>
      <c r="L162" s="3"/>
      <c r="M162" s="3"/>
      <c r="N162" s="3"/>
      <c r="O162" s="3"/>
      <c r="P162" s="3"/>
      <c r="Q162" s="3"/>
    </row>
    <row r="163" customFormat="false" ht="12.8" hidden="false" customHeight="false" outlineLevel="0" collapsed="false">
      <c r="A163" s="50" t="s">
        <v>2363</v>
      </c>
      <c r="B163" s="39" t="s">
        <v>1640</v>
      </c>
      <c r="C163" s="39" t="n">
        <v>0.021</v>
      </c>
      <c r="D163" s="39" t="s">
        <v>1641</v>
      </c>
      <c r="E163" s="39" t="s">
        <v>306</v>
      </c>
      <c r="F163" s="39" t="s">
        <v>1616</v>
      </c>
      <c r="G163" s="51" t="s">
        <v>302</v>
      </c>
      <c r="H163" s="3"/>
      <c r="I163" s="3"/>
      <c r="J163" s="3"/>
      <c r="K163" s="3"/>
      <c r="L163" s="3"/>
      <c r="M163" s="3"/>
      <c r="N163" s="3"/>
      <c r="O163" s="3"/>
      <c r="P163" s="3"/>
      <c r="Q163" s="3"/>
    </row>
    <row r="164" customFormat="false" ht="12.8" hidden="false" customHeight="false" outlineLevel="0" collapsed="false">
      <c r="A164" s="50" t="s">
        <v>2364</v>
      </c>
      <c r="B164" s="39" t="s">
        <v>1643</v>
      </c>
      <c r="C164" s="39" t="n">
        <v>0.039</v>
      </c>
      <c r="D164" s="39" t="s">
        <v>1644</v>
      </c>
      <c r="E164" s="39" t="s">
        <v>306</v>
      </c>
      <c r="F164" s="39" t="s">
        <v>1620</v>
      </c>
      <c r="G164" s="51" t="s">
        <v>302</v>
      </c>
      <c r="H164" s="3"/>
      <c r="I164" s="3"/>
      <c r="J164" s="3"/>
      <c r="K164" s="3"/>
      <c r="L164" s="3"/>
      <c r="M164" s="3"/>
      <c r="N164" s="3"/>
      <c r="O164" s="3"/>
      <c r="P164" s="3"/>
      <c r="Q164" s="3"/>
    </row>
    <row r="165" customFormat="false" ht="12.8" hidden="false" customHeight="false" outlineLevel="0" collapsed="false">
      <c r="A165" s="50" t="s">
        <v>2365</v>
      </c>
      <c r="B165" s="39" t="s">
        <v>1646</v>
      </c>
      <c r="C165" s="39" t="n">
        <v>0.021</v>
      </c>
      <c r="D165" s="39" t="s">
        <v>1647</v>
      </c>
      <c r="E165" s="39" t="s">
        <v>306</v>
      </c>
      <c r="F165" s="39" t="s">
        <v>1616</v>
      </c>
      <c r="G165" s="51" t="s">
        <v>302</v>
      </c>
      <c r="H165" s="3"/>
      <c r="I165" s="3"/>
      <c r="J165" s="3"/>
      <c r="K165" s="3"/>
      <c r="L165" s="3"/>
      <c r="M165" s="3"/>
      <c r="N165" s="3"/>
      <c r="O165" s="3"/>
      <c r="P165" s="3"/>
      <c r="Q165" s="3"/>
    </row>
    <row r="166" customFormat="false" ht="12.8" hidden="false" customHeight="false" outlineLevel="0" collapsed="false">
      <c r="A166" s="50" t="s">
        <v>2366</v>
      </c>
      <c r="B166" s="39" t="s">
        <v>1649</v>
      </c>
      <c r="C166" s="39" t="n">
        <v>0.014</v>
      </c>
      <c r="D166" s="39" t="s">
        <v>1650</v>
      </c>
      <c r="E166" s="39" t="s">
        <v>306</v>
      </c>
      <c r="F166" s="39" t="s">
        <v>1620</v>
      </c>
      <c r="G166" s="51" t="s">
        <v>302</v>
      </c>
      <c r="H166" s="3"/>
      <c r="I166" s="3"/>
      <c r="J166" s="3"/>
      <c r="K166" s="3"/>
      <c r="L166" s="3"/>
      <c r="M166" s="3"/>
      <c r="N166" s="3"/>
      <c r="O166" s="3"/>
      <c r="P166" s="3"/>
      <c r="Q166" s="3"/>
    </row>
    <row r="167" customFormat="false" ht="12.8" hidden="false" customHeight="false" outlineLevel="0" collapsed="false">
      <c r="A167" s="50" t="s">
        <v>2367</v>
      </c>
      <c r="B167" s="39" t="s">
        <v>1652</v>
      </c>
      <c r="C167" s="39" t="n">
        <v>0.028</v>
      </c>
      <c r="D167" s="39" t="s">
        <v>1653</v>
      </c>
      <c r="E167" s="39" t="s">
        <v>306</v>
      </c>
      <c r="F167" s="39" t="s">
        <v>1616</v>
      </c>
      <c r="G167" s="51" t="s">
        <v>302</v>
      </c>
      <c r="H167" s="3"/>
      <c r="I167" s="3"/>
      <c r="J167" s="3"/>
      <c r="K167" s="3"/>
      <c r="L167" s="3"/>
      <c r="M167" s="3"/>
      <c r="N167" s="3"/>
      <c r="O167" s="3"/>
      <c r="P167" s="3"/>
      <c r="Q167" s="3"/>
    </row>
    <row r="168" customFormat="false" ht="12.8" hidden="false" customHeight="false" outlineLevel="0" collapsed="false">
      <c r="A168" s="50" t="s">
        <v>2368</v>
      </c>
      <c r="B168" s="39" t="s">
        <v>1655</v>
      </c>
      <c r="C168" s="39" t="n">
        <v>0.014</v>
      </c>
      <c r="D168" s="39" t="s">
        <v>1656</v>
      </c>
      <c r="E168" s="39" t="s">
        <v>306</v>
      </c>
      <c r="F168" s="39" t="s">
        <v>1620</v>
      </c>
      <c r="G168" s="51" t="s">
        <v>302</v>
      </c>
      <c r="H168" s="3"/>
      <c r="I168" s="3"/>
      <c r="J168" s="3"/>
      <c r="K168" s="3"/>
      <c r="L168" s="3"/>
      <c r="M168" s="3"/>
      <c r="N168" s="3"/>
      <c r="O168" s="3"/>
      <c r="P168" s="3"/>
      <c r="Q168" s="3"/>
    </row>
    <row r="169" customFormat="false" ht="12.8" hidden="false" customHeight="false" outlineLevel="0" collapsed="false">
      <c r="A169" s="50" t="s">
        <v>2369</v>
      </c>
      <c r="B169" s="39" t="s">
        <v>1658</v>
      </c>
      <c r="C169" s="39" t="n">
        <v>0.021</v>
      </c>
      <c r="D169" s="39" t="s">
        <v>1659</v>
      </c>
      <c r="E169" s="39" t="s">
        <v>306</v>
      </c>
      <c r="F169" s="39" t="s">
        <v>1616</v>
      </c>
      <c r="G169" s="51" t="s">
        <v>302</v>
      </c>
      <c r="H169" s="3"/>
      <c r="I169" s="3"/>
      <c r="J169" s="3"/>
      <c r="K169" s="3"/>
      <c r="L169" s="3"/>
      <c r="M169" s="3"/>
      <c r="N169" s="3"/>
      <c r="O169" s="3"/>
      <c r="P169" s="3"/>
      <c r="Q169" s="3"/>
    </row>
    <row r="170" customFormat="false" ht="12.8" hidden="false" customHeight="false" outlineLevel="0" collapsed="false">
      <c r="A170" s="50" t="s">
        <v>2370</v>
      </c>
      <c r="B170" s="39" t="s">
        <v>1661</v>
      </c>
      <c r="C170" s="39" t="n">
        <v>0.026</v>
      </c>
      <c r="D170" s="39" t="s">
        <v>1662</v>
      </c>
      <c r="E170" s="39" t="s">
        <v>306</v>
      </c>
      <c r="F170" s="39" t="s">
        <v>1620</v>
      </c>
      <c r="G170" s="51" t="s">
        <v>302</v>
      </c>
      <c r="H170" s="3"/>
      <c r="I170" s="3"/>
      <c r="J170" s="3"/>
      <c r="K170" s="3"/>
      <c r="L170" s="3"/>
      <c r="M170" s="3"/>
      <c r="N170" s="3"/>
      <c r="O170" s="3"/>
      <c r="P170" s="3"/>
      <c r="Q170" s="3"/>
    </row>
    <row r="171" customFormat="false" ht="12.8" hidden="false" customHeight="false" outlineLevel="0" collapsed="false">
      <c r="A171" s="50" t="s">
        <v>2371</v>
      </c>
      <c r="B171" s="39" t="s">
        <v>1664</v>
      </c>
      <c r="C171" s="39" t="n">
        <v>0.068</v>
      </c>
      <c r="D171" s="39" t="s">
        <v>1665</v>
      </c>
      <c r="E171" s="39" t="s">
        <v>306</v>
      </c>
      <c r="F171" s="39" t="s">
        <v>1616</v>
      </c>
      <c r="G171" s="51" t="s">
        <v>302</v>
      </c>
      <c r="H171" s="3"/>
      <c r="I171" s="3"/>
      <c r="J171" s="3"/>
      <c r="K171" s="3"/>
      <c r="L171" s="3"/>
      <c r="M171" s="3"/>
      <c r="N171" s="3"/>
      <c r="O171" s="3"/>
      <c r="P171" s="3"/>
      <c r="Q171" s="3"/>
    </row>
    <row r="172" customFormat="false" ht="12.8" hidden="false" customHeight="false" outlineLevel="0" collapsed="false">
      <c r="A172" s="50" t="s">
        <v>2372</v>
      </c>
      <c r="B172" s="39" t="s">
        <v>1667</v>
      </c>
      <c r="C172" s="39" t="n">
        <v>0.026</v>
      </c>
      <c r="D172" s="39" t="s">
        <v>1668</v>
      </c>
      <c r="E172" s="39" t="s">
        <v>306</v>
      </c>
      <c r="F172" s="39" t="s">
        <v>1620</v>
      </c>
      <c r="G172" s="51" t="s">
        <v>302</v>
      </c>
      <c r="H172" s="3"/>
      <c r="I172" s="3"/>
      <c r="J172" s="3"/>
      <c r="K172" s="3"/>
      <c r="L172" s="3"/>
      <c r="M172" s="3"/>
      <c r="N172" s="3"/>
      <c r="O172" s="3"/>
      <c r="P172" s="3"/>
      <c r="Q172" s="3"/>
    </row>
    <row r="173" customFormat="false" ht="12.8" hidden="false" customHeight="false" outlineLevel="0" collapsed="false">
      <c r="A173" s="50" t="s">
        <v>2373</v>
      </c>
      <c r="B173" s="39" t="s">
        <v>1670</v>
      </c>
      <c r="C173" s="39" t="n">
        <v>0.014</v>
      </c>
      <c r="D173" s="39" t="s">
        <v>1671</v>
      </c>
      <c r="E173" s="39" t="s">
        <v>306</v>
      </c>
      <c r="F173" s="39" t="s">
        <v>1616</v>
      </c>
      <c r="G173" s="51" t="s">
        <v>302</v>
      </c>
      <c r="H173" s="3"/>
      <c r="I173" s="3"/>
      <c r="J173" s="3"/>
      <c r="K173" s="3"/>
      <c r="L173" s="3"/>
      <c r="M173" s="3"/>
      <c r="N173" s="3"/>
      <c r="O173" s="3"/>
      <c r="P173" s="3"/>
      <c r="Q173" s="3"/>
    </row>
    <row r="174" customFormat="false" ht="12.8" hidden="false" customHeight="false" outlineLevel="0" collapsed="false">
      <c r="A174" s="50" t="s">
        <v>2374</v>
      </c>
      <c r="B174" s="39" t="s">
        <v>1673</v>
      </c>
      <c r="C174" s="39" t="n">
        <v>0.077</v>
      </c>
      <c r="D174" s="39" t="s">
        <v>1674</v>
      </c>
      <c r="E174" s="39" t="s">
        <v>306</v>
      </c>
      <c r="F174" s="39" t="s">
        <v>1620</v>
      </c>
      <c r="G174" s="51" t="s">
        <v>302</v>
      </c>
      <c r="H174" s="3"/>
      <c r="I174" s="3"/>
      <c r="J174" s="3"/>
      <c r="K174" s="3"/>
      <c r="L174" s="3"/>
      <c r="M174" s="3"/>
      <c r="N174" s="3"/>
      <c r="O174" s="3"/>
      <c r="P174" s="3"/>
      <c r="Q174" s="3"/>
    </row>
    <row r="175" customFormat="false" ht="12.8" hidden="false" customHeight="false" outlineLevel="0" collapsed="false">
      <c r="A175" s="50" t="s">
        <v>2375</v>
      </c>
      <c r="B175" s="39" t="s">
        <v>1676</v>
      </c>
      <c r="C175" s="39" t="n">
        <v>0.008</v>
      </c>
      <c r="D175" s="39" t="s">
        <v>1677</v>
      </c>
      <c r="E175" s="39" t="s">
        <v>306</v>
      </c>
      <c r="F175" s="39" t="s">
        <v>1616</v>
      </c>
      <c r="G175" s="51" t="s">
        <v>302</v>
      </c>
      <c r="H175" s="3"/>
      <c r="I175" s="3"/>
      <c r="J175" s="3"/>
      <c r="K175" s="3"/>
      <c r="L175" s="3"/>
      <c r="M175" s="3"/>
      <c r="N175" s="3"/>
      <c r="O175" s="3"/>
      <c r="P175" s="3"/>
      <c r="Q175" s="3"/>
    </row>
    <row r="176" customFormat="false" ht="12.8" hidden="false" customHeight="false" outlineLevel="0" collapsed="false">
      <c r="A176" s="50" t="s">
        <v>2376</v>
      </c>
      <c r="B176" s="39" t="s">
        <v>1679</v>
      </c>
      <c r="C176" s="39" t="n">
        <v>0.039</v>
      </c>
      <c r="D176" s="39" t="s">
        <v>1680</v>
      </c>
      <c r="E176" s="39" t="s">
        <v>306</v>
      </c>
      <c r="F176" s="39" t="s">
        <v>1620</v>
      </c>
      <c r="G176" s="51" t="s">
        <v>302</v>
      </c>
      <c r="H176" s="3"/>
      <c r="I176" s="3"/>
      <c r="J176" s="3"/>
      <c r="K176" s="3"/>
      <c r="L176" s="3"/>
      <c r="M176" s="3"/>
      <c r="N176" s="3"/>
      <c r="O176" s="3"/>
      <c r="P176" s="3"/>
      <c r="Q176" s="3"/>
    </row>
    <row r="177" customFormat="false" ht="12.8" hidden="false" customHeight="false" outlineLevel="0" collapsed="false">
      <c r="A177" s="50" t="s">
        <v>2377</v>
      </c>
      <c r="B177" s="39" t="s">
        <v>1682</v>
      </c>
      <c r="C177" s="39" t="n">
        <v>0.008</v>
      </c>
      <c r="D177" s="39" t="s">
        <v>1683</v>
      </c>
      <c r="E177" s="39" t="s">
        <v>306</v>
      </c>
      <c r="F177" s="39" t="s">
        <v>1616</v>
      </c>
      <c r="G177" s="51" t="s">
        <v>302</v>
      </c>
      <c r="H177" s="3"/>
      <c r="I177" s="3"/>
      <c r="J177" s="3"/>
      <c r="K177" s="3"/>
      <c r="L177" s="3"/>
      <c r="M177" s="3"/>
      <c r="N177" s="3"/>
      <c r="O177" s="3"/>
      <c r="P177" s="3"/>
      <c r="Q177" s="3"/>
    </row>
    <row r="178" customFormat="false" ht="12.8" hidden="false" customHeight="false" outlineLevel="0" collapsed="false">
      <c r="A178" s="50" t="s">
        <v>2378</v>
      </c>
      <c r="B178" s="39" t="s">
        <v>1685</v>
      </c>
      <c r="C178" s="39" t="n">
        <v>0.007</v>
      </c>
      <c r="D178" s="39" t="s">
        <v>1686</v>
      </c>
      <c r="E178" s="39" t="s">
        <v>306</v>
      </c>
      <c r="F178" s="39" t="s">
        <v>1620</v>
      </c>
      <c r="G178" s="51" t="s">
        <v>302</v>
      </c>
      <c r="H178" s="3"/>
      <c r="I178" s="3"/>
      <c r="J178" s="3"/>
      <c r="K178" s="3"/>
      <c r="L178" s="3"/>
      <c r="M178" s="3"/>
      <c r="N178" s="3"/>
      <c r="O178" s="3"/>
      <c r="P178" s="3"/>
      <c r="Q178" s="3"/>
    </row>
    <row r="179" customFormat="false" ht="12.8" hidden="false" customHeight="false" outlineLevel="0" collapsed="false">
      <c r="A179" s="50" t="s">
        <v>2379</v>
      </c>
      <c r="B179" s="39" t="s">
        <v>2380</v>
      </c>
      <c r="C179" s="39" t="n">
        <v>0.025</v>
      </c>
      <c r="D179" s="39" t="s">
        <v>2381</v>
      </c>
      <c r="E179" s="39" t="s">
        <v>368</v>
      </c>
      <c r="F179" s="39" t="s">
        <v>1690</v>
      </c>
      <c r="G179" s="51" t="s">
        <v>302</v>
      </c>
      <c r="H179" s="39" t="s">
        <v>2382</v>
      </c>
      <c r="I179" s="3"/>
      <c r="J179" s="3"/>
      <c r="K179" s="3"/>
      <c r="L179" s="3"/>
      <c r="M179" s="3"/>
      <c r="N179" s="3"/>
      <c r="O179" s="3"/>
      <c r="P179" s="3"/>
      <c r="Q179" s="3"/>
    </row>
    <row r="180" customFormat="false" ht="12.8" hidden="false" customHeight="false" outlineLevel="0" collapsed="false">
      <c r="A180" s="50" t="s">
        <v>2383</v>
      </c>
      <c r="B180" s="39" t="s">
        <v>2384</v>
      </c>
      <c r="C180" s="39" t="n">
        <v>0.02</v>
      </c>
      <c r="D180" s="39" t="s">
        <v>2385</v>
      </c>
      <c r="E180" s="39" t="s">
        <v>306</v>
      </c>
      <c r="F180" s="39" t="s">
        <v>1690</v>
      </c>
      <c r="G180" s="51" t="s">
        <v>302</v>
      </c>
      <c r="H180" s="39" t="s">
        <v>2386</v>
      </c>
    </row>
    <row r="181" customFormat="false" ht="12.8" hidden="false" customHeight="false" outlineLevel="0" collapsed="false">
      <c r="A181" s="50" t="s">
        <v>2387</v>
      </c>
      <c r="B181" s="39" t="s">
        <v>2388</v>
      </c>
      <c r="C181" s="39" t="n">
        <v>0.015</v>
      </c>
      <c r="D181" s="39" t="s">
        <v>2389</v>
      </c>
      <c r="E181" s="39" t="s">
        <v>300</v>
      </c>
      <c r="F181" s="39" t="s">
        <v>1690</v>
      </c>
      <c r="G181" s="51" t="s">
        <v>302</v>
      </c>
      <c r="H181" s="39" t="s">
        <v>2390</v>
      </c>
    </row>
    <row r="182" customFormat="false" ht="12.8" hidden="false" customHeight="false" outlineLevel="0" collapsed="false">
      <c r="A182" s="50" t="s">
        <v>2391</v>
      </c>
      <c r="B182" s="39" t="s">
        <v>2392</v>
      </c>
      <c r="C182" s="39" t="n">
        <v>0.03</v>
      </c>
      <c r="D182" s="39" t="s">
        <v>2393</v>
      </c>
      <c r="E182" s="39" t="s">
        <v>300</v>
      </c>
      <c r="F182" s="39" t="s">
        <v>1690</v>
      </c>
      <c r="G182" s="51" t="s">
        <v>302</v>
      </c>
      <c r="H182" s="39" t="s">
        <v>2382</v>
      </c>
    </row>
    <row r="183" customFormat="false" ht="12.8" hidden="false" customHeight="false" outlineLevel="0" collapsed="false">
      <c r="A183" s="50" t="s">
        <v>2394</v>
      </c>
      <c r="B183" s="39" t="s">
        <v>2395</v>
      </c>
      <c r="C183" s="39" t="n">
        <v>0.018</v>
      </c>
      <c r="D183" s="39" t="s">
        <v>2396</v>
      </c>
      <c r="E183" s="39" t="s">
        <v>306</v>
      </c>
      <c r="F183" s="39" t="s">
        <v>1690</v>
      </c>
      <c r="G183" s="51" t="s">
        <v>302</v>
      </c>
      <c r="H183" s="39" t="s">
        <v>2397</v>
      </c>
    </row>
    <row r="184" customFormat="false" ht="12.8" hidden="false" customHeight="false" outlineLevel="0" collapsed="false">
      <c r="A184" s="50" t="s">
        <v>2398</v>
      </c>
      <c r="B184" s="39" t="s">
        <v>2399</v>
      </c>
      <c r="C184" s="39" t="n">
        <v>0.02</v>
      </c>
      <c r="D184" s="39" t="s">
        <v>2400</v>
      </c>
      <c r="E184" s="39" t="s">
        <v>306</v>
      </c>
      <c r="F184" s="39" t="s">
        <v>1690</v>
      </c>
      <c r="G184" s="51" t="s">
        <v>302</v>
      </c>
      <c r="H184" s="39" t="s">
        <v>2386</v>
      </c>
    </row>
    <row r="185" customFormat="false" ht="12.8" hidden="false" customHeight="false" outlineLevel="0" collapsed="false">
      <c r="A185" s="50" t="s">
        <v>2401</v>
      </c>
      <c r="B185" s="39" t="s">
        <v>2402</v>
      </c>
      <c r="C185" s="39" t="n">
        <v>0.016</v>
      </c>
      <c r="D185" s="39" t="s">
        <v>2403</v>
      </c>
      <c r="E185" s="39" t="s">
        <v>300</v>
      </c>
      <c r="F185" s="39" t="s">
        <v>1690</v>
      </c>
      <c r="G185" s="51" t="s">
        <v>302</v>
      </c>
      <c r="H185" s="39" t="s">
        <v>2404</v>
      </c>
    </row>
    <row r="186" customFormat="false" ht="12.8" hidden="false" customHeight="false" outlineLevel="0" collapsed="false">
      <c r="A186" s="50" t="s">
        <v>2405</v>
      </c>
      <c r="B186" s="39" t="s">
        <v>2406</v>
      </c>
      <c r="C186" s="39" t="n">
        <v>0.014</v>
      </c>
      <c r="D186" s="39" t="s">
        <v>2407</v>
      </c>
      <c r="E186" s="39" t="s">
        <v>300</v>
      </c>
      <c r="F186" s="39" t="s">
        <v>1690</v>
      </c>
      <c r="G186" s="51" t="s">
        <v>302</v>
      </c>
      <c r="H186" s="39" t="s">
        <v>2408</v>
      </c>
    </row>
    <row r="187" customFormat="false" ht="12.8" hidden="false" customHeight="false" outlineLevel="0" collapsed="false">
      <c r="A187" s="50" t="s">
        <v>2409</v>
      </c>
      <c r="B187" s="39" t="s">
        <v>2410</v>
      </c>
      <c r="C187" s="39" t="n">
        <v>0.023</v>
      </c>
      <c r="D187" s="39" t="s">
        <v>2411</v>
      </c>
      <c r="E187" s="39" t="s">
        <v>306</v>
      </c>
      <c r="F187" s="39" t="s">
        <v>1690</v>
      </c>
      <c r="G187" s="51" t="s">
        <v>302</v>
      </c>
      <c r="H187" s="39" t="s">
        <v>2412</v>
      </c>
    </row>
    <row r="188" customFormat="false" ht="12.8" hidden="false" customHeight="false" outlineLevel="0" collapsed="false">
      <c r="A188" s="50" t="s">
        <v>2413</v>
      </c>
      <c r="B188" s="39" t="s">
        <v>2414</v>
      </c>
      <c r="C188" s="39" t="n">
        <v>0.026</v>
      </c>
      <c r="D188" s="39" t="s">
        <v>2415</v>
      </c>
      <c r="E188" s="39" t="s">
        <v>306</v>
      </c>
      <c r="F188" s="39" t="s">
        <v>1690</v>
      </c>
      <c r="G188" s="51" t="s">
        <v>302</v>
      </c>
      <c r="H188" s="39" t="s">
        <v>2416</v>
      </c>
    </row>
    <row r="189" customFormat="false" ht="12.8" hidden="false" customHeight="false" outlineLevel="0" collapsed="false">
      <c r="A189" s="50" t="s">
        <v>2417</v>
      </c>
      <c r="B189" s="39" t="s">
        <v>2418</v>
      </c>
      <c r="C189" s="39" t="n">
        <v>0.021</v>
      </c>
      <c r="D189" s="39" t="s">
        <v>2419</v>
      </c>
      <c r="E189" s="39" t="s">
        <v>306</v>
      </c>
      <c r="F189" s="39" t="s">
        <v>1690</v>
      </c>
      <c r="G189" s="51" t="s">
        <v>302</v>
      </c>
      <c r="H189" s="39" t="s">
        <v>2386</v>
      </c>
    </row>
    <row r="190" customFormat="false" ht="12.8" hidden="false" customHeight="false" outlineLevel="0" collapsed="false">
      <c r="A190" s="50" t="s">
        <v>2420</v>
      </c>
      <c r="B190" s="39" t="s">
        <v>2421</v>
      </c>
      <c r="C190" s="39" t="n">
        <v>0.027</v>
      </c>
      <c r="D190" s="39" t="s">
        <v>2422</v>
      </c>
      <c r="E190" s="39" t="s">
        <v>306</v>
      </c>
      <c r="F190" s="39" t="s">
        <v>1690</v>
      </c>
      <c r="G190" s="51" t="s">
        <v>302</v>
      </c>
      <c r="H190" s="39" t="s">
        <v>2423</v>
      </c>
    </row>
    <row r="191" customFormat="false" ht="12.8" hidden="false" customHeight="false" outlineLevel="0" collapsed="false">
      <c r="A191" s="50" t="s">
        <v>2424</v>
      </c>
      <c r="B191" s="39" t="s">
        <v>2425</v>
      </c>
      <c r="C191" s="39" t="n">
        <v>0.019</v>
      </c>
      <c r="D191" s="39" t="s">
        <v>2426</v>
      </c>
      <c r="E191" s="39" t="s">
        <v>368</v>
      </c>
      <c r="F191" s="39" t="s">
        <v>1690</v>
      </c>
      <c r="G191" s="51" t="s">
        <v>302</v>
      </c>
      <c r="H191" s="39" t="s">
        <v>2427</v>
      </c>
    </row>
    <row r="192" customFormat="false" ht="12.8" hidden="false" customHeight="false" outlineLevel="0" collapsed="false">
      <c r="A192" s="50" t="s">
        <v>2428</v>
      </c>
      <c r="B192" s="39" t="s">
        <v>2429</v>
      </c>
      <c r="C192" s="39" t="n">
        <v>0.013</v>
      </c>
      <c r="D192" s="39" t="s">
        <v>2430</v>
      </c>
      <c r="E192" s="39" t="s">
        <v>300</v>
      </c>
      <c r="F192" s="39" t="s">
        <v>1690</v>
      </c>
      <c r="G192" s="51" t="s">
        <v>302</v>
      </c>
      <c r="H192" s="39" t="s">
        <v>2390</v>
      </c>
    </row>
    <row r="193" customFormat="false" ht="12.8" hidden="false" customHeight="false" outlineLevel="0" collapsed="false">
      <c r="A193" s="50" t="s">
        <v>2431</v>
      </c>
      <c r="B193" s="39" t="s">
        <v>2432</v>
      </c>
      <c r="C193" s="39" t="n">
        <v>0.019</v>
      </c>
      <c r="D193" s="39" t="s">
        <v>2433</v>
      </c>
      <c r="E193" s="39" t="s">
        <v>306</v>
      </c>
      <c r="F193" s="39" t="s">
        <v>1690</v>
      </c>
      <c r="G193" s="51" t="s">
        <v>302</v>
      </c>
      <c r="H193" s="39" t="s">
        <v>2386</v>
      </c>
    </row>
    <row r="194" customFormat="false" ht="12.8" hidden="false" customHeight="false" outlineLevel="0" collapsed="false">
      <c r="A194" s="50" t="s">
        <v>2434</v>
      </c>
      <c r="B194" s="39" t="s">
        <v>2435</v>
      </c>
      <c r="C194" s="39" t="n">
        <v>0.02</v>
      </c>
      <c r="D194" s="39" t="s">
        <v>2436</v>
      </c>
      <c r="E194" s="39" t="s">
        <v>306</v>
      </c>
      <c r="F194" s="39" t="s">
        <v>1690</v>
      </c>
      <c r="G194" s="51" t="s">
        <v>302</v>
      </c>
      <c r="H194" s="39" t="s">
        <v>2437</v>
      </c>
    </row>
    <row r="195" customFormat="false" ht="12.8" hidden="false" customHeight="false" outlineLevel="0" collapsed="false">
      <c r="A195" s="50" t="s">
        <v>2438</v>
      </c>
      <c r="B195" s="39" t="s">
        <v>2439</v>
      </c>
      <c r="C195" s="39" t="n">
        <v>0.024</v>
      </c>
      <c r="D195" s="39" t="s">
        <v>2440</v>
      </c>
      <c r="E195" s="39" t="s">
        <v>306</v>
      </c>
      <c r="F195" s="39" t="s">
        <v>1690</v>
      </c>
      <c r="G195" s="51" t="s">
        <v>302</v>
      </c>
      <c r="H195" s="39" t="s">
        <v>2441</v>
      </c>
    </row>
    <row r="196" customFormat="false" ht="12.8" hidden="false" customHeight="false" outlineLevel="0" collapsed="false">
      <c r="A196" s="50" t="s">
        <v>2442</v>
      </c>
      <c r="B196" s="39" t="s">
        <v>2443</v>
      </c>
      <c r="C196" s="39" t="n">
        <v>0.014</v>
      </c>
      <c r="D196" s="39" t="s">
        <v>2444</v>
      </c>
      <c r="E196" s="39" t="s">
        <v>300</v>
      </c>
      <c r="F196" s="39" t="s">
        <v>1690</v>
      </c>
      <c r="G196" s="51" t="s">
        <v>302</v>
      </c>
      <c r="H196" s="39" t="s">
        <v>2390</v>
      </c>
    </row>
    <row r="197" customFormat="false" ht="12.8" hidden="false" customHeight="false" outlineLevel="0" collapsed="false">
      <c r="A197" s="50" t="s">
        <v>2445</v>
      </c>
      <c r="B197" s="39" t="s">
        <v>2446</v>
      </c>
      <c r="C197" s="39" t="n">
        <v>0.013</v>
      </c>
      <c r="D197" s="39" t="s">
        <v>2447</v>
      </c>
      <c r="E197" s="39" t="s">
        <v>300</v>
      </c>
      <c r="F197" s="39" t="s">
        <v>1690</v>
      </c>
      <c r="G197" s="51" t="s">
        <v>302</v>
      </c>
      <c r="H197" s="39" t="s">
        <v>2448</v>
      </c>
    </row>
    <row r="198" customFormat="false" ht="12.8" hidden="false" customHeight="false" outlineLevel="0" collapsed="false">
      <c r="A198" s="50" t="s">
        <v>2449</v>
      </c>
      <c r="B198" s="39" t="s">
        <v>2450</v>
      </c>
      <c r="C198" s="39" t="n">
        <v>0.028</v>
      </c>
      <c r="D198" s="39" t="s">
        <v>2451</v>
      </c>
      <c r="E198" s="39" t="s">
        <v>368</v>
      </c>
      <c r="F198" s="39" t="s">
        <v>1690</v>
      </c>
      <c r="G198" s="51" t="s">
        <v>302</v>
      </c>
      <c r="H198" s="39" t="s">
        <v>2452</v>
      </c>
    </row>
    <row r="199" customFormat="false" ht="12.8" hidden="false" customHeight="false" outlineLevel="0" collapsed="false">
      <c r="A199" s="50" t="s">
        <v>2453</v>
      </c>
      <c r="B199" s="39" t="s">
        <v>2454</v>
      </c>
      <c r="C199" s="39" t="n">
        <v>0.031</v>
      </c>
      <c r="D199" s="39" t="s">
        <v>2455</v>
      </c>
      <c r="E199" s="39" t="s">
        <v>368</v>
      </c>
      <c r="F199" s="39" t="s">
        <v>1690</v>
      </c>
      <c r="G199" s="51" t="s">
        <v>302</v>
      </c>
      <c r="H199" s="39" t="s">
        <v>2456</v>
      </c>
    </row>
    <row r="200" customFormat="false" ht="12.8" hidden="false" customHeight="false" outlineLevel="0" collapsed="false">
      <c r="A200" s="50" t="s">
        <v>2457</v>
      </c>
      <c r="B200" s="39" t="s">
        <v>2458</v>
      </c>
      <c r="C200" s="39" t="n">
        <v>0.025</v>
      </c>
      <c r="D200" s="39" t="s">
        <v>2459</v>
      </c>
      <c r="E200" s="39" t="s">
        <v>368</v>
      </c>
      <c r="F200" s="39" t="s">
        <v>1690</v>
      </c>
      <c r="G200" s="51" t="s">
        <v>302</v>
      </c>
      <c r="H200" s="39" t="s">
        <v>2460</v>
      </c>
    </row>
    <row r="201" customFormat="false" ht="12.8" hidden="false" customHeight="false" outlineLevel="0" collapsed="false">
      <c r="A201" s="50" t="s">
        <v>2461</v>
      </c>
      <c r="B201" s="39" t="s">
        <v>2462</v>
      </c>
      <c r="C201" s="39" t="n">
        <v>0.01</v>
      </c>
      <c r="D201" s="39" t="s">
        <v>2463</v>
      </c>
      <c r="E201" s="39" t="s">
        <v>300</v>
      </c>
      <c r="F201" s="39" t="s">
        <v>1690</v>
      </c>
      <c r="G201" s="51" t="s">
        <v>302</v>
      </c>
      <c r="H201" s="39" t="s">
        <v>2390</v>
      </c>
    </row>
    <row r="202" customFormat="false" ht="12.8" hidden="false" customHeight="false" outlineLevel="0" collapsed="false">
      <c r="A202" s="39"/>
      <c r="G202" s="51"/>
    </row>
    <row r="204" customFormat="false" ht="12.8" hidden="false" customHeight="false" outlineLevel="0" collapsed="false">
      <c r="A204" s="60" t="str">
        <f aca="false">_xlfn.CONCAT($A$1, ".", "VALID")</f>
        <v>LSD.RID.0.AL.LFPR.VALID</v>
      </c>
      <c r="B204" s="61" t="str">
        <f aca="false">_xlfn.CONCAT($B$1, " ", "Validation")</f>
        <v>Alabama Labor Force Participation Rate (LFPR) Validation</v>
      </c>
    </row>
    <row r="205" customFormat="false" ht="12.8" hidden="false" customHeight="false" outlineLevel="0" collapsed="false">
      <c r="A205" s="49" t="s">
        <v>113</v>
      </c>
      <c r="B205" s="49" t="s">
        <v>1757</v>
      </c>
      <c r="C205" s="49" t="s">
        <v>1758</v>
      </c>
      <c r="D205" s="49" t="s">
        <v>1759</v>
      </c>
      <c r="E205" s="49" t="s">
        <v>295</v>
      </c>
      <c r="F205" s="49" t="s">
        <v>1760</v>
      </c>
      <c r="G205" s="49" t="s">
        <v>1761</v>
      </c>
    </row>
    <row r="206" customFormat="false" ht="12.8" hidden="false" customHeight="false" outlineLevel="0" collapsed="false">
      <c r="A206" s="50" t="s">
        <v>2464</v>
      </c>
      <c r="B206" s="39" t="s">
        <v>2465</v>
      </c>
      <c r="C206" s="39" t="n">
        <v>0.577</v>
      </c>
      <c r="D206" s="39" t="n">
        <v>0.577</v>
      </c>
      <c r="E206" s="39" t="s">
        <v>2466</v>
      </c>
      <c r="F206" s="39" t="s">
        <v>300</v>
      </c>
      <c r="G206" s="39" t="s">
        <v>2467</v>
      </c>
    </row>
    <row r="207" customFormat="false" ht="12.8" hidden="false" customHeight="false" outlineLevel="0" collapsed="false">
      <c r="A207" s="50" t="s">
        <v>2468</v>
      </c>
      <c r="B207" s="39" t="s">
        <v>2469</v>
      </c>
      <c r="C207" s="39" t="n">
        <v>0.41</v>
      </c>
      <c r="D207" s="39" t="s">
        <v>2470</v>
      </c>
      <c r="E207" s="39" t="s">
        <v>2471</v>
      </c>
      <c r="F207" s="39" t="s">
        <v>306</v>
      </c>
      <c r="G207" s="39" t="s">
        <v>2472</v>
      </c>
    </row>
    <row r="208" customFormat="false" ht="12.8" hidden="false" customHeight="false" outlineLevel="0" collapsed="false">
      <c r="A208" s="50" t="s">
        <v>2473</v>
      </c>
      <c r="B208" s="39" t="s">
        <v>2474</v>
      </c>
      <c r="C208" s="39" t="s">
        <v>2475</v>
      </c>
      <c r="D208" s="39" t="s">
        <v>2476</v>
      </c>
      <c r="E208" s="39" t="s">
        <v>2477</v>
      </c>
      <c r="F208" s="39" t="s">
        <v>300</v>
      </c>
      <c r="G208" s="39" t="s">
        <v>2478</v>
      </c>
    </row>
    <row r="209" customFormat="false" ht="12.8" hidden="false" customHeight="false" outlineLevel="0" collapsed="false">
      <c r="A209" s="50" t="s">
        <v>2479</v>
      </c>
      <c r="B209" s="39" t="s">
        <v>2480</v>
      </c>
      <c r="C209" s="39" t="n">
        <v>0.583</v>
      </c>
      <c r="D209" s="39" t="s">
        <v>2248</v>
      </c>
      <c r="E209" s="39" t="s">
        <v>2481</v>
      </c>
      <c r="F209" s="39" t="s">
        <v>300</v>
      </c>
      <c r="G209" s="39" t="s">
        <v>2482</v>
      </c>
    </row>
    <row r="210" customFormat="false" ht="12.8" hidden="false" customHeight="false" outlineLevel="0" collapsed="false">
      <c r="A210" s="50" t="s">
        <v>2483</v>
      </c>
      <c r="B210" s="39" t="s">
        <v>2484</v>
      </c>
      <c r="C210" s="39" t="s">
        <v>2259</v>
      </c>
      <c r="D210" s="39" t="s">
        <v>2260</v>
      </c>
      <c r="E210" s="39" t="s">
        <v>2485</v>
      </c>
      <c r="F210" s="39" t="s">
        <v>300</v>
      </c>
      <c r="G210" s="39" t="s">
        <v>2486</v>
      </c>
    </row>
    <row r="211" customFormat="false" ht="12.8" hidden="false" customHeight="false" outlineLevel="0" collapsed="false">
      <c r="A211" s="50" t="s">
        <v>2487</v>
      </c>
      <c r="B211" s="39" t="s">
        <v>2488</v>
      </c>
      <c r="C211" s="39" t="s">
        <v>2489</v>
      </c>
      <c r="D211" s="39" t="s">
        <v>2260</v>
      </c>
      <c r="E211" s="39" t="s">
        <v>2490</v>
      </c>
      <c r="F211" s="39" t="s">
        <v>300</v>
      </c>
      <c r="G211" s="39" t="s">
        <v>2491</v>
      </c>
    </row>
    <row r="212" customFormat="false" ht="12.8" hidden="false" customHeight="false" outlineLevel="0" collapsed="false">
      <c r="A212" s="50" t="s">
        <v>2492</v>
      </c>
      <c r="B212" s="39" t="s">
        <v>2493</v>
      </c>
      <c r="C212" s="39" t="s">
        <v>2494</v>
      </c>
      <c r="D212" s="39" t="s">
        <v>2495</v>
      </c>
      <c r="E212" s="39" t="s">
        <v>2496</v>
      </c>
      <c r="F212" s="39" t="s">
        <v>300</v>
      </c>
      <c r="G212" s="39" t="s">
        <v>2497</v>
      </c>
    </row>
    <row r="213" customFormat="false" ht="12.8" hidden="false" customHeight="false" outlineLevel="0" collapsed="false">
      <c r="A213" s="50" t="s">
        <v>2498</v>
      </c>
      <c r="B213" s="39" t="s">
        <v>2499</v>
      </c>
      <c r="C213" s="39" t="s">
        <v>2500</v>
      </c>
      <c r="D213" s="39" t="n">
        <v>0.577</v>
      </c>
      <c r="E213" s="39" t="s">
        <v>2501</v>
      </c>
      <c r="F213" s="39" t="s">
        <v>300</v>
      </c>
      <c r="G213" s="39" t="s">
        <v>2502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O189"/>
  <sheetViews>
    <sheetView showFormulas="false" showGridLines="true" showRowColHeaders="true" showZeros="true" rightToLeft="false" tabSelected="false" showOutlineSymbols="true" defaultGridColor="true" view="normal" topLeftCell="A108" colorId="64" zoomScale="75" zoomScaleNormal="75" zoomScalePageLayoutView="100" workbookViewId="0">
      <selection pane="topLeft" activeCell="A141" activeCellId="0" sqref="A141"/>
    </sheetView>
  </sheetViews>
  <sheetFormatPr defaultColWidth="11.53515625" defaultRowHeight="12.8" customHeight="false" zeroHeight="false" outlineLevelRow="0" outlineLevelCol="0"/>
  <cols>
    <col collapsed="false" customWidth="true" hidden="false" outlineLevel="0" max="1" min="1" style="50" width="20.76"/>
    <col collapsed="false" customWidth="true" hidden="false" outlineLevel="0" max="2" min="2" style="39" width="29.98"/>
    <col collapsed="false" customWidth="true" hidden="false" outlineLevel="0" max="3" min="3" style="39" width="21.47"/>
    <col collapsed="false" customWidth="true" hidden="false" outlineLevel="0" max="27" min="4" style="39" width="16.84"/>
    <col collapsed="false" customWidth="true" hidden="false" outlineLevel="0" max="41" min="28" style="39" width="17.78"/>
    <col collapsed="false" customWidth="true" hidden="false" outlineLevel="0" max="44" min="42" style="39" width="15.48"/>
    <col collapsed="false" customWidth="true" hidden="false" outlineLevel="0" max="49" min="49" style="39" width="18.45"/>
    <col collapsed="false" customWidth="true" hidden="false" outlineLevel="0" max="52" min="50" style="39" width="16.14"/>
    <col collapsed="false" customWidth="true" hidden="false" outlineLevel="0" max="60" min="53" style="39" width="13.84"/>
  </cols>
  <sheetData>
    <row r="1" customFormat="false" ht="12.9" hidden="false" customHeight="false" outlineLevel="0" collapsed="false">
      <c r="A1" s="11" t="s">
        <v>2503</v>
      </c>
      <c r="B1" s="42" t="s">
        <v>2504</v>
      </c>
      <c r="C1" s="6" t="s">
        <v>2</v>
      </c>
      <c r="D1" s="62" t="s">
        <v>2505</v>
      </c>
      <c r="AS1" s="39"/>
      <c r="BI1" s="39"/>
    </row>
    <row r="2" customFormat="false" ht="12.8" hidden="false" customHeight="false" outlineLevel="0" collapsed="false">
      <c r="A2" s="60" t="str">
        <f aca="false">_xlfn.CONCAT($A$1, ".", "CALC")</f>
        <v>LSD.RID.0.AL.U3R.CALC</v>
      </c>
      <c r="B2" s="61" t="str">
        <f aca="false">_xlfn.CONCAT($B$1, " ", "Calculations")</f>
        <v>Alabama Unemployment Rate (U3R) Calculations</v>
      </c>
      <c r="C2" s="3"/>
      <c r="D2" s="3"/>
      <c r="E2" s="3"/>
      <c r="F2" s="3"/>
      <c r="AS2" s="39"/>
      <c r="AT2" s="39"/>
      <c r="AU2" s="39"/>
      <c r="AV2" s="39"/>
      <c r="AZ2" s="3"/>
      <c r="BA2" s="3"/>
      <c r="BB2" s="3"/>
      <c r="BC2" s="3"/>
      <c r="BI2" s="39"/>
      <c r="BJ2" s="39"/>
      <c r="BK2" s="39"/>
      <c r="BL2" s="39"/>
      <c r="BM2" s="39"/>
      <c r="BN2" s="39"/>
      <c r="BO2" s="39"/>
    </row>
    <row r="3" customFormat="false" ht="12.8" hidden="false" customHeight="false" outlineLevel="0" collapsed="false">
      <c r="A3" s="60" t="str">
        <f aca="false">CALC!A3</f>
        <v>LSID</v>
      </c>
      <c r="B3" s="42" t="str">
        <f aca="false">CALC!C3</f>
        <v>Labor Sector</v>
      </c>
      <c r="C3" s="66" t="str">
        <f aca="false">CALC!T3</f>
        <v>Overall U3R</v>
      </c>
      <c r="D3" s="66" t="str">
        <f aca="false">CALC!U3</f>
        <v>Authorized U3R</v>
      </c>
      <c r="E3" s="66" t="str">
        <f aca="false">CALC!V3</f>
        <v>Unauthorized U3R</v>
      </c>
      <c r="F3" s="66" t="str">
        <f aca="false">CALC!W3</f>
        <v>American U3R</v>
      </c>
      <c r="H3" s="65"/>
      <c r="I3" s="65"/>
      <c r="J3" s="65"/>
      <c r="K3" s="65"/>
      <c r="L3" s="65"/>
      <c r="M3" s="65"/>
      <c r="N3" s="65"/>
    </row>
    <row r="4" customFormat="false" ht="12.8" hidden="false" customHeight="false" outlineLevel="0" collapsed="false">
      <c r="A4" s="60" t="str">
        <f aca="false">_xlfn.CONCAT($A$1, ".", CALC!A4)</f>
        <v>LSD.RID.0.AL.U3R.0</v>
      </c>
      <c r="B4" s="42" t="str">
        <f aca="false">CALC!C4</f>
        <v>All Industries</v>
      </c>
      <c r="C4" s="39" t="n">
        <v>0.027</v>
      </c>
      <c r="D4" s="39" t="n">
        <v>0.029</v>
      </c>
      <c r="E4" s="39" t="n">
        <v>0.038</v>
      </c>
      <c r="F4" s="39" t="n">
        <v>0.026</v>
      </c>
      <c r="G4" s="40"/>
      <c r="H4" s="40"/>
      <c r="I4" s="40"/>
      <c r="J4" s="40"/>
      <c r="K4" s="40"/>
      <c r="L4" s="40"/>
      <c r="M4" s="40"/>
      <c r="N4" s="40"/>
    </row>
    <row r="5" customFormat="false" ht="23.85" hidden="false" customHeight="false" outlineLevel="0" collapsed="false">
      <c r="A5" s="60" t="str">
        <f aca="false">_xlfn.CONCAT($A$1, ".", CALC!A5)</f>
        <v>LSD.RID.0.AL.U3R.1</v>
      </c>
      <c r="B5" s="63" t="str">
        <f aca="false">CALC!C5</f>
        <v>Agriculture, Forestry, 
Fishing and Hunting</v>
      </c>
      <c r="C5" s="39" t="n">
        <v>0.045</v>
      </c>
      <c r="D5" s="39" t="n">
        <v>0.048</v>
      </c>
      <c r="E5" s="39" t="n">
        <v>0.062</v>
      </c>
      <c r="F5" s="39" t="n">
        <v>0.042</v>
      </c>
      <c r="G5" s="40"/>
      <c r="H5" s="40"/>
      <c r="I5" s="40"/>
      <c r="J5" s="40"/>
      <c r="K5" s="40"/>
      <c r="L5" s="40"/>
      <c r="M5" s="40"/>
      <c r="N5" s="40"/>
    </row>
    <row r="6" customFormat="false" ht="23.85" hidden="false" customHeight="false" outlineLevel="0" collapsed="false">
      <c r="A6" s="60" t="str">
        <f aca="false">_xlfn.CONCAT($A$1, ".", CALC!A6)</f>
        <v>LSD.RID.0.AL.U3R.2</v>
      </c>
      <c r="B6" s="63" t="str">
        <f aca="false">CALC!C6</f>
        <v>Mining, Quarrying, and
Oil and Gas Extraction</v>
      </c>
      <c r="C6" s="39" t="n">
        <v>0.038</v>
      </c>
      <c r="D6" s="39" t="n">
        <v>0.04</v>
      </c>
      <c r="E6" s="39" t="n">
        <v>0.052</v>
      </c>
      <c r="F6" s="39" t="n">
        <v>0.036</v>
      </c>
      <c r="G6" s="40"/>
      <c r="H6" s="40"/>
      <c r="I6" s="40"/>
      <c r="J6" s="40"/>
      <c r="K6" s="40"/>
      <c r="L6" s="40"/>
      <c r="M6" s="40"/>
      <c r="N6" s="40"/>
    </row>
    <row r="7" customFormat="false" ht="12.8" hidden="false" customHeight="false" outlineLevel="0" collapsed="false">
      <c r="A7" s="60" t="str">
        <f aca="false">_xlfn.CONCAT($A$1, ".", CALC!A7)</f>
        <v>LSD.RID.0.AL.U3R.3</v>
      </c>
      <c r="B7" s="42" t="str">
        <f aca="false">CALC!C7</f>
        <v>Utilities</v>
      </c>
      <c r="C7" s="39" t="n">
        <v>0.018</v>
      </c>
      <c r="D7" s="39" t="n">
        <v>0.019</v>
      </c>
      <c r="E7" s="39" t="n">
        <v>0.022</v>
      </c>
      <c r="F7" s="39" t="n">
        <v>0.018</v>
      </c>
      <c r="G7" s="40"/>
      <c r="H7" s="40"/>
      <c r="I7" s="40"/>
      <c r="J7" s="40"/>
      <c r="K7" s="40"/>
      <c r="L7" s="40"/>
      <c r="M7" s="40"/>
      <c r="N7" s="40"/>
    </row>
    <row r="8" customFormat="false" ht="12.8" hidden="false" customHeight="false" outlineLevel="0" collapsed="false">
      <c r="A8" s="60" t="str">
        <f aca="false">_xlfn.CONCAT($A$1, ".", CALC!A8)</f>
        <v>LSD.RID.0.AL.U3R.4</v>
      </c>
      <c r="B8" s="42" t="str">
        <f aca="false">CALC!C8</f>
        <v>Construction</v>
      </c>
      <c r="C8" s="39" t="n">
        <v>0.052</v>
      </c>
      <c r="D8" s="39" t="n">
        <v>0.056</v>
      </c>
      <c r="E8" s="39" t="n">
        <v>0.075</v>
      </c>
      <c r="F8" s="39" t="n">
        <v>0.048</v>
      </c>
      <c r="G8" s="40"/>
      <c r="H8" s="40"/>
      <c r="I8" s="40"/>
      <c r="J8" s="40"/>
      <c r="K8" s="40"/>
      <c r="L8" s="40"/>
      <c r="M8" s="40"/>
      <c r="N8" s="40"/>
    </row>
    <row r="9" customFormat="false" ht="23.85" hidden="false" customHeight="false" outlineLevel="0" collapsed="false">
      <c r="A9" s="60" t="str">
        <f aca="false">_xlfn.CONCAT($A$1, ".", CALC!A9)</f>
        <v>LSD.RID.0.AL.U3R.5</v>
      </c>
      <c r="B9" s="63" t="str">
        <f aca="false">CALC!C9</f>
        <v>Manufacturing
(Food,Textile, etc.)</v>
      </c>
      <c r="C9" s="39" t="n">
        <v>0.032</v>
      </c>
      <c r="D9" s="39" t="n">
        <v>0.034</v>
      </c>
      <c r="E9" s="39" t="n">
        <v>0.044</v>
      </c>
      <c r="F9" s="39" t="n">
        <v>0.03</v>
      </c>
      <c r="G9" s="40"/>
      <c r="H9" s="40"/>
      <c r="I9" s="40"/>
      <c r="J9" s="40"/>
      <c r="K9" s="40"/>
      <c r="L9" s="40"/>
      <c r="M9" s="40"/>
      <c r="N9" s="40"/>
    </row>
    <row r="10" customFormat="false" ht="23.85" hidden="false" customHeight="false" outlineLevel="0" collapsed="false">
      <c r="A10" s="60" t="str">
        <f aca="false">_xlfn.CONCAT($A$1, ".", CALC!A10)</f>
        <v>LSD.RID.0.AL.U3R.6</v>
      </c>
      <c r="B10" s="63" t="str">
        <f aca="false">CALC!C10</f>
        <v>Manufacturing (Wood,
Paper, Printing, etc.)</v>
      </c>
      <c r="C10" s="39" t="n">
        <v>0.03</v>
      </c>
      <c r="D10" s="39" t="n">
        <v>0.032</v>
      </c>
      <c r="E10" s="39" t="n">
        <v>0.041</v>
      </c>
      <c r="F10" s="39" t="n">
        <v>0.029</v>
      </c>
      <c r="G10" s="40"/>
      <c r="H10" s="40"/>
      <c r="I10" s="40"/>
      <c r="J10" s="40"/>
      <c r="K10" s="40"/>
      <c r="L10" s="40"/>
      <c r="M10" s="40"/>
      <c r="N10" s="40"/>
    </row>
    <row r="11" customFormat="false" ht="23.85" hidden="false" customHeight="false" outlineLevel="0" collapsed="false">
      <c r="A11" s="60" t="str">
        <f aca="false">_xlfn.CONCAT($A$1, ".", CALC!A11)</f>
        <v>LSD.RID.0.AL.U3R.7</v>
      </c>
      <c r="B11" s="63" t="str">
        <f aca="false">CALC!C11</f>
        <v>Manufacturing
(Machinery, Transport)</v>
      </c>
      <c r="C11" s="39" t="n">
        <v>0.028</v>
      </c>
      <c r="D11" s="39" t="n">
        <v>0.03</v>
      </c>
      <c r="E11" s="39" t="n">
        <v>0.038</v>
      </c>
      <c r="F11" s="39" t="n">
        <v>0.027</v>
      </c>
      <c r="G11" s="40"/>
      <c r="H11" s="40"/>
      <c r="I11" s="40"/>
      <c r="J11" s="40"/>
      <c r="K11" s="40"/>
      <c r="L11" s="40"/>
      <c r="M11" s="40"/>
      <c r="N11" s="40"/>
    </row>
    <row r="12" customFormat="false" ht="12.9" hidden="false" customHeight="false" outlineLevel="0" collapsed="false">
      <c r="A12" s="60" t="str">
        <f aca="false">_xlfn.CONCAT($A$1, ".", CALC!A12)</f>
        <v>LSD.RID.0.AL.U3R.8</v>
      </c>
      <c r="B12" s="42" t="str">
        <f aca="false">CALC!C12</f>
        <v>Wholesale Trade</v>
      </c>
      <c r="C12" s="39" t="n">
        <v>0.025</v>
      </c>
      <c r="D12" s="39" t="n">
        <v>0.027</v>
      </c>
      <c r="E12" s="39" t="n">
        <v>0.032</v>
      </c>
      <c r="F12" s="39" t="n">
        <v>0.024</v>
      </c>
      <c r="G12" s="40"/>
      <c r="H12" s="40"/>
      <c r="I12" s="40"/>
      <c r="J12" s="40"/>
      <c r="K12" s="40"/>
      <c r="L12" s="40"/>
      <c r="M12" s="40"/>
      <c r="N12" s="40"/>
    </row>
    <row r="13" customFormat="false" ht="23.85" hidden="false" customHeight="false" outlineLevel="0" collapsed="false">
      <c r="A13" s="60" t="str">
        <f aca="false">_xlfn.CONCAT($A$1, ".", CALC!A13)</f>
        <v>LSD.RID.0.AL.U3R.9</v>
      </c>
      <c r="B13" s="63" t="str">
        <f aca="false">CALC!C13</f>
        <v>Retail Trade (Motor
Vehicle, Electronics)</v>
      </c>
      <c r="C13" s="39" t="n">
        <v>0.04</v>
      </c>
      <c r="D13" s="39" t="n">
        <v>0.043</v>
      </c>
      <c r="E13" s="39" t="n">
        <v>0.055</v>
      </c>
      <c r="F13" s="39" t="n">
        <v>0.038</v>
      </c>
      <c r="G13" s="40"/>
      <c r="H13" s="40"/>
      <c r="I13" s="40"/>
      <c r="J13" s="40"/>
      <c r="K13" s="40"/>
      <c r="L13" s="40"/>
      <c r="M13" s="40"/>
      <c r="N13" s="40"/>
    </row>
    <row r="14" customFormat="false" ht="23.85" hidden="false" customHeight="false" outlineLevel="0" collapsed="false">
      <c r="A14" s="60" t="str">
        <f aca="false">_xlfn.CONCAT($A$1, ".", CALC!A14)</f>
        <v>LSD.RID.0.AL.U3R.10</v>
      </c>
      <c r="B14" s="63" t="str">
        <f aca="false">CALC!C14</f>
        <v>Retail Trade (Food, Clothing,
General Merchandise, etc.)</v>
      </c>
      <c r="C14" s="39" t="n">
        <v>0.042</v>
      </c>
      <c r="D14" s="39" t="n">
        <v>0.045</v>
      </c>
      <c r="E14" s="39" t="n">
        <v>0.058</v>
      </c>
      <c r="F14" s="39" t="n">
        <v>0.04</v>
      </c>
      <c r="G14" s="40"/>
      <c r="H14" s="40"/>
      <c r="I14" s="40"/>
      <c r="J14" s="40"/>
      <c r="K14" s="40"/>
      <c r="L14" s="40"/>
      <c r="M14" s="40"/>
      <c r="N14" s="40"/>
    </row>
    <row r="15" customFormat="false" ht="12.8" hidden="false" customHeight="false" outlineLevel="0" collapsed="false">
      <c r="A15" s="60" t="str">
        <f aca="false">_xlfn.CONCAT($A$1, ".", CALC!A15)</f>
        <v>LSD.RID.0.AL.U3R.11</v>
      </c>
      <c r="B15" s="42" t="str">
        <f aca="false">CALC!C15</f>
        <v>Transportation</v>
      </c>
      <c r="C15" s="39" t="n">
        <v>0.035</v>
      </c>
      <c r="D15" s="39" t="n">
        <v>0.037</v>
      </c>
      <c r="E15" s="39" t="n">
        <v>0.048</v>
      </c>
      <c r="F15" s="39" t="n">
        <v>0.033</v>
      </c>
      <c r="G15" s="40"/>
      <c r="H15" s="40"/>
      <c r="I15" s="40"/>
      <c r="J15" s="40"/>
      <c r="K15" s="40"/>
      <c r="L15" s="40"/>
      <c r="M15" s="40"/>
      <c r="N15" s="40"/>
    </row>
    <row r="16" customFormat="false" ht="12.8" hidden="false" customHeight="false" outlineLevel="0" collapsed="false">
      <c r="A16" s="60" t="str">
        <f aca="false">_xlfn.CONCAT($A$1, ".", CALC!A16)</f>
        <v>LSD.RID.0.AL.U3R.12</v>
      </c>
      <c r="B16" s="42" t="str">
        <f aca="false">CALC!C16</f>
        <v>Warehousing and Storage</v>
      </c>
      <c r="C16" s="39" t="n">
        <v>0.038</v>
      </c>
      <c r="D16" s="39" t="n">
        <v>0.041</v>
      </c>
      <c r="E16" s="39" t="n">
        <v>0.052</v>
      </c>
      <c r="F16" s="39" t="n">
        <v>0.036</v>
      </c>
      <c r="G16" s="40"/>
      <c r="H16" s="40"/>
      <c r="I16" s="40"/>
      <c r="J16" s="40"/>
      <c r="K16" s="40"/>
      <c r="L16" s="40"/>
      <c r="M16" s="40"/>
      <c r="N16" s="40"/>
    </row>
    <row r="17" customFormat="false" ht="12.8" hidden="false" customHeight="false" outlineLevel="0" collapsed="false">
      <c r="A17" s="60" t="str">
        <f aca="false">_xlfn.CONCAT($A$1, ".", CALC!A17)</f>
        <v>LSD.RID.0.AL.U3R.13</v>
      </c>
      <c r="B17" s="42" t="str">
        <f aca="false">CALC!C17</f>
        <v>Information</v>
      </c>
      <c r="C17" s="39" t="n">
        <v>0.022</v>
      </c>
      <c r="D17" s="39" t="n">
        <v>0.023</v>
      </c>
      <c r="E17" s="39" t="n">
        <v>0.028</v>
      </c>
      <c r="F17" s="39" t="n">
        <v>0.021</v>
      </c>
      <c r="G17" s="40"/>
      <c r="H17" s="40"/>
      <c r="I17" s="40"/>
      <c r="J17" s="40"/>
      <c r="K17" s="40"/>
      <c r="L17" s="40"/>
      <c r="M17" s="40"/>
      <c r="N17" s="40"/>
    </row>
    <row r="18" customFormat="false" ht="12.8" hidden="false" customHeight="false" outlineLevel="0" collapsed="false">
      <c r="A18" s="60" t="str">
        <f aca="false">_xlfn.CONCAT($A$1, ".", CALC!A18)</f>
        <v>LSD.RID.0.AL.U3R.14</v>
      </c>
      <c r="B18" s="42" t="str">
        <f aca="false">CALC!C18</f>
        <v>Finance and Insurance</v>
      </c>
      <c r="C18" s="39" t="n">
        <v>0.02</v>
      </c>
      <c r="D18" s="39" t="n">
        <v>0.021</v>
      </c>
      <c r="E18" s="39" t="n">
        <v>0.024</v>
      </c>
      <c r="F18" s="39" t="n">
        <v>0.02</v>
      </c>
      <c r="G18" s="40"/>
      <c r="H18" s="40"/>
      <c r="I18" s="40"/>
      <c r="J18" s="40"/>
      <c r="K18" s="40"/>
      <c r="L18" s="40"/>
      <c r="M18" s="40"/>
      <c r="N18" s="40"/>
    </row>
    <row r="19" customFormat="false" ht="23.85" hidden="false" customHeight="false" outlineLevel="0" collapsed="false">
      <c r="A19" s="60" t="str">
        <f aca="false">_xlfn.CONCAT($A$1, ".", CALC!A19)</f>
        <v>LSD.RID.0.AL.U3R.15</v>
      </c>
      <c r="B19" s="63" t="str">
        <f aca="false">CALC!C19</f>
        <v>Real Estate and
Rental and Leasing</v>
      </c>
      <c r="C19" s="39" t="n">
        <v>0.028</v>
      </c>
      <c r="D19" s="39" t="n">
        <v>0.03</v>
      </c>
      <c r="E19" s="39" t="n">
        <v>0.036</v>
      </c>
      <c r="F19" s="39" t="n">
        <v>0.027</v>
      </c>
      <c r="G19" s="40"/>
      <c r="H19" s="40"/>
      <c r="I19" s="40"/>
      <c r="J19" s="40"/>
      <c r="K19" s="40"/>
      <c r="L19" s="40"/>
      <c r="M19" s="40"/>
      <c r="N19" s="40"/>
    </row>
    <row r="20" customFormat="false" ht="23.85" hidden="false" customHeight="false" outlineLevel="0" collapsed="false">
      <c r="A20" s="60" t="str">
        <f aca="false">_xlfn.CONCAT($A$1, ".", CALC!A20)</f>
        <v>LSD.RID.0.AL.U3R.16</v>
      </c>
      <c r="B20" s="63" t="str">
        <f aca="false">CALC!C20</f>
        <v>Professional, Scientific,
and Technical Services</v>
      </c>
      <c r="C20" s="39" t="n">
        <v>0.019</v>
      </c>
      <c r="D20" s="39" t="n">
        <v>0.02</v>
      </c>
      <c r="E20" s="39" t="n">
        <v>0.023</v>
      </c>
      <c r="F20" s="39" t="n">
        <v>0.019</v>
      </c>
      <c r="G20" s="40"/>
      <c r="H20" s="40"/>
      <c r="I20" s="40"/>
      <c r="J20" s="40"/>
      <c r="K20" s="40"/>
      <c r="L20" s="40"/>
      <c r="M20" s="40"/>
      <c r="N20" s="40"/>
    </row>
    <row r="21" customFormat="false" ht="34.8" hidden="false" customHeight="false" outlineLevel="0" collapsed="false">
      <c r="A21" s="60" t="str">
        <f aca="false">_xlfn.CONCAT($A$1, ".", CALC!A21)</f>
        <v>LSD.RID.0.AL.U3R.17</v>
      </c>
      <c r="B21" s="63" t="str">
        <f aca="false">CALC!C21</f>
        <v>Administrative and Support
and Waste Management
and Remediation Services</v>
      </c>
      <c r="C21" s="39" t="n">
        <v>0.045</v>
      </c>
      <c r="D21" s="39" t="n">
        <v>0.048</v>
      </c>
      <c r="E21" s="39" t="n">
        <v>0.065</v>
      </c>
      <c r="F21" s="39" t="n">
        <v>0.042</v>
      </c>
      <c r="G21" s="40"/>
      <c r="H21" s="40"/>
      <c r="I21" s="40"/>
      <c r="J21" s="40"/>
      <c r="K21" s="40"/>
      <c r="L21" s="40"/>
      <c r="M21" s="40"/>
      <c r="N21" s="40"/>
    </row>
    <row r="22" customFormat="false" ht="12.9" hidden="false" customHeight="false" outlineLevel="0" collapsed="false">
      <c r="A22" s="60" t="str">
        <f aca="false">_xlfn.CONCAT($A$1, ".", CALC!A22)</f>
        <v>LSD.RID.0.AL.U3R.18</v>
      </c>
      <c r="B22" s="42" t="str">
        <f aca="false">CALC!C22</f>
        <v>Educational Services</v>
      </c>
      <c r="C22" s="39" t="n">
        <v>0.021</v>
      </c>
      <c r="D22" s="39" t="n">
        <v>0.022</v>
      </c>
      <c r="E22" s="39" t="n">
        <v>0.026</v>
      </c>
      <c r="F22" s="39" t="n">
        <v>0.021</v>
      </c>
      <c r="G22" s="40"/>
      <c r="H22" s="40"/>
      <c r="I22" s="40"/>
      <c r="J22" s="40"/>
      <c r="K22" s="40"/>
      <c r="L22" s="40"/>
      <c r="M22" s="40"/>
      <c r="N22" s="40"/>
    </row>
    <row r="23" customFormat="false" ht="23.85" hidden="false" customHeight="false" outlineLevel="0" collapsed="false">
      <c r="A23" s="60" t="str">
        <f aca="false">_xlfn.CONCAT($A$1, ".", CALC!A23)</f>
        <v>LSD.RID.0.AL.U3R.19</v>
      </c>
      <c r="B23" s="63" t="str">
        <f aca="false">CALC!C23</f>
        <v>Health Care and
Social Assistance</v>
      </c>
      <c r="C23" s="39" t="n">
        <v>0.02</v>
      </c>
      <c r="D23" s="39" t="n">
        <v>0.021</v>
      </c>
      <c r="E23" s="39" t="n">
        <v>0.025</v>
      </c>
      <c r="F23" s="39" t="n">
        <v>0.02</v>
      </c>
      <c r="G23" s="40"/>
      <c r="H23" s="40"/>
      <c r="I23" s="40"/>
      <c r="J23" s="40"/>
      <c r="K23" s="40"/>
      <c r="L23" s="40"/>
      <c r="M23" s="40"/>
      <c r="N23" s="40"/>
    </row>
    <row r="24" customFormat="false" ht="23.85" hidden="false" customHeight="false" outlineLevel="0" collapsed="false">
      <c r="A24" s="60" t="str">
        <f aca="false">_xlfn.CONCAT($A$1, ".", CALC!A24)</f>
        <v>LSD.RID.0.AL.U3R.20</v>
      </c>
      <c r="B24" s="63" t="str">
        <f aca="false">CALC!C24</f>
        <v>Arts, Entertainment,
and Recreation</v>
      </c>
      <c r="C24" s="39" t="n">
        <v>0.048</v>
      </c>
      <c r="D24" s="39" t="n">
        <v>0.051</v>
      </c>
      <c r="E24" s="39" t="n">
        <v>0.068</v>
      </c>
      <c r="F24" s="39" t="n">
        <v>0.045</v>
      </c>
      <c r="G24" s="40"/>
      <c r="H24" s="40"/>
      <c r="I24" s="40"/>
      <c r="J24" s="40"/>
      <c r="K24" s="40"/>
      <c r="L24" s="40"/>
      <c r="M24" s="40"/>
      <c r="N24" s="40"/>
    </row>
    <row r="25" customFormat="false" ht="23.85" hidden="false" customHeight="false" outlineLevel="0" collapsed="false">
      <c r="A25" s="60" t="str">
        <f aca="false">_xlfn.CONCAT($A$1, ".", CALC!A25)</f>
        <v>LSD.RID.0.AL.U3R.21</v>
      </c>
      <c r="B25" s="63" t="str">
        <f aca="false">CALC!C25</f>
        <v>Accommodation
and Food Services</v>
      </c>
      <c r="C25" s="39" t="n">
        <v>0.055</v>
      </c>
      <c r="D25" s="39" t="n">
        <v>0.059</v>
      </c>
      <c r="E25" s="39" t="n">
        <v>0.078</v>
      </c>
      <c r="F25" s="39" t="n">
        <v>0.052</v>
      </c>
      <c r="G25" s="40"/>
      <c r="H25" s="40"/>
      <c r="I25" s="40"/>
      <c r="J25" s="40"/>
      <c r="K25" s="40"/>
      <c r="L25" s="40"/>
      <c r="M25" s="40"/>
      <c r="N25" s="40"/>
    </row>
    <row r="26" customFormat="false" ht="23.85" hidden="false" customHeight="false" outlineLevel="0" collapsed="false">
      <c r="A26" s="60" t="str">
        <f aca="false">_xlfn.CONCAT($A$1, ".", CALC!A26)</f>
        <v>LSD.RID.0.AL.U3R.22</v>
      </c>
      <c r="B26" s="63" t="str">
        <f aca="false">CALC!C26</f>
        <v>Other Services (except
Public Administration)</v>
      </c>
      <c r="C26" s="39" t="n">
        <v>0.036</v>
      </c>
      <c r="D26" s="39" t="n">
        <v>0.038</v>
      </c>
      <c r="E26" s="39" t="n">
        <v>0.049</v>
      </c>
      <c r="F26" s="39" t="n">
        <v>0.034</v>
      </c>
      <c r="G26" s="40"/>
      <c r="H26" s="40"/>
      <c r="I26" s="40"/>
      <c r="J26" s="40"/>
      <c r="K26" s="40"/>
      <c r="L26" s="40"/>
      <c r="M26" s="40"/>
      <c r="N26" s="40"/>
    </row>
    <row r="27" customFormat="false" ht="12.8" hidden="false" customHeight="false" outlineLevel="0" collapsed="false">
      <c r="A27" s="60" t="str">
        <f aca="false">_xlfn.CONCAT($A$1, ".", CALC!A27)</f>
        <v>LSD.RID.0.AL.U3R.23</v>
      </c>
      <c r="B27" s="42" t="str">
        <f aca="false">CALC!C27</f>
        <v>Public Administration</v>
      </c>
      <c r="C27" s="39" t="n">
        <v>0.015</v>
      </c>
      <c r="D27" s="39" t="n">
        <v>0.016</v>
      </c>
      <c r="E27" s="39" t="n">
        <v>0.019</v>
      </c>
      <c r="F27" s="39" t="n">
        <v>0.015</v>
      </c>
      <c r="H27" s="40"/>
      <c r="I27" s="40"/>
      <c r="J27" s="40"/>
      <c r="K27" s="40"/>
      <c r="L27" s="40"/>
      <c r="M27" s="40"/>
      <c r="N27" s="40"/>
    </row>
    <row r="130" customFormat="false" ht="12.8" hidden="false" customHeight="false" outlineLevel="0" collapsed="false">
      <c r="A130" s="60" t="str">
        <f aca="false">_xlfn.CONCAT($A$1, ".", "FORM")</f>
        <v>LSD.RID.0.AL.U3R.FORM</v>
      </c>
      <c r="B130" s="61" t="str">
        <f aca="false">_xlfn.CONCAT($B$1, " ", "Formulae")</f>
        <v>Alabama Unemployment Rate (U3R) Formulae</v>
      </c>
    </row>
    <row r="131" customFormat="false" ht="12.8" hidden="false" customHeight="false" outlineLevel="0" collapsed="false">
      <c r="A131" s="49" t="s">
        <v>2051</v>
      </c>
      <c r="B131" s="49" t="s">
        <v>175</v>
      </c>
      <c r="C131" s="49" t="s">
        <v>176</v>
      </c>
      <c r="D131" s="49" t="s">
        <v>177</v>
      </c>
      <c r="E131" s="49" t="s">
        <v>178</v>
      </c>
      <c r="F131" s="49" t="s">
        <v>179</v>
      </c>
    </row>
    <row r="132" customFormat="false" ht="12.8" hidden="false" customHeight="false" outlineLevel="0" collapsed="false">
      <c r="A132" s="39" t="s">
        <v>2506</v>
      </c>
      <c r="B132" s="39" t="s">
        <v>2507</v>
      </c>
      <c r="C132" s="39" t="s">
        <v>2508</v>
      </c>
      <c r="D132" s="39" t="s">
        <v>2509</v>
      </c>
      <c r="E132" s="39" t="s">
        <v>2510</v>
      </c>
      <c r="F132" s="39" t="s">
        <v>2511</v>
      </c>
    </row>
    <row r="133" customFormat="false" ht="12.8" hidden="false" customHeight="false" outlineLevel="0" collapsed="false">
      <c r="A133" s="39" t="s">
        <v>2512</v>
      </c>
      <c r="B133" s="39" t="s">
        <v>2513</v>
      </c>
      <c r="C133" s="39" t="s">
        <v>2514</v>
      </c>
      <c r="D133" s="39" t="s">
        <v>2515</v>
      </c>
      <c r="E133" s="39" t="s">
        <v>2516</v>
      </c>
      <c r="F133" s="39" t="s">
        <v>2517</v>
      </c>
    </row>
    <row r="134" customFormat="false" ht="12.8" hidden="false" customHeight="false" outlineLevel="0" collapsed="false">
      <c r="A134" s="39" t="s">
        <v>2518</v>
      </c>
      <c r="B134" s="39" t="s">
        <v>2519</v>
      </c>
      <c r="C134" s="39" t="s">
        <v>2520</v>
      </c>
      <c r="D134" s="39" t="s">
        <v>2521</v>
      </c>
      <c r="E134" s="39" t="s">
        <v>2522</v>
      </c>
      <c r="F134" s="39" t="s">
        <v>2523</v>
      </c>
    </row>
    <row r="135" customFormat="false" ht="12.8" hidden="false" customHeight="false" outlineLevel="0" collapsed="false">
      <c r="A135" s="39" t="s">
        <v>2524</v>
      </c>
      <c r="B135" s="39" t="s">
        <v>2525</v>
      </c>
      <c r="C135" s="39" t="s">
        <v>2526</v>
      </c>
      <c r="D135" s="39" t="s">
        <v>2527</v>
      </c>
      <c r="E135" s="39" t="s">
        <v>2528</v>
      </c>
      <c r="F135" s="39" t="s">
        <v>2529</v>
      </c>
    </row>
    <row r="140" customFormat="false" ht="12.8" hidden="false" customHeight="false" outlineLevel="0" collapsed="false">
      <c r="A140" s="60" t="str">
        <f aca="false">_xlfn.CONCAT($A$1, ".", "PARAM")</f>
        <v>LSD.RID.0.AL.U3R.PARAM</v>
      </c>
      <c r="B140" s="61" t="str">
        <f aca="false">_xlfn.CONCAT($B$1, " ", "Parameters")</f>
        <v>Alabama Unemployment Rate (U3R) Parameters</v>
      </c>
    </row>
    <row r="141" customFormat="false" ht="12.8" hidden="false" customHeight="false" outlineLevel="0" collapsed="false">
      <c r="A141" s="49" t="s">
        <v>2082</v>
      </c>
      <c r="B141" s="49" t="s">
        <v>176</v>
      </c>
      <c r="C141" s="49" t="s">
        <v>293</v>
      </c>
      <c r="D141" s="49" t="s">
        <v>178</v>
      </c>
      <c r="E141" s="49" t="s">
        <v>294</v>
      </c>
      <c r="F141" s="49" t="s">
        <v>295</v>
      </c>
      <c r="G141" s="49" t="s">
        <v>296</v>
      </c>
      <c r="H141" s="49" t="s">
        <v>179</v>
      </c>
    </row>
    <row r="142" customFormat="false" ht="12.8" hidden="false" customHeight="false" outlineLevel="0" collapsed="false">
      <c r="A142" s="39" t="s">
        <v>2530</v>
      </c>
      <c r="B142" s="39" t="s">
        <v>2531</v>
      </c>
      <c r="C142" s="39" t="s">
        <v>368</v>
      </c>
      <c r="D142" s="39" t="s">
        <v>2532</v>
      </c>
      <c r="E142" s="39" t="s">
        <v>300</v>
      </c>
      <c r="F142" s="39" t="s">
        <v>2533</v>
      </c>
      <c r="G142" s="51" t="s">
        <v>2534</v>
      </c>
      <c r="H142" s="39" t="s">
        <v>2535</v>
      </c>
    </row>
    <row r="143" customFormat="false" ht="12.8" hidden="false" customHeight="false" outlineLevel="0" collapsed="false">
      <c r="A143" s="39" t="s">
        <v>2536</v>
      </c>
      <c r="B143" s="39" t="s">
        <v>1840</v>
      </c>
      <c r="C143" s="39" t="s">
        <v>306</v>
      </c>
      <c r="D143" s="39" t="s">
        <v>2537</v>
      </c>
      <c r="E143" s="39" t="s">
        <v>300</v>
      </c>
      <c r="F143" s="39" t="s">
        <v>2533</v>
      </c>
      <c r="G143" s="51" t="s">
        <v>2534</v>
      </c>
      <c r="H143" s="39" t="s">
        <v>2538</v>
      </c>
    </row>
    <row r="144" customFormat="false" ht="12.8" hidden="false" customHeight="false" outlineLevel="0" collapsed="false">
      <c r="A144" s="39" t="s">
        <v>2539</v>
      </c>
      <c r="B144" s="39" t="s">
        <v>1845</v>
      </c>
      <c r="C144" s="39" t="s">
        <v>300</v>
      </c>
      <c r="D144" s="39" t="s">
        <v>2540</v>
      </c>
      <c r="E144" s="39" t="s">
        <v>300</v>
      </c>
      <c r="F144" s="39" t="s">
        <v>2533</v>
      </c>
      <c r="G144" s="51" t="s">
        <v>2534</v>
      </c>
      <c r="H144" s="39" t="s">
        <v>2541</v>
      </c>
    </row>
    <row r="145" customFormat="false" ht="12.8" hidden="false" customHeight="false" outlineLevel="0" collapsed="false">
      <c r="A145" s="39" t="s">
        <v>2542</v>
      </c>
      <c r="B145" s="39" t="s">
        <v>1848</v>
      </c>
      <c r="C145" s="39" t="s">
        <v>368</v>
      </c>
      <c r="D145" s="39" t="s">
        <v>2543</v>
      </c>
      <c r="E145" s="39" t="s">
        <v>306</v>
      </c>
      <c r="F145" s="39" t="s">
        <v>2533</v>
      </c>
      <c r="G145" s="51" t="s">
        <v>2534</v>
      </c>
      <c r="H145" s="39" t="s">
        <v>2544</v>
      </c>
    </row>
    <row r="146" customFormat="false" ht="12.8" hidden="false" customHeight="false" outlineLevel="0" collapsed="false">
      <c r="A146" s="39" t="s">
        <v>2545</v>
      </c>
      <c r="B146" s="39" t="s">
        <v>1851</v>
      </c>
      <c r="C146" s="39" t="s">
        <v>306</v>
      </c>
      <c r="D146" s="39" t="s">
        <v>2546</v>
      </c>
      <c r="E146" s="39" t="s">
        <v>368</v>
      </c>
      <c r="F146" s="39" t="s">
        <v>2533</v>
      </c>
      <c r="G146" s="51" t="s">
        <v>2534</v>
      </c>
      <c r="H146" s="39" t="s">
        <v>2547</v>
      </c>
    </row>
    <row r="147" customFormat="false" ht="12.8" hidden="false" customHeight="false" outlineLevel="0" collapsed="false">
      <c r="A147" s="39" t="s">
        <v>2548</v>
      </c>
      <c r="B147" s="39" t="s">
        <v>1854</v>
      </c>
      <c r="C147" s="39" t="s">
        <v>306</v>
      </c>
      <c r="D147" s="39" t="s">
        <v>2549</v>
      </c>
      <c r="E147" s="39" t="s">
        <v>368</v>
      </c>
      <c r="F147" s="39" t="s">
        <v>2533</v>
      </c>
      <c r="G147" s="51" t="s">
        <v>2534</v>
      </c>
      <c r="H147" s="39" t="s">
        <v>716</v>
      </c>
    </row>
    <row r="148" customFormat="false" ht="12.8" hidden="false" customHeight="false" outlineLevel="0" collapsed="false">
      <c r="A148" s="39" t="s">
        <v>2550</v>
      </c>
      <c r="B148" s="39" t="s">
        <v>1857</v>
      </c>
      <c r="C148" s="39" t="s">
        <v>300</v>
      </c>
      <c r="D148" s="39" t="s">
        <v>2551</v>
      </c>
      <c r="E148" s="39" t="s">
        <v>306</v>
      </c>
      <c r="F148" s="39" t="s">
        <v>2533</v>
      </c>
      <c r="G148" s="51" t="s">
        <v>2534</v>
      </c>
      <c r="H148" s="39" t="s">
        <v>2552</v>
      </c>
    </row>
    <row r="149" customFormat="false" ht="12.8" hidden="false" customHeight="false" outlineLevel="0" collapsed="false">
      <c r="A149" s="39" t="s">
        <v>2553</v>
      </c>
      <c r="B149" s="39" t="s">
        <v>1860</v>
      </c>
      <c r="C149" s="39" t="s">
        <v>300</v>
      </c>
      <c r="D149" s="39" t="s">
        <v>2554</v>
      </c>
      <c r="E149" s="39" t="s">
        <v>300</v>
      </c>
      <c r="F149" s="39" t="s">
        <v>2533</v>
      </c>
      <c r="G149" s="51" t="s">
        <v>2534</v>
      </c>
      <c r="H149" s="39" t="s">
        <v>2555</v>
      </c>
    </row>
    <row r="150" customFormat="false" ht="12.8" hidden="false" customHeight="false" outlineLevel="0" collapsed="false">
      <c r="A150" s="39" t="s">
        <v>2556</v>
      </c>
      <c r="B150" s="39" t="s">
        <v>1863</v>
      </c>
      <c r="C150" s="39" t="s">
        <v>368</v>
      </c>
      <c r="D150" s="39" t="s">
        <v>2557</v>
      </c>
      <c r="E150" s="39" t="s">
        <v>368</v>
      </c>
      <c r="F150" s="39" t="s">
        <v>2533</v>
      </c>
      <c r="G150" s="51" t="s">
        <v>2534</v>
      </c>
      <c r="H150" s="39" t="s">
        <v>2558</v>
      </c>
    </row>
    <row r="151" customFormat="false" ht="12.8" hidden="false" customHeight="false" outlineLevel="0" collapsed="false">
      <c r="A151" s="39" t="s">
        <v>2559</v>
      </c>
      <c r="B151" s="39" t="s">
        <v>1866</v>
      </c>
      <c r="C151" s="39" t="s">
        <v>368</v>
      </c>
      <c r="D151" s="39" t="s">
        <v>2560</v>
      </c>
      <c r="E151" s="39" t="s">
        <v>368</v>
      </c>
      <c r="F151" s="39" t="s">
        <v>2533</v>
      </c>
      <c r="G151" s="51" t="s">
        <v>2534</v>
      </c>
      <c r="H151" s="39" t="s">
        <v>2561</v>
      </c>
    </row>
    <row r="152" customFormat="false" ht="12.8" hidden="false" customHeight="false" outlineLevel="0" collapsed="false">
      <c r="A152" s="39" t="s">
        <v>2562</v>
      </c>
      <c r="B152" s="39" t="s">
        <v>1869</v>
      </c>
      <c r="C152" s="39" t="s">
        <v>306</v>
      </c>
      <c r="D152" s="39" t="s">
        <v>2563</v>
      </c>
      <c r="E152" s="39" t="s">
        <v>306</v>
      </c>
      <c r="F152" s="39" t="s">
        <v>2533</v>
      </c>
      <c r="G152" s="51" t="s">
        <v>2534</v>
      </c>
      <c r="H152" s="39" t="s">
        <v>2564</v>
      </c>
    </row>
    <row r="153" customFormat="false" ht="12.8" hidden="false" customHeight="false" outlineLevel="0" collapsed="false">
      <c r="A153" s="39" t="s">
        <v>2565</v>
      </c>
      <c r="B153" s="39" t="s">
        <v>1872</v>
      </c>
      <c r="C153" s="39" t="s">
        <v>368</v>
      </c>
      <c r="D153" s="39" t="s">
        <v>2566</v>
      </c>
      <c r="E153" s="39" t="s">
        <v>368</v>
      </c>
      <c r="F153" s="39" t="s">
        <v>2533</v>
      </c>
      <c r="G153" s="51" t="s">
        <v>2534</v>
      </c>
      <c r="H153" s="39" t="s">
        <v>2567</v>
      </c>
    </row>
    <row r="154" customFormat="false" ht="12.8" hidden="false" customHeight="false" outlineLevel="0" collapsed="false">
      <c r="A154" s="39" t="s">
        <v>2568</v>
      </c>
      <c r="B154" s="39" t="s">
        <v>1875</v>
      </c>
      <c r="C154" s="39" t="s">
        <v>300</v>
      </c>
      <c r="D154" s="39" t="s">
        <v>2569</v>
      </c>
      <c r="E154" s="39" t="s">
        <v>368</v>
      </c>
      <c r="F154" s="39" t="s">
        <v>2533</v>
      </c>
      <c r="G154" s="51" t="s">
        <v>2534</v>
      </c>
      <c r="H154" s="39" t="s">
        <v>2570</v>
      </c>
    </row>
    <row r="155" customFormat="false" ht="12.8" hidden="false" customHeight="false" outlineLevel="0" collapsed="false">
      <c r="A155" s="39" t="s">
        <v>2571</v>
      </c>
      <c r="B155" s="39" t="s">
        <v>1878</v>
      </c>
      <c r="C155" s="39" t="s">
        <v>300</v>
      </c>
      <c r="D155" s="39" t="s">
        <v>2572</v>
      </c>
      <c r="E155" s="39" t="s">
        <v>300</v>
      </c>
      <c r="F155" s="39" t="s">
        <v>2533</v>
      </c>
      <c r="G155" s="51" t="s">
        <v>2534</v>
      </c>
      <c r="H155" s="39" t="s">
        <v>2573</v>
      </c>
    </row>
    <row r="156" customFormat="false" ht="12.8" hidden="false" customHeight="false" outlineLevel="0" collapsed="false">
      <c r="A156" s="39" t="s">
        <v>2574</v>
      </c>
      <c r="B156" s="39" t="s">
        <v>1881</v>
      </c>
      <c r="C156" s="39" t="s">
        <v>306</v>
      </c>
      <c r="D156" s="39" t="s">
        <v>2575</v>
      </c>
      <c r="E156" s="39" t="s">
        <v>306</v>
      </c>
      <c r="F156" s="39" t="s">
        <v>2533</v>
      </c>
      <c r="G156" s="51" t="s">
        <v>2534</v>
      </c>
      <c r="H156" s="39" t="s">
        <v>2576</v>
      </c>
    </row>
    <row r="157" customFormat="false" ht="12.8" hidden="false" customHeight="false" outlineLevel="0" collapsed="false">
      <c r="A157" s="39" t="s">
        <v>2577</v>
      </c>
      <c r="B157" s="39" t="s">
        <v>1884</v>
      </c>
      <c r="C157" s="39" t="s">
        <v>300</v>
      </c>
      <c r="D157" s="39" t="s">
        <v>2578</v>
      </c>
      <c r="E157" s="39" t="s">
        <v>300</v>
      </c>
      <c r="F157" s="39" t="s">
        <v>2533</v>
      </c>
      <c r="G157" s="51" t="s">
        <v>2534</v>
      </c>
      <c r="H157" s="39" t="s">
        <v>2579</v>
      </c>
    </row>
    <row r="158" customFormat="false" ht="12.8" hidden="false" customHeight="false" outlineLevel="0" collapsed="false">
      <c r="A158" s="39" t="s">
        <v>2580</v>
      </c>
      <c r="B158" s="39" t="s">
        <v>1887</v>
      </c>
      <c r="C158" s="39" t="s">
        <v>368</v>
      </c>
      <c r="D158" s="39" t="s">
        <v>2581</v>
      </c>
      <c r="E158" s="39" t="s">
        <v>368</v>
      </c>
      <c r="F158" s="39" t="s">
        <v>2533</v>
      </c>
      <c r="G158" s="51" t="s">
        <v>2534</v>
      </c>
      <c r="H158" s="39" t="s">
        <v>2582</v>
      </c>
    </row>
    <row r="159" customFormat="false" ht="12.8" hidden="false" customHeight="false" outlineLevel="0" collapsed="false">
      <c r="A159" s="39" t="s">
        <v>2583</v>
      </c>
      <c r="B159" s="39" t="s">
        <v>1890</v>
      </c>
      <c r="C159" s="39" t="s">
        <v>300</v>
      </c>
      <c r="D159" s="39" t="s">
        <v>2584</v>
      </c>
      <c r="E159" s="39" t="s">
        <v>300</v>
      </c>
      <c r="F159" s="39" t="s">
        <v>2533</v>
      </c>
      <c r="G159" s="51" t="s">
        <v>2534</v>
      </c>
      <c r="H159" s="39" t="s">
        <v>2585</v>
      </c>
    </row>
    <row r="160" customFormat="false" ht="12.8" hidden="false" customHeight="false" outlineLevel="0" collapsed="false">
      <c r="A160" s="39" t="s">
        <v>2586</v>
      </c>
      <c r="B160" s="39" t="s">
        <v>1893</v>
      </c>
      <c r="C160" s="39" t="s">
        <v>300</v>
      </c>
      <c r="D160" s="39" t="s">
        <v>2587</v>
      </c>
      <c r="E160" s="39" t="s">
        <v>300</v>
      </c>
      <c r="F160" s="39" t="s">
        <v>2533</v>
      </c>
      <c r="G160" s="51" t="s">
        <v>2534</v>
      </c>
      <c r="H160" s="39" t="s">
        <v>2588</v>
      </c>
    </row>
    <row r="161" customFormat="false" ht="12.8" hidden="false" customHeight="false" outlineLevel="0" collapsed="false">
      <c r="A161" s="39" t="s">
        <v>2589</v>
      </c>
      <c r="B161" s="39" t="s">
        <v>1896</v>
      </c>
      <c r="C161" s="39" t="s">
        <v>368</v>
      </c>
      <c r="D161" s="39" t="s">
        <v>2590</v>
      </c>
      <c r="E161" s="39" t="s">
        <v>368</v>
      </c>
      <c r="F161" s="39" t="s">
        <v>2533</v>
      </c>
      <c r="G161" s="51" t="s">
        <v>2534</v>
      </c>
      <c r="H161" s="39" t="s">
        <v>2591</v>
      </c>
    </row>
    <row r="162" customFormat="false" ht="12.8" hidden="false" customHeight="false" outlineLevel="0" collapsed="false">
      <c r="A162" s="39" t="s">
        <v>2592</v>
      </c>
      <c r="B162" s="39" t="s">
        <v>1899</v>
      </c>
      <c r="C162" s="39" t="s">
        <v>368</v>
      </c>
      <c r="D162" s="39" t="s">
        <v>2593</v>
      </c>
      <c r="E162" s="39" t="s">
        <v>368</v>
      </c>
      <c r="F162" s="39" t="s">
        <v>2533</v>
      </c>
      <c r="G162" s="51" t="s">
        <v>2534</v>
      </c>
      <c r="H162" s="39" t="s">
        <v>2594</v>
      </c>
    </row>
    <row r="163" customFormat="false" ht="12.8" hidden="false" customHeight="false" outlineLevel="0" collapsed="false">
      <c r="A163" s="39" t="s">
        <v>2595</v>
      </c>
      <c r="B163" s="39" t="s">
        <v>1902</v>
      </c>
      <c r="C163" s="39" t="s">
        <v>368</v>
      </c>
      <c r="D163" s="39" t="s">
        <v>2596</v>
      </c>
      <c r="E163" s="39" t="s">
        <v>368</v>
      </c>
      <c r="F163" s="39" t="s">
        <v>2533</v>
      </c>
      <c r="G163" s="51" t="s">
        <v>2534</v>
      </c>
      <c r="H163" s="39" t="s">
        <v>784</v>
      </c>
    </row>
    <row r="164" customFormat="false" ht="12.8" hidden="false" customHeight="false" outlineLevel="0" collapsed="false">
      <c r="A164" s="39" t="s">
        <v>2597</v>
      </c>
      <c r="B164" s="39" t="s">
        <v>1905</v>
      </c>
      <c r="C164" s="39" t="s">
        <v>300</v>
      </c>
      <c r="D164" s="39" t="s">
        <v>2598</v>
      </c>
      <c r="E164" s="39" t="s">
        <v>300</v>
      </c>
      <c r="F164" s="39" t="s">
        <v>2533</v>
      </c>
      <c r="G164" s="51" t="s">
        <v>2534</v>
      </c>
      <c r="H164" s="39" t="s">
        <v>2599</v>
      </c>
    </row>
    <row r="165" customFormat="false" ht="12.8" hidden="false" customHeight="false" outlineLevel="0" collapsed="false">
      <c r="A165" s="39" t="s">
        <v>2600</v>
      </c>
      <c r="B165" s="39" t="s">
        <v>1913</v>
      </c>
      <c r="C165" s="39" t="n">
        <v>0.008</v>
      </c>
      <c r="D165" s="39" t="s">
        <v>2601</v>
      </c>
      <c r="E165" s="39" t="s">
        <v>306</v>
      </c>
      <c r="F165" s="39" t="s">
        <v>2602</v>
      </c>
      <c r="G165" s="51" t="s">
        <v>2534</v>
      </c>
      <c r="H165" s="39" t="s">
        <v>2603</v>
      </c>
    </row>
    <row r="166" customFormat="false" ht="12.8" hidden="false" customHeight="false" outlineLevel="0" collapsed="false">
      <c r="A166" s="39" t="s">
        <v>2604</v>
      </c>
      <c r="B166" s="39" t="s">
        <v>2605</v>
      </c>
      <c r="C166" s="39" t="n">
        <v>0.012</v>
      </c>
      <c r="D166" s="39" t="s">
        <v>2606</v>
      </c>
      <c r="E166" s="39" t="s">
        <v>368</v>
      </c>
      <c r="F166" s="39" t="s">
        <v>353</v>
      </c>
      <c r="G166" s="51" t="s">
        <v>2534</v>
      </c>
      <c r="H166" s="39" t="s">
        <v>2607</v>
      </c>
    </row>
    <row r="167" customFormat="false" ht="12.8" hidden="false" customHeight="false" outlineLevel="0" collapsed="false">
      <c r="A167" s="39" t="s">
        <v>2608</v>
      </c>
      <c r="B167" s="39" t="s">
        <v>2609</v>
      </c>
      <c r="C167" s="39" t="n">
        <v>1.03</v>
      </c>
      <c r="D167" s="39" t="s">
        <v>2610</v>
      </c>
      <c r="E167" s="39" t="s">
        <v>368</v>
      </c>
      <c r="F167" s="39" t="s">
        <v>1603</v>
      </c>
      <c r="G167" s="51" t="s">
        <v>2534</v>
      </c>
      <c r="H167" s="39" t="s">
        <v>2611</v>
      </c>
    </row>
    <row r="168" customFormat="false" ht="12.8" hidden="false" customHeight="false" outlineLevel="0" collapsed="false">
      <c r="A168" s="39" t="s">
        <v>2612</v>
      </c>
      <c r="B168" s="39" t="s">
        <v>2613</v>
      </c>
      <c r="C168" s="39" t="n">
        <v>0.97</v>
      </c>
      <c r="D168" s="39" t="s">
        <v>2614</v>
      </c>
      <c r="E168" s="39" t="s">
        <v>306</v>
      </c>
      <c r="F168" s="39" t="s">
        <v>2615</v>
      </c>
      <c r="G168" s="51" t="s">
        <v>2534</v>
      </c>
      <c r="H168" s="39" t="s">
        <v>2616</v>
      </c>
    </row>
    <row r="169" customFormat="false" ht="12.8" hidden="false" customHeight="false" outlineLevel="0" collapsed="false">
      <c r="A169" s="39" t="s">
        <v>2617</v>
      </c>
      <c r="B169" s="39" t="s">
        <v>2618</v>
      </c>
      <c r="C169" s="39" t="s">
        <v>2619</v>
      </c>
      <c r="D169" s="39" t="s">
        <v>2620</v>
      </c>
      <c r="E169" s="39" t="s">
        <v>300</v>
      </c>
      <c r="F169" s="39" t="s">
        <v>1989</v>
      </c>
      <c r="G169" s="51" t="s">
        <v>2534</v>
      </c>
      <c r="H169" s="39" t="s">
        <v>2621</v>
      </c>
    </row>
    <row r="170" customFormat="false" ht="12.8" hidden="false" customHeight="false" outlineLevel="0" collapsed="false">
      <c r="A170" s="39" t="s">
        <v>2622</v>
      </c>
      <c r="B170" s="39" t="s">
        <v>1991</v>
      </c>
      <c r="C170" s="39" t="n">
        <v>0.035</v>
      </c>
      <c r="D170" s="39" t="s">
        <v>2623</v>
      </c>
      <c r="E170" s="39" t="s">
        <v>300</v>
      </c>
      <c r="F170" s="39" t="s">
        <v>2624</v>
      </c>
      <c r="G170" s="51" t="s">
        <v>2534</v>
      </c>
      <c r="H170" s="39" t="s">
        <v>2625</v>
      </c>
    </row>
    <row r="180" customFormat="false" ht="12.8" hidden="false" customHeight="false" outlineLevel="0" collapsed="false">
      <c r="A180" s="60" t="str">
        <f aca="false">_xlfn.CONCAT($A$1, ".", "VALID")</f>
        <v>LSD.RID.0.AL.U3R.VALID</v>
      </c>
      <c r="B180" s="61" t="str">
        <f aca="false">_xlfn.CONCAT($B$1, " ", "Validation")</f>
        <v>Alabama Unemployment Rate (U3R) Validation</v>
      </c>
    </row>
    <row r="181" customFormat="false" ht="12.8" hidden="false" customHeight="false" outlineLevel="0" collapsed="false">
      <c r="A181" s="49" t="s">
        <v>113</v>
      </c>
      <c r="B181" s="49" t="s">
        <v>2000</v>
      </c>
      <c r="C181" s="49" t="s">
        <v>1758</v>
      </c>
      <c r="D181" s="49" t="s">
        <v>2001</v>
      </c>
      <c r="E181" s="49" t="s">
        <v>2002</v>
      </c>
      <c r="F181" s="49" t="s">
        <v>294</v>
      </c>
      <c r="G181" s="49" t="s">
        <v>2003</v>
      </c>
    </row>
    <row r="182" customFormat="false" ht="12.8" hidden="false" customHeight="false" outlineLevel="0" collapsed="false">
      <c r="A182" s="39" t="s">
        <v>2626</v>
      </c>
      <c r="B182" s="39" t="s">
        <v>2627</v>
      </c>
      <c r="C182" s="39" t="n">
        <v>0.027</v>
      </c>
      <c r="D182" s="39" t="n">
        <v>0.027</v>
      </c>
      <c r="E182" s="39" t="s">
        <v>2628</v>
      </c>
      <c r="F182" s="39" t="s">
        <v>300</v>
      </c>
      <c r="G182" s="39" t="s">
        <v>2629</v>
      </c>
    </row>
    <row r="183" customFormat="false" ht="12.8" hidden="false" customHeight="false" outlineLevel="0" collapsed="false">
      <c r="A183" s="39" t="s">
        <v>2630</v>
      </c>
      <c r="B183" s="39" t="s">
        <v>2631</v>
      </c>
      <c r="C183" s="39" t="s">
        <v>2632</v>
      </c>
      <c r="D183" s="39" t="s">
        <v>2633</v>
      </c>
      <c r="E183" s="39" t="s">
        <v>2634</v>
      </c>
      <c r="F183" s="39" t="s">
        <v>300</v>
      </c>
      <c r="G183" s="39" t="s">
        <v>2635</v>
      </c>
    </row>
    <row r="184" customFormat="false" ht="12.8" hidden="false" customHeight="false" outlineLevel="0" collapsed="false">
      <c r="A184" s="39" t="s">
        <v>2636</v>
      </c>
      <c r="B184" s="39" t="s">
        <v>2637</v>
      </c>
      <c r="C184" s="39" t="s">
        <v>2638</v>
      </c>
      <c r="D184" s="39" t="s">
        <v>2639</v>
      </c>
      <c r="E184" s="39" t="s">
        <v>2640</v>
      </c>
      <c r="F184" s="39" t="s">
        <v>306</v>
      </c>
      <c r="G184" s="39" t="s">
        <v>2641</v>
      </c>
    </row>
    <row r="185" customFormat="false" ht="12.8" hidden="false" customHeight="false" outlineLevel="0" collapsed="false">
      <c r="A185" s="39" t="s">
        <v>2642</v>
      </c>
      <c r="B185" s="39" t="s">
        <v>2643</v>
      </c>
      <c r="C185" s="39" t="s">
        <v>2644</v>
      </c>
      <c r="D185" s="39" t="s">
        <v>2645</v>
      </c>
      <c r="E185" s="39" t="s">
        <v>2646</v>
      </c>
      <c r="F185" s="39" t="s">
        <v>300</v>
      </c>
      <c r="G185" s="39" t="s">
        <v>2647</v>
      </c>
    </row>
    <row r="186" customFormat="false" ht="12.8" hidden="false" customHeight="false" outlineLevel="0" collapsed="false">
      <c r="A186" s="39" t="s">
        <v>2648</v>
      </c>
      <c r="B186" s="39" t="s">
        <v>2649</v>
      </c>
      <c r="C186" s="39" t="s">
        <v>2650</v>
      </c>
      <c r="D186" s="39" t="s">
        <v>2651</v>
      </c>
      <c r="E186" s="39" t="s">
        <v>2652</v>
      </c>
      <c r="F186" s="39" t="s">
        <v>300</v>
      </c>
      <c r="G186" s="39" t="s">
        <v>2653</v>
      </c>
    </row>
    <row r="187" customFormat="false" ht="12.8" hidden="false" customHeight="false" outlineLevel="0" collapsed="false">
      <c r="A187" s="39" t="s">
        <v>2654</v>
      </c>
      <c r="B187" s="39" t="s">
        <v>2655</v>
      </c>
      <c r="C187" s="39" t="s">
        <v>2656</v>
      </c>
      <c r="D187" s="39" t="s">
        <v>2657</v>
      </c>
      <c r="E187" s="39" t="s">
        <v>2658</v>
      </c>
      <c r="F187" s="39" t="s">
        <v>306</v>
      </c>
      <c r="G187" s="39" t="s">
        <v>2659</v>
      </c>
    </row>
    <row r="188" customFormat="false" ht="12.8" hidden="false" customHeight="false" outlineLevel="0" collapsed="false">
      <c r="A188" s="39" t="s">
        <v>2660</v>
      </c>
      <c r="B188" s="39" t="s">
        <v>2661</v>
      </c>
      <c r="C188" s="39" t="s">
        <v>2662</v>
      </c>
      <c r="D188" s="39" t="s">
        <v>2663</v>
      </c>
      <c r="E188" s="39" t="s">
        <v>2664</v>
      </c>
      <c r="F188" s="39" t="s">
        <v>300</v>
      </c>
      <c r="G188" s="39" t="s">
        <v>2665</v>
      </c>
    </row>
    <row r="189" customFormat="false" ht="12.8" hidden="false" customHeight="false" outlineLevel="0" collapsed="false">
      <c r="A189" s="39" t="s">
        <v>2666</v>
      </c>
      <c r="B189" s="39" t="s">
        <v>2667</v>
      </c>
      <c r="C189" s="39" t="s">
        <v>2668</v>
      </c>
      <c r="D189" s="39" t="s">
        <v>2669</v>
      </c>
      <c r="E189" s="39" t="s">
        <v>2670</v>
      </c>
      <c r="F189" s="39" t="s">
        <v>300</v>
      </c>
      <c r="G189" s="39" t="s">
        <v>2671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84"/>
  <sheetViews>
    <sheetView showFormulas="false" showGridLines="true" showRowColHeaders="true" showZeros="true" rightToLeft="false" tabSelected="false" showOutlineSymbols="true" defaultGridColor="true" view="normal" topLeftCell="B85" colorId="64" zoomScale="75" zoomScaleNormal="75" zoomScalePageLayoutView="100" workbookViewId="0">
      <selection pane="topLeft" activeCell="C134" activeCellId="0" sqref="C134"/>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2672</v>
      </c>
      <c r="B1" s="42" t="s">
        <v>2673</v>
      </c>
      <c r="C1" s="6" t="s">
        <v>2</v>
      </c>
      <c r="D1" s="62" t="s">
        <v>2674</v>
      </c>
      <c r="AZ1" s="39"/>
      <c r="BP1" s="39"/>
    </row>
    <row r="2" customFormat="false" ht="12.8" hidden="false" customHeight="false" outlineLevel="0" collapsed="false">
      <c r="A2" s="60" t="str">
        <f aca="false">_xlfn.CONCAT($A$1, ".", "CALC")</f>
        <v>LSD.RID.0.AL.U6R.CALC</v>
      </c>
      <c r="B2" s="61" t="str">
        <f aca="false">_xlfn.CONCAT($B$1, " ", "Calculations")</f>
        <v>Alabama Underemployment Rate (U6R) Calculations</v>
      </c>
      <c r="C2" s="3"/>
      <c r="D2" s="3"/>
      <c r="E2" s="3"/>
      <c r="F2" s="3"/>
      <c r="AZ2" s="3"/>
      <c r="BA2" s="3"/>
      <c r="BB2" s="3"/>
      <c r="BC2" s="3"/>
    </row>
    <row r="3" customFormat="false" ht="12.8" hidden="false" customHeight="false" outlineLevel="0" collapsed="false">
      <c r="A3" s="60" t="str">
        <f aca="false">CALC!A3</f>
        <v>LSID</v>
      </c>
      <c r="B3" s="42" t="str">
        <f aca="false">CALC!C3</f>
        <v>Labor Sector</v>
      </c>
      <c r="C3" s="66" t="str">
        <f aca="false">CALC!X3</f>
        <v>Overall U6R</v>
      </c>
      <c r="D3" s="66" t="str">
        <f aca="false">CALC!Y3</f>
        <v>Authorized U6R</v>
      </c>
      <c r="E3" s="66" t="str">
        <f aca="false">CALC!Z3</f>
        <v>Unauthorized U6R</v>
      </c>
      <c r="F3" s="66" t="str">
        <f aca="false">CALC!AA3</f>
        <v>American U6R</v>
      </c>
      <c r="H3" s="65"/>
      <c r="I3" s="65"/>
      <c r="J3" s="65"/>
      <c r="K3" s="65"/>
      <c r="L3" s="65"/>
      <c r="M3" s="65"/>
      <c r="N3" s="65"/>
    </row>
    <row r="4" customFormat="false" ht="12.8" hidden="false" customHeight="false" outlineLevel="0" collapsed="false">
      <c r="A4" s="60" t="str">
        <f aca="false">_xlfn.CONCAT($A$1, ".", CALC!A4)</f>
        <v>LSD.RID.0.AL.U6R.0</v>
      </c>
      <c r="B4" s="42" t="str">
        <f aca="false">CALC!C4</f>
        <v>All Industries</v>
      </c>
      <c r="C4" s="39" t="n">
        <v>0.045</v>
      </c>
      <c r="D4" s="39" t="n">
        <v>0.048</v>
      </c>
      <c r="E4" s="39" t="n">
        <v>0.065</v>
      </c>
      <c r="F4" s="39" t="n">
        <v>0.043</v>
      </c>
      <c r="G4" s="40"/>
      <c r="H4" s="40"/>
      <c r="I4" s="40"/>
      <c r="J4" s="40"/>
      <c r="K4" s="40"/>
      <c r="L4" s="40"/>
      <c r="M4" s="40"/>
      <c r="N4" s="40"/>
    </row>
    <row r="5" customFormat="false" ht="23.85" hidden="false" customHeight="false" outlineLevel="0" collapsed="false">
      <c r="A5" s="60" t="str">
        <f aca="false">_xlfn.CONCAT($A$1, ".", CALC!A5)</f>
        <v>LSD.RID.0.AL.U6R.1</v>
      </c>
      <c r="B5" s="63" t="str">
        <f aca="false">CALC!C5</f>
        <v>Agriculture, Forestry, 
Fishing and Hunting</v>
      </c>
      <c r="C5" s="39" t="n">
        <v>0.072</v>
      </c>
      <c r="D5" s="39" t="n">
        <v>0.077</v>
      </c>
      <c r="E5" s="39" t="n">
        <v>0.098</v>
      </c>
      <c r="F5" s="39" t="n">
        <v>0.068</v>
      </c>
      <c r="G5" s="40"/>
      <c r="H5" s="40"/>
      <c r="I5" s="40"/>
      <c r="J5" s="40"/>
      <c r="K5" s="40"/>
      <c r="L5" s="40"/>
      <c r="M5" s="40"/>
      <c r="N5" s="40"/>
    </row>
    <row r="6" customFormat="false" ht="23.85" hidden="false" customHeight="false" outlineLevel="0" collapsed="false">
      <c r="A6" s="60" t="str">
        <f aca="false">_xlfn.CONCAT($A$1, ".", CALC!A6)</f>
        <v>LSD.RID.0.AL.U6R.2</v>
      </c>
      <c r="B6" s="63" t="str">
        <f aca="false">CALC!C6</f>
        <v>Mining, Quarrying, and
Oil and Gas Extraction</v>
      </c>
      <c r="C6" s="39" t="n">
        <v>0.061</v>
      </c>
      <c r="D6" s="39" t="n">
        <v>0.065</v>
      </c>
      <c r="E6" s="39" t="n">
        <v>0.083</v>
      </c>
      <c r="F6" s="39" t="n">
        <v>0.058</v>
      </c>
      <c r="G6" s="40"/>
      <c r="H6" s="40"/>
      <c r="I6" s="40"/>
      <c r="J6" s="40"/>
      <c r="K6" s="40"/>
      <c r="L6" s="40"/>
      <c r="M6" s="40"/>
      <c r="N6" s="40"/>
    </row>
    <row r="7" customFormat="false" ht="12.8" hidden="false" customHeight="false" outlineLevel="0" collapsed="false">
      <c r="A7" s="60" t="str">
        <f aca="false">_xlfn.CONCAT($A$1, ".", CALC!A7)</f>
        <v>LSD.RID.0.AL.U6R.3</v>
      </c>
      <c r="B7" s="42" t="str">
        <f aca="false">CALC!C7</f>
        <v>Utilities</v>
      </c>
      <c r="C7" s="39" t="n">
        <v>0.027</v>
      </c>
      <c r="D7" s="39" t="n">
        <v>0.029</v>
      </c>
      <c r="E7" s="39" t="n">
        <v>0.033</v>
      </c>
      <c r="F7" s="39" t="n">
        <v>0.027</v>
      </c>
      <c r="G7" s="40"/>
      <c r="H7" s="40"/>
      <c r="I7" s="40"/>
      <c r="J7" s="40"/>
      <c r="K7" s="40"/>
      <c r="L7" s="40"/>
      <c r="M7" s="40"/>
      <c r="N7" s="40"/>
    </row>
    <row r="8" customFormat="false" ht="12.8" hidden="false" customHeight="false" outlineLevel="0" collapsed="false">
      <c r="A8" s="60" t="str">
        <f aca="false">_xlfn.CONCAT($A$1, ".", CALC!A8)</f>
        <v>LSD.RID.0.AL.U6R.4</v>
      </c>
      <c r="B8" s="42" t="str">
        <f aca="false">CALC!C8</f>
        <v>Construction</v>
      </c>
      <c r="C8" s="39" t="n">
        <v>0.085</v>
      </c>
      <c r="D8" s="39" t="n">
        <v>0.091</v>
      </c>
      <c r="E8" s="39" t="n">
        <v>0.12</v>
      </c>
      <c r="F8" s="39" t="n">
        <v>0.08</v>
      </c>
      <c r="G8" s="40"/>
      <c r="H8" s="40"/>
      <c r="I8" s="40"/>
      <c r="J8" s="40"/>
      <c r="K8" s="40"/>
      <c r="L8" s="40"/>
      <c r="M8" s="40"/>
      <c r="N8" s="40"/>
    </row>
    <row r="9" customFormat="false" ht="23.85" hidden="false" customHeight="false" outlineLevel="0" collapsed="false">
      <c r="A9" s="60" t="str">
        <f aca="false">_xlfn.CONCAT($A$1, ".", CALC!A9)</f>
        <v>LSD.RID.0.AL.U6R.5</v>
      </c>
      <c r="B9" s="63" t="str">
        <f aca="false">CALC!C9</f>
        <v>Manufacturing
(Food,Textile, etc.)</v>
      </c>
      <c r="C9" s="39" t="n">
        <v>0.051</v>
      </c>
      <c r="D9" s="39" t="n">
        <v>0.055</v>
      </c>
      <c r="E9" s="39" t="n">
        <v>0.07</v>
      </c>
      <c r="F9" s="39" t="n">
        <v>0.049</v>
      </c>
      <c r="G9" s="40"/>
      <c r="H9" s="40"/>
      <c r="I9" s="40"/>
      <c r="J9" s="40"/>
      <c r="K9" s="40"/>
      <c r="L9" s="40"/>
      <c r="M9" s="40"/>
      <c r="N9" s="40"/>
    </row>
    <row r="10" customFormat="false" ht="23.85" hidden="false" customHeight="false" outlineLevel="0" collapsed="false">
      <c r="A10" s="60" t="str">
        <f aca="false">_xlfn.CONCAT($A$1, ".", CALC!A10)</f>
        <v>LSD.RID.0.AL.U6R.6</v>
      </c>
      <c r="B10" s="63" t="str">
        <f aca="false">CALC!C10</f>
        <v>Manufacturing (Wood,
Paper, Printing, etc.)</v>
      </c>
      <c r="C10" s="39" t="n">
        <v>0.049</v>
      </c>
      <c r="D10" s="39" t="n">
        <v>0.052</v>
      </c>
      <c r="E10" s="39" t="n">
        <v>0.067</v>
      </c>
      <c r="F10" s="39" t="n">
        <v>0.047</v>
      </c>
      <c r="G10" s="40"/>
      <c r="H10" s="40"/>
      <c r="I10" s="40"/>
      <c r="J10" s="40"/>
      <c r="K10" s="40"/>
      <c r="L10" s="40"/>
      <c r="M10" s="40"/>
      <c r="N10" s="40"/>
    </row>
    <row r="11" customFormat="false" ht="23.85" hidden="false" customHeight="false" outlineLevel="0" collapsed="false">
      <c r="A11" s="60" t="str">
        <f aca="false">_xlfn.CONCAT($A$1, ".", CALC!A11)</f>
        <v>LSD.RID.0.AL.U6R.7</v>
      </c>
      <c r="B11" s="63" t="str">
        <f aca="false">CALC!C11</f>
        <v>Manufacturing
(Machinery, Transport)</v>
      </c>
      <c r="C11" s="39" t="n">
        <v>0.046</v>
      </c>
      <c r="D11" s="39" t="n">
        <v>0.049</v>
      </c>
      <c r="E11" s="39" t="n">
        <v>0.062</v>
      </c>
      <c r="F11" s="39" t="n">
        <v>0.044</v>
      </c>
      <c r="G11" s="40"/>
      <c r="H11" s="40"/>
      <c r="I11" s="40"/>
      <c r="J11" s="40"/>
      <c r="K11" s="40"/>
      <c r="L11" s="40"/>
      <c r="M11" s="40"/>
      <c r="N11" s="40"/>
    </row>
    <row r="12" customFormat="false" ht="12.8" hidden="false" customHeight="false" outlineLevel="0" collapsed="false">
      <c r="A12" s="60" t="str">
        <f aca="false">_xlfn.CONCAT($A$1, ".", CALC!A12)</f>
        <v>LSD.RID.0.AL.U6R.8</v>
      </c>
      <c r="B12" s="42" t="str">
        <f aca="false">CALC!C12</f>
        <v>Wholesale Trade</v>
      </c>
      <c r="C12" s="39" t="n">
        <v>0.04</v>
      </c>
      <c r="D12" s="39" t="n">
        <v>0.042</v>
      </c>
      <c r="E12" s="39" t="n">
        <v>0.05</v>
      </c>
      <c r="F12" s="39" t="n">
        <v>0.039</v>
      </c>
      <c r="G12" s="40"/>
      <c r="H12" s="40"/>
      <c r="I12" s="40"/>
      <c r="J12" s="40"/>
      <c r="K12" s="40"/>
      <c r="L12" s="40"/>
      <c r="M12" s="40"/>
      <c r="N12" s="40"/>
    </row>
    <row r="13" customFormat="false" ht="23.85" hidden="false" customHeight="false" outlineLevel="0" collapsed="false">
      <c r="A13" s="60" t="str">
        <f aca="false">_xlfn.CONCAT($A$1, ".", CALC!A13)</f>
        <v>LSD.RID.0.AL.U6R.9</v>
      </c>
      <c r="B13" s="63" t="str">
        <f aca="false">CALC!C13</f>
        <v>Retail Trade (Motor
Vehicle, Electronics)</v>
      </c>
      <c r="C13" s="39" t="n">
        <v>0.064</v>
      </c>
      <c r="D13" s="39" t="n">
        <v>0.068</v>
      </c>
      <c r="E13" s="39" t="n">
        <v>0.088</v>
      </c>
      <c r="F13" s="39" t="n">
        <v>0.061</v>
      </c>
      <c r="G13" s="40"/>
      <c r="H13" s="40"/>
      <c r="I13" s="40"/>
      <c r="J13" s="40"/>
      <c r="K13" s="40"/>
      <c r="L13" s="40"/>
      <c r="M13" s="40"/>
      <c r="N13" s="40"/>
    </row>
    <row r="14" customFormat="false" ht="23.85" hidden="false" customHeight="false" outlineLevel="0" collapsed="false">
      <c r="A14" s="60" t="str">
        <f aca="false">_xlfn.CONCAT($A$1, ".", CALC!A14)</f>
        <v>LSD.RID.0.AL.U6R.10</v>
      </c>
      <c r="B14" s="63" t="str">
        <f aca="false">CALC!C14</f>
        <v>Retail Trade (Food, Clothing,
General Merchandise, etc.)</v>
      </c>
      <c r="C14" s="39" t="n">
        <v>0.067</v>
      </c>
      <c r="D14" s="39" t="n">
        <v>0.071</v>
      </c>
      <c r="E14" s="39" t="n">
        <v>0.092</v>
      </c>
      <c r="F14" s="39" t="n">
        <v>0.064</v>
      </c>
      <c r="G14" s="40"/>
      <c r="H14" s="40"/>
      <c r="I14" s="40"/>
      <c r="J14" s="40"/>
      <c r="K14" s="40"/>
      <c r="L14" s="40"/>
      <c r="M14" s="40"/>
      <c r="N14" s="40"/>
    </row>
    <row r="15" customFormat="false" ht="12.8" hidden="false" customHeight="false" outlineLevel="0" collapsed="false">
      <c r="A15" s="60" t="str">
        <f aca="false">_xlfn.CONCAT($A$1, ".", CALC!A15)</f>
        <v>LSD.RID.0.AL.U6R.11</v>
      </c>
      <c r="B15" s="42" t="str">
        <f aca="false">CALC!C15</f>
        <v>Transportation</v>
      </c>
      <c r="C15" s="39" t="n">
        <v>0.056</v>
      </c>
      <c r="D15" s="39" t="n">
        <v>0.06</v>
      </c>
      <c r="E15" s="39" t="n">
        <v>0.077</v>
      </c>
      <c r="F15" s="39" t="n">
        <v>0.054</v>
      </c>
      <c r="G15" s="40"/>
      <c r="H15" s="40"/>
      <c r="I15" s="40"/>
      <c r="J15" s="40"/>
      <c r="K15" s="40"/>
      <c r="L15" s="40"/>
      <c r="M15" s="40"/>
      <c r="N15" s="40"/>
    </row>
    <row r="16" customFormat="false" ht="12.8" hidden="false" customHeight="false" outlineLevel="0" collapsed="false">
      <c r="A16" s="60" t="str">
        <f aca="false">_xlfn.CONCAT($A$1, ".", CALC!A16)</f>
        <v>LSD.RID.0.AL.U6R.12</v>
      </c>
      <c r="B16" s="42" t="str">
        <f aca="false">CALC!C16</f>
        <v>Warehousing and Storage</v>
      </c>
      <c r="C16" s="39" t="n">
        <v>0.061</v>
      </c>
      <c r="D16" s="39" t="n">
        <v>0.065</v>
      </c>
      <c r="E16" s="39" t="n">
        <v>0.083</v>
      </c>
      <c r="F16" s="39" t="n">
        <v>0.058</v>
      </c>
      <c r="G16" s="40"/>
      <c r="H16" s="40"/>
      <c r="I16" s="40"/>
      <c r="J16" s="40"/>
      <c r="K16" s="40"/>
      <c r="L16" s="40"/>
      <c r="M16" s="40"/>
      <c r="N16" s="40"/>
    </row>
    <row r="17" customFormat="false" ht="12.8" hidden="false" customHeight="false" outlineLevel="0" collapsed="false">
      <c r="A17" s="60" t="str">
        <f aca="false">_xlfn.CONCAT($A$1, ".", CALC!A17)</f>
        <v>LSD.RID.0.AL.U6R.13</v>
      </c>
      <c r="B17" s="42" t="str">
        <f aca="false">CALC!C17</f>
        <v>Information</v>
      </c>
      <c r="C17" s="39" t="n">
        <v>0.035</v>
      </c>
      <c r="D17" s="39" t="n">
        <v>0.037</v>
      </c>
      <c r="E17" s="39" t="n">
        <v>0.045</v>
      </c>
      <c r="F17" s="39" t="n">
        <v>0.034</v>
      </c>
      <c r="G17" s="40"/>
      <c r="H17" s="40"/>
      <c r="I17" s="40"/>
      <c r="J17" s="40"/>
      <c r="K17" s="40"/>
      <c r="L17" s="40"/>
      <c r="M17" s="40"/>
      <c r="N17" s="40"/>
    </row>
    <row r="18" customFormat="false" ht="12.8" hidden="false" customHeight="false" outlineLevel="0" collapsed="false">
      <c r="A18" s="60" t="str">
        <f aca="false">_xlfn.CONCAT($A$1, ".", CALC!A18)</f>
        <v>LSD.RID.0.AL.U6R.14</v>
      </c>
      <c r="B18" s="42" t="str">
        <f aca="false">CALC!C18</f>
        <v>Finance and Insurance</v>
      </c>
      <c r="C18" s="39" t="n">
        <v>0.032</v>
      </c>
      <c r="D18" s="39" t="n">
        <v>0.034</v>
      </c>
      <c r="E18" s="39" t="n">
        <v>0.038</v>
      </c>
      <c r="F18" s="39" t="n">
        <v>0.032</v>
      </c>
      <c r="G18" s="40"/>
      <c r="H18" s="40"/>
      <c r="I18" s="40"/>
      <c r="J18" s="40"/>
      <c r="K18" s="40"/>
      <c r="L18" s="40"/>
      <c r="M18" s="40"/>
      <c r="N18" s="40"/>
    </row>
    <row r="19" customFormat="false" ht="23.85" hidden="false" customHeight="false" outlineLevel="0" collapsed="false">
      <c r="A19" s="60" t="str">
        <f aca="false">_xlfn.CONCAT($A$1, ".", CALC!A19)</f>
        <v>LSD.RID.0.AL.U6R.15</v>
      </c>
      <c r="B19" s="63" t="str">
        <f aca="false">CALC!C19</f>
        <v>Real Estate and
Rental and Leasing</v>
      </c>
      <c r="C19" s="39" t="n">
        <v>0.045</v>
      </c>
      <c r="D19" s="39" t="n">
        <v>0.048</v>
      </c>
      <c r="E19" s="39" t="n">
        <v>0.058</v>
      </c>
      <c r="F19" s="39" t="n">
        <v>0.044</v>
      </c>
      <c r="G19" s="40"/>
      <c r="H19" s="40"/>
      <c r="I19" s="40"/>
      <c r="J19" s="40"/>
      <c r="K19" s="40"/>
      <c r="L19" s="40"/>
      <c r="M19" s="40"/>
      <c r="N19" s="40"/>
    </row>
    <row r="20" customFormat="false" ht="23.85" hidden="false" customHeight="false" outlineLevel="0" collapsed="false">
      <c r="A20" s="60" t="str">
        <f aca="false">_xlfn.CONCAT($A$1, ".", CALC!A20)</f>
        <v>LSD.RID.0.AL.U6R.16</v>
      </c>
      <c r="B20" s="63" t="str">
        <f aca="false">CALC!C20</f>
        <v>Professional, Scientific,
and Technical Services</v>
      </c>
      <c r="C20" s="39" t="n">
        <v>0.03</v>
      </c>
      <c r="D20" s="39" t="n">
        <v>0.032</v>
      </c>
      <c r="E20" s="39" t="n">
        <v>0.037</v>
      </c>
      <c r="F20" s="39" t="n">
        <v>0.03</v>
      </c>
      <c r="G20" s="40"/>
      <c r="H20" s="40"/>
      <c r="I20" s="40"/>
      <c r="J20" s="40"/>
      <c r="K20" s="40"/>
      <c r="L20" s="40"/>
      <c r="M20" s="40"/>
      <c r="N20" s="40"/>
    </row>
    <row r="21" customFormat="false" ht="34.8" hidden="false" customHeight="false" outlineLevel="0" collapsed="false">
      <c r="A21" s="60" t="str">
        <f aca="false">_xlfn.CONCAT($A$1, ".", CALC!A21)</f>
        <v>LSD.RID.0.AL.U6R.17</v>
      </c>
      <c r="B21" s="63" t="str">
        <f aca="false">CALC!C21</f>
        <v>Administrative and Support
and Waste Management
and Remediation Services</v>
      </c>
      <c r="C21" s="39" t="n">
        <v>0.072</v>
      </c>
      <c r="D21" s="39" t="n">
        <v>0.077</v>
      </c>
      <c r="E21" s="39" t="n">
        <v>0.1</v>
      </c>
      <c r="F21" s="39" t="n">
        <v>0.068</v>
      </c>
      <c r="G21" s="40"/>
      <c r="H21" s="40"/>
      <c r="I21" s="40"/>
      <c r="J21" s="40"/>
      <c r="K21" s="40"/>
      <c r="L21" s="40"/>
      <c r="M21" s="40"/>
      <c r="N21" s="40"/>
    </row>
    <row r="22" customFormat="false" ht="12.8" hidden="false" customHeight="false" outlineLevel="0" collapsed="false">
      <c r="A22" s="60" t="str">
        <f aca="false">_xlfn.CONCAT($A$1, ".", CALC!A22)</f>
        <v>LSD.RID.0.AL.U6R.18</v>
      </c>
      <c r="B22" s="42" t="str">
        <f aca="false">CALC!C22</f>
        <v>Educational Services</v>
      </c>
      <c r="C22" s="39" t="n">
        <v>0.034</v>
      </c>
      <c r="D22" s="39" t="n">
        <v>0.036</v>
      </c>
      <c r="E22" s="39" t="n">
        <v>0.043</v>
      </c>
      <c r="F22" s="39" t="n">
        <v>0.033</v>
      </c>
      <c r="G22" s="40"/>
      <c r="H22" s="40"/>
      <c r="I22" s="40"/>
      <c r="J22" s="40"/>
      <c r="K22" s="40"/>
      <c r="L22" s="40"/>
      <c r="M22" s="40"/>
      <c r="N22" s="40"/>
    </row>
    <row r="23" customFormat="false" ht="23.85" hidden="false" customHeight="false" outlineLevel="0" collapsed="false">
      <c r="A23" s="60" t="str">
        <f aca="false">_xlfn.CONCAT($A$1, ".", CALC!A23)</f>
        <v>LSD.RID.0.AL.U6R.19</v>
      </c>
      <c r="B23" s="63" t="str">
        <f aca="false">CALC!C23</f>
        <v>Health Care and
Social Assistance</v>
      </c>
      <c r="C23" s="39" t="n">
        <v>0.032</v>
      </c>
      <c r="D23" s="39" t="n">
        <v>0.034</v>
      </c>
      <c r="E23" s="39" t="n">
        <v>0.04</v>
      </c>
      <c r="F23" s="39" t="n">
        <v>0.031</v>
      </c>
      <c r="G23" s="40"/>
      <c r="H23" s="40"/>
      <c r="I23" s="40"/>
      <c r="J23" s="40"/>
      <c r="K23" s="40"/>
      <c r="L23" s="40"/>
      <c r="M23" s="40"/>
      <c r="N23" s="40"/>
    </row>
    <row r="24" customFormat="false" ht="23.85" hidden="false" customHeight="false" outlineLevel="0" collapsed="false">
      <c r="A24" s="60" t="str">
        <f aca="false">_xlfn.CONCAT($A$1, ".", CALC!A24)</f>
        <v>LSD.RID.0.AL.U6R.20</v>
      </c>
      <c r="B24" s="63" t="str">
        <f aca="false">CALC!C24</f>
        <v>Arts, Entertainment,
and Recreation</v>
      </c>
      <c r="C24" s="39" t="n">
        <v>0.077</v>
      </c>
      <c r="D24" s="39" t="n">
        <v>0.082</v>
      </c>
      <c r="E24" s="39" t="n">
        <v>0.106</v>
      </c>
      <c r="F24" s="39" t="n">
        <v>0.073</v>
      </c>
      <c r="G24" s="40"/>
      <c r="H24" s="40"/>
      <c r="I24" s="40"/>
      <c r="J24" s="40"/>
      <c r="K24" s="40"/>
      <c r="L24" s="40"/>
      <c r="M24" s="40"/>
      <c r="N24" s="40"/>
    </row>
    <row r="25" customFormat="false" ht="23.85" hidden="false" customHeight="false" outlineLevel="0" collapsed="false">
      <c r="A25" s="60" t="str">
        <f aca="false">_xlfn.CONCAT($A$1, ".", CALC!A25)</f>
        <v>LSD.RID.0.AL.U6R.21</v>
      </c>
      <c r="B25" s="63" t="str">
        <f aca="false">CALC!C25</f>
        <v>Accommodation
and Food Services</v>
      </c>
      <c r="C25" s="39" t="n">
        <v>0.095</v>
      </c>
      <c r="D25" s="39" t="n">
        <v>0.102</v>
      </c>
      <c r="E25" s="39" t="n">
        <v>0.135</v>
      </c>
      <c r="F25" s="39" t="n">
        <v>0.09</v>
      </c>
      <c r="G25" s="40"/>
      <c r="H25" s="40"/>
      <c r="I25" s="40"/>
      <c r="J25" s="40"/>
      <c r="K25" s="40"/>
      <c r="L25" s="40"/>
      <c r="M25" s="40"/>
      <c r="N25" s="40"/>
    </row>
    <row r="26" customFormat="false" ht="23.85" hidden="false" customHeight="false" outlineLevel="0" collapsed="false">
      <c r="A26" s="60" t="str">
        <f aca="false">_xlfn.CONCAT($A$1, ".", CALC!A26)</f>
        <v>LSD.RID.0.AL.U6R.22</v>
      </c>
      <c r="B26" s="63" t="str">
        <f aca="false">CALC!C26</f>
        <v>Other Services (except
Public Administration)</v>
      </c>
      <c r="C26" s="39" t="n">
        <v>0.058</v>
      </c>
      <c r="D26" s="39" t="n">
        <v>0.062</v>
      </c>
      <c r="E26" s="39" t="n">
        <v>0.08</v>
      </c>
      <c r="F26" s="39" t="n">
        <v>0.055</v>
      </c>
      <c r="G26" s="40"/>
      <c r="H26" s="40"/>
      <c r="I26" s="40"/>
      <c r="J26" s="40"/>
      <c r="K26" s="40"/>
      <c r="L26" s="40"/>
      <c r="M26" s="40"/>
      <c r="N26" s="40"/>
    </row>
    <row r="27" customFormat="false" ht="12.8" hidden="false" customHeight="false" outlineLevel="0" collapsed="false">
      <c r="A27" s="60" t="str">
        <f aca="false">_xlfn.CONCAT($A$1, ".", CALC!A27)</f>
        <v>LSD.RID.0.AL.U6R.23</v>
      </c>
      <c r="B27" s="42" t="str">
        <f aca="false">CALC!C27</f>
        <v>Public Administration</v>
      </c>
      <c r="C27" s="39" t="n">
        <v>0.022</v>
      </c>
      <c r="D27" s="39" t="n">
        <v>0.023</v>
      </c>
      <c r="E27" s="39" t="n">
        <v>0.028</v>
      </c>
      <c r="F27" s="39" t="n">
        <v>0.022</v>
      </c>
      <c r="G27" s="40"/>
      <c r="H27" s="40"/>
      <c r="I27" s="40"/>
      <c r="J27" s="40"/>
      <c r="K27" s="40"/>
      <c r="L27" s="40"/>
      <c r="M27" s="40"/>
      <c r="N27" s="40"/>
    </row>
    <row r="129" customFormat="false" ht="12.8" hidden="false" customHeight="false" outlineLevel="0" collapsed="false">
      <c r="A129" s="60" t="str">
        <f aca="false">_xlfn.CONCAT($A$1, ".", "FORM")</f>
        <v>LSD.RID.0.AL.U6R.FORM</v>
      </c>
      <c r="B129" s="60" t="str">
        <f aca="false">_xlfn.CONCAT($A$1, ".", "FORM")</f>
        <v>LSD.RID.0.AL.U6R.FORM</v>
      </c>
      <c r="C129" s="61" t="str">
        <f aca="false">_xlfn.CONCAT($B$1, " ", "Formulae")</f>
        <v>Alabama Underemployment Rate (U6R) Formulae</v>
      </c>
    </row>
    <row r="130" customFormat="false" ht="12.8" hidden="false" customHeight="false" outlineLevel="0" collapsed="false">
      <c r="A130" s="60"/>
      <c r="B130" s="49" t="s">
        <v>2051</v>
      </c>
      <c r="C130" s="49" t="s">
        <v>175</v>
      </c>
      <c r="D130" s="49" t="s">
        <v>176</v>
      </c>
      <c r="E130" s="49" t="s">
        <v>177</v>
      </c>
      <c r="F130" s="49" t="s">
        <v>178</v>
      </c>
      <c r="G130" s="49" t="s">
        <v>179</v>
      </c>
    </row>
    <row r="131" customFormat="false" ht="12.8" hidden="false" customHeight="false" outlineLevel="0" collapsed="false">
      <c r="A131" s="60"/>
      <c r="B131" s="39" t="s">
        <v>2675</v>
      </c>
      <c r="C131" s="39" t="s">
        <v>2676</v>
      </c>
      <c r="D131" s="39" t="s">
        <v>2677</v>
      </c>
      <c r="E131" s="39" t="s">
        <v>2678</v>
      </c>
      <c r="F131" s="39" t="s">
        <v>2679</v>
      </c>
      <c r="G131" s="39" t="s">
        <v>2680</v>
      </c>
    </row>
    <row r="132" customFormat="false" ht="12.8" hidden="false" customHeight="false" outlineLevel="0" collapsed="false">
      <c r="A132" s="60"/>
      <c r="B132" s="39" t="s">
        <v>2681</v>
      </c>
      <c r="C132" s="39" t="s">
        <v>2682</v>
      </c>
      <c r="D132" s="39" t="s">
        <v>2683</v>
      </c>
      <c r="E132" s="39" t="s">
        <v>2684</v>
      </c>
      <c r="F132" s="39" t="s">
        <v>2685</v>
      </c>
      <c r="G132" s="39" t="s">
        <v>2686</v>
      </c>
    </row>
    <row r="133" customFormat="false" ht="12.8" hidden="false" customHeight="false" outlineLevel="0" collapsed="false">
      <c r="A133" s="60"/>
      <c r="B133" s="39" t="s">
        <v>2687</v>
      </c>
      <c r="C133" s="39" t="s">
        <v>2688</v>
      </c>
      <c r="D133" s="39" t="s">
        <v>2689</v>
      </c>
      <c r="E133" s="39" t="s">
        <v>2690</v>
      </c>
      <c r="F133" s="39" t="s">
        <v>2691</v>
      </c>
      <c r="G133" s="39" t="s">
        <v>2692</v>
      </c>
    </row>
    <row r="134" customFormat="false" ht="12.8" hidden="false" customHeight="false" outlineLevel="0" collapsed="false">
      <c r="A134" s="60"/>
      <c r="B134" s="39" t="s">
        <v>2693</v>
      </c>
      <c r="C134" s="39" t="s">
        <v>2694</v>
      </c>
      <c r="D134" s="39" t="s">
        <v>2695</v>
      </c>
      <c r="E134" s="39" t="s">
        <v>2696</v>
      </c>
      <c r="F134" s="39" t="s">
        <v>2697</v>
      </c>
      <c r="G134" s="39" t="s">
        <v>2698</v>
      </c>
    </row>
    <row r="135" customFormat="false" ht="12.8" hidden="false" customHeight="false" outlineLevel="0" collapsed="false">
      <c r="A135" s="60"/>
      <c r="B135" s="60"/>
      <c r="C135" s="61"/>
    </row>
    <row r="136" customFormat="false" ht="12.8" hidden="false" customHeight="false" outlineLevel="0" collapsed="false">
      <c r="A136" s="60"/>
      <c r="B136" s="60"/>
      <c r="C136" s="61"/>
    </row>
    <row r="137" customFormat="false" ht="12.8" hidden="false" customHeight="false" outlineLevel="0" collapsed="false">
      <c r="A137" s="60"/>
      <c r="B137" s="60"/>
      <c r="C137" s="61"/>
    </row>
    <row r="142" customFormat="false" ht="12.8" hidden="false" customHeight="false" outlineLevel="0" collapsed="false">
      <c r="A142" s="60" t="str">
        <f aca="false">_xlfn.CONCAT($A$1, ".", "PARAM")</f>
        <v>LSD.RID.0.AL.U6R.PARAM</v>
      </c>
      <c r="B142" s="60" t="str">
        <f aca="false">_xlfn.CONCAT($A$1, ".", "PARAM")</f>
        <v>LSD.RID.0.AL.U6R.PARAM</v>
      </c>
      <c r="C142" s="61" t="str">
        <f aca="false">_xlfn.CONCAT($B$1, " ", "Parameters")</f>
        <v>Alabama Underemployment Rate (U6R) Parameters</v>
      </c>
    </row>
    <row r="143" customFormat="false" ht="12.8" hidden="false" customHeight="false" outlineLevel="0" collapsed="false">
      <c r="A143" s="60"/>
      <c r="B143" s="49" t="s">
        <v>2082</v>
      </c>
      <c r="C143" s="49" t="s">
        <v>176</v>
      </c>
      <c r="D143" s="49" t="s">
        <v>293</v>
      </c>
      <c r="E143" s="49" t="s">
        <v>178</v>
      </c>
      <c r="F143" s="49" t="s">
        <v>294</v>
      </c>
      <c r="G143" s="49" t="s">
        <v>295</v>
      </c>
      <c r="H143" s="49" t="s">
        <v>296</v>
      </c>
      <c r="I143" s="49" t="s">
        <v>179</v>
      </c>
    </row>
    <row r="144" customFormat="false" ht="12.8" hidden="false" customHeight="false" outlineLevel="0" collapsed="false">
      <c r="A144" s="60"/>
      <c r="B144" s="39" t="s">
        <v>2699</v>
      </c>
      <c r="C144" s="39" t="s">
        <v>2531</v>
      </c>
      <c r="D144" s="39" t="s">
        <v>368</v>
      </c>
      <c r="E144" s="39" t="s">
        <v>2700</v>
      </c>
      <c r="F144" s="39" t="s">
        <v>368</v>
      </c>
      <c r="G144" s="39" t="s">
        <v>2701</v>
      </c>
      <c r="H144" s="51" t="s">
        <v>2534</v>
      </c>
      <c r="I144" s="39" t="s">
        <v>2702</v>
      </c>
    </row>
    <row r="145" customFormat="false" ht="12.8" hidden="false" customHeight="false" outlineLevel="0" collapsed="false">
      <c r="A145" s="60"/>
      <c r="B145" s="39" t="s">
        <v>2703</v>
      </c>
      <c r="C145" s="39" t="s">
        <v>1840</v>
      </c>
      <c r="D145" s="39" t="s">
        <v>368</v>
      </c>
      <c r="E145" s="39" t="s">
        <v>2704</v>
      </c>
      <c r="F145" s="39" t="s">
        <v>368</v>
      </c>
      <c r="G145" s="39" t="s">
        <v>2701</v>
      </c>
      <c r="H145" s="51" t="s">
        <v>2534</v>
      </c>
      <c r="I145" s="39" t="s">
        <v>911</v>
      </c>
    </row>
    <row r="146" customFormat="false" ht="12.8" hidden="false" customHeight="false" outlineLevel="0" collapsed="false">
      <c r="A146" s="60"/>
      <c r="B146" s="39" t="s">
        <v>2705</v>
      </c>
      <c r="C146" s="39" t="s">
        <v>1845</v>
      </c>
      <c r="D146" s="39" t="s">
        <v>300</v>
      </c>
      <c r="E146" s="39" t="s">
        <v>2706</v>
      </c>
      <c r="F146" s="39" t="s">
        <v>300</v>
      </c>
      <c r="G146" s="39" t="s">
        <v>2701</v>
      </c>
      <c r="H146" s="51" t="s">
        <v>2534</v>
      </c>
      <c r="I146" s="39" t="s">
        <v>911</v>
      </c>
    </row>
    <row r="147" customFormat="false" ht="12.8" hidden="false" customHeight="false" outlineLevel="0" collapsed="false">
      <c r="A147" s="60"/>
      <c r="B147" s="39" t="s">
        <v>2707</v>
      </c>
      <c r="C147" s="39" t="s">
        <v>1848</v>
      </c>
      <c r="D147" s="39" t="s">
        <v>2708</v>
      </c>
      <c r="E147" s="39" t="s">
        <v>2709</v>
      </c>
      <c r="F147" s="39" t="s">
        <v>368</v>
      </c>
      <c r="G147" s="39" t="s">
        <v>2701</v>
      </c>
      <c r="H147" s="51" t="s">
        <v>2534</v>
      </c>
      <c r="I147" s="39" t="s">
        <v>2710</v>
      </c>
    </row>
    <row r="148" customFormat="false" ht="12.8" hidden="false" customHeight="false" outlineLevel="0" collapsed="false">
      <c r="A148" s="60"/>
      <c r="B148" s="39" t="s">
        <v>2711</v>
      </c>
      <c r="C148" s="39" t="s">
        <v>1851</v>
      </c>
      <c r="D148" s="39" t="s">
        <v>368</v>
      </c>
      <c r="E148" s="39" t="s">
        <v>2712</v>
      </c>
      <c r="F148" s="39" t="s">
        <v>368</v>
      </c>
      <c r="G148" s="39" t="s">
        <v>2701</v>
      </c>
      <c r="H148" s="51" t="s">
        <v>2534</v>
      </c>
      <c r="I148" s="39" t="s">
        <v>911</v>
      </c>
    </row>
    <row r="149" customFormat="false" ht="12.8" hidden="false" customHeight="false" outlineLevel="0" collapsed="false">
      <c r="A149" s="60"/>
      <c r="B149" s="39" t="s">
        <v>2713</v>
      </c>
      <c r="C149" s="39" t="s">
        <v>1854</v>
      </c>
      <c r="D149" s="39" t="s">
        <v>368</v>
      </c>
      <c r="E149" s="39" t="s">
        <v>2714</v>
      </c>
      <c r="F149" s="39" t="s">
        <v>368</v>
      </c>
      <c r="G149" s="39" t="s">
        <v>2701</v>
      </c>
      <c r="H149" s="51" t="s">
        <v>2534</v>
      </c>
      <c r="I149" s="39" t="s">
        <v>911</v>
      </c>
    </row>
    <row r="150" customFormat="false" ht="12.8" hidden="false" customHeight="false" outlineLevel="0" collapsed="false">
      <c r="A150" s="60"/>
      <c r="B150" s="39" t="s">
        <v>2715</v>
      </c>
      <c r="C150" s="39" t="s">
        <v>1857</v>
      </c>
      <c r="D150" s="39" t="s">
        <v>306</v>
      </c>
      <c r="E150" s="39" t="s">
        <v>2716</v>
      </c>
      <c r="F150" s="39" t="s">
        <v>368</v>
      </c>
      <c r="G150" s="39" t="s">
        <v>2701</v>
      </c>
      <c r="H150" s="51" t="s">
        <v>2534</v>
      </c>
      <c r="I150" s="39" t="s">
        <v>911</v>
      </c>
    </row>
    <row r="151" customFormat="false" ht="12.8" hidden="false" customHeight="false" outlineLevel="0" collapsed="false">
      <c r="A151" s="60"/>
      <c r="B151" s="39" t="s">
        <v>2717</v>
      </c>
      <c r="C151" s="39" t="s">
        <v>1860</v>
      </c>
      <c r="D151" s="39" t="s">
        <v>300</v>
      </c>
      <c r="E151" s="39" t="s">
        <v>2718</v>
      </c>
      <c r="F151" s="39" t="s">
        <v>300</v>
      </c>
      <c r="G151" s="39" t="s">
        <v>2701</v>
      </c>
      <c r="H151" s="51" t="s">
        <v>2534</v>
      </c>
      <c r="I151" s="39" t="s">
        <v>911</v>
      </c>
    </row>
    <row r="152" customFormat="false" ht="12.8" hidden="false" customHeight="false" outlineLevel="0" collapsed="false">
      <c r="A152" s="60"/>
      <c r="B152" s="39" t="s">
        <v>2719</v>
      </c>
      <c r="C152" s="39" t="s">
        <v>1863</v>
      </c>
      <c r="D152" s="39" t="s">
        <v>368</v>
      </c>
      <c r="E152" s="39" t="s">
        <v>2720</v>
      </c>
      <c r="F152" s="39" t="s">
        <v>368</v>
      </c>
      <c r="G152" s="39" t="s">
        <v>2701</v>
      </c>
      <c r="H152" s="51" t="s">
        <v>2534</v>
      </c>
      <c r="I152" s="39" t="s">
        <v>911</v>
      </c>
    </row>
    <row r="153" customFormat="false" ht="12.8" hidden="false" customHeight="false" outlineLevel="0" collapsed="false">
      <c r="A153" s="60"/>
      <c r="B153" s="39" t="s">
        <v>2721</v>
      </c>
      <c r="C153" s="39" t="s">
        <v>1866</v>
      </c>
      <c r="D153" s="39" t="s">
        <v>368</v>
      </c>
      <c r="E153" s="39" t="s">
        <v>2722</v>
      </c>
      <c r="F153" s="39" t="s">
        <v>368</v>
      </c>
      <c r="G153" s="39" t="s">
        <v>2701</v>
      </c>
      <c r="H153" s="51" t="s">
        <v>2534</v>
      </c>
      <c r="I153" s="39" t="s">
        <v>911</v>
      </c>
    </row>
    <row r="154" customFormat="false" ht="12.8" hidden="false" customHeight="false" outlineLevel="0" collapsed="false">
      <c r="A154" s="60"/>
      <c r="B154" s="39" t="s">
        <v>2723</v>
      </c>
      <c r="C154" s="39" t="s">
        <v>1869</v>
      </c>
      <c r="D154" s="39" t="s">
        <v>368</v>
      </c>
      <c r="E154" s="39" t="s">
        <v>2724</v>
      </c>
      <c r="F154" s="39" t="s">
        <v>368</v>
      </c>
      <c r="G154" s="39" t="s">
        <v>2701</v>
      </c>
      <c r="H154" s="51" t="s">
        <v>2534</v>
      </c>
      <c r="I154" s="39" t="s">
        <v>911</v>
      </c>
    </row>
    <row r="155" customFormat="false" ht="12.8" hidden="false" customHeight="false" outlineLevel="0" collapsed="false">
      <c r="A155" s="60"/>
      <c r="B155" s="39" t="s">
        <v>2725</v>
      </c>
      <c r="C155" s="39" t="s">
        <v>1872</v>
      </c>
      <c r="D155" s="39" t="s">
        <v>2708</v>
      </c>
      <c r="E155" s="39" t="s">
        <v>2726</v>
      </c>
      <c r="F155" s="39" t="s">
        <v>368</v>
      </c>
      <c r="G155" s="39" t="s">
        <v>2701</v>
      </c>
      <c r="H155" s="51" t="s">
        <v>2534</v>
      </c>
      <c r="I155" s="39" t="s">
        <v>2727</v>
      </c>
    </row>
    <row r="156" customFormat="false" ht="12.8" hidden="false" customHeight="false" outlineLevel="0" collapsed="false">
      <c r="A156" s="60"/>
      <c r="B156" s="39" t="s">
        <v>2728</v>
      </c>
      <c r="C156" s="39" t="s">
        <v>1875</v>
      </c>
      <c r="D156" s="39" t="s">
        <v>300</v>
      </c>
      <c r="E156" s="39" t="s">
        <v>2729</v>
      </c>
      <c r="F156" s="39" t="s">
        <v>368</v>
      </c>
      <c r="G156" s="39" t="s">
        <v>2701</v>
      </c>
      <c r="H156" s="51" t="s">
        <v>2534</v>
      </c>
      <c r="I156" s="39" t="s">
        <v>911</v>
      </c>
    </row>
    <row r="157" customFormat="false" ht="12.8" hidden="false" customHeight="false" outlineLevel="0" collapsed="false">
      <c r="A157" s="60"/>
      <c r="B157" s="39" t="s">
        <v>2730</v>
      </c>
      <c r="C157" s="39" t="s">
        <v>1878</v>
      </c>
      <c r="D157" s="39" t="s">
        <v>300</v>
      </c>
      <c r="E157" s="39" t="s">
        <v>2731</v>
      </c>
      <c r="F157" s="39" t="s">
        <v>300</v>
      </c>
      <c r="G157" s="39" t="s">
        <v>2701</v>
      </c>
      <c r="H157" s="51" t="s">
        <v>2534</v>
      </c>
      <c r="I157" s="39" t="s">
        <v>911</v>
      </c>
    </row>
    <row r="158" customFormat="false" ht="12.8" hidden="false" customHeight="false" outlineLevel="0" collapsed="false">
      <c r="A158" s="60"/>
      <c r="B158" s="39" t="s">
        <v>2732</v>
      </c>
      <c r="C158" s="39" t="s">
        <v>1881</v>
      </c>
      <c r="D158" s="39" t="s">
        <v>368</v>
      </c>
      <c r="E158" s="39" t="s">
        <v>2733</v>
      </c>
      <c r="F158" s="39" t="s">
        <v>368</v>
      </c>
      <c r="G158" s="39" t="s">
        <v>2701</v>
      </c>
      <c r="H158" s="51" t="s">
        <v>2534</v>
      </c>
      <c r="I158" s="39" t="s">
        <v>911</v>
      </c>
    </row>
    <row r="159" customFormat="false" ht="12.8" hidden="false" customHeight="false" outlineLevel="0" collapsed="false">
      <c r="A159" s="60"/>
      <c r="B159" s="39" t="s">
        <v>2734</v>
      </c>
      <c r="C159" s="39" t="s">
        <v>1884</v>
      </c>
      <c r="D159" s="39" t="s">
        <v>300</v>
      </c>
      <c r="E159" s="39" t="s">
        <v>2735</v>
      </c>
      <c r="F159" s="39" t="s">
        <v>300</v>
      </c>
      <c r="G159" s="39" t="s">
        <v>2701</v>
      </c>
      <c r="H159" s="51" t="s">
        <v>2534</v>
      </c>
      <c r="I159" s="39" t="s">
        <v>911</v>
      </c>
    </row>
    <row r="160" customFormat="false" ht="12.8" hidden="false" customHeight="false" outlineLevel="0" collapsed="false">
      <c r="A160" s="60"/>
      <c r="B160" s="39" t="s">
        <v>2736</v>
      </c>
      <c r="C160" s="39" t="s">
        <v>1887</v>
      </c>
      <c r="D160" s="39" t="s">
        <v>368</v>
      </c>
      <c r="E160" s="39" t="s">
        <v>2737</v>
      </c>
      <c r="F160" s="39" t="s">
        <v>368</v>
      </c>
      <c r="G160" s="39" t="s">
        <v>2701</v>
      </c>
      <c r="H160" s="51" t="s">
        <v>2534</v>
      </c>
      <c r="I160" s="39" t="s">
        <v>911</v>
      </c>
    </row>
    <row r="161" customFormat="false" ht="12.8" hidden="false" customHeight="false" outlineLevel="0" collapsed="false">
      <c r="A161" s="60"/>
      <c r="B161" s="39" t="s">
        <v>2738</v>
      </c>
      <c r="C161" s="39" t="s">
        <v>1890</v>
      </c>
      <c r="D161" s="39" t="s">
        <v>300</v>
      </c>
      <c r="E161" s="39" t="s">
        <v>2739</v>
      </c>
      <c r="F161" s="39" t="s">
        <v>300</v>
      </c>
      <c r="G161" s="39" t="s">
        <v>2701</v>
      </c>
      <c r="H161" s="51" t="s">
        <v>2534</v>
      </c>
      <c r="I161" s="39" t="s">
        <v>911</v>
      </c>
    </row>
    <row r="162" customFormat="false" ht="12.8" hidden="false" customHeight="false" outlineLevel="0" collapsed="false">
      <c r="A162" s="60"/>
      <c r="B162" s="39" t="s">
        <v>2740</v>
      </c>
      <c r="C162" s="39" t="s">
        <v>1893</v>
      </c>
      <c r="D162" s="39" t="s">
        <v>300</v>
      </c>
      <c r="E162" s="39" t="s">
        <v>2741</v>
      </c>
      <c r="F162" s="39" t="s">
        <v>300</v>
      </c>
      <c r="G162" s="39" t="s">
        <v>2701</v>
      </c>
      <c r="H162" s="51" t="s">
        <v>2534</v>
      </c>
      <c r="I162" s="39" t="s">
        <v>911</v>
      </c>
    </row>
    <row r="163" customFormat="false" ht="12.8" hidden="false" customHeight="false" outlineLevel="0" collapsed="false">
      <c r="A163" s="60"/>
      <c r="B163" s="39" t="s">
        <v>2742</v>
      </c>
      <c r="C163" s="39" t="s">
        <v>1896</v>
      </c>
      <c r="D163" s="39" t="s">
        <v>368</v>
      </c>
      <c r="E163" s="39" t="s">
        <v>2743</v>
      </c>
      <c r="F163" s="39" t="s">
        <v>368</v>
      </c>
      <c r="G163" s="39" t="s">
        <v>2701</v>
      </c>
      <c r="H163" s="51" t="s">
        <v>2534</v>
      </c>
      <c r="I163" s="39" t="s">
        <v>911</v>
      </c>
    </row>
    <row r="164" customFormat="false" ht="12.8" hidden="false" customHeight="false" outlineLevel="0" collapsed="false">
      <c r="A164" s="60"/>
      <c r="B164" s="39" t="s">
        <v>2744</v>
      </c>
      <c r="C164" s="39" t="s">
        <v>1899</v>
      </c>
      <c r="D164" s="39" t="s">
        <v>2708</v>
      </c>
      <c r="E164" s="39" t="s">
        <v>2745</v>
      </c>
      <c r="F164" s="39" t="s">
        <v>368</v>
      </c>
      <c r="G164" s="39" t="s">
        <v>2701</v>
      </c>
      <c r="H164" s="51" t="s">
        <v>2534</v>
      </c>
      <c r="I164" s="39" t="s">
        <v>2746</v>
      </c>
    </row>
    <row r="165" customFormat="false" ht="12.8" hidden="false" customHeight="false" outlineLevel="0" collapsed="false">
      <c r="A165" s="60"/>
      <c r="B165" s="39" t="s">
        <v>2747</v>
      </c>
      <c r="C165" s="39" t="s">
        <v>1902</v>
      </c>
      <c r="D165" s="39" t="s">
        <v>368</v>
      </c>
      <c r="E165" s="39" t="s">
        <v>2748</v>
      </c>
      <c r="F165" s="39" t="s">
        <v>368</v>
      </c>
      <c r="G165" s="39" t="s">
        <v>2701</v>
      </c>
      <c r="H165" s="51" t="s">
        <v>2534</v>
      </c>
      <c r="I165" s="39" t="s">
        <v>911</v>
      </c>
    </row>
    <row r="166" customFormat="false" ht="12.8" hidden="false" customHeight="false" outlineLevel="0" collapsed="false">
      <c r="A166" s="60"/>
      <c r="B166" s="39" t="s">
        <v>2749</v>
      </c>
      <c r="C166" s="39" t="s">
        <v>1905</v>
      </c>
      <c r="D166" s="39" t="s">
        <v>300</v>
      </c>
      <c r="E166" s="39" t="s">
        <v>2750</v>
      </c>
      <c r="F166" s="39" t="s">
        <v>300</v>
      </c>
      <c r="G166" s="39" t="s">
        <v>2701</v>
      </c>
      <c r="H166" s="51" t="s">
        <v>2534</v>
      </c>
      <c r="I166" s="39" t="s">
        <v>911</v>
      </c>
    </row>
    <row r="167" customFormat="false" ht="12.8" hidden="false" customHeight="false" outlineLevel="0" collapsed="false">
      <c r="A167" s="60"/>
      <c r="B167" s="39" t="s">
        <v>2751</v>
      </c>
      <c r="C167" s="39" t="s">
        <v>1913</v>
      </c>
      <c r="D167" s="39" t="n">
        <v>0.012</v>
      </c>
      <c r="E167" s="39" t="s">
        <v>2752</v>
      </c>
      <c r="F167" s="39" t="s">
        <v>368</v>
      </c>
      <c r="G167" s="39" t="s">
        <v>2602</v>
      </c>
      <c r="H167" s="51" t="s">
        <v>2534</v>
      </c>
      <c r="I167" s="39" t="s">
        <v>2753</v>
      </c>
    </row>
    <row r="168" customFormat="false" ht="12.8" hidden="false" customHeight="false" outlineLevel="0" collapsed="false">
      <c r="A168" s="60"/>
      <c r="B168" s="39" t="s">
        <v>2754</v>
      </c>
      <c r="C168" s="39" t="s">
        <v>2605</v>
      </c>
      <c r="D168" s="39" t="n">
        <v>0.018</v>
      </c>
      <c r="E168" s="39" t="s">
        <v>2755</v>
      </c>
      <c r="F168" s="39" t="s">
        <v>368</v>
      </c>
      <c r="G168" s="39" t="s">
        <v>353</v>
      </c>
      <c r="H168" s="51" t="s">
        <v>2534</v>
      </c>
      <c r="I168" s="39" t="s">
        <v>2756</v>
      </c>
    </row>
    <row r="169" customFormat="false" ht="12.8" hidden="false" customHeight="false" outlineLevel="0" collapsed="false">
      <c r="A169" s="60"/>
      <c r="B169" s="39" t="s">
        <v>2757</v>
      </c>
      <c r="C169" s="39" t="s">
        <v>2758</v>
      </c>
      <c r="D169" s="39" t="n">
        <v>1.05</v>
      </c>
      <c r="E169" s="39" t="s">
        <v>2759</v>
      </c>
      <c r="F169" s="39" t="s">
        <v>368</v>
      </c>
      <c r="G169" s="39" t="s">
        <v>1603</v>
      </c>
      <c r="H169" s="51" t="s">
        <v>2534</v>
      </c>
      <c r="I169" s="39" t="s">
        <v>2760</v>
      </c>
    </row>
    <row r="170" customFormat="false" ht="12.8" hidden="false" customHeight="false" outlineLevel="0" collapsed="false">
      <c r="A170" s="60"/>
      <c r="B170" s="39" t="s">
        <v>2761</v>
      </c>
      <c r="C170" s="39" t="s">
        <v>2762</v>
      </c>
      <c r="D170" s="39" t="n">
        <v>1.1</v>
      </c>
      <c r="E170" s="39" t="s">
        <v>2763</v>
      </c>
      <c r="F170" s="39" t="s">
        <v>306</v>
      </c>
      <c r="G170" s="39" t="s">
        <v>2764</v>
      </c>
      <c r="H170" s="51" t="s">
        <v>2534</v>
      </c>
      <c r="I170" s="39" t="s">
        <v>2765</v>
      </c>
    </row>
    <row r="171" customFormat="false" ht="12.8" hidden="false" customHeight="false" outlineLevel="0" collapsed="false">
      <c r="A171" s="60"/>
      <c r="B171" s="39" t="s">
        <v>2766</v>
      </c>
      <c r="C171" s="39" t="s">
        <v>2767</v>
      </c>
      <c r="D171" s="39" t="s">
        <v>2768</v>
      </c>
      <c r="E171" s="39" t="s">
        <v>2769</v>
      </c>
      <c r="F171" s="39" t="s">
        <v>300</v>
      </c>
      <c r="G171" s="39" t="s">
        <v>1989</v>
      </c>
      <c r="H171" s="51" t="s">
        <v>2534</v>
      </c>
      <c r="I171" s="39" t="s">
        <v>911</v>
      </c>
    </row>
    <row r="172" customFormat="false" ht="12.8" hidden="false" customHeight="false" outlineLevel="0" collapsed="false">
      <c r="A172" s="60"/>
      <c r="B172" s="39" t="s">
        <v>2770</v>
      </c>
      <c r="C172" s="39" t="s">
        <v>1991</v>
      </c>
      <c r="D172" s="39" t="n">
        <v>0.045</v>
      </c>
      <c r="E172" s="39" t="s">
        <v>2771</v>
      </c>
      <c r="F172" s="39" t="s">
        <v>306</v>
      </c>
      <c r="G172" s="39" t="s">
        <v>2772</v>
      </c>
      <c r="H172" s="51" t="s">
        <v>2534</v>
      </c>
      <c r="I172" s="39" t="s">
        <v>911</v>
      </c>
    </row>
    <row r="173" customFormat="false" ht="12.8" hidden="false" customHeight="false" outlineLevel="0" collapsed="false">
      <c r="A173" s="60"/>
      <c r="B173" s="61"/>
    </row>
    <row r="174" customFormat="false" ht="12.8" hidden="false" customHeight="false" outlineLevel="0" collapsed="false">
      <c r="A174" s="60"/>
      <c r="B174" s="61"/>
    </row>
    <row r="175" customFormat="false" ht="12.8" hidden="false" customHeight="false" outlineLevel="0" collapsed="false">
      <c r="A175" s="60" t="str">
        <f aca="false">_xlfn.CONCAT($A$1, ".", "VALID")</f>
        <v>LSD.RID.0.AL.U6R.VALID</v>
      </c>
      <c r="B175" s="61" t="str">
        <f aca="false">_xlfn.CONCAT($B$1, " ", "Validation")</f>
        <v>Alabama Underemployment Rate (U6R) Validation</v>
      </c>
    </row>
    <row r="176" customFormat="false" ht="12.8" hidden="false" customHeight="false" outlineLevel="0" collapsed="false">
      <c r="A176" s="49" t="s">
        <v>113</v>
      </c>
      <c r="B176" s="49" t="s">
        <v>2000</v>
      </c>
      <c r="C176" s="49" t="s">
        <v>1758</v>
      </c>
      <c r="D176" s="49" t="s">
        <v>2001</v>
      </c>
      <c r="E176" s="49" t="s">
        <v>2002</v>
      </c>
      <c r="F176" s="49" t="s">
        <v>294</v>
      </c>
      <c r="G176" s="49" t="s">
        <v>2003</v>
      </c>
    </row>
    <row r="177" customFormat="false" ht="12.8" hidden="false" customHeight="false" outlineLevel="0" collapsed="false">
      <c r="A177" s="39" t="s">
        <v>2773</v>
      </c>
      <c r="B177" s="39" t="s">
        <v>2774</v>
      </c>
      <c r="C177" s="39" t="n">
        <v>0.045</v>
      </c>
      <c r="D177" s="39" t="n">
        <v>0.045</v>
      </c>
      <c r="E177" s="39" t="s">
        <v>2775</v>
      </c>
      <c r="F177" s="39" t="s">
        <v>306</v>
      </c>
      <c r="G177" s="39" t="s">
        <v>2776</v>
      </c>
    </row>
    <row r="178" customFormat="false" ht="12.8" hidden="false" customHeight="false" outlineLevel="0" collapsed="false">
      <c r="A178" s="39" t="s">
        <v>2777</v>
      </c>
      <c r="B178" s="39" t="s">
        <v>2778</v>
      </c>
      <c r="C178" s="39" t="s">
        <v>2779</v>
      </c>
      <c r="D178" s="39" t="s">
        <v>2780</v>
      </c>
      <c r="E178" s="39" t="s">
        <v>2781</v>
      </c>
      <c r="F178" s="39" t="s">
        <v>300</v>
      </c>
      <c r="G178" s="39" t="s">
        <v>2782</v>
      </c>
    </row>
    <row r="179" customFormat="false" ht="12.8" hidden="false" customHeight="false" outlineLevel="0" collapsed="false">
      <c r="A179" s="39" t="s">
        <v>2783</v>
      </c>
      <c r="B179" s="39" t="s">
        <v>2637</v>
      </c>
      <c r="C179" s="39" t="s">
        <v>2784</v>
      </c>
      <c r="D179" s="39" t="s">
        <v>2785</v>
      </c>
      <c r="E179" s="39" t="s">
        <v>2786</v>
      </c>
      <c r="F179" s="39" t="s">
        <v>368</v>
      </c>
      <c r="G179" s="39" t="s">
        <v>2787</v>
      </c>
    </row>
    <row r="180" customFormat="false" ht="12.8" hidden="false" customHeight="false" outlineLevel="0" collapsed="false">
      <c r="A180" s="39" t="s">
        <v>2788</v>
      </c>
      <c r="B180" s="39" t="s">
        <v>2643</v>
      </c>
      <c r="C180" s="39" t="s">
        <v>2644</v>
      </c>
      <c r="D180" s="39" t="s">
        <v>2789</v>
      </c>
      <c r="E180" s="39" t="s">
        <v>2790</v>
      </c>
      <c r="F180" s="39" t="s">
        <v>300</v>
      </c>
      <c r="G180" s="39" t="s">
        <v>2791</v>
      </c>
    </row>
    <row r="181" customFormat="false" ht="12.8" hidden="false" customHeight="false" outlineLevel="0" collapsed="false">
      <c r="A181" s="39" t="s">
        <v>2792</v>
      </c>
      <c r="B181" s="39" t="s">
        <v>2649</v>
      </c>
      <c r="C181" s="39" t="s">
        <v>2793</v>
      </c>
      <c r="D181" s="39" t="s">
        <v>2794</v>
      </c>
      <c r="E181" s="39" t="s">
        <v>2795</v>
      </c>
      <c r="F181" s="39" t="s">
        <v>306</v>
      </c>
      <c r="G181" s="39" t="s">
        <v>2796</v>
      </c>
    </row>
    <row r="182" customFormat="false" ht="12.8" hidden="false" customHeight="false" outlineLevel="0" collapsed="false">
      <c r="A182" s="39" t="s">
        <v>2797</v>
      </c>
      <c r="B182" s="39" t="s">
        <v>2655</v>
      </c>
      <c r="C182" s="39" t="s">
        <v>2656</v>
      </c>
      <c r="D182" s="39" t="s">
        <v>2798</v>
      </c>
      <c r="E182" s="39" t="s">
        <v>2799</v>
      </c>
      <c r="F182" s="39" t="s">
        <v>368</v>
      </c>
      <c r="G182" s="39" t="s">
        <v>2800</v>
      </c>
    </row>
    <row r="183" customFormat="false" ht="12.8" hidden="false" customHeight="false" outlineLevel="0" collapsed="false">
      <c r="A183" s="39" t="s">
        <v>2801</v>
      </c>
      <c r="B183" s="39" t="s">
        <v>2661</v>
      </c>
      <c r="C183" s="39" t="s">
        <v>2802</v>
      </c>
      <c r="D183" s="39" t="s">
        <v>2663</v>
      </c>
      <c r="E183" s="39" t="s">
        <v>2803</v>
      </c>
      <c r="F183" s="39" t="s">
        <v>300</v>
      </c>
      <c r="G183" s="39" t="s">
        <v>2804</v>
      </c>
    </row>
    <row r="184" customFormat="false" ht="12.8" hidden="false" customHeight="false" outlineLevel="0" collapsed="false">
      <c r="A184" s="39" t="s">
        <v>2805</v>
      </c>
      <c r="B184" s="39" t="s">
        <v>2667</v>
      </c>
      <c r="C184" s="39" t="s">
        <v>2806</v>
      </c>
      <c r="D184" s="39" t="s">
        <v>2807</v>
      </c>
      <c r="E184" s="39" t="s">
        <v>2808</v>
      </c>
      <c r="F184" s="39" t="s">
        <v>306</v>
      </c>
      <c r="G184" s="39" t="s">
        <v>2809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247"/>
  <sheetViews>
    <sheetView showFormulas="false" showGridLines="true" showRowColHeaders="true" showZeros="true" rightToLeft="false" tabSelected="false" showOutlineSymbols="true" defaultGridColor="true" view="normal" topLeftCell="A92"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2810</v>
      </c>
      <c r="B1" s="63" t="s">
        <v>2811</v>
      </c>
      <c r="C1" s="6" t="s">
        <v>2</v>
      </c>
      <c r="D1" s="62" t="s">
        <v>2812</v>
      </c>
      <c r="AZ1" s="39"/>
      <c r="BP1" s="39"/>
    </row>
    <row r="2" customFormat="false" ht="35.05" hidden="false" customHeight="false" outlineLevel="0" collapsed="false">
      <c r="A2" s="67" t="s">
        <v>2813</v>
      </c>
      <c r="B2" s="63" t="s">
        <v>2814</v>
      </c>
      <c r="C2" s="68" t="str">
        <f aca="false">CALC!AB3</f>
        <v>Wage Average ($ /hr)</v>
      </c>
      <c r="D2" s="68" t="str">
        <f aca="false">CALC!AH3</f>
        <v>Authorized Immigrant Wage Average ($ /hr)</v>
      </c>
      <c r="E2" s="68" t="str">
        <f aca="false">CALC!AN3</f>
        <v>Unauthorized Immigrant Wage Average ($ /hr)</v>
      </c>
      <c r="F2" s="68" t="str">
        <f aca="false">CALC!AT3</f>
        <v>American Wage Average ($ /hr)</v>
      </c>
    </row>
    <row r="3" customFormat="false" ht="12.8" hidden="false" customHeight="false" outlineLevel="0" collapsed="false">
      <c r="A3" s="4" t="e">
        <f aca="false">_xlfn.CONCAT($A$1, ".", #REF!)</f>
        <v>#REF!</v>
      </c>
      <c r="B3" s="49" t="e">
        <f aca="false">_xlfn.CONCAT(#REF!, ":", #REF!)</f>
        <v>#REF!</v>
      </c>
      <c r="C3" s="68" t="e">
        <f aca="false">#REF!</f>
        <v>#REF!</v>
      </c>
      <c r="D3" s="68" t="e">
        <f aca="false">#REF!</f>
        <v>#REF!</v>
      </c>
      <c r="E3" s="68" t="e">
        <f aca="false">#REF!</f>
        <v>#REF!</v>
      </c>
      <c r="F3" s="68" t="e">
        <f aca="false">#REF!</f>
        <v>#REF!</v>
      </c>
    </row>
    <row r="4" customFormat="false" ht="12.8" hidden="false" customHeight="false" outlineLevel="0" collapsed="false">
      <c r="A4" s="50" t="e">
        <f aca="false">_xlfn.CONCAT($A$1, ".", #REF!)</f>
        <v>#REF!</v>
      </c>
      <c r="B4" s="69" t="e">
        <f aca="false">_xlfn.CONCAT(#REF!, ":", #REF!)</f>
        <v>#REF!</v>
      </c>
      <c r="C4" s="70" t="e">
        <f aca="false">#REF!</f>
        <v>#REF!</v>
      </c>
      <c r="D4" s="70" t="e">
        <f aca="false">#REF!</f>
        <v>#REF!</v>
      </c>
      <c r="E4" s="70" t="e">
        <f aca="false">#REF!</f>
        <v>#REF!</v>
      </c>
      <c r="F4" s="70" t="e">
        <f aca="false">#REF!</f>
        <v>#REF!</v>
      </c>
    </row>
    <row r="5" customFormat="false" ht="12.8" hidden="false" customHeight="false" outlineLevel="0" collapsed="false">
      <c r="A5" s="50" t="e">
        <f aca="false">_xlfn.CONCAT($A$1, ".", #REF!)</f>
        <v>#REF!</v>
      </c>
      <c r="B5" s="69" t="e">
        <f aca="false">_xlfn.CONCAT(#REF!, ":", #REF!)</f>
        <v>#REF!</v>
      </c>
      <c r="C5" s="70" t="e">
        <f aca="false">#REF!</f>
        <v>#REF!</v>
      </c>
      <c r="D5" s="70" t="e">
        <f aca="false">#REF!</f>
        <v>#REF!</v>
      </c>
      <c r="E5" s="70" t="e">
        <f aca="false">#REF!</f>
        <v>#REF!</v>
      </c>
      <c r="F5" s="70" t="e">
        <f aca="false">#REF!</f>
        <v>#REF!</v>
      </c>
    </row>
    <row r="6" customFormat="false" ht="12.8" hidden="false" customHeight="false" outlineLevel="0" collapsed="false">
      <c r="A6" s="50" t="e">
        <f aca="false">_xlfn.CONCAT($A$1, ".", #REF!)</f>
        <v>#REF!</v>
      </c>
      <c r="B6" s="69" t="e">
        <f aca="false">_xlfn.CONCAT(#REF!, ":", #REF!)</f>
        <v>#REF!</v>
      </c>
      <c r="C6" s="70" t="e">
        <f aca="false">#REF!</f>
        <v>#REF!</v>
      </c>
      <c r="D6" s="70" t="e">
        <f aca="false">#REF!</f>
        <v>#REF!</v>
      </c>
      <c r="E6" s="70" t="e">
        <f aca="false">#REF!</f>
        <v>#REF!</v>
      </c>
      <c r="F6" s="70" t="e">
        <f aca="false">#REF!</f>
        <v>#REF!</v>
      </c>
    </row>
    <row r="7" customFormat="false" ht="12.8" hidden="false" customHeight="false" outlineLevel="0" collapsed="false">
      <c r="A7" s="50" t="e">
        <f aca="false">_xlfn.CONCAT($A$1, ".", #REF!)</f>
        <v>#REF!</v>
      </c>
      <c r="B7" s="69" t="e">
        <f aca="false">_xlfn.CONCAT(#REF!, ":", #REF!)</f>
        <v>#REF!</v>
      </c>
      <c r="C7" s="70" t="e">
        <f aca="false">#REF!</f>
        <v>#REF!</v>
      </c>
      <c r="D7" s="70" t="e">
        <f aca="false">#REF!</f>
        <v>#REF!</v>
      </c>
      <c r="E7" s="70" t="e">
        <f aca="false">#REF!</f>
        <v>#REF!</v>
      </c>
      <c r="F7" s="70" t="e">
        <f aca="false">#REF!</f>
        <v>#REF!</v>
      </c>
    </row>
    <row r="8" customFormat="false" ht="12.8" hidden="false" customHeight="false" outlineLevel="0" collapsed="false">
      <c r="A8" s="50" t="e">
        <f aca="false">_xlfn.CONCAT($A$1, ".", #REF!)</f>
        <v>#REF!</v>
      </c>
      <c r="B8" s="69" t="e">
        <f aca="false">_xlfn.CONCAT(#REF!, ":", #REF!)</f>
        <v>#REF!</v>
      </c>
      <c r="C8" s="70" t="e">
        <f aca="false">#REF!</f>
        <v>#REF!</v>
      </c>
      <c r="D8" s="70" t="e">
        <f aca="false">#REF!</f>
        <v>#REF!</v>
      </c>
      <c r="E8" s="70" t="e">
        <f aca="false">#REF!</f>
        <v>#REF!</v>
      </c>
      <c r="F8" s="70" t="e">
        <f aca="false">#REF!</f>
        <v>#REF!</v>
      </c>
    </row>
    <row r="9" customFormat="false" ht="12.8" hidden="false" customHeight="false" outlineLevel="0" collapsed="false">
      <c r="A9" s="50" t="e">
        <f aca="false">_xlfn.CONCAT($A$1, ".", #REF!)</f>
        <v>#REF!</v>
      </c>
      <c r="B9" s="69" t="e">
        <f aca="false">_xlfn.CONCAT(#REF!, ":", #REF!)</f>
        <v>#REF!</v>
      </c>
      <c r="C9" s="70" t="e">
        <f aca="false">#REF!</f>
        <v>#REF!</v>
      </c>
      <c r="D9" s="70" t="e">
        <f aca="false">#REF!</f>
        <v>#REF!</v>
      </c>
      <c r="E9" s="70" t="e">
        <f aca="false">#REF!</f>
        <v>#REF!</v>
      </c>
      <c r="F9" s="70" t="e">
        <f aca="false">#REF!</f>
        <v>#REF!</v>
      </c>
    </row>
    <row r="10" customFormat="false" ht="12.8" hidden="false" customHeight="false" outlineLevel="0" collapsed="false">
      <c r="A10" s="50" t="e">
        <f aca="false">_xlfn.CONCAT($A$1, ".", #REF!)</f>
        <v>#REF!</v>
      </c>
      <c r="B10" s="69" t="e">
        <f aca="false">_xlfn.CONCAT(#REF!, ":", #REF!)</f>
        <v>#REF!</v>
      </c>
      <c r="C10" s="70" t="e">
        <f aca="false">#REF!</f>
        <v>#REF!</v>
      </c>
      <c r="D10" s="70" t="e">
        <f aca="false">#REF!</f>
        <v>#REF!</v>
      </c>
      <c r="E10" s="70" t="e">
        <f aca="false">#REF!</f>
        <v>#REF!</v>
      </c>
      <c r="F10" s="70" t="e">
        <f aca="false">#REF!</f>
        <v>#REF!</v>
      </c>
    </row>
    <row r="11" customFormat="false" ht="12.8" hidden="false" customHeight="false" outlineLevel="0" collapsed="false">
      <c r="A11" s="50" t="e">
        <f aca="false">_xlfn.CONCAT($A$1, ".", #REF!)</f>
        <v>#REF!</v>
      </c>
      <c r="B11" s="69" t="e">
        <f aca="false">_xlfn.CONCAT(#REF!, ":", #REF!)</f>
        <v>#REF!</v>
      </c>
      <c r="C11" s="70" t="e">
        <f aca="false">#REF!</f>
        <v>#REF!</v>
      </c>
      <c r="D11" s="70" t="e">
        <f aca="false">#REF!</f>
        <v>#REF!</v>
      </c>
      <c r="E11" s="70" t="e">
        <f aca="false">#REF!</f>
        <v>#REF!</v>
      </c>
      <c r="F11" s="70" t="e">
        <f aca="false">#REF!</f>
        <v>#REF!</v>
      </c>
    </row>
    <row r="12" customFormat="false" ht="12.8" hidden="false" customHeight="false" outlineLevel="0" collapsed="false">
      <c r="A12" s="50" t="e">
        <f aca="false">_xlfn.CONCAT($A$1, ".", #REF!)</f>
        <v>#REF!</v>
      </c>
      <c r="B12" s="69" t="e">
        <f aca="false">_xlfn.CONCAT(#REF!, ":", #REF!)</f>
        <v>#REF!</v>
      </c>
      <c r="C12" s="70" t="e">
        <f aca="false">#REF!</f>
        <v>#REF!</v>
      </c>
      <c r="D12" s="70" t="e">
        <f aca="false">#REF!</f>
        <v>#REF!</v>
      </c>
      <c r="E12" s="70" t="e">
        <f aca="false">#REF!</f>
        <v>#REF!</v>
      </c>
      <c r="F12" s="70" t="e">
        <f aca="false">#REF!</f>
        <v>#REF!</v>
      </c>
    </row>
    <row r="13" customFormat="false" ht="12.8" hidden="false" customHeight="false" outlineLevel="0" collapsed="false">
      <c r="A13" s="50" t="e">
        <f aca="false">_xlfn.CONCAT($A$1, ".", #REF!)</f>
        <v>#REF!</v>
      </c>
      <c r="B13" s="69" t="e">
        <f aca="false">_xlfn.CONCAT(#REF!, ":", #REF!)</f>
        <v>#REF!</v>
      </c>
      <c r="C13" s="70" t="e">
        <f aca="false">#REF!</f>
        <v>#REF!</v>
      </c>
      <c r="D13" s="70" t="e">
        <f aca="false">#REF!</f>
        <v>#REF!</v>
      </c>
      <c r="E13" s="70" t="e">
        <f aca="false">#REF!</f>
        <v>#REF!</v>
      </c>
      <c r="F13" s="70" t="e">
        <f aca="false">#REF!</f>
        <v>#REF!</v>
      </c>
    </row>
    <row r="14" customFormat="false" ht="12.8" hidden="false" customHeight="false" outlineLevel="0" collapsed="false">
      <c r="A14" s="50" t="e">
        <f aca="false">_xlfn.CONCAT($A$1, ".", #REF!)</f>
        <v>#REF!</v>
      </c>
      <c r="B14" s="69" t="e">
        <f aca="false">_xlfn.CONCAT(#REF!, ":", #REF!)</f>
        <v>#REF!</v>
      </c>
      <c r="C14" s="70" t="e">
        <f aca="false">#REF!</f>
        <v>#REF!</v>
      </c>
      <c r="D14" s="70" t="e">
        <f aca="false">#REF!</f>
        <v>#REF!</v>
      </c>
      <c r="E14" s="70" t="e">
        <f aca="false">#REF!</f>
        <v>#REF!</v>
      </c>
      <c r="F14" s="70" t="e">
        <f aca="false">#REF!</f>
        <v>#REF!</v>
      </c>
    </row>
    <row r="15" customFormat="false" ht="12.8" hidden="false" customHeight="false" outlineLevel="0" collapsed="false">
      <c r="A15" s="50" t="e">
        <f aca="false">_xlfn.CONCAT($A$1, ".", #REF!)</f>
        <v>#REF!</v>
      </c>
      <c r="B15" s="69" t="e">
        <f aca="false">_xlfn.CONCAT(#REF!, ":", #REF!)</f>
        <v>#REF!</v>
      </c>
      <c r="C15" s="70" t="e">
        <f aca="false">#REF!</f>
        <v>#REF!</v>
      </c>
      <c r="D15" s="70" t="e">
        <f aca="false">#REF!</f>
        <v>#REF!</v>
      </c>
      <c r="E15" s="70" t="e">
        <f aca="false">#REF!</f>
        <v>#REF!</v>
      </c>
      <c r="F15" s="70" t="e">
        <f aca="false">#REF!</f>
        <v>#REF!</v>
      </c>
    </row>
    <row r="16" customFormat="false" ht="12.8" hidden="false" customHeight="false" outlineLevel="0" collapsed="false">
      <c r="A16" s="50" t="e">
        <f aca="false">_xlfn.CONCAT($A$1, ".", #REF!)</f>
        <v>#REF!</v>
      </c>
      <c r="B16" s="69" t="e">
        <f aca="false">_xlfn.CONCAT(#REF!, ":", #REF!)</f>
        <v>#REF!</v>
      </c>
      <c r="C16" s="70" t="e">
        <f aca="false">#REF!</f>
        <v>#REF!</v>
      </c>
      <c r="D16" s="70" t="e">
        <f aca="false">#REF!</f>
        <v>#REF!</v>
      </c>
      <c r="E16" s="70" t="e">
        <f aca="false">#REF!</f>
        <v>#REF!</v>
      </c>
      <c r="F16" s="70" t="e">
        <f aca="false">#REF!</f>
        <v>#REF!</v>
      </c>
    </row>
    <row r="17" customFormat="false" ht="12.8" hidden="false" customHeight="false" outlineLevel="0" collapsed="false">
      <c r="A17" s="50" t="e">
        <f aca="false">_xlfn.CONCAT($A$1, ".", #REF!)</f>
        <v>#REF!</v>
      </c>
      <c r="B17" s="69" t="e">
        <f aca="false">_xlfn.CONCAT(#REF!, ":", #REF!)</f>
        <v>#REF!</v>
      </c>
      <c r="C17" s="70" t="e">
        <f aca="false">#REF!</f>
        <v>#REF!</v>
      </c>
      <c r="D17" s="70" t="e">
        <f aca="false">#REF!</f>
        <v>#REF!</v>
      </c>
      <c r="E17" s="70" t="e">
        <f aca="false">#REF!</f>
        <v>#REF!</v>
      </c>
      <c r="F17" s="70" t="e">
        <f aca="false">#REF!</f>
        <v>#REF!</v>
      </c>
    </row>
    <row r="18" customFormat="false" ht="12.8" hidden="false" customHeight="false" outlineLevel="0" collapsed="false">
      <c r="A18" s="50" t="e">
        <f aca="false">_xlfn.CONCAT($A$1, ".", #REF!)</f>
        <v>#REF!</v>
      </c>
      <c r="B18" s="69" t="e">
        <f aca="false">_xlfn.CONCAT(#REF!, ":", #REF!)</f>
        <v>#REF!</v>
      </c>
      <c r="C18" s="70" t="e">
        <f aca="false">#REF!</f>
        <v>#REF!</v>
      </c>
      <c r="D18" s="70" t="e">
        <f aca="false">#REF!</f>
        <v>#REF!</v>
      </c>
      <c r="E18" s="70" t="e">
        <f aca="false">#REF!</f>
        <v>#REF!</v>
      </c>
      <c r="F18" s="70" t="e">
        <f aca="false">#REF!</f>
        <v>#REF!</v>
      </c>
    </row>
    <row r="19" customFormat="false" ht="12.8" hidden="false" customHeight="false" outlineLevel="0" collapsed="false">
      <c r="A19" s="50" t="e">
        <f aca="false">_xlfn.CONCAT($A$1, ".", #REF!)</f>
        <v>#REF!</v>
      </c>
      <c r="B19" s="69" t="e">
        <f aca="false">_xlfn.CONCAT(#REF!, ":", #REF!)</f>
        <v>#REF!</v>
      </c>
      <c r="C19" s="70" t="e">
        <f aca="false">#REF!</f>
        <v>#REF!</v>
      </c>
      <c r="D19" s="70" t="e">
        <f aca="false">#REF!</f>
        <v>#REF!</v>
      </c>
      <c r="E19" s="70" t="e">
        <f aca="false">#REF!</f>
        <v>#REF!</v>
      </c>
      <c r="F19" s="70" t="e">
        <f aca="false">#REF!</f>
        <v>#REF!</v>
      </c>
    </row>
    <row r="20" customFormat="false" ht="12.8" hidden="false" customHeight="false" outlineLevel="0" collapsed="false">
      <c r="A20" s="50" t="e">
        <f aca="false">_xlfn.CONCAT($A$1, ".", #REF!)</f>
        <v>#REF!</v>
      </c>
      <c r="B20" s="69" t="e">
        <f aca="false">_xlfn.CONCAT(#REF!, ":", #REF!)</f>
        <v>#REF!</v>
      </c>
      <c r="C20" s="70" t="e">
        <f aca="false">#REF!</f>
        <v>#REF!</v>
      </c>
      <c r="D20" s="70" t="e">
        <f aca="false">#REF!</f>
        <v>#REF!</v>
      </c>
      <c r="E20" s="70" t="e">
        <f aca="false">#REF!</f>
        <v>#REF!</v>
      </c>
      <c r="F20" s="70" t="e">
        <f aca="false">#REF!</f>
        <v>#REF!</v>
      </c>
    </row>
    <row r="21" customFormat="false" ht="12.8" hidden="false" customHeight="false" outlineLevel="0" collapsed="false">
      <c r="A21" s="50" t="e">
        <f aca="false">_xlfn.CONCAT($A$1, ".", #REF!)</f>
        <v>#REF!</v>
      </c>
      <c r="B21" s="69" t="e">
        <f aca="false">_xlfn.CONCAT(#REF!, ":", #REF!)</f>
        <v>#REF!</v>
      </c>
      <c r="C21" s="70" t="e">
        <f aca="false">#REF!</f>
        <v>#REF!</v>
      </c>
      <c r="D21" s="70" t="e">
        <f aca="false">#REF!</f>
        <v>#REF!</v>
      </c>
      <c r="E21" s="70" t="e">
        <f aca="false">#REF!</f>
        <v>#REF!</v>
      </c>
      <c r="F21" s="70" t="e">
        <f aca="false">#REF!</f>
        <v>#REF!</v>
      </c>
    </row>
    <row r="22" customFormat="false" ht="12.8" hidden="false" customHeight="false" outlineLevel="0" collapsed="false">
      <c r="A22" s="50" t="e">
        <f aca="false">_xlfn.CONCAT($A$1, ".", #REF!)</f>
        <v>#REF!</v>
      </c>
      <c r="B22" s="69" t="e">
        <f aca="false">_xlfn.CONCAT(#REF!, ":", #REF!)</f>
        <v>#REF!</v>
      </c>
      <c r="C22" s="70" t="e">
        <f aca="false">#REF!</f>
        <v>#REF!</v>
      </c>
      <c r="D22" s="70" t="e">
        <f aca="false">#REF!</f>
        <v>#REF!</v>
      </c>
      <c r="E22" s="70" t="e">
        <f aca="false">#REF!</f>
        <v>#REF!</v>
      </c>
      <c r="F22" s="70" t="e">
        <f aca="false">#REF!</f>
        <v>#REF!</v>
      </c>
    </row>
    <row r="23" customFormat="false" ht="12.8" hidden="false" customHeight="false" outlineLevel="0" collapsed="false">
      <c r="A23" s="50" t="e">
        <f aca="false">_xlfn.CONCAT($A$1, ".", #REF!)</f>
        <v>#REF!</v>
      </c>
      <c r="B23" s="69" t="e">
        <f aca="false">_xlfn.CONCAT(#REF!, ":", #REF!)</f>
        <v>#REF!</v>
      </c>
      <c r="C23" s="70" t="e">
        <f aca="false">#REF!</f>
        <v>#REF!</v>
      </c>
      <c r="D23" s="70" t="e">
        <f aca="false">#REF!</f>
        <v>#REF!</v>
      </c>
      <c r="E23" s="70" t="e">
        <f aca="false">#REF!</f>
        <v>#REF!</v>
      </c>
      <c r="F23" s="70" t="e">
        <f aca="false">#REF!</f>
        <v>#REF!</v>
      </c>
    </row>
    <row r="24" customFormat="false" ht="12.8" hidden="false" customHeight="false" outlineLevel="0" collapsed="false">
      <c r="A24" s="50" t="e">
        <f aca="false">_xlfn.CONCAT($A$1, ".", #REF!)</f>
        <v>#REF!</v>
      </c>
      <c r="B24" s="69" t="e">
        <f aca="false">_xlfn.CONCAT(#REF!, ":", #REF!)</f>
        <v>#REF!</v>
      </c>
      <c r="C24" s="70" t="e">
        <f aca="false">#REF!</f>
        <v>#REF!</v>
      </c>
      <c r="D24" s="70" t="e">
        <f aca="false">#REF!</f>
        <v>#REF!</v>
      </c>
      <c r="E24" s="70" t="e">
        <f aca="false">#REF!</f>
        <v>#REF!</v>
      </c>
      <c r="F24" s="70" t="e">
        <f aca="false">#REF!</f>
        <v>#REF!</v>
      </c>
    </row>
    <row r="25" customFormat="false" ht="12.8" hidden="false" customHeight="false" outlineLevel="0" collapsed="false">
      <c r="A25" s="50" t="e">
        <f aca="false">_xlfn.CONCAT($A$1, ".", #REF!)</f>
        <v>#REF!</v>
      </c>
      <c r="B25" s="69" t="e">
        <f aca="false">_xlfn.CONCAT(#REF!, ":", #REF!)</f>
        <v>#REF!</v>
      </c>
      <c r="C25" s="70" t="e">
        <f aca="false">#REF!</f>
        <v>#REF!</v>
      </c>
      <c r="D25" s="70" t="e">
        <f aca="false">#REF!</f>
        <v>#REF!</v>
      </c>
      <c r="E25" s="70" t="e">
        <f aca="false">#REF!</f>
        <v>#REF!</v>
      </c>
      <c r="F25" s="70" t="e">
        <f aca="false">#REF!</f>
        <v>#REF!</v>
      </c>
    </row>
    <row r="26" customFormat="false" ht="12.8" hidden="false" customHeight="false" outlineLevel="0" collapsed="false">
      <c r="A26" s="50" t="e">
        <f aca="false">_xlfn.CONCAT($A$1, ".", #REF!)</f>
        <v>#REF!</v>
      </c>
      <c r="B26" s="69" t="e">
        <f aca="false">_xlfn.CONCAT(#REF!, ":", #REF!)</f>
        <v>#REF!</v>
      </c>
      <c r="C26" s="70" t="e">
        <f aca="false">#REF!</f>
        <v>#REF!</v>
      </c>
      <c r="D26" s="70" t="e">
        <f aca="false">#REF!</f>
        <v>#REF!</v>
      </c>
      <c r="E26" s="70" t="e">
        <f aca="false">#REF!</f>
        <v>#REF!</v>
      </c>
      <c r="F26" s="70" t="e">
        <f aca="false">#REF!</f>
        <v>#REF!</v>
      </c>
    </row>
    <row r="27" customFormat="false" ht="12.8" hidden="false" customHeight="false" outlineLevel="0" collapsed="false">
      <c r="A27" s="50" t="e">
        <f aca="false">_xlfn.CONCAT($A$1, ".", #REF!)</f>
        <v>#REF!</v>
      </c>
      <c r="B27" s="69" t="e">
        <f aca="false">_xlfn.CONCAT(#REF!, ":", #REF!)</f>
        <v>#REF!</v>
      </c>
      <c r="C27" s="70" t="e">
        <f aca="false">#REF!</f>
        <v>#REF!</v>
      </c>
      <c r="D27" s="70" t="e">
        <f aca="false">#REF!</f>
        <v>#REF!</v>
      </c>
      <c r="E27" s="70" t="e">
        <f aca="false">#REF!</f>
        <v>#REF!</v>
      </c>
      <c r="F27" s="70" t="e">
        <f aca="false">#REF!</f>
        <v>#REF!</v>
      </c>
    </row>
    <row r="28" customFormat="false" ht="12.8" hidden="false" customHeight="false" outlineLevel="0" collapsed="false">
      <c r="A28" s="50" t="e">
        <f aca="false">_xlfn.CONCAT($A$1, ".", #REF!)</f>
        <v>#REF!</v>
      </c>
      <c r="B28" s="69" t="e">
        <f aca="false">_xlfn.CONCAT(#REF!, ":", #REF!)</f>
        <v>#REF!</v>
      </c>
      <c r="C28" s="70" t="e">
        <f aca="false">#REF!</f>
        <v>#REF!</v>
      </c>
      <c r="D28" s="70" t="e">
        <f aca="false">#REF!</f>
        <v>#REF!</v>
      </c>
      <c r="E28" s="70" t="e">
        <f aca="false">#REF!</f>
        <v>#REF!</v>
      </c>
      <c r="F28" s="70" t="e">
        <f aca="false">#REF!</f>
        <v>#REF!</v>
      </c>
    </row>
    <row r="29" customFormat="false" ht="12.8" hidden="false" customHeight="false" outlineLevel="0" collapsed="false">
      <c r="A29" s="50" t="e">
        <f aca="false">_xlfn.CONCAT($A$1, ".", #REF!)</f>
        <v>#REF!</v>
      </c>
      <c r="B29" s="69" t="e">
        <f aca="false">_xlfn.CONCAT(#REF!, ":", #REF!)</f>
        <v>#REF!</v>
      </c>
      <c r="C29" s="70" t="e">
        <f aca="false">#REF!</f>
        <v>#REF!</v>
      </c>
      <c r="D29" s="70" t="e">
        <f aca="false">#REF!</f>
        <v>#REF!</v>
      </c>
      <c r="E29" s="70" t="e">
        <f aca="false">#REF!</f>
        <v>#REF!</v>
      </c>
      <c r="F29" s="70" t="e">
        <f aca="false">#REF!</f>
        <v>#REF!</v>
      </c>
    </row>
    <row r="30" customFormat="false" ht="12.8" hidden="false" customHeight="false" outlineLevel="0" collapsed="false">
      <c r="A30" s="50" t="e">
        <f aca="false">_xlfn.CONCAT($A$1, ".", #REF!)</f>
        <v>#REF!</v>
      </c>
      <c r="B30" s="69" t="e">
        <f aca="false">_xlfn.CONCAT(#REF!, ":", #REF!)</f>
        <v>#REF!</v>
      </c>
      <c r="C30" s="70" t="e">
        <f aca="false">#REF!</f>
        <v>#REF!</v>
      </c>
      <c r="D30" s="70" t="e">
        <f aca="false">#REF!</f>
        <v>#REF!</v>
      </c>
      <c r="E30" s="70" t="e">
        <f aca="false">#REF!</f>
        <v>#REF!</v>
      </c>
      <c r="F30" s="70" t="e">
        <f aca="false">#REF!</f>
        <v>#REF!</v>
      </c>
    </row>
    <row r="31" customFormat="false" ht="12.8" hidden="false" customHeight="false" outlineLevel="0" collapsed="false">
      <c r="A31" s="50" t="e">
        <f aca="false">_xlfn.CONCAT($A$1, ".", #REF!)</f>
        <v>#REF!</v>
      </c>
      <c r="B31" s="69" t="e">
        <f aca="false">_xlfn.CONCAT(#REF!, ":", #REF!)</f>
        <v>#REF!</v>
      </c>
      <c r="C31" s="70" t="e">
        <f aca="false">#REF!</f>
        <v>#REF!</v>
      </c>
      <c r="D31" s="70" t="e">
        <f aca="false">#REF!</f>
        <v>#REF!</v>
      </c>
      <c r="E31" s="70" t="e">
        <f aca="false">#REF!</f>
        <v>#REF!</v>
      </c>
      <c r="F31" s="70" t="e">
        <f aca="false">#REF!</f>
        <v>#REF!</v>
      </c>
    </row>
    <row r="32" customFormat="false" ht="12.8" hidden="false" customHeight="false" outlineLevel="0" collapsed="false">
      <c r="A32" s="50" t="e">
        <f aca="false">_xlfn.CONCAT($A$1, ".", #REF!)</f>
        <v>#REF!</v>
      </c>
      <c r="B32" s="69" t="e">
        <f aca="false">_xlfn.CONCAT(#REF!, ":", #REF!)</f>
        <v>#REF!</v>
      </c>
      <c r="C32" s="70" t="e">
        <f aca="false">#REF!</f>
        <v>#REF!</v>
      </c>
      <c r="D32" s="70" t="e">
        <f aca="false">#REF!</f>
        <v>#REF!</v>
      </c>
      <c r="E32" s="70" t="e">
        <f aca="false">#REF!</f>
        <v>#REF!</v>
      </c>
      <c r="F32" s="70" t="e">
        <f aca="false">#REF!</f>
        <v>#REF!</v>
      </c>
    </row>
    <row r="33" customFormat="false" ht="12.8" hidden="false" customHeight="false" outlineLevel="0" collapsed="false">
      <c r="A33" s="50" t="e">
        <f aca="false">_xlfn.CONCAT($A$1, ".", #REF!)</f>
        <v>#REF!</v>
      </c>
      <c r="B33" s="69" t="e">
        <f aca="false">_xlfn.CONCAT(#REF!, ":", #REF!)</f>
        <v>#REF!</v>
      </c>
      <c r="C33" s="70" t="e">
        <f aca="false">#REF!</f>
        <v>#REF!</v>
      </c>
      <c r="D33" s="70" t="e">
        <f aca="false">#REF!</f>
        <v>#REF!</v>
      </c>
      <c r="E33" s="70" t="e">
        <f aca="false">#REF!</f>
        <v>#REF!</v>
      </c>
      <c r="F33" s="70" t="e">
        <f aca="false">#REF!</f>
        <v>#REF!</v>
      </c>
    </row>
    <row r="34" customFormat="false" ht="12.8" hidden="false" customHeight="false" outlineLevel="0" collapsed="false">
      <c r="A34" s="50" t="e">
        <f aca="false">_xlfn.CONCAT($A$1, ".", #REF!)</f>
        <v>#REF!</v>
      </c>
      <c r="B34" s="69" t="e">
        <f aca="false">_xlfn.CONCAT(#REF!, ":", #REF!)</f>
        <v>#REF!</v>
      </c>
      <c r="C34" s="70" t="e">
        <f aca="false">#REF!</f>
        <v>#REF!</v>
      </c>
      <c r="D34" s="70" t="e">
        <f aca="false">#REF!</f>
        <v>#REF!</v>
      </c>
      <c r="E34" s="70" t="e">
        <f aca="false">#REF!</f>
        <v>#REF!</v>
      </c>
      <c r="F34" s="70" t="e">
        <f aca="false">#REF!</f>
        <v>#REF!</v>
      </c>
    </row>
    <row r="35" customFormat="false" ht="12.8" hidden="false" customHeight="false" outlineLevel="0" collapsed="false">
      <c r="A35" s="50" t="e">
        <f aca="false">_xlfn.CONCAT($A$1, ".", #REF!)</f>
        <v>#REF!</v>
      </c>
      <c r="B35" s="69" t="e">
        <f aca="false">_xlfn.CONCAT(#REF!, ":", #REF!)</f>
        <v>#REF!</v>
      </c>
      <c r="C35" s="70" t="e">
        <f aca="false">#REF!</f>
        <v>#REF!</v>
      </c>
      <c r="D35" s="70" t="e">
        <f aca="false">#REF!</f>
        <v>#REF!</v>
      </c>
      <c r="E35" s="70" t="e">
        <f aca="false">#REF!</f>
        <v>#REF!</v>
      </c>
      <c r="F35" s="70" t="e">
        <f aca="false">#REF!</f>
        <v>#REF!</v>
      </c>
    </row>
    <row r="36" customFormat="false" ht="12.8" hidden="false" customHeight="false" outlineLevel="0" collapsed="false">
      <c r="A36" s="50" t="e">
        <f aca="false">_xlfn.CONCAT($A$1, ".", #REF!)</f>
        <v>#REF!</v>
      </c>
      <c r="B36" s="69" t="e">
        <f aca="false">_xlfn.CONCAT(#REF!, ":", #REF!)</f>
        <v>#REF!</v>
      </c>
      <c r="C36" s="70" t="e">
        <f aca="false">#REF!</f>
        <v>#REF!</v>
      </c>
      <c r="D36" s="70" t="e">
        <f aca="false">#REF!</f>
        <v>#REF!</v>
      </c>
      <c r="E36" s="70" t="e">
        <f aca="false">#REF!</f>
        <v>#REF!</v>
      </c>
      <c r="F36" s="70" t="e">
        <f aca="false">#REF!</f>
        <v>#REF!</v>
      </c>
    </row>
    <row r="37" customFormat="false" ht="12.8" hidden="false" customHeight="false" outlineLevel="0" collapsed="false">
      <c r="A37" s="50" t="e">
        <f aca="false">_xlfn.CONCAT($A$1, ".", #REF!)</f>
        <v>#REF!</v>
      </c>
      <c r="B37" s="69" t="e">
        <f aca="false">_xlfn.CONCAT(#REF!, ":", #REF!)</f>
        <v>#REF!</v>
      </c>
      <c r="C37" s="70" t="e">
        <f aca="false">#REF!</f>
        <v>#REF!</v>
      </c>
      <c r="D37" s="70" t="e">
        <f aca="false">#REF!</f>
        <v>#REF!</v>
      </c>
      <c r="E37" s="70" t="e">
        <f aca="false">#REF!</f>
        <v>#REF!</v>
      </c>
      <c r="F37" s="70" t="e">
        <f aca="false">#REF!</f>
        <v>#REF!</v>
      </c>
    </row>
    <row r="38" customFormat="false" ht="12.8" hidden="false" customHeight="false" outlineLevel="0" collapsed="false">
      <c r="A38" s="50" t="e">
        <f aca="false">_xlfn.CONCAT($A$1, ".", #REF!)</f>
        <v>#REF!</v>
      </c>
      <c r="B38" s="69" t="e">
        <f aca="false">_xlfn.CONCAT(#REF!, ":", #REF!)</f>
        <v>#REF!</v>
      </c>
      <c r="C38" s="70" t="e">
        <f aca="false">#REF!</f>
        <v>#REF!</v>
      </c>
      <c r="D38" s="70" t="e">
        <f aca="false">#REF!</f>
        <v>#REF!</v>
      </c>
      <c r="E38" s="70" t="e">
        <f aca="false">#REF!</f>
        <v>#REF!</v>
      </c>
      <c r="F38" s="70" t="e">
        <f aca="false">#REF!</f>
        <v>#REF!</v>
      </c>
    </row>
    <row r="39" customFormat="false" ht="12.8" hidden="false" customHeight="false" outlineLevel="0" collapsed="false">
      <c r="A39" s="50" t="e">
        <f aca="false">_xlfn.CONCAT($A$1, ".", #REF!)</f>
        <v>#REF!</v>
      </c>
      <c r="B39" s="69" t="e">
        <f aca="false">_xlfn.CONCAT(#REF!, ":", #REF!)</f>
        <v>#REF!</v>
      </c>
      <c r="C39" s="70" t="e">
        <f aca="false">#REF!</f>
        <v>#REF!</v>
      </c>
      <c r="D39" s="70" t="e">
        <f aca="false">#REF!</f>
        <v>#REF!</v>
      </c>
      <c r="E39" s="70" t="e">
        <f aca="false">#REF!</f>
        <v>#REF!</v>
      </c>
      <c r="F39" s="70" t="e">
        <f aca="false">#REF!</f>
        <v>#REF!</v>
      </c>
    </row>
    <row r="40" customFormat="false" ht="12.8" hidden="false" customHeight="false" outlineLevel="0" collapsed="false">
      <c r="A40" s="50" t="e">
        <f aca="false">_xlfn.CONCAT($A$1, ".", #REF!)</f>
        <v>#REF!</v>
      </c>
      <c r="B40" s="69" t="e">
        <f aca="false">_xlfn.CONCAT(#REF!, ":", #REF!)</f>
        <v>#REF!</v>
      </c>
      <c r="C40" s="70" t="e">
        <f aca="false">#REF!</f>
        <v>#REF!</v>
      </c>
      <c r="D40" s="70" t="e">
        <f aca="false">#REF!</f>
        <v>#REF!</v>
      </c>
      <c r="E40" s="70" t="e">
        <f aca="false">#REF!</f>
        <v>#REF!</v>
      </c>
      <c r="F40" s="70" t="e">
        <f aca="false">#REF!</f>
        <v>#REF!</v>
      </c>
    </row>
    <row r="41" customFormat="false" ht="12.8" hidden="false" customHeight="false" outlineLevel="0" collapsed="false">
      <c r="A41" s="50" t="e">
        <f aca="false">_xlfn.CONCAT($A$1, ".", #REF!)</f>
        <v>#REF!</v>
      </c>
      <c r="B41" s="69" t="e">
        <f aca="false">_xlfn.CONCAT(#REF!, ":", #REF!)</f>
        <v>#REF!</v>
      </c>
      <c r="C41" s="70" t="e">
        <f aca="false">#REF!</f>
        <v>#REF!</v>
      </c>
      <c r="D41" s="70" t="e">
        <f aca="false">#REF!</f>
        <v>#REF!</v>
      </c>
      <c r="E41" s="70" t="e">
        <f aca="false">#REF!</f>
        <v>#REF!</v>
      </c>
      <c r="F41" s="70" t="e">
        <f aca="false">#REF!</f>
        <v>#REF!</v>
      </c>
    </row>
    <row r="42" customFormat="false" ht="12.8" hidden="false" customHeight="false" outlineLevel="0" collapsed="false">
      <c r="A42" s="50" t="e">
        <f aca="false">_xlfn.CONCAT($A$1, ".", #REF!)</f>
        <v>#REF!</v>
      </c>
      <c r="B42" s="69" t="e">
        <f aca="false">_xlfn.CONCAT(#REF!, ":", #REF!)</f>
        <v>#REF!</v>
      </c>
      <c r="C42" s="70" t="e">
        <f aca="false">#REF!</f>
        <v>#REF!</v>
      </c>
      <c r="D42" s="70" t="e">
        <f aca="false">#REF!</f>
        <v>#REF!</v>
      </c>
      <c r="E42" s="70" t="e">
        <f aca="false">#REF!</f>
        <v>#REF!</v>
      </c>
      <c r="F42" s="70" t="e">
        <f aca="false">#REF!</f>
        <v>#REF!</v>
      </c>
    </row>
    <row r="43" customFormat="false" ht="12.8" hidden="false" customHeight="false" outlineLevel="0" collapsed="false">
      <c r="A43" s="50" t="e">
        <f aca="false">_xlfn.CONCAT($A$1, ".", #REF!)</f>
        <v>#REF!</v>
      </c>
      <c r="B43" s="69" t="e">
        <f aca="false">_xlfn.CONCAT(#REF!, ":", #REF!)</f>
        <v>#REF!</v>
      </c>
      <c r="C43" s="70" t="e">
        <f aca="false">#REF!</f>
        <v>#REF!</v>
      </c>
      <c r="D43" s="70" t="e">
        <f aca="false">#REF!</f>
        <v>#REF!</v>
      </c>
      <c r="E43" s="70" t="e">
        <f aca="false">#REF!</f>
        <v>#REF!</v>
      </c>
      <c r="F43" s="70" t="e">
        <f aca="false">#REF!</f>
        <v>#REF!</v>
      </c>
    </row>
    <row r="44" customFormat="false" ht="12.8" hidden="false" customHeight="false" outlineLevel="0" collapsed="false">
      <c r="A44" s="50" t="e">
        <f aca="false">_xlfn.CONCAT($A$1, ".", #REF!)</f>
        <v>#REF!</v>
      </c>
      <c r="B44" s="69" t="e">
        <f aca="false">_xlfn.CONCAT(#REF!, ":", #REF!)</f>
        <v>#REF!</v>
      </c>
      <c r="C44" s="70" t="e">
        <f aca="false">#REF!</f>
        <v>#REF!</v>
      </c>
      <c r="D44" s="70" t="e">
        <f aca="false">#REF!</f>
        <v>#REF!</v>
      </c>
      <c r="E44" s="70" t="e">
        <f aca="false">#REF!</f>
        <v>#REF!</v>
      </c>
      <c r="F44" s="70" t="e">
        <f aca="false">#REF!</f>
        <v>#REF!</v>
      </c>
    </row>
    <row r="45" customFormat="false" ht="12.8" hidden="false" customHeight="false" outlineLevel="0" collapsed="false">
      <c r="A45" s="50" t="e">
        <f aca="false">_xlfn.CONCAT($A$1, ".", #REF!)</f>
        <v>#REF!</v>
      </c>
      <c r="B45" s="69" t="e">
        <f aca="false">_xlfn.CONCAT(#REF!, ":", #REF!)</f>
        <v>#REF!</v>
      </c>
      <c r="C45" s="70" t="e">
        <f aca="false">#REF!</f>
        <v>#REF!</v>
      </c>
      <c r="D45" s="70" t="e">
        <f aca="false">#REF!</f>
        <v>#REF!</v>
      </c>
      <c r="E45" s="70" t="e">
        <f aca="false">#REF!</f>
        <v>#REF!</v>
      </c>
      <c r="F45" s="70" t="e">
        <f aca="false">#REF!</f>
        <v>#REF!</v>
      </c>
    </row>
    <row r="46" customFormat="false" ht="12.8" hidden="false" customHeight="false" outlineLevel="0" collapsed="false">
      <c r="A46" s="50" t="e">
        <f aca="false">_xlfn.CONCAT($A$1, ".", #REF!)</f>
        <v>#REF!</v>
      </c>
      <c r="B46" s="69" t="e">
        <f aca="false">_xlfn.CONCAT(#REF!, ":", #REF!)</f>
        <v>#REF!</v>
      </c>
      <c r="C46" s="70" t="e">
        <f aca="false">#REF!</f>
        <v>#REF!</v>
      </c>
      <c r="D46" s="70" t="e">
        <f aca="false">#REF!</f>
        <v>#REF!</v>
      </c>
      <c r="E46" s="70" t="e">
        <f aca="false">#REF!</f>
        <v>#REF!</v>
      </c>
      <c r="F46" s="70" t="e">
        <f aca="false">#REF!</f>
        <v>#REF!</v>
      </c>
    </row>
    <row r="47" customFormat="false" ht="12.8" hidden="false" customHeight="false" outlineLevel="0" collapsed="false">
      <c r="A47" s="50" t="e">
        <f aca="false">_xlfn.CONCAT($A$1, ".", #REF!)</f>
        <v>#REF!</v>
      </c>
      <c r="B47" s="69" t="e">
        <f aca="false">_xlfn.CONCAT(#REF!, ":", #REF!)</f>
        <v>#REF!</v>
      </c>
      <c r="C47" s="70" t="e">
        <f aca="false">#REF!</f>
        <v>#REF!</v>
      </c>
      <c r="D47" s="70" t="e">
        <f aca="false">#REF!</f>
        <v>#REF!</v>
      </c>
      <c r="E47" s="70" t="e">
        <f aca="false">#REF!</f>
        <v>#REF!</v>
      </c>
      <c r="F47" s="70" t="e">
        <f aca="false">#REF!</f>
        <v>#REF!</v>
      </c>
    </row>
    <row r="48" customFormat="false" ht="12.8" hidden="false" customHeight="false" outlineLevel="0" collapsed="false">
      <c r="A48" s="50" t="e">
        <f aca="false">_xlfn.CONCAT($A$1, ".", #REF!)</f>
        <v>#REF!</v>
      </c>
      <c r="B48" s="69" t="e">
        <f aca="false">_xlfn.CONCAT(#REF!, ":", #REF!)</f>
        <v>#REF!</v>
      </c>
      <c r="C48" s="70" t="e">
        <f aca="false">#REF!</f>
        <v>#REF!</v>
      </c>
      <c r="D48" s="70" t="e">
        <f aca="false">#REF!</f>
        <v>#REF!</v>
      </c>
      <c r="E48" s="70" t="e">
        <f aca="false">#REF!</f>
        <v>#REF!</v>
      </c>
      <c r="F48" s="70" t="e">
        <f aca="false">#REF!</f>
        <v>#REF!</v>
      </c>
    </row>
    <row r="49" customFormat="false" ht="12.8" hidden="false" customHeight="false" outlineLevel="0" collapsed="false">
      <c r="A49" s="50" t="e">
        <f aca="false">_xlfn.CONCAT($A$1, ".", #REF!)</f>
        <v>#REF!</v>
      </c>
      <c r="B49" s="69" t="e">
        <f aca="false">_xlfn.CONCAT(#REF!, ":", #REF!)</f>
        <v>#REF!</v>
      </c>
      <c r="C49" s="70" t="e">
        <f aca="false">#REF!</f>
        <v>#REF!</v>
      </c>
      <c r="D49" s="70" t="e">
        <f aca="false">#REF!</f>
        <v>#REF!</v>
      </c>
      <c r="E49" s="70" t="e">
        <f aca="false">#REF!</f>
        <v>#REF!</v>
      </c>
      <c r="F49" s="70" t="e">
        <f aca="false">#REF!</f>
        <v>#REF!</v>
      </c>
    </row>
    <row r="50" customFormat="false" ht="12.8" hidden="false" customHeight="false" outlineLevel="0" collapsed="false">
      <c r="A50" s="50" t="e">
        <f aca="false">_xlfn.CONCAT($A$1, ".", #REF!)</f>
        <v>#REF!</v>
      </c>
      <c r="B50" s="69" t="e">
        <f aca="false">_xlfn.CONCAT(#REF!, ":", #REF!)</f>
        <v>#REF!</v>
      </c>
      <c r="C50" s="70" t="e">
        <f aca="false">#REF!</f>
        <v>#REF!</v>
      </c>
      <c r="D50" s="70" t="e">
        <f aca="false">#REF!</f>
        <v>#REF!</v>
      </c>
      <c r="E50" s="70" t="e">
        <f aca="false">#REF!</f>
        <v>#REF!</v>
      </c>
      <c r="F50" s="70" t="e">
        <f aca="false">#REF!</f>
        <v>#REF!</v>
      </c>
    </row>
    <row r="51" customFormat="false" ht="12.8" hidden="false" customHeight="false" outlineLevel="0" collapsed="false">
      <c r="A51" s="50" t="e">
        <f aca="false">_xlfn.CONCAT($A$1, ".", #REF!)</f>
        <v>#REF!</v>
      </c>
      <c r="B51" s="69" t="e">
        <f aca="false">_xlfn.CONCAT(#REF!, ":", #REF!)</f>
        <v>#REF!</v>
      </c>
      <c r="C51" s="70" t="e">
        <f aca="false">#REF!</f>
        <v>#REF!</v>
      </c>
      <c r="D51" s="70" t="e">
        <f aca="false">#REF!</f>
        <v>#REF!</v>
      </c>
      <c r="E51" s="70" t="e">
        <f aca="false">#REF!</f>
        <v>#REF!</v>
      </c>
      <c r="F51" s="70" t="e">
        <f aca="false">#REF!</f>
        <v>#REF!</v>
      </c>
    </row>
    <row r="52" customFormat="false" ht="12.8" hidden="false" customHeight="false" outlineLevel="0" collapsed="false">
      <c r="A52" s="50" t="e">
        <f aca="false">_xlfn.CONCAT($A$1, ".", #REF!)</f>
        <v>#REF!</v>
      </c>
      <c r="B52" s="69" t="e">
        <f aca="false">_xlfn.CONCAT(#REF!, ":", #REF!)</f>
        <v>#REF!</v>
      </c>
      <c r="C52" s="70" t="e">
        <f aca="false">#REF!</f>
        <v>#REF!</v>
      </c>
      <c r="D52" s="70" t="e">
        <f aca="false">#REF!</f>
        <v>#REF!</v>
      </c>
      <c r="E52" s="70" t="e">
        <f aca="false">#REF!</f>
        <v>#REF!</v>
      </c>
      <c r="F52" s="70" t="e">
        <f aca="false">#REF!</f>
        <v>#REF!</v>
      </c>
    </row>
    <row r="53" customFormat="false" ht="12.8" hidden="false" customHeight="false" outlineLevel="0" collapsed="false">
      <c r="A53" s="50" t="e">
        <f aca="false">_xlfn.CONCAT($A$1, ".", #REF!)</f>
        <v>#REF!</v>
      </c>
      <c r="B53" s="69" t="e">
        <f aca="false">_xlfn.CONCAT(#REF!, ":", #REF!)</f>
        <v>#REF!</v>
      </c>
      <c r="C53" s="70" t="e">
        <f aca="false">#REF!</f>
        <v>#REF!</v>
      </c>
      <c r="D53" s="70" t="e">
        <f aca="false">#REF!</f>
        <v>#REF!</v>
      </c>
      <c r="E53" s="70" t="e">
        <f aca="false">#REF!</f>
        <v>#REF!</v>
      </c>
      <c r="F53" s="70" t="e">
        <f aca="false">#REF!</f>
        <v>#REF!</v>
      </c>
    </row>
    <row r="54" customFormat="false" ht="12.8" hidden="false" customHeight="false" outlineLevel="0" collapsed="false">
      <c r="A54" s="50" t="e">
        <f aca="false">_xlfn.CONCAT($A$1, ".", #REF!)</f>
        <v>#REF!</v>
      </c>
      <c r="B54" s="69" t="e">
        <f aca="false">_xlfn.CONCAT(#REF!, ":", #REF!)</f>
        <v>#REF!</v>
      </c>
      <c r="C54" s="70" t="e">
        <f aca="false">#REF!</f>
        <v>#REF!</v>
      </c>
      <c r="D54" s="70" t="e">
        <f aca="false">#REF!</f>
        <v>#REF!</v>
      </c>
      <c r="E54" s="70" t="e">
        <f aca="false">#REF!</f>
        <v>#REF!</v>
      </c>
      <c r="F54" s="70" t="e">
        <f aca="false">#REF!</f>
        <v>#REF!</v>
      </c>
    </row>
    <row r="55" customFormat="false" ht="12.8" hidden="false" customHeight="false" outlineLevel="0" collapsed="false">
      <c r="A55" s="50" t="e">
        <f aca="false">_xlfn.CONCAT($A$1, ".", #REF!)</f>
        <v>#REF!</v>
      </c>
      <c r="B55" s="69" t="e">
        <f aca="false">_xlfn.CONCAT(#REF!, ":", #REF!)</f>
        <v>#REF!</v>
      </c>
      <c r="C55" s="70" t="e">
        <f aca="false">#REF!</f>
        <v>#REF!</v>
      </c>
      <c r="D55" s="70" t="e">
        <f aca="false">#REF!</f>
        <v>#REF!</v>
      </c>
      <c r="E55" s="70" t="e">
        <f aca="false">#REF!</f>
        <v>#REF!</v>
      </c>
      <c r="F55" s="70"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BP247"/>
  <sheetViews>
    <sheetView showFormulas="false" showGridLines="true" showRowColHeaders="true" showZeros="true" rightToLeft="false" tabSelected="false" showOutlineSymbols="true" defaultGridColor="true" view="normal" topLeftCell="A58"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2815</v>
      </c>
      <c r="B1" s="63" t="s">
        <v>2816</v>
      </c>
      <c r="C1" s="6" t="s">
        <v>2</v>
      </c>
      <c r="D1" s="62" t="s">
        <v>2817</v>
      </c>
      <c r="AZ1" s="39"/>
      <c r="BP1" s="39"/>
    </row>
    <row r="2" customFormat="false" ht="46.25" hidden="false" customHeight="false" outlineLevel="0" collapsed="false">
      <c r="A2" s="67" t="s">
        <v>2813</v>
      </c>
      <c r="B2" s="63" t="s">
        <v>2814</v>
      </c>
      <c r="C2" s="71" t="str">
        <f aca="false">CALC!AE3</f>
        <v>Annual Income Average ($)</v>
      </c>
      <c r="D2" s="71" t="str">
        <f aca="false">CALC!AK3</f>
        <v>Authorized Immigrant Annual Income Average ($)</v>
      </c>
      <c r="E2" s="71" t="str">
        <f aca="false">CALC!AQ3</f>
        <v>Unauthorized Immigrant Annual Income Average ($)</v>
      </c>
      <c r="F2" s="71" t="str">
        <f aca="false">CALC!AW3</f>
        <v>American Annual Income Average ($)</v>
      </c>
    </row>
    <row r="3" customFormat="false" ht="12.8" hidden="false" customHeight="false" outlineLevel="0" collapsed="false">
      <c r="A3" s="4" t="e">
        <f aca="false">_xlfn.CONCAT($A$1, ".", #REF!)</f>
        <v>#REF!</v>
      </c>
      <c r="B3" s="49" t="e">
        <f aca="false">_xlfn.CONCAT(#REF!, ":", #REF!)</f>
        <v>#REF!</v>
      </c>
      <c r="C3" s="71" t="e">
        <f aca="false">#REF!</f>
        <v>#REF!</v>
      </c>
      <c r="D3" s="71" t="e">
        <f aca="false">#REF!</f>
        <v>#REF!</v>
      </c>
      <c r="E3" s="71" t="e">
        <f aca="false">#REF!</f>
        <v>#REF!</v>
      </c>
      <c r="F3" s="71" t="e">
        <f aca="false">#REF!</f>
        <v>#REF!</v>
      </c>
    </row>
    <row r="4" customFormat="false" ht="12.8" hidden="false" customHeight="false" outlineLevel="0" collapsed="false">
      <c r="A4" s="50" t="e">
        <f aca="false">_xlfn.CONCAT($A$1, ".", #REF!)</f>
        <v>#REF!</v>
      </c>
      <c r="B4" s="69" t="e">
        <f aca="false">_xlfn.CONCAT(#REF!, ":", #REF!)</f>
        <v>#REF!</v>
      </c>
      <c r="C4" s="72" t="e">
        <f aca="false">#REF!</f>
        <v>#REF!</v>
      </c>
      <c r="D4" s="72" t="e">
        <f aca="false">#REF!</f>
        <v>#REF!</v>
      </c>
      <c r="E4" s="72" t="e">
        <f aca="false">#REF!</f>
        <v>#REF!</v>
      </c>
      <c r="F4" s="72" t="e">
        <f aca="false">#REF!</f>
        <v>#REF!</v>
      </c>
    </row>
    <row r="5" customFormat="false" ht="12.8" hidden="false" customHeight="false" outlineLevel="0" collapsed="false">
      <c r="A5" s="50" t="e">
        <f aca="false">_xlfn.CONCAT($A$1, ".", #REF!)</f>
        <v>#REF!</v>
      </c>
      <c r="B5" s="69" t="e">
        <f aca="false">_xlfn.CONCAT(#REF!, ":", #REF!)</f>
        <v>#REF!</v>
      </c>
      <c r="C5" s="72" t="e">
        <f aca="false">#REF!</f>
        <v>#REF!</v>
      </c>
      <c r="D5" s="72" t="e">
        <f aca="false">#REF!</f>
        <v>#REF!</v>
      </c>
      <c r="E5" s="72" t="e">
        <f aca="false">#REF!</f>
        <v>#REF!</v>
      </c>
      <c r="F5" s="72" t="e">
        <f aca="false">#REF!</f>
        <v>#REF!</v>
      </c>
    </row>
    <row r="6" customFormat="false" ht="12.8" hidden="false" customHeight="false" outlineLevel="0" collapsed="false">
      <c r="A6" s="50" t="e">
        <f aca="false">_xlfn.CONCAT($A$1, ".", #REF!)</f>
        <v>#REF!</v>
      </c>
      <c r="B6" s="69" t="e">
        <f aca="false">_xlfn.CONCAT(#REF!, ":", #REF!)</f>
        <v>#REF!</v>
      </c>
      <c r="C6" s="72" t="e">
        <f aca="false">#REF!</f>
        <v>#REF!</v>
      </c>
      <c r="D6" s="72" t="e">
        <f aca="false">#REF!</f>
        <v>#REF!</v>
      </c>
      <c r="E6" s="72" t="e">
        <f aca="false">#REF!</f>
        <v>#REF!</v>
      </c>
      <c r="F6" s="72" t="e">
        <f aca="false">#REF!</f>
        <v>#REF!</v>
      </c>
    </row>
    <row r="7" customFormat="false" ht="12.8" hidden="false" customHeight="false" outlineLevel="0" collapsed="false">
      <c r="A7" s="50" t="e">
        <f aca="false">_xlfn.CONCAT($A$1, ".", #REF!)</f>
        <v>#REF!</v>
      </c>
      <c r="B7" s="69" t="e">
        <f aca="false">_xlfn.CONCAT(#REF!, ":", #REF!)</f>
        <v>#REF!</v>
      </c>
      <c r="C7" s="72" t="e">
        <f aca="false">#REF!</f>
        <v>#REF!</v>
      </c>
      <c r="D7" s="72" t="e">
        <f aca="false">#REF!</f>
        <v>#REF!</v>
      </c>
      <c r="E7" s="72" t="e">
        <f aca="false">#REF!</f>
        <v>#REF!</v>
      </c>
      <c r="F7" s="72" t="e">
        <f aca="false">#REF!</f>
        <v>#REF!</v>
      </c>
    </row>
    <row r="8" customFormat="false" ht="12.8" hidden="false" customHeight="false" outlineLevel="0" collapsed="false">
      <c r="A8" s="50" t="e">
        <f aca="false">_xlfn.CONCAT($A$1, ".", #REF!)</f>
        <v>#REF!</v>
      </c>
      <c r="B8" s="69" t="e">
        <f aca="false">_xlfn.CONCAT(#REF!, ":", #REF!)</f>
        <v>#REF!</v>
      </c>
      <c r="C8" s="72" t="e">
        <f aca="false">#REF!</f>
        <v>#REF!</v>
      </c>
      <c r="D8" s="72" t="e">
        <f aca="false">#REF!</f>
        <v>#REF!</v>
      </c>
      <c r="E8" s="72" t="e">
        <f aca="false">#REF!</f>
        <v>#REF!</v>
      </c>
      <c r="F8" s="72" t="e">
        <f aca="false">#REF!</f>
        <v>#REF!</v>
      </c>
    </row>
    <row r="9" customFormat="false" ht="12.8" hidden="false" customHeight="false" outlineLevel="0" collapsed="false">
      <c r="A9" s="50" t="e">
        <f aca="false">_xlfn.CONCAT($A$1, ".", #REF!)</f>
        <v>#REF!</v>
      </c>
      <c r="B9" s="69" t="e">
        <f aca="false">_xlfn.CONCAT(#REF!, ":", #REF!)</f>
        <v>#REF!</v>
      </c>
      <c r="C9" s="72" t="e">
        <f aca="false">#REF!</f>
        <v>#REF!</v>
      </c>
      <c r="D9" s="72" t="e">
        <f aca="false">#REF!</f>
        <v>#REF!</v>
      </c>
      <c r="E9" s="72" t="e">
        <f aca="false">#REF!</f>
        <v>#REF!</v>
      </c>
      <c r="F9" s="72" t="e">
        <f aca="false">#REF!</f>
        <v>#REF!</v>
      </c>
    </row>
    <row r="10" customFormat="false" ht="12.8" hidden="false" customHeight="false" outlineLevel="0" collapsed="false">
      <c r="A10" s="50" t="e">
        <f aca="false">_xlfn.CONCAT($A$1, ".", #REF!)</f>
        <v>#REF!</v>
      </c>
      <c r="B10" s="69" t="e">
        <f aca="false">_xlfn.CONCAT(#REF!, ":", #REF!)</f>
        <v>#REF!</v>
      </c>
      <c r="C10" s="72" t="e">
        <f aca="false">#REF!</f>
        <v>#REF!</v>
      </c>
      <c r="D10" s="72" t="e">
        <f aca="false">#REF!</f>
        <v>#REF!</v>
      </c>
      <c r="E10" s="72" t="e">
        <f aca="false">#REF!</f>
        <v>#REF!</v>
      </c>
      <c r="F10" s="72" t="e">
        <f aca="false">#REF!</f>
        <v>#REF!</v>
      </c>
    </row>
    <row r="11" customFormat="false" ht="12.8" hidden="false" customHeight="false" outlineLevel="0" collapsed="false">
      <c r="A11" s="50" t="e">
        <f aca="false">_xlfn.CONCAT($A$1, ".", #REF!)</f>
        <v>#REF!</v>
      </c>
      <c r="B11" s="69" t="e">
        <f aca="false">_xlfn.CONCAT(#REF!, ":", #REF!)</f>
        <v>#REF!</v>
      </c>
      <c r="C11" s="72" t="e">
        <f aca="false">#REF!</f>
        <v>#REF!</v>
      </c>
      <c r="D11" s="72" t="e">
        <f aca="false">#REF!</f>
        <v>#REF!</v>
      </c>
      <c r="E11" s="72" t="e">
        <f aca="false">#REF!</f>
        <v>#REF!</v>
      </c>
      <c r="F11" s="72" t="e">
        <f aca="false">#REF!</f>
        <v>#REF!</v>
      </c>
    </row>
    <row r="12" customFormat="false" ht="12.8" hidden="false" customHeight="false" outlineLevel="0" collapsed="false">
      <c r="A12" s="50" t="e">
        <f aca="false">_xlfn.CONCAT($A$1, ".", #REF!)</f>
        <v>#REF!</v>
      </c>
      <c r="B12" s="69" t="e">
        <f aca="false">_xlfn.CONCAT(#REF!, ":", #REF!)</f>
        <v>#REF!</v>
      </c>
      <c r="C12" s="72" t="e">
        <f aca="false">#REF!</f>
        <v>#REF!</v>
      </c>
      <c r="D12" s="72" t="e">
        <f aca="false">#REF!</f>
        <v>#REF!</v>
      </c>
      <c r="E12" s="72" t="e">
        <f aca="false">#REF!</f>
        <v>#REF!</v>
      </c>
      <c r="F12" s="72" t="e">
        <f aca="false">#REF!</f>
        <v>#REF!</v>
      </c>
    </row>
    <row r="13" customFormat="false" ht="12.8" hidden="false" customHeight="false" outlineLevel="0" collapsed="false">
      <c r="A13" s="50" t="e">
        <f aca="false">_xlfn.CONCAT($A$1, ".", #REF!)</f>
        <v>#REF!</v>
      </c>
      <c r="B13" s="69" t="e">
        <f aca="false">_xlfn.CONCAT(#REF!, ":", #REF!)</f>
        <v>#REF!</v>
      </c>
      <c r="C13" s="72" t="e">
        <f aca="false">#REF!</f>
        <v>#REF!</v>
      </c>
      <c r="D13" s="72" t="e">
        <f aca="false">#REF!</f>
        <v>#REF!</v>
      </c>
      <c r="E13" s="72" t="e">
        <f aca="false">#REF!</f>
        <v>#REF!</v>
      </c>
      <c r="F13" s="72" t="e">
        <f aca="false">#REF!</f>
        <v>#REF!</v>
      </c>
    </row>
    <row r="14" customFormat="false" ht="12.8" hidden="false" customHeight="false" outlineLevel="0" collapsed="false">
      <c r="A14" s="50" t="e">
        <f aca="false">_xlfn.CONCAT($A$1, ".", #REF!)</f>
        <v>#REF!</v>
      </c>
      <c r="B14" s="69" t="e">
        <f aca="false">_xlfn.CONCAT(#REF!, ":", #REF!)</f>
        <v>#REF!</v>
      </c>
      <c r="C14" s="72" t="e">
        <f aca="false">#REF!</f>
        <v>#REF!</v>
      </c>
      <c r="D14" s="72" t="e">
        <f aca="false">#REF!</f>
        <v>#REF!</v>
      </c>
      <c r="E14" s="72" t="e">
        <f aca="false">#REF!</f>
        <v>#REF!</v>
      </c>
      <c r="F14" s="72" t="e">
        <f aca="false">#REF!</f>
        <v>#REF!</v>
      </c>
    </row>
    <row r="15" customFormat="false" ht="12.8" hidden="false" customHeight="false" outlineLevel="0" collapsed="false">
      <c r="A15" s="50" t="e">
        <f aca="false">_xlfn.CONCAT($A$1, ".", #REF!)</f>
        <v>#REF!</v>
      </c>
      <c r="B15" s="69" t="e">
        <f aca="false">_xlfn.CONCAT(#REF!, ":", #REF!)</f>
        <v>#REF!</v>
      </c>
      <c r="C15" s="72" t="e">
        <f aca="false">#REF!</f>
        <v>#REF!</v>
      </c>
      <c r="D15" s="72" t="e">
        <f aca="false">#REF!</f>
        <v>#REF!</v>
      </c>
      <c r="E15" s="72" t="e">
        <f aca="false">#REF!</f>
        <v>#REF!</v>
      </c>
      <c r="F15" s="72" t="e">
        <f aca="false">#REF!</f>
        <v>#REF!</v>
      </c>
    </row>
    <row r="16" customFormat="false" ht="12.8" hidden="false" customHeight="false" outlineLevel="0" collapsed="false">
      <c r="A16" s="50" t="e">
        <f aca="false">_xlfn.CONCAT($A$1, ".", #REF!)</f>
        <v>#REF!</v>
      </c>
      <c r="B16" s="69" t="e">
        <f aca="false">_xlfn.CONCAT(#REF!, ":", #REF!)</f>
        <v>#REF!</v>
      </c>
      <c r="C16" s="72" t="e">
        <f aca="false">#REF!</f>
        <v>#REF!</v>
      </c>
      <c r="D16" s="72" t="e">
        <f aca="false">#REF!</f>
        <v>#REF!</v>
      </c>
      <c r="E16" s="72" t="e">
        <f aca="false">#REF!</f>
        <v>#REF!</v>
      </c>
      <c r="F16" s="72" t="e">
        <f aca="false">#REF!</f>
        <v>#REF!</v>
      </c>
    </row>
    <row r="17" customFormat="false" ht="12.8" hidden="false" customHeight="false" outlineLevel="0" collapsed="false">
      <c r="A17" s="50" t="e">
        <f aca="false">_xlfn.CONCAT($A$1, ".", #REF!)</f>
        <v>#REF!</v>
      </c>
      <c r="B17" s="69" t="e">
        <f aca="false">_xlfn.CONCAT(#REF!, ":", #REF!)</f>
        <v>#REF!</v>
      </c>
      <c r="C17" s="72" t="e">
        <f aca="false">#REF!</f>
        <v>#REF!</v>
      </c>
      <c r="D17" s="72" t="e">
        <f aca="false">#REF!</f>
        <v>#REF!</v>
      </c>
      <c r="E17" s="72" t="e">
        <f aca="false">#REF!</f>
        <v>#REF!</v>
      </c>
      <c r="F17" s="72" t="e">
        <f aca="false">#REF!</f>
        <v>#REF!</v>
      </c>
    </row>
    <row r="18" customFormat="false" ht="12.8" hidden="false" customHeight="false" outlineLevel="0" collapsed="false">
      <c r="A18" s="50" t="e">
        <f aca="false">_xlfn.CONCAT($A$1, ".", #REF!)</f>
        <v>#REF!</v>
      </c>
      <c r="B18" s="69" t="e">
        <f aca="false">_xlfn.CONCAT(#REF!, ":", #REF!)</f>
        <v>#REF!</v>
      </c>
      <c r="C18" s="72" t="e">
        <f aca="false">#REF!</f>
        <v>#REF!</v>
      </c>
      <c r="D18" s="72" t="e">
        <f aca="false">#REF!</f>
        <v>#REF!</v>
      </c>
      <c r="E18" s="72" t="e">
        <f aca="false">#REF!</f>
        <v>#REF!</v>
      </c>
      <c r="F18" s="72" t="e">
        <f aca="false">#REF!</f>
        <v>#REF!</v>
      </c>
    </row>
    <row r="19" customFormat="false" ht="12.8" hidden="false" customHeight="false" outlineLevel="0" collapsed="false">
      <c r="A19" s="50" t="e">
        <f aca="false">_xlfn.CONCAT($A$1, ".", #REF!)</f>
        <v>#REF!</v>
      </c>
      <c r="B19" s="69" t="e">
        <f aca="false">_xlfn.CONCAT(#REF!, ":", #REF!)</f>
        <v>#REF!</v>
      </c>
      <c r="C19" s="72" t="e">
        <f aca="false">#REF!</f>
        <v>#REF!</v>
      </c>
      <c r="D19" s="72" t="e">
        <f aca="false">#REF!</f>
        <v>#REF!</v>
      </c>
      <c r="E19" s="72" t="e">
        <f aca="false">#REF!</f>
        <v>#REF!</v>
      </c>
      <c r="F19" s="72" t="e">
        <f aca="false">#REF!</f>
        <v>#REF!</v>
      </c>
    </row>
    <row r="20" customFormat="false" ht="12.8" hidden="false" customHeight="false" outlineLevel="0" collapsed="false">
      <c r="A20" s="50" t="e">
        <f aca="false">_xlfn.CONCAT($A$1, ".", #REF!)</f>
        <v>#REF!</v>
      </c>
      <c r="B20" s="69" t="e">
        <f aca="false">_xlfn.CONCAT(#REF!, ":", #REF!)</f>
        <v>#REF!</v>
      </c>
      <c r="C20" s="72" t="e">
        <f aca="false">#REF!</f>
        <v>#REF!</v>
      </c>
      <c r="D20" s="72" t="e">
        <f aca="false">#REF!</f>
        <v>#REF!</v>
      </c>
      <c r="E20" s="72" t="e">
        <f aca="false">#REF!</f>
        <v>#REF!</v>
      </c>
      <c r="F20" s="72" t="e">
        <f aca="false">#REF!</f>
        <v>#REF!</v>
      </c>
    </row>
    <row r="21" customFormat="false" ht="12.8" hidden="false" customHeight="false" outlineLevel="0" collapsed="false">
      <c r="A21" s="50" t="e">
        <f aca="false">_xlfn.CONCAT($A$1, ".", #REF!)</f>
        <v>#REF!</v>
      </c>
      <c r="B21" s="69" t="e">
        <f aca="false">_xlfn.CONCAT(#REF!, ":", #REF!)</f>
        <v>#REF!</v>
      </c>
      <c r="C21" s="72" t="e">
        <f aca="false">#REF!</f>
        <v>#REF!</v>
      </c>
      <c r="D21" s="72" t="e">
        <f aca="false">#REF!</f>
        <v>#REF!</v>
      </c>
      <c r="E21" s="72" t="e">
        <f aca="false">#REF!</f>
        <v>#REF!</v>
      </c>
      <c r="F21" s="72" t="e">
        <f aca="false">#REF!</f>
        <v>#REF!</v>
      </c>
    </row>
    <row r="22" customFormat="false" ht="12.8" hidden="false" customHeight="false" outlineLevel="0" collapsed="false">
      <c r="A22" s="50" t="e">
        <f aca="false">_xlfn.CONCAT($A$1, ".", #REF!)</f>
        <v>#REF!</v>
      </c>
      <c r="B22" s="69" t="e">
        <f aca="false">_xlfn.CONCAT(#REF!, ":", #REF!)</f>
        <v>#REF!</v>
      </c>
      <c r="C22" s="72" t="e">
        <f aca="false">#REF!</f>
        <v>#REF!</v>
      </c>
      <c r="D22" s="72" t="e">
        <f aca="false">#REF!</f>
        <v>#REF!</v>
      </c>
      <c r="E22" s="72" t="e">
        <f aca="false">#REF!</f>
        <v>#REF!</v>
      </c>
      <c r="F22" s="72" t="e">
        <f aca="false">#REF!</f>
        <v>#REF!</v>
      </c>
    </row>
    <row r="23" customFormat="false" ht="12.8" hidden="false" customHeight="false" outlineLevel="0" collapsed="false">
      <c r="A23" s="50" t="e">
        <f aca="false">_xlfn.CONCAT($A$1, ".", #REF!)</f>
        <v>#REF!</v>
      </c>
      <c r="B23" s="69" t="e">
        <f aca="false">_xlfn.CONCAT(#REF!, ":", #REF!)</f>
        <v>#REF!</v>
      </c>
      <c r="C23" s="72" t="e">
        <f aca="false">#REF!</f>
        <v>#REF!</v>
      </c>
      <c r="D23" s="72" t="e">
        <f aca="false">#REF!</f>
        <v>#REF!</v>
      </c>
      <c r="E23" s="72" t="e">
        <f aca="false">#REF!</f>
        <v>#REF!</v>
      </c>
      <c r="F23" s="72" t="e">
        <f aca="false">#REF!</f>
        <v>#REF!</v>
      </c>
    </row>
    <row r="24" customFormat="false" ht="12.8" hidden="false" customHeight="false" outlineLevel="0" collapsed="false">
      <c r="A24" s="50" t="e">
        <f aca="false">_xlfn.CONCAT($A$1, ".", #REF!)</f>
        <v>#REF!</v>
      </c>
      <c r="B24" s="69" t="e">
        <f aca="false">_xlfn.CONCAT(#REF!, ":", #REF!)</f>
        <v>#REF!</v>
      </c>
      <c r="C24" s="72" t="e">
        <f aca="false">#REF!</f>
        <v>#REF!</v>
      </c>
      <c r="D24" s="72" t="e">
        <f aca="false">#REF!</f>
        <v>#REF!</v>
      </c>
      <c r="E24" s="72" t="e">
        <f aca="false">#REF!</f>
        <v>#REF!</v>
      </c>
      <c r="F24" s="72" t="e">
        <f aca="false">#REF!</f>
        <v>#REF!</v>
      </c>
    </row>
    <row r="25" customFormat="false" ht="12.8" hidden="false" customHeight="false" outlineLevel="0" collapsed="false">
      <c r="A25" s="50" t="e">
        <f aca="false">_xlfn.CONCAT($A$1, ".", #REF!)</f>
        <v>#REF!</v>
      </c>
      <c r="B25" s="69" t="e">
        <f aca="false">_xlfn.CONCAT(#REF!, ":", #REF!)</f>
        <v>#REF!</v>
      </c>
      <c r="C25" s="72" t="e">
        <f aca="false">#REF!</f>
        <v>#REF!</v>
      </c>
      <c r="D25" s="72" t="e">
        <f aca="false">#REF!</f>
        <v>#REF!</v>
      </c>
      <c r="E25" s="72" t="e">
        <f aca="false">#REF!</f>
        <v>#REF!</v>
      </c>
      <c r="F25" s="72" t="e">
        <f aca="false">#REF!</f>
        <v>#REF!</v>
      </c>
    </row>
    <row r="26" customFormat="false" ht="12.8" hidden="false" customHeight="false" outlineLevel="0" collapsed="false">
      <c r="A26" s="50" t="e">
        <f aca="false">_xlfn.CONCAT($A$1, ".", #REF!)</f>
        <v>#REF!</v>
      </c>
      <c r="B26" s="69" t="e">
        <f aca="false">_xlfn.CONCAT(#REF!, ":", #REF!)</f>
        <v>#REF!</v>
      </c>
      <c r="C26" s="72" t="e">
        <f aca="false">#REF!</f>
        <v>#REF!</v>
      </c>
      <c r="D26" s="72" t="e">
        <f aca="false">#REF!</f>
        <v>#REF!</v>
      </c>
      <c r="E26" s="72" t="e">
        <f aca="false">#REF!</f>
        <v>#REF!</v>
      </c>
      <c r="F26" s="72" t="e">
        <f aca="false">#REF!</f>
        <v>#REF!</v>
      </c>
    </row>
    <row r="27" customFormat="false" ht="12.8" hidden="false" customHeight="false" outlineLevel="0" collapsed="false">
      <c r="A27" s="50" t="e">
        <f aca="false">_xlfn.CONCAT($A$1, ".", #REF!)</f>
        <v>#REF!</v>
      </c>
      <c r="B27" s="69" t="e">
        <f aca="false">_xlfn.CONCAT(#REF!, ":", #REF!)</f>
        <v>#REF!</v>
      </c>
      <c r="C27" s="72" t="e">
        <f aca="false">#REF!</f>
        <v>#REF!</v>
      </c>
      <c r="D27" s="72" t="e">
        <f aca="false">#REF!</f>
        <v>#REF!</v>
      </c>
      <c r="E27" s="72" t="e">
        <f aca="false">#REF!</f>
        <v>#REF!</v>
      </c>
      <c r="F27" s="72" t="e">
        <f aca="false">#REF!</f>
        <v>#REF!</v>
      </c>
    </row>
    <row r="28" customFormat="false" ht="12.8" hidden="false" customHeight="false" outlineLevel="0" collapsed="false">
      <c r="A28" s="50" t="e">
        <f aca="false">_xlfn.CONCAT($A$1, ".", #REF!)</f>
        <v>#REF!</v>
      </c>
      <c r="B28" s="69" t="e">
        <f aca="false">_xlfn.CONCAT(#REF!, ":", #REF!)</f>
        <v>#REF!</v>
      </c>
      <c r="C28" s="72" t="e">
        <f aca="false">#REF!</f>
        <v>#REF!</v>
      </c>
      <c r="D28" s="72" t="e">
        <f aca="false">#REF!</f>
        <v>#REF!</v>
      </c>
      <c r="E28" s="72" t="e">
        <f aca="false">#REF!</f>
        <v>#REF!</v>
      </c>
      <c r="F28" s="72" t="e">
        <f aca="false">#REF!</f>
        <v>#REF!</v>
      </c>
    </row>
    <row r="29" customFormat="false" ht="12.8" hidden="false" customHeight="false" outlineLevel="0" collapsed="false">
      <c r="A29" s="50" t="e">
        <f aca="false">_xlfn.CONCAT($A$1, ".", #REF!)</f>
        <v>#REF!</v>
      </c>
      <c r="B29" s="69" t="e">
        <f aca="false">_xlfn.CONCAT(#REF!, ":", #REF!)</f>
        <v>#REF!</v>
      </c>
      <c r="C29" s="72" t="e">
        <f aca="false">#REF!</f>
        <v>#REF!</v>
      </c>
      <c r="D29" s="72" t="e">
        <f aca="false">#REF!</f>
        <v>#REF!</v>
      </c>
      <c r="E29" s="72" t="e">
        <f aca="false">#REF!</f>
        <v>#REF!</v>
      </c>
      <c r="F29" s="72" t="e">
        <f aca="false">#REF!</f>
        <v>#REF!</v>
      </c>
    </row>
    <row r="30" customFormat="false" ht="12.8" hidden="false" customHeight="false" outlineLevel="0" collapsed="false">
      <c r="A30" s="50" t="e">
        <f aca="false">_xlfn.CONCAT($A$1, ".", #REF!)</f>
        <v>#REF!</v>
      </c>
      <c r="B30" s="69" t="e">
        <f aca="false">_xlfn.CONCAT(#REF!, ":", #REF!)</f>
        <v>#REF!</v>
      </c>
      <c r="C30" s="72" t="e">
        <f aca="false">#REF!</f>
        <v>#REF!</v>
      </c>
      <c r="D30" s="72" t="e">
        <f aca="false">#REF!</f>
        <v>#REF!</v>
      </c>
      <c r="E30" s="72" t="e">
        <f aca="false">#REF!</f>
        <v>#REF!</v>
      </c>
      <c r="F30" s="72" t="e">
        <f aca="false">#REF!</f>
        <v>#REF!</v>
      </c>
    </row>
    <row r="31" customFormat="false" ht="12.8" hidden="false" customHeight="false" outlineLevel="0" collapsed="false">
      <c r="A31" s="50" t="e">
        <f aca="false">_xlfn.CONCAT($A$1, ".", #REF!)</f>
        <v>#REF!</v>
      </c>
      <c r="B31" s="69" t="e">
        <f aca="false">_xlfn.CONCAT(#REF!, ":", #REF!)</f>
        <v>#REF!</v>
      </c>
      <c r="C31" s="72" t="e">
        <f aca="false">#REF!</f>
        <v>#REF!</v>
      </c>
      <c r="D31" s="72" t="e">
        <f aca="false">#REF!</f>
        <v>#REF!</v>
      </c>
      <c r="E31" s="72" t="e">
        <f aca="false">#REF!</f>
        <v>#REF!</v>
      </c>
      <c r="F31" s="72" t="e">
        <f aca="false">#REF!</f>
        <v>#REF!</v>
      </c>
    </row>
    <row r="32" customFormat="false" ht="12.8" hidden="false" customHeight="false" outlineLevel="0" collapsed="false">
      <c r="A32" s="50" t="e">
        <f aca="false">_xlfn.CONCAT($A$1, ".", #REF!)</f>
        <v>#REF!</v>
      </c>
      <c r="B32" s="69" t="e">
        <f aca="false">_xlfn.CONCAT(#REF!, ":", #REF!)</f>
        <v>#REF!</v>
      </c>
      <c r="C32" s="72" t="e">
        <f aca="false">#REF!</f>
        <v>#REF!</v>
      </c>
      <c r="D32" s="72" t="e">
        <f aca="false">#REF!</f>
        <v>#REF!</v>
      </c>
      <c r="E32" s="72" t="e">
        <f aca="false">#REF!</f>
        <v>#REF!</v>
      </c>
      <c r="F32" s="72" t="e">
        <f aca="false">#REF!</f>
        <v>#REF!</v>
      </c>
    </row>
    <row r="33" customFormat="false" ht="12.8" hidden="false" customHeight="false" outlineLevel="0" collapsed="false">
      <c r="A33" s="50" t="e">
        <f aca="false">_xlfn.CONCAT($A$1, ".", #REF!)</f>
        <v>#REF!</v>
      </c>
      <c r="B33" s="69" t="e">
        <f aca="false">_xlfn.CONCAT(#REF!, ":", #REF!)</f>
        <v>#REF!</v>
      </c>
      <c r="C33" s="72" t="e">
        <f aca="false">#REF!</f>
        <v>#REF!</v>
      </c>
      <c r="D33" s="72" t="e">
        <f aca="false">#REF!</f>
        <v>#REF!</v>
      </c>
      <c r="E33" s="72" t="e">
        <f aca="false">#REF!</f>
        <v>#REF!</v>
      </c>
      <c r="F33" s="72" t="e">
        <f aca="false">#REF!</f>
        <v>#REF!</v>
      </c>
    </row>
    <row r="34" customFormat="false" ht="12.8" hidden="false" customHeight="false" outlineLevel="0" collapsed="false">
      <c r="A34" s="50" t="e">
        <f aca="false">_xlfn.CONCAT($A$1, ".", #REF!)</f>
        <v>#REF!</v>
      </c>
      <c r="B34" s="69" t="e">
        <f aca="false">_xlfn.CONCAT(#REF!, ":", #REF!)</f>
        <v>#REF!</v>
      </c>
      <c r="C34" s="72" t="e">
        <f aca="false">#REF!</f>
        <v>#REF!</v>
      </c>
      <c r="D34" s="72" t="e">
        <f aca="false">#REF!</f>
        <v>#REF!</v>
      </c>
      <c r="E34" s="72" t="e">
        <f aca="false">#REF!</f>
        <v>#REF!</v>
      </c>
      <c r="F34" s="72" t="e">
        <f aca="false">#REF!</f>
        <v>#REF!</v>
      </c>
    </row>
    <row r="35" customFormat="false" ht="12.8" hidden="false" customHeight="false" outlineLevel="0" collapsed="false">
      <c r="A35" s="50" t="e">
        <f aca="false">_xlfn.CONCAT($A$1, ".", #REF!)</f>
        <v>#REF!</v>
      </c>
      <c r="B35" s="69" t="e">
        <f aca="false">_xlfn.CONCAT(#REF!, ":", #REF!)</f>
        <v>#REF!</v>
      </c>
      <c r="C35" s="72" t="e">
        <f aca="false">#REF!</f>
        <v>#REF!</v>
      </c>
      <c r="D35" s="72" t="e">
        <f aca="false">#REF!</f>
        <v>#REF!</v>
      </c>
      <c r="E35" s="72" t="e">
        <f aca="false">#REF!</f>
        <v>#REF!</v>
      </c>
      <c r="F35" s="72" t="e">
        <f aca="false">#REF!</f>
        <v>#REF!</v>
      </c>
    </row>
    <row r="36" customFormat="false" ht="12.8" hidden="false" customHeight="false" outlineLevel="0" collapsed="false">
      <c r="A36" s="50" t="e">
        <f aca="false">_xlfn.CONCAT($A$1, ".", #REF!)</f>
        <v>#REF!</v>
      </c>
      <c r="B36" s="69" t="e">
        <f aca="false">_xlfn.CONCAT(#REF!, ":", #REF!)</f>
        <v>#REF!</v>
      </c>
      <c r="C36" s="72" t="e">
        <f aca="false">#REF!</f>
        <v>#REF!</v>
      </c>
      <c r="D36" s="72" t="e">
        <f aca="false">#REF!</f>
        <v>#REF!</v>
      </c>
      <c r="E36" s="72" t="e">
        <f aca="false">#REF!</f>
        <v>#REF!</v>
      </c>
      <c r="F36" s="72" t="e">
        <f aca="false">#REF!</f>
        <v>#REF!</v>
      </c>
    </row>
    <row r="37" customFormat="false" ht="12.8" hidden="false" customHeight="false" outlineLevel="0" collapsed="false">
      <c r="A37" s="50" t="e">
        <f aca="false">_xlfn.CONCAT($A$1, ".", #REF!)</f>
        <v>#REF!</v>
      </c>
      <c r="B37" s="69" t="e">
        <f aca="false">_xlfn.CONCAT(#REF!, ":", #REF!)</f>
        <v>#REF!</v>
      </c>
      <c r="C37" s="72" t="e">
        <f aca="false">#REF!</f>
        <v>#REF!</v>
      </c>
      <c r="D37" s="72" t="e">
        <f aca="false">#REF!</f>
        <v>#REF!</v>
      </c>
      <c r="E37" s="72" t="e">
        <f aca="false">#REF!</f>
        <v>#REF!</v>
      </c>
      <c r="F37" s="72" t="e">
        <f aca="false">#REF!</f>
        <v>#REF!</v>
      </c>
    </row>
    <row r="38" customFormat="false" ht="12.8" hidden="false" customHeight="false" outlineLevel="0" collapsed="false">
      <c r="A38" s="50" t="e">
        <f aca="false">_xlfn.CONCAT($A$1, ".", #REF!)</f>
        <v>#REF!</v>
      </c>
      <c r="B38" s="69" t="e">
        <f aca="false">_xlfn.CONCAT(#REF!, ":", #REF!)</f>
        <v>#REF!</v>
      </c>
      <c r="C38" s="72" t="e">
        <f aca="false">#REF!</f>
        <v>#REF!</v>
      </c>
      <c r="D38" s="72" t="e">
        <f aca="false">#REF!</f>
        <v>#REF!</v>
      </c>
      <c r="E38" s="72" t="e">
        <f aca="false">#REF!</f>
        <v>#REF!</v>
      </c>
      <c r="F38" s="72" t="e">
        <f aca="false">#REF!</f>
        <v>#REF!</v>
      </c>
    </row>
    <row r="39" customFormat="false" ht="12.8" hidden="false" customHeight="false" outlineLevel="0" collapsed="false">
      <c r="A39" s="50" t="e">
        <f aca="false">_xlfn.CONCAT($A$1, ".", #REF!)</f>
        <v>#REF!</v>
      </c>
      <c r="B39" s="69" t="e">
        <f aca="false">_xlfn.CONCAT(#REF!, ":", #REF!)</f>
        <v>#REF!</v>
      </c>
      <c r="C39" s="72" t="e">
        <f aca="false">#REF!</f>
        <v>#REF!</v>
      </c>
      <c r="D39" s="72" t="e">
        <f aca="false">#REF!</f>
        <v>#REF!</v>
      </c>
      <c r="E39" s="72" t="e">
        <f aca="false">#REF!</f>
        <v>#REF!</v>
      </c>
      <c r="F39" s="72" t="e">
        <f aca="false">#REF!</f>
        <v>#REF!</v>
      </c>
    </row>
    <row r="40" customFormat="false" ht="12.8" hidden="false" customHeight="false" outlineLevel="0" collapsed="false">
      <c r="A40" s="50" t="e">
        <f aca="false">_xlfn.CONCAT($A$1, ".", #REF!)</f>
        <v>#REF!</v>
      </c>
      <c r="B40" s="69" t="e">
        <f aca="false">_xlfn.CONCAT(#REF!, ":", #REF!)</f>
        <v>#REF!</v>
      </c>
      <c r="C40" s="72" t="e">
        <f aca="false">#REF!</f>
        <v>#REF!</v>
      </c>
      <c r="D40" s="72" t="e">
        <f aca="false">#REF!</f>
        <v>#REF!</v>
      </c>
      <c r="E40" s="72" t="e">
        <f aca="false">#REF!</f>
        <v>#REF!</v>
      </c>
      <c r="F40" s="72" t="e">
        <f aca="false">#REF!</f>
        <v>#REF!</v>
      </c>
    </row>
    <row r="41" customFormat="false" ht="12.8" hidden="false" customHeight="false" outlineLevel="0" collapsed="false">
      <c r="A41" s="50" t="e">
        <f aca="false">_xlfn.CONCAT($A$1, ".", #REF!)</f>
        <v>#REF!</v>
      </c>
      <c r="B41" s="69" t="e">
        <f aca="false">_xlfn.CONCAT(#REF!, ":", #REF!)</f>
        <v>#REF!</v>
      </c>
      <c r="C41" s="72" t="e">
        <f aca="false">#REF!</f>
        <v>#REF!</v>
      </c>
      <c r="D41" s="72" t="e">
        <f aca="false">#REF!</f>
        <v>#REF!</v>
      </c>
      <c r="E41" s="72" t="e">
        <f aca="false">#REF!</f>
        <v>#REF!</v>
      </c>
      <c r="F41" s="72" t="e">
        <f aca="false">#REF!</f>
        <v>#REF!</v>
      </c>
    </row>
    <row r="42" customFormat="false" ht="12.8" hidden="false" customHeight="false" outlineLevel="0" collapsed="false">
      <c r="A42" s="50" t="e">
        <f aca="false">_xlfn.CONCAT($A$1, ".", #REF!)</f>
        <v>#REF!</v>
      </c>
      <c r="B42" s="69" t="e">
        <f aca="false">_xlfn.CONCAT(#REF!, ":", #REF!)</f>
        <v>#REF!</v>
      </c>
      <c r="C42" s="72" t="e">
        <f aca="false">#REF!</f>
        <v>#REF!</v>
      </c>
      <c r="D42" s="72" t="e">
        <f aca="false">#REF!</f>
        <v>#REF!</v>
      </c>
      <c r="E42" s="72" t="e">
        <f aca="false">#REF!</f>
        <v>#REF!</v>
      </c>
      <c r="F42" s="72" t="e">
        <f aca="false">#REF!</f>
        <v>#REF!</v>
      </c>
    </row>
    <row r="43" customFormat="false" ht="12.8" hidden="false" customHeight="false" outlineLevel="0" collapsed="false">
      <c r="A43" s="50" t="e">
        <f aca="false">_xlfn.CONCAT($A$1, ".", #REF!)</f>
        <v>#REF!</v>
      </c>
      <c r="B43" s="69" t="e">
        <f aca="false">_xlfn.CONCAT(#REF!, ":", #REF!)</f>
        <v>#REF!</v>
      </c>
      <c r="C43" s="72" t="e">
        <f aca="false">#REF!</f>
        <v>#REF!</v>
      </c>
      <c r="D43" s="72" t="e">
        <f aca="false">#REF!</f>
        <v>#REF!</v>
      </c>
      <c r="E43" s="72" t="e">
        <f aca="false">#REF!</f>
        <v>#REF!</v>
      </c>
      <c r="F43" s="72" t="e">
        <f aca="false">#REF!</f>
        <v>#REF!</v>
      </c>
    </row>
    <row r="44" customFormat="false" ht="12.8" hidden="false" customHeight="false" outlineLevel="0" collapsed="false">
      <c r="A44" s="50" t="e">
        <f aca="false">_xlfn.CONCAT($A$1, ".", #REF!)</f>
        <v>#REF!</v>
      </c>
      <c r="B44" s="69" t="e">
        <f aca="false">_xlfn.CONCAT(#REF!, ":", #REF!)</f>
        <v>#REF!</v>
      </c>
      <c r="C44" s="72" t="e">
        <f aca="false">#REF!</f>
        <v>#REF!</v>
      </c>
      <c r="D44" s="72" t="e">
        <f aca="false">#REF!</f>
        <v>#REF!</v>
      </c>
      <c r="E44" s="72" t="e">
        <f aca="false">#REF!</f>
        <v>#REF!</v>
      </c>
      <c r="F44" s="72" t="e">
        <f aca="false">#REF!</f>
        <v>#REF!</v>
      </c>
    </row>
    <row r="45" customFormat="false" ht="12.8" hidden="false" customHeight="false" outlineLevel="0" collapsed="false">
      <c r="A45" s="50" t="e">
        <f aca="false">_xlfn.CONCAT($A$1, ".", #REF!)</f>
        <v>#REF!</v>
      </c>
      <c r="B45" s="69" t="e">
        <f aca="false">_xlfn.CONCAT(#REF!, ":", #REF!)</f>
        <v>#REF!</v>
      </c>
      <c r="C45" s="72" t="e">
        <f aca="false">#REF!</f>
        <v>#REF!</v>
      </c>
      <c r="D45" s="72" t="e">
        <f aca="false">#REF!</f>
        <v>#REF!</v>
      </c>
      <c r="E45" s="72" t="e">
        <f aca="false">#REF!</f>
        <v>#REF!</v>
      </c>
      <c r="F45" s="72" t="e">
        <f aca="false">#REF!</f>
        <v>#REF!</v>
      </c>
    </row>
    <row r="46" customFormat="false" ht="12.8" hidden="false" customHeight="false" outlineLevel="0" collapsed="false">
      <c r="A46" s="50" t="e">
        <f aca="false">_xlfn.CONCAT($A$1, ".", #REF!)</f>
        <v>#REF!</v>
      </c>
      <c r="B46" s="69" t="e">
        <f aca="false">_xlfn.CONCAT(#REF!, ":", #REF!)</f>
        <v>#REF!</v>
      </c>
      <c r="C46" s="72" t="e">
        <f aca="false">#REF!</f>
        <v>#REF!</v>
      </c>
      <c r="D46" s="72" t="e">
        <f aca="false">#REF!</f>
        <v>#REF!</v>
      </c>
      <c r="E46" s="72" t="e">
        <f aca="false">#REF!</f>
        <v>#REF!</v>
      </c>
      <c r="F46" s="72" t="e">
        <f aca="false">#REF!</f>
        <v>#REF!</v>
      </c>
    </row>
    <row r="47" customFormat="false" ht="12.8" hidden="false" customHeight="false" outlineLevel="0" collapsed="false">
      <c r="A47" s="50" t="e">
        <f aca="false">_xlfn.CONCAT($A$1, ".", #REF!)</f>
        <v>#REF!</v>
      </c>
      <c r="B47" s="69" t="e">
        <f aca="false">_xlfn.CONCAT(#REF!, ":", #REF!)</f>
        <v>#REF!</v>
      </c>
      <c r="C47" s="72" t="e">
        <f aca="false">#REF!</f>
        <v>#REF!</v>
      </c>
      <c r="D47" s="72" t="e">
        <f aca="false">#REF!</f>
        <v>#REF!</v>
      </c>
      <c r="E47" s="72" t="e">
        <f aca="false">#REF!</f>
        <v>#REF!</v>
      </c>
      <c r="F47" s="72" t="e">
        <f aca="false">#REF!</f>
        <v>#REF!</v>
      </c>
    </row>
    <row r="48" customFormat="false" ht="12.8" hidden="false" customHeight="false" outlineLevel="0" collapsed="false">
      <c r="A48" s="50" t="e">
        <f aca="false">_xlfn.CONCAT($A$1, ".", #REF!)</f>
        <v>#REF!</v>
      </c>
      <c r="B48" s="69" t="e">
        <f aca="false">_xlfn.CONCAT(#REF!, ":", #REF!)</f>
        <v>#REF!</v>
      </c>
      <c r="C48" s="72" t="e">
        <f aca="false">#REF!</f>
        <v>#REF!</v>
      </c>
      <c r="D48" s="72" t="e">
        <f aca="false">#REF!</f>
        <v>#REF!</v>
      </c>
      <c r="E48" s="72" t="e">
        <f aca="false">#REF!</f>
        <v>#REF!</v>
      </c>
      <c r="F48" s="72" t="e">
        <f aca="false">#REF!</f>
        <v>#REF!</v>
      </c>
    </row>
    <row r="49" customFormat="false" ht="12.8" hidden="false" customHeight="false" outlineLevel="0" collapsed="false">
      <c r="A49" s="50" t="e">
        <f aca="false">_xlfn.CONCAT($A$1, ".", #REF!)</f>
        <v>#REF!</v>
      </c>
      <c r="B49" s="69" t="e">
        <f aca="false">_xlfn.CONCAT(#REF!, ":", #REF!)</f>
        <v>#REF!</v>
      </c>
      <c r="C49" s="72" t="e">
        <f aca="false">#REF!</f>
        <v>#REF!</v>
      </c>
      <c r="D49" s="72" t="e">
        <f aca="false">#REF!</f>
        <v>#REF!</v>
      </c>
      <c r="E49" s="72" t="e">
        <f aca="false">#REF!</f>
        <v>#REF!</v>
      </c>
      <c r="F49" s="72" t="e">
        <f aca="false">#REF!</f>
        <v>#REF!</v>
      </c>
    </row>
    <row r="50" customFormat="false" ht="12.8" hidden="false" customHeight="false" outlineLevel="0" collapsed="false">
      <c r="A50" s="50" t="e">
        <f aca="false">_xlfn.CONCAT($A$1, ".", #REF!)</f>
        <v>#REF!</v>
      </c>
      <c r="B50" s="69" t="e">
        <f aca="false">_xlfn.CONCAT(#REF!, ":", #REF!)</f>
        <v>#REF!</v>
      </c>
      <c r="C50" s="72" t="e">
        <f aca="false">#REF!</f>
        <v>#REF!</v>
      </c>
      <c r="D50" s="72" t="e">
        <f aca="false">#REF!</f>
        <v>#REF!</v>
      </c>
      <c r="E50" s="72" t="e">
        <f aca="false">#REF!</f>
        <v>#REF!</v>
      </c>
      <c r="F50" s="72" t="e">
        <f aca="false">#REF!</f>
        <v>#REF!</v>
      </c>
    </row>
    <row r="51" customFormat="false" ht="12.8" hidden="false" customHeight="false" outlineLevel="0" collapsed="false">
      <c r="A51" s="50" t="e">
        <f aca="false">_xlfn.CONCAT($A$1, ".", #REF!)</f>
        <v>#REF!</v>
      </c>
      <c r="B51" s="69" t="e">
        <f aca="false">_xlfn.CONCAT(#REF!, ":", #REF!)</f>
        <v>#REF!</v>
      </c>
      <c r="C51" s="72" t="e">
        <f aca="false">#REF!</f>
        <v>#REF!</v>
      </c>
      <c r="D51" s="72" t="e">
        <f aca="false">#REF!</f>
        <v>#REF!</v>
      </c>
      <c r="E51" s="72" t="e">
        <f aca="false">#REF!</f>
        <v>#REF!</v>
      </c>
      <c r="F51" s="72" t="e">
        <f aca="false">#REF!</f>
        <v>#REF!</v>
      </c>
    </row>
    <row r="52" customFormat="false" ht="12.8" hidden="false" customHeight="false" outlineLevel="0" collapsed="false">
      <c r="A52" s="50" t="e">
        <f aca="false">_xlfn.CONCAT($A$1, ".", #REF!)</f>
        <v>#REF!</v>
      </c>
      <c r="B52" s="69" t="e">
        <f aca="false">_xlfn.CONCAT(#REF!, ":", #REF!)</f>
        <v>#REF!</v>
      </c>
      <c r="C52" s="72" t="e">
        <f aca="false">#REF!</f>
        <v>#REF!</v>
      </c>
      <c r="D52" s="72" t="e">
        <f aca="false">#REF!</f>
        <v>#REF!</v>
      </c>
      <c r="E52" s="72" t="e">
        <f aca="false">#REF!</f>
        <v>#REF!</v>
      </c>
      <c r="F52" s="72" t="e">
        <f aca="false">#REF!</f>
        <v>#REF!</v>
      </c>
    </row>
    <row r="53" customFormat="false" ht="12.8" hidden="false" customHeight="false" outlineLevel="0" collapsed="false">
      <c r="A53" s="50" t="e">
        <f aca="false">_xlfn.CONCAT($A$1, ".", #REF!)</f>
        <v>#REF!</v>
      </c>
      <c r="B53" s="69" t="e">
        <f aca="false">_xlfn.CONCAT(#REF!, ":", #REF!)</f>
        <v>#REF!</v>
      </c>
      <c r="C53" s="72" t="e">
        <f aca="false">#REF!</f>
        <v>#REF!</v>
      </c>
      <c r="D53" s="72" t="e">
        <f aca="false">#REF!</f>
        <v>#REF!</v>
      </c>
      <c r="E53" s="72" t="e">
        <f aca="false">#REF!</f>
        <v>#REF!</v>
      </c>
      <c r="F53" s="72" t="e">
        <f aca="false">#REF!</f>
        <v>#REF!</v>
      </c>
    </row>
    <row r="54" customFormat="false" ht="12.8" hidden="false" customHeight="false" outlineLevel="0" collapsed="false">
      <c r="A54" s="50" t="e">
        <f aca="false">_xlfn.CONCAT($A$1, ".", #REF!)</f>
        <v>#REF!</v>
      </c>
      <c r="B54" s="69" t="e">
        <f aca="false">_xlfn.CONCAT(#REF!, ":", #REF!)</f>
        <v>#REF!</v>
      </c>
      <c r="C54" s="72" t="e">
        <f aca="false">#REF!</f>
        <v>#REF!</v>
      </c>
      <c r="D54" s="72" t="e">
        <f aca="false">#REF!</f>
        <v>#REF!</v>
      </c>
      <c r="E54" s="72" t="e">
        <f aca="false">#REF!</f>
        <v>#REF!</v>
      </c>
      <c r="F54" s="72" t="e">
        <f aca="false">#REF!</f>
        <v>#REF!</v>
      </c>
    </row>
    <row r="55" customFormat="false" ht="12.8" hidden="false" customHeight="false" outlineLevel="0" collapsed="false">
      <c r="A55" s="50" t="e">
        <f aca="false">_xlfn.CONCAT($A$1, ".", #REF!)</f>
        <v>#REF!</v>
      </c>
      <c r="B55" s="69" t="e">
        <f aca="false">_xlfn.CONCAT(#REF!, ":", #REF!)</f>
        <v>#REF!</v>
      </c>
      <c r="C55" s="72" t="e">
        <f aca="false">#REF!</f>
        <v>#REF!</v>
      </c>
      <c r="D55" s="72" t="e">
        <f aca="false">#REF!</f>
        <v>#REF!</v>
      </c>
      <c r="E55" s="72" t="e">
        <f aca="false">#REF!</f>
        <v>#REF!</v>
      </c>
      <c r="F55" s="72" t="e">
        <f aca="false">#REF!</f>
        <v>#REF!</v>
      </c>
    </row>
    <row r="56" customFormat="false" ht="12.8" hidden="false" customHeight="false" outlineLevel="0" collapsed="false">
      <c r="C56" s="71"/>
      <c r="D56" s="71"/>
      <c r="E56" s="71"/>
      <c r="F56" s="71"/>
    </row>
    <row r="57" customFormat="false" ht="12.8" hidden="false" customHeight="false" outlineLevel="0" collapsed="false">
      <c r="C57" s="71"/>
      <c r="D57" s="71"/>
      <c r="E57" s="71"/>
      <c r="F57" s="71"/>
    </row>
    <row r="58" customFormat="false" ht="12.8" hidden="false" customHeight="false" outlineLevel="0" collapsed="false">
      <c r="C58" s="71"/>
      <c r="D58" s="71"/>
      <c r="E58" s="71"/>
      <c r="F58" s="71"/>
    </row>
    <row r="59" customFormat="false" ht="12.8" hidden="false" customHeight="false" outlineLevel="1" collapsed="false">
      <c r="C59" s="71"/>
      <c r="D59" s="71"/>
      <c r="E59" s="71"/>
      <c r="F59" s="71"/>
    </row>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C247"/>
  <sheetViews>
    <sheetView showFormulas="false" showGridLines="true" showRowColHeaders="true" showZeros="true" rightToLeft="false" tabSelected="false" showOutlineSymbols="true" defaultGridColor="true" view="normal" topLeftCell="A105"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2818</v>
      </c>
      <c r="B1" s="42" t="s">
        <v>2819</v>
      </c>
      <c r="C1" s="6" t="s">
        <v>2</v>
      </c>
      <c r="D1" s="62" t="s">
        <v>2820</v>
      </c>
      <c r="AZ1" s="39"/>
      <c r="BA1" s="39"/>
      <c r="BB1" s="39"/>
      <c r="BC1" s="39"/>
    </row>
    <row r="2" customFormat="false" ht="46.25" hidden="false" customHeight="false" outlineLevel="0" collapsed="false">
      <c r="A2" s="67" t="s">
        <v>2813</v>
      </c>
      <c r="B2" s="63" t="s">
        <v>2814</v>
      </c>
      <c r="C2" s="73" t="str">
        <f aca="false">CALC!AZ3</f>
        <v>Federal Personal Income Tax Revenue ($)</v>
      </c>
      <c r="D2" s="73" t="str">
        <f aca="false">CALC!BA3</f>
        <v>Authorized Immigrant Federal Personal Income Tax Revenue ($)</v>
      </c>
      <c r="E2" s="73" t="str">
        <f aca="false">CALC!BB3</f>
        <v>Unauthorized Immigrant Federal Personal Income Tax Revenue ($)</v>
      </c>
      <c r="F2" s="73" t="str">
        <f aca="false">CALC!BC3</f>
        <v>American Federal Personal Income Tax Revenue ($)</v>
      </c>
    </row>
    <row r="3" customFormat="false" ht="12.8" hidden="false" customHeight="false" outlineLevel="0" collapsed="false">
      <c r="A3" s="4" t="e">
        <f aca="false">_xlfn.CONCAT($A$1, ".", #REF!)</f>
        <v>#REF!</v>
      </c>
      <c r="B3" s="49" t="e">
        <f aca="false">_xlfn.CONCAT(#REF!, ":", #REF!)</f>
        <v>#REF!</v>
      </c>
      <c r="C3" s="73" t="e">
        <f aca="false">#REF!</f>
        <v>#REF!</v>
      </c>
      <c r="D3" s="73" t="e">
        <f aca="false">#REF!</f>
        <v>#REF!</v>
      </c>
      <c r="E3" s="73" t="e">
        <f aca="false">#REF!</f>
        <v>#REF!</v>
      </c>
      <c r="F3" s="73" t="e">
        <f aca="false">#REF!</f>
        <v>#REF!</v>
      </c>
    </row>
    <row r="4" customFormat="false" ht="12.8" hidden="false" customHeight="false" outlineLevel="0" collapsed="false">
      <c r="A4" s="50" t="e">
        <f aca="false">_xlfn.CONCAT($A$1, ".", #REF!)</f>
        <v>#REF!</v>
      </c>
      <c r="B4" s="69" t="e">
        <f aca="false">_xlfn.CONCAT(#REF!, ":", #REF!)</f>
        <v>#REF!</v>
      </c>
      <c r="C4" s="74" t="e">
        <f aca="false">#REF!</f>
        <v>#REF!</v>
      </c>
      <c r="D4" s="74" t="e">
        <f aca="false">#REF!</f>
        <v>#REF!</v>
      </c>
      <c r="E4" s="74" t="e">
        <f aca="false">#REF!</f>
        <v>#REF!</v>
      </c>
      <c r="F4" s="74" t="e">
        <f aca="false">#REF!</f>
        <v>#REF!</v>
      </c>
    </row>
    <row r="5" customFormat="false" ht="12.8" hidden="false" customHeight="false" outlineLevel="0" collapsed="false">
      <c r="A5" s="50" t="e">
        <f aca="false">_xlfn.CONCAT($A$1, ".", #REF!)</f>
        <v>#REF!</v>
      </c>
      <c r="B5" s="69" t="e">
        <f aca="false">_xlfn.CONCAT(#REF!, ":", #REF!)</f>
        <v>#REF!</v>
      </c>
      <c r="C5" s="74" t="e">
        <f aca="false">#REF!</f>
        <v>#REF!</v>
      </c>
      <c r="D5" s="74" t="e">
        <f aca="false">#REF!</f>
        <v>#REF!</v>
      </c>
      <c r="E5" s="74" t="e">
        <f aca="false">#REF!</f>
        <v>#REF!</v>
      </c>
      <c r="F5" s="74" t="e">
        <f aca="false">#REF!</f>
        <v>#REF!</v>
      </c>
    </row>
    <row r="6" customFormat="false" ht="12.8" hidden="false" customHeight="false" outlineLevel="0" collapsed="false">
      <c r="A6" s="50" t="e">
        <f aca="false">_xlfn.CONCAT($A$1, ".", #REF!)</f>
        <v>#REF!</v>
      </c>
      <c r="B6" s="69" t="e">
        <f aca="false">_xlfn.CONCAT(#REF!, ":", #REF!)</f>
        <v>#REF!</v>
      </c>
      <c r="C6" s="74" t="e">
        <f aca="false">#REF!</f>
        <v>#REF!</v>
      </c>
      <c r="D6" s="74" t="e">
        <f aca="false">#REF!</f>
        <v>#REF!</v>
      </c>
      <c r="E6" s="74" t="e">
        <f aca="false">#REF!</f>
        <v>#REF!</v>
      </c>
      <c r="F6" s="74" t="e">
        <f aca="false">#REF!</f>
        <v>#REF!</v>
      </c>
    </row>
    <row r="7" customFormat="false" ht="12.8" hidden="false" customHeight="false" outlineLevel="0" collapsed="false">
      <c r="A7" s="50" t="e">
        <f aca="false">_xlfn.CONCAT($A$1, ".", #REF!)</f>
        <v>#REF!</v>
      </c>
      <c r="B7" s="69" t="e">
        <f aca="false">_xlfn.CONCAT(#REF!, ":", #REF!)</f>
        <v>#REF!</v>
      </c>
      <c r="C7" s="74" t="e">
        <f aca="false">#REF!</f>
        <v>#REF!</v>
      </c>
      <c r="D7" s="74" t="e">
        <f aca="false">#REF!</f>
        <v>#REF!</v>
      </c>
      <c r="E7" s="74" t="e">
        <f aca="false">#REF!</f>
        <v>#REF!</v>
      </c>
      <c r="F7" s="74" t="e">
        <f aca="false">#REF!</f>
        <v>#REF!</v>
      </c>
    </row>
    <row r="8" customFormat="false" ht="12.8" hidden="false" customHeight="false" outlineLevel="0" collapsed="false">
      <c r="A8" s="50" t="e">
        <f aca="false">_xlfn.CONCAT($A$1, ".", #REF!)</f>
        <v>#REF!</v>
      </c>
      <c r="B8" s="69" t="e">
        <f aca="false">_xlfn.CONCAT(#REF!, ":", #REF!)</f>
        <v>#REF!</v>
      </c>
      <c r="C8" s="74" t="e">
        <f aca="false">#REF!</f>
        <v>#REF!</v>
      </c>
      <c r="D8" s="74" t="e">
        <f aca="false">#REF!</f>
        <v>#REF!</v>
      </c>
      <c r="E8" s="74" t="e">
        <f aca="false">#REF!</f>
        <v>#REF!</v>
      </c>
      <c r="F8" s="74" t="e">
        <f aca="false">#REF!</f>
        <v>#REF!</v>
      </c>
    </row>
    <row r="9" customFormat="false" ht="12.8" hidden="false" customHeight="false" outlineLevel="0" collapsed="false">
      <c r="A9" s="50" t="e">
        <f aca="false">_xlfn.CONCAT($A$1, ".", #REF!)</f>
        <v>#REF!</v>
      </c>
      <c r="B9" s="69" t="e">
        <f aca="false">_xlfn.CONCAT(#REF!, ":", #REF!)</f>
        <v>#REF!</v>
      </c>
      <c r="C9" s="74" t="e">
        <f aca="false">#REF!</f>
        <v>#REF!</v>
      </c>
      <c r="D9" s="74" t="e">
        <f aca="false">#REF!</f>
        <v>#REF!</v>
      </c>
      <c r="E9" s="74" t="e">
        <f aca="false">#REF!</f>
        <v>#REF!</v>
      </c>
      <c r="F9" s="74" t="e">
        <f aca="false">#REF!</f>
        <v>#REF!</v>
      </c>
    </row>
    <row r="10" customFormat="false" ht="12.8" hidden="false" customHeight="false" outlineLevel="0" collapsed="false">
      <c r="A10" s="50" t="e">
        <f aca="false">_xlfn.CONCAT($A$1, ".", #REF!)</f>
        <v>#REF!</v>
      </c>
      <c r="B10" s="69" t="e">
        <f aca="false">_xlfn.CONCAT(#REF!, ":", #REF!)</f>
        <v>#REF!</v>
      </c>
      <c r="C10" s="74" t="e">
        <f aca="false">#REF!</f>
        <v>#REF!</v>
      </c>
      <c r="D10" s="74" t="e">
        <f aca="false">#REF!</f>
        <v>#REF!</v>
      </c>
      <c r="E10" s="74" t="e">
        <f aca="false">#REF!</f>
        <v>#REF!</v>
      </c>
      <c r="F10" s="74" t="e">
        <f aca="false">#REF!</f>
        <v>#REF!</v>
      </c>
    </row>
    <row r="11" customFormat="false" ht="12.8" hidden="false" customHeight="false" outlineLevel="0" collapsed="false">
      <c r="A11" s="50" t="e">
        <f aca="false">_xlfn.CONCAT($A$1, ".", #REF!)</f>
        <v>#REF!</v>
      </c>
      <c r="B11" s="69" t="e">
        <f aca="false">_xlfn.CONCAT(#REF!, ":", #REF!)</f>
        <v>#REF!</v>
      </c>
      <c r="C11" s="74" t="e">
        <f aca="false">#REF!</f>
        <v>#REF!</v>
      </c>
      <c r="D11" s="74" t="e">
        <f aca="false">#REF!</f>
        <v>#REF!</v>
      </c>
      <c r="E11" s="74" t="e">
        <f aca="false">#REF!</f>
        <v>#REF!</v>
      </c>
      <c r="F11" s="74" t="e">
        <f aca="false">#REF!</f>
        <v>#REF!</v>
      </c>
    </row>
    <row r="12" customFormat="false" ht="12.8" hidden="false" customHeight="false" outlineLevel="0" collapsed="false">
      <c r="A12" s="50" t="e">
        <f aca="false">_xlfn.CONCAT($A$1, ".", #REF!)</f>
        <v>#REF!</v>
      </c>
      <c r="B12" s="69" t="e">
        <f aca="false">_xlfn.CONCAT(#REF!, ":", #REF!)</f>
        <v>#REF!</v>
      </c>
      <c r="C12" s="74" t="e">
        <f aca="false">#REF!</f>
        <v>#REF!</v>
      </c>
      <c r="D12" s="74" t="e">
        <f aca="false">#REF!</f>
        <v>#REF!</v>
      </c>
      <c r="E12" s="74" t="e">
        <f aca="false">#REF!</f>
        <v>#REF!</v>
      </c>
      <c r="F12" s="74" t="e">
        <f aca="false">#REF!</f>
        <v>#REF!</v>
      </c>
    </row>
    <row r="13" customFormat="false" ht="12.8" hidden="false" customHeight="false" outlineLevel="0" collapsed="false">
      <c r="A13" s="50" t="e">
        <f aca="false">_xlfn.CONCAT($A$1, ".", #REF!)</f>
        <v>#REF!</v>
      </c>
      <c r="B13" s="69" t="e">
        <f aca="false">_xlfn.CONCAT(#REF!, ":", #REF!)</f>
        <v>#REF!</v>
      </c>
      <c r="C13" s="74" t="e">
        <f aca="false">#REF!</f>
        <v>#REF!</v>
      </c>
      <c r="D13" s="74" t="e">
        <f aca="false">#REF!</f>
        <v>#REF!</v>
      </c>
      <c r="E13" s="74" t="e">
        <f aca="false">#REF!</f>
        <v>#REF!</v>
      </c>
      <c r="F13" s="74" t="e">
        <f aca="false">#REF!</f>
        <v>#REF!</v>
      </c>
    </row>
    <row r="14" customFormat="false" ht="12.8" hidden="false" customHeight="false" outlineLevel="0" collapsed="false">
      <c r="A14" s="50" t="e">
        <f aca="false">_xlfn.CONCAT($A$1, ".", #REF!)</f>
        <v>#REF!</v>
      </c>
      <c r="B14" s="69" t="e">
        <f aca="false">_xlfn.CONCAT(#REF!, ":", #REF!)</f>
        <v>#REF!</v>
      </c>
      <c r="C14" s="74" t="e">
        <f aca="false">#REF!</f>
        <v>#REF!</v>
      </c>
      <c r="D14" s="74" t="e">
        <f aca="false">#REF!</f>
        <v>#REF!</v>
      </c>
      <c r="E14" s="74" t="e">
        <f aca="false">#REF!</f>
        <v>#REF!</v>
      </c>
      <c r="F14" s="74" t="e">
        <f aca="false">#REF!</f>
        <v>#REF!</v>
      </c>
    </row>
    <row r="15" customFormat="false" ht="12.8" hidden="false" customHeight="false" outlineLevel="0" collapsed="false">
      <c r="A15" s="50" t="e">
        <f aca="false">_xlfn.CONCAT($A$1, ".", #REF!)</f>
        <v>#REF!</v>
      </c>
      <c r="B15" s="69" t="e">
        <f aca="false">_xlfn.CONCAT(#REF!, ":", #REF!)</f>
        <v>#REF!</v>
      </c>
      <c r="C15" s="74" t="e">
        <f aca="false">#REF!</f>
        <v>#REF!</v>
      </c>
      <c r="D15" s="74" t="e">
        <f aca="false">#REF!</f>
        <v>#REF!</v>
      </c>
      <c r="E15" s="74" t="e">
        <f aca="false">#REF!</f>
        <v>#REF!</v>
      </c>
      <c r="F15" s="74" t="e">
        <f aca="false">#REF!</f>
        <v>#REF!</v>
      </c>
    </row>
    <row r="16" customFormat="false" ht="12.8" hidden="false" customHeight="false" outlineLevel="0" collapsed="false">
      <c r="A16" s="50" t="e">
        <f aca="false">_xlfn.CONCAT($A$1, ".", #REF!)</f>
        <v>#REF!</v>
      </c>
      <c r="B16" s="69" t="e">
        <f aca="false">_xlfn.CONCAT(#REF!, ":", #REF!)</f>
        <v>#REF!</v>
      </c>
      <c r="C16" s="74" t="e">
        <f aca="false">#REF!</f>
        <v>#REF!</v>
      </c>
      <c r="D16" s="74" t="e">
        <f aca="false">#REF!</f>
        <v>#REF!</v>
      </c>
      <c r="E16" s="74" t="e">
        <f aca="false">#REF!</f>
        <v>#REF!</v>
      </c>
      <c r="F16" s="74" t="e">
        <f aca="false">#REF!</f>
        <v>#REF!</v>
      </c>
    </row>
    <row r="17" customFormat="false" ht="12.8" hidden="false" customHeight="false" outlineLevel="0" collapsed="false">
      <c r="A17" s="50" t="e">
        <f aca="false">_xlfn.CONCAT($A$1, ".", #REF!)</f>
        <v>#REF!</v>
      </c>
      <c r="B17" s="69" t="e">
        <f aca="false">_xlfn.CONCAT(#REF!, ":", #REF!)</f>
        <v>#REF!</v>
      </c>
      <c r="C17" s="74" t="e">
        <f aca="false">#REF!</f>
        <v>#REF!</v>
      </c>
      <c r="D17" s="74" t="e">
        <f aca="false">#REF!</f>
        <v>#REF!</v>
      </c>
      <c r="E17" s="74" t="e">
        <f aca="false">#REF!</f>
        <v>#REF!</v>
      </c>
      <c r="F17" s="74" t="e">
        <f aca="false">#REF!</f>
        <v>#REF!</v>
      </c>
    </row>
    <row r="18" customFormat="false" ht="12.8" hidden="false" customHeight="false" outlineLevel="0" collapsed="false">
      <c r="A18" s="50" t="e">
        <f aca="false">_xlfn.CONCAT($A$1, ".", #REF!)</f>
        <v>#REF!</v>
      </c>
      <c r="B18" s="69" t="e">
        <f aca="false">_xlfn.CONCAT(#REF!, ":", #REF!)</f>
        <v>#REF!</v>
      </c>
      <c r="C18" s="74" t="e">
        <f aca="false">#REF!</f>
        <v>#REF!</v>
      </c>
      <c r="D18" s="74" t="e">
        <f aca="false">#REF!</f>
        <v>#REF!</v>
      </c>
      <c r="E18" s="74" t="e">
        <f aca="false">#REF!</f>
        <v>#REF!</v>
      </c>
      <c r="F18" s="74" t="e">
        <f aca="false">#REF!</f>
        <v>#REF!</v>
      </c>
    </row>
    <row r="19" customFormat="false" ht="12.8" hidden="false" customHeight="false" outlineLevel="0" collapsed="false">
      <c r="A19" s="50" t="e">
        <f aca="false">_xlfn.CONCAT($A$1, ".", #REF!)</f>
        <v>#REF!</v>
      </c>
      <c r="B19" s="69" t="e">
        <f aca="false">_xlfn.CONCAT(#REF!, ":", #REF!)</f>
        <v>#REF!</v>
      </c>
      <c r="C19" s="74" t="e">
        <f aca="false">#REF!</f>
        <v>#REF!</v>
      </c>
      <c r="D19" s="74" t="e">
        <f aca="false">#REF!</f>
        <v>#REF!</v>
      </c>
      <c r="E19" s="74" t="e">
        <f aca="false">#REF!</f>
        <v>#REF!</v>
      </c>
      <c r="F19" s="74" t="e">
        <f aca="false">#REF!</f>
        <v>#REF!</v>
      </c>
    </row>
    <row r="20" customFormat="false" ht="12.8" hidden="false" customHeight="false" outlineLevel="0" collapsed="false">
      <c r="A20" s="50" t="e">
        <f aca="false">_xlfn.CONCAT($A$1, ".", #REF!)</f>
        <v>#REF!</v>
      </c>
      <c r="B20" s="69" t="e">
        <f aca="false">_xlfn.CONCAT(#REF!, ":", #REF!)</f>
        <v>#REF!</v>
      </c>
      <c r="C20" s="74" t="e">
        <f aca="false">#REF!</f>
        <v>#REF!</v>
      </c>
      <c r="D20" s="74" t="e">
        <f aca="false">#REF!</f>
        <v>#REF!</v>
      </c>
      <c r="E20" s="74" t="e">
        <f aca="false">#REF!</f>
        <v>#REF!</v>
      </c>
      <c r="F20" s="74" t="e">
        <f aca="false">#REF!</f>
        <v>#REF!</v>
      </c>
    </row>
    <row r="21" customFormat="false" ht="12.8" hidden="false" customHeight="false" outlineLevel="0" collapsed="false">
      <c r="A21" s="50" t="e">
        <f aca="false">_xlfn.CONCAT($A$1, ".", #REF!)</f>
        <v>#REF!</v>
      </c>
      <c r="B21" s="69" t="e">
        <f aca="false">_xlfn.CONCAT(#REF!, ":", #REF!)</f>
        <v>#REF!</v>
      </c>
      <c r="C21" s="74" t="e">
        <f aca="false">#REF!</f>
        <v>#REF!</v>
      </c>
      <c r="D21" s="74" t="e">
        <f aca="false">#REF!</f>
        <v>#REF!</v>
      </c>
      <c r="E21" s="74" t="e">
        <f aca="false">#REF!</f>
        <v>#REF!</v>
      </c>
      <c r="F21" s="74" t="e">
        <f aca="false">#REF!</f>
        <v>#REF!</v>
      </c>
    </row>
    <row r="22" customFormat="false" ht="12.8" hidden="false" customHeight="false" outlineLevel="0" collapsed="false">
      <c r="A22" s="50" t="e">
        <f aca="false">_xlfn.CONCAT($A$1, ".", #REF!)</f>
        <v>#REF!</v>
      </c>
      <c r="B22" s="69" t="e">
        <f aca="false">_xlfn.CONCAT(#REF!, ":", #REF!)</f>
        <v>#REF!</v>
      </c>
      <c r="C22" s="74" t="e">
        <f aca="false">#REF!</f>
        <v>#REF!</v>
      </c>
      <c r="D22" s="74" t="e">
        <f aca="false">#REF!</f>
        <v>#REF!</v>
      </c>
      <c r="E22" s="74" t="e">
        <f aca="false">#REF!</f>
        <v>#REF!</v>
      </c>
      <c r="F22" s="74" t="e">
        <f aca="false">#REF!</f>
        <v>#REF!</v>
      </c>
    </row>
    <row r="23" customFormat="false" ht="12.8" hidden="false" customHeight="false" outlineLevel="0" collapsed="false">
      <c r="A23" s="50" t="e">
        <f aca="false">_xlfn.CONCAT($A$1, ".", #REF!)</f>
        <v>#REF!</v>
      </c>
      <c r="B23" s="69" t="e">
        <f aca="false">_xlfn.CONCAT(#REF!, ":", #REF!)</f>
        <v>#REF!</v>
      </c>
      <c r="C23" s="74" t="e">
        <f aca="false">#REF!</f>
        <v>#REF!</v>
      </c>
      <c r="D23" s="74" t="e">
        <f aca="false">#REF!</f>
        <v>#REF!</v>
      </c>
      <c r="E23" s="74" t="e">
        <f aca="false">#REF!</f>
        <v>#REF!</v>
      </c>
      <c r="F23" s="74" t="e">
        <f aca="false">#REF!</f>
        <v>#REF!</v>
      </c>
    </row>
    <row r="24" customFormat="false" ht="12.8" hidden="false" customHeight="false" outlineLevel="0" collapsed="false">
      <c r="A24" s="50" t="e">
        <f aca="false">_xlfn.CONCAT($A$1, ".", #REF!)</f>
        <v>#REF!</v>
      </c>
      <c r="B24" s="69" t="e">
        <f aca="false">_xlfn.CONCAT(#REF!, ":", #REF!)</f>
        <v>#REF!</v>
      </c>
      <c r="C24" s="74" t="e">
        <f aca="false">#REF!</f>
        <v>#REF!</v>
      </c>
      <c r="D24" s="74" t="e">
        <f aca="false">#REF!</f>
        <v>#REF!</v>
      </c>
      <c r="E24" s="74" t="e">
        <f aca="false">#REF!</f>
        <v>#REF!</v>
      </c>
      <c r="F24" s="74" t="e">
        <f aca="false">#REF!</f>
        <v>#REF!</v>
      </c>
    </row>
    <row r="25" customFormat="false" ht="12.8" hidden="false" customHeight="false" outlineLevel="0" collapsed="false">
      <c r="A25" s="50" t="e">
        <f aca="false">_xlfn.CONCAT($A$1, ".", #REF!)</f>
        <v>#REF!</v>
      </c>
      <c r="B25" s="69" t="e">
        <f aca="false">_xlfn.CONCAT(#REF!, ":", #REF!)</f>
        <v>#REF!</v>
      </c>
      <c r="C25" s="74" t="e">
        <f aca="false">#REF!</f>
        <v>#REF!</v>
      </c>
      <c r="D25" s="74" t="e">
        <f aca="false">#REF!</f>
        <v>#REF!</v>
      </c>
      <c r="E25" s="74" t="e">
        <f aca="false">#REF!</f>
        <v>#REF!</v>
      </c>
      <c r="F25" s="74" t="e">
        <f aca="false">#REF!</f>
        <v>#REF!</v>
      </c>
    </row>
    <row r="26" customFormat="false" ht="12.8" hidden="false" customHeight="false" outlineLevel="0" collapsed="false">
      <c r="A26" s="50" t="e">
        <f aca="false">_xlfn.CONCAT($A$1, ".", #REF!)</f>
        <v>#REF!</v>
      </c>
      <c r="B26" s="69" t="e">
        <f aca="false">_xlfn.CONCAT(#REF!, ":", #REF!)</f>
        <v>#REF!</v>
      </c>
      <c r="C26" s="74" t="e">
        <f aca="false">#REF!</f>
        <v>#REF!</v>
      </c>
      <c r="D26" s="74" t="e">
        <f aca="false">#REF!</f>
        <v>#REF!</v>
      </c>
      <c r="E26" s="74" t="e">
        <f aca="false">#REF!</f>
        <v>#REF!</v>
      </c>
      <c r="F26" s="74" t="e">
        <f aca="false">#REF!</f>
        <v>#REF!</v>
      </c>
    </row>
    <row r="27" customFormat="false" ht="12.8" hidden="false" customHeight="false" outlineLevel="0" collapsed="false">
      <c r="A27" s="50" t="e">
        <f aca="false">_xlfn.CONCAT($A$1, ".", #REF!)</f>
        <v>#REF!</v>
      </c>
      <c r="B27" s="69" t="e">
        <f aca="false">_xlfn.CONCAT(#REF!, ":", #REF!)</f>
        <v>#REF!</v>
      </c>
      <c r="C27" s="74" t="e">
        <f aca="false">#REF!</f>
        <v>#REF!</v>
      </c>
      <c r="D27" s="74" t="e">
        <f aca="false">#REF!</f>
        <v>#REF!</v>
      </c>
      <c r="E27" s="74" t="e">
        <f aca="false">#REF!</f>
        <v>#REF!</v>
      </c>
      <c r="F27" s="74" t="e">
        <f aca="false">#REF!</f>
        <v>#REF!</v>
      </c>
    </row>
    <row r="28" customFormat="false" ht="12.8" hidden="false" customHeight="false" outlineLevel="0" collapsed="false">
      <c r="A28" s="50" t="e">
        <f aca="false">_xlfn.CONCAT($A$1, ".", #REF!)</f>
        <v>#REF!</v>
      </c>
      <c r="B28" s="69" t="e">
        <f aca="false">_xlfn.CONCAT(#REF!, ":", #REF!)</f>
        <v>#REF!</v>
      </c>
      <c r="C28" s="74" t="e">
        <f aca="false">#REF!</f>
        <v>#REF!</v>
      </c>
      <c r="D28" s="74" t="e">
        <f aca="false">#REF!</f>
        <v>#REF!</v>
      </c>
      <c r="E28" s="74" t="e">
        <f aca="false">#REF!</f>
        <v>#REF!</v>
      </c>
      <c r="F28" s="74" t="e">
        <f aca="false">#REF!</f>
        <v>#REF!</v>
      </c>
    </row>
    <row r="29" customFormat="false" ht="12.8" hidden="false" customHeight="false" outlineLevel="0" collapsed="false">
      <c r="A29" s="50" t="e">
        <f aca="false">_xlfn.CONCAT($A$1, ".", #REF!)</f>
        <v>#REF!</v>
      </c>
      <c r="B29" s="69" t="e">
        <f aca="false">_xlfn.CONCAT(#REF!, ":", #REF!)</f>
        <v>#REF!</v>
      </c>
      <c r="C29" s="74" t="e">
        <f aca="false">#REF!</f>
        <v>#REF!</v>
      </c>
      <c r="D29" s="74" t="e">
        <f aca="false">#REF!</f>
        <v>#REF!</v>
      </c>
      <c r="E29" s="74" t="e">
        <f aca="false">#REF!</f>
        <v>#REF!</v>
      </c>
      <c r="F29" s="74" t="e">
        <f aca="false">#REF!</f>
        <v>#REF!</v>
      </c>
    </row>
    <row r="30" customFormat="false" ht="12.8" hidden="false" customHeight="false" outlineLevel="0" collapsed="false">
      <c r="A30" s="50" t="e">
        <f aca="false">_xlfn.CONCAT($A$1, ".", #REF!)</f>
        <v>#REF!</v>
      </c>
      <c r="B30" s="69" t="e">
        <f aca="false">_xlfn.CONCAT(#REF!, ":", #REF!)</f>
        <v>#REF!</v>
      </c>
      <c r="C30" s="74" t="e">
        <f aca="false">#REF!</f>
        <v>#REF!</v>
      </c>
      <c r="D30" s="74" t="e">
        <f aca="false">#REF!</f>
        <v>#REF!</v>
      </c>
      <c r="E30" s="74" t="e">
        <f aca="false">#REF!</f>
        <v>#REF!</v>
      </c>
      <c r="F30" s="74" t="e">
        <f aca="false">#REF!</f>
        <v>#REF!</v>
      </c>
    </row>
    <row r="31" customFormat="false" ht="12.8" hidden="false" customHeight="false" outlineLevel="0" collapsed="false">
      <c r="A31" s="50" t="e">
        <f aca="false">_xlfn.CONCAT($A$1, ".", #REF!)</f>
        <v>#REF!</v>
      </c>
      <c r="B31" s="69" t="e">
        <f aca="false">_xlfn.CONCAT(#REF!, ":", #REF!)</f>
        <v>#REF!</v>
      </c>
      <c r="C31" s="74" t="e">
        <f aca="false">#REF!</f>
        <v>#REF!</v>
      </c>
      <c r="D31" s="74" t="e">
        <f aca="false">#REF!</f>
        <v>#REF!</v>
      </c>
      <c r="E31" s="74" t="e">
        <f aca="false">#REF!</f>
        <v>#REF!</v>
      </c>
      <c r="F31" s="74" t="e">
        <f aca="false">#REF!</f>
        <v>#REF!</v>
      </c>
    </row>
    <row r="32" customFormat="false" ht="12.8" hidden="false" customHeight="false" outlineLevel="0" collapsed="false">
      <c r="A32" s="50" t="e">
        <f aca="false">_xlfn.CONCAT($A$1, ".", #REF!)</f>
        <v>#REF!</v>
      </c>
      <c r="B32" s="69" t="e">
        <f aca="false">_xlfn.CONCAT(#REF!, ":", #REF!)</f>
        <v>#REF!</v>
      </c>
      <c r="C32" s="74" t="e">
        <f aca="false">#REF!</f>
        <v>#REF!</v>
      </c>
      <c r="D32" s="74" t="e">
        <f aca="false">#REF!</f>
        <v>#REF!</v>
      </c>
      <c r="E32" s="74" t="e">
        <f aca="false">#REF!</f>
        <v>#REF!</v>
      </c>
      <c r="F32" s="74" t="e">
        <f aca="false">#REF!</f>
        <v>#REF!</v>
      </c>
    </row>
    <row r="33" customFormat="false" ht="12.8" hidden="false" customHeight="false" outlineLevel="0" collapsed="false">
      <c r="A33" s="50" t="e">
        <f aca="false">_xlfn.CONCAT($A$1, ".", #REF!)</f>
        <v>#REF!</v>
      </c>
      <c r="B33" s="69" t="e">
        <f aca="false">_xlfn.CONCAT(#REF!, ":", #REF!)</f>
        <v>#REF!</v>
      </c>
      <c r="C33" s="74" t="e">
        <f aca="false">#REF!</f>
        <v>#REF!</v>
      </c>
      <c r="D33" s="74" t="e">
        <f aca="false">#REF!</f>
        <v>#REF!</v>
      </c>
      <c r="E33" s="74" t="e">
        <f aca="false">#REF!</f>
        <v>#REF!</v>
      </c>
      <c r="F33" s="74" t="e">
        <f aca="false">#REF!</f>
        <v>#REF!</v>
      </c>
    </row>
    <row r="34" customFormat="false" ht="12.8" hidden="false" customHeight="false" outlineLevel="0" collapsed="false">
      <c r="A34" s="50" t="e">
        <f aca="false">_xlfn.CONCAT($A$1, ".", #REF!)</f>
        <v>#REF!</v>
      </c>
      <c r="B34" s="69" t="e">
        <f aca="false">_xlfn.CONCAT(#REF!, ":", #REF!)</f>
        <v>#REF!</v>
      </c>
      <c r="C34" s="74" t="e">
        <f aca="false">#REF!</f>
        <v>#REF!</v>
      </c>
      <c r="D34" s="74" t="e">
        <f aca="false">#REF!</f>
        <v>#REF!</v>
      </c>
      <c r="E34" s="74" t="e">
        <f aca="false">#REF!</f>
        <v>#REF!</v>
      </c>
      <c r="F34" s="74" t="e">
        <f aca="false">#REF!</f>
        <v>#REF!</v>
      </c>
    </row>
    <row r="35" customFormat="false" ht="12.8" hidden="false" customHeight="false" outlineLevel="0" collapsed="false">
      <c r="A35" s="50" t="e">
        <f aca="false">_xlfn.CONCAT($A$1, ".", #REF!)</f>
        <v>#REF!</v>
      </c>
      <c r="B35" s="69" t="e">
        <f aca="false">_xlfn.CONCAT(#REF!, ":", #REF!)</f>
        <v>#REF!</v>
      </c>
      <c r="C35" s="74" t="e">
        <f aca="false">#REF!</f>
        <v>#REF!</v>
      </c>
      <c r="D35" s="74" t="e">
        <f aca="false">#REF!</f>
        <v>#REF!</v>
      </c>
      <c r="E35" s="74" t="e">
        <f aca="false">#REF!</f>
        <v>#REF!</v>
      </c>
      <c r="F35" s="74" t="e">
        <f aca="false">#REF!</f>
        <v>#REF!</v>
      </c>
    </row>
    <row r="36" customFormat="false" ht="12.8" hidden="false" customHeight="false" outlineLevel="0" collapsed="false">
      <c r="A36" s="50" t="e">
        <f aca="false">_xlfn.CONCAT($A$1, ".", #REF!)</f>
        <v>#REF!</v>
      </c>
      <c r="B36" s="69" t="e">
        <f aca="false">_xlfn.CONCAT(#REF!, ":", #REF!)</f>
        <v>#REF!</v>
      </c>
      <c r="C36" s="74" t="e">
        <f aca="false">#REF!</f>
        <v>#REF!</v>
      </c>
      <c r="D36" s="74" t="e">
        <f aca="false">#REF!</f>
        <v>#REF!</v>
      </c>
      <c r="E36" s="74" t="e">
        <f aca="false">#REF!</f>
        <v>#REF!</v>
      </c>
      <c r="F36" s="74" t="e">
        <f aca="false">#REF!</f>
        <v>#REF!</v>
      </c>
    </row>
    <row r="37" customFormat="false" ht="12.8" hidden="false" customHeight="false" outlineLevel="0" collapsed="false">
      <c r="A37" s="50" t="e">
        <f aca="false">_xlfn.CONCAT($A$1, ".", #REF!)</f>
        <v>#REF!</v>
      </c>
      <c r="B37" s="69" t="e">
        <f aca="false">_xlfn.CONCAT(#REF!, ":", #REF!)</f>
        <v>#REF!</v>
      </c>
      <c r="C37" s="74" t="e">
        <f aca="false">#REF!</f>
        <v>#REF!</v>
      </c>
      <c r="D37" s="74" t="e">
        <f aca="false">#REF!</f>
        <v>#REF!</v>
      </c>
      <c r="E37" s="74" t="e">
        <f aca="false">#REF!</f>
        <v>#REF!</v>
      </c>
      <c r="F37" s="74" t="e">
        <f aca="false">#REF!</f>
        <v>#REF!</v>
      </c>
    </row>
    <row r="38" customFormat="false" ht="12.8" hidden="false" customHeight="false" outlineLevel="0" collapsed="false">
      <c r="A38" s="50" t="e">
        <f aca="false">_xlfn.CONCAT($A$1, ".", #REF!)</f>
        <v>#REF!</v>
      </c>
      <c r="B38" s="69" t="e">
        <f aca="false">_xlfn.CONCAT(#REF!, ":", #REF!)</f>
        <v>#REF!</v>
      </c>
      <c r="C38" s="74" t="e">
        <f aca="false">#REF!</f>
        <v>#REF!</v>
      </c>
      <c r="D38" s="74" t="e">
        <f aca="false">#REF!</f>
        <v>#REF!</v>
      </c>
      <c r="E38" s="74" t="e">
        <f aca="false">#REF!</f>
        <v>#REF!</v>
      </c>
      <c r="F38" s="74" t="e">
        <f aca="false">#REF!</f>
        <v>#REF!</v>
      </c>
    </row>
    <row r="39" customFormat="false" ht="12.8" hidden="false" customHeight="false" outlineLevel="0" collapsed="false">
      <c r="A39" s="50" t="e">
        <f aca="false">_xlfn.CONCAT($A$1, ".", #REF!)</f>
        <v>#REF!</v>
      </c>
      <c r="B39" s="69" t="e">
        <f aca="false">_xlfn.CONCAT(#REF!, ":", #REF!)</f>
        <v>#REF!</v>
      </c>
      <c r="C39" s="74" t="e">
        <f aca="false">#REF!</f>
        <v>#REF!</v>
      </c>
      <c r="D39" s="74" t="e">
        <f aca="false">#REF!</f>
        <v>#REF!</v>
      </c>
      <c r="E39" s="74" t="e">
        <f aca="false">#REF!</f>
        <v>#REF!</v>
      </c>
      <c r="F39" s="74" t="e">
        <f aca="false">#REF!</f>
        <v>#REF!</v>
      </c>
    </row>
    <row r="40" customFormat="false" ht="12.8" hidden="false" customHeight="false" outlineLevel="0" collapsed="false">
      <c r="A40" s="50" t="e">
        <f aca="false">_xlfn.CONCAT($A$1, ".", #REF!)</f>
        <v>#REF!</v>
      </c>
      <c r="B40" s="69" t="e">
        <f aca="false">_xlfn.CONCAT(#REF!, ":", #REF!)</f>
        <v>#REF!</v>
      </c>
      <c r="C40" s="74" t="e">
        <f aca="false">#REF!</f>
        <v>#REF!</v>
      </c>
      <c r="D40" s="74" t="e">
        <f aca="false">#REF!</f>
        <v>#REF!</v>
      </c>
      <c r="E40" s="74" t="e">
        <f aca="false">#REF!</f>
        <v>#REF!</v>
      </c>
      <c r="F40" s="74" t="e">
        <f aca="false">#REF!</f>
        <v>#REF!</v>
      </c>
    </row>
    <row r="41" customFormat="false" ht="12.8" hidden="false" customHeight="false" outlineLevel="0" collapsed="false">
      <c r="A41" s="50" t="e">
        <f aca="false">_xlfn.CONCAT($A$1, ".", #REF!)</f>
        <v>#REF!</v>
      </c>
      <c r="B41" s="69" t="e">
        <f aca="false">_xlfn.CONCAT(#REF!, ":", #REF!)</f>
        <v>#REF!</v>
      </c>
      <c r="C41" s="74" t="e">
        <f aca="false">#REF!</f>
        <v>#REF!</v>
      </c>
      <c r="D41" s="74" t="e">
        <f aca="false">#REF!</f>
        <v>#REF!</v>
      </c>
      <c r="E41" s="74" t="e">
        <f aca="false">#REF!</f>
        <v>#REF!</v>
      </c>
      <c r="F41" s="74" t="e">
        <f aca="false">#REF!</f>
        <v>#REF!</v>
      </c>
    </row>
    <row r="42" customFormat="false" ht="12.8" hidden="false" customHeight="false" outlineLevel="0" collapsed="false">
      <c r="A42" s="50" t="e">
        <f aca="false">_xlfn.CONCAT($A$1, ".", #REF!)</f>
        <v>#REF!</v>
      </c>
      <c r="B42" s="69" t="e">
        <f aca="false">_xlfn.CONCAT(#REF!, ":", #REF!)</f>
        <v>#REF!</v>
      </c>
      <c r="C42" s="74" t="e">
        <f aca="false">#REF!</f>
        <v>#REF!</v>
      </c>
      <c r="D42" s="74" t="e">
        <f aca="false">#REF!</f>
        <v>#REF!</v>
      </c>
      <c r="E42" s="74" t="e">
        <f aca="false">#REF!</f>
        <v>#REF!</v>
      </c>
      <c r="F42" s="74" t="e">
        <f aca="false">#REF!</f>
        <v>#REF!</v>
      </c>
    </row>
    <row r="43" customFormat="false" ht="12.8" hidden="false" customHeight="false" outlineLevel="0" collapsed="false">
      <c r="A43" s="50" t="e">
        <f aca="false">_xlfn.CONCAT($A$1, ".", #REF!)</f>
        <v>#REF!</v>
      </c>
      <c r="B43" s="69" t="e">
        <f aca="false">_xlfn.CONCAT(#REF!, ":", #REF!)</f>
        <v>#REF!</v>
      </c>
      <c r="C43" s="74" t="e">
        <f aca="false">#REF!</f>
        <v>#REF!</v>
      </c>
      <c r="D43" s="74" t="e">
        <f aca="false">#REF!</f>
        <v>#REF!</v>
      </c>
      <c r="E43" s="74" t="e">
        <f aca="false">#REF!</f>
        <v>#REF!</v>
      </c>
      <c r="F43" s="74" t="e">
        <f aca="false">#REF!</f>
        <v>#REF!</v>
      </c>
    </row>
    <row r="44" customFormat="false" ht="12.8" hidden="false" customHeight="false" outlineLevel="0" collapsed="false">
      <c r="A44" s="50" t="e">
        <f aca="false">_xlfn.CONCAT($A$1, ".", #REF!)</f>
        <v>#REF!</v>
      </c>
      <c r="B44" s="69" t="e">
        <f aca="false">_xlfn.CONCAT(#REF!, ":", #REF!)</f>
        <v>#REF!</v>
      </c>
      <c r="C44" s="74" t="e">
        <f aca="false">#REF!</f>
        <v>#REF!</v>
      </c>
      <c r="D44" s="74" t="e">
        <f aca="false">#REF!</f>
        <v>#REF!</v>
      </c>
      <c r="E44" s="74" t="e">
        <f aca="false">#REF!</f>
        <v>#REF!</v>
      </c>
      <c r="F44" s="74" t="e">
        <f aca="false">#REF!</f>
        <v>#REF!</v>
      </c>
    </row>
    <row r="45" customFormat="false" ht="12.8" hidden="false" customHeight="false" outlineLevel="0" collapsed="false">
      <c r="A45" s="50" t="e">
        <f aca="false">_xlfn.CONCAT($A$1, ".", #REF!)</f>
        <v>#REF!</v>
      </c>
      <c r="B45" s="69" t="e">
        <f aca="false">_xlfn.CONCAT(#REF!, ":", #REF!)</f>
        <v>#REF!</v>
      </c>
      <c r="C45" s="74" t="e">
        <f aca="false">#REF!</f>
        <v>#REF!</v>
      </c>
      <c r="D45" s="74" t="e">
        <f aca="false">#REF!</f>
        <v>#REF!</v>
      </c>
      <c r="E45" s="74" t="e">
        <f aca="false">#REF!</f>
        <v>#REF!</v>
      </c>
      <c r="F45" s="74" t="e">
        <f aca="false">#REF!</f>
        <v>#REF!</v>
      </c>
    </row>
    <row r="46" customFormat="false" ht="12.8" hidden="false" customHeight="false" outlineLevel="0" collapsed="false">
      <c r="A46" s="50" t="e">
        <f aca="false">_xlfn.CONCAT($A$1, ".", #REF!)</f>
        <v>#REF!</v>
      </c>
      <c r="B46" s="69" t="e">
        <f aca="false">_xlfn.CONCAT(#REF!, ":", #REF!)</f>
        <v>#REF!</v>
      </c>
      <c r="C46" s="74" t="e">
        <f aca="false">#REF!</f>
        <v>#REF!</v>
      </c>
      <c r="D46" s="74" t="e">
        <f aca="false">#REF!</f>
        <v>#REF!</v>
      </c>
      <c r="E46" s="74" t="e">
        <f aca="false">#REF!</f>
        <v>#REF!</v>
      </c>
      <c r="F46" s="74" t="e">
        <f aca="false">#REF!</f>
        <v>#REF!</v>
      </c>
    </row>
    <row r="47" customFormat="false" ht="12.8" hidden="false" customHeight="false" outlineLevel="0" collapsed="false">
      <c r="A47" s="50" t="e">
        <f aca="false">_xlfn.CONCAT($A$1, ".", #REF!)</f>
        <v>#REF!</v>
      </c>
      <c r="B47" s="69" t="e">
        <f aca="false">_xlfn.CONCAT(#REF!, ":", #REF!)</f>
        <v>#REF!</v>
      </c>
      <c r="C47" s="74" t="e">
        <f aca="false">#REF!</f>
        <v>#REF!</v>
      </c>
      <c r="D47" s="74" t="e">
        <f aca="false">#REF!</f>
        <v>#REF!</v>
      </c>
      <c r="E47" s="74" t="e">
        <f aca="false">#REF!</f>
        <v>#REF!</v>
      </c>
      <c r="F47" s="74" t="e">
        <f aca="false">#REF!</f>
        <v>#REF!</v>
      </c>
    </row>
    <row r="48" customFormat="false" ht="12.8" hidden="false" customHeight="false" outlineLevel="0" collapsed="false">
      <c r="A48" s="50" t="e">
        <f aca="false">_xlfn.CONCAT($A$1, ".", #REF!)</f>
        <v>#REF!</v>
      </c>
      <c r="B48" s="69" t="e">
        <f aca="false">_xlfn.CONCAT(#REF!, ":", #REF!)</f>
        <v>#REF!</v>
      </c>
      <c r="C48" s="74" t="e">
        <f aca="false">#REF!</f>
        <v>#REF!</v>
      </c>
      <c r="D48" s="74" t="e">
        <f aca="false">#REF!</f>
        <v>#REF!</v>
      </c>
      <c r="E48" s="74" t="e">
        <f aca="false">#REF!</f>
        <v>#REF!</v>
      </c>
      <c r="F48" s="74" t="e">
        <f aca="false">#REF!</f>
        <v>#REF!</v>
      </c>
    </row>
    <row r="49" customFormat="false" ht="12.8" hidden="false" customHeight="false" outlineLevel="0" collapsed="false">
      <c r="A49" s="50" t="e">
        <f aca="false">_xlfn.CONCAT($A$1, ".", #REF!)</f>
        <v>#REF!</v>
      </c>
      <c r="B49" s="69" t="e">
        <f aca="false">_xlfn.CONCAT(#REF!, ":", #REF!)</f>
        <v>#REF!</v>
      </c>
      <c r="C49" s="74" t="e">
        <f aca="false">#REF!</f>
        <v>#REF!</v>
      </c>
      <c r="D49" s="74" t="e">
        <f aca="false">#REF!</f>
        <v>#REF!</v>
      </c>
      <c r="E49" s="74" t="e">
        <f aca="false">#REF!</f>
        <v>#REF!</v>
      </c>
      <c r="F49" s="74" t="e">
        <f aca="false">#REF!</f>
        <v>#REF!</v>
      </c>
    </row>
    <row r="50" customFormat="false" ht="12.8" hidden="false" customHeight="false" outlineLevel="0" collapsed="false">
      <c r="A50" s="50" t="e">
        <f aca="false">_xlfn.CONCAT($A$1, ".", #REF!)</f>
        <v>#REF!</v>
      </c>
      <c r="B50" s="69" t="e">
        <f aca="false">_xlfn.CONCAT(#REF!, ":", #REF!)</f>
        <v>#REF!</v>
      </c>
      <c r="C50" s="74" t="e">
        <f aca="false">#REF!</f>
        <v>#REF!</v>
      </c>
      <c r="D50" s="74" t="e">
        <f aca="false">#REF!</f>
        <v>#REF!</v>
      </c>
      <c r="E50" s="74" t="e">
        <f aca="false">#REF!</f>
        <v>#REF!</v>
      </c>
      <c r="F50" s="74" t="e">
        <f aca="false">#REF!</f>
        <v>#REF!</v>
      </c>
    </row>
    <row r="51" customFormat="false" ht="12.8" hidden="false" customHeight="false" outlineLevel="0" collapsed="false">
      <c r="A51" s="50" t="e">
        <f aca="false">_xlfn.CONCAT($A$1, ".", #REF!)</f>
        <v>#REF!</v>
      </c>
      <c r="B51" s="69" t="e">
        <f aca="false">_xlfn.CONCAT(#REF!, ":", #REF!)</f>
        <v>#REF!</v>
      </c>
      <c r="C51" s="74" t="e">
        <f aca="false">#REF!</f>
        <v>#REF!</v>
      </c>
      <c r="D51" s="74" t="e">
        <f aca="false">#REF!</f>
        <v>#REF!</v>
      </c>
      <c r="E51" s="74" t="e">
        <f aca="false">#REF!</f>
        <v>#REF!</v>
      </c>
      <c r="F51" s="74" t="e">
        <f aca="false">#REF!</f>
        <v>#REF!</v>
      </c>
    </row>
    <row r="52" customFormat="false" ht="12.8" hidden="false" customHeight="false" outlineLevel="0" collapsed="false">
      <c r="A52" s="50" t="e">
        <f aca="false">_xlfn.CONCAT($A$1, ".", #REF!)</f>
        <v>#REF!</v>
      </c>
      <c r="B52" s="69" t="e">
        <f aca="false">_xlfn.CONCAT(#REF!, ":", #REF!)</f>
        <v>#REF!</v>
      </c>
      <c r="C52" s="74" t="e">
        <f aca="false">#REF!</f>
        <v>#REF!</v>
      </c>
      <c r="D52" s="74" t="e">
        <f aca="false">#REF!</f>
        <v>#REF!</v>
      </c>
      <c r="E52" s="74" t="e">
        <f aca="false">#REF!</f>
        <v>#REF!</v>
      </c>
      <c r="F52" s="74" t="e">
        <f aca="false">#REF!</f>
        <v>#REF!</v>
      </c>
    </row>
    <row r="53" customFormat="false" ht="12.8" hidden="false" customHeight="false" outlineLevel="0" collapsed="false">
      <c r="A53" s="50" t="e">
        <f aca="false">_xlfn.CONCAT($A$1, ".", #REF!)</f>
        <v>#REF!</v>
      </c>
      <c r="B53" s="69" t="e">
        <f aca="false">_xlfn.CONCAT(#REF!, ":", #REF!)</f>
        <v>#REF!</v>
      </c>
      <c r="C53" s="74" t="e">
        <f aca="false">#REF!</f>
        <v>#REF!</v>
      </c>
      <c r="D53" s="74" t="e">
        <f aca="false">#REF!</f>
        <v>#REF!</v>
      </c>
      <c r="E53" s="74" t="e">
        <f aca="false">#REF!</f>
        <v>#REF!</v>
      </c>
      <c r="F53" s="74" t="e">
        <f aca="false">#REF!</f>
        <v>#REF!</v>
      </c>
    </row>
    <row r="54" customFormat="false" ht="12.8" hidden="false" customHeight="false" outlineLevel="0" collapsed="false">
      <c r="A54" s="50" t="e">
        <f aca="false">_xlfn.CONCAT($A$1, ".", #REF!)</f>
        <v>#REF!</v>
      </c>
      <c r="B54" s="69" t="e">
        <f aca="false">_xlfn.CONCAT(#REF!, ":", #REF!)</f>
        <v>#REF!</v>
      </c>
      <c r="C54" s="74" t="e">
        <f aca="false">#REF!</f>
        <v>#REF!</v>
      </c>
      <c r="D54" s="74" t="e">
        <f aca="false">#REF!</f>
        <v>#REF!</v>
      </c>
      <c r="E54" s="74" t="e">
        <f aca="false">#REF!</f>
        <v>#REF!</v>
      </c>
      <c r="F54" s="74" t="e">
        <f aca="false">#REF!</f>
        <v>#REF!</v>
      </c>
    </row>
    <row r="55" customFormat="false" ht="12.8" hidden="false" customHeight="false" outlineLevel="0" collapsed="false">
      <c r="A55" s="50" t="e">
        <f aca="false">_xlfn.CONCAT($A$1, ".", #REF!)</f>
        <v>#REF!</v>
      </c>
      <c r="B55" s="69" t="e">
        <f aca="false">_xlfn.CONCAT(#REF!, ":", #REF!)</f>
        <v>#REF!</v>
      </c>
      <c r="C55" s="74" t="e">
        <f aca="false">#REF!</f>
        <v>#REF!</v>
      </c>
      <c r="D55" s="74" t="e">
        <f aca="false">#REF!</f>
        <v>#REF!</v>
      </c>
      <c r="E55" s="74" t="e">
        <f aca="false">#REF!</f>
        <v>#REF!</v>
      </c>
      <c r="F55" s="74" t="e">
        <f aca="false">#REF!</f>
        <v>#REF!</v>
      </c>
    </row>
    <row r="57" customFormat="false" ht="12.8" hidden="false" customHeight="false" outlineLevel="0" collapsed="false">
      <c r="B57" s="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75" zoomScaleNormal="7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2821</v>
      </c>
      <c r="B1" s="63" t="s">
        <v>2822</v>
      </c>
      <c r="C1" s="6" t="s">
        <v>2</v>
      </c>
      <c r="D1" s="62" t="s">
        <v>2823</v>
      </c>
      <c r="AZ1" s="39"/>
      <c r="BP1" s="39"/>
    </row>
    <row r="2" customFormat="false" ht="46.25" hidden="false" customHeight="false" outlineLevel="0" collapsed="false">
      <c r="A2" s="67" t="s">
        <v>2813</v>
      </c>
      <c r="B2" s="63" t="s">
        <v>2814</v>
      </c>
      <c r="C2" s="73" t="str">
        <f aca="false">CALC!AZ3</f>
        <v>Federal Personal Income Tax Revenue ($)</v>
      </c>
      <c r="D2" s="73" t="str">
        <f aca="false">CALC!BA3</f>
        <v>Authorized Immigrant Federal Personal Income Tax Revenue ($)</v>
      </c>
      <c r="E2" s="73" t="str">
        <f aca="false">CALC!BB3</f>
        <v>Unauthorized Immigrant Federal Personal Income Tax Revenue ($)</v>
      </c>
      <c r="F2" s="73" t="str">
        <f aca="false">CALC!BC3</f>
        <v>American Federal Personal Income Tax Revenue ($)</v>
      </c>
    </row>
    <row r="3" customFormat="false" ht="12.8" hidden="false" customHeight="false" outlineLevel="0" collapsed="false">
      <c r="A3" s="4" t="e">
        <f aca="false">_xlfn.CONCAT($A$1, ".", #REF!)</f>
        <v>#REF!</v>
      </c>
      <c r="B3" s="49" t="e">
        <f aca="false">_xlfn.CONCAT(#REF!, ":", #REF!)</f>
        <v>#REF!</v>
      </c>
      <c r="C3" s="73" t="e">
        <f aca="false">#REF!</f>
        <v>#REF!</v>
      </c>
      <c r="D3" s="73" t="e">
        <f aca="false">#REF!</f>
        <v>#REF!</v>
      </c>
      <c r="E3" s="73" t="e">
        <f aca="false">#REF!</f>
        <v>#REF!</v>
      </c>
      <c r="F3" s="73" t="e">
        <f aca="false">#REF!</f>
        <v>#REF!</v>
      </c>
    </row>
    <row r="4" customFormat="false" ht="12.8" hidden="false" customHeight="false" outlineLevel="0" collapsed="false">
      <c r="A4" s="50" t="e">
        <f aca="false">_xlfn.CONCAT($A$1, ".", #REF!)</f>
        <v>#REF!</v>
      </c>
      <c r="B4" s="69" t="e">
        <f aca="false">_xlfn.CONCAT(#REF!, ":", #REF!)</f>
        <v>#REF!</v>
      </c>
      <c r="C4" s="74" t="e">
        <f aca="false">#REF!</f>
        <v>#REF!</v>
      </c>
      <c r="D4" s="74" t="e">
        <f aca="false">#REF!</f>
        <v>#REF!</v>
      </c>
      <c r="E4" s="74" t="e">
        <f aca="false">#REF!</f>
        <v>#REF!</v>
      </c>
      <c r="F4" s="74" t="e">
        <f aca="false">#REF!</f>
        <v>#REF!</v>
      </c>
    </row>
    <row r="5" customFormat="false" ht="12.8" hidden="false" customHeight="false" outlineLevel="0" collapsed="false">
      <c r="A5" s="50" t="e">
        <f aca="false">_xlfn.CONCAT($A$1, ".", #REF!)</f>
        <v>#REF!</v>
      </c>
      <c r="B5" s="69" t="e">
        <f aca="false">_xlfn.CONCAT(#REF!, ":", #REF!)</f>
        <v>#REF!</v>
      </c>
      <c r="C5" s="74" t="e">
        <f aca="false">#REF!</f>
        <v>#REF!</v>
      </c>
      <c r="D5" s="74" t="e">
        <f aca="false">#REF!</f>
        <v>#REF!</v>
      </c>
      <c r="E5" s="74" t="e">
        <f aca="false">#REF!</f>
        <v>#REF!</v>
      </c>
      <c r="F5" s="74" t="e">
        <f aca="false">#REF!</f>
        <v>#REF!</v>
      </c>
    </row>
    <row r="6" customFormat="false" ht="12.8" hidden="false" customHeight="false" outlineLevel="0" collapsed="false">
      <c r="A6" s="50" t="e">
        <f aca="false">_xlfn.CONCAT($A$1, ".", #REF!)</f>
        <v>#REF!</v>
      </c>
      <c r="B6" s="69" t="e">
        <f aca="false">_xlfn.CONCAT(#REF!, ":", #REF!)</f>
        <v>#REF!</v>
      </c>
      <c r="C6" s="74" t="e">
        <f aca="false">#REF!</f>
        <v>#REF!</v>
      </c>
      <c r="D6" s="74" t="e">
        <f aca="false">#REF!</f>
        <v>#REF!</v>
      </c>
      <c r="E6" s="74" t="e">
        <f aca="false">#REF!</f>
        <v>#REF!</v>
      </c>
      <c r="F6" s="74" t="e">
        <f aca="false">#REF!</f>
        <v>#REF!</v>
      </c>
    </row>
    <row r="7" customFormat="false" ht="12.8" hidden="false" customHeight="false" outlineLevel="0" collapsed="false">
      <c r="A7" s="50" t="e">
        <f aca="false">_xlfn.CONCAT($A$1, ".", #REF!)</f>
        <v>#REF!</v>
      </c>
      <c r="B7" s="69" t="e">
        <f aca="false">_xlfn.CONCAT(#REF!, ":", #REF!)</f>
        <v>#REF!</v>
      </c>
      <c r="C7" s="74" t="e">
        <f aca="false">#REF!</f>
        <v>#REF!</v>
      </c>
      <c r="D7" s="74" t="e">
        <f aca="false">#REF!</f>
        <v>#REF!</v>
      </c>
      <c r="E7" s="74" t="e">
        <f aca="false">#REF!</f>
        <v>#REF!</v>
      </c>
      <c r="F7" s="74" t="e">
        <f aca="false">#REF!</f>
        <v>#REF!</v>
      </c>
    </row>
    <row r="8" customFormat="false" ht="12.8" hidden="false" customHeight="false" outlineLevel="0" collapsed="false">
      <c r="A8" s="50" t="e">
        <f aca="false">_xlfn.CONCAT($A$1, ".", #REF!)</f>
        <v>#REF!</v>
      </c>
      <c r="B8" s="69" t="e">
        <f aca="false">_xlfn.CONCAT(#REF!, ":", #REF!)</f>
        <v>#REF!</v>
      </c>
      <c r="C8" s="74" t="e">
        <f aca="false">#REF!</f>
        <v>#REF!</v>
      </c>
      <c r="D8" s="74" t="e">
        <f aca="false">#REF!</f>
        <v>#REF!</v>
      </c>
      <c r="E8" s="74" t="e">
        <f aca="false">#REF!</f>
        <v>#REF!</v>
      </c>
      <c r="F8" s="74" t="e">
        <f aca="false">#REF!</f>
        <v>#REF!</v>
      </c>
    </row>
    <row r="9" customFormat="false" ht="12.8" hidden="false" customHeight="false" outlineLevel="0" collapsed="false">
      <c r="A9" s="50" t="e">
        <f aca="false">_xlfn.CONCAT($A$1, ".", #REF!)</f>
        <v>#REF!</v>
      </c>
      <c r="B9" s="69" t="e">
        <f aca="false">_xlfn.CONCAT(#REF!, ":", #REF!)</f>
        <v>#REF!</v>
      </c>
      <c r="C9" s="74" t="e">
        <f aca="false">#REF!</f>
        <v>#REF!</v>
      </c>
      <c r="D9" s="74" t="e">
        <f aca="false">#REF!</f>
        <v>#REF!</v>
      </c>
      <c r="E9" s="74" t="e">
        <f aca="false">#REF!</f>
        <v>#REF!</v>
      </c>
      <c r="F9" s="74" t="e">
        <f aca="false">#REF!</f>
        <v>#REF!</v>
      </c>
    </row>
    <row r="10" customFormat="false" ht="12.8" hidden="false" customHeight="false" outlineLevel="0" collapsed="false">
      <c r="A10" s="50" t="e">
        <f aca="false">_xlfn.CONCAT($A$1, ".", #REF!)</f>
        <v>#REF!</v>
      </c>
      <c r="B10" s="69" t="e">
        <f aca="false">_xlfn.CONCAT(#REF!, ":", #REF!)</f>
        <v>#REF!</v>
      </c>
      <c r="C10" s="74" t="e">
        <f aca="false">#REF!</f>
        <v>#REF!</v>
      </c>
      <c r="D10" s="74" t="e">
        <f aca="false">#REF!</f>
        <v>#REF!</v>
      </c>
      <c r="E10" s="74" t="e">
        <f aca="false">#REF!</f>
        <v>#REF!</v>
      </c>
      <c r="F10" s="74" t="e">
        <f aca="false">#REF!</f>
        <v>#REF!</v>
      </c>
    </row>
    <row r="11" customFormat="false" ht="12.8" hidden="false" customHeight="false" outlineLevel="0" collapsed="false">
      <c r="A11" s="50" t="e">
        <f aca="false">_xlfn.CONCAT($A$1, ".", #REF!)</f>
        <v>#REF!</v>
      </c>
      <c r="B11" s="69" t="e">
        <f aca="false">_xlfn.CONCAT(#REF!, ":", #REF!)</f>
        <v>#REF!</v>
      </c>
      <c r="C11" s="74" t="e">
        <f aca="false">#REF!</f>
        <v>#REF!</v>
      </c>
      <c r="D11" s="74" t="e">
        <f aca="false">#REF!</f>
        <v>#REF!</v>
      </c>
      <c r="E11" s="74" t="e">
        <f aca="false">#REF!</f>
        <v>#REF!</v>
      </c>
      <c r="F11" s="74" t="e">
        <f aca="false">#REF!</f>
        <v>#REF!</v>
      </c>
    </row>
    <row r="12" customFormat="false" ht="12.8" hidden="false" customHeight="false" outlineLevel="0" collapsed="false">
      <c r="A12" s="50" t="e">
        <f aca="false">_xlfn.CONCAT($A$1, ".", #REF!)</f>
        <v>#REF!</v>
      </c>
      <c r="B12" s="69" t="e">
        <f aca="false">_xlfn.CONCAT(#REF!, ":", #REF!)</f>
        <v>#REF!</v>
      </c>
      <c r="C12" s="74" t="e">
        <f aca="false">#REF!</f>
        <v>#REF!</v>
      </c>
      <c r="D12" s="74" t="e">
        <f aca="false">#REF!</f>
        <v>#REF!</v>
      </c>
      <c r="E12" s="74" t="e">
        <f aca="false">#REF!</f>
        <v>#REF!</v>
      </c>
      <c r="F12" s="74" t="e">
        <f aca="false">#REF!</f>
        <v>#REF!</v>
      </c>
    </row>
    <row r="13" customFormat="false" ht="12.8" hidden="false" customHeight="false" outlineLevel="0" collapsed="false">
      <c r="A13" s="50" t="e">
        <f aca="false">_xlfn.CONCAT($A$1, ".", #REF!)</f>
        <v>#REF!</v>
      </c>
      <c r="B13" s="69" t="e">
        <f aca="false">_xlfn.CONCAT(#REF!, ":", #REF!)</f>
        <v>#REF!</v>
      </c>
      <c r="C13" s="74" t="e">
        <f aca="false">#REF!</f>
        <v>#REF!</v>
      </c>
      <c r="D13" s="74" t="e">
        <f aca="false">#REF!</f>
        <v>#REF!</v>
      </c>
      <c r="E13" s="74" t="e">
        <f aca="false">#REF!</f>
        <v>#REF!</v>
      </c>
      <c r="F13" s="74" t="e">
        <f aca="false">#REF!</f>
        <v>#REF!</v>
      </c>
    </row>
    <row r="14" customFormat="false" ht="12.8" hidden="false" customHeight="false" outlineLevel="0" collapsed="false">
      <c r="A14" s="50" t="e">
        <f aca="false">_xlfn.CONCAT($A$1, ".", #REF!)</f>
        <v>#REF!</v>
      </c>
      <c r="B14" s="69" t="e">
        <f aca="false">_xlfn.CONCAT(#REF!, ":", #REF!)</f>
        <v>#REF!</v>
      </c>
      <c r="C14" s="74" t="e">
        <f aca="false">#REF!</f>
        <v>#REF!</v>
      </c>
      <c r="D14" s="74" t="e">
        <f aca="false">#REF!</f>
        <v>#REF!</v>
      </c>
      <c r="E14" s="74" t="e">
        <f aca="false">#REF!</f>
        <v>#REF!</v>
      </c>
      <c r="F14" s="74" t="e">
        <f aca="false">#REF!</f>
        <v>#REF!</v>
      </c>
    </row>
    <row r="15" customFormat="false" ht="12.8" hidden="false" customHeight="false" outlineLevel="0" collapsed="false">
      <c r="A15" s="50" t="e">
        <f aca="false">_xlfn.CONCAT($A$1, ".", #REF!)</f>
        <v>#REF!</v>
      </c>
      <c r="B15" s="69" t="e">
        <f aca="false">_xlfn.CONCAT(#REF!, ":", #REF!)</f>
        <v>#REF!</v>
      </c>
      <c r="C15" s="74" t="e">
        <f aca="false">#REF!</f>
        <v>#REF!</v>
      </c>
      <c r="D15" s="74" t="e">
        <f aca="false">#REF!</f>
        <v>#REF!</v>
      </c>
      <c r="E15" s="74" t="e">
        <f aca="false">#REF!</f>
        <v>#REF!</v>
      </c>
      <c r="F15" s="74" t="e">
        <f aca="false">#REF!</f>
        <v>#REF!</v>
      </c>
    </row>
    <row r="16" customFormat="false" ht="12.8" hidden="false" customHeight="false" outlineLevel="0" collapsed="false">
      <c r="A16" s="50" t="e">
        <f aca="false">_xlfn.CONCAT($A$1, ".", #REF!)</f>
        <v>#REF!</v>
      </c>
      <c r="B16" s="69" t="e">
        <f aca="false">_xlfn.CONCAT(#REF!, ":", #REF!)</f>
        <v>#REF!</v>
      </c>
      <c r="C16" s="74" t="e">
        <f aca="false">#REF!</f>
        <v>#REF!</v>
      </c>
      <c r="D16" s="74" t="e">
        <f aca="false">#REF!</f>
        <v>#REF!</v>
      </c>
      <c r="E16" s="74" t="e">
        <f aca="false">#REF!</f>
        <v>#REF!</v>
      </c>
      <c r="F16" s="74" t="e">
        <f aca="false">#REF!</f>
        <v>#REF!</v>
      </c>
    </row>
    <row r="17" customFormat="false" ht="12.8" hidden="false" customHeight="false" outlineLevel="0" collapsed="false">
      <c r="A17" s="50" t="e">
        <f aca="false">_xlfn.CONCAT($A$1, ".", #REF!)</f>
        <v>#REF!</v>
      </c>
      <c r="B17" s="69" t="e">
        <f aca="false">_xlfn.CONCAT(#REF!, ":", #REF!)</f>
        <v>#REF!</v>
      </c>
      <c r="C17" s="74" t="e">
        <f aca="false">#REF!</f>
        <v>#REF!</v>
      </c>
      <c r="D17" s="74" t="e">
        <f aca="false">#REF!</f>
        <v>#REF!</v>
      </c>
      <c r="E17" s="74" t="e">
        <f aca="false">#REF!</f>
        <v>#REF!</v>
      </c>
      <c r="F17" s="74" t="e">
        <f aca="false">#REF!</f>
        <v>#REF!</v>
      </c>
    </row>
    <row r="18" customFormat="false" ht="12.8" hidden="false" customHeight="false" outlineLevel="0" collapsed="false">
      <c r="A18" s="50" t="e">
        <f aca="false">_xlfn.CONCAT($A$1, ".", #REF!)</f>
        <v>#REF!</v>
      </c>
      <c r="B18" s="69" t="e">
        <f aca="false">_xlfn.CONCAT(#REF!, ":", #REF!)</f>
        <v>#REF!</v>
      </c>
      <c r="C18" s="74" t="e">
        <f aca="false">#REF!</f>
        <v>#REF!</v>
      </c>
      <c r="D18" s="74" t="e">
        <f aca="false">#REF!</f>
        <v>#REF!</v>
      </c>
      <c r="E18" s="74" t="e">
        <f aca="false">#REF!</f>
        <v>#REF!</v>
      </c>
      <c r="F18" s="74" t="e">
        <f aca="false">#REF!</f>
        <v>#REF!</v>
      </c>
    </row>
    <row r="19" customFormat="false" ht="12.8" hidden="false" customHeight="false" outlineLevel="0" collapsed="false">
      <c r="A19" s="50" t="e">
        <f aca="false">_xlfn.CONCAT($A$1, ".", #REF!)</f>
        <v>#REF!</v>
      </c>
      <c r="B19" s="69" t="e">
        <f aca="false">_xlfn.CONCAT(#REF!, ":", #REF!)</f>
        <v>#REF!</v>
      </c>
      <c r="C19" s="74" t="e">
        <f aca="false">#REF!</f>
        <v>#REF!</v>
      </c>
      <c r="D19" s="74" t="e">
        <f aca="false">#REF!</f>
        <v>#REF!</v>
      </c>
      <c r="E19" s="74" t="e">
        <f aca="false">#REF!</f>
        <v>#REF!</v>
      </c>
      <c r="F19" s="74" t="e">
        <f aca="false">#REF!</f>
        <v>#REF!</v>
      </c>
    </row>
    <row r="20" customFormat="false" ht="12.8" hidden="false" customHeight="false" outlineLevel="0" collapsed="false">
      <c r="A20" s="50" t="e">
        <f aca="false">_xlfn.CONCAT($A$1, ".", #REF!)</f>
        <v>#REF!</v>
      </c>
      <c r="B20" s="69" t="e">
        <f aca="false">_xlfn.CONCAT(#REF!, ":", #REF!)</f>
        <v>#REF!</v>
      </c>
      <c r="C20" s="74" t="e">
        <f aca="false">#REF!</f>
        <v>#REF!</v>
      </c>
      <c r="D20" s="74" t="e">
        <f aca="false">#REF!</f>
        <v>#REF!</v>
      </c>
      <c r="E20" s="74" t="e">
        <f aca="false">#REF!</f>
        <v>#REF!</v>
      </c>
      <c r="F20" s="74" t="e">
        <f aca="false">#REF!</f>
        <v>#REF!</v>
      </c>
    </row>
    <row r="21" customFormat="false" ht="12.8" hidden="false" customHeight="false" outlineLevel="0" collapsed="false">
      <c r="A21" s="50" t="e">
        <f aca="false">_xlfn.CONCAT($A$1, ".", #REF!)</f>
        <v>#REF!</v>
      </c>
      <c r="B21" s="69" t="e">
        <f aca="false">_xlfn.CONCAT(#REF!, ":", #REF!)</f>
        <v>#REF!</v>
      </c>
      <c r="C21" s="74" t="e">
        <f aca="false">#REF!</f>
        <v>#REF!</v>
      </c>
      <c r="D21" s="74" t="e">
        <f aca="false">#REF!</f>
        <v>#REF!</v>
      </c>
      <c r="E21" s="74" t="e">
        <f aca="false">#REF!</f>
        <v>#REF!</v>
      </c>
      <c r="F21" s="74" t="e">
        <f aca="false">#REF!</f>
        <v>#REF!</v>
      </c>
    </row>
    <row r="22" customFormat="false" ht="12.8" hidden="false" customHeight="false" outlineLevel="0" collapsed="false">
      <c r="A22" s="50" t="e">
        <f aca="false">_xlfn.CONCAT($A$1, ".", #REF!)</f>
        <v>#REF!</v>
      </c>
      <c r="B22" s="69" t="e">
        <f aca="false">_xlfn.CONCAT(#REF!, ":", #REF!)</f>
        <v>#REF!</v>
      </c>
      <c r="C22" s="74" t="e">
        <f aca="false">#REF!</f>
        <v>#REF!</v>
      </c>
      <c r="D22" s="74" t="e">
        <f aca="false">#REF!</f>
        <v>#REF!</v>
      </c>
      <c r="E22" s="74" t="e">
        <f aca="false">#REF!</f>
        <v>#REF!</v>
      </c>
      <c r="F22" s="74" t="e">
        <f aca="false">#REF!</f>
        <v>#REF!</v>
      </c>
    </row>
    <row r="23" customFormat="false" ht="12.8" hidden="false" customHeight="false" outlineLevel="0" collapsed="false">
      <c r="A23" s="50" t="e">
        <f aca="false">_xlfn.CONCAT($A$1, ".", #REF!)</f>
        <v>#REF!</v>
      </c>
      <c r="B23" s="69" t="e">
        <f aca="false">_xlfn.CONCAT(#REF!, ":", #REF!)</f>
        <v>#REF!</v>
      </c>
      <c r="C23" s="74" t="e">
        <f aca="false">#REF!</f>
        <v>#REF!</v>
      </c>
      <c r="D23" s="74" t="e">
        <f aca="false">#REF!</f>
        <v>#REF!</v>
      </c>
      <c r="E23" s="74" t="e">
        <f aca="false">#REF!</f>
        <v>#REF!</v>
      </c>
      <c r="F23" s="74" t="e">
        <f aca="false">#REF!</f>
        <v>#REF!</v>
      </c>
    </row>
    <row r="24" customFormat="false" ht="12.8" hidden="false" customHeight="false" outlineLevel="0" collapsed="false">
      <c r="A24" s="50" t="e">
        <f aca="false">_xlfn.CONCAT($A$1, ".", #REF!)</f>
        <v>#REF!</v>
      </c>
      <c r="B24" s="69" t="e">
        <f aca="false">_xlfn.CONCAT(#REF!, ":", #REF!)</f>
        <v>#REF!</v>
      </c>
      <c r="C24" s="74" t="e">
        <f aca="false">#REF!</f>
        <v>#REF!</v>
      </c>
      <c r="D24" s="74" t="e">
        <f aca="false">#REF!</f>
        <v>#REF!</v>
      </c>
      <c r="E24" s="74" t="e">
        <f aca="false">#REF!</f>
        <v>#REF!</v>
      </c>
      <c r="F24" s="74" t="e">
        <f aca="false">#REF!</f>
        <v>#REF!</v>
      </c>
    </row>
    <row r="25" customFormat="false" ht="12.8" hidden="false" customHeight="false" outlineLevel="0" collapsed="false">
      <c r="A25" s="50" t="e">
        <f aca="false">_xlfn.CONCAT($A$1, ".", #REF!)</f>
        <v>#REF!</v>
      </c>
      <c r="B25" s="69" t="e">
        <f aca="false">_xlfn.CONCAT(#REF!, ":", #REF!)</f>
        <v>#REF!</v>
      </c>
      <c r="C25" s="74" t="e">
        <f aca="false">#REF!</f>
        <v>#REF!</v>
      </c>
      <c r="D25" s="74" t="e">
        <f aca="false">#REF!</f>
        <v>#REF!</v>
      </c>
      <c r="E25" s="74" t="e">
        <f aca="false">#REF!</f>
        <v>#REF!</v>
      </c>
      <c r="F25" s="74" t="e">
        <f aca="false">#REF!</f>
        <v>#REF!</v>
      </c>
    </row>
    <row r="26" customFormat="false" ht="12.8" hidden="false" customHeight="false" outlineLevel="0" collapsed="false">
      <c r="A26" s="50" t="e">
        <f aca="false">_xlfn.CONCAT($A$1, ".", #REF!)</f>
        <v>#REF!</v>
      </c>
      <c r="B26" s="69" t="e">
        <f aca="false">_xlfn.CONCAT(#REF!, ":", #REF!)</f>
        <v>#REF!</v>
      </c>
      <c r="C26" s="74" t="e">
        <f aca="false">#REF!</f>
        <v>#REF!</v>
      </c>
      <c r="D26" s="74" t="e">
        <f aca="false">#REF!</f>
        <v>#REF!</v>
      </c>
      <c r="E26" s="74" t="e">
        <f aca="false">#REF!</f>
        <v>#REF!</v>
      </c>
      <c r="F26" s="74" t="e">
        <f aca="false">#REF!</f>
        <v>#REF!</v>
      </c>
    </row>
    <row r="27" customFormat="false" ht="12.8" hidden="false" customHeight="false" outlineLevel="0" collapsed="false">
      <c r="A27" s="50" t="e">
        <f aca="false">_xlfn.CONCAT($A$1, ".", #REF!)</f>
        <v>#REF!</v>
      </c>
      <c r="B27" s="69" t="e">
        <f aca="false">_xlfn.CONCAT(#REF!, ":", #REF!)</f>
        <v>#REF!</v>
      </c>
      <c r="C27" s="74" t="e">
        <f aca="false">#REF!</f>
        <v>#REF!</v>
      </c>
      <c r="D27" s="74" t="e">
        <f aca="false">#REF!</f>
        <v>#REF!</v>
      </c>
      <c r="E27" s="74" t="e">
        <f aca="false">#REF!</f>
        <v>#REF!</v>
      </c>
      <c r="F27" s="74" t="e">
        <f aca="false">#REF!</f>
        <v>#REF!</v>
      </c>
    </row>
    <row r="28" customFormat="false" ht="12.8" hidden="false" customHeight="false" outlineLevel="0" collapsed="false">
      <c r="A28" s="50" t="e">
        <f aca="false">_xlfn.CONCAT($A$1, ".", #REF!)</f>
        <v>#REF!</v>
      </c>
      <c r="B28" s="69" t="e">
        <f aca="false">_xlfn.CONCAT(#REF!, ":", #REF!)</f>
        <v>#REF!</v>
      </c>
      <c r="C28" s="74" t="e">
        <f aca="false">#REF!</f>
        <v>#REF!</v>
      </c>
      <c r="D28" s="74" t="e">
        <f aca="false">#REF!</f>
        <v>#REF!</v>
      </c>
      <c r="E28" s="74" t="e">
        <f aca="false">#REF!</f>
        <v>#REF!</v>
      </c>
      <c r="F28" s="74" t="e">
        <f aca="false">#REF!</f>
        <v>#REF!</v>
      </c>
    </row>
    <row r="29" customFormat="false" ht="12.8" hidden="false" customHeight="false" outlineLevel="0" collapsed="false">
      <c r="A29" s="50" t="e">
        <f aca="false">_xlfn.CONCAT($A$1, ".", #REF!)</f>
        <v>#REF!</v>
      </c>
      <c r="B29" s="69" t="e">
        <f aca="false">_xlfn.CONCAT(#REF!, ":", #REF!)</f>
        <v>#REF!</v>
      </c>
      <c r="C29" s="74" t="e">
        <f aca="false">#REF!</f>
        <v>#REF!</v>
      </c>
      <c r="D29" s="74" t="e">
        <f aca="false">#REF!</f>
        <v>#REF!</v>
      </c>
      <c r="E29" s="74" t="e">
        <f aca="false">#REF!</f>
        <v>#REF!</v>
      </c>
      <c r="F29" s="74" t="e">
        <f aca="false">#REF!</f>
        <v>#REF!</v>
      </c>
    </row>
    <row r="30" customFormat="false" ht="12.8" hidden="false" customHeight="false" outlineLevel="0" collapsed="false">
      <c r="A30" s="50" t="e">
        <f aca="false">_xlfn.CONCAT($A$1, ".", #REF!)</f>
        <v>#REF!</v>
      </c>
      <c r="B30" s="69" t="e">
        <f aca="false">_xlfn.CONCAT(#REF!, ":", #REF!)</f>
        <v>#REF!</v>
      </c>
      <c r="C30" s="74" t="e">
        <f aca="false">#REF!</f>
        <v>#REF!</v>
      </c>
      <c r="D30" s="74" t="e">
        <f aca="false">#REF!</f>
        <v>#REF!</v>
      </c>
      <c r="E30" s="74" t="e">
        <f aca="false">#REF!</f>
        <v>#REF!</v>
      </c>
      <c r="F30" s="74" t="e">
        <f aca="false">#REF!</f>
        <v>#REF!</v>
      </c>
    </row>
    <row r="31" customFormat="false" ht="12.8" hidden="false" customHeight="false" outlineLevel="0" collapsed="false">
      <c r="A31" s="50" t="e">
        <f aca="false">_xlfn.CONCAT($A$1, ".", #REF!)</f>
        <v>#REF!</v>
      </c>
      <c r="B31" s="69" t="e">
        <f aca="false">_xlfn.CONCAT(#REF!, ":", #REF!)</f>
        <v>#REF!</v>
      </c>
      <c r="C31" s="74" t="e">
        <f aca="false">#REF!</f>
        <v>#REF!</v>
      </c>
      <c r="D31" s="74" t="e">
        <f aca="false">#REF!</f>
        <v>#REF!</v>
      </c>
      <c r="E31" s="74" t="e">
        <f aca="false">#REF!</f>
        <v>#REF!</v>
      </c>
      <c r="F31" s="74" t="e">
        <f aca="false">#REF!</f>
        <v>#REF!</v>
      </c>
    </row>
    <row r="32" customFormat="false" ht="12.8" hidden="false" customHeight="false" outlineLevel="0" collapsed="false">
      <c r="A32" s="50" t="e">
        <f aca="false">_xlfn.CONCAT($A$1, ".", #REF!)</f>
        <v>#REF!</v>
      </c>
      <c r="B32" s="69" t="e">
        <f aca="false">_xlfn.CONCAT(#REF!, ":", #REF!)</f>
        <v>#REF!</v>
      </c>
      <c r="C32" s="74" t="e">
        <f aca="false">#REF!</f>
        <v>#REF!</v>
      </c>
      <c r="D32" s="74" t="e">
        <f aca="false">#REF!</f>
        <v>#REF!</v>
      </c>
      <c r="E32" s="74" t="e">
        <f aca="false">#REF!</f>
        <v>#REF!</v>
      </c>
      <c r="F32" s="74" t="e">
        <f aca="false">#REF!</f>
        <v>#REF!</v>
      </c>
    </row>
    <row r="33" customFormat="false" ht="12.8" hidden="false" customHeight="false" outlineLevel="0" collapsed="false">
      <c r="A33" s="50" t="e">
        <f aca="false">_xlfn.CONCAT($A$1, ".", #REF!)</f>
        <v>#REF!</v>
      </c>
      <c r="B33" s="69" t="e">
        <f aca="false">_xlfn.CONCAT(#REF!, ":", #REF!)</f>
        <v>#REF!</v>
      </c>
      <c r="C33" s="74" t="e">
        <f aca="false">#REF!</f>
        <v>#REF!</v>
      </c>
      <c r="D33" s="74" t="e">
        <f aca="false">#REF!</f>
        <v>#REF!</v>
      </c>
      <c r="E33" s="74" t="e">
        <f aca="false">#REF!</f>
        <v>#REF!</v>
      </c>
      <c r="F33" s="74" t="e">
        <f aca="false">#REF!</f>
        <v>#REF!</v>
      </c>
    </row>
    <row r="34" customFormat="false" ht="12.8" hidden="false" customHeight="false" outlineLevel="0" collapsed="false">
      <c r="A34" s="50" t="e">
        <f aca="false">_xlfn.CONCAT($A$1, ".", #REF!)</f>
        <v>#REF!</v>
      </c>
      <c r="B34" s="69" t="e">
        <f aca="false">_xlfn.CONCAT(#REF!, ":", #REF!)</f>
        <v>#REF!</v>
      </c>
      <c r="C34" s="74" t="e">
        <f aca="false">#REF!</f>
        <v>#REF!</v>
      </c>
      <c r="D34" s="74" t="e">
        <f aca="false">#REF!</f>
        <v>#REF!</v>
      </c>
      <c r="E34" s="74" t="e">
        <f aca="false">#REF!</f>
        <v>#REF!</v>
      </c>
      <c r="F34" s="74" t="e">
        <f aca="false">#REF!</f>
        <v>#REF!</v>
      </c>
    </row>
    <row r="35" customFormat="false" ht="12.8" hidden="false" customHeight="false" outlineLevel="0" collapsed="false">
      <c r="A35" s="50" t="e">
        <f aca="false">_xlfn.CONCAT($A$1, ".", #REF!)</f>
        <v>#REF!</v>
      </c>
      <c r="B35" s="69" t="e">
        <f aca="false">_xlfn.CONCAT(#REF!, ":", #REF!)</f>
        <v>#REF!</v>
      </c>
      <c r="C35" s="74" t="e">
        <f aca="false">#REF!</f>
        <v>#REF!</v>
      </c>
      <c r="D35" s="74" t="e">
        <f aca="false">#REF!</f>
        <v>#REF!</v>
      </c>
      <c r="E35" s="74" t="e">
        <f aca="false">#REF!</f>
        <v>#REF!</v>
      </c>
      <c r="F35" s="74" t="e">
        <f aca="false">#REF!</f>
        <v>#REF!</v>
      </c>
    </row>
    <row r="36" customFormat="false" ht="12.8" hidden="false" customHeight="false" outlineLevel="0" collapsed="false">
      <c r="A36" s="50" t="e">
        <f aca="false">_xlfn.CONCAT($A$1, ".", #REF!)</f>
        <v>#REF!</v>
      </c>
      <c r="B36" s="69" t="e">
        <f aca="false">_xlfn.CONCAT(#REF!, ":", #REF!)</f>
        <v>#REF!</v>
      </c>
      <c r="C36" s="74" t="e">
        <f aca="false">#REF!</f>
        <v>#REF!</v>
      </c>
      <c r="D36" s="74" t="e">
        <f aca="false">#REF!</f>
        <v>#REF!</v>
      </c>
      <c r="E36" s="74" t="e">
        <f aca="false">#REF!</f>
        <v>#REF!</v>
      </c>
      <c r="F36" s="74" t="e">
        <f aca="false">#REF!</f>
        <v>#REF!</v>
      </c>
    </row>
    <row r="37" customFormat="false" ht="12.8" hidden="false" customHeight="false" outlineLevel="0" collapsed="false">
      <c r="A37" s="50" t="e">
        <f aca="false">_xlfn.CONCAT($A$1, ".", #REF!)</f>
        <v>#REF!</v>
      </c>
      <c r="B37" s="69" t="e">
        <f aca="false">_xlfn.CONCAT(#REF!, ":", #REF!)</f>
        <v>#REF!</v>
      </c>
      <c r="C37" s="74" t="e">
        <f aca="false">#REF!</f>
        <v>#REF!</v>
      </c>
      <c r="D37" s="74" t="e">
        <f aca="false">#REF!</f>
        <v>#REF!</v>
      </c>
      <c r="E37" s="74" t="e">
        <f aca="false">#REF!</f>
        <v>#REF!</v>
      </c>
      <c r="F37" s="74" t="e">
        <f aca="false">#REF!</f>
        <v>#REF!</v>
      </c>
    </row>
    <row r="38" customFormat="false" ht="12.8" hidden="false" customHeight="false" outlineLevel="0" collapsed="false">
      <c r="A38" s="50" t="e">
        <f aca="false">_xlfn.CONCAT($A$1, ".", #REF!)</f>
        <v>#REF!</v>
      </c>
      <c r="B38" s="69" t="e">
        <f aca="false">_xlfn.CONCAT(#REF!, ":", #REF!)</f>
        <v>#REF!</v>
      </c>
      <c r="C38" s="74" t="e">
        <f aca="false">#REF!</f>
        <v>#REF!</v>
      </c>
      <c r="D38" s="74" t="e">
        <f aca="false">#REF!</f>
        <v>#REF!</v>
      </c>
      <c r="E38" s="74" t="e">
        <f aca="false">#REF!</f>
        <v>#REF!</v>
      </c>
      <c r="F38" s="74" t="e">
        <f aca="false">#REF!</f>
        <v>#REF!</v>
      </c>
    </row>
    <row r="39" customFormat="false" ht="12.8" hidden="false" customHeight="false" outlineLevel="0" collapsed="false">
      <c r="A39" s="50" t="e">
        <f aca="false">_xlfn.CONCAT($A$1, ".", #REF!)</f>
        <v>#REF!</v>
      </c>
      <c r="B39" s="69" t="e">
        <f aca="false">_xlfn.CONCAT(#REF!, ":", #REF!)</f>
        <v>#REF!</v>
      </c>
      <c r="C39" s="74" t="e">
        <f aca="false">#REF!</f>
        <v>#REF!</v>
      </c>
      <c r="D39" s="74" t="e">
        <f aca="false">#REF!</f>
        <v>#REF!</v>
      </c>
      <c r="E39" s="74" t="e">
        <f aca="false">#REF!</f>
        <v>#REF!</v>
      </c>
      <c r="F39" s="74" t="e">
        <f aca="false">#REF!</f>
        <v>#REF!</v>
      </c>
    </row>
    <row r="40" customFormat="false" ht="12.8" hidden="false" customHeight="false" outlineLevel="0" collapsed="false">
      <c r="A40" s="50" t="e">
        <f aca="false">_xlfn.CONCAT($A$1, ".", #REF!)</f>
        <v>#REF!</v>
      </c>
      <c r="B40" s="69" t="e">
        <f aca="false">_xlfn.CONCAT(#REF!, ":", #REF!)</f>
        <v>#REF!</v>
      </c>
      <c r="C40" s="74" t="e">
        <f aca="false">#REF!</f>
        <v>#REF!</v>
      </c>
      <c r="D40" s="74" t="e">
        <f aca="false">#REF!</f>
        <v>#REF!</v>
      </c>
      <c r="E40" s="74" t="e">
        <f aca="false">#REF!</f>
        <v>#REF!</v>
      </c>
      <c r="F40" s="74" t="e">
        <f aca="false">#REF!</f>
        <v>#REF!</v>
      </c>
    </row>
    <row r="41" customFormat="false" ht="12.8" hidden="false" customHeight="false" outlineLevel="0" collapsed="false">
      <c r="A41" s="50" t="e">
        <f aca="false">_xlfn.CONCAT($A$1, ".", #REF!)</f>
        <v>#REF!</v>
      </c>
      <c r="B41" s="69" t="e">
        <f aca="false">_xlfn.CONCAT(#REF!, ":", #REF!)</f>
        <v>#REF!</v>
      </c>
      <c r="C41" s="74" t="e">
        <f aca="false">#REF!</f>
        <v>#REF!</v>
      </c>
      <c r="D41" s="74" t="e">
        <f aca="false">#REF!</f>
        <v>#REF!</v>
      </c>
      <c r="E41" s="74" t="e">
        <f aca="false">#REF!</f>
        <v>#REF!</v>
      </c>
      <c r="F41" s="74" t="e">
        <f aca="false">#REF!</f>
        <v>#REF!</v>
      </c>
    </row>
    <row r="42" customFormat="false" ht="12.8" hidden="false" customHeight="false" outlineLevel="0" collapsed="false">
      <c r="A42" s="50" t="e">
        <f aca="false">_xlfn.CONCAT($A$1, ".", #REF!)</f>
        <v>#REF!</v>
      </c>
      <c r="B42" s="69" t="e">
        <f aca="false">_xlfn.CONCAT(#REF!, ":", #REF!)</f>
        <v>#REF!</v>
      </c>
      <c r="C42" s="74" t="e">
        <f aca="false">#REF!</f>
        <v>#REF!</v>
      </c>
      <c r="D42" s="74" t="e">
        <f aca="false">#REF!</f>
        <v>#REF!</v>
      </c>
      <c r="E42" s="74" t="e">
        <f aca="false">#REF!</f>
        <v>#REF!</v>
      </c>
      <c r="F42" s="74" t="e">
        <f aca="false">#REF!</f>
        <v>#REF!</v>
      </c>
    </row>
    <row r="43" customFormat="false" ht="12.8" hidden="false" customHeight="false" outlineLevel="0" collapsed="false">
      <c r="A43" s="50" t="e">
        <f aca="false">_xlfn.CONCAT($A$1, ".", #REF!)</f>
        <v>#REF!</v>
      </c>
      <c r="B43" s="69" t="e">
        <f aca="false">_xlfn.CONCAT(#REF!, ":", #REF!)</f>
        <v>#REF!</v>
      </c>
      <c r="C43" s="74" t="e">
        <f aca="false">#REF!</f>
        <v>#REF!</v>
      </c>
      <c r="D43" s="74" t="e">
        <f aca="false">#REF!</f>
        <v>#REF!</v>
      </c>
      <c r="E43" s="74" t="e">
        <f aca="false">#REF!</f>
        <v>#REF!</v>
      </c>
      <c r="F43" s="74" t="e">
        <f aca="false">#REF!</f>
        <v>#REF!</v>
      </c>
    </row>
    <row r="44" customFormat="false" ht="12.8" hidden="false" customHeight="false" outlineLevel="0" collapsed="false">
      <c r="A44" s="50" t="e">
        <f aca="false">_xlfn.CONCAT($A$1, ".", #REF!)</f>
        <v>#REF!</v>
      </c>
      <c r="B44" s="69" t="e">
        <f aca="false">_xlfn.CONCAT(#REF!, ":", #REF!)</f>
        <v>#REF!</v>
      </c>
      <c r="C44" s="74" t="e">
        <f aca="false">#REF!</f>
        <v>#REF!</v>
      </c>
      <c r="D44" s="74" t="e">
        <f aca="false">#REF!</f>
        <v>#REF!</v>
      </c>
      <c r="E44" s="74" t="e">
        <f aca="false">#REF!</f>
        <v>#REF!</v>
      </c>
      <c r="F44" s="74" t="e">
        <f aca="false">#REF!</f>
        <v>#REF!</v>
      </c>
    </row>
    <row r="45" customFormat="false" ht="12.8" hidden="false" customHeight="false" outlineLevel="0" collapsed="false">
      <c r="A45" s="50" t="e">
        <f aca="false">_xlfn.CONCAT($A$1, ".", #REF!)</f>
        <v>#REF!</v>
      </c>
      <c r="B45" s="69" t="e">
        <f aca="false">_xlfn.CONCAT(#REF!, ":", #REF!)</f>
        <v>#REF!</v>
      </c>
      <c r="C45" s="74" t="e">
        <f aca="false">#REF!</f>
        <v>#REF!</v>
      </c>
      <c r="D45" s="74" t="e">
        <f aca="false">#REF!</f>
        <v>#REF!</v>
      </c>
      <c r="E45" s="74" t="e">
        <f aca="false">#REF!</f>
        <v>#REF!</v>
      </c>
      <c r="F45" s="74" t="e">
        <f aca="false">#REF!</f>
        <v>#REF!</v>
      </c>
    </row>
    <row r="46" customFormat="false" ht="12.8" hidden="false" customHeight="false" outlineLevel="0" collapsed="false">
      <c r="A46" s="50" t="e">
        <f aca="false">_xlfn.CONCAT($A$1, ".", #REF!)</f>
        <v>#REF!</v>
      </c>
      <c r="B46" s="69" t="e">
        <f aca="false">_xlfn.CONCAT(#REF!, ":", #REF!)</f>
        <v>#REF!</v>
      </c>
      <c r="C46" s="74" t="e">
        <f aca="false">#REF!</f>
        <v>#REF!</v>
      </c>
      <c r="D46" s="74" t="e">
        <f aca="false">#REF!</f>
        <v>#REF!</v>
      </c>
      <c r="E46" s="74" t="e">
        <f aca="false">#REF!</f>
        <v>#REF!</v>
      </c>
      <c r="F46" s="74" t="e">
        <f aca="false">#REF!</f>
        <v>#REF!</v>
      </c>
    </row>
    <row r="47" customFormat="false" ht="12.8" hidden="false" customHeight="false" outlineLevel="0" collapsed="false">
      <c r="A47" s="50" t="e">
        <f aca="false">_xlfn.CONCAT($A$1, ".", #REF!)</f>
        <v>#REF!</v>
      </c>
      <c r="B47" s="69" t="e">
        <f aca="false">_xlfn.CONCAT(#REF!, ":", #REF!)</f>
        <v>#REF!</v>
      </c>
      <c r="C47" s="74" t="e">
        <f aca="false">#REF!</f>
        <v>#REF!</v>
      </c>
      <c r="D47" s="74" t="e">
        <f aca="false">#REF!</f>
        <v>#REF!</v>
      </c>
      <c r="E47" s="74" t="e">
        <f aca="false">#REF!</f>
        <v>#REF!</v>
      </c>
      <c r="F47" s="74" t="e">
        <f aca="false">#REF!</f>
        <v>#REF!</v>
      </c>
    </row>
    <row r="48" customFormat="false" ht="12.8" hidden="false" customHeight="false" outlineLevel="0" collapsed="false">
      <c r="A48" s="50" t="e">
        <f aca="false">_xlfn.CONCAT($A$1, ".", #REF!)</f>
        <v>#REF!</v>
      </c>
      <c r="B48" s="69" t="e">
        <f aca="false">_xlfn.CONCAT(#REF!, ":", #REF!)</f>
        <v>#REF!</v>
      </c>
      <c r="C48" s="74" t="e">
        <f aca="false">#REF!</f>
        <v>#REF!</v>
      </c>
      <c r="D48" s="74" t="e">
        <f aca="false">#REF!</f>
        <v>#REF!</v>
      </c>
      <c r="E48" s="74" t="e">
        <f aca="false">#REF!</f>
        <v>#REF!</v>
      </c>
      <c r="F48" s="74" t="e">
        <f aca="false">#REF!</f>
        <v>#REF!</v>
      </c>
    </row>
    <row r="49" customFormat="false" ht="12.8" hidden="false" customHeight="false" outlineLevel="0" collapsed="false">
      <c r="A49" s="50" t="e">
        <f aca="false">_xlfn.CONCAT($A$1, ".", #REF!)</f>
        <v>#REF!</v>
      </c>
      <c r="B49" s="69" t="e">
        <f aca="false">_xlfn.CONCAT(#REF!, ":", #REF!)</f>
        <v>#REF!</v>
      </c>
      <c r="C49" s="74" t="e">
        <f aca="false">#REF!</f>
        <v>#REF!</v>
      </c>
      <c r="D49" s="74" t="e">
        <f aca="false">#REF!</f>
        <v>#REF!</v>
      </c>
      <c r="E49" s="74" t="e">
        <f aca="false">#REF!</f>
        <v>#REF!</v>
      </c>
      <c r="F49" s="74" t="e">
        <f aca="false">#REF!</f>
        <v>#REF!</v>
      </c>
    </row>
    <row r="50" customFormat="false" ht="12.8" hidden="false" customHeight="false" outlineLevel="0" collapsed="false">
      <c r="A50" s="50" t="e">
        <f aca="false">_xlfn.CONCAT($A$1, ".", #REF!)</f>
        <v>#REF!</v>
      </c>
      <c r="B50" s="69" t="e">
        <f aca="false">_xlfn.CONCAT(#REF!, ":", #REF!)</f>
        <v>#REF!</v>
      </c>
      <c r="C50" s="74" t="e">
        <f aca="false">#REF!</f>
        <v>#REF!</v>
      </c>
      <c r="D50" s="74" t="e">
        <f aca="false">#REF!</f>
        <v>#REF!</v>
      </c>
      <c r="E50" s="74" t="e">
        <f aca="false">#REF!</f>
        <v>#REF!</v>
      </c>
      <c r="F50" s="74" t="e">
        <f aca="false">#REF!</f>
        <v>#REF!</v>
      </c>
    </row>
    <row r="51" customFormat="false" ht="12.8" hidden="false" customHeight="false" outlineLevel="0" collapsed="false">
      <c r="A51" s="50" t="e">
        <f aca="false">_xlfn.CONCAT($A$1, ".", #REF!)</f>
        <v>#REF!</v>
      </c>
      <c r="B51" s="69" t="e">
        <f aca="false">_xlfn.CONCAT(#REF!, ":", #REF!)</f>
        <v>#REF!</v>
      </c>
      <c r="C51" s="74" t="e">
        <f aca="false">#REF!</f>
        <v>#REF!</v>
      </c>
      <c r="D51" s="74" t="e">
        <f aca="false">#REF!</f>
        <v>#REF!</v>
      </c>
      <c r="E51" s="74" t="e">
        <f aca="false">#REF!</f>
        <v>#REF!</v>
      </c>
      <c r="F51" s="74" t="e">
        <f aca="false">#REF!</f>
        <v>#REF!</v>
      </c>
    </row>
    <row r="52" customFormat="false" ht="12.8" hidden="false" customHeight="false" outlineLevel="0" collapsed="false">
      <c r="A52" s="50" t="e">
        <f aca="false">_xlfn.CONCAT($A$1, ".", #REF!)</f>
        <v>#REF!</v>
      </c>
      <c r="B52" s="69" t="e">
        <f aca="false">_xlfn.CONCAT(#REF!, ":", #REF!)</f>
        <v>#REF!</v>
      </c>
      <c r="C52" s="74" t="e">
        <f aca="false">#REF!</f>
        <v>#REF!</v>
      </c>
      <c r="D52" s="74" t="e">
        <f aca="false">#REF!</f>
        <v>#REF!</v>
      </c>
      <c r="E52" s="74" t="e">
        <f aca="false">#REF!</f>
        <v>#REF!</v>
      </c>
      <c r="F52" s="74" t="e">
        <f aca="false">#REF!</f>
        <v>#REF!</v>
      </c>
    </row>
    <row r="53" customFormat="false" ht="12.8" hidden="false" customHeight="false" outlineLevel="0" collapsed="false">
      <c r="A53" s="50" t="e">
        <f aca="false">_xlfn.CONCAT($A$1, ".", #REF!)</f>
        <v>#REF!</v>
      </c>
      <c r="B53" s="69" t="e">
        <f aca="false">_xlfn.CONCAT(#REF!, ":", #REF!)</f>
        <v>#REF!</v>
      </c>
      <c r="C53" s="74" t="e">
        <f aca="false">#REF!</f>
        <v>#REF!</v>
      </c>
      <c r="D53" s="74" t="e">
        <f aca="false">#REF!</f>
        <v>#REF!</v>
      </c>
      <c r="E53" s="74" t="e">
        <f aca="false">#REF!</f>
        <v>#REF!</v>
      </c>
      <c r="F53" s="74" t="e">
        <f aca="false">#REF!</f>
        <v>#REF!</v>
      </c>
    </row>
    <row r="54" customFormat="false" ht="12.8" hidden="false" customHeight="false" outlineLevel="0" collapsed="false">
      <c r="A54" s="50" t="e">
        <f aca="false">_xlfn.CONCAT($A$1, ".", #REF!)</f>
        <v>#REF!</v>
      </c>
      <c r="B54" s="69" t="e">
        <f aca="false">_xlfn.CONCAT(#REF!, ":", #REF!)</f>
        <v>#REF!</v>
      </c>
      <c r="C54" s="74" t="e">
        <f aca="false">#REF!</f>
        <v>#REF!</v>
      </c>
      <c r="D54" s="74" t="e">
        <f aca="false">#REF!</f>
        <v>#REF!</v>
      </c>
      <c r="E54" s="74" t="e">
        <f aca="false">#REF!</f>
        <v>#REF!</v>
      </c>
      <c r="F54" s="74" t="e">
        <f aca="false">#REF!</f>
        <v>#REF!</v>
      </c>
    </row>
    <row r="55" customFormat="false" ht="12.8" hidden="false" customHeight="false" outlineLevel="0" collapsed="false">
      <c r="A55" s="50" t="e">
        <f aca="false">_xlfn.CONCAT($A$1, ".", #REF!)</f>
        <v>#REF!</v>
      </c>
      <c r="B55" s="69" t="e">
        <f aca="false">_xlfn.CONCAT(#REF!, ":", #REF!)</f>
        <v>#REF!</v>
      </c>
      <c r="C55" s="74" t="e">
        <f aca="false">#REF!</f>
        <v>#REF!</v>
      </c>
      <c r="D55" s="74" t="e">
        <f aca="false">#REF!</f>
        <v>#REF!</v>
      </c>
      <c r="E55" s="74" t="e">
        <f aca="false">#REF!</f>
        <v>#REF!</v>
      </c>
      <c r="F55" s="74" t="e">
        <f aca="false">#REF!</f>
        <v>#REF!</v>
      </c>
    </row>
    <row r="56" customFormat="false" ht="12.8" hidden="false" customHeight="false" outlineLevel="0" collapsed="false">
      <c r="C56" s="73"/>
      <c r="D56" s="73"/>
      <c r="E56" s="73"/>
      <c r="F56" s="73"/>
    </row>
    <row r="57" customFormat="false" ht="12.8" hidden="false" customHeight="false" outlineLevel="0" collapsed="false">
      <c r="C57" s="73"/>
      <c r="D57" s="73"/>
      <c r="E57" s="73"/>
      <c r="F57" s="73"/>
    </row>
    <row r="58" customFormat="false" ht="12.8" hidden="false" customHeight="false" outlineLevel="0" collapsed="false">
      <c r="C58" s="73"/>
      <c r="D58" s="73"/>
      <c r="E58" s="73"/>
      <c r="F58" s="7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75" zoomScaleNormal="7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2824</v>
      </c>
      <c r="B1" s="63" t="s">
        <v>2825</v>
      </c>
      <c r="C1" s="6" t="s">
        <v>2</v>
      </c>
      <c r="D1" s="62" t="s">
        <v>2826</v>
      </c>
      <c r="AZ1" s="39"/>
      <c r="BP1" s="39"/>
    </row>
    <row r="2" customFormat="false" ht="35.05" hidden="false" customHeight="false" outlineLevel="0" collapsed="false">
      <c r="A2" s="67" t="s">
        <v>2813</v>
      </c>
      <c r="B2" s="63" t="s">
        <v>2814</v>
      </c>
      <c r="C2" s="73" t="str">
        <f aca="false">CALC!BH3</f>
        <v>EITC Credit Refund</v>
      </c>
      <c r="D2" s="73" t="str">
        <f aca="false">CALC!BI3</f>
        <v>Authorized Immigrant EITC Credit Refund</v>
      </c>
      <c r="E2" s="73" t="str">
        <f aca="false">CALC!BJ3</f>
        <v>Unauthorized Immigrant EITC Credit Refund</v>
      </c>
      <c r="F2" s="73" t="str">
        <f aca="false">CALC!BK3</f>
        <v>American EITC Refund</v>
      </c>
    </row>
    <row r="3" customFormat="false" ht="12.8" hidden="false" customHeight="false" outlineLevel="0" collapsed="false">
      <c r="A3" s="4" t="e">
        <f aca="false">_xlfn.CONCAT($A$1, ".", #REF!)</f>
        <v>#REF!</v>
      </c>
      <c r="B3" s="49" t="e">
        <f aca="false">_xlfn.CONCAT(#REF!, ":", #REF!)</f>
        <v>#REF!</v>
      </c>
      <c r="C3" s="73" t="e">
        <f aca="false">#REF!</f>
        <v>#REF!</v>
      </c>
      <c r="D3" s="73" t="e">
        <f aca="false">#REF!</f>
        <v>#REF!</v>
      </c>
      <c r="E3" s="73" t="e">
        <f aca="false">#REF!</f>
        <v>#REF!</v>
      </c>
      <c r="F3" s="73" t="e">
        <f aca="false">#REF!</f>
        <v>#REF!</v>
      </c>
    </row>
    <row r="4" customFormat="false" ht="12.8" hidden="false" customHeight="false" outlineLevel="0" collapsed="false">
      <c r="A4" s="50" t="e">
        <f aca="false">_xlfn.CONCAT($A$1, ".", #REF!)</f>
        <v>#REF!</v>
      </c>
      <c r="B4" s="69" t="e">
        <f aca="false">_xlfn.CONCAT(#REF!, ":", #REF!)</f>
        <v>#REF!</v>
      </c>
      <c r="C4" s="74" t="e">
        <f aca="false">#REF!</f>
        <v>#REF!</v>
      </c>
      <c r="D4" s="74" t="e">
        <f aca="false">#REF!</f>
        <v>#REF!</v>
      </c>
      <c r="E4" s="74" t="e">
        <f aca="false">#REF!</f>
        <v>#REF!</v>
      </c>
      <c r="F4" s="74" t="e">
        <f aca="false">#REF!</f>
        <v>#REF!</v>
      </c>
    </row>
    <row r="5" customFormat="false" ht="12.8" hidden="false" customHeight="false" outlineLevel="0" collapsed="false">
      <c r="A5" s="50" t="e">
        <f aca="false">_xlfn.CONCAT($A$1, ".", #REF!)</f>
        <v>#REF!</v>
      </c>
      <c r="B5" s="69" t="e">
        <f aca="false">_xlfn.CONCAT(#REF!, ":", #REF!)</f>
        <v>#REF!</v>
      </c>
      <c r="C5" s="74" t="e">
        <f aca="false">#REF!</f>
        <v>#REF!</v>
      </c>
      <c r="D5" s="74" t="e">
        <f aca="false">#REF!</f>
        <v>#REF!</v>
      </c>
      <c r="E5" s="74" t="e">
        <f aca="false">#REF!</f>
        <v>#REF!</v>
      </c>
      <c r="F5" s="74" t="e">
        <f aca="false">#REF!</f>
        <v>#REF!</v>
      </c>
    </row>
    <row r="6" customFormat="false" ht="12.8" hidden="false" customHeight="false" outlineLevel="0" collapsed="false">
      <c r="A6" s="50" t="e">
        <f aca="false">_xlfn.CONCAT($A$1, ".", #REF!)</f>
        <v>#REF!</v>
      </c>
      <c r="B6" s="69" t="e">
        <f aca="false">_xlfn.CONCAT(#REF!, ":", #REF!)</f>
        <v>#REF!</v>
      </c>
      <c r="C6" s="74" t="e">
        <f aca="false">#REF!</f>
        <v>#REF!</v>
      </c>
      <c r="D6" s="74" t="e">
        <f aca="false">#REF!</f>
        <v>#REF!</v>
      </c>
      <c r="E6" s="74" t="e">
        <f aca="false">#REF!</f>
        <v>#REF!</v>
      </c>
      <c r="F6" s="74" t="e">
        <f aca="false">#REF!</f>
        <v>#REF!</v>
      </c>
    </row>
    <row r="7" customFormat="false" ht="12.8" hidden="false" customHeight="false" outlineLevel="0" collapsed="false">
      <c r="A7" s="50" t="e">
        <f aca="false">_xlfn.CONCAT($A$1, ".", #REF!)</f>
        <v>#REF!</v>
      </c>
      <c r="B7" s="69" t="e">
        <f aca="false">_xlfn.CONCAT(#REF!, ":", #REF!)</f>
        <v>#REF!</v>
      </c>
      <c r="C7" s="74" t="e">
        <f aca="false">#REF!</f>
        <v>#REF!</v>
      </c>
      <c r="D7" s="74" t="e">
        <f aca="false">#REF!</f>
        <v>#REF!</v>
      </c>
      <c r="E7" s="74" t="e">
        <f aca="false">#REF!</f>
        <v>#REF!</v>
      </c>
      <c r="F7" s="74" t="e">
        <f aca="false">#REF!</f>
        <v>#REF!</v>
      </c>
    </row>
    <row r="8" customFormat="false" ht="12.8" hidden="false" customHeight="false" outlineLevel="0" collapsed="false">
      <c r="A8" s="50" t="e">
        <f aca="false">_xlfn.CONCAT($A$1, ".", #REF!)</f>
        <v>#REF!</v>
      </c>
      <c r="B8" s="69" t="e">
        <f aca="false">_xlfn.CONCAT(#REF!, ":", #REF!)</f>
        <v>#REF!</v>
      </c>
      <c r="C8" s="74" t="e">
        <f aca="false">#REF!</f>
        <v>#REF!</v>
      </c>
      <c r="D8" s="74" t="e">
        <f aca="false">#REF!</f>
        <v>#REF!</v>
      </c>
      <c r="E8" s="74" t="e">
        <f aca="false">#REF!</f>
        <v>#REF!</v>
      </c>
      <c r="F8" s="74" t="e">
        <f aca="false">#REF!</f>
        <v>#REF!</v>
      </c>
    </row>
    <row r="9" customFormat="false" ht="12.8" hidden="false" customHeight="false" outlineLevel="0" collapsed="false">
      <c r="A9" s="50" t="e">
        <f aca="false">_xlfn.CONCAT($A$1, ".", #REF!)</f>
        <v>#REF!</v>
      </c>
      <c r="B9" s="69" t="e">
        <f aca="false">_xlfn.CONCAT(#REF!, ":", #REF!)</f>
        <v>#REF!</v>
      </c>
      <c r="C9" s="74" t="e">
        <f aca="false">#REF!</f>
        <v>#REF!</v>
      </c>
      <c r="D9" s="74" t="e">
        <f aca="false">#REF!</f>
        <v>#REF!</v>
      </c>
      <c r="E9" s="74" t="e">
        <f aca="false">#REF!</f>
        <v>#REF!</v>
      </c>
      <c r="F9" s="74" t="e">
        <f aca="false">#REF!</f>
        <v>#REF!</v>
      </c>
    </row>
    <row r="10" customFormat="false" ht="12.8" hidden="false" customHeight="false" outlineLevel="0" collapsed="false">
      <c r="A10" s="50" t="e">
        <f aca="false">_xlfn.CONCAT($A$1, ".", #REF!)</f>
        <v>#REF!</v>
      </c>
      <c r="B10" s="69" t="e">
        <f aca="false">_xlfn.CONCAT(#REF!, ":", #REF!)</f>
        <v>#REF!</v>
      </c>
      <c r="C10" s="74" t="e">
        <f aca="false">#REF!</f>
        <v>#REF!</v>
      </c>
      <c r="D10" s="74" t="e">
        <f aca="false">#REF!</f>
        <v>#REF!</v>
      </c>
      <c r="E10" s="74" t="e">
        <f aca="false">#REF!</f>
        <v>#REF!</v>
      </c>
      <c r="F10" s="74" t="e">
        <f aca="false">#REF!</f>
        <v>#REF!</v>
      </c>
    </row>
    <row r="11" customFormat="false" ht="12.8" hidden="false" customHeight="false" outlineLevel="0" collapsed="false">
      <c r="A11" s="50" t="e">
        <f aca="false">_xlfn.CONCAT($A$1, ".", #REF!)</f>
        <v>#REF!</v>
      </c>
      <c r="B11" s="69" t="e">
        <f aca="false">_xlfn.CONCAT(#REF!, ":", #REF!)</f>
        <v>#REF!</v>
      </c>
      <c r="C11" s="74" t="e">
        <f aca="false">#REF!</f>
        <v>#REF!</v>
      </c>
      <c r="D11" s="74" t="e">
        <f aca="false">#REF!</f>
        <v>#REF!</v>
      </c>
      <c r="E11" s="74" t="e">
        <f aca="false">#REF!</f>
        <v>#REF!</v>
      </c>
      <c r="F11" s="74" t="e">
        <f aca="false">#REF!</f>
        <v>#REF!</v>
      </c>
    </row>
    <row r="12" customFormat="false" ht="12.8" hidden="false" customHeight="false" outlineLevel="0" collapsed="false">
      <c r="A12" s="50" t="e">
        <f aca="false">_xlfn.CONCAT($A$1, ".", #REF!)</f>
        <v>#REF!</v>
      </c>
      <c r="B12" s="69" t="e">
        <f aca="false">_xlfn.CONCAT(#REF!, ":", #REF!)</f>
        <v>#REF!</v>
      </c>
      <c r="C12" s="74" t="e">
        <f aca="false">#REF!</f>
        <v>#REF!</v>
      </c>
      <c r="D12" s="74" t="e">
        <f aca="false">#REF!</f>
        <v>#REF!</v>
      </c>
      <c r="E12" s="74" t="e">
        <f aca="false">#REF!</f>
        <v>#REF!</v>
      </c>
      <c r="F12" s="74" t="e">
        <f aca="false">#REF!</f>
        <v>#REF!</v>
      </c>
    </row>
    <row r="13" customFormat="false" ht="12.8" hidden="false" customHeight="false" outlineLevel="0" collapsed="false">
      <c r="A13" s="50" t="e">
        <f aca="false">_xlfn.CONCAT($A$1, ".", #REF!)</f>
        <v>#REF!</v>
      </c>
      <c r="B13" s="69" t="e">
        <f aca="false">_xlfn.CONCAT(#REF!, ":", #REF!)</f>
        <v>#REF!</v>
      </c>
      <c r="C13" s="74" t="e">
        <f aca="false">#REF!</f>
        <v>#REF!</v>
      </c>
      <c r="D13" s="74" t="e">
        <f aca="false">#REF!</f>
        <v>#REF!</v>
      </c>
      <c r="E13" s="74" t="e">
        <f aca="false">#REF!</f>
        <v>#REF!</v>
      </c>
      <c r="F13" s="74" t="e">
        <f aca="false">#REF!</f>
        <v>#REF!</v>
      </c>
    </row>
    <row r="14" customFormat="false" ht="12.8" hidden="false" customHeight="false" outlineLevel="0" collapsed="false">
      <c r="A14" s="50" t="e">
        <f aca="false">_xlfn.CONCAT($A$1, ".", #REF!)</f>
        <v>#REF!</v>
      </c>
      <c r="B14" s="69" t="e">
        <f aca="false">_xlfn.CONCAT(#REF!, ":", #REF!)</f>
        <v>#REF!</v>
      </c>
      <c r="C14" s="74" t="e">
        <f aca="false">#REF!</f>
        <v>#REF!</v>
      </c>
      <c r="D14" s="74" t="e">
        <f aca="false">#REF!</f>
        <v>#REF!</v>
      </c>
      <c r="E14" s="74" t="e">
        <f aca="false">#REF!</f>
        <v>#REF!</v>
      </c>
      <c r="F14" s="74" t="e">
        <f aca="false">#REF!</f>
        <v>#REF!</v>
      </c>
    </row>
    <row r="15" customFormat="false" ht="12.8" hidden="false" customHeight="false" outlineLevel="0" collapsed="false">
      <c r="A15" s="50" t="e">
        <f aca="false">_xlfn.CONCAT($A$1, ".", #REF!)</f>
        <v>#REF!</v>
      </c>
      <c r="B15" s="69" t="e">
        <f aca="false">_xlfn.CONCAT(#REF!, ":", #REF!)</f>
        <v>#REF!</v>
      </c>
      <c r="C15" s="74" t="e">
        <f aca="false">#REF!</f>
        <v>#REF!</v>
      </c>
      <c r="D15" s="74" t="e">
        <f aca="false">#REF!</f>
        <v>#REF!</v>
      </c>
      <c r="E15" s="74" t="e">
        <f aca="false">#REF!</f>
        <v>#REF!</v>
      </c>
      <c r="F15" s="74" t="e">
        <f aca="false">#REF!</f>
        <v>#REF!</v>
      </c>
    </row>
    <row r="16" customFormat="false" ht="12.8" hidden="false" customHeight="false" outlineLevel="0" collapsed="false">
      <c r="A16" s="50" t="e">
        <f aca="false">_xlfn.CONCAT($A$1, ".", #REF!)</f>
        <v>#REF!</v>
      </c>
      <c r="B16" s="69" t="e">
        <f aca="false">_xlfn.CONCAT(#REF!, ":", #REF!)</f>
        <v>#REF!</v>
      </c>
      <c r="C16" s="74" t="e">
        <f aca="false">#REF!</f>
        <v>#REF!</v>
      </c>
      <c r="D16" s="74" t="e">
        <f aca="false">#REF!</f>
        <v>#REF!</v>
      </c>
      <c r="E16" s="74" t="e">
        <f aca="false">#REF!</f>
        <v>#REF!</v>
      </c>
      <c r="F16" s="74" t="e">
        <f aca="false">#REF!</f>
        <v>#REF!</v>
      </c>
    </row>
    <row r="17" customFormat="false" ht="12.8" hidden="false" customHeight="false" outlineLevel="0" collapsed="false">
      <c r="A17" s="50" t="e">
        <f aca="false">_xlfn.CONCAT($A$1, ".", #REF!)</f>
        <v>#REF!</v>
      </c>
      <c r="B17" s="69" t="e">
        <f aca="false">_xlfn.CONCAT(#REF!, ":", #REF!)</f>
        <v>#REF!</v>
      </c>
      <c r="C17" s="74" t="e">
        <f aca="false">#REF!</f>
        <v>#REF!</v>
      </c>
      <c r="D17" s="74" t="e">
        <f aca="false">#REF!</f>
        <v>#REF!</v>
      </c>
      <c r="E17" s="74" t="e">
        <f aca="false">#REF!</f>
        <v>#REF!</v>
      </c>
      <c r="F17" s="74" t="e">
        <f aca="false">#REF!</f>
        <v>#REF!</v>
      </c>
    </row>
    <row r="18" customFormat="false" ht="12.8" hidden="false" customHeight="false" outlineLevel="0" collapsed="false">
      <c r="A18" s="50" t="e">
        <f aca="false">_xlfn.CONCAT($A$1, ".", #REF!)</f>
        <v>#REF!</v>
      </c>
      <c r="B18" s="69" t="e">
        <f aca="false">_xlfn.CONCAT(#REF!, ":", #REF!)</f>
        <v>#REF!</v>
      </c>
      <c r="C18" s="74" t="e">
        <f aca="false">#REF!</f>
        <v>#REF!</v>
      </c>
      <c r="D18" s="74" t="e">
        <f aca="false">#REF!</f>
        <v>#REF!</v>
      </c>
      <c r="E18" s="74" t="e">
        <f aca="false">#REF!</f>
        <v>#REF!</v>
      </c>
      <c r="F18" s="74" t="e">
        <f aca="false">#REF!</f>
        <v>#REF!</v>
      </c>
    </row>
    <row r="19" customFormat="false" ht="12.8" hidden="false" customHeight="false" outlineLevel="0" collapsed="false">
      <c r="A19" s="50" t="e">
        <f aca="false">_xlfn.CONCAT($A$1, ".", #REF!)</f>
        <v>#REF!</v>
      </c>
      <c r="B19" s="69" t="e">
        <f aca="false">_xlfn.CONCAT(#REF!, ":", #REF!)</f>
        <v>#REF!</v>
      </c>
      <c r="C19" s="74" t="e">
        <f aca="false">#REF!</f>
        <v>#REF!</v>
      </c>
      <c r="D19" s="74" t="e">
        <f aca="false">#REF!</f>
        <v>#REF!</v>
      </c>
      <c r="E19" s="74" t="e">
        <f aca="false">#REF!</f>
        <v>#REF!</v>
      </c>
      <c r="F19" s="74" t="e">
        <f aca="false">#REF!</f>
        <v>#REF!</v>
      </c>
    </row>
    <row r="20" customFormat="false" ht="12.8" hidden="false" customHeight="false" outlineLevel="0" collapsed="false">
      <c r="A20" s="50" t="e">
        <f aca="false">_xlfn.CONCAT($A$1, ".", #REF!)</f>
        <v>#REF!</v>
      </c>
      <c r="B20" s="69" t="e">
        <f aca="false">_xlfn.CONCAT(#REF!, ":", #REF!)</f>
        <v>#REF!</v>
      </c>
      <c r="C20" s="74" t="e">
        <f aca="false">#REF!</f>
        <v>#REF!</v>
      </c>
      <c r="D20" s="74" t="e">
        <f aca="false">#REF!</f>
        <v>#REF!</v>
      </c>
      <c r="E20" s="74" t="e">
        <f aca="false">#REF!</f>
        <v>#REF!</v>
      </c>
      <c r="F20" s="74" t="e">
        <f aca="false">#REF!</f>
        <v>#REF!</v>
      </c>
    </row>
    <row r="21" customFormat="false" ht="12.8" hidden="false" customHeight="false" outlineLevel="0" collapsed="false">
      <c r="A21" s="50" t="e">
        <f aca="false">_xlfn.CONCAT($A$1, ".", #REF!)</f>
        <v>#REF!</v>
      </c>
      <c r="B21" s="69" t="e">
        <f aca="false">_xlfn.CONCAT(#REF!, ":", #REF!)</f>
        <v>#REF!</v>
      </c>
      <c r="C21" s="74" t="e">
        <f aca="false">#REF!</f>
        <v>#REF!</v>
      </c>
      <c r="D21" s="74" t="e">
        <f aca="false">#REF!</f>
        <v>#REF!</v>
      </c>
      <c r="E21" s="74" t="e">
        <f aca="false">#REF!</f>
        <v>#REF!</v>
      </c>
      <c r="F21" s="74" t="e">
        <f aca="false">#REF!</f>
        <v>#REF!</v>
      </c>
    </row>
    <row r="22" customFormat="false" ht="12.8" hidden="false" customHeight="false" outlineLevel="0" collapsed="false">
      <c r="A22" s="50" t="e">
        <f aca="false">_xlfn.CONCAT($A$1, ".", #REF!)</f>
        <v>#REF!</v>
      </c>
      <c r="B22" s="69" t="e">
        <f aca="false">_xlfn.CONCAT(#REF!, ":", #REF!)</f>
        <v>#REF!</v>
      </c>
      <c r="C22" s="74" t="e">
        <f aca="false">#REF!</f>
        <v>#REF!</v>
      </c>
      <c r="D22" s="74" t="e">
        <f aca="false">#REF!</f>
        <v>#REF!</v>
      </c>
      <c r="E22" s="74" t="e">
        <f aca="false">#REF!</f>
        <v>#REF!</v>
      </c>
      <c r="F22" s="74" t="e">
        <f aca="false">#REF!</f>
        <v>#REF!</v>
      </c>
    </row>
    <row r="23" customFormat="false" ht="12.8" hidden="false" customHeight="false" outlineLevel="0" collapsed="false">
      <c r="A23" s="50" t="e">
        <f aca="false">_xlfn.CONCAT($A$1, ".", #REF!)</f>
        <v>#REF!</v>
      </c>
      <c r="B23" s="69" t="e">
        <f aca="false">_xlfn.CONCAT(#REF!, ":", #REF!)</f>
        <v>#REF!</v>
      </c>
      <c r="C23" s="74" t="e">
        <f aca="false">#REF!</f>
        <v>#REF!</v>
      </c>
      <c r="D23" s="74" t="e">
        <f aca="false">#REF!</f>
        <v>#REF!</v>
      </c>
      <c r="E23" s="74" t="e">
        <f aca="false">#REF!</f>
        <v>#REF!</v>
      </c>
      <c r="F23" s="74" t="e">
        <f aca="false">#REF!</f>
        <v>#REF!</v>
      </c>
    </row>
    <row r="24" customFormat="false" ht="12.8" hidden="false" customHeight="false" outlineLevel="0" collapsed="false">
      <c r="A24" s="50" t="e">
        <f aca="false">_xlfn.CONCAT($A$1, ".", #REF!)</f>
        <v>#REF!</v>
      </c>
      <c r="B24" s="69" t="e">
        <f aca="false">_xlfn.CONCAT(#REF!, ":", #REF!)</f>
        <v>#REF!</v>
      </c>
      <c r="C24" s="74" t="e">
        <f aca="false">#REF!</f>
        <v>#REF!</v>
      </c>
      <c r="D24" s="74" t="e">
        <f aca="false">#REF!</f>
        <v>#REF!</v>
      </c>
      <c r="E24" s="74" t="e">
        <f aca="false">#REF!</f>
        <v>#REF!</v>
      </c>
      <c r="F24" s="74" t="e">
        <f aca="false">#REF!</f>
        <v>#REF!</v>
      </c>
    </row>
    <row r="25" customFormat="false" ht="12.8" hidden="false" customHeight="false" outlineLevel="0" collapsed="false">
      <c r="A25" s="50" t="e">
        <f aca="false">_xlfn.CONCAT($A$1, ".", #REF!)</f>
        <v>#REF!</v>
      </c>
      <c r="B25" s="69" t="e">
        <f aca="false">_xlfn.CONCAT(#REF!, ":", #REF!)</f>
        <v>#REF!</v>
      </c>
      <c r="C25" s="74" t="e">
        <f aca="false">#REF!</f>
        <v>#REF!</v>
      </c>
      <c r="D25" s="74" t="e">
        <f aca="false">#REF!</f>
        <v>#REF!</v>
      </c>
      <c r="E25" s="74" t="e">
        <f aca="false">#REF!</f>
        <v>#REF!</v>
      </c>
      <c r="F25" s="74" t="e">
        <f aca="false">#REF!</f>
        <v>#REF!</v>
      </c>
    </row>
    <row r="26" customFormat="false" ht="12.8" hidden="false" customHeight="false" outlineLevel="0" collapsed="false">
      <c r="A26" s="50" t="e">
        <f aca="false">_xlfn.CONCAT($A$1, ".", #REF!)</f>
        <v>#REF!</v>
      </c>
      <c r="B26" s="69" t="e">
        <f aca="false">_xlfn.CONCAT(#REF!, ":", #REF!)</f>
        <v>#REF!</v>
      </c>
      <c r="C26" s="74" t="e">
        <f aca="false">#REF!</f>
        <v>#REF!</v>
      </c>
      <c r="D26" s="74" t="e">
        <f aca="false">#REF!</f>
        <v>#REF!</v>
      </c>
      <c r="E26" s="74" t="e">
        <f aca="false">#REF!</f>
        <v>#REF!</v>
      </c>
      <c r="F26" s="74" t="e">
        <f aca="false">#REF!</f>
        <v>#REF!</v>
      </c>
    </row>
    <row r="27" customFormat="false" ht="12.8" hidden="false" customHeight="false" outlineLevel="0" collapsed="false">
      <c r="A27" s="50" t="e">
        <f aca="false">_xlfn.CONCAT($A$1, ".", #REF!)</f>
        <v>#REF!</v>
      </c>
      <c r="B27" s="69" t="e">
        <f aca="false">_xlfn.CONCAT(#REF!, ":", #REF!)</f>
        <v>#REF!</v>
      </c>
      <c r="C27" s="74" t="e">
        <f aca="false">#REF!</f>
        <v>#REF!</v>
      </c>
      <c r="D27" s="74" t="e">
        <f aca="false">#REF!</f>
        <v>#REF!</v>
      </c>
      <c r="E27" s="74" t="e">
        <f aca="false">#REF!</f>
        <v>#REF!</v>
      </c>
      <c r="F27" s="74" t="e">
        <f aca="false">#REF!</f>
        <v>#REF!</v>
      </c>
    </row>
    <row r="28" customFormat="false" ht="12.8" hidden="false" customHeight="false" outlineLevel="0" collapsed="false">
      <c r="A28" s="50" t="e">
        <f aca="false">_xlfn.CONCAT($A$1, ".", #REF!)</f>
        <v>#REF!</v>
      </c>
      <c r="B28" s="69" t="e">
        <f aca="false">_xlfn.CONCAT(#REF!, ":", #REF!)</f>
        <v>#REF!</v>
      </c>
      <c r="C28" s="74" t="e">
        <f aca="false">#REF!</f>
        <v>#REF!</v>
      </c>
      <c r="D28" s="74" t="e">
        <f aca="false">#REF!</f>
        <v>#REF!</v>
      </c>
      <c r="E28" s="74" t="e">
        <f aca="false">#REF!</f>
        <v>#REF!</v>
      </c>
      <c r="F28" s="74" t="e">
        <f aca="false">#REF!</f>
        <v>#REF!</v>
      </c>
    </row>
    <row r="29" customFormat="false" ht="12.8" hidden="false" customHeight="false" outlineLevel="0" collapsed="false">
      <c r="A29" s="50" t="e">
        <f aca="false">_xlfn.CONCAT($A$1, ".", #REF!)</f>
        <v>#REF!</v>
      </c>
      <c r="B29" s="69" t="e">
        <f aca="false">_xlfn.CONCAT(#REF!, ":", #REF!)</f>
        <v>#REF!</v>
      </c>
      <c r="C29" s="74" t="e">
        <f aca="false">#REF!</f>
        <v>#REF!</v>
      </c>
      <c r="D29" s="74" t="e">
        <f aca="false">#REF!</f>
        <v>#REF!</v>
      </c>
      <c r="E29" s="74" t="e">
        <f aca="false">#REF!</f>
        <v>#REF!</v>
      </c>
      <c r="F29" s="74" t="e">
        <f aca="false">#REF!</f>
        <v>#REF!</v>
      </c>
    </row>
    <row r="30" customFormat="false" ht="12.8" hidden="false" customHeight="false" outlineLevel="0" collapsed="false">
      <c r="A30" s="50" t="e">
        <f aca="false">_xlfn.CONCAT($A$1, ".", #REF!)</f>
        <v>#REF!</v>
      </c>
      <c r="B30" s="69" t="e">
        <f aca="false">_xlfn.CONCAT(#REF!, ":", #REF!)</f>
        <v>#REF!</v>
      </c>
      <c r="C30" s="74" t="e">
        <f aca="false">#REF!</f>
        <v>#REF!</v>
      </c>
      <c r="D30" s="74" t="e">
        <f aca="false">#REF!</f>
        <v>#REF!</v>
      </c>
      <c r="E30" s="74" t="e">
        <f aca="false">#REF!</f>
        <v>#REF!</v>
      </c>
      <c r="F30" s="74" t="e">
        <f aca="false">#REF!</f>
        <v>#REF!</v>
      </c>
    </row>
    <row r="31" customFormat="false" ht="12.8" hidden="false" customHeight="false" outlineLevel="0" collapsed="false">
      <c r="A31" s="50" t="e">
        <f aca="false">_xlfn.CONCAT($A$1, ".", #REF!)</f>
        <v>#REF!</v>
      </c>
      <c r="B31" s="69" t="e">
        <f aca="false">_xlfn.CONCAT(#REF!, ":", #REF!)</f>
        <v>#REF!</v>
      </c>
      <c r="C31" s="74" t="e">
        <f aca="false">#REF!</f>
        <v>#REF!</v>
      </c>
      <c r="D31" s="74" t="e">
        <f aca="false">#REF!</f>
        <v>#REF!</v>
      </c>
      <c r="E31" s="74" t="e">
        <f aca="false">#REF!</f>
        <v>#REF!</v>
      </c>
      <c r="F31" s="74" t="e">
        <f aca="false">#REF!</f>
        <v>#REF!</v>
      </c>
    </row>
    <row r="32" customFormat="false" ht="12.8" hidden="false" customHeight="false" outlineLevel="0" collapsed="false">
      <c r="A32" s="50" t="e">
        <f aca="false">_xlfn.CONCAT($A$1, ".", #REF!)</f>
        <v>#REF!</v>
      </c>
      <c r="B32" s="69" t="e">
        <f aca="false">_xlfn.CONCAT(#REF!, ":", #REF!)</f>
        <v>#REF!</v>
      </c>
      <c r="C32" s="74" t="e">
        <f aca="false">#REF!</f>
        <v>#REF!</v>
      </c>
      <c r="D32" s="74" t="e">
        <f aca="false">#REF!</f>
        <v>#REF!</v>
      </c>
      <c r="E32" s="74" t="e">
        <f aca="false">#REF!</f>
        <v>#REF!</v>
      </c>
      <c r="F32" s="74" t="e">
        <f aca="false">#REF!</f>
        <v>#REF!</v>
      </c>
    </row>
    <row r="33" customFormat="false" ht="12.8" hidden="false" customHeight="false" outlineLevel="0" collapsed="false">
      <c r="A33" s="50" t="e">
        <f aca="false">_xlfn.CONCAT($A$1, ".", #REF!)</f>
        <v>#REF!</v>
      </c>
      <c r="B33" s="69" t="e">
        <f aca="false">_xlfn.CONCAT(#REF!, ":", #REF!)</f>
        <v>#REF!</v>
      </c>
      <c r="C33" s="74" t="e">
        <f aca="false">#REF!</f>
        <v>#REF!</v>
      </c>
      <c r="D33" s="74" t="e">
        <f aca="false">#REF!</f>
        <v>#REF!</v>
      </c>
      <c r="E33" s="74" t="e">
        <f aca="false">#REF!</f>
        <v>#REF!</v>
      </c>
      <c r="F33" s="74" t="e">
        <f aca="false">#REF!</f>
        <v>#REF!</v>
      </c>
    </row>
    <row r="34" customFormat="false" ht="12.8" hidden="false" customHeight="false" outlineLevel="0" collapsed="false">
      <c r="A34" s="50" t="e">
        <f aca="false">_xlfn.CONCAT($A$1, ".", #REF!)</f>
        <v>#REF!</v>
      </c>
      <c r="B34" s="69" t="e">
        <f aca="false">_xlfn.CONCAT(#REF!, ":", #REF!)</f>
        <v>#REF!</v>
      </c>
      <c r="C34" s="74" t="e">
        <f aca="false">#REF!</f>
        <v>#REF!</v>
      </c>
      <c r="D34" s="74" t="e">
        <f aca="false">#REF!</f>
        <v>#REF!</v>
      </c>
      <c r="E34" s="74" t="e">
        <f aca="false">#REF!</f>
        <v>#REF!</v>
      </c>
      <c r="F34" s="74" t="e">
        <f aca="false">#REF!</f>
        <v>#REF!</v>
      </c>
    </row>
    <row r="35" customFormat="false" ht="12.8" hidden="false" customHeight="false" outlineLevel="0" collapsed="false">
      <c r="A35" s="50" t="e">
        <f aca="false">_xlfn.CONCAT($A$1, ".", #REF!)</f>
        <v>#REF!</v>
      </c>
      <c r="B35" s="69" t="e">
        <f aca="false">_xlfn.CONCAT(#REF!, ":", #REF!)</f>
        <v>#REF!</v>
      </c>
      <c r="C35" s="74" t="e">
        <f aca="false">#REF!</f>
        <v>#REF!</v>
      </c>
      <c r="D35" s="74" t="e">
        <f aca="false">#REF!</f>
        <v>#REF!</v>
      </c>
      <c r="E35" s="74" t="e">
        <f aca="false">#REF!</f>
        <v>#REF!</v>
      </c>
      <c r="F35" s="74" t="e">
        <f aca="false">#REF!</f>
        <v>#REF!</v>
      </c>
    </row>
    <row r="36" customFormat="false" ht="12.8" hidden="false" customHeight="false" outlineLevel="0" collapsed="false">
      <c r="A36" s="50" t="e">
        <f aca="false">_xlfn.CONCAT($A$1, ".", #REF!)</f>
        <v>#REF!</v>
      </c>
      <c r="B36" s="69" t="e">
        <f aca="false">_xlfn.CONCAT(#REF!, ":", #REF!)</f>
        <v>#REF!</v>
      </c>
      <c r="C36" s="74" t="e">
        <f aca="false">#REF!</f>
        <v>#REF!</v>
      </c>
      <c r="D36" s="74" t="e">
        <f aca="false">#REF!</f>
        <v>#REF!</v>
      </c>
      <c r="E36" s="74" t="e">
        <f aca="false">#REF!</f>
        <v>#REF!</v>
      </c>
      <c r="F36" s="74" t="e">
        <f aca="false">#REF!</f>
        <v>#REF!</v>
      </c>
    </row>
    <row r="37" customFormat="false" ht="12.8" hidden="false" customHeight="false" outlineLevel="0" collapsed="false">
      <c r="A37" s="50" t="e">
        <f aca="false">_xlfn.CONCAT($A$1, ".", #REF!)</f>
        <v>#REF!</v>
      </c>
      <c r="B37" s="69" t="e">
        <f aca="false">_xlfn.CONCAT(#REF!, ":", #REF!)</f>
        <v>#REF!</v>
      </c>
      <c r="C37" s="74" t="e">
        <f aca="false">#REF!</f>
        <v>#REF!</v>
      </c>
      <c r="D37" s="74" t="e">
        <f aca="false">#REF!</f>
        <v>#REF!</v>
      </c>
      <c r="E37" s="74" t="e">
        <f aca="false">#REF!</f>
        <v>#REF!</v>
      </c>
      <c r="F37" s="74" t="e">
        <f aca="false">#REF!</f>
        <v>#REF!</v>
      </c>
    </row>
    <row r="38" customFormat="false" ht="12.8" hidden="false" customHeight="false" outlineLevel="0" collapsed="false">
      <c r="A38" s="50" t="e">
        <f aca="false">_xlfn.CONCAT($A$1, ".", #REF!)</f>
        <v>#REF!</v>
      </c>
      <c r="B38" s="69" t="e">
        <f aca="false">_xlfn.CONCAT(#REF!, ":", #REF!)</f>
        <v>#REF!</v>
      </c>
      <c r="C38" s="74" t="e">
        <f aca="false">#REF!</f>
        <v>#REF!</v>
      </c>
      <c r="D38" s="74" t="e">
        <f aca="false">#REF!</f>
        <v>#REF!</v>
      </c>
      <c r="E38" s="74" t="e">
        <f aca="false">#REF!</f>
        <v>#REF!</v>
      </c>
      <c r="F38" s="74" t="e">
        <f aca="false">#REF!</f>
        <v>#REF!</v>
      </c>
    </row>
    <row r="39" customFormat="false" ht="12.8" hidden="false" customHeight="false" outlineLevel="0" collapsed="false">
      <c r="A39" s="50" t="e">
        <f aca="false">_xlfn.CONCAT($A$1, ".", #REF!)</f>
        <v>#REF!</v>
      </c>
      <c r="B39" s="69" t="e">
        <f aca="false">_xlfn.CONCAT(#REF!, ":", #REF!)</f>
        <v>#REF!</v>
      </c>
      <c r="C39" s="74" t="e">
        <f aca="false">#REF!</f>
        <v>#REF!</v>
      </c>
      <c r="D39" s="74" t="e">
        <f aca="false">#REF!</f>
        <v>#REF!</v>
      </c>
      <c r="E39" s="74" t="e">
        <f aca="false">#REF!</f>
        <v>#REF!</v>
      </c>
      <c r="F39" s="74" t="e">
        <f aca="false">#REF!</f>
        <v>#REF!</v>
      </c>
    </row>
    <row r="40" customFormat="false" ht="12.8" hidden="false" customHeight="false" outlineLevel="0" collapsed="false">
      <c r="A40" s="50" t="e">
        <f aca="false">_xlfn.CONCAT($A$1, ".", #REF!)</f>
        <v>#REF!</v>
      </c>
      <c r="B40" s="69" t="e">
        <f aca="false">_xlfn.CONCAT(#REF!, ":", #REF!)</f>
        <v>#REF!</v>
      </c>
      <c r="C40" s="74" t="e">
        <f aca="false">#REF!</f>
        <v>#REF!</v>
      </c>
      <c r="D40" s="74" t="e">
        <f aca="false">#REF!</f>
        <v>#REF!</v>
      </c>
      <c r="E40" s="74" t="e">
        <f aca="false">#REF!</f>
        <v>#REF!</v>
      </c>
      <c r="F40" s="74" t="e">
        <f aca="false">#REF!</f>
        <v>#REF!</v>
      </c>
    </row>
    <row r="41" customFormat="false" ht="12.8" hidden="false" customHeight="false" outlineLevel="0" collapsed="false">
      <c r="A41" s="50" t="e">
        <f aca="false">_xlfn.CONCAT($A$1, ".", #REF!)</f>
        <v>#REF!</v>
      </c>
      <c r="B41" s="69" t="e">
        <f aca="false">_xlfn.CONCAT(#REF!, ":", #REF!)</f>
        <v>#REF!</v>
      </c>
      <c r="C41" s="74" t="e">
        <f aca="false">#REF!</f>
        <v>#REF!</v>
      </c>
      <c r="D41" s="74" t="e">
        <f aca="false">#REF!</f>
        <v>#REF!</v>
      </c>
      <c r="E41" s="74" t="e">
        <f aca="false">#REF!</f>
        <v>#REF!</v>
      </c>
      <c r="F41" s="74" t="e">
        <f aca="false">#REF!</f>
        <v>#REF!</v>
      </c>
    </row>
    <row r="42" customFormat="false" ht="12.8" hidden="false" customHeight="false" outlineLevel="0" collapsed="false">
      <c r="A42" s="50" t="e">
        <f aca="false">_xlfn.CONCAT($A$1, ".", #REF!)</f>
        <v>#REF!</v>
      </c>
      <c r="B42" s="69" t="e">
        <f aca="false">_xlfn.CONCAT(#REF!, ":", #REF!)</f>
        <v>#REF!</v>
      </c>
      <c r="C42" s="74" t="e">
        <f aca="false">#REF!</f>
        <v>#REF!</v>
      </c>
      <c r="D42" s="74" t="e">
        <f aca="false">#REF!</f>
        <v>#REF!</v>
      </c>
      <c r="E42" s="74" t="e">
        <f aca="false">#REF!</f>
        <v>#REF!</v>
      </c>
      <c r="F42" s="74" t="e">
        <f aca="false">#REF!</f>
        <v>#REF!</v>
      </c>
    </row>
    <row r="43" customFormat="false" ht="12.8" hidden="false" customHeight="false" outlineLevel="0" collapsed="false">
      <c r="A43" s="50" t="e">
        <f aca="false">_xlfn.CONCAT($A$1, ".", #REF!)</f>
        <v>#REF!</v>
      </c>
      <c r="B43" s="69" t="e">
        <f aca="false">_xlfn.CONCAT(#REF!, ":", #REF!)</f>
        <v>#REF!</v>
      </c>
      <c r="C43" s="74" t="e">
        <f aca="false">#REF!</f>
        <v>#REF!</v>
      </c>
      <c r="D43" s="74" t="e">
        <f aca="false">#REF!</f>
        <v>#REF!</v>
      </c>
      <c r="E43" s="74" t="e">
        <f aca="false">#REF!</f>
        <v>#REF!</v>
      </c>
      <c r="F43" s="74" t="e">
        <f aca="false">#REF!</f>
        <v>#REF!</v>
      </c>
    </row>
    <row r="44" customFormat="false" ht="12.8" hidden="false" customHeight="false" outlineLevel="0" collapsed="false">
      <c r="A44" s="50" t="e">
        <f aca="false">_xlfn.CONCAT($A$1, ".", #REF!)</f>
        <v>#REF!</v>
      </c>
      <c r="B44" s="69" t="e">
        <f aca="false">_xlfn.CONCAT(#REF!, ":", #REF!)</f>
        <v>#REF!</v>
      </c>
      <c r="C44" s="74" t="e">
        <f aca="false">#REF!</f>
        <v>#REF!</v>
      </c>
      <c r="D44" s="74" t="e">
        <f aca="false">#REF!</f>
        <v>#REF!</v>
      </c>
      <c r="E44" s="74" t="e">
        <f aca="false">#REF!</f>
        <v>#REF!</v>
      </c>
      <c r="F44" s="74" t="e">
        <f aca="false">#REF!</f>
        <v>#REF!</v>
      </c>
    </row>
    <row r="45" customFormat="false" ht="12.8" hidden="false" customHeight="false" outlineLevel="0" collapsed="false">
      <c r="A45" s="50" t="e">
        <f aca="false">_xlfn.CONCAT($A$1, ".", #REF!)</f>
        <v>#REF!</v>
      </c>
      <c r="B45" s="69" t="e">
        <f aca="false">_xlfn.CONCAT(#REF!, ":", #REF!)</f>
        <v>#REF!</v>
      </c>
      <c r="C45" s="74" t="e">
        <f aca="false">#REF!</f>
        <v>#REF!</v>
      </c>
      <c r="D45" s="74" t="e">
        <f aca="false">#REF!</f>
        <v>#REF!</v>
      </c>
      <c r="E45" s="74" t="e">
        <f aca="false">#REF!</f>
        <v>#REF!</v>
      </c>
      <c r="F45" s="74" t="e">
        <f aca="false">#REF!</f>
        <v>#REF!</v>
      </c>
    </row>
    <row r="46" customFormat="false" ht="12.8" hidden="false" customHeight="false" outlineLevel="0" collapsed="false">
      <c r="A46" s="50" t="e">
        <f aca="false">_xlfn.CONCAT($A$1, ".", #REF!)</f>
        <v>#REF!</v>
      </c>
      <c r="B46" s="69" t="e">
        <f aca="false">_xlfn.CONCAT(#REF!, ":", #REF!)</f>
        <v>#REF!</v>
      </c>
      <c r="C46" s="74" t="e">
        <f aca="false">#REF!</f>
        <v>#REF!</v>
      </c>
      <c r="D46" s="74" t="e">
        <f aca="false">#REF!</f>
        <v>#REF!</v>
      </c>
      <c r="E46" s="74" t="e">
        <f aca="false">#REF!</f>
        <v>#REF!</v>
      </c>
      <c r="F46" s="74" t="e">
        <f aca="false">#REF!</f>
        <v>#REF!</v>
      </c>
    </row>
    <row r="47" customFormat="false" ht="12.8" hidden="false" customHeight="false" outlineLevel="0" collapsed="false">
      <c r="A47" s="50" t="e">
        <f aca="false">_xlfn.CONCAT($A$1, ".", #REF!)</f>
        <v>#REF!</v>
      </c>
      <c r="B47" s="69" t="e">
        <f aca="false">_xlfn.CONCAT(#REF!, ":", #REF!)</f>
        <v>#REF!</v>
      </c>
      <c r="C47" s="74" t="e">
        <f aca="false">#REF!</f>
        <v>#REF!</v>
      </c>
      <c r="D47" s="74" t="e">
        <f aca="false">#REF!</f>
        <v>#REF!</v>
      </c>
      <c r="E47" s="74" t="e">
        <f aca="false">#REF!</f>
        <v>#REF!</v>
      </c>
      <c r="F47" s="74" t="e">
        <f aca="false">#REF!</f>
        <v>#REF!</v>
      </c>
    </row>
    <row r="48" customFormat="false" ht="12.8" hidden="false" customHeight="false" outlineLevel="0" collapsed="false">
      <c r="A48" s="50" t="e">
        <f aca="false">_xlfn.CONCAT($A$1, ".", #REF!)</f>
        <v>#REF!</v>
      </c>
      <c r="B48" s="69" t="e">
        <f aca="false">_xlfn.CONCAT(#REF!, ":", #REF!)</f>
        <v>#REF!</v>
      </c>
      <c r="C48" s="74" t="e">
        <f aca="false">#REF!</f>
        <v>#REF!</v>
      </c>
      <c r="D48" s="74" t="e">
        <f aca="false">#REF!</f>
        <v>#REF!</v>
      </c>
      <c r="E48" s="74" t="e">
        <f aca="false">#REF!</f>
        <v>#REF!</v>
      </c>
      <c r="F48" s="74" t="e">
        <f aca="false">#REF!</f>
        <v>#REF!</v>
      </c>
    </row>
    <row r="49" customFormat="false" ht="12.8" hidden="false" customHeight="false" outlineLevel="0" collapsed="false">
      <c r="A49" s="50" t="e">
        <f aca="false">_xlfn.CONCAT($A$1, ".", #REF!)</f>
        <v>#REF!</v>
      </c>
      <c r="B49" s="69" t="e">
        <f aca="false">_xlfn.CONCAT(#REF!, ":", #REF!)</f>
        <v>#REF!</v>
      </c>
      <c r="C49" s="74" t="e">
        <f aca="false">#REF!</f>
        <v>#REF!</v>
      </c>
      <c r="D49" s="74" t="e">
        <f aca="false">#REF!</f>
        <v>#REF!</v>
      </c>
      <c r="E49" s="74" t="e">
        <f aca="false">#REF!</f>
        <v>#REF!</v>
      </c>
      <c r="F49" s="74" t="e">
        <f aca="false">#REF!</f>
        <v>#REF!</v>
      </c>
    </row>
    <row r="50" customFormat="false" ht="12.8" hidden="false" customHeight="false" outlineLevel="0" collapsed="false">
      <c r="A50" s="50" t="e">
        <f aca="false">_xlfn.CONCAT($A$1, ".", #REF!)</f>
        <v>#REF!</v>
      </c>
      <c r="B50" s="69" t="e">
        <f aca="false">_xlfn.CONCAT(#REF!, ":", #REF!)</f>
        <v>#REF!</v>
      </c>
      <c r="C50" s="74" t="e">
        <f aca="false">#REF!</f>
        <v>#REF!</v>
      </c>
      <c r="D50" s="74" t="e">
        <f aca="false">#REF!</f>
        <v>#REF!</v>
      </c>
      <c r="E50" s="74" t="e">
        <f aca="false">#REF!</f>
        <v>#REF!</v>
      </c>
      <c r="F50" s="74" t="e">
        <f aca="false">#REF!</f>
        <v>#REF!</v>
      </c>
    </row>
    <row r="51" customFormat="false" ht="12.8" hidden="false" customHeight="false" outlineLevel="0" collapsed="false">
      <c r="A51" s="50" t="e">
        <f aca="false">_xlfn.CONCAT($A$1, ".", #REF!)</f>
        <v>#REF!</v>
      </c>
      <c r="B51" s="69" t="e">
        <f aca="false">_xlfn.CONCAT(#REF!, ":", #REF!)</f>
        <v>#REF!</v>
      </c>
      <c r="C51" s="74" t="e">
        <f aca="false">#REF!</f>
        <v>#REF!</v>
      </c>
      <c r="D51" s="74" t="e">
        <f aca="false">#REF!</f>
        <v>#REF!</v>
      </c>
      <c r="E51" s="74" t="e">
        <f aca="false">#REF!</f>
        <v>#REF!</v>
      </c>
      <c r="F51" s="74" t="e">
        <f aca="false">#REF!</f>
        <v>#REF!</v>
      </c>
    </row>
    <row r="52" customFormat="false" ht="12.8" hidden="false" customHeight="false" outlineLevel="0" collapsed="false">
      <c r="A52" s="50" t="e">
        <f aca="false">_xlfn.CONCAT($A$1, ".", #REF!)</f>
        <v>#REF!</v>
      </c>
      <c r="B52" s="69" t="e">
        <f aca="false">_xlfn.CONCAT(#REF!, ":", #REF!)</f>
        <v>#REF!</v>
      </c>
      <c r="C52" s="74" t="e">
        <f aca="false">#REF!</f>
        <v>#REF!</v>
      </c>
      <c r="D52" s="74" t="e">
        <f aca="false">#REF!</f>
        <v>#REF!</v>
      </c>
      <c r="E52" s="74" t="e">
        <f aca="false">#REF!</f>
        <v>#REF!</v>
      </c>
      <c r="F52" s="74" t="e">
        <f aca="false">#REF!</f>
        <v>#REF!</v>
      </c>
    </row>
    <row r="53" customFormat="false" ht="12.8" hidden="false" customHeight="false" outlineLevel="0" collapsed="false">
      <c r="A53" s="50" t="e">
        <f aca="false">_xlfn.CONCAT($A$1, ".", #REF!)</f>
        <v>#REF!</v>
      </c>
      <c r="B53" s="69" t="e">
        <f aca="false">_xlfn.CONCAT(#REF!, ":", #REF!)</f>
        <v>#REF!</v>
      </c>
      <c r="C53" s="74" t="e">
        <f aca="false">#REF!</f>
        <v>#REF!</v>
      </c>
      <c r="D53" s="74" t="e">
        <f aca="false">#REF!</f>
        <v>#REF!</v>
      </c>
      <c r="E53" s="74" t="e">
        <f aca="false">#REF!</f>
        <v>#REF!</v>
      </c>
      <c r="F53" s="74" t="e">
        <f aca="false">#REF!</f>
        <v>#REF!</v>
      </c>
    </row>
    <row r="54" customFormat="false" ht="12.8" hidden="false" customHeight="false" outlineLevel="0" collapsed="false">
      <c r="A54" s="50" t="e">
        <f aca="false">_xlfn.CONCAT($A$1, ".", #REF!)</f>
        <v>#REF!</v>
      </c>
      <c r="B54" s="69" t="e">
        <f aca="false">_xlfn.CONCAT(#REF!, ":", #REF!)</f>
        <v>#REF!</v>
      </c>
      <c r="C54" s="74" t="e">
        <f aca="false">#REF!</f>
        <v>#REF!</v>
      </c>
      <c r="D54" s="74" t="e">
        <f aca="false">#REF!</f>
        <v>#REF!</v>
      </c>
      <c r="E54" s="74" t="e">
        <f aca="false">#REF!</f>
        <v>#REF!</v>
      </c>
      <c r="F54" s="74" t="e">
        <f aca="false">#REF!</f>
        <v>#REF!</v>
      </c>
    </row>
    <row r="55" customFormat="false" ht="12.8" hidden="false" customHeight="false" outlineLevel="0" collapsed="false">
      <c r="A55" s="50" t="e">
        <f aca="false">_xlfn.CONCAT($A$1, ".", #REF!)</f>
        <v>#REF!</v>
      </c>
      <c r="B55" s="69" t="e">
        <f aca="false">_xlfn.CONCAT(#REF!, ":", #REF!)</f>
        <v>#REF!</v>
      </c>
      <c r="C55" s="74" t="e">
        <f aca="false">#REF!</f>
        <v>#REF!</v>
      </c>
      <c r="D55" s="74" t="e">
        <f aca="false">#REF!</f>
        <v>#REF!</v>
      </c>
      <c r="E55" s="74" t="e">
        <f aca="false">#REF!</f>
        <v>#REF!</v>
      </c>
      <c r="F55" s="74"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75" zoomScaleNormal="7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2827</v>
      </c>
      <c r="B1" s="63" t="s">
        <v>2828</v>
      </c>
      <c r="C1" s="6" t="s">
        <v>2</v>
      </c>
      <c r="D1" s="62" t="s">
        <v>2829</v>
      </c>
      <c r="AZ1" s="39"/>
      <c r="BP1" s="39"/>
    </row>
    <row r="2" customFormat="false" ht="35.05" hidden="false" customHeight="false" outlineLevel="0" collapsed="false">
      <c r="A2" s="67" t="s">
        <v>2813</v>
      </c>
      <c r="B2" s="63" t="s">
        <v>2814</v>
      </c>
      <c r="C2" s="73" t="str">
        <f aca="false">CALC!BL3</f>
        <v>ACTC Refund</v>
      </c>
      <c r="D2" s="73" t="str">
        <f aca="false">CALC!BM3</f>
        <v>Authorized Immigrant ACTC Refund</v>
      </c>
      <c r="E2" s="73" t="str">
        <f aca="false">CALC!BN3</f>
        <v>Unauthorized Immigrant ACTC Refund</v>
      </c>
      <c r="F2" s="73" t="str">
        <f aca="false">CALC!BO3</f>
        <v>American Tax ACTC Refund</v>
      </c>
    </row>
    <row r="3" customFormat="false" ht="12.8" hidden="false" customHeight="false" outlineLevel="0" collapsed="false">
      <c r="A3" s="4" t="e">
        <f aca="false">_xlfn.CONCAT($A$1, ".", #REF!)</f>
        <v>#REF!</v>
      </c>
      <c r="B3" s="49" t="e">
        <f aca="false">_xlfn.CONCAT(#REF!, ":", #REF!)</f>
        <v>#REF!</v>
      </c>
      <c r="C3" s="73" t="e">
        <f aca="false">#REF!</f>
        <v>#REF!</v>
      </c>
      <c r="D3" s="73" t="e">
        <f aca="false">#REF!</f>
        <v>#REF!</v>
      </c>
      <c r="E3" s="73" t="e">
        <f aca="false">#REF!</f>
        <v>#REF!</v>
      </c>
      <c r="F3" s="73" t="e">
        <f aca="false">#REF!</f>
        <v>#REF!</v>
      </c>
    </row>
    <row r="4" customFormat="false" ht="12.8" hidden="false" customHeight="false" outlineLevel="0" collapsed="false">
      <c r="A4" s="50" t="e">
        <f aca="false">_xlfn.CONCAT($A$1, ".", #REF!)</f>
        <v>#REF!</v>
      </c>
      <c r="B4" s="69" t="e">
        <f aca="false">_xlfn.CONCAT(#REF!, ":", #REF!)</f>
        <v>#REF!</v>
      </c>
      <c r="C4" s="74" t="e">
        <f aca="false">#REF!</f>
        <v>#REF!</v>
      </c>
      <c r="D4" s="74" t="e">
        <f aca="false">#REF!</f>
        <v>#REF!</v>
      </c>
      <c r="E4" s="74" t="e">
        <f aca="false">#REF!</f>
        <v>#REF!</v>
      </c>
      <c r="F4" s="74" t="e">
        <f aca="false">#REF!</f>
        <v>#REF!</v>
      </c>
    </row>
    <row r="5" customFormat="false" ht="12.8" hidden="false" customHeight="false" outlineLevel="0" collapsed="false">
      <c r="A5" s="50" t="e">
        <f aca="false">_xlfn.CONCAT($A$1, ".", #REF!)</f>
        <v>#REF!</v>
      </c>
      <c r="B5" s="69" t="e">
        <f aca="false">_xlfn.CONCAT(#REF!, ":", #REF!)</f>
        <v>#REF!</v>
      </c>
      <c r="C5" s="74" t="e">
        <f aca="false">#REF!</f>
        <v>#REF!</v>
      </c>
      <c r="D5" s="74" t="e">
        <f aca="false">#REF!</f>
        <v>#REF!</v>
      </c>
      <c r="E5" s="74" t="e">
        <f aca="false">#REF!</f>
        <v>#REF!</v>
      </c>
      <c r="F5" s="74" t="e">
        <f aca="false">#REF!</f>
        <v>#REF!</v>
      </c>
    </row>
    <row r="6" customFormat="false" ht="12.8" hidden="false" customHeight="false" outlineLevel="0" collapsed="false">
      <c r="A6" s="50" t="e">
        <f aca="false">_xlfn.CONCAT($A$1, ".", #REF!)</f>
        <v>#REF!</v>
      </c>
      <c r="B6" s="69" t="e">
        <f aca="false">_xlfn.CONCAT(#REF!, ":", #REF!)</f>
        <v>#REF!</v>
      </c>
      <c r="C6" s="74" t="e">
        <f aca="false">#REF!</f>
        <v>#REF!</v>
      </c>
      <c r="D6" s="74" t="e">
        <f aca="false">#REF!</f>
        <v>#REF!</v>
      </c>
      <c r="E6" s="74" t="e">
        <f aca="false">#REF!</f>
        <v>#REF!</v>
      </c>
      <c r="F6" s="74" t="e">
        <f aca="false">#REF!</f>
        <v>#REF!</v>
      </c>
    </row>
    <row r="7" customFormat="false" ht="12.8" hidden="false" customHeight="false" outlineLevel="0" collapsed="false">
      <c r="A7" s="50" t="e">
        <f aca="false">_xlfn.CONCAT($A$1, ".", #REF!)</f>
        <v>#REF!</v>
      </c>
      <c r="B7" s="69" t="e">
        <f aca="false">_xlfn.CONCAT(#REF!, ":", #REF!)</f>
        <v>#REF!</v>
      </c>
      <c r="C7" s="74" t="e">
        <f aca="false">#REF!</f>
        <v>#REF!</v>
      </c>
      <c r="D7" s="74" t="e">
        <f aca="false">#REF!</f>
        <v>#REF!</v>
      </c>
      <c r="E7" s="74" t="e">
        <f aca="false">#REF!</f>
        <v>#REF!</v>
      </c>
      <c r="F7" s="74" t="e">
        <f aca="false">#REF!</f>
        <v>#REF!</v>
      </c>
    </row>
    <row r="8" customFormat="false" ht="12.8" hidden="false" customHeight="false" outlineLevel="0" collapsed="false">
      <c r="A8" s="50" t="e">
        <f aca="false">_xlfn.CONCAT($A$1, ".", #REF!)</f>
        <v>#REF!</v>
      </c>
      <c r="B8" s="69" t="e">
        <f aca="false">_xlfn.CONCAT(#REF!, ":", #REF!)</f>
        <v>#REF!</v>
      </c>
      <c r="C8" s="74" t="e">
        <f aca="false">#REF!</f>
        <v>#REF!</v>
      </c>
      <c r="D8" s="74" t="e">
        <f aca="false">#REF!</f>
        <v>#REF!</v>
      </c>
      <c r="E8" s="74" t="e">
        <f aca="false">#REF!</f>
        <v>#REF!</v>
      </c>
      <c r="F8" s="74" t="e">
        <f aca="false">#REF!</f>
        <v>#REF!</v>
      </c>
    </row>
    <row r="9" customFormat="false" ht="12.8" hidden="false" customHeight="false" outlineLevel="0" collapsed="false">
      <c r="A9" s="50" t="e">
        <f aca="false">_xlfn.CONCAT($A$1, ".", #REF!)</f>
        <v>#REF!</v>
      </c>
      <c r="B9" s="69" t="e">
        <f aca="false">_xlfn.CONCAT(#REF!, ":", #REF!)</f>
        <v>#REF!</v>
      </c>
      <c r="C9" s="74" t="e">
        <f aca="false">#REF!</f>
        <v>#REF!</v>
      </c>
      <c r="D9" s="74" t="e">
        <f aca="false">#REF!</f>
        <v>#REF!</v>
      </c>
      <c r="E9" s="74" t="e">
        <f aca="false">#REF!</f>
        <v>#REF!</v>
      </c>
      <c r="F9" s="74" t="e">
        <f aca="false">#REF!</f>
        <v>#REF!</v>
      </c>
    </row>
    <row r="10" customFormat="false" ht="12.8" hidden="false" customHeight="false" outlineLevel="0" collapsed="false">
      <c r="A10" s="50" t="e">
        <f aca="false">_xlfn.CONCAT($A$1, ".", #REF!)</f>
        <v>#REF!</v>
      </c>
      <c r="B10" s="69" t="e">
        <f aca="false">_xlfn.CONCAT(#REF!, ":", #REF!)</f>
        <v>#REF!</v>
      </c>
      <c r="C10" s="74" t="e">
        <f aca="false">#REF!</f>
        <v>#REF!</v>
      </c>
      <c r="D10" s="74" t="e">
        <f aca="false">#REF!</f>
        <v>#REF!</v>
      </c>
      <c r="E10" s="74" t="e">
        <f aca="false">#REF!</f>
        <v>#REF!</v>
      </c>
      <c r="F10" s="74" t="e">
        <f aca="false">#REF!</f>
        <v>#REF!</v>
      </c>
    </row>
    <row r="11" customFormat="false" ht="12.8" hidden="false" customHeight="false" outlineLevel="0" collapsed="false">
      <c r="A11" s="50" t="e">
        <f aca="false">_xlfn.CONCAT($A$1, ".", #REF!)</f>
        <v>#REF!</v>
      </c>
      <c r="B11" s="69" t="e">
        <f aca="false">_xlfn.CONCAT(#REF!, ":", #REF!)</f>
        <v>#REF!</v>
      </c>
      <c r="C11" s="74" t="e">
        <f aca="false">#REF!</f>
        <v>#REF!</v>
      </c>
      <c r="D11" s="74" t="e">
        <f aca="false">#REF!</f>
        <v>#REF!</v>
      </c>
      <c r="E11" s="74" t="e">
        <f aca="false">#REF!</f>
        <v>#REF!</v>
      </c>
      <c r="F11" s="74" t="e">
        <f aca="false">#REF!</f>
        <v>#REF!</v>
      </c>
    </row>
    <row r="12" customFormat="false" ht="12.8" hidden="false" customHeight="false" outlineLevel="0" collapsed="false">
      <c r="A12" s="50" t="e">
        <f aca="false">_xlfn.CONCAT($A$1, ".", #REF!)</f>
        <v>#REF!</v>
      </c>
      <c r="B12" s="69" t="e">
        <f aca="false">_xlfn.CONCAT(#REF!, ":", #REF!)</f>
        <v>#REF!</v>
      </c>
      <c r="C12" s="74" t="e">
        <f aca="false">#REF!</f>
        <v>#REF!</v>
      </c>
      <c r="D12" s="74" t="e">
        <f aca="false">#REF!</f>
        <v>#REF!</v>
      </c>
      <c r="E12" s="74" t="e">
        <f aca="false">#REF!</f>
        <v>#REF!</v>
      </c>
      <c r="F12" s="74" t="e">
        <f aca="false">#REF!</f>
        <v>#REF!</v>
      </c>
    </row>
    <row r="13" customFormat="false" ht="12.8" hidden="false" customHeight="false" outlineLevel="0" collapsed="false">
      <c r="A13" s="50" t="e">
        <f aca="false">_xlfn.CONCAT($A$1, ".", #REF!)</f>
        <v>#REF!</v>
      </c>
      <c r="B13" s="69" t="e">
        <f aca="false">_xlfn.CONCAT(#REF!, ":", #REF!)</f>
        <v>#REF!</v>
      </c>
      <c r="C13" s="74" t="e">
        <f aca="false">#REF!</f>
        <v>#REF!</v>
      </c>
      <c r="D13" s="74" t="e">
        <f aca="false">#REF!</f>
        <v>#REF!</v>
      </c>
      <c r="E13" s="74" t="e">
        <f aca="false">#REF!</f>
        <v>#REF!</v>
      </c>
      <c r="F13" s="74" t="e">
        <f aca="false">#REF!</f>
        <v>#REF!</v>
      </c>
    </row>
    <row r="14" customFormat="false" ht="12.8" hidden="false" customHeight="false" outlineLevel="0" collapsed="false">
      <c r="A14" s="50" t="e">
        <f aca="false">_xlfn.CONCAT($A$1, ".", #REF!)</f>
        <v>#REF!</v>
      </c>
      <c r="B14" s="69" t="e">
        <f aca="false">_xlfn.CONCAT(#REF!, ":", #REF!)</f>
        <v>#REF!</v>
      </c>
      <c r="C14" s="74" t="e">
        <f aca="false">#REF!</f>
        <v>#REF!</v>
      </c>
      <c r="D14" s="74" t="e">
        <f aca="false">#REF!</f>
        <v>#REF!</v>
      </c>
      <c r="E14" s="74" t="e">
        <f aca="false">#REF!</f>
        <v>#REF!</v>
      </c>
      <c r="F14" s="74" t="e">
        <f aca="false">#REF!</f>
        <v>#REF!</v>
      </c>
    </row>
    <row r="15" customFormat="false" ht="12.8" hidden="false" customHeight="false" outlineLevel="0" collapsed="false">
      <c r="A15" s="50" t="e">
        <f aca="false">_xlfn.CONCAT($A$1, ".", #REF!)</f>
        <v>#REF!</v>
      </c>
      <c r="B15" s="69" t="e">
        <f aca="false">_xlfn.CONCAT(#REF!, ":", #REF!)</f>
        <v>#REF!</v>
      </c>
      <c r="C15" s="74" t="e">
        <f aca="false">#REF!</f>
        <v>#REF!</v>
      </c>
      <c r="D15" s="74" t="e">
        <f aca="false">#REF!</f>
        <v>#REF!</v>
      </c>
      <c r="E15" s="74" t="e">
        <f aca="false">#REF!</f>
        <v>#REF!</v>
      </c>
      <c r="F15" s="74" t="e">
        <f aca="false">#REF!</f>
        <v>#REF!</v>
      </c>
    </row>
    <row r="16" customFormat="false" ht="12.8" hidden="false" customHeight="false" outlineLevel="0" collapsed="false">
      <c r="A16" s="50" t="e">
        <f aca="false">_xlfn.CONCAT($A$1, ".", #REF!)</f>
        <v>#REF!</v>
      </c>
      <c r="B16" s="69" t="e">
        <f aca="false">_xlfn.CONCAT(#REF!, ":", #REF!)</f>
        <v>#REF!</v>
      </c>
      <c r="C16" s="74" t="e">
        <f aca="false">#REF!</f>
        <v>#REF!</v>
      </c>
      <c r="D16" s="74" t="e">
        <f aca="false">#REF!</f>
        <v>#REF!</v>
      </c>
      <c r="E16" s="74" t="e">
        <f aca="false">#REF!</f>
        <v>#REF!</v>
      </c>
      <c r="F16" s="74" t="e">
        <f aca="false">#REF!</f>
        <v>#REF!</v>
      </c>
    </row>
    <row r="17" customFormat="false" ht="12.8" hidden="false" customHeight="false" outlineLevel="0" collapsed="false">
      <c r="A17" s="50" t="e">
        <f aca="false">_xlfn.CONCAT($A$1, ".", #REF!)</f>
        <v>#REF!</v>
      </c>
      <c r="B17" s="69" t="e">
        <f aca="false">_xlfn.CONCAT(#REF!, ":", #REF!)</f>
        <v>#REF!</v>
      </c>
      <c r="C17" s="74" t="e">
        <f aca="false">#REF!</f>
        <v>#REF!</v>
      </c>
      <c r="D17" s="74" t="e">
        <f aca="false">#REF!</f>
        <v>#REF!</v>
      </c>
      <c r="E17" s="74" t="e">
        <f aca="false">#REF!</f>
        <v>#REF!</v>
      </c>
      <c r="F17" s="74" t="e">
        <f aca="false">#REF!</f>
        <v>#REF!</v>
      </c>
    </row>
    <row r="18" customFormat="false" ht="12.8" hidden="false" customHeight="false" outlineLevel="0" collapsed="false">
      <c r="A18" s="50" t="e">
        <f aca="false">_xlfn.CONCAT($A$1, ".", #REF!)</f>
        <v>#REF!</v>
      </c>
      <c r="B18" s="69" t="e">
        <f aca="false">_xlfn.CONCAT(#REF!, ":", #REF!)</f>
        <v>#REF!</v>
      </c>
      <c r="C18" s="74" t="e">
        <f aca="false">#REF!</f>
        <v>#REF!</v>
      </c>
      <c r="D18" s="74" t="e">
        <f aca="false">#REF!</f>
        <v>#REF!</v>
      </c>
      <c r="E18" s="74" t="e">
        <f aca="false">#REF!</f>
        <v>#REF!</v>
      </c>
      <c r="F18" s="74" t="e">
        <f aca="false">#REF!</f>
        <v>#REF!</v>
      </c>
    </row>
    <row r="19" customFormat="false" ht="12.8" hidden="false" customHeight="false" outlineLevel="0" collapsed="false">
      <c r="A19" s="50" t="e">
        <f aca="false">_xlfn.CONCAT($A$1, ".", #REF!)</f>
        <v>#REF!</v>
      </c>
      <c r="B19" s="69" t="e">
        <f aca="false">_xlfn.CONCAT(#REF!, ":", #REF!)</f>
        <v>#REF!</v>
      </c>
      <c r="C19" s="74" t="e">
        <f aca="false">#REF!</f>
        <v>#REF!</v>
      </c>
      <c r="D19" s="74" t="e">
        <f aca="false">#REF!</f>
        <v>#REF!</v>
      </c>
      <c r="E19" s="74" t="e">
        <f aca="false">#REF!</f>
        <v>#REF!</v>
      </c>
      <c r="F19" s="74" t="e">
        <f aca="false">#REF!</f>
        <v>#REF!</v>
      </c>
    </row>
    <row r="20" customFormat="false" ht="12.8" hidden="false" customHeight="false" outlineLevel="0" collapsed="false">
      <c r="A20" s="50" t="e">
        <f aca="false">_xlfn.CONCAT($A$1, ".", #REF!)</f>
        <v>#REF!</v>
      </c>
      <c r="B20" s="69" t="e">
        <f aca="false">_xlfn.CONCAT(#REF!, ":", #REF!)</f>
        <v>#REF!</v>
      </c>
      <c r="C20" s="74" t="e">
        <f aca="false">#REF!</f>
        <v>#REF!</v>
      </c>
      <c r="D20" s="74" t="e">
        <f aca="false">#REF!</f>
        <v>#REF!</v>
      </c>
      <c r="E20" s="74" t="e">
        <f aca="false">#REF!</f>
        <v>#REF!</v>
      </c>
      <c r="F20" s="74" t="e">
        <f aca="false">#REF!</f>
        <v>#REF!</v>
      </c>
    </row>
    <row r="21" customFormat="false" ht="12.8" hidden="false" customHeight="false" outlineLevel="0" collapsed="false">
      <c r="A21" s="50" t="e">
        <f aca="false">_xlfn.CONCAT($A$1, ".", #REF!)</f>
        <v>#REF!</v>
      </c>
      <c r="B21" s="69" t="e">
        <f aca="false">_xlfn.CONCAT(#REF!, ":", #REF!)</f>
        <v>#REF!</v>
      </c>
      <c r="C21" s="74" t="e">
        <f aca="false">#REF!</f>
        <v>#REF!</v>
      </c>
      <c r="D21" s="74" t="e">
        <f aca="false">#REF!</f>
        <v>#REF!</v>
      </c>
      <c r="E21" s="74" t="e">
        <f aca="false">#REF!</f>
        <v>#REF!</v>
      </c>
      <c r="F21" s="74" t="e">
        <f aca="false">#REF!</f>
        <v>#REF!</v>
      </c>
    </row>
    <row r="22" customFormat="false" ht="12.8" hidden="false" customHeight="false" outlineLevel="0" collapsed="false">
      <c r="A22" s="50" t="e">
        <f aca="false">_xlfn.CONCAT($A$1, ".", #REF!)</f>
        <v>#REF!</v>
      </c>
      <c r="B22" s="69" t="e">
        <f aca="false">_xlfn.CONCAT(#REF!, ":", #REF!)</f>
        <v>#REF!</v>
      </c>
      <c r="C22" s="74" t="e">
        <f aca="false">#REF!</f>
        <v>#REF!</v>
      </c>
      <c r="D22" s="74" t="e">
        <f aca="false">#REF!</f>
        <v>#REF!</v>
      </c>
      <c r="E22" s="74" t="e">
        <f aca="false">#REF!</f>
        <v>#REF!</v>
      </c>
      <c r="F22" s="74" t="e">
        <f aca="false">#REF!</f>
        <v>#REF!</v>
      </c>
    </row>
    <row r="23" customFormat="false" ht="12.8" hidden="false" customHeight="false" outlineLevel="0" collapsed="false">
      <c r="A23" s="50" t="e">
        <f aca="false">_xlfn.CONCAT($A$1, ".", #REF!)</f>
        <v>#REF!</v>
      </c>
      <c r="B23" s="69" t="e">
        <f aca="false">_xlfn.CONCAT(#REF!, ":", #REF!)</f>
        <v>#REF!</v>
      </c>
      <c r="C23" s="74" t="e">
        <f aca="false">#REF!</f>
        <v>#REF!</v>
      </c>
      <c r="D23" s="74" t="e">
        <f aca="false">#REF!</f>
        <v>#REF!</v>
      </c>
      <c r="E23" s="74" t="e">
        <f aca="false">#REF!</f>
        <v>#REF!</v>
      </c>
      <c r="F23" s="74" t="e">
        <f aca="false">#REF!</f>
        <v>#REF!</v>
      </c>
    </row>
    <row r="24" customFormat="false" ht="12.8" hidden="false" customHeight="false" outlineLevel="0" collapsed="false">
      <c r="A24" s="50" t="e">
        <f aca="false">_xlfn.CONCAT($A$1, ".", #REF!)</f>
        <v>#REF!</v>
      </c>
      <c r="B24" s="69" t="e">
        <f aca="false">_xlfn.CONCAT(#REF!, ":", #REF!)</f>
        <v>#REF!</v>
      </c>
      <c r="C24" s="74" t="e">
        <f aca="false">#REF!</f>
        <v>#REF!</v>
      </c>
      <c r="D24" s="74" t="e">
        <f aca="false">#REF!</f>
        <v>#REF!</v>
      </c>
      <c r="E24" s="74" t="e">
        <f aca="false">#REF!</f>
        <v>#REF!</v>
      </c>
      <c r="F24" s="74" t="e">
        <f aca="false">#REF!</f>
        <v>#REF!</v>
      </c>
    </row>
    <row r="25" customFormat="false" ht="12.8" hidden="false" customHeight="false" outlineLevel="0" collapsed="false">
      <c r="A25" s="50" t="e">
        <f aca="false">_xlfn.CONCAT($A$1, ".", #REF!)</f>
        <v>#REF!</v>
      </c>
      <c r="B25" s="69" t="e">
        <f aca="false">_xlfn.CONCAT(#REF!, ":", #REF!)</f>
        <v>#REF!</v>
      </c>
      <c r="C25" s="74" t="e">
        <f aca="false">#REF!</f>
        <v>#REF!</v>
      </c>
      <c r="D25" s="74" t="e">
        <f aca="false">#REF!</f>
        <v>#REF!</v>
      </c>
      <c r="E25" s="74" t="e">
        <f aca="false">#REF!</f>
        <v>#REF!</v>
      </c>
      <c r="F25" s="74" t="e">
        <f aca="false">#REF!</f>
        <v>#REF!</v>
      </c>
    </row>
    <row r="26" customFormat="false" ht="12.8" hidden="false" customHeight="false" outlineLevel="0" collapsed="false">
      <c r="A26" s="50" t="e">
        <f aca="false">_xlfn.CONCAT($A$1, ".", #REF!)</f>
        <v>#REF!</v>
      </c>
      <c r="B26" s="69" t="e">
        <f aca="false">_xlfn.CONCAT(#REF!, ":", #REF!)</f>
        <v>#REF!</v>
      </c>
      <c r="C26" s="74" t="e">
        <f aca="false">#REF!</f>
        <v>#REF!</v>
      </c>
      <c r="D26" s="74" t="e">
        <f aca="false">#REF!</f>
        <v>#REF!</v>
      </c>
      <c r="E26" s="74" t="e">
        <f aca="false">#REF!</f>
        <v>#REF!</v>
      </c>
      <c r="F26" s="74" t="e">
        <f aca="false">#REF!</f>
        <v>#REF!</v>
      </c>
    </row>
    <row r="27" customFormat="false" ht="12.8" hidden="false" customHeight="false" outlineLevel="0" collapsed="false">
      <c r="A27" s="50" t="e">
        <f aca="false">_xlfn.CONCAT($A$1, ".", #REF!)</f>
        <v>#REF!</v>
      </c>
      <c r="B27" s="69" t="e">
        <f aca="false">_xlfn.CONCAT(#REF!, ":", #REF!)</f>
        <v>#REF!</v>
      </c>
      <c r="C27" s="74" t="e">
        <f aca="false">#REF!</f>
        <v>#REF!</v>
      </c>
      <c r="D27" s="74" t="e">
        <f aca="false">#REF!</f>
        <v>#REF!</v>
      </c>
      <c r="E27" s="74" t="e">
        <f aca="false">#REF!</f>
        <v>#REF!</v>
      </c>
      <c r="F27" s="74" t="e">
        <f aca="false">#REF!</f>
        <v>#REF!</v>
      </c>
    </row>
    <row r="28" customFormat="false" ht="12.8" hidden="false" customHeight="false" outlineLevel="0" collapsed="false">
      <c r="A28" s="50" t="e">
        <f aca="false">_xlfn.CONCAT($A$1, ".", #REF!)</f>
        <v>#REF!</v>
      </c>
      <c r="B28" s="69" t="e">
        <f aca="false">_xlfn.CONCAT(#REF!, ":", #REF!)</f>
        <v>#REF!</v>
      </c>
      <c r="C28" s="74" t="e">
        <f aca="false">#REF!</f>
        <v>#REF!</v>
      </c>
      <c r="D28" s="74" t="e">
        <f aca="false">#REF!</f>
        <v>#REF!</v>
      </c>
      <c r="E28" s="74" t="e">
        <f aca="false">#REF!</f>
        <v>#REF!</v>
      </c>
      <c r="F28" s="74" t="e">
        <f aca="false">#REF!</f>
        <v>#REF!</v>
      </c>
    </row>
    <row r="29" customFormat="false" ht="12.8" hidden="false" customHeight="false" outlineLevel="0" collapsed="false">
      <c r="A29" s="50" t="e">
        <f aca="false">_xlfn.CONCAT($A$1, ".", #REF!)</f>
        <v>#REF!</v>
      </c>
      <c r="B29" s="69" t="e">
        <f aca="false">_xlfn.CONCAT(#REF!, ":", #REF!)</f>
        <v>#REF!</v>
      </c>
      <c r="C29" s="74" t="e">
        <f aca="false">#REF!</f>
        <v>#REF!</v>
      </c>
      <c r="D29" s="74" t="e">
        <f aca="false">#REF!</f>
        <v>#REF!</v>
      </c>
      <c r="E29" s="74" t="e">
        <f aca="false">#REF!</f>
        <v>#REF!</v>
      </c>
      <c r="F29" s="74" t="e">
        <f aca="false">#REF!</f>
        <v>#REF!</v>
      </c>
    </row>
    <row r="30" customFormat="false" ht="12.8" hidden="false" customHeight="false" outlineLevel="0" collapsed="false">
      <c r="A30" s="50" t="e">
        <f aca="false">_xlfn.CONCAT($A$1, ".", #REF!)</f>
        <v>#REF!</v>
      </c>
      <c r="B30" s="69" t="e">
        <f aca="false">_xlfn.CONCAT(#REF!, ":", #REF!)</f>
        <v>#REF!</v>
      </c>
      <c r="C30" s="74" t="e">
        <f aca="false">#REF!</f>
        <v>#REF!</v>
      </c>
      <c r="D30" s="74" t="e">
        <f aca="false">#REF!</f>
        <v>#REF!</v>
      </c>
      <c r="E30" s="74" t="e">
        <f aca="false">#REF!</f>
        <v>#REF!</v>
      </c>
      <c r="F30" s="74" t="e">
        <f aca="false">#REF!</f>
        <v>#REF!</v>
      </c>
    </row>
    <row r="31" customFormat="false" ht="12.8" hidden="false" customHeight="false" outlineLevel="0" collapsed="false">
      <c r="A31" s="50" t="e">
        <f aca="false">_xlfn.CONCAT($A$1, ".", #REF!)</f>
        <v>#REF!</v>
      </c>
      <c r="B31" s="69" t="e">
        <f aca="false">_xlfn.CONCAT(#REF!, ":", #REF!)</f>
        <v>#REF!</v>
      </c>
      <c r="C31" s="74" t="e">
        <f aca="false">#REF!</f>
        <v>#REF!</v>
      </c>
      <c r="D31" s="74" t="e">
        <f aca="false">#REF!</f>
        <v>#REF!</v>
      </c>
      <c r="E31" s="74" t="e">
        <f aca="false">#REF!</f>
        <v>#REF!</v>
      </c>
      <c r="F31" s="74" t="e">
        <f aca="false">#REF!</f>
        <v>#REF!</v>
      </c>
    </row>
    <row r="32" customFormat="false" ht="12.8" hidden="false" customHeight="false" outlineLevel="0" collapsed="false">
      <c r="A32" s="50" t="e">
        <f aca="false">_xlfn.CONCAT($A$1, ".", #REF!)</f>
        <v>#REF!</v>
      </c>
      <c r="B32" s="69" t="e">
        <f aca="false">_xlfn.CONCAT(#REF!, ":", #REF!)</f>
        <v>#REF!</v>
      </c>
      <c r="C32" s="74" t="e">
        <f aca="false">#REF!</f>
        <v>#REF!</v>
      </c>
      <c r="D32" s="74" t="e">
        <f aca="false">#REF!</f>
        <v>#REF!</v>
      </c>
      <c r="E32" s="74" t="e">
        <f aca="false">#REF!</f>
        <v>#REF!</v>
      </c>
      <c r="F32" s="74" t="e">
        <f aca="false">#REF!</f>
        <v>#REF!</v>
      </c>
    </row>
    <row r="33" customFormat="false" ht="12.8" hidden="false" customHeight="false" outlineLevel="0" collapsed="false">
      <c r="A33" s="50" t="e">
        <f aca="false">_xlfn.CONCAT($A$1, ".", #REF!)</f>
        <v>#REF!</v>
      </c>
      <c r="B33" s="69" t="e">
        <f aca="false">_xlfn.CONCAT(#REF!, ":", #REF!)</f>
        <v>#REF!</v>
      </c>
      <c r="C33" s="74" t="e">
        <f aca="false">#REF!</f>
        <v>#REF!</v>
      </c>
      <c r="D33" s="74" t="e">
        <f aca="false">#REF!</f>
        <v>#REF!</v>
      </c>
      <c r="E33" s="74" t="e">
        <f aca="false">#REF!</f>
        <v>#REF!</v>
      </c>
      <c r="F33" s="74" t="e">
        <f aca="false">#REF!</f>
        <v>#REF!</v>
      </c>
    </row>
    <row r="34" customFormat="false" ht="12.8" hidden="false" customHeight="false" outlineLevel="0" collapsed="false">
      <c r="A34" s="50" t="e">
        <f aca="false">_xlfn.CONCAT($A$1, ".", #REF!)</f>
        <v>#REF!</v>
      </c>
      <c r="B34" s="69" t="e">
        <f aca="false">_xlfn.CONCAT(#REF!, ":", #REF!)</f>
        <v>#REF!</v>
      </c>
      <c r="C34" s="74" t="e">
        <f aca="false">#REF!</f>
        <v>#REF!</v>
      </c>
      <c r="D34" s="74" t="e">
        <f aca="false">#REF!</f>
        <v>#REF!</v>
      </c>
      <c r="E34" s="74" t="e">
        <f aca="false">#REF!</f>
        <v>#REF!</v>
      </c>
      <c r="F34" s="74" t="e">
        <f aca="false">#REF!</f>
        <v>#REF!</v>
      </c>
    </row>
    <row r="35" customFormat="false" ht="12.8" hidden="false" customHeight="false" outlineLevel="0" collapsed="false">
      <c r="A35" s="50" t="e">
        <f aca="false">_xlfn.CONCAT($A$1, ".", #REF!)</f>
        <v>#REF!</v>
      </c>
      <c r="B35" s="69" t="e">
        <f aca="false">_xlfn.CONCAT(#REF!, ":", #REF!)</f>
        <v>#REF!</v>
      </c>
      <c r="C35" s="74" t="e">
        <f aca="false">#REF!</f>
        <v>#REF!</v>
      </c>
      <c r="D35" s="74" t="e">
        <f aca="false">#REF!</f>
        <v>#REF!</v>
      </c>
      <c r="E35" s="74" t="e">
        <f aca="false">#REF!</f>
        <v>#REF!</v>
      </c>
      <c r="F35" s="74" t="e">
        <f aca="false">#REF!</f>
        <v>#REF!</v>
      </c>
    </row>
    <row r="36" customFormat="false" ht="12.8" hidden="false" customHeight="false" outlineLevel="0" collapsed="false">
      <c r="A36" s="50" t="e">
        <f aca="false">_xlfn.CONCAT($A$1, ".", #REF!)</f>
        <v>#REF!</v>
      </c>
      <c r="B36" s="69" t="e">
        <f aca="false">_xlfn.CONCAT(#REF!, ":", #REF!)</f>
        <v>#REF!</v>
      </c>
      <c r="C36" s="74" t="e">
        <f aca="false">#REF!</f>
        <v>#REF!</v>
      </c>
      <c r="D36" s="74" t="e">
        <f aca="false">#REF!</f>
        <v>#REF!</v>
      </c>
      <c r="E36" s="74" t="e">
        <f aca="false">#REF!</f>
        <v>#REF!</v>
      </c>
      <c r="F36" s="74" t="e">
        <f aca="false">#REF!</f>
        <v>#REF!</v>
      </c>
    </row>
    <row r="37" customFormat="false" ht="12.8" hidden="false" customHeight="false" outlineLevel="0" collapsed="false">
      <c r="A37" s="50" t="e">
        <f aca="false">_xlfn.CONCAT($A$1, ".", #REF!)</f>
        <v>#REF!</v>
      </c>
      <c r="B37" s="69" t="e">
        <f aca="false">_xlfn.CONCAT(#REF!, ":", #REF!)</f>
        <v>#REF!</v>
      </c>
      <c r="C37" s="74" t="e">
        <f aca="false">#REF!</f>
        <v>#REF!</v>
      </c>
      <c r="D37" s="74" t="e">
        <f aca="false">#REF!</f>
        <v>#REF!</v>
      </c>
      <c r="E37" s="74" t="e">
        <f aca="false">#REF!</f>
        <v>#REF!</v>
      </c>
      <c r="F37" s="74" t="e">
        <f aca="false">#REF!</f>
        <v>#REF!</v>
      </c>
    </row>
    <row r="38" customFormat="false" ht="12.8" hidden="false" customHeight="false" outlineLevel="0" collapsed="false">
      <c r="A38" s="50" t="e">
        <f aca="false">_xlfn.CONCAT($A$1, ".", #REF!)</f>
        <v>#REF!</v>
      </c>
      <c r="B38" s="69" t="e">
        <f aca="false">_xlfn.CONCAT(#REF!, ":", #REF!)</f>
        <v>#REF!</v>
      </c>
      <c r="C38" s="74" t="e">
        <f aca="false">#REF!</f>
        <v>#REF!</v>
      </c>
      <c r="D38" s="74" t="e">
        <f aca="false">#REF!</f>
        <v>#REF!</v>
      </c>
      <c r="E38" s="74" t="e">
        <f aca="false">#REF!</f>
        <v>#REF!</v>
      </c>
      <c r="F38" s="74" t="e">
        <f aca="false">#REF!</f>
        <v>#REF!</v>
      </c>
    </row>
    <row r="39" customFormat="false" ht="12.8" hidden="false" customHeight="false" outlineLevel="0" collapsed="false">
      <c r="A39" s="50" t="e">
        <f aca="false">_xlfn.CONCAT($A$1, ".", #REF!)</f>
        <v>#REF!</v>
      </c>
      <c r="B39" s="69" t="e">
        <f aca="false">_xlfn.CONCAT(#REF!, ":", #REF!)</f>
        <v>#REF!</v>
      </c>
      <c r="C39" s="74" t="e">
        <f aca="false">#REF!</f>
        <v>#REF!</v>
      </c>
      <c r="D39" s="74" t="e">
        <f aca="false">#REF!</f>
        <v>#REF!</v>
      </c>
      <c r="E39" s="74" t="e">
        <f aca="false">#REF!</f>
        <v>#REF!</v>
      </c>
      <c r="F39" s="74" t="e">
        <f aca="false">#REF!</f>
        <v>#REF!</v>
      </c>
    </row>
    <row r="40" customFormat="false" ht="12.8" hidden="false" customHeight="false" outlineLevel="0" collapsed="false">
      <c r="A40" s="50" t="e">
        <f aca="false">_xlfn.CONCAT($A$1, ".", #REF!)</f>
        <v>#REF!</v>
      </c>
      <c r="B40" s="69" t="e">
        <f aca="false">_xlfn.CONCAT(#REF!, ":", #REF!)</f>
        <v>#REF!</v>
      </c>
      <c r="C40" s="74" t="e">
        <f aca="false">#REF!</f>
        <v>#REF!</v>
      </c>
      <c r="D40" s="74" t="e">
        <f aca="false">#REF!</f>
        <v>#REF!</v>
      </c>
      <c r="E40" s="74" t="e">
        <f aca="false">#REF!</f>
        <v>#REF!</v>
      </c>
      <c r="F40" s="74" t="e">
        <f aca="false">#REF!</f>
        <v>#REF!</v>
      </c>
    </row>
    <row r="41" customFormat="false" ht="12.8" hidden="false" customHeight="false" outlineLevel="0" collapsed="false">
      <c r="A41" s="50" t="e">
        <f aca="false">_xlfn.CONCAT($A$1, ".", #REF!)</f>
        <v>#REF!</v>
      </c>
      <c r="B41" s="69" t="e">
        <f aca="false">_xlfn.CONCAT(#REF!, ":", #REF!)</f>
        <v>#REF!</v>
      </c>
      <c r="C41" s="74" t="e">
        <f aca="false">#REF!</f>
        <v>#REF!</v>
      </c>
      <c r="D41" s="74" t="e">
        <f aca="false">#REF!</f>
        <v>#REF!</v>
      </c>
      <c r="E41" s="74" t="e">
        <f aca="false">#REF!</f>
        <v>#REF!</v>
      </c>
      <c r="F41" s="74" t="e">
        <f aca="false">#REF!</f>
        <v>#REF!</v>
      </c>
    </row>
    <row r="42" customFormat="false" ht="12.8" hidden="false" customHeight="false" outlineLevel="0" collapsed="false">
      <c r="A42" s="50" t="e">
        <f aca="false">_xlfn.CONCAT($A$1, ".", #REF!)</f>
        <v>#REF!</v>
      </c>
      <c r="B42" s="69" t="e">
        <f aca="false">_xlfn.CONCAT(#REF!, ":", #REF!)</f>
        <v>#REF!</v>
      </c>
      <c r="C42" s="74" t="e">
        <f aca="false">#REF!</f>
        <v>#REF!</v>
      </c>
      <c r="D42" s="74" t="e">
        <f aca="false">#REF!</f>
        <v>#REF!</v>
      </c>
      <c r="E42" s="74" t="e">
        <f aca="false">#REF!</f>
        <v>#REF!</v>
      </c>
      <c r="F42" s="74" t="e">
        <f aca="false">#REF!</f>
        <v>#REF!</v>
      </c>
    </row>
    <row r="43" customFormat="false" ht="12.8" hidden="false" customHeight="false" outlineLevel="0" collapsed="false">
      <c r="A43" s="50" t="e">
        <f aca="false">_xlfn.CONCAT($A$1, ".", #REF!)</f>
        <v>#REF!</v>
      </c>
      <c r="B43" s="69" t="e">
        <f aca="false">_xlfn.CONCAT(#REF!, ":", #REF!)</f>
        <v>#REF!</v>
      </c>
      <c r="C43" s="74" t="e">
        <f aca="false">#REF!</f>
        <v>#REF!</v>
      </c>
      <c r="D43" s="74" t="e">
        <f aca="false">#REF!</f>
        <v>#REF!</v>
      </c>
      <c r="E43" s="74" t="e">
        <f aca="false">#REF!</f>
        <v>#REF!</v>
      </c>
      <c r="F43" s="74" t="e">
        <f aca="false">#REF!</f>
        <v>#REF!</v>
      </c>
    </row>
    <row r="44" customFormat="false" ht="12.8" hidden="false" customHeight="false" outlineLevel="0" collapsed="false">
      <c r="A44" s="50" t="e">
        <f aca="false">_xlfn.CONCAT($A$1, ".", #REF!)</f>
        <v>#REF!</v>
      </c>
      <c r="B44" s="69" t="e">
        <f aca="false">_xlfn.CONCAT(#REF!, ":", #REF!)</f>
        <v>#REF!</v>
      </c>
      <c r="C44" s="74" t="e">
        <f aca="false">#REF!</f>
        <v>#REF!</v>
      </c>
      <c r="D44" s="74" t="e">
        <f aca="false">#REF!</f>
        <v>#REF!</v>
      </c>
      <c r="E44" s="74" t="e">
        <f aca="false">#REF!</f>
        <v>#REF!</v>
      </c>
      <c r="F44" s="74" t="e">
        <f aca="false">#REF!</f>
        <v>#REF!</v>
      </c>
    </row>
    <row r="45" customFormat="false" ht="12.8" hidden="false" customHeight="false" outlineLevel="0" collapsed="false">
      <c r="A45" s="50" t="e">
        <f aca="false">_xlfn.CONCAT($A$1, ".", #REF!)</f>
        <v>#REF!</v>
      </c>
      <c r="B45" s="69" t="e">
        <f aca="false">_xlfn.CONCAT(#REF!, ":", #REF!)</f>
        <v>#REF!</v>
      </c>
      <c r="C45" s="74" t="e">
        <f aca="false">#REF!</f>
        <v>#REF!</v>
      </c>
      <c r="D45" s="74" t="e">
        <f aca="false">#REF!</f>
        <v>#REF!</v>
      </c>
      <c r="E45" s="74" t="e">
        <f aca="false">#REF!</f>
        <v>#REF!</v>
      </c>
      <c r="F45" s="74" t="e">
        <f aca="false">#REF!</f>
        <v>#REF!</v>
      </c>
    </row>
    <row r="46" customFormat="false" ht="12.8" hidden="false" customHeight="false" outlineLevel="0" collapsed="false">
      <c r="A46" s="50" t="e">
        <f aca="false">_xlfn.CONCAT($A$1, ".", #REF!)</f>
        <v>#REF!</v>
      </c>
      <c r="B46" s="69" t="e">
        <f aca="false">_xlfn.CONCAT(#REF!, ":", #REF!)</f>
        <v>#REF!</v>
      </c>
      <c r="C46" s="74" t="e">
        <f aca="false">#REF!</f>
        <v>#REF!</v>
      </c>
      <c r="D46" s="74" t="e">
        <f aca="false">#REF!</f>
        <v>#REF!</v>
      </c>
      <c r="E46" s="74" t="e">
        <f aca="false">#REF!</f>
        <v>#REF!</v>
      </c>
      <c r="F46" s="74" t="e">
        <f aca="false">#REF!</f>
        <v>#REF!</v>
      </c>
    </row>
    <row r="47" customFormat="false" ht="12.8" hidden="false" customHeight="false" outlineLevel="0" collapsed="false">
      <c r="A47" s="50" t="e">
        <f aca="false">_xlfn.CONCAT($A$1, ".", #REF!)</f>
        <v>#REF!</v>
      </c>
      <c r="B47" s="69" t="e">
        <f aca="false">_xlfn.CONCAT(#REF!, ":", #REF!)</f>
        <v>#REF!</v>
      </c>
      <c r="C47" s="74" t="e">
        <f aca="false">#REF!</f>
        <v>#REF!</v>
      </c>
      <c r="D47" s="74" t="e">
        <f aca="false">#REF!</f>
        <v>#REF!</v>
      </c>
      <c r="E47" s="74" t="e">
        <f aca="false">#REF!</f>
        <v>#REF!</v>
      </c>
      <c r="F47" s="74" t="e">
        <f aca="false">#REF!</f>
        <v>#REF!</v>
      </c>
    </row>
    <row r="48" customFormat="false" ht="12.8" hidden="false" customHeight="false" outlineLevel="0" collapsed="false">
      <c r="A48" s="50" t="e">
        <f aca="false">_xlfn.CONCAT($A$1, ".", #REF!)</f>
        <v>#REF!</v>
      </c>
      <c r="B48" s="69" t="e">
        <f aca="false">_xlfn.CONCAT(#REF!, ":", #REF!)</f>
        <v>#REF!</v>
      </c>
      <c r="C48" s="74" t="e">
        <f aca="false">#REF!</f>
        <v>#REF!</v>
      </c>
      <c r="D48" s="74" t="e">
        <f aca="false">#REF!</f>
        <v>#REF!</v>
      </c>
      <c r="E48" s="74" t="e">
        <f aca="false">#REF!</f>
        <v>#REF!</v>
      </c>
      <c r="F48" s="74" t="e">
        <f aca="false">#REF!</f>
        <v>#REF!</v>
      </c>
    </row>
    <row r="49" customFormat="false" ht="12.8" hidden="false" customHeight="false" outlineLevel="0" collapsed="false">
      <c r="A49" s="50" t="e">
        <f aca="false">_xlfn.CONCAT($A$1, ".", #REF!)</f>
        <v>#REF!</v>
      </c>
      <c r="B49" s="69" t="e">
        <f aca="false">_xlfn.CONCAT(#REF!, ":", #REF!)</f>
        <v>#REF!</v>
      </c>
      <c r="C49" s="74" t="e">
        <f aca="false">#REF!</f>
        <v>#REF!</v>
      </c>
      <c r="D49" s="74" t="e">
        <f aca="false">#REF!</f>
        <v>#REF!</v>
      </c>
      <c r="E49" s="74" t="e">
        <f aca="false">#REF!</f>
        <v>#REF!</v>
      </c>
      <c r="F49" s="74" t="e">
        <f aca="false">#REF!</f>
        <v>#REF!</v>
      </c>
    </row>
    <row r="50" customFormat="false" ht="12.8" hidden="false" customHeight="false" outlineLevel="0" collapsed="false">
      <c r="A50" s="50" t="e">
        <f aca="false">_xlfn.CONCAT($A$1, ".", #REF!)</f>
        <v>#REF!</v>
      </c>
      <c r="B50" s="69" t="e">
        <f aca="false">_xlfn.CONCAT(#REF!, ":", #REF!)</f>
        <v>#REF!</v>
      </c>
      <c r="C50" s="74" t="e">
        <f aca="false">#REF!</f>
        <v>#REF!</v>
      </c>
      <c r="D50" s="74" t="e">
        <f aca="false">#REF!</f>
        <v>#REF!</v>
      </c>
      <c r="E50" s="74" t="e">
        <f aca="false">#REF!</f>
        <v>#REF!</v>
      </c>
      <c r="F50" s="74" t="e">
        <f aca="false">#REF!</f>
        <v>#REF!</v>
      </c>
    </row>
    <row r="51" customFormat="false" ht="12.8" hidden="false" customHeight="false" outlineLevel="0" collapsed="false">
      <c r="A51" s="50" t="e">
        <f aca="false">_xlfn.CONCAT($A$1, ".", #REF!)</f>
        <v>#REF!</v>
      </c>
      <c r="B51" s="69" t="e">
        <f aca="false">_xlfn.CONCAT(#REF!, ":", #REF!)</f>
        <v>#REF!</v>
      </c>
      <c r="C51" s="74" t="e">
        <f aca="false">#REF!</f>
        <v>#REF!</v>
      </c>
      <c r="D51" s="74" t="e">
        <f aca="false">#REF!</f>
        <v>#REF!</v>
      </c>
      <c r="E51" s="74" t="e">
        <f aca="false">#REF!</f>
        <v>#REF!</v>
      </c>
      <c r="F51" s="74" t="e">
        <f aca="false">#REF!</f>
        <v>#REF!</v>
      </c>
    </row>
    <row r="52" customFormat="false" ht="12.8" hidden="false" customHeight="false" outlineLevel="0" collapsed="false">
      <c r="A52" s="50" t="e">
        <f aca="false">_xlfn.CONCAT($A$1, ".", #REF!)</f>
        <v>#REF!</v>
      </c>
      <c r="B52" s="69" t="e">
        <f aca="false">_xlfn.CONCAT(#REF!, ":", #REF!)</f>
        <v>#REF!</v>
      </c>
      <c r="C52" s="74" t="e">
        <f aca="false">#REF!</f>
        <v>#REF!</v>
      </c>
      <c r="D52" s="74" t="e">
        <f aca="false">#REF!</f>
        <v>#REF!</v>
      </c>
      <c r="E52" s="74" t="e">
        <f aca="false">#REF!</f>
        <v>#REF!</v>
      </c>
      <c r="F52" s="74" t="e">
        <f aca="false">#REF!</f>
        <v>#REF!</v>
      </c>
    </row>
    <row r="53" customFormat="false" ht="12.8" hidden="false" customHeight="false" outlineLevel="0" collapsed="false">
      <c r="A53" s="50" t="e">
        <f aca="false">_xlfn.CONCAT($A$1, ".", #REF!)</f>
        <v>#REF!</v>
      </c>
      <c r="B53" s="69" t="e">
        <f aca="false">_xlfn.CONCAT(#REF!, ":", #REF!)</f>
        <v>#REF!</v>
      </c>
      <c r="C53" s="74" t="e">
        <f aca="false">#REF!</f>
        <v>#REF!</v>
      </c>
      <c r="D53" s="74" t="e">
        <f aca="false">#REF!</f>
        <v>#REF!</v>
      </c>
      <c r="E53" s="74" t="e">
        <f aca="false">#REF!</f>
        <v>#REF!</v>
      </c>
      <c r="F53" s="74" t="e">
        <f aca="false">#REF!</f>
        <v>#REF!</v>
      </c>
    </row>
    <row r="54" customFormat="false" ht="12.8" hidden="false" customHeight="false" outlineLevel="0" collapsed="false">
      <c r="A54" s="50" t="e">
        <f aca="false">_xlfn.CONCAT($A$1, ".", #REF!)</f>
        <v>#REF!</v>
      </c>
      <c r="B54" s="69" t="e">
        <f aca="false">_xlfn.CONCAT(#REF!, ":", #REF!)</f>
        <v>#REF!</v>
      </c>
      <c r="C54" s="74" t="e">
        <f aca="false">#REF!</f>
        <v>#REF!</v>
      </c>
      <c r="D54" s="74" t="e">
        <f aca="false">#REF!</f>
        <v>#REF!</v>
      </c>
      <c r="E54" s="74" t="e">
        <f aca="false">#REF!</f>
        <v>#REF!</v>
      </c>
      <c r="F54" s="74" t="e">
        <f aca="false">#REF!</f>
        <v>#REF!</v>
      </c>
    </row>
    <row r="55" customFormat="false" ht="12.8" hidden="false" customHeight="false" outlineLevel="0" collapsed="false">
      <c r="A55" s="50" t="e">
        <f aca="false">_xlfn.CONCAT($A$1, ".", #REF!)</f>
        <v>#REF!</v>
      </c>
      <c r="B55" s="69" t="e">
        <f aca="false">_xlfn.CONCAT(#REF!, ":", #REF!)</f>
        <v>#REF!</v>
      </c>
      <c r="C55" s="74" t="e">
        <f aca="false">#REF!</f>
        <v>#REF!</v>
      </c>
      <c r="D55" s="74" t="e">
        <f aca="false">#REF!</f>
        <v>#REF!</v>
      </c>
      <c r="E55" s="74" t="e">
        <f aca="false">#REF!</f>
        <v>#REF!</v>
      </c>
      <c r="F55" s="74" t="e">
        <f aca="false">#REF!</f>
        <v>#REF!</v>
      </c>
    </row>
    <row r="56" customFormat="false" ht="12.8" hidden="false" customHeight="false" outlineLevel="0" collapsed="false">
      <c r="C56" s="73"/>
      <c r="D56" s="73"/>
      <c r="E56" s="73"/>
      <c r="F56" s="73"/>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H32" activeCellId="0" sqref="H32"/>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5"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2830</v>
      </c>
      <c r="B1" s="76" t="s">
        <v>2831</v>
      </c>
      <c r="C1" s="6" t="s">
        <v>2</v>
      </c>
      <c r="D1" s="39" t="s">
        <v>2832</v>
      </c>
      <c r="AZ1" s="39"/>
      <c r="BP1" s="39"/>
    </row>
    <row r="2" customFormat="false" ht="35.05" hidden="false" customHeight="false" outlineLevel="0" collapsed="false">
      <c r="A2" s="77" t="s">
        <v>2813</v>
      </c>
      <c r="B2" s="78" t="s">
        <v>2814</v>
      </c>
      <c r="C2" s="73" t="str">
        <f aca="false">CALC!BP3</f>
        <v>AOTC Refund</v>
      </c>
      <c r="D2" s="73" t="str">
        <f aca="false">CALC!BQ3</f>
        <v>Authorized Immigrant AOTC Refund</v>
      </c>
      <c r="E2" s="73" t="str">
        <f aca="false">CALC!BR3</f>
        <v>Unauthorized Immigrant AOTC Refund</v>
      </c>
      <c r="F2" s="73" t="str">
        <f aca="false">CALC!BS3</f>
        <v>American Tax AOTC Refund</v>
      </c>
    </row>
    <row r="3" customFormat="false" ht="12.8" hidden="false" customHeight="false" outlineLevel="0" collapsed="false">
      <c r="A3" s="50" t="e">
        <f aca="false">_xlfn.CONCAT($A$1, ".", #REF!)</f>
        <v>#REF!</v>
      </c>
      <c r="B3" s="64" t="e">
        <f aca="false">_xlfn.CONCAT(#REF!, ":", #REF!)</f>
        <v>#REF!</v>
      </c>
      <c r="C3" s="73" t="e">
        <f aca="false">#REF!</f>
        <v>#REF!</v>
      </c>
      <c r="D3" s="73" t="e">
        <f aca="false">#REF!</f>
        <v>#REF!</v>
      </c>
      <c r="E3" s="73" t="e">
        <f aca="false">#REF!</f>
        <v>#REF!</v>
      </c>
      <c r="F3" s="73" t="e">
        <f aca="false">#REF!</f>
        <v>#REF!</v>
      </c>
    </row>
    <row r="4" customFormat="false" ht="12.8" hidden="false" customHeight="false" outlineLevel="0" collapsed="false">
      <c r="A4" s="50" t="e">
        <f aca="false">_xlfn.CONCAT($A$1, ".", #REF!)</f>
        <v>#REF!</v>
      </c>
      <c r="B4" s="64" t="e">
        <f aca="false">_xlfn.CONCAT(#REF!, ":", #REF!)</f>
        <v>#REF!</v>
      </c>
      <c r="C4" s="73" t="e">
        <f aca="false">#REF!</f>
        <v>#REF!</v>
      </c>
      <c r="D4" s="73" t="e">
        <f aca="false">#REF!</f>
        <v>#REF!</v>
      </c>
      <c r="E4" s="73" t="e">
        <f aca="false">#REF!</f>
        <v>#REF!</v>
      </c>
      <c r="F4" s="73" t="e">
        <f aca="false">#REF!</f>
        <v>#REF!</v>
      </c>
    </row>
    <row r="5" customFormat="false" ht="12.8" hidden="false" customHeight="false" outlineLevel="0" collapsed="false">
      <c r="A5" s="50" t="e">
        <f aca="false">_xlfn.CONCAT($A$1, ".", #REF!)</f>
        <v>#REF!</v>
      </c>
      <c r="B5" s="64" t="e">
        <f aca="false">_xlfn.CONCAT(#REF!, ":", #REF!)</f>
        <v>#REF!</v>
      </c>
      <c r="C5" s="73" t="e">
        <f aca="false">#REF!</f>
        <v>#REF!</v>
      </c>
      <c r="D5" s="73" t="e">
        <f aca="false">#REF!</f>
        <v>#REF!</v>
      </c>
      <c r="E5" s="73" t="e">
        <f aca="false">#REF!</f>
        <v>#REF!</v>
      </c>
      <c r="F5" s="73" t="e">
        <f aca="false">#REF!</f>
        <v>#REF!</v>
      </c>
    </row>
    <row r="6" customFormat="false" ht="12.8" hidden="false" customHeight="false" outlineLevel="0" collapsed="false">
      <c r="A6" s="50" t="e">
        <f aca="false">_xlfn.CONCAT($A$1, ".", #REF!)</f>
        <v>#REF!</v>
      </c>
      <c r="B6" s="64" t="e">
        <f aca="false">_xlfn.CONCAT(#REF!, ":", #REF!)</f>
        <v>#REF!</v>
      </c>
      <c r="C6" s="73" t="e">
        <f aca="false">#REF!</f>
        <v>#REF!</v>
      </c>
      <c r="D6" s="73" t="e">
        <f aca="false">#REF!</f>
        <v>#REF!</v>
      </c>
      <c r="E6" s="73" t="e">
        <f aca="false">#REF!</f>
        <v>#REF!</v>
      </c>
      <c r="F6" s="73" t="e">
        <f aca="false">#REF!</f>
        <v>#REF!</v>
      </c>
    </row>
    <row r="7" customFormat="false" ht="12.8" hidden="false" customHeight="false" outlineLevel="0" collapsed="false">
      <c r="A7" s="50" t="e">
        <f aca="false">_xlfn.CONCAT($A$1, ".", #REF!)</f>
        <v>#REF!</v>
      </c>
      <c r="B7" s="64" t="e">
        <f aca="false">_xlfn.CONCAT(#REF!, ":", #REF!)</f>
        <v>#REF!</v>
      </c>
      <c r="C7" s="73" t="e">
        <f aca="false">#REF!</f>
        <v>#REF!</v>
      </c>
      <c r="D7" s="73" t="e">
        <f aca="false">#REF!</f>
        <v>#REF!</v>
      </c>
      <c r="E7" s="73" t="e">
        <f aca="false">#REF!</f>
        <v>#REF!</v>
      </c>
      <c r="F7" s="73" t="e">
        <f aca="false">#REF!</f>
        <v>#REF!</v>
      </c>
    </row>
    <row r="8" customFormat="false" ht="12.8" hidden="false" customHeight="false" outlineLevel="0" collapsed="false">
      <c r="A8" s="50" t="e">
        <f aca="false">_xlfn.CONCAT($A$1, ".", #REF!)</f>
        <v>#REF!</v>
      </c>
      <c r="B8" s="64" t="e">
        <f aca="false">_xlfn.CONCAT(#REF!, ":", #REF!)</f>
        <v>#REF!</v>
      </c>
      <c r="C8" s="73" t="e">
        <f aca="false">#REF!</f>
        <v>#REF!</v>
      </c>
      <c r="D8" s="73" t="e">
        <f aca="false">#REF!</f>
        <v>#REF!</v>
      </c>
      <c r="E8" s="73" t="e">
        <f aca="false">#REF!</f>
        <v>#REF!</v>
      </c>
      <c r="F8" s="73" t="e">
        <f aca="false">#REF!</f>
        <v>#REF!</v>
      </c>
    </row>
    <row r="9" customFormat="false" ht="12.8" hidden="false" customHeight="false" outlineLevel="0" collapsed="false">
      <c r="A9" s="50" t="e">
        <f aca="false">_xlfn.CONCAT($A$1, ".", #REF!)</f>
        <v>#REF!</v>
      </c>
      <c r="B9" s="64" t="e">
        <f aca="false">_xlfn.CONCAT(#REF!, ":", #REF!)</f>
        <v>#REF!</v>
      </c>
      <c r="C9" s="73" t="e">
        <f aca="false">#REF!</f>
        <v>#REF!</v>
      </c>
      <c r="D9" s="73" t="e">
        <f aca="false">#REF!</f>
        <v>#REF!</v>
      </c>
      <c r="E9" s="73" t="e">
        <f aca="false">#REF!</f>
        <v>#REF!</v>
      </c>
      <c r="F9" s="73" t="e">
        <f aca="false">#REF!</f>
        <v>#REF!</v>
      </c>
    </row>
    <row r="10" customFormat="false" ht="12.8" hidden="false" customHeight="false" outlineLevel="0" collapsed="false">
      <c r="A10" s="50" t="e">
        <f aca="false">_xlfn.CONCAT($A$1, ".", #REF!)</f>
        <v>#REF!</v>
      </c>
      <c r="B10" s="64" t="e">
        <f aca="false">_xlfn.CONCAT(#REF!, ":", #REF!)</f>
        <v>#REF!</v>
      </c>
      <c r="C10" s="73" t="e">
        <f aca="false">#REF!</f>
        <v>#REF!</v>
      </c>
      <c r="D10" s="73" t="e">
        <f aca="false">#REF!</f>
        <v>#REF!</v>
      </c>
      <c r="E10" s="73" t="e">
        <f aca="false">#REF!</f>
        <v>#REF!</v>
      </c>
      <c r="F10" s="73" t="e">
        <f aca="false">#REF!</f>
        <v>#REF!</v>
      </c>
    </row>
    <row r="11" customFormat="false" ht="12.8" hidden="false" customHeight="false" outlineLevel="0" collapsed="false">
      <c r="A11" s="50" t="e">
        <f aca="false">_xlfn.CONCAT($A$1, ".", #REF!)</f>
        <v>#REF!</v>
      </c>
      <c r="B11" s="64" t="e">
        <f aca="false">_xlfn.CONCAT(#REF!, ":", #REF!)</f>
        <v>#REF!</v>
      </c>
      <c r="C11" s="73" t="e">
        <f aca="false">#REF!</f>
        <v>#REF!</v>
      </c>
      <c r="D11" s="73" t="e">
        <f aca="false">#REF!</f>
        <v>#REF!</v>
      </c>
      <c r="E11" s="73" t="e">
        <f aca="false">#REF!</f>
        <v>#REF!</v>
      </c>
      <c r="F11" s="73" t="e">
        <f aca="false">#REF!</f>
        <v>#REF!</v>
      </c>
    </row>
    <row r="12" customFormat="false" ht="12.8" hidden="false" customHeight="false" outlineLevel="0" collapsed="false">
      <c r="A12" s="50" t="e">
        <f aca="false">_xlfn.CONCAT($A$1, ".", #REF!)</f>
        <v>#REF!</v>
      </c>
      <c r="B12" s="64" t="e">
        <f aca="false">_xlfn.CONCAT(#REF!, ":", #REF!)</f>
        <v>#REF!</v>
      </c>
      <c r="C12" s="73" t="e">
        <f aca="false">#REF!</f>
        <v>#REF!</v>
      </c>
      <c r="D12" s="73" t="e">
        <f aca="false">#REF!</f>
        <v>#REF!</v>
      </c>
      <c r="E12" s="73" t="e">
        <f aca="false">#REF!</f>
        <v>#REF!</v>
      </c>
      <c r="F12" s="73" t="e">
        <f aca="false">#REF!</f>
        <v>#REF!</v>
      </c>
    </row>
    <row r="13" customFormat="false" ht="12.8" hidden="false" customHeight="false" outlineLevel="0" collapsed="false">
      <c r="A13" s="50" t="e">
        <f aca="false">_xlfn.CONCAT($A$1, ".", #REF!)</f>
        <v>#REF!</v>
      </c>
      <c r="B13" s="64" t="e">
        <f aca="false">_xlfn.CONCAT(#REF!, ":", #REF!)</f>
        <v>#REF!</v>
      </c>
      <c r="C13" s="73" t="e">
        <f aca="false">#REF!</f>
        <v>#REF!</v>
      </c>
      <c r="D13" s="73" t="e">
        <f aca="false">#REF!</f>
        <v>#REF!</v>
      </c>
      <c r="E13" s="73" t="e">
        <f aca="false">#REF!</f>
        <v>#REF!</v>
      </c>
      <c r="F13" s="73" t="e">
        <f aca="false">#REF!</f>
        <v>#REF!</v>
      </c>
    </row>
    <row r="14" customFormat="false" ht="12.8" hidden="false" customHeight="false" outlineLevel="0" collapsed="false">
      <c r="A14" s="50" t="e">
        <f aca="false">_xlfn.CONCAT($A$1, ".", #REF!)</f>
        <v>#REF!</v>
      </c>
      <c r="B14" s="64" t="e">
        <f aca="false">_xlfn.CONCAT(#REF!, ":", #REF!)</f>
        <v>#REF!</v>
      </c>
      <c r="C14" s="73" t="e">
        <f aca="false">#REF!</f>
        <v>#REF!</v>
      </c>
      <c r="D14" s="73" t="e">
        <f aca="false">#REF!</f>
        <v>#REF!</v>
      </c>
      <c r="E14" s="73" t="e">
        <f aca="false">#REF!</f>
        <v>#REF!</v>
      </c>
      <c r="F14" s="73" t="e">
        <f aca="false">#REF!</f>
        <v>#REF!</v>
      </c>
    </row>
    <row r="15" customFormat="false" ht="12.8" hidden="false" customHeight="false" outlineLevel="0" collapsed="false">
      <c r="A15" s="50" t="e">
        <f aca="false">_xlfn.CONCAT($A$1, ".", #REF!)</f>
        <v>#REF!</v>
      </c>
      <c r="B15" s="64" t="e">
        <f aca="false">_xlfn.CONCAT(#REF!, ":", #REF!)</f>
        <v>#REF!</v>
      </c>
      <c r="C15" s="73" t="e">
        <f aca="false">#REF!</f>
        <v>#REF!</v>
      </c>
      <c r="D15" s="73" t="e">
        <f aca="false">#REF!</f>
        <v>#REF!</v>
      </c>
      <c r="E15" s="73" t="e">
        <f aca="false">#REF!</f>
        <v>#REF!</v>
      </c>
      <c r="F15" s="73" t="e">
        <f aca="false">#REF!</f>
        <v>#REF!</v>
      </c>
    </row>
    <row r="16" customFormat="false" ht="12.8" hidden="false" customHeight="false" outlineLevel="0" collapsed="false">
      <c r="A16" s="50" t="e">
        <f aca="false">_xlfn.CONCAT($A$1, ".", #REF!)</f>
        <v>#REF!</v>
      </c>
      <c r="B16" s="64" t="e">
        <f aca="false">_xlfn.CONCAT(#REF!, ":", #REF!)</f>
        <v>#REF!</v>
      </c>
      <c r="C16" s="73" t="e">
        <f aca="false">#REF!</f>
        <v>#REF!</v>
      </c>
      <c r="D16" s="73" t="e">
        <f aca="false">#REF!</f>
        <v>#REF!</v>
      </c>
      <c r="E16" s="73" t="e">
        <f aca="false">#REF!</f>
        <v>#REF!</v>
      </c>
      <c r="F16" s="73" t="e">
        <f aca="false">#REF!</f>
        <v>#REF!</v>
      </c>
    </row>
    <row r="17" customFormat="false" ht="12.8" hidden="false" customHeight="false" outlineLevel="0" collapsed="false">
      <c r="A17" s="50" t="e">
        <f aca="false">_xlfn.CONCAT($A$1, ".", #REF!)</f>
        <v>#REF!</v>
      </c>
      <c r="B17" s="64" t="e">
        <f aca="false">_xlfn.CONCAT(#REF!, ":", #REF!)</f>
        <v>#REF!</v>
      </c>
      <c r="C17" s="73" t="e">
        <f aca="false">#REF!</f>
        <v>#REF!</v>
      </c>
      <c r="D17" s="73" t="e">
        <f aca="false">#REF!</f>
        <v>#REF!</v>
      </c>
      <c r="E17" s="73" t="e">
        <f aca="false">#REF!</f>
        <v>#REF!</v>
      </c>
      <c r="F17" s="73" t="e">
        <f aca="false">#REF!</f>
        <v>#REF!</v>
      </c>
    </row>
    <row r="18" customFormat="false" ht="12.8" hidden="false" customHeight="false" outlineLevel="0" collapsed="false">
      <c r="A18" s="50" t="e">
        <f aca="false">_xlfn.CONCAT($A$1, ".", #REF!)</f>
        <v>#REF!</v>
      </c>
      <c r="B18" s="64" t="e">
        <f aca="false">_xlfn.CONCAT(#REF!, ":", #REF!)</f>
        <v>#REF!</v>
      </c>
      <c r="C18" s="73" t="e">
        <f aca="false">#REF!</f>
        <v>#REF!</v>
      </c>
      <c r="D18" s="73" t="e">
        <f aca="false">#REF!</f>
        <v>#REF!</v>
      </c>
      <c r="E18" s="73" t="e">
        <f aca="false">#REF!</f>
        <v>#REF!</v>
      </c>
      <c r="F18" s="73" t="e">
        <f aca="false">#REF!</f>
        <v>#REF!</v>
      </c>
    </row>
    <row r="19" customFormat="false" ht="12.8" hidden="false" customHeight="false" outlineLevel="0" collapsed="false">
      <c r="A19" s="50" t="e">
        <f aca="false">_xlfn.CONCAT($A$1, ".", #REF!)</f>
        <v>#REF!</v>
      </c>
      <c r="B19" s="64" t="e">
        <f aca="false">_xlfn.CONCAT(#REF!, ":", #REF!)</f>
        <v>#REF!</v>
      </c>
      <c r="C19" s="73" t="e">
        <f aca="false">#REF!</f>
        <v>#REF!</v>
      </c>
      <c r="D19" s="73" t="e">
        <f aca="false">#REF!</f>
        <v>#REF!</v>
      </c>
      <c r="E19" s="73" t="e">
        <f aca="false">#REF!</f>
        <v>#REF!</v>
      </c>
      <c r="F19" s="73" t="e">
        <f aca="false">#REF!</f>
        <v>#REF!</v>
      </c>
    </row>
    <row r="20" customFormat="false" ht="12.8" hidden="false" customHeight="false" outlineLevel="0" collapsed="false">
      <c r="A20" s="50" t="e">
        <f aca="false">_xlfn.CONCAT($A$1, ".", #REF!)</f>
        <v>#REF!</v>
      </c>
      <c r="B20" s="64" t="e">
        <f aca="false">_xlfn.CONCAT(#REF!, ":", #REF!)</f>
        <v>#REF!</v>
      </c>
      <c r="C20" s="73" t="e">
        <f aca="false">#REF!</f>
        <v>#REF!</v>
      </c>
      <c r="D20" s="73" t="e">
        <f aca="false">#REF!</f>
        <v>#REF!</v>
      </c>
      <c r="E20" s="73" t="e">
        <f aca="false">#REF!</f>
        <v>#REF!</v>
      </c>
      <c r="F20" s="73" t="e">
        <f aca="false">#REF!</f>
        <v>#REF!</v>
      </c>
    </row>
    <row r="21" customFormat="false" ht="12.8" hidden="false" customHeight="false" outlineLevel="0" collapsed="false">
      <c r="A21" s="50" t="e">
        <f aca="false">_xlfn.CONCAT($A$1, ".", #REF!)</f>
        <v>#REF!</v>
      </c>
      <c r="B21" s="64" t="e">
        <f aca="false">_xlfn.CONCAT(#REF!, ":", #REF!)</f>
        <v>#REF!</v>
      </c>
      <c r="C21" s="73" t="e">
        <f aca="false">#REF!</f>
        <v>#REF!</v>
      </c>
      <c r="D21" s="73" t="e">
        <f aca="false">#REF!</f>
        <v>#REF!</v>
      </c>
      <c r="E21" s="73" t="e">
        <f aca="false">#REF!</f>
        <v>#REF!</v>
      </c>
      <c r="F21" s="73" t="e">
        <f aca="false">#REF!</f>
        <v>#REF!</v>
      </c>
    </row>
    <row r="22" customFormat="false" ht="12.8" hidden="false" customHeight="false" outlineLevel="0" collapsed="false">
      <c r="A22" s="50" t="e">
        <f aca="false">_xlfn.CONCAT($A$1, ".", #REF!)</f>
        <v>#REF!</v>
      </c>
      <c r="B22" s="64" t="e">
        <f aca="false">_xlfn.CONCAT(#REF!, ":", #REF!)</f>
        <v>#REF!</v>
      </c>
      <c r="C22" s="73" t="e">
        <f aca="false">#REF!</f>
        <v>#REF!</v>
      </c>
      <c r="D22" s="73" t="e">
        <f aca="false">#REF!</f>
        <v>#REF!</v>
      </c>
      <c r="E22" s="73" t="e">
        <f aca="false">#REF!</f>
        <v>#REF!</v>
      </c>
      <c r="F22" s="73" t="e">
        <f aca="false">#REF!</f>
        <v>#REF!</v>
      </c>
    </row>
    <row r="23" customFormat="false" ht="12.8" hidden="false" customHeight="false" outlineLevel="0" collapsed="false">
      <c r="A23" s="50" t="e">
        <f aca="false">_xlfn.CONCAT($A$1, ".", #REF!)</f>
        <v>#REF!</v>
      </c>
      <c r="B23" s="64" t="e">
        <f aca="false">_xlfn.CONCAT(#REF!, ":", #REF!)</f>
        <v>#REF!</v>
      </c>
      <c r="C23" s="73" t="e">
        <f aca="false">#REF!</f>
        <v>#REF!</v>
      </c>
      <c r="D23" s="73" t="e">
        <f aca="false">#REF!</f>
        <v>#REF!</v>
      </c>
      <c r="E23" s="73" t="e">
        <f aca="false">#REF!</f>
        <v>#REF!</v>
      </c>
      <c r="F23" s="73" t="e">
        <f aca="false">#REF!</f>
        <v>#REF!</v>
      </c>
    </row>
    <row r="24" customFormat="false" ht="12.8" hidden="false" customHeight="false" outlineLevel="0" collapsed="false">
      <c r="A24" s="50" t="e">
        <f aca="false">_xlfn.CONCAT($A$1, ".", #REF!)</f>
        <v>#REF!</v>
      </c>
      <c r="B24" s="64" t="e">
        <f aca="false">_xlfn.CONCAT(#REF!, ":", #REF!)</f>
        <v>#REF!</v>
      </c>
      <c r="C24" s="73" t="e">
        <f aca="false">#REF!</f>
        <v>#REF!</v>
      </c>
      <c r="D24" s="73" t="e">
        <f aca="false">#REF!</f>
        <v>#REF!</v>
      </c>
      <c r="E24" s="73" t="e">
        <f aca="false">#REF!</f>
        <v>#REF!</v>
      </c>
      <c r="F24" s="73" t="e">
        <f aca="false">#REF!</f>
        <v>#REF!</v>
      </c>
    </row>
    <row r="25" customFormat="false" ht="12.8" hidden="false" customHeight="false" outlineLevel="0" collapsed="false">
      <c r="A25" s="50" t="e">
        <f aca="false">_xlfn.CONCAT($A$1, ".", #REF!)</f>
        <v>#REF!</v>
      </c>
      <c r="B25" s="64" t="e">
        <f aca="false">_xlfn.CONCAT(#REF!, ":", #REF!)</f>
        <v>#REF!</v>
      </c>
      <c r="C25" s="73" t="e">
        <f aca="false">#REF!</f>
        <v>#REF!</v>
      </c>
      <c r="D25" s="73" t="e">
        <f aca="false">#REF!</f>
        <v>#REF!</v>
      </c>
      <c r="E25" s="73" t="e">
        <f aca="false">#REF!</f>
        <v>#REF!</v>
      </c>
      <c r="F25" s="73" t="e">
        <f aca="false">#REF!</f>
        <v>#REF!</v>
      </c>
    </row>
    <row r="26" customFormat="false" ht="12.8" hidden="false" customHeight="false" outlineLevel="0" collapsed="false">
      <c r="A26" s="50" t="e">
        <f aca="false">_xlfn.CONCAT($A$1, ".", #REF!)</f>
        <v>#REF!</v>
      </c>
      <c r="B26" s="64" t="e">
        <f aca="false">_xlfn.CONCAT(#REF!, ":", #REF!)</f>
        <v>#REF!</v>
      </c>
      <c r="C26" s="73" t="e">
        <f aca="false">#REF!</f>
        <v>#REF!</v>
      </c>
      <c r="D26" s="73" t="e">
        <f aca="false">#REF!</f>
        <v>#REF!</v>
      </c>
      <c r="E26" s="73" t="e">
        <f aca="false">#REF!</f>
        <v>#REF!</v>
      </c>
      <c r="F26" s="73" t="e">
        <f aca="false">#REF!</f>
        <v>#REF!</v>
      </c>
    </row>
    <row r="27" customFormat="false" ht="12.8" hidden="false" customHeight="false" outlineLevel="0" collapsed="false">
      <c r="A27" s="50" t="e">
        <f aca="false">_xlfn.CONCAT($A$1, ".", #REF!)</f>
        <v>#REF!</v>
      </c>
      <c r="B27" s="64" t="e">
        <f aca="false">_xlfn.CONCAT(#REF!, ":", #REF!)</f>
        <v>#REF!</v>
      </c>
      <c r="C27" s="73" t="e">
        <f aca="false">#REF!</f>
        <v>#REF!</v>
      </c>
      <c r="D27" s="73" t="e">
        <f aca="false">#REF!</f>
        <v>#REF!</v>
      </c>
      <c r="E27" s="73" t="e">
        <f aca="false">#REF!</f>
        <v>#REF!</v>
      </c>
      <c r="F27" s="73" t="e">
        <f aca="false">#REF!</f>
        <v>#REF!</v>
      </c>
    </row>
    <row r="28" customFormat="false" ht="12.8" hidden="false" customHeight="false" outlineLevel="0" collapsed="false">
      <c r="A28" s="50" t="e">
        <f aca="false">_xlfn.CONCAT($A$1, ".", #REF!)</f>
        <v>#REF!</v>
      </c>
      <c r="B28" s="64" t="e">
        <f aca="false">_xlfn.CONCAT(#REF!, ":", #REF!)</f>
        <v>#REF!</v>
      </c>
      <c r="C28" s="73" t="e">
        <f aca="false">#REF!</f>
        <v>#REF!</v>
      </c>
      <c r="D28" s="73" t="e">
        <f aca="false">#REF!</f>
        <v>#REF!</v>
      </c>
      <c r="E28" s="73" t="e">
        <f aca="false">#REF!</f>
        <v>#REF!</v>
      </c>
      <c r="F28" s="73" t="e">
        <f aca="false">#REF!</f>
        <v>#REF!</v>
      </c>
    </row>
    <row r="29" customFormat="false" ht="12.8" hidden="false" customHeight="false" outlineLevel="0" collapsed="false">
      <c r="A29" s="50" t="e">
        <f aca="false">_xlfn.CONCAT($A$1, ".", #REF!)</f>
        <v>#REF!</v>
      </c>
      <c r="B29" s="64" t="e">
        <f aca="false">_xlfn.CONCAT(#REF!, ":", #REF!)</f>
        <v>#REF!</v>
      </c>
      <c r="C29" s="73" t="e">
        <f aca="false">#REF!</f>
        <v>#REF!</v>
      </c>
      <c r="D29" s="73" t="e">
        <f aca="false">#REF!</f>
        <v>#REF!</v>
      </c>
      <c r="E29" s="73" t="e">
        <f aca="false">#REF!</f>
        <v>#REF!</v>
      </c>
      <c r="F29" s="73" t="e">
        <f aca="false">#REF!</f>
        <v>#REF!</v>
      </c>
    </row>
    <row r="30" customFormat="false" ht="12.8" hidden="false" customHeight="false" outlineLevel="0" collapsed="false">
      <c r="A30" s="50" t="e">
        <f aca="false">_xlfn.CONCAT($A$1, ".", #REF!)</f>
        <v>#REF!</v>
      </c>
      <c r="B30" s="64" t="e">
        <f aca="false">_xlfn.CONCAT(#REF!, ":", #REF!)</f>
        <v>#REF!</v>
      </c>
      <c r="C30" s="73" t="e">
        <f aca="false">#REF!</f>
        <v>#REF!</v>
      </c>
      <c r="D30" s="73" t="e">
        <f aca="false">#REF!</f>
        <v>#REF!</v>
      </c>
      <c r="E30" s="73" t="e">
        <f aca="false">#REF!</f>
        <v>#REF!</v>
      </c>
      <c r="F30" s="73" t="e">
        <f aca="false">#REF!</f>
        <v>#REF!</v>
      </c>
    </row>
    <row r="31" customFormat="false" ht="12.8" hidden="false" customHeight="false" outlineLevel="0" collapsed="false">
      <c r="A31" s="50" t="e">
        <f aca="false">_xlfn.CONCAT($A$1, ".", #REF!)</f>
        <v>#REF!</v>
      </c>
      <c r="B31" s="64" t="e">
        <f aca="false">_xlfn.CONCAT(#REF!, ":", #REF!)</f>
        <v>#REF!</v>
      </c>
      <c r="C31" s="73" t="e">
        <f aca="false">#REF!</f>
        <v>#REF!</v>
      </c>
      <c r="D31" s="73" t="e">
        <f aca="false">#REF!</f>
        <v>#REF!</v>
      </c>
      <c r="E31" s="73" t="e">
        <f aca="false">#REF!</f>
        <v>#REF!</v>
      </c>
      <c r="F31" s="73" t="e">
        <f aca="false">#REF!</f>
        <v>#REF!</v>
      </c>
    </row>
    <row r="32" customFormat="false" ht="12.8" hidden="false" customHeight="false" outlineLevel="0" collapsed="false">
      <c r="A32" s="50" t="e">
        <f aca="false">_xlfn.CONCAT($A$1, ".", #REF!)</f>
        <v>#REF!</v>
      </c>
      <c r="B32" s="64" t="e">
        <f aca="false">_xlfn.CONCAT(#REF!, ":", #REF!)</f>
        <v>#REF!</v>
      </c>
      <c r="C32" s="73" t="e">
        <f aca="false">#REF!</f>
        <v>#REF!</v>
      </c>
      <c r="D32" s="73" t="e">
        <f aca="false">#REF!</f>
        <v>#REF!</v>
      </c>
      <c r="E32" s="73" t="e">
        <f aca="false">#REF!</f>
        <v>#REF!</v>
      </c>
      <c r="F32" s="73" t="e">
        <f aca="false">#REF!</f>
        <v>#REF!</v>
      </c>
    </row>
    <row r="33" customFormat="false" ht="12.8" hidden="false" customHeight="false" outlineLevel="0" collapsed="false">
      <c r="A33" s="50" t="e">
        <f aca="false">_xlfn.CONCAT($A$1, ".", #REF!)</f>
        <v>#REF!</v>
      </c>
      <c r="B33" s="64" t="e">
        <f aca="false">_xlfn.CONCAT(#REF!, ":", #REF!)</f>
        <v>#REF!</v>
      </c>
      <c r="C33" s="73" t="e">
        <f aca="false">#REF!</f>
        <v>#REF!</v>
      </c>
      <c r="D33" s="73" t="e">
        <f aca="false">#REF!</f>
        <v>#REF!</v>
      </c>
      <c r="E33" s="73" t="e">
        <f aca="false">#REF!</f>
        <v>#REF!</v>
      </c>
      <c r="F33" s="73" t="e">
        <f aca="false">#REF!</f>
        <v>#REF!</v>
      </c>
    </row>
    <row r="34" customFormat="false" ht="12.8" hidden="false" customHeight="false" outlineLevel="0" collapsed="false">
      <c r="A34" s="50" t="e">
        <f aca="false">_xlfn.CONCAT($A$1, ".", #REF!)</f>
        <v>#REF!</v>
      </c>
      <c r="B34" s="64" t="e">
        <f aca="false">_xlfn.CONCAT(#REF!, ":", #REF!)</f>
        <v>#REF!</v>
      </c>
      <c r="C34" s="73" t="e">
        <f aca="false">#REF!</f>
        <v>#REF!</v>
      </c>
      <c r="D34" s="73" t="e">
        <f aca="false">#REF!</f>
        <v>#REF!</v>
      </c>
      <c r="E34" s="73" t="e">
        <f aca="false">#REF!</f>
        <v>#REF!</v>
      </c>
      <c r="F34" s="73" t="e">
        <f aca="false">#REF!</f>
        <v>#REF!</v>
      </c>
    </row>
    <row r="35" customFormat="false" ht="12.8" hidden="false" customHeight="false" outlineLevel="0" collapsed="false">
      <c r="A35" s="50" t="e">
        <f aca="false">_xlfn.CONCAT($A$1, ".", #REF!)</f>
        <v>#REF!</v>
      </c>
      <c r="B35" s="64" t="e">
        <f aca="false">_xlfn.CONCAT(#REF!, ":", #REF!)</f>
        <v>#REF!</v>
      </c>
      <c r="C35" s="73" t="e">
        <f aca="false">#REF!</f>
        <v>#REF!</v>
      </c>
      <c r="D35" s="73" t="e">
        <f aca="false">#REF!</f>
        <v>#REF!</v>
      </c>
      <c r="E35" s="73" t="e">
        <f aca="false">#REF!</f>
        <v>#REF!</v>
      </c>
      <c r="F35" s="73" t="e">
        <f aca="false">#REF!</f>
        <v>#REF!</v>
      </c>
    </row>
    <row r="36" customFormat="false" ht="12.8" hidden="false" customHeight="false" outlineLevel="0" collapsed="false">
      <c r="A36" s="50" t="e">
        <f aca="false">_xlfn.CONCAT($A$1, ".", #REF!)</f>
        <v>#REF!</v>
      </c>
      <c r="B36" s="64" t="e">
        <f aca="false">_xlfn.CONCAT(#REF!, ":", #REF!)</f>
        <v>#REF!</v>
      </c>
      <c r="C36" s="73" t="e">
        <f aca="false">#REF!</f>
        <v>#REF!</v>
      </c>
      <c r="D36" s="73" t="e">
        <f aca="false">#REF!</f>
        <v>#REF!</v>
      </c>
      <c r="E36" s="73" t="e">
        <f aca="false">#REF!</f>
        <v>#REF!</v>
      </c>
      <c r="F36" s="73" t="e">
        <f aca="false">#REF!</f>
        <v>#REF!</v>
      </c>
    </row>
    <row r="37" customFormat="false" ht="12.8" hidden="false" customHeight="false" outlineLevel="0" collapsed="false">
      <c r="A37" s="50" t="e">
        <f aca="false">_xlfn.CONCAT($A$1, ".", #REF!)</f>
        <v>#REF!</v>
      </c>
      <c r="B37" s="64" t="e">
        <f aca="false">_xlfn.CONCAT(#REF!, ":", #REF!)</f>
        <v>#REF!</v>
      </c>
      <c r="C37" s="73" t="e">
        <f aca="false">#REF!</f>
        <v>#REF!</v>
      </c>
      <c r="D37" s="73" t="e">
        <f aca="false">#REF!</f>
        <v>#REF!</v>
      </c>
      <c r="E37" s="73" t="e">
        <f aca="false">#REF!</f>
        <v>#REF!</v>
      </c>
      <c r="F37" s="73" t="e">
        <f aca="false">#REF!</f>
        <v>#REF!</v>
      </c>
    </row>
    <row r="38" customFormat="false" ht="12.8" hidden="false" customHeight="false" outlineLevel="0" collapsed="false">
      <c r="A38" s="50" t="e">
        <f aca="false">_xlfn.CONCAT($A$1, ".", #REF!)</f>
        <v>#REF!</v>
      </c>
      <c r="B38" s="64" t="e">
        <f aca="false">_xlfn.CONCAT(#REF!, ":", #REF!)</f>
        <v>#REF!</v>
      </c>
      <c r="C38" s="73" t="e">
        <f aca="false">#REF!</f>
        <v>#REF!</v>
      </c>
      <c r="D38" s="73" t="e">
        <f aca="false">#REF!</f>
        <v>#REF!</v>
      </c>
      <c r="E38" s="73" t="e">
        <f aca="false">#REF!</f>
        <v>#REF!</v>
      </c>
      <c r="F38" s="73" t="e">
        <f aca="false">#REF!</f>
        <v>#REF!</v>
      </c>
    </row>
    <row r="39" customFormat="false" ht="12.8" hidden="false" customHeight="false" outlineLevel="0" collapsed="false">
      <c r="A39" s="50" t="e">
        <f aca="false">_xlfn.CONCAT($A$1, ".", #REF!)</f>
        <v>#REF!</v>
      </c>
      <c r="B39" s="64" t="e">
        <f aca="false">_xlfn.CONCAT(#REF!, ":", #REF!)</f>
        <v>#REF!</v>
      </c>
      <c r="C39" s="73" t="e">
        <f aca="false">#REF!</f>
        <v>#REF!</v>
      </c>
      <c r="D39" s="73" t="e">
        <f aca="false">#REF!</f>
        <v>#REF!</v>
      </c>
      <c r="E39" s="73" t="e">
        <f aca="false">#REF!</f>
        <v>#REF!</v>
      </c>
      <c r="F39" s="73" t="e">
        <f aca="false">#REF!</f>
        <v>#REF!</v>
      </c>
    </row>
    <row r="40" customFormat="false" ht="12.8" hidden="false" customHeight="false" outlineLevel="0" collapsed="false">
      <c r="A40" s="50" t="e">
        <f aca="false">_xlfn.CONCAT($A$1, ".", #REF!)</f>
        <v>#REF!</v>
      </c>
      <c r="B40" s="64" t="e">
        <f aca="false">_xlfn.CONCAT(#REF!, ":", #REF!)</f>
        <v>#REF!</v>
      </c>
      <c r="C40" s="73" t="e">
        <f aca="false">#REF!</f>
        <v>#REF!</v>
      </c>
      <c r="D40" s="73" t="e">
        <f aca="false">#REF!</f>
        <v>#REF!</v>
      </c>
      <c r="E40" s="73" t="e">
        <f aca="false">#REF!</f>
        <v>#REF!</v>
      </c>
      <c r="F40" s="73" t="e">
        <f aca="false">#REF!</f>
        <v>#REF!</v>
      </c>
    </row>
    <row r="41" customFormat="false" ht="12.8" hidden="false" customHeight="false" outlineLevel="0" collapsed="false">
      <c r="A41" s="50" t="e">
        <f aca="false">_xlfn.CONCAT($A$1, ".", #REF!)</f>
        <v>#REF!</v>
      </c>
      <c r="B41" s="64" t="e">
        <f aca="false">_xlfn.CONCAT(#REF!, ":", #REF!)</f>
        <v>#REF!</v>
      </c>
      <c r="C41" s="73" t="e">
        <f aca="false">#REF!</f>
        <v>#REF!</v>
      </c>
      <c r="D41" s="73" t="e">
        <f aca="false">#REF!</f>
        <v>#REF!</v>
      </c>
      <c r="E41" s="73" t="e">
        <f aca="false">#REF!</f>
        <v>#REF!</v>
      </c>
      <c r="F41" s="73" t="e">
        <f aca="false">#REF!</f>
        <v>#REF!</v>
      </c>
    </row>
    <row r="42" customFormat="false" ht="12.8" hidden="false" customHeight="false" outlineLevel="0" collapsed="false">
      <c r="A42" s="50" t="e">
        <f aca="false">_xlfn.CONCAT($A$1, ".", #REF!)</f>
        <v>#REF!</v>
      </c>
      <c r="B42" s="64" t="e">
        <f aca="false">_xlfn.CONCAT(#REF!, ":", #REF!)</f>
        <v>#REF!</v>
      </c>
      <c r="C42" s="73" t="e">
        <f aca="false">#REF!</f>
        <v>#REF!</v>
      </c>
      <c r="D42" s="73" t="e">
        <f aca="false">#REF!</f>
        <v>#REF!</v>
      </c>
      <c r="E42" s="73" t="e">
        <f aca="false">#REF!</f>
        <v>#REF!</v>
      </c>
      <c r="F42" s="73" t="e">
        <f aca="false">#REF!</f>
        <v>#REF!</v>
      </c>
    </row>
    <row r="43" customFormat="false" ht="12.8" hidden="false" customHeight="false" outlineLevel="0" collapsed="false">
      <c r="A43" s="50" t="e">
        <f aca="false">_xlfn.CONCAT($A$1, ".", #REF!)</f>
        <v>#REF!</v>
      </c>
      <c r="B43" s="64" t="e">
        <f aca="false">_xlfn.CONCAT(#REF!, ":", #REF!)</f>
        <v>#REF!</v>
      </c>
      <c r="C43" s="73" t="e">
        <f aca="false">#REF!</f>
        <v>#REF!</v>
      </c>
      <c r="D43" s="73" t="e">
        <f aca="false">#REF!</f>
        <v>#REF!</v>
      </c>
      <c r="E43" s="73" t="e">
        <f aca="false">#REF!</f>
        <v>#REF!</v>
      </c>
      <c r="F43" s="73" t="e">
        <f aca="false">#REF!</f>
        <v>#REF!</v>
      </c>
    </row>
    <row r="44" customFormat="false" ht="12.8" hidden="false" customHeight="false" outlineLevel="0" collapsed="false">
      <c r="A44" s="50" t="e">
        <f aca="false">_xlfn.CONCAT($A$1, ".", #REF!)</f>
        <v>#REF!</v>
      </c>
      <c r="B44" s="64" t="e">
        <f aca="false">_xlfn.CONCAT(#REF!, ":", #REF!)</f>
        <v>#REF!</v>
      </c>
      <c r="C44" s="73" t="e">
        <f aca="false">#REF!</f>
        <v>#REF!</v>
      </c>
      <c r="D44" s="73" t="e">
        <f aca="false">#REF!</f>
        <v>#REF!</v>
      </c>
      <c r="E44" s="73" t="e">
        <f aca="false">#REF!</f>
        <v>#REF!</v>
      </c>
      <c r="F44" s="73" t="e">
        <f aca="false">#REF!</f>
        <v>#REF!</v>
      </c>
    </row>
    <row r="45" customFormat="false" ht="12.8" hidden="false" customHeight="false" outlineLevel="0" collapsed="false">
      <c r="A45" s="50" t="e">
        <f aca="false">_xlfn.CONCAT($A$1, ".", #REF!)</f>
        <v>#REF!</v>
      </c>
      <c r="B45" s="64" t="e">
        <f aca="false">_xlfn.CONCAT(#REF!, ":", #REF!)</f>
        <v>#REF!</v>
      </c>
      <c r="C45" s="73" t="e">
        <f aca="false">#REF!</f>
        <v>#REF!</v>
      </c>
      <c r="D45" s="73" t="e">
        <f aca="false">#REF!</f>
        <v>#REF!</v>
      </c>
      <c r="E45" s="73" t="e">
        <f aca="false">#REF!</f>
        <v>#REF!</v>
      </c>
      <c r="F45" s="73" t="e">
        <f aca="false">#REF!</f>
        <v>#REF!</v>
      </c>
    </row>
    <row r="46" customFormat="false" ht="12.8" hidden="false" customHeight="false" outlineLevel="0" collapsed="false">
      <c r="A46" s="50" t="e">
        <f aca="false">_xlfn.CONCAT($A$1, ".", #REF!)</f>
        <v>#REF!</v>
      </c>
      <c r="B46" s="64" t="e">
        <f aca="false">_xlfn.CONCAT(#REF!, ":", #REF!)</f>
        <v>#REF!</v>
      </c>
      <c r="C46" s="73" t="e">
        <f aca="false">#REF!</f>
        <v>#REF!</v>
      </c>
      <c r="D46" s="73" t="e">
        <f aca="false">#REF!</f>
        <v>#REF!</v>
      </c>
      <c r="E46" s="73" t="e">
        <f aca="false">#REF!</f>
        <v>#REF!</v>
      </c>
      <c r="F46" s="73" t="e">
        <f aca="false">#REF!</f>
        <v>#REF!</v>
      </c>
    </row>
    <row r="47" customFormat="false" ht="12.8" hidden="false" customHeight="false" outlineLevel="0" collapsed="false">
      <c r="A47" s="50" t="e">
        <f aca="false">_xlfn.CONCAT($A$1, ".", #REF!)</f>
        <v>#REF!</v>
      </c>
      <c r="B47" s="64" t="e">
        <f aca="false">_xlfn.CONCAT(#REF!, ":", #REF!)</f>
        <v>#REF!</v>
      </c>
      <c r="C47" s="73" t="e">
        <f aca="false">#REF!</f>
        <v>#REF!</v>
      </c>
      <c r="D47" s="73" t="e">
        <f aca="false">#REF!</f>
        <v>#REF!</v>
      </c>
      <c r="E47" s="73" t="e">
        <f aca="false">#REF!</f>
        <v>#REF!</v>
      </c>
      <c r="F47" s="73" t="e">
        <f aca="false">#REF!</f>
        <v>#REF!</v>
      </c>
    </row>
    <row r="48" customFormat="false" ht="12.8" hidden="false" customHeight="false" outlineLevel="0" collapsed="false">
      <c r="A48" s="50" t="e">
        <f aca="false">_xlfn.CONCAT($A$1, ".", #REF!)</f>
        <v>#REF!</v>
      </c>
      <c r="B48" s="64" t="e">
        <f aca="false">_xlfn.CONCAT(#REF!, ":", #REF!)</f>
        <v>#REF!</v>
      </c>
      <c r="C48" s="73" t="e">
        <f aca="false">#REF!</f>
        <v>#REF!</v>
      </c>
      <c r="D48" s="73" t="e">
        <f aca="false">#REF!</f>
        <v>#REF!</v>
      </c>
      <c r="E48" s="73" t="e">
        <f aca="false">#REF!</f>
        <v>#REF!</v>
      </c>
      <c r="F48" s="73" t="e">
        <f aca="false">#REF!</f>
        <v>#REF!</v>
      </c>
    </row>
    <row r="49" customFormat="false" ht="12.8" hidden="false" customHeight="false" outlineLevel="0" collapsed="false">
      <c r="A49" s="50" t="e">
        <f aca="false">_xlfn.CONCAT($A$1, ".", #REF!)</f>
        <v>#REF!</v>
      </c>
      <c r="B49" s="64" t="e">
        <f aca="false">_xlfn.CONCAT(#REF!, ":", #REF!)</f>
        <v>#REF!</v>
      </c>
      <c r="C49" s="73" t="e">
        <f aca="false">#REF!</f>
        <v>#REF!</v>
      </c>
      <c r="D49" s="73" t="e">
        <f aca="false">#REF!</f>
        <v>#REF!</v>
      </c>
      <c r="E49" s="73" t="e">
        <f aca="false">#REF!</f>
        <v>#REF!</v>
      </c>
      <c r="F49" s="73" t="e">
        <f aca="false">#REF!</f>
        <v>#REF!</v>
      </c>
    </row>
    <row r="50" customFormat="false" ht="12.8" hidden="false" customHeight="false" outlineLevel="0" collapsed="false">
      <c r="A50" s="50" t="e">
        <f aca="false">_xlfn.CONCAT($A$1, ".", #REF!)</f>
        <v>#REF!</v>
      </c>
      <c r="B50" s="64" t="e">
        <f aca="false">_xlfn.CONCAT(#REF!, ":", #REF!)</f>
        <v>#REF!</v>
      </c>
      <c r="C50" s="73" t="e">
        <f aca="false">#REF!</f>
        <v>#REF!</v>
      </c>
      <c r="D50" s="73" t="e">
        <f aca="false">#REF!</f>
        <v>#REF!</v>
      </c>
      <c r="E50" s="73" t="e">
        <f aca="false">#REF!</f>
        <v>#REF!</v>
      </c>
      <c r="F50" s="73" t="e">
        <f aca="false">#REF!</f>
        <v>#REF!</v>
      </c>
    </row>
    <row r="51" customFormat="false" ht="12.8" hidden="false" customHeight="false" outlineLevel="0" collapsed="false">
      <c r="A51" s="50" t="e">
        <f aca="false">_xlfn.CONCAT($A$1, ".", #REF!)</f>
        <v>#REF!</v>
      </c>
      <c r="B51" s="64" t="e">
        <f aca="false">_xlfn.CONCAT(#REF!, ":", #REF!)</f>
        <v>#REF!</v>
      </c>
      <c r="C51" s="73" t="e">
        <f aca="false">#REF!</f>
        <v>#REF!</v>
      </c>
      <c r="D51" s="73" t="e">
        <f aca="false">#REF!</f>
        <v>#REF!</v>
      </c>
      <c r="E51" s="73" t="e">
        <f aca="false">#REF!</f>
        <v>#REF!</v>
      </c>
      <c r="F51" s="73" t="e">
        <f aca="false">#REF!</f>
        <v>#REF!</v>
      </c>
    </row>
    <row r="52" customFormat="false" ht="12.8" hidden="false" customHeight="false" outlineLevel="0" collapsed="false">
      <c r="A52" s="50" t="e">
        <f aca="false">_xlfn.CONCAT($A$1, ".", #REF!)</f>
        <v>#REF!</v>
      </c>
      <c r="B52" s="64" t="e">
        <f aca="false">_xlfn.CONCAT(#REF!, ":", #REF!)</f>
        <v>#REF!</v>
      </c>
      <c r="C52" s="73" t="e">
        <f aca="false">#REF!</f>
        <v>#REF!</v>
      </c>
      <c r="D52" s="73" t="e">
        <f aca="false">#REF!</f>
        <v>#REF!</v>
      </c>
      <c r="E52" s="73" t="e">
        <f aca="false">#REF!</f>
        <v>#REF!</v>
      </c>
      <c r="F52" s="73" t="e">
        <f aca="false">#REF!</f>
        <v>#REF!</v>
      </c>
    </row>
    <row r="53" customFormat="false" ht="12.8" hidden="false" customHeight="false" outlineLevel="0" collapsed="false">
      <c r="A53" s="50" t="e">
        <f aca="false">_xlfn.CONCAT($A$1, ".", #REF!)</f>
        <v>#REF!</v>
      </c>
      <c r="B53" s="64" t="e">
        <f aca="false">_xlfn.CONCAT(#REF!, ":", #REF!)</f>
        <v>#REF!</v>
      </c>
      <c r="C53" s="73" t="e">
        <f aca="false">#REF!</f>
        <v>#REF!</v>
      </c>
      <c r="D53" s="73" t="e">
        <f aca="false">#REF!</f>
        <v>#REF!</v>
      </c>
      <c r="E53" s="73" t="e">
        <f aca="false">#REF!</f>
        <v>#REF!</v>
      </c>
      <c r="F53" s="73" t="e">
        <f aca="false">#REF!</f>
        <v>#REF!</v>
      </c>
    </row>
    <row r="54" customFormat="false" ht="12.8" hidden="false" customHeight="false" outlineLevel="0" collapsed="false">
      <c r="A54" s="50" t="e">
        <f aca="false">_xlfn.CONCAT($A$1, ".", #REF!)</f>
        <v>#REF!</v>
      </c>
      <c r="B54" s="64" t="e">
        <f aca="false">_xlfn.CONCAT(#REF!, ":", #REF!)</f>
        <v>#REF!</v>
      </c>
      <c r="C54" s="73" t="e">
        <f aca="false">#REF!</f>
        <v>#REF!</v>
      </c>
      <c r="D54" s="73" t="e">
        <f aca="false">#REF!</f>
        <v>#REF!</v>
      </c>
      <c r="E54" s="73" t="e">
        <f aca="false">#REF!</f>
        <v>#REF!</v>
      </c>
      <c r="F54" s="73" t="e">
        <f aca="false">#REF!</f>
        <v>#REF!</v>
      </c>
    </row>
    <row r="55" customFormat="false" ht="12.8" hidden="false" customHeight="false" outlineLevel="0" collapsed="false">
      <c r="A55" s="50" t="e">
        <f aca="false">_xlfn.CONCAT($A$1, ".", #REF!)</f>
        <v>#REF!</v>
      </c>
      <c r="B55" s="64" t="e">
        <f aca="false">_xlfn.CONCAT(#REF!, ":", #REF!)</f>
        <v>#REF!</v>
      </c>
      <c r="C55" s="73" t="e">
        <f aca="false">#REF!</f>
        <v>#REF!</v>
      </c>
      <c r="D55" s="73" t="e">
        <f aca="false">#REF!</f>
        <v>#REF!</v>
      </c>
      <c r="E55" s="73" t="e">
        <f aca="false">#REF!</f>
        <v>#REF!</v>
      </c>
      <c r="F55" s="73"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P249"/>
  <sheetViews>
    <sheetView showFormulas="false" showGridLines="true" showRowColHeaders="true" showZeros="true" rightToLeft="false" tabSelected="false" showOutlineSymbols="true" defaultGridColor="true" view="normal" topLeftCell="E188" colorId="64" zoomScale="75" zoomScaleNormal="75" zoomScalePageLayoutView="100" workbookViewId="0">
      <selection pane="topLeft" activeCell="J224" activeCellId="0" sqref="J224"/>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5"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2833</v>
      </c>
      <c r="B1" s="76" t="s">
        <v>2834</v>
      </c>
      <c r="C1" s="6" t="s">
        <v>2</v>
      </c>
      <c r="D1" s="39" t="s">
        <v>2835</v>
      </c>
      <c r="AZ1" s="39"/>
      <c r="BP1" s="39"/>
    </row>
    <row r="2" customFormat="false" ht="45.9" hidden="false" customHeight="false" outlineLevel="0" collapsed="false">
      <c r="A2" s="77" t="s">
        <v>2813</v>
      </c>
      <c r="B2" s="78" t="s">
        <v>2814</v>
      </c>
      <c r="C2" s="65" t="str">
        <f aca="false">CALC!BT3</f>
        <v>Employed Population</v>
      </c>
      <c r="D2" s="65" t="str">
        <f aca="false">CALC!BU3</f>
        <v>Authorized Immigrant Employed Population</v>
      </c>
      <c r="E2" s="65" t="str">
        <f aca="false">CALC!BV3</f>
        <v>Unauthorized Immigrant Employed Population</v>
      </c>
      <c r="F2" s="65" t="str">
        <f aca="false">CALC!BW3</f>
        <v>American Employed Population</v>
      </c>
    </row>
    <row r="3" customFormat="false" ht="12.8" hidden="false" customHeight="false" outlineLevel="0" collapsed="false">
      <c r="A3" s="50" t="e">
        <f aca="false">_xlfn.CONCAT($A$1, ".", #REF!)</f>
        <v>#REF!</v>
      </c>
      <c r="B3" s="64" t="e">
        <f aca="false">_xlfn.CONCAT(#REF!, ":", #REF!)</f>
        <v>#REF!</v>
      </c>
      <c r="C3" s="65" t="e">
        <f aca="false">#REF!</f>
        <v>#REF!</v>
      </c>
      <c r="D3" s="65" t="e">
        <f aca="false">#REF!</f>
        <v>#REF!</v>
      </c>
      <c r="E3" s="65" t="e">
        <f aca="false">#REF!</f>
        <v>#REF!</v>
      </c>
      <c r="F3" s="65" t="e">
        <f aca="false">#REF!</f>
        <v>#REF!</v>
      </c>
    </row>
    <row r="4" customFormat="false" ht="12.8" hidden="false" customHeight="false" outlineLevel="0" collapsed="false">
      <c r="A4" s="50" t="e">
        <f aca="false">_xlfn.CONCAT($A$1, ".", #REF!)</f>
        <v>#REF!</v>
      </c>
      <c r="B4" s="64" t="e">
        <f aca="false">_xlfn.CONCAT(#REF!, ":", #REF!)</f>
        <v>#REF!</v>
      </c>
      <c r="C4" s="65" t="e">
        <f aca="false">#REF!</f>
        <v>#REF!</v>
      </c>
      <c r="D4" s="65" t="e">
        <f aca="false">#REF!</f>
        <v>#REF!</v>
      </c>
      <c r="E4" s="65" t="e">
        <f aca="false">#REF!</f>
        <v>#REF!</v>
      </c>
      <c r="F4" s="65" t="e">
        <f aca="false">#REF!</f>
        <v>#REF!</v>
      </c>
    </row>
    <row r="5" customFormat="false" ht="12.8" hidden="false" customHeight="false" outlineLevel="0" collapsed="false">
      <c r="A5" s="50" t="e">
        <f aca="false">_xlfn.CONCAT($A$1, ".", #REF!)</f>
        <v>#REF!</v>
      </c>
      <c r="B5" s="64" t="e">
        <f aca="false">_xlfn.CONCAT(#REF!, ":", #REF!)</f>
        <v>#REF!</v>
      </c>
      <c r="C5" s="65" t="e">
        <f aca="false">#REF!</f>
        <v>#REF!</v>
      </c>
      <c r="D5" s="65" t="e">
        <f aca="false">#REF!</f>
        <v>#REF!</v>
      </c>
      <c r="E5" s="65" t="e">
        <f aca="false">#REF!</f>
        <v>#REF!</v>
      </c>
      <c r="F5" s="65" t="e">
        <f aca="false">#REF!</f>
        <v>#REF!</v>
      </c>
    </row>
    <row r="6" customFormat="false" ht="12.8" hidden="false" customHeight="false" outlineLevel="0" collapsed="false">
      <c r="A6" s="50" t="e">
        <f aca="false">_xlfn.CONCAT($A$1, ".", #REF!)</f>
        <v>#REF!</v>
      </c>
      <c r="B6" s="64" t="e">
        <f aca="false">_xlfn.CONCAT(#REF!, ":", #REF!)</f>
        <v>#REF!</v>
      </c>
      <c r="C6" s="65" t="e">
        <f aca="false">#REF!</f>
        <v>#REF!</v>
      </c>
      <c r="D6" s="65" t="e">
        <f aca="false">#REF!</f>
        <v>#REF!</v>
      </c>
      <c r="E6" s="65" t="e">
        <f aca="false">#REF!</f>
        <v>#REF!</v>
      </c>
      <c r="F6" s="65" t="e">
        <f aca="false">#REF!</f>
        <v>#REF!</v>
      </c>
    </row>
    <row r="7" customFormat="false" ht="12.8" hidden="false" customHeight="false" outlineLevel="0" collapsed="false">
      <c r="A7" s="50" t="e">
        <f aca="false">_xlfn.CONCAT($A$1, ".", #REF!)</f>
        <v>#REF!</v>
      </c>
      <c r="B7" s="64" t="e">
        <f aca="false">_xlfn.CONCAT(#REF!, ":", #REF!)</f>
        <v>#REF!</v>
      </c>
      <c r="C7" s="65" t="e">
        <f aca="false">#REF!</f>
        <v>#REF!</v>
      </c>
      <c r="D7" s="65" t="e">
        <f aca="false">#REF!</f>
        <v>#REF!</v>
      </c>
      <c r="E7" s="65" t="e">
        <f aca="false">#REF!</f>
        <v>#REF!</v>
      </c>
      <c r="F7" s="65" t="e">
        <f aca="false">#REF!</f>
        <v>#REF!</v>
      </c>
    </row>
    <row r="8" customFormat="false" ht="12.8" hidden="false" customHeight="false" outlineLevel="0" collapsed="false">
      <c r="A8" s="50" t="e">
        <f aca="false">_xlfn.CONCAT($A$1, ".", #REF!)</f>
        <v>#REF!</v>
      </c>
      <c r="B8" s="64" t="e">
        <f aca="false">_xlfn.CONCAT(#REF!, ":", #REF!)</f>
        <v>#REF!</v>
      </c>
      <c r="C8" s="65" t="e">
        <f aca="false">#REF!</f>
        <v>#REF!</v>
      </c>
      <c r="D8" s="65" t="e">
        <f aca="false">#REF!</f>
        <v>#REF!</v>
      </c>
      <c r="E8" s="65" t="e">
        <f aca="false">#REF!</f>
        <v>#REF!</v>
      </c>
      <c r="F8" s="65" t="e">
        <f aca="false">#REF!</f>
        <v>#REF!</v>
      </c>
    </row>
    <row r="9" customFormat="false" ht="12.8" hidden="false" customHeight="false" outlineLevel="0" collapsed="false">
      <c r="A9" s="50" t="e">
        <f aca="false">_xlfn.CONCAT($A$1, ".", #REF!)</f>
        <v>#REF!</v>
      </c>
      <c r="B9" s="64" t="e">
        <f aca="false">_xlfn.CONCAT(#REF!, ":", #REF!)</f>
        <v>#REF!</v>
      </c>
      <c r="C9" s="65" t="e">
        <f aca="false">#REF!</f>
        <v>#REF!</v>
      </c>
      <c r="D9" s="65" t="e">
        <f aca="false">#REF!</f>
        <v>#REF!</v>
      </c>
      <c r="E9" s="65" t="e">
        <f aca="false">#REF!</f>
        <v>#REF!</v>
      </c>
      <c r="F9" s="65" t="e">
        <f aca="false">#REF!</f>
        <v>#REF!</v>
      </c>
    </row>
    <row r="10" customFormat="false" ht="12.8" hidden="false" customHeight="false" outlineLevel="0" collapsed="false">
      <c r="A10" s="50" t="e">
        <f aca="false">_xlfn.CONCAT($A$1, ".", #REF!)</f>
        <v>#REF!</v>
      </c>
      <c r="B10" s="64" t="e">
        <f aca="false">_xlfn.CONCAT(#REF!, ":", #REF!)</f>
        <v>#REF!</v>
      </c>
      <c r="C10" s="65" t="e">
        <f aca="false">#REF!</f>
        <v>#REF!</v>
      </c>
      <c r="D10" s="65" t="e">
        <f aca="false">#REF!</f>
        <v>#REF!</v>
      </c>
      <c r="E10" s="65" t="e">
        <f aca="false">#REF!</f>
        <v>#REF!</v>
      </c>
      <c r="F10" s="65" t="e">
        <f aca="false">#REF!</f>
        <v>#REF!</v>
      </c>
    </row>
    <row r="11" customFormat="false" ht="12.8" hidden="false" customHeight="false" outlineLevel="0" collapsed="false">
      <c r="A11" s="50" t="e">
        <f aca="false">_xlfn.CONCAT($A$1, ".", #REF!)</f>
        <v>#REF!</v>
      </c>
      <c r="B11" s="64" t="e">
        <f aca="false">_xlfn.CONCAT(#REF!, ":", #REF!)</f>
        <v>#REF!</v>
      </c>
      <c r="C11" s="65" t="e">
        <f aca="false">#REF!</f>
        <v>#REF!</v>
      </c>
      <c r="D11" s="65" t="e">
        <f aca="false">#REF!</f>
        <v>#REF!</v>
      </c>
      <c r="E11" s="65" t="e">
        <f aca="false">#REF!</f>
        <v>#REF!</v>
      </c>
      <c r="F11" s="65" t="e">
        <f aca="false">#REF!</f>
        <v>#REF!</v>
      </c>
    </row>
    <row r="12" customFormat="false" ht="12.8" hidden="false" customHeight="false" outlineLevel="0" collapsed="false">
      <c r="A12" s="50" t="e">
        <f aca="false">_xlfn.CONCAT($A$1, ".", #REF!)</f>
        <v>#REF!</v>
      </c>
      <c r="B12" s="64" t="e">
        <f aca="false">_xlfn.CONCAT(#REF!, ":", #REF!)</f>
        <v>#REF!</v>
      </c>
      <c r="C12" s="65" t="e">
        <f aca="false">#REF!</f>
        <v>#REF!</v>
      </c>
      <c r="D12" s="65" t="e">
        <f aca="false">#REF!</f>
        <v>#REF!</v>
      </c>
      <c r="E12" s="65" t="e">
        <f aca="false">#REF!</f>
        <v>#REF!</v>
      </c>
      <c r="F12" s="65" t="e">
        <f aca="false">#REF!</f>
        <v>#REF!</v>
      </c>
    </row>
    <row r="13" customFormat="false" ht="12.8" hidden="false" customHeight="false" outlineLevel="0" collapsed="false">
      <c r="A13" s="50" t="e">
        <f aca="false">_xlfn.CONCAT($A$1, ".", #REF!)</f>
        <v>#REF!</v>
      </c>
      <c r="B13" s="64" t="e">
        <f aca="false">_xlfn.CONCAT(#REF!, ":", #REF!)</f>
        <v>#REF!</v>
      </c>
      <c r="C13" s="65" t="e">
        <f aca="false">#REF!</f>
        <v>#REF!</v>
      </c>
      <c r="D13" s="65" t="e">
        <f aca="false">#REF!</f>
        <v>#REF!</v>
      </c>
      <c r="E13" s="65" t="e">
        <f aca="false">#REF!</f>
        <v>#REF!</v>
      </c>
      <c r="F13" s="65" t="e">
        <f aca="false">#REF!</f>
        <v>#REF!</v>
      </c>
    </row>
    <row r="14" customFormat="false" ht="12.8" hidden="false" customHeight="false" outlineLevel="0" collapsed="false">
      <c r="A14" s="50" t="e">
        <f aca="false">_xlfn.CONCAT($A$1, ".", #REF!)</f>
        <v>#REF!</v>
      </c>
      <c r="B14" s="64" t="e">
        <f aca="false">_xlfn.CONCAT(#REF!, ":", #REF!)</f>
        <v>#REF!</v>
      </c>
      <c r="C14" s="65" t="e">
        <f aca="false">#REF!</f>
        <v>#REF!</v>
      </c>
      <c r="D14" s="65" t="e">
        <f aca="false">#REF!</f>
        <v>#REF!</v>
      </c>
      <c r="E14" s="65" t="e">
        <f aca="false">#REF!</f>
        <v>#REF!</v>
      </c>
      <c r="F14" s="65" t="e">
        <f aca="false">#REF!</f>
        <v>#REF!</v>
      </c>
    </row>
    <row r="15" customFormat="false" ht="12.8" hidden="false" customHeight="false" outlineLevel="0" collapsed="false">
      <c r="A15" s="50" t="e">
        <f aca="false">_xlfn.CONCAT($A$1, ".", #REF!)</f>
        <v>#REF!</v>
      </c>
      <c r="B15" s="64" t="e">
        <f aca="false">_xlfn.CONCAT(#REF!, ":", #REF!)</f>
        <v>#REF!</v>
      </c>
      <c r="C15" s="65" t="e">
        <f aca="false">#REF!</f>
        <v>#REF!</v>
      </c>
      <c r="D15" s="65" t="e">
        <f aca="false">#REF!</f>
        <v>#REF!</v>
      </c>
      <c r="E15" s="65" t="e">
        <f aca="false">#REF!</f>
        <v>#REF!</v>
      </c>
      <c r="F15" s="65" t="e">
        <f aca="false">#REF!</f>
        <v>#REF!</v>
      </c>
    </row>
    <row r="16" customFormat="false" ht="12.8" hidden="false" customHeight="false" outlineLevel="0" collapsed="false">
      <c r="A16" s="50" t="e">
        <f aca="false">_xlfn.CONCAT($A$1, ".", #REF!)</f>
        <v>#REF!</v>
      </c>
      <c r="B16" s="64" t="e">
        <f aca="false">_xlfn.CONCAT(#REF!, ":", #REF!)</f>
        <v>#REF!</v>
      </c>
      <c r="C16" s="65" t="e">
        <f aca="false">#REF!</f>
        <v>#REF!</v>
      </c>
      <c r="D16" s="65" t="e">
        <f aca="false">#REF!</f>
        <v>#REF!</v>
      </c>
      <c r="E16" s="65" t="e">
        <f aca="false">#REF!</f>
        <v>#REF!</v>
      </c>
      <c r="F16" s="65" t="e">
        <f aca="false">#REF!</f>
        <v>#REF!</v>
      </c>
    </row>
    <row r="17" customFormat="false" ht="12.8" hidden="false" customHeight="false" outlineLevel="0" collapsed="false">
      <c r="A17" s="50" t="e">
        <f aca="false">_xlfn.CONCAT($A$1, ".", #REF!)</f>
        <v>#REF!</v>
      </c>
      <c r="B17" s="64" t="e">
        <f aca="false">_xlfn.CONCAT(#REF!, ":", #REF!)</f>
        <v>#REF!</v>
      </c>
      <c r="C17" s="65" t="e">
        <f aca="false">#REF!</f>
        <v>#REF!</v>
      </c>
      <c r="D17" s="65" t="e">
        <f aca="false">#REF!</f>
        <v>#REF!</v>
      </c>
      <c r="E17" s="65" t="e">
        <f aca="false">#REF!</f>
        <v>#REF!</v>
      </c>
      <c r="F17" s="65" t="e">
        <f aca="false">#REF!</f>
        <v>#REF!</v>
      </c>
    </row>
    <row r="18" customFormat="false" ht="12.8" hidden="false" customHeight="false" outlineLevel="0" collapsed="false">
      <c r="A18" s="50" t="e">
        <f aca="false">_xlfn.CONCAT($A$1, ".", #REF!)</f>
        <v>#REF!</v>
      </c>
      <c r="B18" s="64" t="e">
        <f aca="false">_xlfn.CONCAT(#REF!, ":", #REF!)</f>
        <v>#REF!</v>
      </c>
      <c r="C18" s="65" t="e">
        <f aca="false">#REF!</f>
        <v>#REF!</v>
      </c>
      <c r="D18" s="65" t="e">
        <f aca="false">#REF!</f>
        <v>#REF!</v>
      </c>
      <c r="E18" s="65" t="e">
        <f aca="false">#REF!</f>
        <v>#REF!</v>
      </c>
      <c r="F18" s="65" t="e">
        <f aca="false">#REF!</f>
        <v>#REF!</v>
      </c>
    </row>
    <row r="19" customFormat="false" ht="12.8" hidden="false" customHeight="false" outlineLevel="0" collapsed="false">
      <c r="A19" s="50" t="e">
        <f aca="false">_xlfn.CONCAT($A$1, ".", #REF!)</f>
        <v>#REF!</v>
      </c>
      <c r="B19" s="64" t="e">
        <f aca="false">_xlfn.CONCAT(#REF!, ":", #REF!)</f>
        <v>#REF!</v>
      </c>
      <c r="C19" s="65" t="e">
        <f aca="false">#REF!</f>
        <v>#REF!</v>
      </c>
      <c r="D19" s="65" t="e">
        <f aca="false">#REF!</f>
        <v>#REF!</v>
      </c>
      <c r="E19" s="65" t="e">
        <f aca="false">#REF!</f>
        <v>#REF!</v>
      </c>
      <c r="F19" s="65" t="e">
        <f aca="false">#REF!</f>
        <v>#REF!</v>
      </c>
    </row>
    <row r="20" customFormat="false" ht="12.8" hidden="false" customHeight="false" outlineLevel="0" collapsed="false">
      <c r="A20" s="50" t="e">
        <f aca="false">_xlfn.CONCAT($A$1, ".", #REF!)</f>
        <v>#REF!</v>
      </c>
      <c r="B20" s="64" t="e">
        <f aca="false">_xlfn.CONCAT(#REF!, ":", #REF!)</f>
        <v>#REF!</v>
      </c>
      <c r="C20" s="65" t="e">
        <f aca="false">#REF!</f>
        <v>#REF!</v>
      </c>
      <c r="D20" s="65" t="e">
        <f aca="false">#REF!</f>
        <v>#REF!</v>
      </c>
      <c r="E20" s="65" t="e">
        <f aca="false">#REF!</f>
        <v>#REF!</v>
      </c>
      <c r="F20" s="65" t="e">
        <f aca="false">#REF!</f>
        <v>#REF!</v>
      </c>
    </row>
    <row r="21" customFormat="false" ht="12.8" hidden="false" customHeight="false" outlineLevel="0" collapsed="false">
      <c r="A21" s="50" t="e">
        <f aca="false">_xlfn.CONCAT($A$1, ".", #REF!)</f>
        <v>#REF!</v>
      </c>
      <c r="B21" s="64" t="e">
        <f aca="false">_xlfn.CONCAT(#REF!, ":", #REF!)</f>
        <v>#REF!</v>
      </c>
      <c r="C21" s="65" t="e">
        <f aca="false">#REF!</f>
        <v>#REF!</v>
      </c>
      <c r="D21" s="65" t="e">
        <f aca="false">#REF!</f>
        <v>#REF!</v>
      </c>
      <c r="E21" s="65" t="e">
        <f aca="false">#REF!</f>
        <v>#REF!</v>
      </c>
      <c r="F21" s="65" t="e">
        <f aca="false">#REF!</f>
        <v>#REF!</v>
      </c>
    </row>
    <row r="22" customFormat="false" ht="12.8" hidden="false" customHeight="false" outlineLevel="0" collapsed="false">
      <c r="A22" s="50" t="e">
        <f aca="false">_xlfn.CONCAT($A$1, ".", #REF!)</f>
        <v>#REF!</v>
      </c>
      <c r="B22" s="64" t="e">
        <f aca="false">_xlfn.CONCAT(#REF!, ":", #REF!)</f>
        <v>#REF!</v>
      </c>
      <c r="C22" s="65" t="e">
        <f aca="false">#REF!</f>
        <v>#REF!</v>
      </c>
      <c r="D22" s="65" t="e">
        <f aca="false">#REF!</f>
        <v>#REF!</v>
      </c>
      <c r="E22" s="65" t="e">
        <f aca="false">#REF!</f>
        <v>#REF!</v>
      </c>
      <c r="F22" s="65" t="e">
        <f aca="false">#REF!</f>
        <v>#REF!</v>
      </c>
    </row>
    <row r="23" customFormat="false" ht="12.8" hidden="false" customHeight="false" outlineLevel="0" collapsed="false">
      <c r="A23" s="50" t="e">
        <f aca="false">_xlfn.CONCAT($A$1, ".", #REF!)</f>
        <v>#REF!</v>
      </c>
      <c r="B23" s="64" t="e">
        <f aca="false">_xlfn.CONCAT(#REF!, ":", #REF!)</f>
        <v>#REF!</v>
      </c>
      <c r="C23" s="65" t="e">
        <f aca="false">#REF!</f>
        <v>#REF!</v>
      </c>
      <c r="D23" s="65" t="e">
        <f aca="false">#REF!</f>
        <v>#REF!</v>
      </c>
      <c r="E23" s="65" t="e">
        <f aca="false">#REF!</f>
        <v>#REF!</v>
      </c>
      <c r="F23" s="65" t="e">
        <f aca="false">#REF!</f>
        <v>#REF!</v>
      </c>
    </row>
    <row r="24" customFormat="false" ht="12.8" hidden="false" customHeight="false" outlineLevel="0" collapsed="false">
      <c r="A24" s="50" t="e">
        <f aca="false">_xlfn.CONCAT($A$1, ".", #REF!)</f>
        <v>#REF!</v>
      </c>
      <c r="B24" s="64" t="e">
        <f aca="false">_xlfn.CONCAT(#REF!, ":", #REF!)</f>
        <v>#REF!</v>
      </c>
      <c r="C24" s="65" t="e">
        <f aca="false">#REF!</f>
        <v>#REF!</v>
      </c>
      <c r="D24" s="65" t="e">
        <f aca="false">#REF!</f>
        <v>#REF!</v>
      </c>
      <c r="E24" s="65" t="e">
        <f aca="false">#REF!</f>
        <v>#REF!</v>
      </c>
      <c r="F24" s="65" t="e">
        <f aca="false">#REF!</f>
        <v>#REF!</v>
      </c>
    </row>
    <row r="25" customFormat="false" ht="12.8" hidden="false" customHeight="false" outlineLevel="0" collapsed="false">
      <c r="A25" s="50" t="e">
        <f aca="false">_xlfn.CONCAT($A$1, ".", #REF!)</f>
        <v>#REF!</v>
      </c>
      <c r="B25" s="64" t="e">
        <f aca="false">_xlfn.CONCAT(#REF!, ":", #REF!)</f>
        <v>#REF!</v>
      </c>
      <c r="C25" s="65" t="e">
        <f aca="false">#REF!</f>
        <v>#REF!</v>
      </c>
      <c r="D25" s="65" t="e">
        <f aca="false">#REF!</f>
        <v>#REF!</v>
      </c>
      <c r="E25" s="65" t="e">
        <f aca="false">#REF!</f>
        <v>#REF!</v>
      </c>
      <c r="F25" s="65" t="e">
        <f aca="false">#REF!</f>
        <v>#REF!</v>
      </c>
    </row>
    <row r="26" customFormat="false" ht="12.8" hidden="false" customHeight="false" outlineLevel="0" collapsed="false">
      <c r="A26" s="50" t="e">
        <f aca="false">_xlfn.CONCAT($A$1, ".", #REF!)</f>
        <v>#REF!</v>
      </c>
      <c r="B26" s="64" t="e">
        <f aca="false">_xlfn.CONCAT(#REF!, ":", #REF!)</f>
        <v>#REF!</v>
      </c>
      <c r="C26" s="65" t="e">
        <f aca="false">#REF!</f>
        <v>#REF!</v>
      </c>
      <c r="D26" s="65" t="e">
        <f aca="false">#REF!</f>
        <v>#REF!</v>
      </c>
      <c r="E26" s="65" t="e">
        <f aca="false">#REF!</f>
        <v>#REF!</v>
      </c>
      <c r="F26" s="65" t="e">
        <f aca="false">#REF!</f>
        <v>#REF!</v>
      </c>
    </row>
    <row r="27" customFormat="false" ht="12.8" hidden="false" customHeight="false" outlineLevel="0" collapsed="false">
      <c r="A27" s="50" t="e">
        <f aca="false">_xlfn.CONCAT($A$1, ".", #REF!)</f>
        <v>#REF!</v>
      </c>
      <c r="B27" s="64" t="e">
        <f aca="false">_xlfn.CONCAT(#REF!, ":", #REF!)</f>
        <v>#REF!</v>
      </c>
      <c r="C27" s="65" t="e">
        <f aca="false">#REF!</f>
        <v>#REF!</v>
      </c>
      <c r="D27" s="65" t="e">
        <f aca="false">#REF!</f>
        <v>#REF!</v>
      </c>
      <c r="E27" s="65" t="e">
        <f aca="false">#REF!</f>
        <v>#REF!</v>
      </c>
      <c r="F27" s="65" t="e">
        <f aca="false">#REF!</f>
        <v>#REF!</v>
      </c>
    </row>
    <row r="28" customFormat="false" ht="12.8" hidden="false" customHeight="false" outlineLevel="0" collapsed="false">
      <c r="A28" s="50" t="e">
        <f aca="false">_xlfn.CONCAT($A$1, ".", #REF!)</f>
        <v>#REF!</v>
      </c>
      <c r="B28" s="64" t="e">
        <f aca="false">_xlfn.CONCAT(#REF!, ":", #REF!)</f>
        <v>#REF!</v>
      </c>
      <c r="C28" s="65" t="e">
        <f aca="false">#REF!</f>
        <v>#REF!</v>
      </c>
      <c r="D28" s="65" t="e">
        <f aca="false">#REF!</f>
        <v>#REF!</v>
      </c>
      <c r="E28" s="65" t="e">
        <f aca="false">#REF!</f>
        <v>#REF!</v>
      </c>
      <c r="F28" s="65" t="e">
        <f aca="false">#REF!</f>
        <v>#REF!</v>
      </c>
    </row>
    <row r="29" customFormat="false" ht="12.8" hidden="false" customHeight="false" outlineLevel="0" collapsed="false">
      <c r="A29" s="50" t="e">
        <f aca="false">_xlfn.CONCAT($A$1, ".", #REF!)</f>
        <v>#REF!</v>
      </c>
      <c r="B29" s="64" t="e">
        <f aca="false">_xlfn.CONCAT(#REF!, ":", #REF!)</f>
        <v>#REF!</v>
      </c>
      <c r="C29" s="65" t="e">
        <f aca="false">#REF!</f>
        <v>#REF!</v>
      </c>
      <c r="D29" s="65" t="e">
        <f aca="false">#REF!</f>
        <v>#REF!</v>
      </c>
      <c r="E29" s="65" t="e">
        <f aca="false">#REF!</f>
        <v>#REF!</v>
      </c>
      <c r="F29" s="65" t="e">
        <f aca="false">#REF!</f>
        <v>#REF!</v>
      </c>
    </row>
    <row r="30" customFormat="false" ht="12.8" hidden="false" customHeight="false" outlineLevel="0" collapsed="false">
      <c r="A30" s="50" t="e">
        <f aca="false">_xlfn.CONCAT($A$1, ".", #REF!)</f>
        <v>#REF!</v>
      </c>
      <c r="B30" s="64" t="e">
        <f aca="false">_xlfn.CONCAT(#REF!, ":", #REF!)</f>
        <v>#REF!</v>
      </c>
      <c r="C30" s="65" t="e">
        <f aca="false">#REF!</f>
        <v>#REF!</v>
      </c>
      <c r="D30" s="65" t="e">
        <f aca="false">#REF!</f>
        <v>#REF!</v>
      </c>
      <c r="E30" s="65" t="e">
        <f aca="false">#REF!</f>
        <v>#REF!</v>
      </c>
      <c r="F30" s="65" t="e">
        <f aca="false">#REF!</f>
        <v>#REF!</v>
      </c>
    </row>
    <row r="31" customFormat="false" ht="12.8" hidden="false" customHeight="false" outlineLevel="0" collapsed="false">
      <c r="A31" s="50" t="e">
        <f aca="false">_xlfn.CONCAT($A$1, ".", #REF!)</f>
        <v>#REF!</v>
      </c>
      <c r="B31" s="64" t="e">
        <f aca="false">_xlfn.CONCAT(#REF!, ":", #REF!)</f>
        <v>#REF!</v>
      </c>
      <c r="C31" s="65" t="e">
        <f aca="false">#REF!</f>
        <v>#REF!</v>
      </c>
      <c r="D31" s="65" t="e">
        <f aca="false">#REF!</f>
        <v>#REF!</v>
      </c>
      <c r="E31" s="65" t="e">
        <f aca="false">#REF!</f>
        <v>#REF!</v>
      </c>
      <c r="F31" s="65" t="e">
        <f aca="false">#REF!</f>
        <v>#REF!</v>
      </c>
    </row>
    <row r="32" customFormat="false" ht="12.8" hidden="false" customHeight="false" outlineLevel="0" collapsed="false">
      <c r="A32" s="50" t="e">
        <f aca="false">_xlfn.CONCAT($A$1, ".", #REF!)</f>
        <v>#REF!</v>
      </c>
      <c r="B32" s="64" t="e">
        <f aca="false">_xlfn.CONCAT(#REF!, ":", #REF!)</f>
        <v>#REF!</v>
      </c>
      <c r="C32" s="65" t="e">
        <f aca="false">#REF!</f>
        <v>#REF!</v>
      </c>
      <c r="D32" s="65" t="e">
        <f aca="false">#REF!</f>
        <v>#REF!</v>
      </c>
      <c r="E32" s="65" t="e">
        <f aca="false">#REF!</f>
        <v>#REF!</v>
      </c>
      <c r="F32" s="65" t="e">
        <f aca="false">#REF!</f>
        <v>#REF!</v>
      </c>
    </row>
    <row r="33" customFormat="false" ht="12.8" hidden="false" customHeight="false" outlineLevel="0" collapsed="false">
      <c r="A33" s="50" t="e">
        <f aca="false">_xlfn.CONCAT($A$1, ".", #REF!)</f>
        <v>#REF!</v>
      </c>
      <c r="B33" s="64" t="e">
        <f aca="false">_xlfn.CONCAT(#REF!, ":", #REF!)</f>
        <v>#REF!</v>
      </c>
      <c r="C33" s="65" t="e">
        <f aca="false">#REF!</f>
        <v>#REF!</v>
      </c>
      <c r="D33" s="65" t="e">
        <f aca="false">#REF!</f>
        <v>#REF!</v>
      </c>
      <c r="E33" s="65" t="e">
        <f aca="false">#REF!</f>
        <v>#REF!</v>
      </c>
      <c r="F33" s="65" t="e">
        <f aca="false">#REF!</f>
        <v>#REF!</v>
      </c>
    </row>
    <row r="34" customFormat="false" ht="12.8" hidden="false" customHeight="false" outlineLevel="0" collapsed="false">
      <c r="A34" s="50" t="e">
        <f aca="false">_xlfn.CONCAT($A$1, ".", #REF!)</f>
        <v>#REF!</v>
      </c>
      <c r="B34" s="64" t="e">
        <f aca="false">_xlfn.CONCAT(#REF!, ":", #REF!)</f>
        <v>#REF!</v>
      </c>
      <c r="C34" s="65" t="e">
        <f aca="false">#REF!</f>
        <v>#REF!</v>
      </c>
      <c r="D34" s="65" t="e">
        <f aca="false">#REF!</f>
        <v>#REF!</v>
      </c>
      <c r="E34" s="65" t="e">
        <f aca="false">#REF!</f>
        <v>#REF!</v>
      </c>
      <c r="F34" s="65" t="e">
        <f aca="false">#REF!</f>
        <v>#REF!</v>
      </c>
    </row>
    <row r="35" customFormat="false" ht="12.8" hidden="false" customHeight="false" outlineLevel="0" collapsed="false">
      <c r="A35" s="50" t="e">
        <f aca="false">_xlfn.CONCAT($A$1, ".", #REF!)</f>
        <v>#REF!</v>
      </c>
      <c r="B35" s="64" t="e">
        <f aca="false">_xlfn.CONCAT(#REF!, ":", #REF!)</f>
        <v>#REF!</v>
      </c>
      <c r="C35" s="65" t="e">
        <f aca="false">#REF!</f>
        <v>#REF!</v>
      </c>
      <c r="D35" s="65" t="e">
        <f aca="false">#REF!</f>
        <v>#REF!</v>
      </c>
      <c r="E35" s="65" t="e">
        <f aca="false">#REF!</f>
        <v>#REF!</v>
      </c>
      <c r="F35" s="65" t="e">
        <f aca="false">#REF!</f>
        <v>#REF!</v>
      </c>
    </row>
    <row r="36" customFormat="false" ht="12.8" hidden="false" customHeight="false" outlineLevel="0" collapsed="false">
      <c r="A36" s="50" t="e">
        <f aca="false">_xlfn.CONCAT($A$1, ".", #REF!)</f>
        <v>#REF!</v>
      </c>
      <c r="B36" s="64" t="e">
        <f aca="false">_xlfn.CONCAT(#REF!, ":", #REF!)</f>
        <v>#REF!</v>
      </c>
      <c r="C36" s="65" t="e">
        <f aca="false">#REF!</f>
        <v>#REF!</v>
      </c>
      <c r="D36" s="65" t="e">
        <f aca="false">#REF!</f>
        <v>#REF!</v>
      </c>
      <c r="E36" s="65" t="e">
        <f aca="false">#REF!</f>
        <v>#REF!</v>
      </c>
      <c r="F36" s="65" t="e">
        <f aca="false">#REF!</f>
        <v>#REF!</v>
      </c>
    </row>
    <row r="37" customFormat="false" ht="12.8" hidden="false" customHeight="false" outlineLevel="0" collapsed="false">
      <c r="A37" s="50" t="e">
        <f aca="false">_xlfn.CONCAT($A$1, ".", #REF!)</f>
        <v>#REF!</v>
      </c>
      <c r="B37" s="64" t="e">
        <f aca="false">_xlfn.CONCAT(#REF!, ":", #REF!)</f>
        <v>#REF!</v>
      </c>
      <c r="C37" s="65" t="e">
        <f aca="false">#REF!</f>
        <v>#REF!</v>
      </c>
      <c r="D37" s="65" t="e">
        <f aca="false">#REF!</f>
        <v>#REF!</v>
      </c>
      <c r="E37" s="65" t="e">
        <f aca="false">#REF!</f>
        <v>#REF!</v>
      </c>
      <c r="F37" s="65" t="e">
        <f aca="false">#REF!</f>
        <v>#REF!</v>
      </c>
    </row>
    <row r="38" customFormat="false" ht="12.8" hidden="false" customHeight="false" outlineLevel="0" collapsed="false">
      <c r="A38" s="50" t="e">
        <f aca="false">_xlfn.CONCAT($A$1, ".", #REF!)</f>
        <v>#REF!</v>
      </c>
      <c r="B38" s="64" t="e">
        <f aca="false">_xlfn.CONCAT(#REF!, ":", #REF!)</f>
        <v>#REF!</v>
      </c>
      <c r="C38" s="65" t="e">
        <f aca="false">#REF!</f>
        <v>#REF!</v>
      </c>
      <c r="D38" s="65" t="e">
        <f aca="false">#REF!</f>
        <v>#REF!</v>
      </c>
      <c r="E38" s="65" t="e">
        <f aca="false">#REF!</f>
        <v>#REF!</v>
      </c>
      <c r="F38" s="65" t="e">
        <f aca="false">#REF!</f>
        <v>#REF!</v>
      </c>
    </row>
    <row r="39" customFormat="false" ht="12.8" hidden="false" customHeight="false" outlineLevel="0" collapsed="false">
      <c r="A39" s="50" t="e">
        <f aca="false">_xlfn.CONCAT($A$1, ".", #REF!)</f>
        <v>#REF!</v>
      </c>
      <c r="B39" s="64" t="e">
        <f aca="false">_xlfn.CONCAT(#REF!, ":", #REF!)</f>
        <v>#REF!</v>
      </c>
      <c r="C39" s="65" t="e">
        <f aca="false">#REF!</f>
        <v>#REF!</v>
      </c>
      <c r="D39" s="65" t="e">
        <f aca="false">#REF!</f>
        <v>#REF!</v>
      </c>
      <c r="E39" s="65" t="e">
        <f aca="false">#REF!</f>
        <v>#REF!</v>
      </c>
      <c r="F39" s="65" t="e">
        <f aca="false">#REF!</f>
        <v>#REF!</v>
      </c>
    </row>
    <row r="40" customFormat="false" ht="12.8" hidden="false" customHeight="false" outlineLevel="0" collapsed="false">
      <c r="A40" s="50" t="e">
        <f aca="false">_xlfn.CONCAT($A$1, ".", #REF!)</f>
        <v>#REF!</v>
      </c>
      <c r="B40" s="64" t="e">
        <f aca="false">_xlfn.CONCAT(#REF!, ":", #REF!)</f>
        <v>#REF!</v>
      </c>
      <c r="C40" s="65" t="e">
        <f aca="false">#REF!</f>
        <v>#REF!</v>
      </c>
      <c r="D40" s="65" t="e">
        <f aca="false">#REF!</f>
        <v>#REF!</v>
      </c>
      <c r="E40" s="65" t="e">
        <f aca="false">#REF!</f>
        <v>#REF!</v>
      </c>
      <c r="F40" s="65" t="e">
        <f aca="false">#REF!</f>
        <v>#REF!</v>
      </c>
    </row>
    <row r="41" customFormat="false" ht="12.8" hidden="false" customHeight="false" outlineLevel="0" collapsed="false">
      <c r="A41" s="50" t="e">
        <f aca="false">_xlfn.CONCAT($A$1, ".", #REF!)</f>
        <v>#REF!</v>
      </c>
      <c r="B41" s="64" t="e">
        <f aca="false">_xlfn.CONCAT(#REF!, ":", #REF!)</f>
        <v>#REF!</v>
      </c>
      <c r="C41" s="65" t="e">
        <f aca="false">#REF!</f>
        <v>#REF!</v>
      </c>
      <c r="D41" s="65" t="e">
        <f aca="false">#REF!</f>
        <v>#REF!</v>
      </c>
      <c r="E41" s="65" t="e">
        <f aca="false">#REF!</f>
        <v>#REF!</v>
      </c>
      <c r="F41" s="65" t="e">
        <f aca="false">#REF!</f>
        <v>#REF!</v>
      </c>
    </row>
    <row r="42" customFormat="false" ht="12.8" hidden="false" customHeight="false" outlineLevel="0" collapsed="false">
      <c r="A42" s="50" t="e">
        <f aca="false">_xlfn.CONCAT($A$1, ".", #REF!)</f>
        <v>#REF!</v>
      </c>
      <c r="B42" s="64" t="e">
        <f aca="false">_xlfn.CONCAT(#REF!, ":", #REF!)</f>
        <v>#REF!</v>
      </c>
      <c r="C42" s="65" t="e">
        <f aca="false">#REF!</f>
        <v>#REF!</v>
      </c>
      <c r="D42" s="65" t="e">
        <f aca="false">#REF!</f>
        <v>#REF!</v>
      </c>
      <c r="E42" s="65" t="e">
        <f aca="false">#REF!</f>
        <v>#REF!</v>
      </c>
      <c r="F42" s="65" t="e">
        <f aca="false">#REF!</f>
        <v>#REF!</v>
      </c>
    </row>
    <row r="43" customFormat="false" ht="12.8" hidden="false" customHeight="false" outlineLevel="0" collapsed="false">
      <c r="A43" s="50" t="e">
        <f aca="false">_xlfn.CONCAT($A$1, ".", #REF!)</f>
        <v>#REF!</v>
      </c>
      <c r="B43" s="64" t="e">
        <f aca="false">_xlfn.CONCAT(#REF!, ":", #REF!)</f>
        <v>#REF!</v>
      </c>
      <c r="C43" s="65" t="e">
        <f aca="false">#REF!</f>
        <v>#REF!</v>
      </c>
      <c r="D43" s="65" t="e">
        <f aca="false">#REF!</f>
        <v>#REF!</v>
      </c>
      <c r="E43" s="65" t="e">
        <f aca="false">#REF!</f>
        <v>#REF!</v>
      </c>
      <c r="F43" s="65" t="e">
        <f aca="false">#REF!</f>
        <v>#REF!</v>
      </c>
    </row>
    <row r="44" customFormat="false" ht="12.8" hidden="false" customHeight="false" outlineLevel="0" collapsed="false">
      <c r="A44" s="50" t="e">
        <f aca="false">_xlfn.CONCAT($A$1, ".", #REF!)</f>
        <v>#REF!</v>
      </c>
      <c r="B44" s="64" t="e">
        <f aca="false">_xlfn.CONCAT(#REF!, ":", #REF!)</f>
        <v>#REF!</v>
      </c>
      <c r="C44" s="65" t="e">
        <f aca="false">#REF!</f>
        <v>#REF!</v>
      </c>
      <c r="D44" s="65" t="e">
        <f aca="false">#REF!</f>
        <v>#REF!</v>
      </c>
      <c r="E44" s="65" t="e">
        <f aca="false">#REF!</f>
        <v>#REF!</v>
      </c>
      <c r="F44" s="65" t="e">
        <f aca="false">#REF!</f>
        <v>#REF!</v>
      </c>
    </row>
    <row r="45" customFormat="false" ht="12.8" hidden="false" customHeight="false" outlineLevel="0" collapsed="false">
      <c r="A45" s="50" t="e">
        <f aca="false">_xlfn.CONCAT($A$1, ".", #REF!)</f>
        <v>#REF!</v>
      </c>
      <c r="B45" s="64" t="e">
        <f aca="false">_xlfn.CONCAT(#REF!, ":", #REF!)</f>
        <v>#REF!</v>
      </c>
      <c r="C45" s="65" t="e">
        <f aca="false">#REF!</f>
        <v>#REF!</v>
      </c>
      <c r="D45" s="65" t="e">
        <f aca="false">#REF!</f>
        <v>#REF!</v>
      </c>
      <c r="E45" s="65" t="e">
        <f aca="false">#REF!</f>
        <v>#REF!</v>
      </c>
      <c r="F45" s="65" t="e">
        <f aca="false">#REF!</f>
        <v>#REF!</v>
      </c>
    </row>
    <row r="46" customFormat="false" ht="12.8" hidden="false" customHeight="false" outlineLevel="0" collapsed="false">
      <c r="A46" s="50" t="e">
        <f aca="false">_xlfn.CONCAT($A$1, ".", #REF!)</f>
        <v>#REF!</v>
      </c>
      <c r="B46" s="64" t="e">
        <f aca="false">_xlfn.CONCAT(#REF!, ":", #REF!)</f>
        <v>#REF!</v>
      </c>
      <c r="C46" s="65" t="e">
        <f aca="false">#REF!</f>
        <v>#REF!</v>
      </c>
      <c r="D46" s="65" t="e">
        <f aca="false">#REF!</f>
        <v>#REF!</v>
      </c>
      <c r="E46" s="65" t="e">
        <f aca="false">#REF!</f>
        <v>#REF!</v>
      </c>
      <c r="F46" s="65" t="e">
        <f aca="false">#REF!</f>
        <v>#REF!</v>
      </c>
    </row>
    <row r="47" customFormat="false" ht="12.8" hidden="false" customHeight="false" outlineLevel="0" collapsed="false">
      <c r="A47" s="50" t="e">
        <f aca="false">_xlfn.CONCAT($A$1, ".", #REF!)</f>
        <v>#REF!</v>
      </c>
      <c r="B47" s="64" t="e">
        <f aca="false">_xlfn.CONCAT(#REF!, ":", #REF!)</f>
        <v>#REF!</v>
      </c>
      <c r="C47" s="65" t="e">
        <f aca="false">#REF!</f>
        <v>#REF!</v>
      </c>
      <c r="D47" s="65" t="e">
        <f aca="false">#REF!</f>
        <v>#REF!</v>
      </c>
      <c r="E47" s="65" t="e">
        <f aca="false">#REF!</f>
        <v>#REF!</v>
      </c>
      <c r="F47" s="65" t="e">
        <f aca="false">#REF!</f>
        <v>#REF!</v>
      </c>
    </row>
    <row r="48" customFormat="false" ht="12.8" hidden="false" customHeight="false" outlineLevel="0" collapsed="false">
      <c r="A48" s="50" t="e">
        <f aca="false">_xlfn.CONCAT($A$1, ".", #REF!)</f>
        <v>#REF!</v>
      </c>
      <c r="B48" s="64" t="e">
        <f aca="false">_xlfn.CONCAT(#REF!, ":", #REF!)</f>
        <v>#REF!</v>
      </c>
      <c r="C48" s="65" t="e">
        <f aca="false">#REF!</f>
        <v>#REF!</v>
      </c>
      <c r="D48" s="65" t="e">
        <f aca="false">#REF!</f>
        <v>#REF!</v>
      </c>
      <c r="E48" s="65" t="e">
        <f aca="false">#REF!</f>
        <v>#REF!</v>
      </c>
      <c r="F48" s="65" t="e">
        <f aca="false">#REF!</f>
        <v>#REF!</v>
      </c>
    </row>
    <row r="49" customFormat="false" ht="12.8" hidden="false" customHeight="false" outlineLevel="0" collapsed="false">
      <c r="A49" s="50" t="e">
        <f aca="false">_xlfn.CONCAT($A$1, ".", #REF!)</f>
        <v>#REF!</v>
      </c>
      <c r="B49" s="64" t="e">
        <f aca="false">_xlfn.CONCAT(#REF!, ":", #REF!)</f>
        <v>#REF!</v>
      </c>
      <c r="C49" s="65" t="e">
        <f aca="false">#REF!</f>
        <v>#REF!</v>
      </c>
      <c r="D49" s="65" t="e">
        <f aca="false">#REF!</f>
        <v>#REF!</v>
      </c>
      <c r="E49" s="65" t="e">
        <f aca="false">#REF!</f>
        <v>#REF!</v>
      </c>
      <c r="F49" s="65" t="e">
        <f aca="false">#REF!</f>
        <v>#REF!</v>
      </c>
    </row>
    <row r="50" customFormat="false" ht="12.8" hidden="false" customHeight="false" outlineLevel="0" collapsed="false">
      <c r="A50" s="50" t="e">
        <f aca="false">_xlfn.CONCAT($A$1, ".", #REF!)</f>
        <v>#REF!</v>
      </c>
      <c r="B50" s="64" t="e">
        <f aca="false">_xlfn.CONCAT(#REF!, ":", #REF!)</f>
        <v>#REF!</v>
      </c>
      <c r="C50" s="65" t="e">
        <f aca="false">#REF!</f>
        <v>#REF!</v>
      </c>
      <c r="D50" s="65" t="e">
        <f aca="false">#REF!</f>
        <v>#REF!</v>
      </c>
      <c r="E50" s="65" t="e">
        <f aca="false">#REF!</f>
        <v>#REF!</v>
      </c>
      <c r="F50" s="65" t="e">
        <f aca="false">#REF!</f>
        <v>#REF!</v>
      </c>
    </row>
    <row r="51" customFormat="false" ht="12.8" hidden="false" customHeight="false" outlineLevel="0" collapsed="false">
      <c r="A51" s="50" t="e">
        <f aca="false">_xlfn.CONCAT($A$1, ".", #REF!)</f>
        <v>#REF!</v>
      </c>
      <c r="B51" s="64" t="e">
        <f aca="false">_xlfn.CONCAT(#REF!, ":", #REF!)</f>
        <v>#REF!</v>
      </c>
      <c r="C51" s="65" t="e">
        <f aca="false">#REF!</f>
        <v>#REF!</v>
      </c>
      <c r="D51" s="65" t="e">
        <f aca="false">#REF!</f>
        <v>#REF!</v>
      </c>
      <c r="E51" s="65" t="e">
        <f aca="false">#REF!</f>
        <v>#REF!</v>
      </c>
      <c r="F51" s="65" t="e">
        <f aca="false">#REF!</f>
        <v>#REF!</v>
      </c>
    </row>
    <row r="52" customFormat="false" ht="12.8" hidden="false" customHeight="false" outlineLevel="0" collapsed="false">
      <c r="A52" s="50" t="e">
        <f aca="false">_xlfn.CONCAT($A$1, ".", #REF!)</f>
        <v>#REF!</v>
      </c>
      <c r="B52" s="64" t="e">
        <f aca="false">_xlfn.CONCAT(#REF!, ":", #REF!)</f>
        <v>#REF!</v>
      </c>
      <c r="C52" s="65" t="e">
        <f aca="false">#REF!</f>
        <v>#REF!</v>
      </c>
      <c r="D52" s="65" t="e">
        <f aca="false">#REF!</f>
        <v>#REF!</v>
      </c>
      <c r="E52" s="65" t="e">
        <f aca="false">#REF!</f>
        <v>#REF!</v>
      </c>
      <c r="F52" s="65" t="e">
        <f aca="false">#REF!</f>
        <v>#REF!</v>
      </c>
    </row>
    <row r="53" customFormat="false" ht="12.8" hidden="false" customHeight="false" outlineLevel="0" collapsed="false">
      <c r="A53" s="50" t="e">
        <f aca="false">_xlfn.CONCAT($A$1, ".", #REF!)</f>
        <v>#REF!</v>
      </c>
      <c r="B53" s="64" t="e">
        <f aca="false">_xlfn.CONCAT(#REF!, ":", #REF!)</f>
        <v>#REF!</v>
      </c>
      <c r="C53" s="65" t="e">
        <f aca="false">#REF!</f>
        <v>#REF!</v>
      </c>
      <c r="D53" s="65" t="e">
        <f aca="false">#REF!</f>
        <v>#REF!</v>
      </c>
      <c r="E53" s="65" t="e">
        <f aca="false">#REF!</f>
        <v>#REF!</v>
      </c>
      <c r="F53" s="65" t="e">
        <f aca="false">#REF!</f>
        <v>#REF!</v>
      </c>
    </row>
    <row r="54" customFormat="false" ht="12.8" hidden="false" customHeight="false" outlineLevel="0" collapsed="false">
      <c r="A54" s="50" t="e">
        <f aca="false">_xlfn.CONCAT($A$1, ".", #REF!)</f>
        <v>#REF!</v>
      </c>
      <c r="B54" s="64" t="e">
        <f aca="false">_xlfn.CONCAT(#REF!, ":", #REF!)</f>
        <v>#REF!</v>
      </c>
      <c r="C54" s="65" t="e">
        <f aca="false">#REF!</f>
        <v>#REF!</v>
      </c>
      <c r="D54" s="65" t="e">
        <f aca="false">#REF!</f>
        <v>#REF!</v>
      </c>
      <c r="E54" s="65" t="e">
        <f aca="false">#REF!</f>
        <v>#REF!</v>
      </c>
      <c r="F54" s="65" t="e">
        <f aca="false">#REF!</f>
        <v>#REF!</v>
      </c>
    </row>
    <row r="55" customFormat="false" ht="12.8" hidden="false" customHeight="false" outlineLevel="0" collapsed="false">
      <c r="A55" s="50" t="e">
        <f aca="false">_xlfn.CONCAT($A$1, ".", #REF!)</f>
        <v>#REF!</v>
      </c>
      <c r="B55" s="64" t="e">
        <f aca="false">_xlfn.CONCAT(#REF!, ":", #REF!)</f>
        <v>#REF!</v>
      </c>
      <c r="C55" s="65" t="e">
        <f aca="false">#REF!</f>
        <v>#REF!</v>
      </c>
      <c r="D55" s="65" t="e">
        <f aca="false">#REF!</f>
        <v>#REF!</v>
      </c>
      <c r="E55" s="65" t="e">
        <f aca="false">#REF!</f>
        <v>#REF!</v>
      </c>
      <c r="F55" s="6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BP249"/>
  <sheetViews>
    <sheetView showFormulas="false" showGridLines="true" showRowColHeaders="true" showZeros="true" rightToLeft="false" tabSelected="false" showOutlineSymbols="true" defaultGridColor="true" view="normal" topLeftCell="A206" colorId="64" zoomScale="75" zoomScaleNormal="75" zoomScalePageLayoutView="100" workbookViewId="0">
      <selection pane="topLeft" activeCell="A225" activeCellId="0" sqref="A22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5"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2833</v>
      </c>
      <c r="B1" s="76" t="s">
        <v>2836</v>
      </c>
      <c r="C1" s="6" t="s">
        <v>2</v>
      </c>
      <c r="D1" s="39" t="s">
        <v>2837</v>
      </c>
      <c r="AZ1" s="39"/>
      <c r="BP1" s="39"/>
    </row>
    <row r="2" customFormat="false" ht="46.25" hidden="false" customHeight="false" outlineLevel="0" collapsed="false">
      <c r="A2" s="77" t="s">
        <v>2813</v>
      </c>
      <c r="B2" s="78" t="s">
        <v>2814</v>
      </c>
      <c r="C2" s="65" t="str">
        <f aca="false">CALC!BX3</f>
        <v>Average Weekly Hours Worked</v>
      </c>
      <c r="D2" s="65" t="str">
        <f aca="false">CALC!BY3</f>
        <v>Authorized Immigrant Average Weekly Hours Worked</v>
      </c>
      <c r="E2" s="65" t="str">
        <f aca="false">CALC!BZ3</f>
        <v>Unauthorized Immigrant Average Weekly Hours Worked</v>
      </c>
      <c r="F2" s="65" t="str">
        <f aca="false">CALC!CA3</f>
        <v>American Average Weekly Hours Worked</v>
      </c>
    </row>
    <row r="3" customFormat="false" ht="12.8" hidden="false" customHeight="false" outlineLevel="0" collapsed="false">
      <c r="A3" s="50" t="e">
        <f aca="false">_xlfn.CONCAT($A$1, ".", #REF!)</f>
        <v>#REF!</v>
      </c>
      <c r="B3" s="64" t="e">
        <f aca="false">_xlfn.CONCAT(#REF!, ":", #REF!)</f>
        <v>#REF!</v>
      </c>
      <c r="C3" s="65" t="e">
        <f aca="false">#REF!</f>
        <v>#REF!</v>
      </c>
      <c r="D3" s="65" t="e">
        <f aca="false">#REF!</f>
        <v>#REF!</v>
      </c>
      <c r="E3" s="65" t="e">
        <f aca="false">#REF!</f>
        <v>#REF!</v>
      </c>
      <c r="F3" s="65" t="e">
        <f aca="false">#REF!</f>
        <v>#REF!</v>
      </c>
    </row>
    <row r="4" customFormat="false" ht="12.8" hidden="false" customHeight="false" outlineLevel="0" collapsed="false">
      <c r="A4" s="50" t="e">
        <f aca="false">_xlfn.CONCAT($A$1, ".", #REF!)</f>
        <v>#REF!</v>
      </c>
      <c r="B4" s="64" t="e">
        <f aca="false">_xlfn.CONCAT(#REF!, ":", #REF!)</f>
        <v>#REF!</v>
      </c>
      <c r="C4" s="65" t="e">
        <f aca="false">#REF!</f>
        <v>#REF!</v>
      </c>
      <c r="D4" s="65" t="e">
        <f aca="false">#REF!</f>
        <v>#REF!</v>
      </c>
      <c r="E4" s="65" t="e">
        <f aca="false">#REF!</f>
        <v>#REF!</v>
      </c>
      <c r="F4" s="65" t="e">
        <f aca="false">#REF!</f>
        <v>#REF!</v>
      </c>
    </row>
    <row r="5" customFormat="false" ht="12.8" hidden="false" customHeight="false" outlineLevel="0" collapsed="false">
      <c r="A5" s="50" t="e">
        <f aca="false">_xlfn.CONCAT($A$1, ".", #REF!)</f>
        <v>#REF!</v>
      </c>
      <c r="B5" s="64" t="e">
        <f aca="false">_xlfn.CONCAT(#REF!, ":", #REF!)</f>
        <v>#REF!</v>
      </c>
      <c r="C5" s="65" t="e">
        <f aca="false">#REF!</f>
        <v>#REF!</v>
      </c>
      <c r="D5" s="65" t="e">
        <f aca="false">#REF!</f>
        <v>#REF!</v>
      </c>
      <c r="E5" s="65" t="e">
        <f aca="false">#REF!</f>
        <v>#REF!</v>
      </c>
      <c r="F5" s="65" t="e">
        <f aca="false">#REF!</f>
        <v>#REF!</v>
      </c>
    </row>
    <row r="6" customFormat="false" ht="12.8" hidden="false" customHeight="false" outlineLevel="0" collapsed="false">
      <c r="A6" s="50" t="e">
        <f aca="false">_xlfn.CONCAT($A$1, ".", #REF!)</f>
        <v>#REF!</v>
      </c>
      <c r="B6" s="64" t="e">
        <f aca="false">_xlfn.CONCAT(#REF!, ":", #REF!)</f>
        <v>#REF!</v>
      </c>
      <c r="C6" s="65" t="e">
        <f aca="false">#REF!</f>
        <v>#REF!</v>
      </c>
      <c r="D6" s="65" t="e">
        <f aca="false">#REF!</f>
        <v>#REF!</v>
      </c>
      <c r="E6" s="65" t="e">
        <f aca="false">#REF!</f>
        <v>#REF!</v>
      </c>
      <c r="F6" s="65" t="e">
        <f aca="false">#REF!</f>
        <v>#REF!</v>
      </c>
    </row>
    <row r="7" customFormat="false" ht="12.8" hidden="false" customHeight="false" outlineLevel="0" collapsed="false">
      <c r="A7" s="50" t="e">
        <f aca="false">_xlfn.CONCAT($A$1, ".", #REF!)</f>
        <v>#REF!</v>
      </c>
      <c r="B7" s="64" t="e">
        <f aca="false">_xlfn.CONCAT(#REF!, ":", #REF!)</f>
        <v>#REF!</v>
      </c>
      <c r="C7" s="65" t="e">
        <f aca="false">#REF!</f>
        <v>#REF!</v>
      </c>
      <c r="D7" s="65" t="e">
        <f aca="false">#REF!</f>
        <v>#REF!</v>
      </c>
      <c r="E7" s="65" t="e">
        <f aca="false">#REF!</f>
        <v>#REF!</v>
      </c>
      <c r="F7" s="65" t="e">
        <f aca="false">#REF!</f>
        <v>#REF!</v>
      </c>
    </row>
    <row r="8" customFormat="false" ht="12.8" hidden="false" customHeight="false" outlineLevel="0" collapsed="false">
      <c r="A8" s="50" t="e">
        <f aca="false">_xlfn.CONCAT($A$1, ".", #REF!)</f>
        <v>#REF!</v>
      </c>
      <c r="B8" s="64" t="e">
        <f aca="false">_xlfn.CONCAT(#REF!, ":", #REF!)</f>
        <v>#REF!</v>
      </c>
      <c r="C8" s="65" t="e">
        <f aca="false">#REF!</f>
        <v>#REF!</v>
      </c>
      <c r="D8" s="65" t="e">
        <f aca="false">#REF!</f>
        <v>#REF!</v>
      </c>
      <c r="E8" s="65" t="e">
        <f aca="false">#REF!</f>
        <v>#REF!</v>
      </c>
      <c r="F8" s="65" t="e">
        <f aca="false">#REF!</f>
        <v>#REF!</v>
      </c>
    </row>
    <row r="9" customFormat="false" ht="12.8" hidden="false" customHeight="false" outlineLevel="0" collapsed="false">
      <c r="A9" s="50" t="e">
        <f aca="false">_xlfn.CONCAT($A$1, ".", #REF!)</f>
        <v>#REF!</v>
      </c>
      <c r="B9" s="64" t="e">
        <f aca="false">_xlfn.CONCAT(#REF!, ":", #REF!)</f>
        <v>#REF!</v>
      </c>
      <c r="C9" s="65" t="e">
        <f aca="false">#REF!</f>
        <v>#REF!</v>
      </c>
      <c r="D9" s="65" t="e">
        <f aca="false">#REF!</f>
        <v>#REF!</v>
      </c>
      <c r="E9" s="65" t="e">
        <f aca="false">#REF!</f>
        <v>#REF!</v>
      </c>
      <c r="F9" s="65" t="e">
        <f aca="false">#REF!</f>
        <v>#REF!</v>
      </c>
    </row>
    <row r="10" customFormat="false" ht="12.8" hidden="false" customHeight="false" outlineLevel="0" collapsed="false">
      <c r="A10" s="50" t="e">
        <f aca="false">_xlfn.CONCAT($A$1, ".", #REF!)</f>
        <v>#REF!</v>
      </c>
      <c r="B10" s="64" t="e">
        <f aca="false">_xlfn.CONCAT(#REF!, ":", #REF!)</f>
        <v>#REF!</v>
      </c>
      <c r="C10" s="65" t="e">
        <f aca="false">#REF!</f>
        <v>#REF!</v>
      </c>
      <c r="D10" s="65" t="e">
        <f aca="false">#REF!</f>
        <v>#REF!</v>
      </c>
      <c r="E10" s="65" t="e">
        <f aca="false">#REF!</f>
        <v>#REF!</v>
      </c>
      <c r="F10" s="65" t="e">
        <f aca="false">#REF!</f>
        <v>#REF!</v>
      </c>
    </row>
    <row r="11" customFormat="false" ht="12.8" hidden="false" customHeight="false" outlineLevel="0" collapsed="false">
      <c r="A11" s="50" t="e">
        <f aca="false">_xlfn.CONCAT($A$1, ".", #REF!)</f>
        <v>#REF!</v>
      </c>
      <c r="B11" s="64" t="e">
        <f aca="false">_xlfn.CONCAT(#REF!, ":", #REF!)</f>
        <v>#REF!</v>
      </c>
      <c r="C11" s="65" t="e">
        <f aca="false">#REF!</f>
        <v>#REF!</v>
      </c>
      <c r="D11" s="65" t="e">
        <f aca="false">#REF!</f>
        <v>#REF!</v>
      </c>
      <c r="E11" s="65" t="e">
        <f aca="false">#REF!</f>
        <v>#REF!</v>
      </c>
      <c r="F11" s="65" t="e">
        <f aca="false">#REF!</f>
        <v>#REF!</v>
      </c>
    </row>
    <row r="12" customFormat="false" ht="12.8" hidden="false" customHeight="false" outlineLevel="0" collapsed="false">
      <c r="A12" s="50" t="e">
        <f aca="false">_xlfn.CONCAT($A$1, ".", #REF!)</f>
        <v>#REF!</v>
      </c>
      <c r="B12" s="64" t="e">
        <f aca="false">_xlfn.CONCAT(#REF!, ":", #REF!)</f>
        <v>#REF!</v>
      </c>
      <c r="C12" s="65" t="e">
        <f aca="false">#REF!</f>
        <v>#REF!</v>
      </c>
      <c r="D12" s="65" t="e">
        <f aca="false">#REF!</f>
        <v>#REF!</v>
      </c>
      <c r="E12" s="65" t="e">
        <f aca="false">#REF!</f>
        <v>#REF!</v>
      </c>
      <c r="F12" s="65" t="e">
        <f aca="false">#REF!</f>
        <v>#REF!</v>
      </c>
    </row>
    <row r="13" customFormat="false" ht="12.8" hidden="false" customHeight="false" outlineLevel="0" collapsed="false">
      <c r="A13" s="50" t="e">
        <f aca="false">_xlfn.CONCAT($A$1, ".", #REF!)</f>
        <v>#REF!</v>
      </c>
      <c r="B13" s="64" t="e">
        <f aca="false">_xlfn.CONCAT(#REF!, ":", #REF!)</f>
        <v>#REF!</v>
      </c>
      <c r="C13" s="65" t="e">
        <f aca="false">#REF!</f>
        <v>#REF!</v>
      </c>
      <c r="D13" s="65" t="e">
        <f aca="false">#REF!</f>
        <v>#REF!</v>
      </c>
      <c r="E13" s="65" t="e">
        <f aca="false">#REF!</f>
        <v>#REF!</v>
      </c>
      <c r="F13" s="65" t="e">
        <f aca="false">#REF!</f>
        <v>#REF!</v>
      </c>
    </row>
    <row r="14" customFormat="false" ht="12.8" hidden="false" customHeight="false" outlineLevel="0" collapsed="false">
      <c r="A14" s="50" t="e">
        <f aca="false">_xlfn.CONCAT($A$1, ".", #REF!)</f>
        <v>#REF!</v>
      </c>
      <c r="B14" s="64" t="e">
        <f aca="false">_xlfn.CONCAT(#REF!, ":", #REF!)</f>
        <v>#REF!</v>
      </c>
      <c r="C14" s="65" t="e">
        <f aca="false">#REF!</f>
        <v>#REF!</v>
      </c>
      <c r="D14" s="65" t="e">
        <f aca="false">#REF!</f>
        <v>#REF!</v>
      </c>
      <c r="E14" s="65" t="e">
        <f aca="false">#REF!</f>
        <v>#REF!</v>
      </c>
      <c r="F14" s="65" t="e">
        <f aca="false">#REF!</f>
        <v>#REF!</v>
      </c>
    </row>
    <row r="15" customFormat="false" ht="12.8" hidden="false" customHeight="false" outlineLevel="0" collapsed="false">
      <c r="A15" s="50" t="e">
        <f aca="false">_xlfn.CONCAT($A$1, ".", #REF!)</f>
        <v>#REF!</v>
      </c>
      <c r="B15" s="64" t="e">
        <f aca="false">_xlfn.CONCAT(#REF!, ":", #REF!)</f>
        <v>#REF!</v>
      </c>
      <c r="C15" s="65" t="e">
        <f aca="false">#REF!</f>
        <v>#REF!</v>
      </c>
      <c r="D15" s="65" t="e">
        <f aca="false">#REF!</f>
        <v>#REF!</v>
      </c>
      <c r="E15" s="65" t="e">
        <f aca="false">#REF!</f>
        <v>#REF!</v>
      </c>
      <c r="F15" s="65" t="e">
        <f aca="false">#REF!</f>
        <v>#REF!</v>
      </c>
    </row>
    <row r="16" customFormat="false" ht="12.8" hidden="false" customHeight="false" outlineLevel="0" collapsed="false">
      <c r="A16" s="50" t="e">
        <f aca="false">_xlfn.CONCAT($A$1, ".", #REF!)</f>
        <v>#REF!</v>
      </c>
      <c r="B16" s="64" t="e">
        <f aca="false">_xlfn.CONCAT(#REF!, ":", #REF!)</f>
        <v>#REF!</v>
      </c>
      <c r="C16" s="65" t="e">
        <f aca="false">#REF!</f>
        <v>#REF!</v>
      </c>
      <c r="D16" s="65" t="e">
        <f aca="false">#REF!</f>
        <v>#REF!</v>
      </c>
      <c r="E16" s="65" t="e">
        <f aca="false">#REF!</f>
        <v>#REF!</v>
      </c>
      <c r="F16" s="65" t="e">
        <f aca="false">#REF!</f>
        <v>#REF!</v>
      </c>
    </row>
    <row r="17" customFormat="false" ht="12.8" hidden="false" customHeight="false" outlineLevel="0" collapsed="false">
      <c r="A17" s="50" t="e">
        <f aca="false">_xlfn.CONCAT($A$1, ".", #REF!)</f>
        <v>#REF!</v>
      </c>
      <c r="B17" s="64" t="e">
        <f aca="false">_xlfn.CONCAT(#REF!, ":", #REF!)</f>
        <v>#REF!</v>
      </c>
      <c r="C17" s="65" t="e">
        <f aca="false">#REF!</f>
        <v>#REF!</v>
      </c>
      <c r="D17" s="65" t="e">
        <f aca="false">#REF!</f>
        <v>#REF!</v>
      </c>
      <c r="E17" s="65" t="e">
        <f aca="false">#REF!</f>
        <v>#REF!</v>
      </c>
      <c r="F17" s="65" t="e">
        <f aca="false">#REF!</f>
        <v>#REF!</v>
      </c>
    </row>
    <row r="18" customFormat="false" ht="12.8" hidden="false" customHeight="false" outlineLevel="0" collapsed="false">
      <c r="A18" s="50" t="e">
        <f aca="false">_xlfn.CONCAT($A$1, ".", #REF!)</f>
        <v>#REF!</v>
      </c>
      <c r="B18" s="64" t="e">
        <f aca="false">_xlfn.CONCAT(#REF!, ":", #REF!)</f>
        <v>#REF!</v>
      </c>
      <c r="C18" s="65" t="e">
        <f aca="false">#REF!</f>
        <v>#REF!</v>
      </c>
      <c r="D18" s="65" t="e">
        <f aca="false">#REF!</f>
        <v>#REF!</v>
      </c>
      <c r="E18" s="65" t="e">
        <f aca="false">#REF!</f>
        <v>#REF!</v>
      </c>
      <c r="F18" s="65" t="e">
        <f aca="false">#REF!</f>
        <v>#REF!</v>
      </c>
    </row>
    <row r="19" customFormat="false" ht="12.8" hidden="false" customHeight="false" outlineLevel="0" collapsed="false">
      <c r="A19" s="50" t="e">
        <f aca="false">_xlfn.CONCAT($A$1, ".", #REF!)</f>
        <v>#REF!</v>
      </c>
      <c r="B19" s="64" t="e">
        <f aca="false">_xlfn.CONCAT(#REF!, ":", #REF!)</f>
        <v>#REF!</v>
      </c>
      <c r="C19" s="65" t="e">
        <f aca="false">#REF!</f>
        <v>#REF!</v>
      </c>
      <c r="D19" s="65" t="e">
        <f aca="false">#REF!</f>
        <v>#REF!</v>
      </c>
      <c r="E19" s="65" t="e">
        <f aca="false">#REF!</f>
        <v>#REF!</v>
      </c>
      <c r="F19" s="65" t="e">
        <f aca="false">#REF!</f>
        <v>#REF!</v>
      </c>
    </row>
    <row r="20" customFormat="false" ht="12.8" hidden="false" customHeight="false" outlineLevel="0" collapsed="false">
      <c r="A20" s="50" t="e">
        <f aca="false">_xlfn.CONCAT($A$1, ".", #REF!)</f>
        <v>#REF!</v>
      </c>
      <c r="B20" s="64" t="e">
        <f aca="false">_xlfn.CONCAT(#REF!, ":", #REF!)</f>
        <v>#REF!</v>
      </c>
      <c r="C20" s="65" t="e">
        <f aca="false">#REF!</f>
        <v>#REF!</v>
      </c>
      <c r="D20" s="65" t="e">
        <f aca="false">#REF!</f>
        <v>#REF!</v>
      </c>
      <c r="E20" s="65" t="e">
        <f aca="false">#REF!</f>
        <v>#REF!</v>
      </c>
      <c r="F20" s="65" t="e">
        <f aca="false">#REF!</f>
        <v>#REF!</v>
      </c>
    </row>
    <row r="21" customFormat="false" ht="12.8" hidden="false" customHeight="false" outlineLevel="0" collapsed="false">
      <c r="A21" s="50" t="e">
        <f aca="false">_xlfn.CONCAT($A$1, ".", #REF!)</f>
        <v>#REF!</v>
      </c>
      <c r="B21" s="64" t="e">
        <f aca="false">_xlfn.CONCAT(#REF!, ":", #REF!)</f>
        <v>#REF!</v>
      </c>
      <c r="C21" s="65" t="e">
        <f aca="false">#REF!</f>
        <v>#REF!</v>
      </c>
      <c r="D21" s="65" t="e">
        <f aca="false">#REF!</f>
        <v>#REF!</v>
      </c>
      <c r="E21" s="65" t="e">
        <f aca="false">#REF!</f>
        <v>#REF!</v>
      </c>
      <c r="F21" s="65" t="e">
        <f aca="false">#REF!</f>
        <v>#REF!</v>
      </c>
    </row>
    <row r="22" customFormat="false" ht="12.8" hidden="false" customHeight="false" outlineLevel="0" collapsed="false">
      <c r="A22" s="50" t="e">
        <f aca="false">_xlfn.CONCAT($A$1, ".", #REF!)</f>
        <v>#REF!</v>
      </c>
      <c r="B22" s="64" t="e">
        <f aca="false">_xlfn.CONCAT(#REF!, ":", #REF!)</f>
        <v>#REF!</v>
      </c>
      <c r="C22" s="65" t="e">
        <f aca="false">#REF!</f>
        <v>#REF!</v>
      </c>
      <c r="D22" s="65" t="e">
        <f aca="false">#REF!</f>
        <v>#REF!</v>
      </c>
      <c r="E22" s="65" t="e">
        <f aca="false">#REF!</f>
        <v>#REF!</v>
      </c>
      <c r="F22" s="65" t="e">
        <f aca="false">#REF!</f>
        <v>#REF!</v>
      </c>
    </row>
    <row r="23" customFormat="false" ht="12.8" hidden="false" customHeight="false" outlineLevel="0" collapsed="false">
      <c r="A23" s="50" t="e">
        <f aca="false">_xlfn.CONCAT($A$1, ".", #REF!)</f>
        <v>#REF!</v>
      </c>
      <c r="B23" s="64" t="e">
        <f aca="false">_xlfn.CONCAT(#REF!, ":", #REF!)</f>
        <v>#REF!</v>
      </c>
      <c r="C23" s="65" t="e">
        <f aca="false">#REF!</f>
        <v>#REF!</v>
      </c>
      <c r="D23" s="65" t="e">
        <f aca="false">#REF!</f>
        <v>#REF!</v>
      </c>
      <c r="E23" s="65" t="e">
        <f aca="false">#REF!</f>
        <v>#REF!</v>
      </c>
      <c r="F23" s="65" t="e">
        <f aca="false">#REF!</f>
        <v>#REF!</v>
      </c>
    </row>
    <row r="24" customFormat="false" ht="12.8" hidden="false" customHeight="false" outlineLevel="0" collapsed="false">
      <c r="A24" s="50" t="e">
        <f aca="false">_xlfn.CONCAT($A$1, ".", #REF!)</f>
        <v>#REF!</v>
      </c>
      <c r="B24" s="64" t="e">
        <f aca="false">_xlfn.CONCAT(#REF!, ":", #REF!)</f>
        <v>#REF!</v>
      </c>
      <c r="C24" s="65" t="e">
        <f aca="false">#REF!</f>
        <v>#REF!</v>
      </c>
      <c r="D24" s="65" t="e">
        <f aca="false">#REF!</f>
        <v>#REF!</v>
      </c>
      <c r="E24" s="65" t="e">
        <f aca="false">#REF!</f>
        <v>#REF!</v>
      </c>
      <c r="F24" s="65" t="e">
        <f aca="false">#REF!</f>
        <v>#REF!</v>
      </c>
    </row>
    <row r="25" customFormat="false" ht="12.8" hidden="false" customHeight="false" outlineLevel="0" collapsed="false">
      <c r="A25" s="50" t="e">
        <f aca="false">_xlfn.CONCAT($A$1, ".", #REF!)</f>
        <v>#REF!</v>
      </c>
      <c r="B25" s="64" t="e">
        <f aca="false">_xlfn.CONCAT(#REF!, ":", #REF!)</f>
        <v>#REF!</v>
      </c>
      <c r="C25" s="65" t="e">
        <f aca="false">#REF!</f>
        <v>#REF!</v>
      </c>
      <c r="D25" s="65" t="e">
        <f aca="false">#REF!</f>
        <v>#REF!</v>
      </c>
      <c r="E25" s="65" t="e">
        <f aca="false">#REF!</f>
        <v>#REF!</v>
      </c>
      <c r="F25" s="65" t="e">
        <f aca="false">#REF!</f>
        <v>#REF!</v>
      </c>
    </row>
    <row r="26" customFormat="false" ht="12.8" hidden="false" customHeight="false" outlineLevel="0" collapsed="false">
      <c r="A26" s="50" t="e">
        <f aca="false">_xlfn.CONCAT($A$1, ".", #REF!)</f>
        <v>#REF!</v>
      </c>
      <c r="B26" s="64" t="e">
        <f aca="false">_xlfn.CONCAT(#REF!, ":", #REF!)</f>
        <v>#REF!</v>
      </c>
      <c r="C26" s="65" t="e">
        <f aca="false">#REF!</f>
        <v>#REF!</v>
      </c>
      <c r="D26" s="65" t="e">
        <f aca="false">#REF!</f>
        <v>#REF!</v>
      </c>
      <c r="E26" s="65" t="e">
        <f aca="false">#REF!</f>
        <v>#REF!</v>
      </c>
      <c r="F26" s="65" t="e">
        <f aca="false">#REF!</f>
        <v>#REF!</v>
      </c>
    </row>
    <row r="27" customFormat="false" ht="12.8" hidden="false" customHeight="false" outlineLevel="0" collapsed="false">
      <c r="A27" s="50" t="e">
        <f aca="false">_xlfn.CONCAT($A$1, ".", #REF!)</f>
        <v>#REF!</v>
      </c>
      <c r="B27" s="64" t="e">
        <f aca="false">_xlfn.CONCAT(#REF!, ":", #REF!)</f>
        <v>#REF!</v>
      </c>
      <c r="C27" s="65" t="e">
        <f aca="false">#REF!</f>
        <v>#REF!</v>
      </c>
      <c r="D27" s="65" t="e">
        <f aca="false">#REF!</f>
        <v>#REF!</v>
      </c>
      <c r="E27" s="65" t="e">
        <f aca="false">#REF!</f>
        <v>#REF!</v>
      </c>
      <c r="F27" s="65" t="e">
        <f aca="false">#REF!</f>
        <v>#REF!</v>
      </c>
    </row>
    <row r="28" customFormat="false" ht="12.8" hidden="false" customHeight="false" outlineLevel="0" collapsed="false">
      <c r="A28" s="50" t="e">
        <f aca="false">_xlfn.CONCAT($A$1, ".", #REF!)</f>
        <v>#REF!</v>
      </c>
      <c r="B28" s="64" t="e">
        <f aca="false">_xlfn.CONCAT(#REF!, ":", #REF!)</f>
        <v>#REF!</v>
      </c>
      <c r="C28" s="65" t="e">
        <f aca="false">#REF!</f>
        <v>#REF!</v>
      </c>
      <c r="D28" s="65" t="e">
        <f aca="false">#REF!</f>
        <v>#REF!</v>
      </c>
      <c r="E28" s="65" t="e">
        <f aca="false">#REF!</f>
        <v>#REF!</v>
      </c>
      <c r="F28" s="65" t="e">
        <f aca="false">#REF!</f>
        <v>#REF!</v>
      </c>
    </row>
    <row r="29" customFormat="false" ht="12.8" hidden="false" customHeight="false" outlineLevel="0" collapsed="false">
      <c r="A29" s="50" t="e">
        <f aca="false">_xlfn.CONCAT($A$1, ".", #REF!)</f>
        <v>#REF!</v>
      </c>
      <c r="B29" s="64" t="e">
        <f aca="false">_xlfn.CONCAT(#REF!, ":", #REF!)</f>
        <v>#REF!</v>
      </c>
      <c r="C29" s="65" t="e">
        <f aca="false">#REF!</f>
        <v>#REF!</v>
      </c>
      <c r="D29" s="65" t="e">
        <f aca="false">#REF!</f>
        <v>#REF!</v>
      </c>
      <c r="E29" s="65" t="e">
        <f aca="false">#REF!</f>
        <v>#REF!</v>
      </c>
      <c r="F29" s="65" t="e">
        <f aca="false">#REF!</f>
        <v>#REF!</v>
      </c>
    </row>
    <row r="30" customFormat="false" ht="12.8" hidden="false" customHeight="false" outlineLevel="0" collapsed="false">
      <c r="A30" s="50" t="e">
        <f aca="false">_xlfn.CONCAT($A$1, ".", #REF!)</f>
        <v>#REF!</v>
      </c>
      <c r="B30" s="64" t="e">
        <f aca="false">_xlfn.CONCAT(#REF!, ":", #REF!)</f>
        <v>#REF!</v>
      </c>
      <c r="C30" s="65" t="e">
        <f aca="false">#REF!</f>
        <v>#REF!</v>
      </c>
      <c r="D30" s="65" t="e">
        <f aca="false">#REF!</f>
        <v>#REF!</v>
      </c>
      <c r="E30" s="65" t="e">
        <f aca="false">#REF!</f>
        <v>#REF!</v>
      </c>
      <c r="F30" s="65" t="e">
        <f aca="false">#REF!</f>
        <v>#REF!</v>
      </c>
    </row>
    <row r="31" customFormat="false" ht="12.8" hidden="false" customHeight="false" outlineLevel="0" collapsed="false">
      <c r="A31" s="50" t="e">
        <f aca="false">_xlfn.CONCAT($A$1, ".", #REF!)</f>
        <v>#REF!</v>
      </c>
      <c r="B31" s="64" t="e">
        <f aca="false">_xlfn.CONCAT(#REF!, ":", #REF!)</f>
        <v>#REF!</v>
      </c>
      <c r="C31" s="65" t="e">
        <f aca="false">#REF!</f>
        <v>#REF!</v>
      </c>
      <c r="D31" s="65" t="e">
        <f aca="false">#REF!</f>
        <v>#REF!</v>
      </c>
      <c r="E31" s="65" t="e">
        <f aca="false">#REF!</f>
        <v>#REF!</v>
      </c>
      <c r="F31" s="65" t="e">
        <f aca="false">#REF!</f>
        <v>#REF!</v>
      </c>
    </row>
    <row r="32" customFormat="false" ht="12.8" hidden="false" customHeight="false" outlineLevel="0" collapsed="false">
      <c r="A32" s="50" t="e">
        <f aca="false">_xlfn.CONCAT($A$1, ".", #REF!)</f>
        <v>#REF!</v>
      </c>
      <c r="B32" s="64" t="e">
        <f aca="false">_xlfn.CONCAT(#REF!, ":", #REF!)</f>
        <v>#REF!</v>
      </c>
      <c r="C32" s="65" t="e">
        <f aca="false">#REF!</f>
        <v>#REF!</v>
      </c>
      <c r="D32" s="65" t="e">
        <f aca="false">#REF!</f>
        <v>#REF!</v>
      </c>
      <c r="E32" s="65" t="e">
        <f aca="false">#REF!</f>
        <v>#REF!</v>
      </c>
      <c r="F32" s="65" t="e">
        <f aca="false">#REF!</f>
        <v>#REF!</v>
      </c>
    </row>
    <row r="33" customFormat="false" ht="12.8" hidden="false" customHeight="false" outlineLevel="0" collapsed="false">
      <c r="A33" s="50" t="e">
        <f aca="false">_xlfn.CONCAT($A$1, ".", #REF!)</f>
        <v>#REF!</v>
      </c>
      <c r="B33" s="64" t="e">
        <f aca="false">_xlfn.CONCAT(#REF!, ":", #REF!)</f>
        <v>#REF!</v>
      </c>
      <c r="C33" s="65" t="e">
        <f aca="false">#REF!</f>
        <v>#REF!</v>
      </c>
      <c r="D33" s="65" t="e">
        <f aca="false">#REF!</f>
        <v>#REF!</v>
      </c>
      <c r="E33" s="65" t="e">
        <f aca="false">#REF!</f>
        <v>#REF!</v>
      </c>
      <c r="F33" s="65" t="e">
        <f aca="false">#REF!</f>
        <v>#REF!</v>
      </c>
    </row>
    <row r="34" customFormat="false" ht="12.8" hidden="false" customHeight="false" outlineLevel="0" collapsed="false">
      <c r="A34" s="50" t="e">
        <f aca="false">_xlfn.CONCAT($A$1, ".", #REF!)</f>
        <v>#REF!</v>
      </c>
      <c r="B34" s="64" t="e">
        <f aca="false">_xlfn.CONCAT(#REF!, ":", #REF!)</f>
        <v>#REF!</v>
      </c>
      <c r="C34" s="65" t="e">
        <f aca="false">#REF!</f>
        <v>#REF!</v>
      </c>
      <c r="D34" s="65" t="e">
        <f aca="false">#REF!</f>
        <v>#REF!</v>
      </c>
      <c r="E34" s="65" t="e">
        <f aca="false">#REF!</f>
        <v>#REF!</v>
      </c>
      <c r="F34" s="65" t="e">
        <f aca="false">#REF!</f>
        <v>#REF!</v>
      </c>
    </row>
    <row r="35" customFormat="false" ht="12.8" hidden="false" customHeight="false" outlineLevel="0" collapsed="false">
      <c r="A35" s="50" t="e">
        <f aca="false">_xlfn.CONCAT($A$1, ".", #REF!)</f>
        <v>#REF!</v>
      </c>
      <c r="B35" s="64" t="e">
        <f aca="false">_xlfn.CONCAT(#REF!, ":", #REF!)</f>
        <v>#REF!</v>
      </c>
      <c r="C35" s="65" t="e">
        <f aca="false">#REF!</f>
        <v>#REF!</v>
      </c>
      <c r="D35" s="65" t="e">
        <f aca="false">#REF!</f>
        <v>#REF!</v>
      </c>
      <c r="E35" s="65" t="e">
        <f aca="false">#REF!</f>
        <v>#REF!</v>
      </c>
      <c r="F35" s="65" t="e">
        <f aca="false">#REF!</f>
        <v>#REF!</v>
      </c>
    </row>
    <row r="36" customFormat="false" ht="12.8" hidden="false" customHeight="false" outlineLevel="0" collapsed="false">
      <c r="A36" s="50" t="e">
        <f aca="false">_xlfn.CONCAT($A$1, ".", #REF!)</f>
        <v>#REF!</v>
      </c>
      <c r="B36" s="64" t="e">
        <f aca="false">_xlfn.CONCAT(#REF!, ":", #REF!)</f>
        <v>#REF!</v>
      </c>
      <c r="C36" s="65" t="e">
        <f aca="false">#REF!</f>
        <v>#REF!</v>
      </c>
      <c r="D36" s="65" t="e">
        <f aca="false">#REF!</f>
        <v>#REF!</v>
      </c>
      <c r="E36" s="65" t="e">
        <f aca="false">#REF!</f>
        <v>#REF!</v>
      </c>
      <c r="F36" s="65" t="e">
        <f aca="false">#REF!</f>
        <v>#REF!</v>
      </c>
    </row>
    <row r="37" customFormat="false" ht="12.8" hidden="false" customHeight="false" outlineLevel="0" collapsed="false">
      <c r="A37" s="50" t="e">
        <f aca="false">_xlfn.CONCAT($A$1, ".", #REF!)</f>
        <v>#REF!</v>
      </c>
      <c r="B37" s="64" t="e">
        <f aca="false">_xlfn.CONCAT(#REF!, ":", #REF!)</f>
        <v>#REF!</v>
      </c>
      <c r="C37" s="65" t="e">
        <f aca="false">#REF!</f>
        <v>#REF!</v>
      </c>
      <c r="D37" s="65" t="e">
        <f aca="false">#REF!</f>
        <v>#REF!</v>
      </c>
      <c r="E37" s="65" t="e">
        <f aca="false">#REF!</f>
        <v>#REF!</v>
      </c>
      <c r="F37" s="65" t="e">
        <f aca="false">#REF!</f>
        <v>#REF!</v>
      </c>
    </row>
    <row r="38" customFormat="false" ht="12.8" hidden="false" customHeight="false" outlineLevel="0" collapsed="false">
      <c r="A38" s="50" t="e">
        <f aca="false">_xlfn.CONCAT($A$1, ".", #REF!)</f>
        <v>#REF!</v>
      </c>
      <c r="B38" s="64" t="e">
        <f aca="false">_xlfn.CONCAT(#REF!, ":", #REF!)</f>
        <v>#REF!</v>
      </c>
      <c r="C38" s="65" t="e">
        <f aca="false">#REF!</f>
        <v>#REF!</v>
      </c>
      <c r="D38" s="65" t="e">
        <f aca="false">#REF!</f>
        <v>#REF!</v>
      </c>
      <c r="E38" s="65" t="e">
        <f aca="false">#REF!</f>
        <v>#REF!</v>
      </c>
      <c r="F38" s="65" t="e">
        <f aca="false">#REF!</f>
        <v>#REF!</v>
      </c>
    </row>
    <row r="39" customFormat="false" ht="12.8" hidden="false" customHeight="false" outlineLevel="0" collapsed="false">
      <c r="A39" s="50" t="e">
        <f aca="false">_xlfn.CONCAT($A$1, ".", #REF!)</f>
        <v>#REF!</v>
      </c>
      <c r="B39" s="64" t="e">
        <f aca="false">_xlfn.CONCAT(#REF!, ":", #REF!)</f>
        <v>#REF!</v>
      </c>
      <c r="C39" s="65" t="e">
        <f aca="false">#REF!</f>
        <v>#REF!</v>
      </c>
      <c r="D39" s="65" t="e">
        <f aca="false">#REF!</f>
        <v>#REF!</v>
      </c>
      <c r="E39" s="65" t="e">
        <f aca="false">#REF!</f>
        <v>#REF!</v>
      </c>
      <c r="F39" s="65" t="e">
        <f aca="false">#REF!</f>
        <v>#REF!</v>
      </c>
    </row>
    <row r="40" customFormat="false" ht="12.8" hidden="false" customHeight="false" outlineLevel="0" collapsed="false">
      <c r="A40" s="50" t="e">
        <f aca="false">_xlfn.CONCAT($A$1, ".", #REF!)</f>
        <v>#REF!</v>
      </c>
      <c r="B40" s="64" t="e">
        <f aca="false">_xlfn.CONCAT(#REF!, ":", #REF!)</f>
        <v>#REF!</v>
      </c>
      <c r="C40" s="65" t="e">
        <f aca="false">#REF!</f>
        <v>#REF!</v>
      </c>
      <c r="D40" s="65" t="e">
        <f aca="false">#REF!</f>
        <v>#REF!</v>
      </c>
      <c r="E40" s="65" t="e">
        <f aca="false">#REF!</f>
        <v>#REF!</v>
      </c>
      <c r="F40" s="65" t="e">
        <f aca="false">#REF!</f>
        <v>#REF!</v>
      </c>
    </row>
    <row r="41" customFormat="false" ht="12.8" hidden="false" customHeight="false" outlineLevel="0" collapsed="false">
      <c r="A41" s="50" t="e">
        <f aca="false">_xlfn.CONCAT($A$1, ".", #REF!)</f>
        <v>#REF!</v>
      </c>
      <c r="B41" s="64" t="e">
        <f aca="false">_xlfn.CONCAT(#REF!, ":", #REF!)</f>
        <v>#REF!</v>
      </c>
      <c r="C41" s="65" t="e">
        <f aca="false">#REF!</f>
        <v>#REF!</v>
      </c>
      <c r="D41" s="65" t="e">
        <f aca="false">#REF!</f>
        <v>#REF!</v>
      </c>
      <c r="E41" s="65" t="e">
        <f aca="false">#REF!</f>
        <v>#REF!</v>
      </c>
      <c r="F41" s="65" t="e">
        <f aca="false">#REF!</f>
        <v>#REF!</v>
      </c>
    </row>
    <row r="42" customFormat="false" ht="12.8" hidden="false" customHeight="false" outlineLevel="0" collapsed="false">
      <c r="A42" s="50" t="e">
        <f aca="false">_xlfn.CONCAT($A$1, ".", #REF!)</f>
        <v>#REF!</v>
      </c>
      <c r="B42" s="64" t="e">
        <f aca="false">_xlfn.CONCAT(#REF!, ":", #REF!)</f>
        <v>#REF!</v>
      </c>
      <c r="C42" s="65" t="e">
        <f aca="false">#REF!</f>
        <v>#REF!</v>
      </c>
      <c r="D42" s="65" t="e">
        <f aca="false">#REF!</f>
        <v>#REF!</v>
      </c>
      <c r="E42" s="65" t="e">
        <f aca="false">#REF!</f>
        <v>#REF!</v>
      </c>
      <c r="F42" s="65" t="e">
        <f aca="false">#REF!</f>
        <v>#REF!</v>
      </c>
    </row>
    <row r="43" customFormat="false" ht="12.8" hidden="false" customHeight="false" outlineLevel="0" collapsed="false">
      <c r="A43" s="50" t="e">
        <f aca="false">_xlfn.CONCAT($A$1, ".", #REF!)</f>
        <v>#REF!</v>
      </c>
      <c r="B43" s="64" t="e">
        <f aca="false">_xlfn.CONCAT(#REF!, ":", #REF!)</f>
        <v>#REF!</v>
      </c>
      <c r="C43" s="65" t="e">
        <f aca="false">#REF!</f>
        <v>#REF!</v>
      </c>
      <c r="D43" s="65" t="e">
        <f aca="false">#REF!</f>
        <v>#REF!</v>
      </c>
      <c r="E43" s="65" t="e">
        <f aca="false">#REF!</f>
        <v>#REF!</v>
      </c>
      <c r="F43" s="65" t="e">
        <f aca="false">#REF!</f>
        <v>#REF!</v>
      </c>
    </row>
    <row r="44" customFormat="false" ht="12.8" hidden="false" customHeight="false" outlineLevel="0" collapsed="false">
      <c r="A44" s="50" t="e">
        <f aca="false">_xlfn.CONCAT($A$1, ".", #REF!)</f>
        <v>#REF!</v>
      </c>
      <c r="B44" s="64" t="e">
        <f aca="false">_xlfn.CONCAT(#REF!, ":", #REF!)</f>
        <v>#REF!</v>
      </c>
      <c r="C44" s="65" t="e">
        <f aca="false">#REF!</f>
        <v>#REF!</v>
      </c>
      <c r="D44" s="65" t="e">
        <f aca="false">#REF!</f>
        <v>#REF!</v>
      </c>
      <c r="E44" s="65" t="e">
        <f aca="false">#REF!</f>
        <v>#REF!</v>
      </c>
      <c r="F44" s="65" t="e">
        <f aca="false">#REF!</f>
        <v>#REF!</v>
      </c>
    </row>
    <row r="45" customFormat="false" ht="12.8" hidden="false" customHeight="false" outlineLevel="0" collapsed="false">
      <c r="A45" s="50" t="e">
        <f aca="false">_xlfn.CONCAT($A$1, ".", #REF!)</f>
        <v>#REF!</v>
      </c>
      <c r="B45" s="64" t="e">
        <f aca="false">_xlfn.CONCAT(#REF!, ":", #REF!)</f>
        <v>#REF!</v>
      </c>
      <c r="C45" s="65" t="e">
        <f aca="false">#REF!</f>
        <v>#REF!</v>
      </c>
      <c r="D45" s="65" t="e">
        <f aca="false">#REF!</f>
        <v>#REF!</v>
      </c>
      <c r="E45" s="65" t="e">
        <f aca="false">#REF!</f>
        <v>#REF!</v>
      </c>
      <c r="F45" s="65" t="e">
        <f aca="false">#REF!</f>
        <v>#REF!</v>
      </c>
    </row>
    <row r="46" customFormat="false" ht="12.8" hidden="false" customHeight="false" outlineLevel="0" collapsed="false">
      <c r="A46" s="50" t="e">
        <f aca="false">_xlfn.CONCAT($A$1, ".", #REF!)</f>
        <v>#REF!</v>
      </c>
      <c r="B46" s="64" t="e">
        <f aca="false">_xlfn.CONCAT(#REF!, ":", #REF!)</f>
        <v>#REF!</v>
      </c>
      <c r="C46" s="65" t="e">
        <f aca="false">#REF!</f>
        <v>#REF!</v>
      </c>
      <c r="D46" s="65" t="e">
        <f aca="false">#REF!</f>
        <v>#REF!</v>
      </c>
      <c r="E46" s="65" t="e">
        <f aca="false">#REF!</f>
        <v>#REF!</v>
      </c>
      <c r="F46" s="65" t="e">
        <f aca="false">#REF!</f>
        <v>#REF!</v>
      </c>
    </row>
    <row r="47" customFormat="false" ht="12.8" hidden="false" customHeight="false" outlineLevel="0" collapsed="false">
      <c r="A47" s="50" t="e">
        <f aca="false">_xlfn.CONCAT($A$1, ".", #REF!)</f>
        <v>#REF!</v>
      </c>
      <c r="B47" s="64" t="e">
        <f aca="false">_xlfn.CONCAT(#REF!, ":", #REF!)</f>
        <v>#REF!</v>
      </c>
      <c r="C47" s="65" t="e">
        <f aca="false">#REF!</f>
        <v>#REF!</v>
      </c>
      <c r="D47" s="65" t="e">
        <f aca="false">#REF!</f>
        <v>#REF!</v>
      </c>
      <c r="E47" s="65" t="e">
        <f aca="false">#REF!</f>
        <v>#REF!</v>
      </c>
      <c r="F47" s="65" t="e">
        <f aca="false">#REF!</f>
        <v>#REF!</v>
      </c>
    </row>
    <row r="48" customFormat="false" ht="12.8" hidden="false" customHeight="false" outlineLevel="0" collapsed="false">
      <c r="A48" s="50" t="e">
        <f aca="false">_xlfn.CONCAT($A$1, ".", #REF!)</f>
        <v>#REF!</v>
      </c>
      <c r="B48" s="64" t="e">
        <f aca="false">_xlfn.CONCAT(#REF!, ":", #REF!)</f>
        <v>#REF!</v>
      </c>
      <c r="C48" s="65" t="e">
        <f aca="false">#REF!</f>
        <v>#REF!</v>
      </c>
      <c r="D48" s="65" t="e">
        <f aca="false">#REF!</f>
        <v>#REF!</v>
      </c>
      <c r="E48" s="65" t="e">
        <f aca="false">#REF!</f>
        <v>#REF!</v>
      </c>
      <c r="F48" s="65" t="e">
        <f aca="false">#REF!</f>
        <v>#REF!</v>
      </c>
    </row>
    <row r="49" customFormat="false" ht="12.8" hidden="false" customHeight="false" outlineLevel="0" collapsed="false">
      <c r="A49" s="50" t="e">
        <f aca="false">_xlfn.CONCAT($A$1, ".", #REF!)</f>
        <v>#REF!</v>
      </c>
      <c r="B49" s="64" t="e">
        <f aca="false">_xlfn.CONCAT(#REF!, ":", #REF!)</f>
        <v>#REF!</v>
      </c>
      <c r="C49" s="65" t="e">
        <f aca="false">#REF!</f>
        <v>#REF!</v>
      </c>
      <c r="D49" s="65" t="e">
        <f aca="false">#REF!</f>
        <v>#REF!</v>
      </c>
      <c r="E49" s="65" t="e">
        <f aca="false">#REF!</f>
        <v>#REF!</v>
      </c>
      <c r="F49" s="65" t="e">
        <f aca="false">#REF!</f>
        <v>#REF!</v>
      </c>
    </row>
    <row r="50" customFormat="false" ht="12.8" hidden="false" customHeight="false" outlineLevel="0" collapsed="false">
      <c r="A50" s="50" t="e">
        <f aca="false">_xlfn.CONCAT($A$1, ".", #REF!)</f>
        <v>#REF!</v>
      </c>
      <c r="B50" s="64" t="e">
        <f aca="false">_xlfn.CONCAT(#REF!, ":", #REF!)</f>
        <v>#REF!</v>
      </c>
      <c r="C50" s="65" t="e">
        <f aca="false">#REF!</f>
        <v>#REF!</v>
      </c>
      <c r="D50" s="65" t="e">
        <f aca="false">#REF!</f>
        <v>#REF!</v>
      </c>
      <c r="E50" s="65" t="e">
        <f aca="false">#REF!</f>
        <v>#REF!</v>
      </c>
      <c r="F50" s="65" t="e">
        <f aca="false">#REF!</f>
        <v>#REF!</v>
      </c>
    </row>
    <row r="51" customFormat="false" ht="12.8" hidden="false" customHeight="false" outlineLevel="0" collapsed="false">
      <c r="A51" s="50" t="e">
        <f aca="false">_xlfn.CONCAT($A$1, ".", #REF!)</f>
        <v>#REF!</v>
      </c>
      <c r="B51" s="64" t="e">
        <f aca="false">_xlfn.CONCAT(#REF!, ":", #REF!)</f>
        <v>#REF!</v>
      </c>
      <c r="C51" s="65" t="e">
        <f aca="false">#REF!</f>
        <v>#REF!</v>
      </c>
      <c r="D51" s="65" t="e">
        <f aca="false">#REF!</f>
        <v>#REF!</v>
      </c>
      <c r="E51" s="65" t="e">
        <f aca="false">#REF!</f>
        <v>#REF!</v>
      </c>
      <c r="F51" s="65" t="e">
        <f aca="false">#REF!</f>
        <v>#REF!</v>
      </c>
    </row>
    <row r="52" customFormat="false" ht="12.8" hidden="false" customHeight="false" outlineLevel="0" collapsed="false">
      <c r="A52" s="50" t="e">
        <f aca="false">_xlfn.CONCAT($A$1, ".", #REF!)</f>
        <v>#REF!</v>
      </c>
      <c r="B52" s="64" t="e">
        <f aca="false">_xlfn.CONCAT(#REF!, ":", #REF!)</f>
        <v>#REF!</v>
      </c>
      <c r="C52" s="65" t="e">
        <f aca="false">#REF!</f>
        <v>#REF!</v>
      </c>
      <c r="D52" s="65" t="e">
        <f aca="false">#REF!</f>
        <v>#REF!</v>
      </c>
      <c r="E52" s="65" t="e">
        <f aca="false">#REF!</f>
        <v>#REF!</v>
      </c>
      <c r="F52" s="65" t="e">
        <f aca="false">#REF!</f>
        <v>#REF!</v>
      </c>
    </row>
    <row r="53" customFormat="false" ht="12.8" hidden="false" customHeight="false" outlineLevel="0" collapsed="false">
      <c r="A53" s="50" t="e">
        <f aca="false">_xlfn.CONCAT($A$1, ".", #REF!)</f>
        <v>#REF!</v>
      </c>
      <c r="B53" s="64" t="e">
        <f aca="false">_xlfn.CONCAT(#REF!, ":", #REF!)</f>
        <v>#REF!</v>
      </c>
      <c r="C53" s="65" t="e">
        <f aca="false">#REF!</f>
        <v>#REF!</v>
      </c>
      <c r="D53" s="65" t="e">
        <f aca="false">#REF!</f>
        <v>#REF!</v>
      </c>
      <c r="E53" s="65" t="e">
        <f aca="false">#REF!</f>
        <v>#REF!</v>
      </c>
      <c r="F53" s="65" t="e">
        <f aca="false">#REF!</f>
        <v>#REF!</v>
      </c>
    </row>
    <row r="54" customFormat="false" ht="12.8" hidden="false" customHeight="false" outlineLevel="0" collapsed="false">
      <c r="A54" s="50" t="e">
        <f aca="false">_xlfn.CONCAT($A$1, ".", #REF!)</f>
        <v>#REF!</v>
      </c>
      <c r="B54" s="64" t="e">
        <f aca="false">_xlfn.CONCAT(#REF!, ":", #REF!)</f>
        <v>#REF!</v>
      </c>
      <c r="C54" s="65" t="e">
        <f aca="false">#REF!</f>
        <v>#REF!</v>
      </c>
      <c r="D54" s="65" t="e">
        <f aca="false">#REF!</f>
        <v>#REF!</v>
      </c>
      <c r="E54" s="65" t="e">
        <f aca="false">#REF!</f>
        <v>#REF!</v>
      </c>
      <c r="F54" s="65" t="e">
        <f aca="false">#REF!</f>
        <v>#REF!</v>
      </c>
    </row>
    <row r="55" customFormat="false" ht="12.8" hidden="false" customHeight="false" outlineLevel="0" collapsed="false">
      <c r="A55" s="50" t="e">
        <f aca="false">_xlfn.CONCAT($A$1, ".", #REF!)</f>
        <v>#REF!</v>
      </c>
      <c r="B55" s="64" t="e">
        <f aca="false">_xlfn.CONCAT(#REF!, ":", #REF!)</f>
        <v>#REF!</v>
      </c>
      <c r="C55" s="65" t="e">
        <f aca="false">#REF!</f>
        <v>#REF!</v>
      </c>
      <c r="D55" s="65" t="e">
        <f aca="false">#REF!</f>
        <v>#REF!</v>
      </c>
      <c r="E55" s="65" t="e">
        <f aca="false">#REF!</f>
        <v>#REF!</v>
      </c>
      <c r="F55" s="6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BP249"/>
  <sheetViews>
    <sheetView showFormulas="false" showGridLines="true" showRowColHeaders="true" showZeros="true" rightToLeft="false" tabSelected="false" showOutlineSymbols="true" defaultGridColor="true" view="normal" topLeftCell="A111" colorId="64" zoomScale="75" zoomScaleNormal="75" zoomScalePageLayoutView="100" workbookViewId="0">
      <selection pane="topLeft" activeCell="E155" activeCellId="0" sqref="E1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5"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2833</v>
      </c>
      <c r="B1" s="76" t="s">
        <v>2838</v>
      </c>
      <c r="C1" s="6" t="s">
        <v>2</v>
      </c>
      <c r="D1" s="39" t="s">
        <v>2839</v>
      </c>
      <c r="AZ1" s="39"/>
      <c r="BP1" s="39"/>
    </row>
    <row r="2" customFormat="false" ht="46.25" hidden="false" customHeight="false" outlineLevel="0" collapsed="false">
      <c r="A2" s="77" t="s">
        <v>2813</v>
      </c>
      <c r="B2" s="78" t="s">
        <v>2814</v>
      </c>
      <c r="C2" s="79" t="str">
        <f aca="false">CALC!CD3</f>
        <v>Full-Time Employment Rate</v>
      </c>
      <c r="D2" s="79" t="str">
        <f aca="false">CALC!CE3</f>
        <v>Authorized Immigrant Full-Time Employment Rate</v>
      </c>
      <c r="E2" s="79" t="str">
        <f aca="false">CALC!CF3</f>
        <v>Unauthorized Immigrant Full-Time Employment Rate</v>
      </c>
      <c r="F2" s="79" t="str">
        <f aca="false">CALC!CG3</f>
        <v>American Full-Time Employment Rate</v>
      </c>
    </row>
    <row r="3" customFormat="false" ht="12.8" hidden="false" customHeight="false" outlineLevel="0" collapsed="false">
      <c r="A3" s="50" t="e">
        <f aca="false">_xlfn.CONCAT($A$1, ".", #REF!)</f>
        <v>#REF!</v>
      </c>
      <c r="B3" s="64" t="e">
        <f aca="false">_xlfn.CONCAT(#REF!, ":", #REF!)</f>
        <v>#REF!</v>
      </c>
      <c r="C3" s="79" t="e">
        <f aca="false">#REF!</f>
        <v>#REF!</v>
      </c>
      <c r="D3" s="79" t="e">
        <f aca="false">#REF!</f>
        <v>#REF!</v>
      </c>
      <c r="E3" s="79" t="e">
        <f aca="false">#REF!</f>
        <v>#REF!</v>
      </c>
      <c r="F3" s="79" t="e">
        <f aca="false">#REF!</f>
        <v>#REF!</v>
      </c>
    </row>
    <row r="4" customFormat="false" ht="12.8" hidden="false" customHeight="false" outlineLevel="0" collapsed="false">
      <c r="A4" s="50" t="e">
        <f aca="false">_xlfn.CONCAT($A$1, ".", #REF!)</f>
        <v>#REF!</v>
      </c>
      <c r="B4" s="64" t="e">
        <f aca="false">_xlfn.CONCAT(#REF!, ":", #REF!)</f>
        <v>#REF!</v>
      </c>
      <c r="C4" s="79" t="e">
        <f aca="false">#REF!</f>
        <v>#REF!</v>
      </c>
      <c r="D4" s="79" t="e">
        <f aca="false">#REF!</f>
        <v>#REF!</v>
      </c>
      <c r="E4" s="79" t="e">
        <f aca="false">#REF!</f>
        <v>#REF!</v>
      </c>
      <c r="F4" s="79" t="e">
        <f aca="false">#REF!</f>
        <v>#REF!</v>
      </c>
    </row>
    <row r="5" customFormat="false" ht="12.8" hidden="false" customHeight="false" outlineLevel="0" collapsed="false">
      <c r="A5" s="50" t="e">
        <f aca="false">_xlfn.CONCAT($A$1, ".", #REF!)</f>
        <v>#REF!</v>
      </c>
      <c r="B5" s="64" t="e">
        <f aca="false">_xlfn.CONCAT(#REF!, ":", #REF!)</f>
        <v>#REF!</v>
      </c>
      <c r="C5" s="79" t="e">
        <f aca="false">#REF!</f>
        <v>#REF!</v>
      </c>
      <c r="D5" s="79" t="e">
        <f aca="false">#REF!</f>
        <v>#REF!</v>
      </c>
      <c r="E5" s="79" t="e">
        <f aca="false">#REF!</f>
        <v>#REF!</v>
      </c>
      <c r="F5" s="79" t="e">
        <f aca="false">#REF!</f>
        <v>#REF!</v>
      </c>
    </row>
    <row r="6" customFormat="false" ht="12.8" hidden="false" customHeight="false" outlineLevel="0" collapsed="false">
      <c r="A6" s="50" t="e">
        <f aca="false">_xlfn.CONCAT($A$1, ".", #REF!)</f>
        <v>#REF!</v>
      </c>
      <c r="B6" s="64" t="e">
        <f aca="false">_xlfn.CONCAT(#REF!, ":", #REF!)</f>
        <v>#REF!</v>
      </c>
      <c r="C6" s="79" t="e">
        <f aca="false">#REF!</f>
        <v>#REF!</v>
      </c>
      <c r="D6" s="79" t="e">
        <f aca="false">#REF!</f>
        <v>#REF!</v>
      </c>
      <c r="E6" s="79" t="e">
        <f aca="false">#REF!</f>
        <v>#REF!</v>
      </c>
      <c r="F6" s="79" t="e">
        <f aca="false">#REF!</f>
        <v>#REF!</v>
      </c>
    </row>
    <row r="7" customFormat="false" ht="12.8" hidden="false" customHeight="false" outlineLevel="0" collapsed="false">
      <c r="A7" s="50" t="e">
        <f aca="false">_xlfn.CONCAT($A$1, ".", #REF!)</f>
        <v>#REF!</v>
      </c>
      <c r="B7" s="64" t="e">
        <f aca="false">_xlfn.CONCAT(#REF!, ":", #REF!)</f>
        <v>#REF!</v>
      </c>
      <c r="C7" s="79" t="e">
        <f aca="false">#REF!</f>
        <v>#REF!</v>
      </c>
      <c r="D7" s="79" t="e">
        <f aca="false">#REF!</f>
        <v>#REF!</v>
      </c>
      <c r="E7" s="79" t="e">
        <f aca="false">#REF!</f>
        <v>#REF!</v>
      </c>
      <c r="F7" s="79" t="e">
        <f aca="false">#REF!</f>
        <v>#REF!</v>
      </c>
    </row>
    <row r="8" customFormat="false" ht="12.8" hidden="false" customHeight="false" outlineLevel="0" collapsed="false">
      <c r="A8" s="50" t="e">
        <f aca="false">_xlfn.CONCAT($A$1, ".", #REF!)</f>
        <v>#REF!</v>
      </c>
      <c r="B8" s="64" t="e">
        <f aca="false">_xlfn.CONCAT(#REF!, ":", #REF!)</f>
        <v>#REF!</v>
      </c>
      <c r="C8" s="79" t="e">
        <f aca="false">#REF!</f>
        <v>#REF!</v>
      </c>
      <c r="D8" s="79" t="e">
        <f aca="false">#REF!</f>
        <v>#REF!</v>
      </c>
      <c r="E8" s="79" t="e">
        <f aca="false">#REF!</f>
        <v>#REF!</v>
      </c>
      <c r="F8" s="79" t="e">
        <f aca="false">#REF!</f>
        <v>#REF!</v>
      </c>
    </row>
    <row r="9" customFormat="false" ht="12.8" hidden="false" customHeight="false" outlineLevel="0" collapsed="false">
      <c r="A9" s="50" t="e">
        <f aca="false">_xlfn.CONCAT($A$1, ".", #REF!)</f>
        <v>#REF!</v>
      </c>
      <c r="B9" s="64" t="e">
        <f aca="false">_xlfn.CONCAT(#REF!, ":", #REF!)</f>
        <v>#REF!</v>
      </c>
      <c r="C9" s="79" t="e">
        <f aca="false">#REF!</f>
        <v>#REF!</v>
      </c>
      <c r="D9" s="79" t="e">
        <f aca="false">#REF!</f>
        <v>#REF!</v>
      </c>
      <c r="E9" s="79" t="e">
        <f aca="false">#REF!</f>
        <v>#REF!</v>
      </c>
      <c r="F9" s="79" t="e">
        <f aca="false">#REF!</f>
        <v>#REF!</v>
      </c>
    </row>
    <row r="10" customFormat="false" ht="12.8" hidden="false" customHeight="false" outlineLevel="0" collapsed="false">
      <c r="A10" s="50" t="e">
        <f aca="false">_xlfn.CONCAT($A$1, ".", #REF!)</f>
        <v>#REF!</v>
      </c>
      <c r="B10" s="64" t="e">
        <f aca="false">_xlfn.CONCAT(#REF!, ":", #REF!)</f>
        <v>#REF!</v>
      </c>
      <c r="C10" s="79" t="e">
        <f aca="false">#REF!</f>
        <v>#REF!</v>
      </c>
      <c r="D10" s="79" t="e">
        <f aca="false">#REF!</f>
        <v>#REF!</v>
      </c>
      <c r="E10" s="79" t="e">
        <f aca="false">#REF!</f>
        <v>#REF!</v>
      </c>
      <c r="F10" s="79" t="e">
        <f aca="false">#REF!</f>
        <v>#REF!</v>
      </c>
    </row>
    <row r="11" customFormat="false" ht="12.8" hidden="false" customHeight="false" outlineLevel="0" collapsed="false">
      <c r="A11" s="50" t="e">
        <f aca="false">_xlfn.CONCAT($A$1, ".", #REF!)</f>
        <v>#REF!</v>
      </c>
      <c r="B11" s="64" t="e">
        <f aca="false">_xlfn.CONCAT(#REF!, ":", #REF!)</f>
        <v>#REF!</v>
      </c>
      <c r="C11" s="79" t="e">
        <f aca="false">#REF!</f>
        <v>#REF!</v>
      </c>
      <c r="D11" s="79" t="e">
        <f aca="false">#REF!</f>
        <v>#REF!</v>
      </c>
      <c r="E11" s="79" t="e">
        <f aca="false">#REF!</f>
        <v>#REF!</v>
      </c>
      <c r="F11" s="79" t="e">
        <f aca="false">#REF!</f>
        <v>#REF!</v>
      </c>
    </row>
    <row r="12" customFormat="false" ht="12.8" hidden="false" customHeight="false" outlineLevel="0" collapsed="false">
      <c r="A12" s="50" t="e">
        <f aca="false">_xlfn.CONCAT($A$1, ".", #REF!)</f>
        <v>#REF!</v>
      </c>
      <c r="B12" s="64" t="e">
        <f aca="false">_xlfn.CONCAT(#REF!, ":", #REF!)</f>
        <v>#REF!</v>
      </c>
      <c r="C12" s="79" t="e">
        <f aca="false">#REF!</f>
        <v>#REF!</v>
      </c>
      <c r="D12" s="79" t="e">
        <f aca="false">#REF!</f>
        <v>#REF!</v>
      </c>
      <c r="E12" s="79" t="e">
        <f aca="false">#REF!</f>
        <v>#REF!</v>
      </c>
      <c r="F12" s="79" t="e">
        <f aca="false">#REF!</f>
        <v>#REF!</v>
      </c>
    </row>
    <row r="13" customFormat="false" ht="12.8" hidden="false" customHeight="false" outlineLevel="0" collapsed="false">
      <c r="A13" s="50" t="e">
        <f aca="false">_xlfn.CONCAT($A$1, ".", #REF!)</f>
        <v>#REF!</v>
      </c>
      <c r="B13" s="64" t="e">
        <f aca="false">_xlfn.CONCAT(#REF!, ":", #REF!)</f>
        <v>#REF!</v>
      </c>
      <c r="C13" s="79" t="e">
        <f aca="false">#REF!</f>
        <v>#REF!</v>
      </c>
      <c r="D13" s="79" t="e">
        <f aca="false">#REF!</f>
        <v>#REF!</v>
      </c>
      <c r="E13" s="79" t="e">
        <f aca="false">#REF!</f>
        <v>#REF!</v>
      </c>
      <c r="F13" s="79" t="e">
        <f aca="false">#REF!</f>
        <v>#REF!</v>
      </c>
    </row>
    <row r="14" customFormat="false" ht="12.8" hidden="false" customHeight="false" outlineLevel="0" collapsed="false">
      <c r="A14" s="50" t="e">
        <f aca="false">_xlfn.CONCAT($A$1, ".", #REF!)</f>
        <v>#REF!</v>
      </c>
      <c r="B14" s="64" t="e">
        <f aca="false">_xlfn.CONCAT(#REF!, ":", #REF!)</f>
        <v>#REF!</v>
      </c>
      <c r="C14" s="79" t="e">
        <f aca="false">#REF!</f>
        <v>#REF!</v>
      </c>
      <c r="D14" s="79" t="e">
        <f aca="false">#REF!</f>
        <v>#REF!</v>
      </c>
      <c r="E14" s="79" t="e">
        <f aca="false">#REF!</f>
        <v>#REF!</v>
      </c>
      <c r="F14" s="79" t="e">
        <f aca="false">#REF!</f>
        <v>#REF!</v>
      </c>
    </row>
    <row r="15" customFormat="false" ht="12.8" hidden="false" customHeight="false" outlineLevel="0" collapsed="false">
      <c r="A15" s="50" t="e">
        <f aca="false">_xlfn.CONCAT($A$1, ".", #REF!)</f>
        <v>#REF!</v>
      </c>
      <c r="B15" s="64" t="e">
        <f aca="false">_xlfn.CONCAT(#REF!, ":", #REF!)</f>
        <v>#REF!</v>
      </c>
      <c r="C15" s="79" t="e">
        <f aca="false">#REF!</f>
        <v>#REF!</v>
      </c>
      <c r="D15" s="79" t="e">
        <f aca="false">#REF!</f>
        <v>#REF!</v>
      </c>
      <c r="E15" s="79" t="e">
        <f aca="false">#REF!</f>
        <v>#REF!</v>
      </c>
      <c r="F15" s="79" t="e">
        <f aca="false">#REF!</f>
        <v>#REF!</v>
      </c>
    </row>
    <row r="16" customFormat="false" ht="12.8" hidden="false" customHeight="false" outlineLevel="0" collapsed="false">
      <c r="A16" s="50" t="e">
        <f aca="false">_xlfn.CONCAT($A$1, ".", #REF!)</f>
        <v>#REF!</v>
      </c>
      <c r="B16" s="64" t="e">
        <f aca="false">_xlfn.CONCAT(#REF!, ":", #REF!)</f>
        <v>#REF!</v>
      </c>
      <c r="C16" s="79" t="e">
        <f aca="false">#REF!</f>
        <v>#REF!</v>
      </c>
      <c r="D16" s="79" t="e">
        <f aca="false">#REF!</f>
        <v>#REF!</v>
      </c>
      <c r="E16" s="79" t="e">
        <f aca="false">#REF!</f>
        <v>#REF!</v>
      </c>
      <c r="F16" s="79" t="e">
        <f aca="false">#REF!</f>
        <v>#REF!</v>
      </c>
    </row>
    <row r="17" customFormat="false" ht="12.8" hidden="false" customHeight="false" outlineLevel="0" collapsed="false">
      <c r="A17" s="50" t="e">
        <f aca="false">_xlfn.CONCAT($A$1, ".", #REF!)</f>
        <v>#REF!</v>
      </c>
      <c r="B17" s="64" t="e">
        <f aca="false">_xlfn.CONCAT(#REF!, ":", #REF!)</f>
        <v>#REF!</v>
      </c>
      <c r="C17" s="79" t="e">
        <f aca="false">#REF!</f>
        <v>#REF!</v>
      </c>
      <c r="D17" s="79" t="e">
        <f aca="false">#REF!</f>
        <v>#REF!</v>
      </c>
      <c r="E17" s="79" t="e">
        <f aca="false">#REF!</f>
        <v>#REF!</v>
      </c>
      <c r="F17" s="79" t="e">
        <f aca="false">#REF!</f>
        <v>#REF!</v>
      </c>
    </row>
    <row r="18" customFormat="false" ht="12.8" hidden="false" customHeight="false" outlineLevel="0" collapsed="false">
      <c r="A18" s="50" t="e">
        <f aca="false">_xlfn.CONCAT($A$1, ".", #REF!)</f>
        <v>#REF!</v>
      </c>
      <c r="B18" s="64" t="e">
        <f aca="false">_xlfn.CONCAT(#REF!, ":", #REF!)</f>
        <v>#REF!</v>
      </c>
      <c r="C18" s="79" t="e">
        <f aca="false">#REF!</f>
        <v>#REF!</v>
      </c>
      <c r="D18" s="79" t="e">
        <f aca="false">#REF!</f>
        <v>#REF!</v>
      </c>
      <c r="E18" s="79" t="e">
        <f aca="false">#REF!</f>
        <v>#REF!</v>
      </c>
      <c r="F18" s="79" t="e">
        <f aca="false">#REF!</f>
        <v>#REF!</v>
      </c>
    </row>
    <row r="19" customFormat="false" ht="12.8" hidden="false" customHeight="false" outlineLevel="0" collapsed="false">
      <c r="A19" s="50" t="e">
        <f aca="false">_xlfn.CONCAT($A$1, ".", #REF!)</f>
        <v>#REF!</v>
      </c>
      <c r="B19" s="64" t="e">
        <f aca="false">_xlfn.CONCAT(#REF!, ":", #REF!)</f>
        <v>#REF!</v>
      </c>
      <c r="C19" s="79" t="e">
        <f aca="false">#REF!</f>
        <v>#REF!</v>
      </c>
      <c r="D19" s="79" t="e">
        <f aca="false">#REF!</f>
        <v>#REF!</v>
      </c>
      <c r="E19" s="79" t="e">
        <f aca="false">#REF!</f>
        <v>#REF!</v>
      </c>
      <c r="F19" s="79" t="e">
        <f aca="false">#REF!</f>
        <v>#REF!</v>
      </c>
    </row>
    <row r="20" customFormat="false" ht="12.8" hidden="false" customHeight="false" outlineLevel="0" collapsed="false">
      <c r="A20" s="50" t="e">
        <f aca="false">_xlfn.CONCAT($A$1, ".", #REF!)</f>
        <v>#REF!</v>
      </c>
      <c r="B20" s="64" t="e">
        <f aca="false">_xlfn.CONCAT(#REF!, ":", #REF!)</f>
        <v>#REF!</v>
      </c>
      <c r="C20" s="79" t="e">
        <f aca="false">#REF!</f>
        <v>#REF!</v>
      </c>
      <c r="D20" s="79" t="e">
        <f aca="false">#REF!</f>
        <v>#REF!</v>
      </c>
      <c r="E20" s="79" t="e">
        <f aca="false">#REF!</f>
        <v>#REF!</v>
      </c>
      <c r="F20" s="79" t="e">
        <f aca="false">#REF!</f>
        <v>#REF!</v>
      </c>
    </row>
    <row r="21" customFormat="false" ht="12.8" hidden="false" customHeight="false" outlineLevel="0" collapsed="false">
      <c r="A21" s="50" t="e">
        <f aca="false">_xlfn.CONCAT($A$1, ".", #REF!)</f>
        <v>#REF!</v>
      </c>
      <c r="B21" s="64" t="e">
        <f aca="false">_xlfn.CONCAT(#REF!, ":", #REF!)</f>
        <v>#REF!</v>
      </c>
      <c r="C21" s="79" t="e">
        <f aca="false">#REF!</f>
        <v>#REF!</v>
      </c>
      <c r="D21" s="79" t="e">
        <f aca="false">#REF!</f>
        <v>#REF!</v>
      </c>
      <c r="E21" s="79" t="e">
        <f aca="false">#REF!</f>
        <v>#REF!</v>
      </c>
      <c r="F21" s="79" t="e">
        <f aca="false">#REF!</f>
        <v>#REF!</v>
      </c>
    </row>
    <row r="22" customFormat="false" ht="12.8" hidden="false" customHeight="false" outlineLevel="0" collapsed="false">
      <c r="A22" s="50" t="e">
        <f aca="false">_xlfn.CONCAT($A$1, ".", #REF!)</f>
        <v>#REF!</v>
      </c>
      <c r="B22" s="64" t="e">
        <f aca="false">_xlfn.CONCAT(#REF!, ":", #REF!)</f>
        <v>#REF!</v>
      </c>
      <c r="C22" s="79" t="e">
        <f aca="false">#REF!</f>
        <v>#REF!</v>
      </c>
      <c r="D22" s="79" t="e">
        <f aca="false">#REF!</f>
        <v>#REF!</v>
      </c>
      <c r="E22" s="79" t="e">
        <f aca="false">#REF!</f>
        <v>#REF!</v>
      </c>
      <c r="F22" s="79" t="e">
        <f aca="false">#REF!</f>
        <v>#REF!</v>
      </c>
    </row>
    <row r="23" customFormat="false" ht="12.8" hidden="false" customHeight="false" outlineLevel="0" collapsed="false">
      <c r="A23" s="50" t="e">
        <f aca="false">_xlfn.CONCAT($A$1, ".", #REF!)</f>
        <v>#REF!</v>
      </c>
      <c r="B23" s="64" t="e">
        <f aca="false">_xlfn.CONCAT(#REF!, ":", #REF!)</f>
        <v>#REF!</v>
      </c>
      <c r="C23" s="79" t="e">
        <f aca="false">#REF!</f>
        <v>#REF!</v>
      </c>
      <c r="D23" s="79" t="e">
        <f aca="false">#REF!</f>
        <v>#REF!</v>
      </c>
      <c r="E23" s="79" t="e">
        <f aca="false">#REF!</f>
        <v>#REF!</v>
      </c>
      <c r="F23" s="79" t="e">
        <f aca="false">#REF!</f>
        <v>#REF!</v>
      </c>
    </row>
    <row r="24" customFormat="false" ht="12.8" hidden="false" customHeight="false" outlineLevel="0" collapsed="false">
      <c r="A24" s="50" t="e">
        <f aca="false">_xlfn.CONCAT($A$1, ".", #REF!)</f>
        <v>#REF!</v>
      </c>
      <c r="B24" s="64" t="e">
        <f aca="false">_xlfn.CONCAT(#REF!, ":", #REF!)</f>
        <v>#REF!</v>
      </c>
      <c r="C24" s="79" t="e">
        <f aca="false">#REF!</f>
        <v>#REF!</v>
      </c>
      <c r="D24" s="79" t="e">
        <f aca="false">#REF!</f>
        <v>#REF!</v>
      </c>
      <c r="E24" s="79" t="e">
        <f aca="false">#REF!</f>
        <v>#REF!</v>
      </c>
      <c r="F24" s="79" t="e">
        <f aca="false">#REF!</f>
        <v>#REF!</v>
      </c>
    </row>
    <row r="25" customFormat="false" ht="12.8" hidden="false" customHeight="false" outlineLevel="0" collapsed="false">
      <c r="A25" s="50" t="e">
        <f aca="false">_xlfn.CONCAT($A$1, ".", #REF!)</f>
        <v>#REF!</v>
      </c>
      <c r="B25" s="64" t="e">
        <f aca="false">_xlfn.CONCAT(#REF!, ":", #REF!)</f>
        <v>#REF!</v>
      </c>
      <c r="C25" s="79" t="e">
        <f aca="false">#REF!</f>
        <v>#REF!</v>
      </c>
      <c r="D25" s="79" t="e">
        <f aca="false">#REF!</f>
        <v>#REF!</v>
      </c>
      <c r="E25" s="79" t="e">
        <f aca="false">#REF!</f>
        <v>#REF!</v>
      </c>
      <c r="F25" s="79" t="e">
        <f aca="false">#REF!</f>
        <v>#REF!</v>
      </c>
    </row>
    <row r="26" customFormat="false" ht="12.8" hidden="false" customHeight="false" outlineLevel="0" collapsed="false">
      <c r="A26" s="50" t="e">
        <f aca="false">_xlfn.CONCAT($A$1, ".", #REF!)</f>
        <v>#REF!</v>
      </c>
      <c r="B26" s="64" t="e">
        <f aca="false">_xlfn.CONCAT(#REF!, ":", #REF!)</f>
        <v>#REF!</v>
      </c>
      <c r="C26" s="79" t="e">
        <f aca="false">#REF!</f>
        <v>#REF!</v>
      </c>
      <c r="D26" s="79" t="e">
        <f aca="false">#REF!</f>
        <v>#REF!</v>
      </c>
      <c r="E26" s="79" t="e">
        <f aca="false">#REF!</f>
        <v>#REF!</v>
      </c>
      <c r="F26" s="79" t="e">
        <f aca="false">#REF!</f>
        <v>#REF!</v>
      </c>
    </row>
    <row r="27" customFormat="false" ht="12.8" hidden="false" customHeight="false" outlineLevel="0" collapsed="false">
      <c r="A27" s="50" t="e">
        <f aca="false">_xlfn.CONCAT($A$1, ".", #REF!)</f>
        <v>#REF!</v>
      </c>
      <c r="B27" s="64" t="e">
        <f aca="false">_xlfn.CONCAT(#REF!, ":", #REF!)</f>
        <v>#REF!</v>
      </c>
      <c r="C27" s="79" t="e">
        <f aca="false">#REF!</f>
        <v>#REF!</v>
      </c>
      <c r="D27" s="79" t="e">
        <f aca="false">#REF!</f>
        <v>#REF!</v>
      </c>
      <c r="E27" s="79" t="e">
        <f aca="false">#REF!</f>
        <v>#REF!</v>
      </c>
      <c r="F27" s="79" t="e">
        <f aca="false">#REF!</f>
        <v>#REF!</v>
      </c>
    </row>
    <row r="28" customFormat="false" ht="12.8" hidden="false" customHeight="false" outlineLevel="0" collapsed="false">
      <c r="A28" s="50" t="e">
        <f aca="false">_xlfn.CONCAT($A$1, ".", #REF!)</f>
        <v>#REF!</v>
      </c>
      <c r="B28" s="64" t="e">
        <f aca="false">_xlfn.CONCAT(#REF!, ":", #REF!)</f>
        <v>#REF!</v>
      </c>
      <c r="C28" s="79" t="e">
        <f aca="false">#REF!</f>
        <v>#REF!</v>
      </c>
      <c r="D28" s="79" t="e">
        <f aca="false">#REF!</f>
        <v>#REF!</v>
      </c>
      <c r="E28" s="79" t="e">
        <f aca="false">#REF!</f>
        <v>#REF!</v>
      </c>
      <c r="F28" s="79" t="e">
        <f aca="false">#REF!</f>
        <v>#REF!</v>
      </c>
    </row>
    <row r="29" customFormat="false" ht="12.8" hidden="false" customHeight="false" outlineLevel="0" collapsed="false">
      <c r="A29" s="50" t="e">
        <f aca="false">_xlfn.CONCAT($A$1, ".", #REF!)</f>
        <v>#REF!</v>
      </c>
      <c r="B29" s="64" t="e">
        <f aca="false">_xlfn.CONCAT(#REF!, ":", #REF!)</f>
        <v>#REF!</v>
      </c>
      <c r="C29" s="79" t="e">
        <f aca="false">#REF!</f>
        <v>#REF!</v>
      </c>
      <c r="D29" s="79" t="e">
        <f aca="false">#REF!</f>
        <v>#REF!</v>
      </c>
      <c r="E29" s="79" t="e">
        <f aca="false">#REF!</f>
        <v>#REF!</v>
      </c>
      <c r="F29" s="79" t="e">
        <f aca="false">#REF!</f>
        <v>#REF!</v>
      </c>
    </row>
    <row r="30" customFormat="false" ht="12.8" hidden="false" customHeight="false" outlineLevel="0" collapsed="false">
      <c r="A30" s="50" t="e">
        <f aca="false">_xlfn.CONCAT($A$1, ".", #REF!)</f>
        <v>#REF!</v>
      </c>
      <c r="B30" s="64" t="e">
        <f aca="false">_xlfn.CONCAT(#REF!, ":", #REF!)</f>
        <v>#REF!</v>
      </c>
      <c r="C30" s="79" t="e">
        <f aca="false">#REF!</f>
        <v>#REF!</v>
      </c>
      <c r="D30" s="79" t="e">
        <f aca="false">#REF!</f>
        <v>#REF!</v>
      </c>
      <c r="E30" s="79" t="e">
        <f aca="false">#REF!</f>
        <v>#REF!</v>
      </c>
      <c r="F30" s="79" t="e">
        <f aca="false">#REF!</f>
        <v>#REF!</v>
      </c>
    </row>
    <row r="31" customFormat="false" ht="12.8" hidden="false" customHeight="false" outlineLevel="0" collapsed="false">
      <c r="A31" s="50" t="e">
        <f aca="false">_xlfn.CONCAT($A$1, ".", #REF!)</f>
        <v>#REF!</v>
      </c>
      <c r="B31" s="64" t="e">
        <f aca="false">_xlfn.CONCAT(#REF!, ":", #REF!)</f>
        <v>#REF!</v>
      </c>
      <c r="C31" s="79" t="e">
        <f aca="false">#REF!</f>
        <v>#REF!</v>
      </c>
      <c r="D31" s="79" t="e">
        <f aca="false">#REF!</f>
        <v>#REF!</v>
      </c>
      <c r="E31" s="79" t="e">
        <f aca="false">#REF!</f>
        <v>#REF!</v>
      </c>
      <c r="F31" s="79" t="e">
        <f aca="false">#REF!</f>
        <v>#REF!</v>
      </c>
    </row>
    <row r="32" customFormat="false" ht="12.8" hidden="false" customHeight="false" outlineLevel="0" collapsed="false">
      <c r="A32" s="50" t="e">
        <f aca="false">_xlfn.CONCAT($A$1, ".", #REF!)</f>
        <v>#REF!</v>
      </c>
      <c r="B32" s="64" t="e">
        <f aca="false">_xlfn.CONCAT(#REF!, ":", #REF!)</f>
        <v>#REF!</v>
      </c>
      <c r="C32" s="79" t="e">
        <f aca="false">#REF!</f>
        <v>#REF!</v>
      </c>
      <c r="D32" s="79" t="e">
        <f aca="false">#REF!</f>
        <v>#REF!</v>
      </c>
      <c r="E32" s="79" t="e">
        <f aca="false">#REF!</f>
        <v>#REF!</v>
      </c>
      <c r="F32" s="79" t="e">
        <f aca="false">#REF!</f>
        <v>#REF!</v>
      </c>
    </row>
    <row r="33" customFormat="false" ht="12.8" hidden="false" customHeight="false" outlineLevel="0" collapsed="false">
      <c r="A33" s="50" t="e">
        <f aca="false">_xlfn.CONCAT($A$1, ".", #REF!)</f>
        <v>#REF!</v>
      </c>
      <c r="B33" s="64" t="e">
        <f aca="false">_xlfn.CONCAT(#REF!, ":", #REF!)</f>
        <v>#REF!</v>
      </c>
      <c r="C33" s="79" t="e">
        <f aca="false">#REF!</f>
        <v>#REF!</v>
      </c>
      <c r="D33" s="79" t="e">
        <f aca="false">#REF!</f>
        <v>#REF!</v>
      </c>
      <c r="E33" s="79" t="e">
        <f aca="false">#REF!</f>
        <v>#REF!</v>
      </c>
      <c r="F33" s="79" t="e">
        <f aca="false">#REF!</f>
        <v>#REF!</v>
      </c>
    </row>
    <row r="34" customFormat="false" ht="12.8" hidden="false" customHeight="false" outlineLevel="0" collapsed="false">
      <c r="A34" s="50" t="e">
        <f aca="false">_xlfn.CONCAT($A$1, ".", #REF!)</f>
        <v>#REF!</v>
      </c>
      <c r="B34" s="64" t="e">
        <f aca="false">_xlfn.CONCAT(#REF!, ":", #REF!)</f>
        <v>#REF!</v>
      </c>
      <c r="C34" s="79" t="e">
        <f aca="false">#REF!</f>
        <v>#REF!</v>
      </c>
      <c r="D34" s="79" t="e">
        <f aca="false">#REF!</f>
        <v>#REF!</v>
      </c>
      <c r="E34" s="79" t="e">
        <f aca="false">#REF!</f>
        <v>#REF!</v>
      </c>
      <c r="F34" s="79" t="e">
        <f aca="false">#REF!</f>
        <v>#REF!</v>
      </c>
    </row>
    <row r="35" customFormat="false" ht="12.8" hidden="false" customHeight="false" outlineLevel="0" collapsed="false">
      <c r="A35" s="50" t="e">
        <f aca="false">_xlfn.CONCAT($A$1, ".", #REF!)</f>
        <v>#REF!</v>
      </c>
      <c r="B35" s="64" t="e">
        <f aca="false">_xlfn.CONCAT(#REF!, ":", #REF!)</f>
        <v>#REF!</v>
      </c>
      <c r="C35" s="79" t="e">
        <f aca="false">#REF!</f>
        <v>#REF!</v>
      </c>
      <c r="D35" s="79" t="e">
        <f aca="false">#REF!</f>
        <v>#REF!</v>
      </c>
      <c r="E35" s="79" t="e">
        <f aca="false">#REF!</f>
        <v>#REF!</v>
      </c>
      <c r="F35" s="79" t="e">
        <f aca="false">#REF!</f>
        <v>#REF!</v>
      </c>
    </row>
    <row r="36" customFormat="false" ht="12.8" hidden="false" customHeight="false" outlineLevel="0" collapsed="false">
      <c r="A36" s="50" t="e">
        <f aca="false">_xlfn.CONCAT($A$1, ".", #REF!)</f>
        <v>#REF!</v>
      </c>
      <c r="B36" s="64" t="e">
        <f aca="false">_xlfn.CONCAT(#REF!, ":", #REF!)</f>
        <v>#REF!</v>
      </c>
      <c r="C36" s="79" t="e">
        <f aca="false">#REF!</f>
        <v>#REF!</v>
      </c>
      <c r="D36" s="79" t="e">
        <f aca="false">#REF!</f>
        <v>#REF!</v>
      </c>
      <c r="E36" s="79" t="e">
        <f aca="false">#REF!</f>
        <v>#REF!</v>
      </c>
      <c r="F36" s="79" t="e">
        <f aca="false">#REF!</f>
        <v>#REF!</v>
      </c>
    </row>
    <row r="37" customFormat="false" ht="12.8" hidden="false" customHeight="false" outlineLevel="0" collapsed="false">
      <c r="A37" s="50" t="e">
        <f aca="false">_xlfn.CONCAT($A$1, ".", #REF!)</f>
        <v>#REF!</v>
      </c>
      <c r="B37" s="64" t="e">
        <f aca="false">_xlfn.CONCAT(#REF!, ":", #REF!)</f>
        <v>#REF!</v>
      </c>
      <c r="C37" s="79" t="e">
        <f aca="false">#REF!</f>
        <v>#REF!</v>
      </c>
      <c r="D37" s="79" t="e">
        <f aca="false">#REF!</f>
        <v>#REF!</v>
      </c>
      <c r="E37" s="79" t="e">
        <f aca="false">#REF!</f>
        <v>#REF!</v>
      </c>
      <c r="F37" s="79" t="e">
        <f aca="false">#REF!</f>
        <v>#REF!</v>
      </c>
    </row>
    <row r="38" customFormat="false" ht="12.8" hidden="false" customHeight="false" outlineLevel="0" collapsed="false">
      <c r="A38" s="50" t="e">
        <f aca="false">_xlfn.CONCAT($A$1, ".", #REF!)</f>
        <v>#REF!</v>
      </c>
      <c r="B38" s="64" t="e">
        <f aca="false">_xlfn.CONCAT(#REF!, ":", #REF!)</f>
        <v>#REF!</v>
      </c>
      <c r="C38" s="79" t="e">
        <f aca="false">#REF!</f>
        <v>#REF!</v>
      </c>
      <c r="D38" s="79" t="e">
        <f aca="false">#REF!</f>
        <v>#REF!</v>
      </c>
      <c r="E38" s="79" t="e">
        <f aca="false">#REF!</f>
        <v>#REF!</v>
      </c>
      <c r="F38" s="79" t="e">
        <f aca="false">#REF!</f>
        <v>#REF!</v>
      </c>
    </row>
    <row r="39" customFormat="false" ht="12.8" hidden="false" customHeight="false" outlineLevel="0" collapsed="false">
      <c r="A39" s="50" t="e">
        <f aca="false">_xlfn.CONCAT($A$1, ".", #REF!)</f>
        <v>#REF!</v>
      </c>
      <c r="B39" s="64" t="e">
        <f aca="false">_xlfn.CONCAT(#REF!, ":", #REF!)</f>
        <v>#REF!</v>
      </c>
      <c r="C39" s="79" t="e">
        <f aca="false">#REF!</f>
        <v>#REF!</v>
      </c>
      <c r="D39" s="79" t="e">
        <f aca="false">#REF!</f>
        <v>#REF!</v>
      </c>
      <c r="E39" s="79" t="e">
        <f aca="false">#REF!</f>
        <v>#REF!</v>
      </c>
      <c r="F39" s="79" t="e">
        <f aca="false">#REF!</f>
        <v>#REF!</v>
      </c>
    </row>
    <row r="40" customFormat="false" ht="12.8" hidden="false" customHeight="false" outlineLevel="0" collapsed="false">
      <c r="A40" s="50" t="e">
        <f aca="false">_xlfn.CONCAT($A$1, ".", #REF!)</f>
        <v>#REF!</v>
      </c>
      <c r="B40" s="64" t="e">
        <f aca="false">_xlfn.CONCAT(#REF!, ":", #REF!)</f>
        <v>#REF!</v>
      </c>
      <c r="C40" s="79" t="e">
        <f aca="false">#REF!</f>
        <v>#REF!</v>
      </c>
      <c r="D40" s="79" t="e">
        <f aca="false">#REF!</f>
        <v>#REF!</v>
      </c>
      <c r="E40" s="79" t="e">
        <f aca="false">#REF!</f>
        <v>#REF!</v>
      </c>
      <c r="F40" s="79" t="e">
        <f aca="false">#REF!</f>
        <v>#REF!</v>
      </c>
    </row>
    <row r="41" customFormat="false" ht="12.8" hidden="false" customHeight="false" outlineLevel="0" collapsed="false">
      <c r="A41" s="50" t="e">
        <f aca="false">_xlfn.CONCAT($A$1, ".", #REF!)</f>
        <v>#REF!</v>
      </c>
      <c r="B41" s="64" t="e">
        <f aca="false">_xlfn.CONCAT(#REF!, ":", #REF!)</f>
        <v>#REF!</v>
      </c>
      <c r="C41" s="79" t="e">
        <f aca="false">#REF!</f>
        <v>#REF!</v>
      </c>
      <c r="D41" s="79" t="e">
        <f aca="false">#REF!</f>
        <v>#REF!</v>
      </c>
      <c r="E41" s="79" t="e">
        <f aca="false">#REF!</f>
        <v>#REF!</v>
      </c>
      <c r="F41" s="79" t="e">
        <f aca="false">#REF!</f>
        <v>#REF!</v>
      </c>
    </row>
    <row r="42" customFormat="false" ht="12.8" hidden="false" customHeight="false" outlineLevel="0" collapsed="false">
      <c r="A42" s="50" t="e">
        <f aca="false">_xlfn.CONCAT($A$1, ".", #REF!)</f>
        <v>#REF!</v>
      </c>
      <c r="B42" s="64" t="e">
        <f aca="false">_xlfn.CONCAT(#REF!, ":", #REF!)</f>
        <v>#REF!</v>
      </c>
      <c r="C42" s="79" t="e">
        <f aca="false">#REF!</f>
        <v>#REF!</v>
      </c>
      <c r="D42" s="79" t="e">
        <f aca="false">#REF!</f>
        <v>#REF!</v>
      </c>
      <c r="E42" s="79" t="e">
        <f aca="false">#REF!</f>
        <v>#REF!</v>
      </c>
      <c r="F42" s="79" t="e">
        <f aca="false">#REF!</f>
        <v>#REF!</v>
      </c>
    </row>
    <row r="43" customFormat="false" ht="12.8" hidden="false" customHeight="false" outlineLevel="0" collapsed="false">
      <c r="A43" s="50" t="e">
        <f aca="false">_xlfn.CONCAT($A$1, ".", #REF!)</f>
        <v>#REF!</v>
      </c>
      <c r="B43" s="64" t="e">
        <f aca="false">_xlfn.CONCAT(#REF!, ":", #REF!)</f>
        <v>#REF!</v>
      </c>
      <c r="C43" s="79" t="e">
        <f aca="false">#REF!</f>
        <v>#REF!</v>
      </c>
      <c r="D43" s="79" t="e">
        <f aca="false">#REF!</f>
        <v>#REF!</v>
      </c>
      <c r="E43" s="79" t="e">
        <f aca="false">#REF!</f>
        <v>#REF!</v>
      </c>
      <c r="F43" s="79" t="e">
        <f aca="false">#REF!</f>
        <v>#REF!</v>
      </c>
    </row>
    <row r="44" customFormat="false" ht="12.8" hidden="false" customHeight="false" outlineLevel="0" collapsed="false">
      <c r="A44" s="50" t="e">
        <f aca="false">_xlfn.CONCAT($A$1, ".", #REF!)</f>
        <v>#REF!</v>
      </c>
      <c r="B44" s="64" t="e">
        <f aca="false">_xlfn.CONCAT(#REF!, ":", #REF!)</f>
        <v>#REF!</v>
      </c>
      <c r="C44" s="79" t="e">
        <f aca="false">#REF!</f>
        <v>#REF!</v>
      </c>
      <c r="D44" s="79" t="e">
        <f aca="false">#REF!</f>
        <v>#REF!</v>
      </c>
      <c r="E44" s="79" t="e">
        <f aca="false">#REF!</f>
        <v>#REF!</v>
      </c>
      <c r="F44" s="79" t="e">
        <f aca="false">#REF!</f>
        <v>#REF!</v>
      </c>
    </row>
    <row r="45" customFormat="false" ht="12.8" hidden="false" customHeight="false" outlineLevel="0" collapsed="false">
      <c r="A45" s="50" t="e">
        <f aca="false">_xlfn.CONCAT($A$1, ".", #REF!)</f>
        <v>#REF!</v>
      </c>
      <c r="B45" s="64" t="e">
        <f aca="false">_xlfn.CONCAT(#REF!, ":", #REF!)</f>
        <v>#REF!</v>
      </c>
      <c r="C45" s="79" t="e">
        <f aca="false">#REF!</f>
        <v>#REF!</v>
      </c>
      <c r="D45" s="79" t="e">
        <f aca="false">#REF!</f>
        <v>#REF!</v>
      </c>
      <c r="E45" s="79" t="e">
        <f aca="false">#REF!</f>
        <v>#REF!</v>
      </c>
      <c r="F45" s="79" t="e">
        <f aca="false">#REF!</f>
        <v>#REF!</v>
      </c>
    </row>
    <row r="46" customFormat="false" ht="12.8" hidden="false" customHeight="false" outlineLevel="0" collapsed="false">
      <c r="A46" s="50" t="e">
        <f aca="false">_xlfn.CONCAT($A$1, ".", #REF!)</f>
        <v>#REF!</v>
      </c>
      <c r="B46" s="64" t="e">
        <f aca="false">_xlfn.CONCAT(#REF!, ":", #REF!)</f>
        <v>#REF!</v>
      </c>
      <c r="C46" s="79" t="e">
        <f aca="false">#REF!</f>
        <v>#REF!</v>
      </c>
      <c r="D46" s="79" t="e">
        <f aca="false">#REF!</f>
        <v>#REF!</v>
      </c>
      <c r="E46" s="79" t="e">
        <f aca="false">#REF!</f>
        <v>#REF!</v>
      </c>
      <c r="F46" s="79" t="e">
        <f aca="false">#REF!</f>
        <v>#REF!</v>
      </c>
    </row>
    <row r="47" customFormat="false" ht="12.8" hidden="false" customHeight="false" outlineLevel="0" collapsed="false">
      <c r="A47" s="50" t="e">
        <f aca="false">_xlfn.CONCAT($A$1, ".", #REF!)</f>
        <v>#REF!</v>
      </c>
      <c r="B47" s="64" t="e">
        <f aca="false">_xlfn.CONCAT(#REF!, ":", #REF!)</f>
        <v>#REF!</v>
      </c>
      <c r="C47" s="79" t="e">
        <f aca="false">#REF!</f>
        <v>#REF!</v>
      </c>
      <c r="D47" s="79" t="e">
        <f aca="false">#REF!</f>
        <v>#REF!</v>
      </c>
      <c r="E47" s="79" t="e">
        <f aca="false">#REF!</f>
        <v>#REF!</v>
      </c>
      <c r="F47" s="79" t="e">
        <f aca="false">#REF!</f>
        <v>#REF!</v>
      </c>
    </row>
    <row r="48" customFormat="false" ht="12.8" hidden="false" customHeight="false" outlineLevel="0" collapsed="false">
      <c r="A48" s="50" t="e">
        <f aca="false">_xlfn.CONCAT($A$1, ".", #REF!)</f>
        <v>#REF!</v>
      </c>
      <c r="B48" s="64" t="e">
        <f aca="false">_xlfn.CONCAT(#REF!, ":", #REF!)</f>
        <v>#REF!</v>
      </c>
      <c r="C48" s="79" t="e">
        <f aca="false">#REF!</f>
        <v>#REF!</v>
      </c>
      <c r="D48" s="79" t="e">
        <f aca="false">#REF!</f>
        <v>#REF!</v>
      </c>
      <c r="E48" s="79" t="e">
        <f aca="false">#REF!</f>
        <v>#REF!</v>
      </c>
      <c r="F48" s="79" t="e">
        <f aca="false">#REF!</f>
        <v>#REF!</v>
      </c>
    </row>
    <row r="49" customFormat="false" ht="12.8" hidden="false" customHeight="false" outlineLevel="0" collapsed="false">
      <c r="A49" s="50" t="e">
        <f aca="false">_xlfn.CONCAT($A$1, ".", #REF!)</f>
        <v>#REF!</v>
      </c>
      <c r="B49" s="64" t="e">
        <f aca="false">_xlfn.CONCAT(#REF!, ":", #REF!)</f>
        <v>#REF!</v>
      </c>
      <c r="C49" s="79" t="e">
        <f aca="false">#REF!</f>
        <v>#REF!</v>
      </c>
      <c r="D49" s="79" t="e">
        <f aca="false">#REF!</f>
        <v>#REF!</v>
      </c>
      <c r="E49" s="79" t="e">
        <f aca="false">#REF!</f>
        <v>#REF!</v>
      </c>
      <c r="F49" s="79" t="e">
        <f aca="false">#REF!</f>
        <v>#REF!</v>
      </c>
    </row>
    <row r="50" customFormat="false" ht="12.8" hidden="false" customHeight="false" outlineLevel="0" collapsed="false">
      <c r="A50" s="50" t="e">
        <f aca="false">_xlfn.CONCAT($A$1, ".", #REF!)</f>
        <v>#REF!</v>
      </c>
      <c r="B50" s="64" t="e">
        <f aca="false">_xlfn.CONCAT(#REF!, ":", #REF!)</f>
        <v>#REF!</v>
      </c>
      <c r="C50" s="79" t="e">
        <f aca="false">#REF!</f>
        <v>#REF!</v>
      </c>
      <c r="D50" s="79" t="e">
        <f aca="false">#REF!</f>
        <v>#REF!</v>
      </c>
      <c r="E50" s="79" t="e">
        <f aca="false">#REF!</f>
        <v>#REF!</v>
      </c>
      <c r="F50" s="79" t="e">
        <f aca="false">#REF!</f>
        <v>#REF!</v>
      </c>
    </row>
    <row r="51" customFormat="false" ht="12.8" hidden="false" customHeight="false" outlineLevel="0" collapsed="false">
      <c r="A51" s="50" t="e">
        <f aca="false">_xlfn.CONCAT($A$1, ".", #REF!)</f>
        <v>#REF!</v>
      </c>
      <c r="B51" s="64" t="e">
        <f aca="false">_xlfn.CONCAT(#REF!, ":", #REF!)</f>
        <v>#REF!</v>
      </c>
      <c r="C51" s="79" t="e">
        <f aca="false">#REF!</f>
        <v>#REF!</v>
      </c>
      <c r="D51" s="79" t="e">
        <f aca="false">#REF!</f>
        <v>#REF!</v>
      </c>
      <c r="E51" s="79" t="e">
        <f aca="false">#REF!</f>
        <v>#REF!</v>
      </c>
      <c r="F51" s="79" t="e">
        <f aca="false">#REF!</f>
        <v>#REF!</v>
      </c>
    </row>
    <row r="52" customFormat="false" ht="12.8" hidden="false" customHeight="false" outlineLevel="0" collapsed="false">
      <c r="A52" s="50" t="e">
        <f aca="false">_xlfn.CONCAT($A$1, ".", #REF!)</f>
        <v>#REF!</v>
      </c>
      <c r="B52" s="64" t="e">
        <f aca="false">_xlfn.CONCAT(#REF!, ":", #REF!)</f>
        <v>#REF!</v>
      </c>
      <c r="C52" s="79" t="e">
        <f aca="false">#REF!</f>
        <v>#REF!</v>
      </c>
      <c r="D52" s="79" t="e">
        <f aca="false">#REF!</f>
        <v>#REF!</v>
      </c>
      <c r="E52" s="79" t="e">
        <f aca="false">#REF!</f>
        <v>#REF!</v>
      </c>
      <c r="F52" s="79" t="e">
        <f aca="false">#REF!</f>
        <v>#REF!</v>
      </c>
    </row>
    <row r="53" customFormat="false" ht="12.8" hidden="false" customHeight="false" outlineLevel="0" collapsed="false">
      <c r="A53" s="50" t="e">
        <f aca="false">_xlfn.CONCAT($A$1, ".", #REF!)</f>
        <v>#REF!</v>
      </c>
      <c r="B53" s="64" t="e">
        <f aca="false">_xlfn.CONCAT(#REF!, ":", #REF!)</f>
        <v>#REF!</v>
      </c>
      <c r="C53" s="79" t="e">
        <f aca="false">#REF!</f>
        <v>#REF!</v>
      </c>
      <c r="D53" s="79" t="e">
        <f aca="false">#REF!</f>
        <v>#REF!</v>
      </c>
      <c r="E53" s="79" t="e">
        <f aca="false">#REF!</f>
        <v>#REF!</v>
      </c>
      <c r="F53" s="79" t="e">
        <f aca="false">#REF!</f>
        <v>#REF!</v>
      </c>
    </row>
    <row r="54" customFormat="false" ht="12.8" hidden="false" customHeight="false" outlineLevel="0" collapsed="false">
      <c r="A54" s="50" t="e">
        <f aca="false">_xlfn.CONCAT($A$1, ".", #REF!)</f>
        <v>#REF!</v>
      </c>
      <c r="B54" s="64" t="e">
        <f aca="false">_xlfn.CONCAT(#REF!, ":", #REF!)</f>
        <v>#REF!</v>
      </c>
      <c r="C54" s="79" t="e">
        <f aca="false">#REF!</f>
        <v>#REF!</v>
      </c>
      <c r="D54" s="79" t="e">
        <f aca="false">#REF!</f>
        <v>#REF!</v>
      </c>
      <c r="E54" s="79" t="e">
        <f aca="false">#REF!</f>
        <v>#REF!</v>
      </c>
      <c r="F54" s="79" t="e">
        <f aca="false">#REF!</f>
        <v>#REF!</v>
      </c>
    </row>
    <row r="55" customFormat="false" ht="12.8" hidden="false" customHeight="false" outlineLevel="0" collapsed="false">
      <c r="A55" s="50" t="e">
        <f aca="false">_xlfn.CONCAT($A$1, ".", #REF!)</f>
        <v>#REF!</v>
      </c>
      <c r="B55" s="64" t="e">
        <f aca="false">_xlfn.CONCAT(#REF!, ":", #REF!)</f>
        <v>#REF!</v>
      </c>
      <c r="C55" s="79" t="e">
        <f aca="false">#REF!</f>
        <v>#REF!</v>
      </c>
      <c r="D55" s="79" t="e">
        <f aca="false">#REF!</f>
        <v>#REF!</v>
      </c>
      <c r="E55" s="79" t="e">
        <f aca="false">#REF!</f>
        <v>#REF!</v>
      </c>
      <c r="F55" s="7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BP249"/>
  <sheetViews>
    <sheetView showFormulas="false" showGridLines="true" showRowColHeaders="true" showZeros="true" rightToLeft="false" tabSelected="false" showOutlineSymbols="true" defaultGridColor="true" view="normal" topLeftCell="A180" colorId="64" zoomScale="75" zoomScaleNormal="75" zoomScalePageLayoutView="100" workbookViewId="0">
      <selection pane="topLeft" activeCell="C55" activeCellId="0" sqref="C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5"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2833</v>
      </c>
      <c r="B1" s="76" t="s">
        <v>2840</v>
      </c>
      <c r="C1" s="6" t="s">
        <v>2</v>
      </c>
      <c r="D1" s="39" t="s">
        <v>2841</v>
      </c>
      <c r="AZ1" s="39"/>
      <c r="BP1" s="39"/>
    </row>
    <row r="2" customFormat="false" ht="46.25" hidden="false" customHeight="false" outlineLevel="0" collapsed="false">
      <c r="A2" s="77" t="s">
        <v>2813</v>
      </c>
      <c r="B2" s="78" t="s">
        <v>2814</v>
      </c>
      <c r="C2" s="79" t="str">
        <f aca="false">CALC!CH3</f>
        <v>Part-Time Employment Rate</v>
      </c>
      <c r="D2" s="79" t="str">
        <f aca="false">CALC!CI3</f>
        <v>Authorized Immigrant Part-Time Employment Rate</v>
      </c>
      <c r="E2" s="79" t="str">
        <f aca="false">CALC!CJ3</f>
        <v>Unauthorized Immigrant Part-Time Employment Rate</v>
      </c>
      <c r="F2" s="79" t="str">
        <f aca="false">CALC!CK3</f>
        <v>American Part-Time Employment Rate</v>
      </c>
    </row>
    <row r="3" customFormat="false" ht="12.8" hidden="false" customHeight="false" outlineLevel="0" collapsed="false">
      <c r="A3" s="50" t="e">
        <f aca="false">_xlfn.CONCAT($A$1, ".", #REF!)</f>
        <v>#REF!</v>
      </c>
      <c r="B3" s="64" t="e">
        <f aca="false">_xlfn.CONCAT(#REF!, ":", #REF!)</f>
        <v>#REF!</v>
      </c>
      <c r="C3" s="79" t="e">
        <f aca="false">#REF!</f>
        <v>#REF!</v>
      </c>
      <c r="D3" s="79" t="e">
        <f aca="false">#REF!</f>
        <v>#REF!</v>
      </c>
      <c r="E3" s="79" t="e">
        <f aca="false">#REF!</f>
        <v>#REF!</v>
      </c>
      <c r="F3" s="79" t="e">
        <f aca="false">#REF!</f>
        <v>#REF!</v>
      </c>
    </row>
    <row r="4" customFormat="false" ht="12.8" hidden="false" customHeight="false" outlineLevel="0" collapsed="false">
      <c r="A4" s="50" t="e">
        <f aca="false">_xlfn.CONCAT($A$1, ".", #REF!)</f>
        <v>#REF!</v>
      </c>
      <c r="B4" s="64" t="e">
        <f aca="false">_xlfn.CONCAT(#REF!, ":", #REF!)</f>
        <v>#REF!</v>
      </c>
      <c r="C4" s="79" t="e">
        <f aca="false">#REF!</f>
        <v>#REF!</v>
      </c>
      <c r="D4" s="79" t="e">
        <f aca="false">#REF!</f>
        <v>#REF!</v>
      </c>
      <c r="E4" s="79" t="e">
        <f aca="false">#REF!</f>
        <v>#REF!</v>
      </c>
      <c r="F4" s="79" t="e">
        <f aca="false">#REF!</f>
        <v>#REF!</v>
      </c>
    </row>
    <row r="5" customFormat="false" ht="12.8" hidden="false" customHeight="false" outlineLevel="0" collapsed="false">
      <c r="A5" s="50" t="e">
        <f aca="false">_xlfn.CONCAT($A$1, ".", #REF!)</f>
        <v>#REF!</v>
      </c>
      <c r="B5" s="64" t="e">
        <f aca="false">_xlfn.CONCAT(#REF!, ":", #REF!)</f>
        <v>#REF!</v>
      </c>
      <c r="C5" s="79" t="e">
        <f aca="false">#REF!</f>
        <v>#REF!</v>
      </c>
      <c r="D5" s="79" t="e">
        <f aca="false">#REF!</f>
        <v>#REF!</v>
      </c>
      <c r="E5" s="79" t="e">
        <f aca="false">#REF!</f>
        <v>#REF!</v>
      </c>
      <c r="F5" s="79" t="e">
        <f aca="false">#REF!</f>
        <v>#REF!</v>
      </c>
    </row>
    <row r="6" customFormat="false" ht="12.8" hidden="false" customHeight="false" outlineLevel="0" collapsed="false">
      <c r="A6" s="50" t="e">
        <f aca="false">_xlfn.CONCAT($A$1, ".", #REF!)</f>
        <v>#REF!</v>
      </c>
      <c r="B6" s="64" t="e">
        <f aca="false">_xlfn.CONCAT(#REF!, ":", #REF!)</f>
        <v>#REF!</v>
      </c>
      <c r="C6" s="79" t="e">
        <f aca="false">#REF!</f>
        <v>#REF!</v>
      </c>
      <c r="D6" s="79" t="e">
        <f aca="false">#REF!</f>
        <v>#REF!</v>
      </c>
      <c r="E6" s="79" t="e">
        <f aca="false">#REF!</f>
        <v>#REF!</v>
      </c>
      <c r="F6" s="79" t="e">
        <f aca="false">#REF!</f>
        <v>#REF!</v>
      </c>
    </row>
    <row r="7" customFormat="false" ht="12.8" hidden="false" customHeight="false" outlineLevel="0" collapsed="false">
      <c r="A7" s="50" t="e">
        <f aca="false">_xlfn.CONCAT($A$1, ".", #REF!)</f>
        <v>#REF!</v>
      </c>
      <c r="B7" s="64" t="e">
        <f aca="false">_xlfn.CONCAT(#REF!, ":", #REF!)</f>
        <v>#REF!</v>
      </c>
      <c r="C7" s="79" t="e">
        <f aca="false">#REF!</f>
        <v>#REF!</v>
      </c>
      <c r="D7" s="79" t="e">
        <f aca="false">#REF!</f>
        <v>#REF!</v>
      </c>
      <c r="E7" s="79" t="e">
        <f aca="false">#REF!</f>
        <v>#REF!</v>
      </c>
      <c r="F7" s="79" t="e">
        <f aca="false">#REF!</f>
        <v>#REF!</v>
      </c>
    </row>
    <row r="8" customFormat="false" ht="12.8" hidden="false" customHeight="false" outlineLevel="0" collapsed="false">
      <c r="A8" s="50" t="e">
        <f aca="false">_xlfn.CONCAT($A$1, ".", #REF!)</f>
        <v>#REF!</v>
      </c>
      <c r="B8" s="64" t="e">
        <f aca="false">_xlfn.CONCAT(#REF!, ":", #REF!)</f>
        <v>#REF!</v>
      </c>
      <c r="C8" s="79" t="e">
        <f aca="false">#REF!</f>
        <v>#REF!</v>
      </c>
      <c r="D8" s="79" t="e">
        <f aca="false">#REF!</f>
        <v>#REF!</v>
      </c>
      <c r="E8" s="79" t="e">
        <f aca="false">#REF!</f>
        <v>#REF!</v>
      </c>
      <c r="F8" s="79" t="e">
        <f aca="false">#REF!</f>
        <v>#REF!</v>
      </c>
    </row>
    <row r="9" customFormat="false" ht="12.8" hidden="false" customHeight="false" outlineLevel="0" collapsed="false">
      <c r="A9" s="50" t="e">
        <f aca="false">_xlfn.CONCAT($A$1, ".", #REF!)</f>
        <v>#REF!</v>
      </c>
      <c r="B9" s="64" t="e">
        <f aca="false">_xlfn.CONCAT(#REF!, ":", #REF!)</f>
        <v>#REF!</v>
      </c>
      <c r="C9" s="79" t="e">
        <f aca="false">#REF!</f>
        <v>#REF!</v>
      </c>
      <c r="D9" s="79" t="e">
        <f aca="false">#REF!</f>
        <v>#REF!</v>
      </c>
      <c r="E9" s="79" t="e">
        <f aca="false">#REF!</f>
        <v>#REF!</v>
      </c>
      <c r="F9" s="79" t="e">
        <f aca="false">#REF!</f>
        <v>#REF!</v>
      </c>
    </row>
    <row r="10" customFormat="false" ht="12.8" hidden="false" customHeight="false" outlineLevel="0" collapsed="false">
      <c r="A10" s="50" t="e">
        <f aca="false">_xlfn.CONCAT($A$1, ".", #REF!)</f>
        <v>#REF!</v>
      </c>
      <c r="B10" s="64" t="e">
        <f aca="false">_xlfn.CONCAT(#REF!, ":", #REF!)</f>
        <v>#REF!</v>
      </c>
      <c r="C10" s="79" t="e">
        <f aca="false">#REF!</f>
        <v>#REF!</v>
      </c>
      <c r="D10" s="79" t="e">
        <f aca="false">#REF!</f>
        <v>#REF!</v>
      </c>
      <c r="E10" s="79" t="e">
        <f aca="false">#REF!</f>
        <v>#REF!</v>
      </c>
      <c r="F10" s="79" t="e">
        <f aca="false">#REF!</f>
        <v>#REF!</v>
      </c>
    </row>
    <row r="11" customFormat="false" ht="12.8" hidden="false" customHeight="false" outlineLevel="0" collapsed="false">
      <c r="A11" s="50" t="e">
        <f aca="false">_xlfn.CONCAT($A$1, ".", #REF!)</f>
        <v>#REF!</v>
      </c>
      <c r="B11" s="64" t="e">
        <f aca="false">_xlfn.CONCAT(#REF!, ":", #REF!)</f>
        <v>#REF!</v>
      </c>
      <c r="C11" s="79" t="e">
        <f aca="false">#REF!</f>
        <v>#REF!</v>
      </c>
      <c r="D11" s="79" t="e">
        <f aca="false">#REF!</f>
        <v>#REF!</v>
      </c>
      <c r="E11" s="79" t="e">
        <f aca="false">#REF!</f>
        <v>#REF!</v>
      </c>
      <c r="F11" s="79" t="e">
        <f aca="false">#REF!</f>
        <v>#REF!</v>
      </c>
    </row>
    <row r="12" customFormat="false" ht="12.8" hidden="false" customHeight="false" outlineLevel="0" collapsed="false">
      <c r="A12" s="50" t="e">
        <f aca="false">_xlfn.CONCAT($A$1, ".", #REF!)</f>
        <v>#REF!</v>
      </c>
      <c r="B12" s="64" t="e">
        <f aca="false">_xlfn.CONCAT(#REF!, ":", #REF!)</f>
        <v>#REF!</v>
      </c>
      <c r="C12" s="79" t="e">
        <f aca="false">#REF!</f>
        <v>#REF!</v>
      </c>
      <c r="D12" s="79" t="e">
        <f aca="false">#REF!</f>
        <v>#REF!</v>
      </c>
      <c r="E12" s="79" t="e">
        <f aca="false">#REF!</f>
        <v>#REF!</v>
      </c>
      <c r="F12" s="79" t="e">
        <f aca="false">#REF!</f>
        <v>#REF!</v>
      </c>
    </row>
    <row r="13" customFormat="false" ht="12.8" hidden="false" customHeight="false" outlineLevel="0" collapsed="false">
      <c r="A13" s="50" t="e">
        <f aca="false">_xlfn.CONCAT($A$1, ".", #REF!)</f>
        <v>#REF!</v>
      </c>
      <c r="B13" s="64" t="e">
        <f aca="false">_xlfn.CONCAT(#REF!, ":", #REF!)</f>
        <v>#REF!</v>
      </c>
      <c r="C13" s="79" t="e">
        <f aca="false">#REF!</f>
        <v>#REF!</v>
      </c>
      <c r="D13" s="79" t="e">
        <f aca="false">#REF!</f>
        <v>#REF!</v>
      </c>
      <c r="E13" s="79" t="e">
        <f aca="false">#REF!</f>
        <v>#REF!</v>
      </c>
      <c r="F13" s="79" t="e">
        <f aca="false">#REF!</f>
        <v>#REF!</v>
      </c>
    </row>
    <row r="14" customFormat="false" ht="12.8" hidden="false" customHeight="false" outlineLevel="0" collapsed="false">
      <c r="A14" s="50" t="e">
        <f aca="false">_xlfn.CONCAT($A$1, ".", #REF!)</f>
        <v>#REF!</v>
      </c>
      <c r="B14" s="64" t="e">
        <f aca="false">_xlfn.CONCAT(#REF!, ":", #REF!)</f>
        <v>#REF!</v>
      </c>
      <c r="C14" s="79" t="e">
        <f aca="false">#REF!</f>
        <v>#REF!</v>
      </c>
      <c r="D14" s="79" t="e">
        <f aca="false">#REF!</f>
        <v>#REF!</v>
      </c>
      <c r="E14" s="79" t="e">
        <f aca="false">#REF!</f>
        <v>#REF!</v>
      </c>
      <c r="F14" s="79" t="e">
        <f aca="false">#REF!</f>
        <v>#REF!</v>
      </c>
    </row>
    <row r="15" customFormat="false" ht="12.8" hidden="false" customHeight="false" outlineLevel="0" collapsed="false">
      <c r="A15" s="50" t="e">
        <f aca="false">_xlfn.CONCAT($A$1, ".", #REF!)</f>
        <v>#REF!</v>
      </c>
      <c r="B15" s="64" t="e">
        <f aca="false">_xlfn.CONCAT(#REF!, ":", #REF!)</f>
        <v>#REF!</v>
      </c>
      <c r="C15" s="79" t="e">
        <f aca="false">#REF!</f>
        <v>#REF!</v>
      </c>
      <c r="D15" s="79" t="e">
        <f aca="false">#REF!</f>
        <v>#REF!</v>
      </c>
      <c r="E15" s="79" t="e">
        <f aca="false">#REF!</f>
        <v>#REF!</v>
      </c>
      <c r="F15" s="79" t="e">
        <f aca="false">#REF!</f>
        <v>#REF!</v>
      </c>
    </row>
    <row r="16" customFormat="false" ht="12.8" hidden="false" customHeight="false" outlineLevel="0" collapsed="false">
      <c r="A16" s="50" t="e">
        <f aca="false">_xlfn.CONCAT($A$1, ".", #REF!)</f>
        <v>#REF!</v>
      </c>
      <c r="B16" s="64" t="e">
        <f aca="false">_xlfn.CONCAT(#REF!, ":", #REF!)</f>
        <v>#REF!</v>
      </c>
      <c r="C16" s="79" t="e">
        <f aca="false">#REF!</f>
        <v>#REF!</v>
      </c>
      <c r="D16" s="79" t="e">
        <f aca="false">#REF!</f>
        <v>#REF!</v>
      </c>
      <c r="E16" s="79" t="e">
        <f aca="false">#REF!</f>
        <v>#REF!</v>
      </c>
      <c r="F16" s="79" t="e">
        <f aca="false">#REF!</f>
        <v>#REF!</v>
      </c>
    </row>
    <row r="17" customFormat="false" ht="12.8" hidden="false" customHeight="false" outlineLevel="0" collapsed="false">
      <c r="A17" s="50" t="e">
        <f aca="false">_xlfn.CONCAT($A$1, ".", #REF!)</f>
        <v>#REF!</v>
      </c>
      <c r="B17" s="64" t="e">
        <f aca="false">_xlfn.CONCAT(#REF!, ":", #REF!)</f>
        <v>#REF!</v>
      </c>
      <c r="C17" s="79" t="e">
        <f aca="false">#REF!</f>
        <v>#REF!</v>
      </c>
      <c r="D17" s="79" t="e">
        <f aca="false">#REF!</f>
        <v>#REF!</v>
      </c>
      <c r="E17" s="79" t="e">
        <f aca="false">#REF!</f>
        <v>#REF!</v>
      </c>
      <c r="F17" s="79" t="e">
        <f aca="false">#REF!</f>
        <v>#REF!</v>
      </c>
    </row>
    <row r="18" customFormat="false" ht="12.8" hidden="false" customHeight="false" outlineLevel="0" collapsed="false">
      <c r="A18" s="50" t="e">
        <f aca="false">_xlfn.CONCAT($A$1, ".", #REF!)</f>
        <v>#REF!</v>
      </c>
      <c r="B18" s="64" t="e">
        <f aca="false">_xlfn.CONCAT(#REF!, ":", #REF!)</f>
        <v>#REF!</v>
      </c>
      <c r="C18" s="79" t="e">
        <f aca="false">#REF!</f>
        <v>#REF!</v>
      </c>
      <c r="D18" s="79" t="e">
        <f aca="false">#REF!</f>
        <v>#REF!</v>
      </c>
      <c r="E18" s="79" t="e">
        <f aca="false">#REF!</f>
        <v>#REF!</v>
      </c>
      <c r="F18" s="79" t="e">
        <f aca="false">#REF!</f>
        <v>#REF!</v>
      </c>
    </row>
    <row r="19" customFormat="false" ht="12.8" hidden="false" customHeight="false" outlineLevel="0" collapsed="false">
      <c r="A19" s="50" t="e">
        <f aca="false">_xlfn.CONCAT($A$1, ".", #REF!)</f>
        <v>#REF!</v>
      </c>
      <c r="B19" s="64" t="e">
        <f aca="false">_xlfn.CONCAT(#REF!, ":", #REF!)</f>
        <v>#REF!</v>
      </c>
      <c r="C19" s="79" t="e">
        <f aca="false">#REF!</f>
        <v>#REF!</v>
      </c>
      <c r="D19" s="79" t="e">
        <f aca="false">#REF!</f>
        <v>#REF!</v>
      </c>
      <c r="E19" s="79" t="e">
        <f aca="false">#REF!</f>
        <v>#REF!</v>
      </c>
      <c r="F19" s="79" t="e">
        <f aca="false">#REF!</f>
        <v>#REF!</v>
      </c>
    </row>
    <row r="20" customFormat="false" ht="12.8" hidden="false" customHeight="false" outlineLevel="0" collapsed="false">
      <c r="A20" s="50" t="e">
        <f aca="false">_xlfn.CONCAT($A$1, ".", #REF!)</f>
        <v>#REF!</v>
      </c>
      <c r="B20" s="64" t="e">
        <f aca="false">_xlfn.CONCAT(#REF!, ":", #REF!)</f>
        <v>#REF!</v>
      </c>
      <c r="C20" s="79" t="e">
        <f aca="false">#REF!</f>
        <v>#REF!</v>
      </c>
      <c r="D20" s="79" t="e">
        <f aca="false">#REF!</f>
        <v>#REF!</v>
      </c>
      <c r="E20" s="79" t="e">
        <f aca="false">#REF!</f>
        <v>#REF!</v>
      </c>
      <c r="F20" s="79" t="e">
        <f aca="false">#REF!</f>
        <v>#REF!</v>
      </c>
    </row>
    <row r="21" customFormat="false" ht="12.8" hidden="false" customHeight="false" outlineLevel="0" collapsed="false">
      <c r="A21" s="50" t="e">
        <f aca="false">_xlfn.CONCAT($A$1, ".", #REF!)</f>
        <v>#REF!</v>
      </c>
      <c r="B21" s="64" t="e">
        <f aca="false">_xlfn.CONCAT(#REF!, ":", #REF!)</f>
        <v>#REF!</v>
      </c>
      <c r="C21" s="79" t="e">
        <f aca="false">#REF!</f>
        <v>#REF!</v>
      </c>
      <c r="D21" s="79" t="e">
        <f aca="false">#REF!</f>
        <v>#REF!</v>
      </c>
      <c r="E21" s="79" t="e">
        <f aca="false">#REF!</f>
        <v>#REF!</v>
      </c>
      <c r="F21" s="79" t="e">
        <f aca="false">#REF!</f>
        <v>#REF!</v>
      </c>
    </row>
    <row r="22" customFormat="false" ht="12.8" hidden="false" customHeight="false" outlineLevel="0" collapsed="false">
      <c r="A22" s="50" t="e">
        <f aca="false">_xlfn.CONCAT($A$1, ".", #REF!)</f>
        <v>#REF!</v>
      </c>
      <c r="B22" s="64" t="e">
        <f aca="false">_xlfn.CONCAT(#REF!, ":", #REF!)</f>
        <v>#REF!</v>
      </c>
      <c r="C22" s="79" t="e">
        <f aca="false">#REF!</f>
        <v>#REF!</v>
      </c>
      <c r="D22" s="79" t="e">
        <f aca="false">#REF!</f>
        <v>#REF!</v>
      </c>
      <c r="E22" s="79" t="e">
        <f aca="false">#REF!</f>
        <v>#REF!</v>
      </c>
      <c r="F22" s="79" t="e">
        <f aca="false">#REF!</f>
        <v>#REF!</v>
      </c>
    </row>
    <row r="23" customFormat="false" ht="12.8" hidden="false" customHeight="false" outlineLevel="0" collapsed="false">
      <c r="A23" s="50" t="e">
        <f aca="false">_xlfn.CONCAT($A$1, ".", #REF!)</f>
        <v>#REF!</v>
      </c>
      <c r="B23" s="64" t="e">
        <f aca="false">_xlfn.CONCAT(#REF!, ":", #REF!)</f>
        <v>#REF!</v>
      </c>
      <c r="C23" s="79" t="e">
        <f aca="false">#REF!</f>
        <v>#REF!</v>
      </c>
      <c r="D23" s="79" t="e">
        <f aca="false">#REF!</f>
        <v>#REF!</v>
      </c>
      <c r="E23" s="79" t="e">
        <f aca="false">#REF!</f>
        <v>#REF!</v>
      </c>
      <c r="F23" s="79" t="e">
        <f aca="false">#REF!</f>
        <v>#REF!</v>
      </c>
    </row>
    <row r="24" customFormat="false" ht="12.8" hidden="false" customHeight="false" outlineLevel="0" collapsed="false">
      <c r="A24" s="50" t="e">
        <f aca="false">_xlfn.CONCAT($A$1, ".", #REF!)</f>
        <v>#REF!</v>
      </c>
      <c r="B24" s="64" t="e">
        <f aca="false">_xlfn.CONCAT(#REF!, ":", #REF!)</f>
        <v>#REF!</v>
      </c>
      <c r="C24" s="79" t="e">
        <f aca="false">#REF!</f>
        <v>#REF!</v>
      </c>
      <c r="D24" s="79" t="e">
        <f aca="false">#REF!</f>
        <v>#REF!</v>
      </c>
      <c r="E24" s="79" t="e">
        <f aca="false">#REF!</f>
        <v>#REF!</v>
      </c>
      <c r="F24" s="79" t="e">
        <f aca="false">#REF!</f>
        <v>#REF!</v>
      </c>
    </row>
    <row r="25" customFormat="false" ht="12.8" hidden="false" customHeight="false" outlineLevel="0" collapsed="false">
      <c r="A25" s="50" t="e">
        <f aca="false">_xlfn.CONCAT($A$1, ".", #REF!)</f>
        <v>#REF!</v>
      </c>
      <c r="B25" s="64" t="e">
        <f aca="false">_xlfn.CONCAT(#REF!, ":", #REF!)</f>
        <v>#REF!</v>
      </c>
      <c r="C25" s="79" t="e">
        <f aca="false">#REF!</f>
        <v>#REF!</v>
      </c>
      <c r="D25" s="79" t="e">
        <f aca="false">#REF!</f>
        <v>#REF!</v>
      </c>
      <c r="E25" s="79" t="e">
        <f aca="false">#REF!</f>
        <v>#REF!</v>
      </c>
      <c r="F25" s="79" t="e">
        <f aca="false">#REF!</f>
        <v>#REF!</v>
      </c>
    </row>
    <row r="26" customFormat="false" ht="12.8" hidden="false" customHeight="false" outlineLevel="0" collapsed="false">
      <c r="A26" s="50" t="e">
        <f aca="false">_xlfn.CONCAT($A$1, ".", #REF!)</f>
        <v>#REF!</v>
      </c>
      <c r="B26" s="64" t="e">
        <f aca="false">_xlfn.CONCAT(#REF!, ":", #REF!)</f>
        <v>#REF!</v>
      </c>
      <c r="C26" s="79" t="e">
        <f aca="false">#REF!</f>
        <v>#REF!</v>
      </c>
      <c r="D26" s="79" t="e">
        <f aca="false">#REF!</f>
        <v>#REF!</v>
      </c>
      <c r="E26" s="79" t="e">
        <f aca="false">#REF!</f>
        <v>#REF!</v>
      </c>
      <c r="F26" s="79" t="e">
        <f aca="false">#REF!</f>
        <v>#REF!</v>
      </c>
    </row>
    <row r="27" customFormat="false" ht="12.8" hidden="false" customHeight="false" outlineLevel="0" collapsed="false">
      <c r="A27" s="50" t="e">
        <f aca="false">_xlfn.CONCAT($A$1, ".", #REF!)</f>
        <v>#REF!</v>
      </c>
      <c r="B27" s="64" t="e">
        <f aca="false">_xlfn.CONCAT(#REF!, ":", #REF!)</f>
        <v>#REF!</v>
      </c>
      <c r="C27" s="79" t="e">
        <f aca="false">#REF!</f>
        <v>#REF!</v>
      </c>
      <c r="D27" s="79" t="e">
        <f aca="false">#REF!</f>
        <v>#REF!</v>
      </c>
      <c r="E27" s="79" t="e">
        <f aca="false">#REF!</f>
        <v>#REF!</v>
      </c>
      <c r="F27" s="79" t="e">
        <f aca="false">#REF!</f>
        <v>#REF!</v>
      </c>
    </row>
    <row r="28" customFormat="false" ht="12.8" hidden="false" customHeight="false" outlineLevel="0" collapsed="false">
      <c r="A28" s="50" t="e">
        <f aca="false">_xlfn.CONCAT($A$1, ".", #REF!)</f>
        <v>#REF!</v>
      </c>
      <c r="B28" s="64" t="e">
        <f aca="false">_xlfn.CONCAT(#REF!, ":", #REF!)</f>
        <v>#REF!</v>
      </c>
      <c r="C28" s="79" t="e">
        <f aca="false">#REF!</f>
        <v>#REF!</v>
      </c>
      <c r="D28" s="79" t="e">
        <f aca="false">#REF!</f>
        <v>#REF!</v>
      </c>
      <c r="E28" s="79" t="e">
        <f aca="false">#REF!</f>
        <v>#REF!</v>
      </c>
      <c r="F28" s="79" t="e">
        <f aca="false">#REF!</f>
        <v>#REF!</v>
      </c>
    </row>
    <row r="29" customFormat="false" ht="12.8" hidden="false" customHeight="false" outlineLevel="0" collapsed="false">
      <c r="A29" s="50" t="e">
        <f aca="false">_xlfn.CONCAT($A$1, ".", #REF!)</f>
        <v>#REF!</v>
      </c>
      <c r="B29" s="64" t="e">
        <f aca="false">_xlfn.CONCAT(#REF!, ":", #REF!)</f>
        <v>#REF!</v>
      </c>
      <c r="C29" s="79" t="e">
        <f aca="false">#REF!</f>
        <v>#REF!</v>
      </c>
      <c r="D29" s="79" t="e">
        <f aca="false">#REF!</f>
        <v>#REF!</v>
      </c>
      <c r="E29" s="79" t="e">
        <f aca="false">#REF!</f>
        <v>#REF!</v>
      </c>
      <c r="F29" s="79" t="e">
        <f aca="false">#REF!</f>
        <v>#REF!</v>
      </c>
    </row>
    <row r="30" customFormat="false" ht="12.8" hidden="false" customHeight="false" outlineLevel="0" collapsed="false">
      <c r="A30" s="50" t="e">
        <f aca="false">_xlfn.CONCAT($A$1, ".", #REF!)</f>
        <v>#REF!</v>
      </c>
      <c r="B30" s="64" t="e">
        <f aca="false">_xlfn.CONCAT(#REF!, ":", #REF!)</f>
        <v>#REF!</v>
      </c>
      <c r="C30" s="79" t="e">
        <f aca="false">#REF!</f>
        <v>#REF!</v>
      </c>
      <c r="D30" s="79" t="e">
        <f aca="false">#REF!</f>
        <v>#REF!</v>
      </c>
      <c r="E30" s="79" t="e">
        <f aca="false">#REF!</f>
        <v>#REF!</v>
      </c>
      <c r="F30" s="79" t="e">
        <f aca="false">#REF!</f>
        <v>#REF!</v>
      </c>
    </row>
    <row r="31" customFormat="false" ht="12.8" hidden="false" customHeight="false" outlineLevel="0" collapsed="false">
      <c r="A31" s="50" t="e">
        <f aca="false">_xlfn.CONCAT($A$1, ".", #REF!)</f>
        <v>#REF!</v>
      </c>
      <c r="B31" s="64" t="e">
        <f aca="false">_xlfn.CONCAT(#REF!, ":", #REF!)</f>
        <v>#REF!</v>
      </c>
      <c r="C31" s="79" t="e">
        <f aca="false">#REF!</f>
        <v>#REF!</v>
      </c>
      <c r="D31" s="79" t="e">
        <f aca="false">#REF!</f>
        <v>#REF!</v>
      </c>
      <c r="E31" s="79" t="e">
        <f aca="false">#REF!</f>
        <v>#REF!</v>
      </c>
      <c r="F31" s="79" t="e">
        <f aca="false">#REF!</f>
        <v>#REF!</v>
      </c>
    </row>
    <row r="32" customFormat="false" ht="12.8" hidden="false" customHeight="false" outlineLevel="0" collapsed="false">
      <c r="A32" s="50" t="e">
        <f aca="false">_xlfn.CONCAT($A$1, ".", #REF!)</f>
        <v>#REF!</v>
      </c>
      <c r="B32" s="64" t="e">
        <f aca="false">_xlfn.CONCAT(#REF!, ":", #REF!)</f>
        <v>#REF!</v>
      </c>
      <c r="C32" s="79" t="e">
        <f aca="false">#REF!</f>
        <v>#REF!</v>
      </c>
      <c r="D32" s="79" t="e">
        <f aca="false">#REF!</f>
        <v>#REF!</v>
      </c>
      <c r="E32" s="79" t="e">
        <f aca="false">#REF!</f>
        <v>#REF!</v>
      </c>
      <c r="F32" s="79" t="e">
        <f aca="false">#REF!</f>
        <v>#REF!</v>
      </c>
    </row>
    <row r="33" customFormat="false" ht="12.8" hidden="false" customHeight="false" outlineLevel="0" collapsed="false">
      <c r="A33" s="50" t="e">
        <f aca="false">_xlfn.CONCAT($A$1, ".", #REF!)</f>
        <v>#REF!</v>
      </c>
      <c r="B33" s="64" t="e">
        <f aca="false">_xlfn.CONCAT(#REF!, ":", #REF!)</f>
        <v>#REF!</v>
      </c>
      <c r="C33" s="79" t="e">
        <f aca="false">#REF!</f>
        <v>#REF!</v>
      </c>
      <c r="D33" s="79" t="e">
        <f aca="false">#REF!</f>
        <v>#REF!</v>
      </c>
      <c r="E33" s="79" t="e">
        <f aca="false">#REF!</f>
        <v>#REF!</v>
      </c>
      <c r="F33" s="79" t="e">
        <f aca="false">#REF!</f>
        <v>#REF!</v>
      </c>
    </row>
    <row r="34" customFormat="false" ht="12.8" hidden="false" customHeight="false" outlineLevel="0" collapsed="false">
      <c r="A34" s="50" t="e">
        <f aca="false">_xlfn.CONCAT($A$1, ".", #REF!)</f>
        <v>#REF!</v>
      </c>
      <c r="B34" s="64" t="e">
        <f aca="false">_xlfn.CONCAT(#REF!, ":", #REF!)</f>
        <v>#REF!</v>
      </c>
      <c r="C34" s="79" t="e">
        <f aca="false">#REF!</f>
        <v>#REF!</v>
      </c>
      <c r="D34" s="79" t="e">
        <f aca="false">#REF!</f>
        <v>#REF!</v>
      </c>
      <c r="E34" s="79" t="e">
        <f aca="false">#REF!</f>
        <v>#REF!</v>
      </c>
      <c r="F34" s="79" t="e">
        <f aca="false">#REF!</f>
        <v>#REF!</v>
      </c>
    </row>
    <row r="35" customFormat="false" ht="12.8" hidden="false" customHeight="false" outlineLevel="0" collapsed="false">
      <c r="A35" s="50" t="e">
        <f aca="false">_xlfn.CONCAT($A$1, ".", #REF!)</f>
        <v>#REF!</v>
      </c>
      <c r="B35" s="64" t="e">
        <f aca="false">_xlfn.CONCAT(#REF!, ":", #REF!)</f>
        <v>#REF!</v>
      </c>
      <c r="C35" s="79" t="e">
        <f aca="false">#REF!</f>
        <v>#REF!</v>
      </c>
      <c r="D35" s="79" t="e">
        <f aca="false">#REF!</f>
        <v>#REF!</v>
      </c>
      <c r="E35" s="79" t="e">
        <f aca="false">#REF!</f>
        <v>#REF!</v>
      </c>
      <c r="F35" s="79" t="e">
        <f aca="false">#REF!</f>
        <v>#REF!</v>
      </c>
    </row>
    <row r="36" customFormat="false" ht="12.8" hidden="false" customHeight="false" outlineLevel="0" collapsed="false">
      <c r="A36" s="50" t="e">
        <f aca="false">_xlfn.CONCAT($A$1, ".", #REF!)</f>
        <v>#REF!</v>
      </c>
      <c r="B36" s="64" t="e">
        <f aca="false">_xlfn.CONCAT(#REF!, ":", #REF!)</f>
        <v>#REF!</v>
      </c>
      <c r="C36" s="79" t="e">
        <f aca="false">#REF!</f>
        <v>#REF!</v>
      </c>
      <c r="D36" s="79" t="e">
        <f aca="false">#REF!</f>
        <v>#REF!</v>
      </c>
      <c r="E36" s="79" t="e">
        <f aca="false">#REF!</f>
        <v>#REF!</v>
      </c>
      <c r="F36" s="79" t="e">
        <f aca="false">#REF!</f>
        <v>#REF!</v>
      </c>
    </row>
    <row r="37" customFormat="false" ht="12.8" hidden="false" customHeight="false" outlineLevel="0" collapsed="false">
      <c r="A37" s="50" t="e">
        <f aca="false">_xlfn.CONCAT($A$1, ".", #REF!)</f>
        <v>#REF!</v>
      </c>
      <c r="B37" s="64" t="e">
        <f aca="false">_xlfn.CONCAT(#REF!, ":", #REF!)</f>
        <v>#REF!</v>
      </c>
      <c r="C37" s="79" t="e">
        <f aca="false">#REF!</f>
        <v>#REF!</v>
      </c>
      <c r="D37" s="79" t="e">
        <f aca="false">#REF!</f>
        <v>#REF!</v>
      </c>
      <c r="E37" s="79" t="e">
        <f aca="false">#REF!</f>
        <v>#REF!</v>
      </c>
      <c r="F37" s="79" t="e">
        <f aca="false">#REF!</f>
        <v>#REF!</v>
      </c>
    </row>
    <row r="38" customFormat="false" ht="12.8" hidden="false" customHeight="false" outlineLevel="0" collapsed="false">
      <c r="A38" s="50" t="e">
        <f aca="false">_xlfn.CONCAT($A$1, ".", #REF!)</f>
        <v>#REF!</v>
      </c>
      <c r="B38" s="64" t="e">
        <f aca="false">_xlfn.CONCAT(#REF!, ":", #REF!)</f>
        <v>#REF!</v>
      </c>
      <c r="C38" s="79" t="e">
        <f aca="false">#REF!</f>
        <v>#REF!</v>
      </c>
      <c r="D38" s="79" t="e">
        <f aca="false">#REF!</f>
        <v>#REF!</v>
      </c>
      <c r="E38" s="79" t="e">
        <f aca="false">#REF!</f>
        <v>#REF!</v>
      </c>
      <c r="F38" s="79" t="e">
        <f aca="false">#REF!</f>
        <v>#REF!</v>
      </c>
    </row>
    <row r="39" customFormat="false" ht="12.8" hidden="false" customHeight="false" outlineLevel="0" collapsed="false">
      <c r="A39" s="50" t="e">
        <f aca="false">_xlfn.CONCAT($A$1, ".", #REF!)</f>
        <v>#REF!</v>
      </c>
      <c r="B39" s="64" t="e">
        <f aca="false">_xlfn.CONCAT(#REF!, ":", #REF!)</f>
        <v>#REF!</v>
      </c>
      <c r="C39" s="79" t="e">
        <f aca="false">#REF!</f>
        <v>#REF!</v>
      </c>
      <c r="D39" s="79" t="e">
        <f aca="false">#REF!</f>
        <v>#REF!</v>
      </c>
      <c r="E39" s="79" t="e">
        <f aca="false">#REF!</f>
        <v>#REF!</v>
      </c>
      <c r="F39" s="79" t="e">
        <f aca="false">#REF!</f>
        <v>#REF!</v>
      </c>
    </row>
    <row r="40" customFormat="false" ht="12.8" hidden="false" customHeight="false" outlineLevel="0" collapsed="false">
      <c r="A40" s="50" t="e">
        <f aca="false">_xlfn.CONCAT($A$1, ".", #REF!)</f>
        <v>#REF!</v>
      </c>
      <c r="B40" s="64" t="e">
        <f aca="false">_xlfn.CONCAT(#REF!, ":", #REF!)</f>
        <v>#REF!</v>
      </c>
      <c r="C40" s="79" t="e">
        <f aca="false">#REF!</f>
        <v>#REF!</v>
      </c>
      <c r="D40" s="79" t="e">
        <f aca="false">#REF!</f>
        <v>#REF!</v>
      </c>
      <c r="E40" s="79" t="e">
        <f aca="false">#REF!</f>
        <v>#REF!</v>
      </c>
      <c r="F40" s="79" t="e">
        <f aca="false">#REF!</f>
        <v>#REF!</v>
      </c>
    </row>
    <row r="41" customFormat="false" ht="12.8" hidden="false" customHeight="false" outlineLevel="0" collapsed="false">
      <c r="A41" s="50" t="e">
        <f aca="false">_xlfn.CONCAT($A$1, ".", #REF!)</f>
        <v>#REF!</v>
      </c>
      <c r="B41" s="64" t="e">
        <f aca="false">_xlfn.CONCAT(#REF!, ":", #REF!)</f>
        <v>#REF!</v>
      </c>
      <c r="C41" s="79" t="e">
        <f aca="false">#REF!</f>
        <v>#REF!</v>
      </c>
      <c r="D41" s="79" t="e">
        <f aca="false">#REF!</f>
        <v>#REF!</v>
      </c>
      <c r="E41" s="79" t="e">
        <f aca="false">#REF!</f>
        <v>#REF!</v>
      </c>
      <c r="F41" s="79" t="e">
        <f aca="false">#REF!</f>
        <v>#REF!</v>
      </c>
    </row>
    <row r="42" customFormat="false" ht="12.8" hidden="false" customHeight="false" outlineLevel="0" collapsed="false">
      <c r="A42" s="50" t="e">
        <f aca="false">_xlfn.CONCAT($A$1, ".", #REF!)</f>
        <v>#REF!</v>
      </c>
      <c r="B42" s="64" t="e">
        <f aca="false">_xlfn.CONCAT(#REF!, ":", #REF!)</f>
        <v>#REF!</v>
      </c>
      <c r="C42" s="79" t="e">
        <f aca="false">#REF!</f>
        <v>#REF!</v>
      </c>
      <c r="D42" s="79" t="e">
        <f aca="false">#REF!</f>
        <v>#REF!</v>
      </c>
      <c r="E42" s="79" t="e">
        <f aca="false">#REF!</f>
        <v>#REF!</v>
      </c>
      <c r="F42" s="79" t="e">
        <f aca="false">#REF!</f>
        <v>#REF!</v>
      </c>
    </row>
    <row r="43" customFormat="false" ht="12.8" hidden="false" customHeight="false" outlineLevel="0" collapsed="false">
      <c r="A43" s="50" t="e">
        <f aca="false">_xlfn.CONCAT($A$1, ".", #REF!)</f>
        <v>#REF!</v>
      </c>
      <c r="B43" s="64" t="e">
        <f aca="false">_xlfn.CONCAT(#REF!, ":", #REF!)</f>
        <v>#REF!</v>
      </c>
      <c r="C43" s="79" t="e">
        <f aca="false">#REF!</f>
        <v>#REF!</v>
      </c>
      <c r="D43" s="79" t="e">
        <f aca="false">#REF!</f>
        <v>#REF!</v>
      </c>
      <c r="E43" s="79" t="e">
        <f aca="false">#REF!</f>
        <v>#REF!</v>
      </c>
      <c r="F43" s="79" t="e">
        <f aca="false">#REF!</f>
        <v>#REF!</v>
      </c>
    </row>
    <row r="44" customFormat="false" ht="12.8" hidden="false" customHeight="false" outlineLevel="0" collapsed="false">
      <c r="A44" s="50" t="e">
        <f aca="false">_xlfn.CONCAT($A$1, ".", #REF!)</f>
        <v>#REF!</v>
      </c>
      <c r="B44" s="64" t="e">
        <f aca="false">_xlfn.CONCAT(#REF!, ":", #REF!)</f>
        <v>#REF!</v>
      </c>
      <c r="C44" s="79" t="e">
        <f aca="false">#REF!</f>
        <v>#REF!</v>
      </c>
      <c r="D44" s="79" t="e">
        <f aca="false">#REF!</f>
        <v>#REF!</v>
      </c>
      <c r="E44" s="79" t="e">
        <f aca="false">#REF!</f>
        <v>#REF!</v>
      </c>
      <c r="F44" s="79" t="e">
        <f aca="false">#REF!</f>
        <v>#REF!</v>
      </c>
    </row>
    <row r="45" customFormat="false" ht="12.8" hidden="false" customHeight="false" outlineLevel="0" collapsed="false">
      <c r="A45" s="50" t="e">
        <f aca="false">_xlfn.CONCAT($A$1, ".", #REF!)</f>
        <v>#REF!</v>
      </c>
      <c r="B45" s="64" t="e">
        <f aca="false">_xlfn.CONCAT(#REF!, ":", #REF!)</f>
        <v>#REF!</v>
      </c>
      <c r="C45" s="79" t="e">
        <f aca="false">#REF!</f>
        <v>#REF!</v>
      </c>
      <c r="D45" s="79" t="e">
        <f aca="false">#REF!</f>
        <v>#REF!</v>
      </c>
      <c r="E45" s="79" t="e">
        <f aca="false">#REF!</f>
        <v>#REF!</v>
      </c>
      <c r="F45" s="79" t="e">
        <f aca="false">#REF!</f>
        <v>#REF!</v>
      </c>
    </row>
    <row r="46" customFormat="false" ht="12.8" hidden="false" customHeight="false" outlineLevel="0" collapsed="false">
      <c r="A46" s="50" t="e">
        <f aca="false">_xlfn.CONCAT($A$1, ".", #REF!)</f>
        <v>#REF!</v>
      </c>
      <c r="B46" s="64" t="e">
        <f aca="false">_xlfn.CONCAT(#REF!, ":", #REF!)</f>
        <v>#REF!</v>
      </c>
      <c r="C46" s="79" t="e">
        <f aca="false">#REF!</f>
        <v>#REF!</v>
      </c>
      <c r="D46" s="79" t="e">
        <f aca="false">#REF!</f>
        <v>#REF!</v>
      </c>
      <c r="E46" s="79" t="e">
        <f aca="false">#REF!</f>
        <v>#REF!</v>
      </c>
      <c r="F46" s="79" t="e">
        <f aca="false">#REF!</f>
        <v>#REF!</v>
      </c>
    </row>
    <row r="47" customFormat="false" ht="12.8" hidden="false" customHeight="false" outlineLevel="0" collapsed="false">
      <c r="A47" s="50" t="e">
        <f aca="false">_xlfn.CONCAT($A$1, ".", #REF!)</f>
        <v>#REF!</v>
      </c>
      <c r="B47" s="64" t="e">
        <f aca="false">_xlfn.CONCAT(#REF!, ":", #REF!)</f>
        <v>#REF!</v>
      </c>
      <c r="C47" s="79" t="e">
        <f aca="false">#REF!</f>
        <v>#REF!</v>
      </c>
      <c r="D47" s="79" t="e">
        <f aca="false">#REF!</f>
        <v>#REF!</v>
      </c>
      <c r="E47" s="79" t="e">
        <f aca="false">#REF!</f>
        <v>#REF!</v>
      </c>
      <c r="F47" s="79" t="e">
        <f aca="false">#REF!</f>
        <v>#REF!</v>
      </c>
    </row>
    <row r="48" customFormat="false" ht="12.8" hidden="false" customHeight="false" outlineLevel="0" collapsed="false">
      <c r="A48" s="50" t="e">
        <f aca="false">_xlfn.CONCAT($A$1, ".", #REF!)</f>
        <v>#REF!</v>
      </c>
      <c r="B48" s="64" t="e">
        <f aca="false">_xlfn.CONCAT(#REF!, ":", #REF!)</f>
        <v>#REF!</v>
      </c>
      <c r="C48" s="79" t="e">
        <f aca="false">#REF!</f>
        <v>#REF!</v>
      </c>
      <c r="D48" s="79" t="e">
        <f aca="false">#REF!</f>
        <v>#REF!</v>
      </c>
      <c r="E48" s="79" t="e">
        <f aca="false">#REF!</f>
        <v>#REF!</v>
      </c>
      <c r="F48" s="79" t="e">
        <f aca="false">#REF!</f>
        <v>#REF!</v>
      </c>
    </row>
    <row r="49" customFormat="false" ht="12.8" hidden="false" customHeight="false" outlineLevel="0" collapsed="false">
      <c r="A49" s="50" t="e">
        <f aca="false">_xlfn.CONCAT($A$1, ".", #REF!)</f>
        <v>#REF!</v>
      </c>
      <c r="B49" s="64" t="e">
        <f aca="false">_xlfn.CONCAT(#REF!, ":", #REF!)</f>
        <v>#REF!</v>
      </c>
      <c r="C49" s="79" t="e">
        <f aca="false">#REF!</f>
        <v>#REF!</v>
      </c>
      <c r="D49" s="79" t="e">
        <f aca="false">#REF!</f>
        <v>#REF!</v>
      </c>
      <c r="E49" s="79" t="e">
        <f aca="false">#REF!</f>
        <v>#REF!</v>
      </c>
      <c r="F49" s="79" t="e">
        <f aca="false">#REF!</f>
        <v>#REF!</v>
      </c>
    </row>
    <row r="50" customFormat="false" ht="12.8" hidden="false" customHeight="false" outlineLevel="0" collapsed="false">
      <c r="A50" s="50" t="e">
        <f aca="false">_xlfn.CONCAT($A$1, ".", #REF!)</f>
        <v>#REF!</v>
      </c>
      <c r="B50" s="64" t="e">
        <f aca="false">_xlfn.CONCAT(#REF!, ":", #REF!)</f>
        <v>#REF!</v>
      </c>
      <c r="C50" s="79" t="e">
        <f aca="false">#REF!</f>
        <v>#REF!</v>
      </c>
      <c r="D50" s="79" t="e">
        <f aca="false">#REF!</f>
        <v>#REF!</v>
      </c>
      <c r="E50" s="79" t="e">
        <f aca="false">#REF!</f>
        <v>#REF!</v>
      </c>
      <c r="F50" s="79" t="e">
        <f aca="false">#REF!</f>
        <v>#REF!</v>
      </c>
    </row>
    <row r="51" customFormat="false" ht="12.8" hidden="false" customHeight="false" outlineLevel="0" collapsed="false">
      <c r="A51" s="50" t="e">
        <f aca="false">_xlfn.CONCAT($A$1, ".", #REF!)</f>
        <v>#REF!</v>
      </c>
      <c r="B51" s="64" t="e">
        <f aca="false">_xlfn.CONCAT(#REF!, ":", #REF!)</f>
        <v>#REF!</v>
      </c>
      <c r="C51" s="79" t="e">
        <f aca="false">#REF!</f>
        <v>#REF!</v>
      </c>
      <c r="D51" s="79" t="e">
        <f aca="false">#REF!</f>
        <v>#REF!</v>
      </c>
      <c r="E51" s="79" t="e">
        <f aca="false">#REF!</f>
        <v>#REF!</v>
      </c>
      <c r="F51" s="79" t="e">
        <f aca="false">#REF!</f>
        <v>#REF!</v>
      </c>
    </row>
    <row r="52" customFormat="false" ht="12.8" hidden="false" customHeight="false" outlineLevel="0" collapsed="false">
      <c r="A52" s="50" t="e">
        <f aca="false">_xlfn.CONCAT($A$1, ".", #REF!)</f>
        <v>#REF!</v>
      </c>
      <c r="B52" s="64" t="e">
        <f aca="false">_xlfn.CONCAT(#REF!, ":", #REF!)</f>
        <v>#REF!</v>
      </c>
      <c r="C52" s="79" t="e">
        <f aca="false">#REF!</f>
        <v>#REF!</v>
      </c>
      <c r="D52" s="79" t="e">
        <f aca="false">#REF!</f>
        <v>#REF!</v>
      </c>
      <c r="E52" s="79" t="e">
        <f aca="false">#REF!</f>
        <v>#REF!</v>
      </c>
      <c r="F52" s="79" t="e">
        <f aca="false">#REF!</f>
        <v>#REF!</v>
      </c>
    </row>
    <row r="53" customFormat="false" ht="12.8" hidden="false" customHeight="false" outlineLevel="0" collapsed="false">
      <c r="A53" s="50" t="e">
        <f aca="false">_xlfn.CONCAT($A$1, ".", #REF!)</f>
        <v>#REF!</v>
      </c>
      <c r="B53" s="64" t="e">
        <f aca="false">_xlfn.CONCAT(#REF!, ":", #REF!)</f>
        <v>#REF!</v>
      </c>
      <c r="C53" s="79" t="e">
        <f aca="false">#REF!</f>
        <v>#REF!</v>
      </c>
      <c r="D53" s="79" t="e">
        <f aca="false">#REF!</f>
        <v>#REF!</v>
      </c>
      <c r="E53" s="79" t="e">
        <f aca="false">#REF!</f>
        <v>#REF!</v>
      </c>
      <c r="F53" s="79" t="e">
        <f aca="false">#REF!</f>
        <v>#REF!</v>
      </c>
    </row>
    <row r="54" customFormat="false" ht="12.8" hidden="false" customHeight="false" outlineLevel="0" collapsed="false">
      <c r="A54" s="50" t="e">
        <f aca="false">_xlfn.CONCAT($A$1, ".", #REF!)</f>
        <v>#REF!</v>
      </c>
      <c r="B54" s="64" t="e">
        <f aca="false">_xlfn.CONCAT(#REF!, ":", #REF!)</f>
        <v>#REF!</v>
      </c>
      <c r="C54" s="79" t="e">
        <f aca="false">#REF!</f>
        <v>#REF!</v>
      </c>
      <c r="D54" s="79" t="e">
        <f aca="false">#REF!</f>
        <v>#REF!</v>
      </c>
      <c r="E54" s="79" t="e">
        <f aca="false">#REF!</f>
        <v>#REF!</v>
      </c>
      <c r="F54" s="79" t="e">
        <f aca="false">#REF!</f>
        <v>#REF!</v>
      </c>
    </row>
    <row r="55" customFormat="false" ht="12.8" hidden="false" customHeight="false" outlineLevel="0" collapsed="false">
      <c r="A55" s="50" t="e">
        <f aca="false">_xlfn.CONCAT($A$1, ".", #REF!)</f>
        <v>#REF!</v>
      </c>
      <c r="B55" s="64" t="e">
        <f aca="false">_xlfn.CONCAT(#REF!, ":", #REF!)</f>
        <v>#REF!</v>
      </c>
      <c r="C55" s="79" t="e">
        <f aca="false">#REF!</f>
        <v>#REF!</v>
      </c>
      <c r="D55" s="79" t="e">
        <f aca="false">#REF!</f>
        <v>#REF!</v>
      </c>
      <c r="E55" s="79" t="e">
        <f aca="false">#REF!</f>
        <v>#REF!</v>
      </c>
      <c r="F55" s="79"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75" zoomScaleNormal="75" zoomScalePageLayoutView="100" workbookViewId="0">
      <selection pane="topLeft" activeCell="A255" activeCellId="0" sqref="A2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5"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2833</v>
      </c>
      <c r="B1" s="76" t="s">
        <v>2842</v>
      </c>
      <c r="C1" s="6" t="s">
        <v>2</v>
      </c>
      <c r="D1" s="39" t="s">
        <v>2843</v>
      </c>
      <c r="AZ1" s="39"/>
      <c r="BP1" s="39"/>
    </row>
    <row r="2" customFormat="false" ht="35.05" hidden="false" customHeight="false" outlineLevel="0" collapsed="false">
      <c r="A2" s="77" t="s">
        <v>2813</v>
      </c>
      <c r="B2" s="78" t="s">
        <v>2814</v>
      </c>
      <c r="C2" s="65" t="str">
        <f aca="false">CALC!CL3</f>
        <v>Job Tenure Average (years)</v>
      </c>
      <c r="D2" s="65" t="str">
        <f aca="false">CALC!CM3</f>
        <v>Authorized Immigrant Job Tenure Average</v>
      </c>
      <c r="E2" s="65" t="str">
        <f aca="false">CALC!CN3</f>
        <v>Unauthorized Immigrant Job Tenure Average</v>
      </c>
      <c r="F2" s="65" t="str">
        <f aca="false">CALC!CO3</f>
        <v>American Job Tenure Average</v>
      </c>
    </row>
    <row r="3" customFormat="false" ht="12.8" hidden="false" customHeight="false" outlineLevel="0" collapsed="false">
      <c r="A3" s="50" t="e">
        <f aca="false">_xlfn.CONCAT($A$1, ".", #REF!)</f>
        <v>#REF!</v>
      </c>
      <c r="B3" s="64" t="e">
        <f aca="false">_xlfn.CONCAT(#REF!, ":", #REF!)</f>
        <v>#REF!</v>
      </c>
      <c r="C3" s="65" t="e">
        <f aca="false">#REF!</f>
        <v>#REF!</v>
      </c>
      <c r="D3" s="65" t="e">
        <f aca="false">#REF!</f>
        <v>#REF!</v>
      </c>
      <c r="E3" s="65" t="e">
        <f aca="false">#REF!</f>
        <v>#REF!</v>
      </c>
      <c r="F3" s="65" t="e">
        <f aca="false">#REF!</f>
        <v>#REF!</v>
      </c>
    </row>
    <row r="4" customFormat="false" ht="12.8" hidden="false" customHeight="false" outlineLevel="0" collapsed="false">
      <c r="A4" s="50" t="e">
        <f aca="false">_xlfn.CONCAT($A$1, ".", #REF!)</f>
        <v>#REF!</v>
      </c>
      <c r="B4" s="64" t="e">
        <f aca="false">_xlfn.CONCAT(#REF!, ":", #REF!)</f>
        <v>#REF!</v>
      </c>
      <c r="C4" s="65" t="e">
        <f aca="false">#REF!</f>
        <v>#REF!</v>
      </c>
      <c r="D4" s="65" t="e">
        <f aca="false">#REF!</f>
        <v>#REF!</v>
      </c>
      <c r="E4" s="65" t="e">
        <f aca="false">#REF!</f>
        <v>#REF!</v>
      </c>
      <c r="F4" s="65" t="e">
        <f aca="false">#REF!</f>
        <v>#REF!</v>
      </c>
    </row>
    <row r="5" customFormat="false" ht="12.8" hidden="false" customHeight="false" outlineLevel="0" collapsed="false">
      <c r="A5" s="50" t="e">
        <f aca="false">_xlfn.CONCAT($A$1, ".", #REF!)</f>
        <v>#REF!</v>
      </c>
      <c r="B5" s="64" t="e">
        <f aca="false">_xlfn.CONCAT(#REF!, ":", #REF!)</f>
        <v>#REF!</v>
      </c>
      <c r="C5" s="65" t="e">
        <f aca="false">#REF!</f>
        <v>#REF!</v>
      </c>
      <c r="D5" s="65" t="e">
        <f aca="false">#REF!</f>
        <v>#REF!</v>
      </c>
      <c r="E5" s="65" t="e">
        <f aca="false">#REF!</f>
        <v>#REF!</v>
      </c>
      <c r="F5" s="65" t="e">
        <f aca="false">#REF!</f>
        <v>#REF!</v>
      </c>
    </row>
    <row r="6" customFormat="false" ht="12.8" hidden="false" customHeight="false" outlineLevel="0" collapsed="false">
      <c r="A6" s="50" t="e">
        <f aca="false">_xlfn.CONCAT($A$1, ".", #REF!)</f>
        <v>#REF!</v>
      </c>
      <c r="B6" s="64" t="e">
        <f aca="false">_xlfn.CONCAT(#REF!, ":", #REF!)</f>
        <v>#REF!</v>
      </c>
      <c r="C6" s="65" t="e">
        <f aca="false">#REF!</f>
        <v>#REF!</v>
      </c>
      <c r="D6" s="65" t="e">
        <f aca="false">#REF!</f>
        <v>#REF!</v>
      </c>
      <c r="E6" s="65" t="e">
        <f aca="false">#REF!</f>
        <v>#REF!</v>
      </c>
      <c r="F6" s="65" t="e">
        <f aca="false">#REF!</f>
        <v>#REF!</v>
      </c>
    </row>
    <row r="7" customFormat="false" ht="12.8" hidden="false" customHeight="false" outlineLevel="0" collapsed="false">
      <c r="A7" s="50" t="e">
        <f aca="false">_xlfn.CONCAT($A$1, ".", #REF!)</f>
        <v>#REF!</v>
      </c>
      <c r="B7" s="64" t="e">
        <f aca="false">_xlfn.CONCAT(#REF!, ":", #REF!)</f>
        <v>#REF!</v>
      </c>
      <c r="C7" s="65" t="e">
        <f aca="false">#REF!</f>
        <v>#REF!</v>
      </c>
      <c r="D7" s="65" t="e">
        <f aca="false">#REF!</f>
        <v>#REF!</v>
      </c>
      <c r="E7" s="65" t="e">
        <f aca="false">#REF!</f>
        <v>#REF!</v>
      </c>
      <c r="F7" s="65" t="e">
        <f aca="false">#REF!</f>
        <v>#REF!</v>
      </c>
    </row>
    <row r="8" customFormat="false" ht="12.8" hidden="false" customHeight="false" outlineLevel="0" collapsed="false">
      <c r="A8" s="50" t="e">
        <f aca="false">_xlfn.CONCAT($A$1, ".", #REF!)</f>
        <v>#REF!</v>
      </c>
      <c r="B8" s="64" t="e">
        <f aca="false">_xlfn.CONCAT(#REF!, ":", #REF!)</f>
        <v>#REF!</v>
      </c>
      <c r="C8" s="65" t="e">
        <f aca="false">#REF!</f>
        <v>#REF!</v>
      </c>
      <c r="D8" s="65" t="e">
        <f aca="false">#REF!</f>
        <v>#REF!</v>
      </c>
      <c r="E8" s="65" t="e">
        <f aca="false">#REF!</f>
        <v>#REF!</v>
      </c>
      <c r="F8" s="65" t="e">
        <f aca="false">#REF!</f>
        <v>#REF!</v>
      </c>
    </row>
    <row r="9" customFormat="false" ht="12.8" hidden="false" customHeight="false" outlineLevel="0" collapsed="false">
      <c r="A9" s="50" t="e">
        <f aca="false">_xlfn.CONCAT($A$1, ".", #REF!)</f>
        <v>#REF!</v>
      </c>
      <c r="B9" s="64" t="e">
        <f aca="false">_xlfn.CONCAT(#REF!, ":", #REF!)</f>
        <v>#REF!</v>
      </c>
      <c r="C9" s="65" t="e">
        <f aca="false">#REF!</f>
        <v>#REF!</v>
      </c>
      <c r="D9" s="65" t="e">
        <f aca="false">#REF!</f>
        <v>#REF!</v>
      </c>
      <c r="E9" s="65" t="e">
        <f aca="false">#REF!</f>
        <v>#REF!</v>
      </c>
      <c r="F9" s="65" t="e">
        <f aca="false">#REF!</f>
        <v>#REF!</v>
      </c>
    </row>
    <row r="10" customFormat="false" ht="12.8" hidden="false" customHeight="false" outlineLevel="0" collapsed="false">
      <c r="A10" s="50" t="e">
        <f aca="false">_xlfn.CONCAT($A$1, ".", #REF!)</f>
        <v>#REF!</v>
      </c>
      <c r="B10" s="64" t="e">
        <f aca="false">_xlfn.CONCAT(#REF!, ":", #REF!)</f>
        <v>#REF!</v>
      </c>
      <c r="C10" s="65" t="e">
        <f aca="false">#REF!</f>
        <v>#REF!</v>
      </c>
      <c r="D10" s="65" t="e">
        <f aca="false">#REF!</f>
        <v>#REF!</v>
      </c>
      <c r="E10" s="65" t="e">
        <f aca="false">#REF!</f>
        <v>#REF!</v>
      </c>
      <c r="F10" s="65" t="e">
        <f aca="false">#REF!</f>
        <v>#REF!</v>
      </c>
    </row>
    <row r="11" customFormat="false" ht="12.8" hidden="false" customHeight="false" outlineLevel="0" collapsed="false">
      <c r="A11" s="50" t="e">
        <f aca="false">_xlfn.CONCAT($A$1, ".", #REF!)</f>
        <v>#REF!</v>
      </c>
      <c r="B11" s="64" t="e">
        <f aca="false">_xlfn.CONCAT(#REF!, ":", #REF!)</f>
        <v>#REF!</v>
      </c>
      <c r="C11" s="65" t="e">
        <f aca="false">#REF!</f>
        <v>#REF!</v>
      </c>
      <c r="D11" s="65" t="e">
        <f aca="false">#REF!</f>
        <v>#REF!</v>
      </c>
      <c r="E11" s="65" t="e">
        <f aca="false">#REF!</f>
        <v>#REF!</v>
      </c>
      <c r="F11" s="65" t="e">
        <f aca="false">#REF!</f>
        <v>#REF!</v>
      </c>
    </row>
    <row r="12" customFormat="false" ht="12.8" hidden="false" customHeight="false" outlineLevel="0" collapsed="false">
      <c r="A12" s="50" t="e">
        <f aca="false">_xlfn.CONCAT($A$1, ".", #REF!)</f>
        <v>#REF!</v>
      </c>
      <c r="B12" s="64" t="e">
        <f aca="false">_xlfn.CONCAT(#REF!, ":", #REF!)</f>
        <v>#REF!</v>
      </c>
      <c r="C12" s="65" t="e">
        <f aca="false">#REF!</f>
        <v>#REF!</v>
      </c>
      <c r="D12" s="65" t="e">
        <f aca="false">#REF!</f>
        <v>#REF!</v>
      </c>
      <c r="E12" s="65" t="e">
        <f aca="false">#REF!</f>
        <v>#REF!</v>
      </c>
      <c r="F12" s="65" t="e">
        <f aca="false">#REF!</f>
        <v>#REF!</v>
      </c>
    </row>
    <row r="13" customFormat="false" ht="12.8" hidden="false" customHeight="false" outlineLevel="0" collapsed="false">
      <c r="A13" s="50" t="e">
        <f aca="false">_xlfn.CONCAT($A$1, ".", #REF!)</f>
        <v>#REF!</v>
      </c>
      <c r="B13" s="64" t="e">
        <f aca="false">_xlfn.CONCAT(#REF!, ":", #REF!)</f>
        <v>#REF!</v>
      </c>
      <c r="C13" s="65" t="e">
        <f aca="false">#REF!</f>
        <v>#REF!</v>
      </c>
      <c r="D13" s="65" t="e">
        <f aca="false">#REF!</f>
        <v>#REF!</v>
      </c>
      <c r="E13" s="65" t="e">
        <f aca="false">#REF!</f>
        <v>#REF!</v>
      </c>
      <c r="F13" s="65" t="e">
        <f aca="false">#REF!</f>
        <v>#REF!</v>
      </c>
    </row>
    <row r="14" customFormat="false" ht="12.8" hidden="false" customHeight="false" outlineLevel="0" collapsed="false">
      <c r="A14" s="50" t="e">
        <f aca="false">_xlfn.CONCAT($A$1, ".", #REF!)</f>
        <v>#REF!</v>
      </c>
      <c r="B14" s="64" t="e">
        <f aca="false">_xlfn.CONCAT(#REF!, ":", #REF!)</f>
        <v>#REF!</v>
      </c>
      <c r="C14" s="65" t="e">
        <f aca="false">#REF!</f>
        <v>#REF!</v>
      </c>
      <c r="D14" s="65" t="e">
        <f aca="false">#REF!</f>
        <v>#REF!</v>
      </c>
      <c r="E14" s="65" t="e">
        <f aca="false">#REF!</f>
        <v>#REF!</v>
      </c>
      <c r="F14" s="65" t="e">
        <f aca="false">#REF!</f>
        <v>#REF!</v>
      </c>
    </row>
    <row r="15" customFormat="false" ht="12.8" hidden="false" customHeight="false" outlineLevel="0" collapsed="false">
      <c r="A15" s="50" t="e">
        <f aca="false">_xlfn.CONCAT($A$1, ".", #REF!)</f>
        <v>#REF!</v>
      </c>
      <c r="B15" s="64" t="e">
        <f aca="false">_xlfn.CONCAT(#REF!, ":", #REF!)</f>
        <v>#REF!</v>
      </c>
      <c r="C15" s="65" t="e">
        <f aca="false">#REF!</f>
        <v>#REF!</v>
      </c>
      <c r="D15" s="65" t="e">
        <f aca="false">#REF!</f>
        <v>#REF!</v>
      </c>
      <c r="E15" s="65" t="e">
        <f aca="false">#REF!</f>
        <v>#REF!</v>
      </c>
      <c r="F15" s="65" t="e">
        <f aca="false">#REF!</f>
        <v>#REF!</v>
      </c>
    </row>
    <row r="16" customFormat="false" ht="12.8" hidden="false" customHeight="false" outlineLevel="0" collapsed="false">
      <c r="A16" s="50" t="e">
        <f aca="false">_xlfn.CONCAT($A$1, ".", #REF!)</f>
        <v>#REF!</v>
      </c>
      <c r="B16" s="64" t="e">
        <f aca="false">_xlfn.CONCAT(#REF!, ":", #REF!)</f>
        <v>#REF!</v>
      </c>
      <c r="C16" s="65" t="e">
        <f aca="false">#REF!</f>
        <v>#REF!</v>
      </c>
      <c r="D16" s="65" t="e">
        <f aca="false">#REF!</f>
        <v>#REF!</v>
      </c>
      <c r="E16" s="65" t="e">
        <f aca="false">#REF!</f>
        <v>#REF!</v>
      </c>
      <c r="F16" s="65" t="e">
        <f aca="false">#REF!</f>
        <v>#REF!</v>
      </c>
    </row>
    <row r="17" customFormat="false" ht="12.8" hidden="false" customHeight="false" outlineLevel="0" collapsed="false">
      <c r="A17" s="50" t="e">
        <f aca="false">_xlfn.CONCAT($A$1, ".", #REF!)</f>
        <v>#REF!</v>
      </c>
      <c r="B17" s="64" t="e">
        <f aca="false">_xlfn.CONCAT(#REF!, ":", #REF!)</f>
        <v>#REF!</v>
      </c>
      <c r="C17" s="65" t="e">
        <f aca="false">#REF!</f>
        <v>#REF!</v>
      </c>
      <c r="D17" s="65" t="e">
        <f aca="false">#REF!</f>
        <v>#REF!</v>
      </c>
      <c r="E17" s="65" t="e">
        <f aca="false">#REF!</f>
        <v>#REF!</v>
      </c>
      <c r="F17" s="65" t="e">
        <f aca="false">#REF!</f>
        <v>#REF!</v>
      </c>
    </row>
    <row r="18" customFormat="false" ht="12.8" hidden="false" customHeight="false" outlineLevel="0" collapsed="false">
      <c r="A18" s="50" t="e">
        <f aca="false">_xlfn.CONCAT($A$1, ".", #REF!)</f>
        <v>#REF!</v>
      </c>
      <c r="B18" s="64" t="e">
        <f aca="false">_xlfn.CONCAT(#REF!, ":", #REF!)</f>
        <v>#REF!</v>
      </c>
      <c r="C18" s="65" t="e">
        <f aca="false">#REF!</f>
        <v>#REF!</v>
      </c>
      <c r="D18" s="65" t="e">
        <f aca="false">#REF!</f>
        <v>#REF!</v>
      </c>
      <c r="E18" s="65" t="e">
        <f aca="false">#REF!</f>
        <v>#REF!</v>
      </c>
      <c r="F18" s="65" t="e">
        <f aca="false">#REF!</f>
        <v>#REF!</v>
      </c>
    </row>
    <row r="19" customFormat="false" ht="12.8" hidden="false" customHeight="false" outlineLevel="0" collapsed="false">
      <c r="A19" s="50" t="e">
        <f aca="false">_xlfn.CONCAT($A$1, ".", #REF!)</f>
        <v>#REF!</v>
      </c>
      <c r="B19" s="64" t="e">
        <f aca="false">_xlfn.CONCAT(#REF!, ":", #REF!)</f>
        <v>#REF!</v>
      </c>
      <c r="C19" s="65" t="e">
        <f aca="false">#REF!</f>
        <v>#REF!</v>
      </c>
      <c r="D19" s="65" t="e">
        <f aca="false">#REF!</f>
        <v>#REF!</v>
      </c>
      <c r="E19" s="65" t="e">
        <f aca="false">#REF!</f>
        <v>#REF!</v>
      </c>
      <c r="F19" s="65" t="e">
        <f aca="false">#REF!</f>
        <v>#REF!</v>
      </c>
    </row>
    <row r="20" customFormat="false" ht="12.8" hidden="false" customHeight="false" outlineLevel="0" collapsed="false">
      <c r="A20" s="50" t="e">
        <f aca="false">_xlfn.CONCAT($A$1, ".", #REF!)</f>
        <v>#REF!</v>
      </c>
      <c r="B20" s="64" t="e">
        <f aca="false">_xlfn.CONCAT(#REF!, ":", #REF!)</f>
        <v>#REF!</v>
      </c>
      <c r="C20" s="65" t="e">
        <f aca="false">#REF!</f>
        <v>#REF!</v>
      </c>
      <c r="D20" s="65" t="e">
        <f aca="false">#REF!</f>
        <v>#REF!</v>
      </c>
      <c r="E20" s="65" t="e">
        <f aca="false">#REF!</f>
        <v>#REF!</v>
      </c>
      <c r="F20" s="65" t="e">
        <f aca="false">#REF!</f>
        <v>#REF!</v>
      </c>
    </row>
    <row r="21" customFormat="false" ht="12.8" hidden="false" customHeight="false" outlineLevel="0" collapsed="false">
      <c r="A21" s="50" t="e">
        <f aca="false">_xlfn.CONCAT($A$1, ".", #REF!)</f>
        <v>#REF!</v>
      </c>
      <c r="B21" s="64" t="e">
        <f aca="false">_xlfn.CONCAT(#REF!, ":", #REF!)</f>
        <v>#REF!</v>
      </c>
      <c r="C21" s="65" t="e">
        <f aca="false">#REF!</f>
        <v>#REF!</v>
      </c>
      <c r="D21" s="65" t="e">
        <f aca="false">#REF!</f>
        <v>#REF!</v>
      </c>
      <c r="E21" s="65" t="e">
        <f aca="false">#REF!</f>
        <v>#REF!</v>
      </c>
      <c r="F21" s="65" t="e">
        <f aca="false">#REF!</f>
        <v>#REF!</v>
      </c>
    </row>
    <row r="22" customFormat="false" ht="12.8" hidden="false" customHeight="false" outlineLevel="0" collapsed="false">
      <c r="A22" s="50" t="e">
        <f aca="false">_xlfn.CONCAT($A$1, ".", #REF!)</f>
        <v>#REF!</v>
      </c>
      <c r="B22" s="64" t="e">
        <f aca="false">_xlfn.CONCAT(#REF!, ":", #REF!)</f>
        <v>#REF!</v>
      </c>
      <c r="C22" s="65" t="e">
        <f aca="false">#REF!</f>
        <v>#REF!</v>
      </c>
      <c r="D22" s="65" t="e">
        <f aca="false">#REF!</f>
        <v>#REF!</v>
      </c>
      <c r="E22" s="65" t="e">
        <f aca="false">#REF!</f>
        <v>#REF!</v>
      </c>
      <c r="F22" s="65" t="e">
        <f aca="false">#REF!</f>
        <v>#REF!</v>
      </c>
    </row>
    <row r="23" customFormat="false" ht="12.8" hidden="false" customHeight="false" outlineLevel="0" collapsed="false">
      <c r="A23" s="50" t="e">
        <f aca="false">_xlfn.CONCAT($A$1, ".", #REF!)</f>
        <v>#REF!</v>
      </c>
      <c r="B23" s="64" t="e">
        <f aca="false">_xlfn.CONCAT(#REF!, ":", #REF!)</f>
        <v>#REF!</v>
      </c>
      <c r="C23" s="65" t="e">
        <f aca="false">#REF!</f>
        <v>#REF!</v>
      </c>
      <c r="D23" s="65" t="e">
        <f aca="false">#REF!</f>
        <v>#REF!</v>
      </c>
      <c r="E23" s="65" t="e">
        <f aca="false">#REF!</f>
        <v>#REF!</v>
      </c>
      <c r="F23" s="65" t="e">
        <f aca="false">#REF!</f>
        <v>#REF!</v>
      </c>
    </row>
    <row r="24" customFormat="false" ht="12.8" hidden="false" customHeight="false" outlineLevel="0" collapsed="false">
      <c r="A24" s="50" t="e">
        <f aca="false">_xlfn.CONCAT($A$1, ".", #REF!)</f>
        <v>#REF!</v>
      </c>
      <c r="B24" s="64" t="e">
        <f aca="false">_xlfn.CONCAT(#REF!, ":", #REF!)</f>
        <v>#REF!</v>
      </c>
      <c r="C24" s="65" t="e">
        <f aca="false">#REF!</f>
        <v>#REF!</v>
      </c>
      <c r="D24" s="65" t="e">
        <f aca="false">#REF!</f>
        <v>#REF!</v>
      </c>
      <c r="E24" s="65" t="e">
        <f aca="false">#REF!</f>
        <v>#REF!</v>
      </c>
      <c r="F24" s="65" t="e">
        <f aca="false">#REF!</f>
        <v>#REF!</v>
      </c>
    </row>
    <row r="25" customFormat="false" ht="12.8" hidden="false" customHeight="false" outlineLevel="0" collapsed="false">
      <c r="A25" s="50" t="e">
        <f aca="false">_xlfn.CONCAT($A$1, ".", #REF!)</f>
        <v>#REF!</v>
      </c>
      <c r="B25" s="64" t="e">
        <f aca="false">_xlfn.CONCAT(#REF!, ":", #REF!)</f>
        <v>#REF!</v>
      </c>
      <c r="C25" s="65" t="e">
        <f aca="false">#REF!</f>
        <v>#REF!</v>
      </c>
      <c r="D25" s="65" t="e">
        <f aca="false">#REF!</f>
        <v>#REF!</v>
      </c>
      <c r="E25" s="65" t="e">
        <f aca="false">#REF!</f>
        <v>#REF!</v>
      </c>
      <c r="F25" s="65" t="e">
        <f aca="false">#REF!</f>
        <v>#REF!</v>
      </c>
    </row>
    <row r="26" customFormat="false" ht="12.8" hidden="false" customHeight="false" outlineLevel="0" collapsed="false">
      <c r="A26" s="50" t="e">
        <f aca="false">_xlfn.CONCAT($A$1, ".", #REF!)</f>
        <v>#REF!</v>
      </c>
      <c r="B26" s="64" t="e">
        <f aca="false">_xlfn.CONCAT(#REF!, ":", #REF!)</f>
        <v>#REF!</v>
      </c>
      <c r="C26" s="65" t="e">
        <f aca="false">#REF!</f>
        <v>#REF!</v>
      </c>
      <c r="D26" s="65" t="e">
        <f aca="false">#REF!</f>
        <v>#REF!</v>
      </c>
      <c r="E26" s="65" t="e">
        <f aca="false">#REF!</f>
        <v>#REF!</v>
      </c>
      <c r="F26" s="65" t="e">
        <f aca="false">#REF!</f>
        <v>#REF!</v>
      </c>
    </row>
    <row r="27" customFormat="false" ht="12.8" hidden="false" customHeight="false" outlineLevel="0" collapsed="false">
      <c r="A27" s="50" t="e">
        <f aca="false">_xlfn.CONCAT($A$1, ".", #REF!)</f>
        <v>#REF!</v>
      </c>
      <c r="B27" s="64" t="e">
        <f aca="false">_xlfn.CONCAT(#REF!, ":", #REF!)</f>
        <v>#REF!</v>
      </c>
      <c r="C27" s="65" t="e">
        <f aca="false">#REF!</f>
        <v>#REF!</v>
      </c>
      <c r="D27" s="65" t="e">
        <f aca="false">#REF!</f>
        <v>#REF!</v>
      </c>
      <c r="E27" s="65" t="e">
        <f aca="false">#REF!</f>
        <v>#REF!</v>
      </c>
      <c r="F27" s="65" t="e">
        <f aca="false">#REF!</f>
        <v>#REF!</v>
      </c>
    </row>
    <row r="28" customFormat="false" ht="12.8" hidden="false" customHeight="false" outlineLevel="0" collapsed="false">
      <c r="A28" s="50" t="e">
        <f aca="false">_xlfn.CONCAT($A$1, ".", #REF!)</f>
        <v>#REF!</v>
      </c>
      <c r="B28" s="64" t="e">
        <f aca="false">_xlfn.CONCAT(#REF!, ":", #REF!)</f>
        <v>#REF!</v>
      </c>
      <c r="C28" s="65" t="e">
        <f aca="false">#REF!</f>
        <v>#REF!</v>
      </c>
      <c r="D28" s="65" t="e">
        <f aca="false">#REF!</f>
        <v>#REF!</v>
      </c>
      <c r="E28" s="65" t="e">
        <f aca="false">#REF!</f>
        <v>#REF!</v>
      </c>
      <c r="F28" s="65" t="e">
        <f aca="false">#REF!</f>
        <v>#REF!</v>
      </c>
    </row>
    <row r="29" customFormat="false" ht="12.8" hidden="false" customHeight="false" outlineLevel="0" collapsed="false">
      <c r="A29" s="50" t="e">
        <f aca="false">_xlfn.CONCAT($A$1, ".", #REF!)</f>
        <v>#REF!</v>
      </c>
      <c r="B29" s="64" t="e">
        <f aca="false">_xlfn.CONCAT(#REF!, ":", #REF!)</f>
        <v>#REF!</v>
      </c>
      <c r="C29" s="65" t="e">
        <f aca="false">#REF!</f>
        <v>#REF!</v>
      </c>
      <c r="D29" s="65" t="e">
        <f aca="false">#REF!</f>
        <v>#REF!</v>
      </c>
      <c r="E29" s="65" t="e">
        <f aca="false">#REF!</f>
        <v>#REF!</v>
      </c>
      <c r="F29" s="65" t="e">
        <f aca="false">#REF!</f>
        <v>#REF!</v>
      </c>
    </row>
    <row r="30" customFormat="false" ht="12.8" hidden="false" customHeight="false" outlineLevel="0" collapsed="false">
      <c r="A30" s="50" t="e">
        <f aca="false">_xlfn.CONCAT($A$1, ".", #REF!)</f>
        <v>#REF!</v>
      </c>
      <c r="B30" s="64" t="e">
        <f aca="false">_xlfn.CONCAT(#REF!, ":", #REF!)</f>
        <v>#REF!</v>
      </c>
      <c r="C30" s="65" t="e">
        <f aca="false">#REF!</f>
        <v>#REF!</v>
      </c>
      <c r="D30" s="65" t="e">
        <f aca="false">#REF!</f>
        <v>#REF!</v>
      </c>
      <c r="E30" s="65" t="e">
        <f aca="false">#REF!</f>
        <v>#REF!</v>
      </c>
      <c r="F30" s="65" t="e">
        <f aca="false">#REF!</f>
        <v>#REF!</v>
      </c>
    </row>
    <row r="31" customFormat="false" ht="12.8" hidden="false" customHeight="false" outlineLevel="0" collapsed="false">
      <c r="A31" s="50" t="e">
        <f aca="false">_xlfn.CONCAT($A$1, ".", #REF!)</f>
        <v>#REF!</v>
      </c>
      <c r="B31" s="64" t="e">
        <f aca="false">_xlfn.CONCAT(#REF!, ":", #REF!)</f>
        <v>#REF!</v>
      </c>
      <c r="C31" s="65" t="e">
        <f aca="false">#REF!</f>
        <v>#REF!</v>
      </c>
      <c r="D31" s="65" t="e">
        <f aca="false">#REF!</f>
        <v>#REF!</v>
      </c>
      <c r="E31" s="65" t="e">
        <f aca="false">#REF!</f>
        <v>#REF!</v>
      </c>
      <c r="F31" s="65" t="e">
        <f aca="false">#REF!</f>
        <v>#REF!</v>
      </c>
    </row>
    <row r="32" customFormat="false" ht="12.8" hidden="false" customHeight="false" outlineLevel="0" collapsed="false">
      <c r="A32" s="50" t="e">
        <f aca="false">_xlfn.CONCAT($A$1, ".", #REF!)</f>
        <v>#REF!</v>
      </c>
      <c r="B32" s="64" t="e">
        <f aca="false">_xlfn.CONCAT(#REF!, ":", #REF!)</f>
        <v>#REF!</v>
      </c>
      <c r="C32" s="65" t="e">
        <f aca="false">#REF!</f>
        <v>#REF!</v>
      </c>
      <c r="D32" s="65" t="e">
        <f aca="false">#REF!</f>
        <v>#REF!</v>
      </c>
      <c r="E32" s="65" t="e">
        <f aca="false">#REF!</f>
        <v>#REF!</v>
      </c>
      <c r="F32" s="65" t="e">
        <f aca="false">#REF!</f>
        <v>#REF!</v>
      </c>
    </row>
    <row r="33" customFormat="false" ht="12.8" hidden="false" customHeight="false" outlineLevel="0" collapsed="false">
      <c r="A33" s="50" t="e">
        <f aca="false">_xlfn.CONCAT($A$1, ".", #REF!)</f>
        <v>#REF!</v>
      </c>
      <c r="B33" s="64" t="e">
        <f aca="false">_xlfn.CONCAT(#REF!, ":", #REF!)</f>
        <v>#REF!</v>
      </c>
      <c r="C33" s="65" t="e">
        <f aca="false">#REF!</f>
        <v>#REF!</v>
      </c>
      <c r="D33" s="65" t="e">
        <f aca="false">#REF!</f>
        <v>#REF!</v>
      </c>
      <c r="E33" s="65" t="e">
        <f aca="false">#REF!</f>
        <v>#REF!</v>
      </c>
      <c r="F33" s="65" t="e">
        <f aca="false">#REF!</f>
        <v>#REF!</v>
      </c>
    </row>
    <row r="34" customFormat="false" ht="12.8" hidden="false" customHeight="false" outlineLevel="0" collapsed="false">
      <c r="A34" s="50" t="e">
        <f aca="false">_xlfn.CONCAT($A$1, ".", #REF!)</f>
        <v>#REF!</v>
      </c>
      <c r="B34" s="64" t="e">
        <f aca="false">_xlfn.CONCAT(#REF!, ":", #REF!)</f>
        <v>#REF!</v>
      </c>
      <c r="C34" s="65" t="e">
        <f aca="false">#REF!</f>
        <v>#REF!</v>
      </c>
      <c r="D34" s="65" t="e">
        <f aca="false">#REF!</f>
        <v>#REF!</v>
      </c>
      <c r="E34" s="65" t="e">
        <f aca="false">#REF!</f>
        <v>#REF!</v>
      </c>
      <c r="F34" s="65" t="e">
        <f aca="false">#REF!</f>
        <v>#REF!</v>
      </c>
    </row>
    <row r="35" customFormat="false" ht="12.8" hidden="false" customHeight="false" outlineLevel="0" collapsed="false">
      <c r="A35" s="50" t="e">
        <f aca="false">_xlfn.CONCAT($A$1, ".", #REF!)</f>
        <v>#REF!</v>
      </c>
      <c r="B35" s="64" t="e">
        <f aca="false">_xlfn.CONCAT(#REF!, ":", #REF!)</f>
        <v>#REF!</v>
      </c>
      <c r="C35" s="65" t="e">
        <f aca="false">#REF!</f>
        <v>#REF!</v>
      </c>
      <c r="D35" s="65" t="e">
        <f aca="false">#REF!</f>
        <v>#REF!</v>
      </c>
      <c r="E35" s="65" t="e">
        <f aca="false">#REF!</f>
        <v>#REF!</v>
      </c>
      <c r="F35" s="65" t="e">
        <f aca="false">#REF!</f>
        <v>#REF!</v>
      </c>
    </row>
    <row r="36" customFormat="false" ht="12.8" hidden="false" customHeight="false" outlineLevel="0" collapsed="false">
      <c r="A36" s="50" t="e">
        <f aca="false">_xlfn.CONCAT($A$1, ".", #REF!)</f>
        <v>#REF!</v>
      </c>
      <c r="B36" s="64" t="e">
        <f aca="false">_xlfn.CONCAT(#REF!, ":", #REF!)</f>
        <v>#REF!</v>
      </c>
      <c r="C36" s="65" t="e">
        <f aca="false">#REF!</f>
        <v>#REF!</v>
      </c>
      <c r="D36" s="65" t="e">
        <f aca="false">#REF!</f>
        <v>#REF!</v>
      </c>
      <c r="E36" s="65" t="e">
        <f aca="false">#REF!</f>
        <v>#REF!</v>
      </c>
      <c r="F36" s="65" t="e">
        <f aca="false">#REF!</f>
        <v>#REF!</v>
      </c>
    </row>
    <row r="37" customFormat="false" ht="12.8" hidden="false" customHeight="false" outlineLevel="0" collapsed="false">
      <c r="A37" s="50" t="e">
        <f aca="false">_xlfn.CONCAT($A$1, ".", #REF!)</f>
        <v>#REF!</v>
      </c>
      <c r="B37" s="64" t="e">
        <f aca="false">_xlfn.CONCAT(#REF!, ":", #REF!)</f>
        <v>#REF!</v>
      </c>
      <c r="C37" s="65" t="e">
        <f aca="false">#REF!</f>
        <v>#REF!</v>
      </c>
      <c r="D37" s="65" t="e">
        <f aca="false">#REF!</f>
        <v>#REF!</v>
      </c>
      <c r="E37" s="65" t="e">
        <f aca="false">#REF!</f>
        <v>#REF!</v>
      </c>
      <c r="F37" s="65" t="e">
        <f aca="false">#REF!</f>
        <v>#REF!</v>
      </c>
    </row>
    <row r="38" customFormat="false" ht="12.8" hidden="false" customHeight="false" outlineLevel="0" collapsed="false">
      <c r="A38" s="50" t="e">
        <f aca="false">_xlfn.CONCAT($A$1, ".", #REF!)</f>
        <v>#REF!</v>
      </c>
      <c r="B38" s="64" t="e">
        <f aca="false">_xlfn.CONCAT(#REF!, ":", #REF!)</f>
        <v>#REF!</v>
      </c>
      <c r="C38" s="65" t="e">
        <f aca="false">#REF!</f>
        <v>#REF!</v>
      </c>
      <c r="D38" s="65" t="e">
        <f aca="false">#REF!</f>
        <v>#REF!</v>
      </c>
      <c r="E38" s="65" t="e">
        <f aca="false">#REF!</f>
        <v>#REF!</v>
      </c>
      <c r="F38" s="65" t="e">
        <f aca="false">#REF!</f>
        <v>#REF!</v>
      </c>
    </row>
    <row r="39" customFormat="false" ht="12.8" hidden="false" customHeight="false" outlineLevel="0" collapsed="false">
      <c r="A39" s="50" t="e">
        <f aca="false">_xlfn.CONCAT($A$1, ".", #REF!)</f>
        <v>#REF!</v>
      </c>
      <c r="B39" s="64" t="e">
        <f aca="false">_xlfn.CONCAT(#REF!, ":", #REF!)</f>
        <v>#REF!</v>
      </c>
      <c r="C39" s="65" t="e">
        <f aca="false">#REF!</f>
        <v>#REF!</v>
      </c>
      <c r="D39" s="65" t="e">
        <f aca="false">#REF!</f>
        <v>#REF!</v>
      </c>
      <c r="E39" s="65" t="e">
        <f aca="false">#REF!</f>
        <v>#REF!</v>
      </c>
      <c r="F39" s="65" t="e">
        <f aca="false">#REF!</f>
        <v>#REF!</v>
      </c>
    </row>
    <row r="40" customFormat="false" ht="12.8" hidden="false" customHeight="false" outlineLevel="0" collapsed="false">
      <c r="A40" s="50" t="e">
        <f aca="false">_xlfn.CONCAT($A$1, ".", #REF!)</f>
        <v>#REF!</v>
      </c>
      <c r="B40" s="64" t="e">
        <f aca="false">_xlfn.CONCAT(#REF!, ":", #REF!)</f>
        <v>#REF!</v>
      </c>
      <c r="C40" s="65" t="e">
        <f aca="false">#REF!</f>
        <v>#REF!</v>
      </c>
      <c r="D40" s="65" t="e">
        <f aca="false">#REF!</f>
        <v>#REF!</v>
      </c>
      <c r="E40" s="65" t="e">
        <f aca="false">#REF!</f>
        <v>#REF!</v>
      </c>
      <c r="F40" s="65" t="e">
        <f aca="false">#REF!</f>
        <v>#REF!</v>
      </c>
    </row>
    <row r="41" customFormat="false" ht="12.8" hidden="false" customHeight="false" outlineLevel="0" collapsed="false">
      <c r="A41" s="50" t="e">
        <f aca="false">_xlfn.CONCAT($A$1, ".", #REF!)</f>
        <v>#REF!</v>
      </c>
      <c r="B41" s="64" t="e">
        <f aca="false">_xlfn.CONCAT(#REF!, ":", #REF!)</f>
        <v>#REF!</v>
      </c>
      <c r="C41" s="65" t="e">
        <f aca="false">#REF!</f>
        <v>#REF!</v>
      </c>
      <c r="D41" s="65" t="e">
        <f aca="false">#REF!</f>
        <v>#REF!</v>
      </c>
      <c r="E41" s="65" t="e">
        <f aca="false">#REF!</f>
        <v>#REF!</v>
      </c>
      <c r="F41" s="65" t="e">
        <f aca="false">#REF!</f>
        <v>#REF!</v>
      </c>
    </row>
    <row r="42" customFormat="false" ht="12.8" hidden="false" customHeight="false" outlineLevel="0" collapsed="false">
      <c r="A42" s="50" t="e">
        <f aca="false">_xlfn.CONCAT($A$1, ".", #REF!)</f>
        <v>#REF!</v>
      </c>
      <c r="B42" s="64" t="e">
        <f aca="false">_xlfn.CONCAT(#REF!, ":", #REF!)</f>
        <v>#REF!</v>
      </c>
      <c r="C42" s="65" t="e">
        <f aca="false">#REF!</f>
        <v>#REF!</v>
      </c>
      <c r="D42" s="65" t="e">
        <f aca="false">#REF!</f>
        <v>#REF!</v>
      </c>
      <c r="E42" s="65" t="e">
        <f aca="false">#REF!</f>
        <v>#REF!</v>
      </c>
      <c r="F42" s="65" t="e">
        <f aca="false">#REF!</f>
        <v>#REF!</v>
      </c>
    </row>
    <row r="43" customFormat="false" ht="12.8" hidden="false" customHeight="false" outlineLevel="0" collapsed="false">
      <c r="A43" s="50" t="e">
        <f aca="false">_xlfn.CONCAT($A$1, ".", #REF!)</f>
        <v>#REF!</v>
      </c>
      <c r="B43" s="64" t="e">
        <f aca="false">_xlfn.CONCAT(#REF!, ":", #REF!)</f>
        <v>#REF!</v>
      </c>
      <c r="C43" s="65" t="e">
        <f aca="false">#REF!</f>
        <v>#REF!</v>
      </c>
      <c r="D43" s="65" t="e">
        <f aca="false">#REF!</f>
        <v>#REF!</v>
      </c>
      <c r="E43" s="65" t="e">
        <f aca="false">#REF!</f>
        <v>#REF!</v>
      </c>
      <c r="F43" s="65" t="e">
        <f aca="false">#REF!</f>
        <v>#REF!</v>
      </c>
    </row>
    <row r="44" customFormat="false" ht="12.8" hidden="false" customHeight="false" outlineLevel="0" collapsed="false">
      <c r="A44" s="50" t="e">
        <f aca="false">_xlfn.CONCAT($A$1, ".", #REF!)</f>
        <v>#REF!</v>
      </c>
      <c r="B44" s="64" t="e">
        <f aca="false">_xlfn.CONCAT(#REF!, ":", #REF!)</f>
        <v>#REF!</v>
      </c>
      <c r="C44" s="65" t="e">
        <f aca="false">#REF!</f>
        <v>#REF!</v>
      </c>
      <c r="D44" s="65" t="e">
        <f aca="false">#REF!</f>
        <v>#REF!</v>
      </c>
      <c r="E44" s="65" t="e">
        <f aca="false">#REF!</f>
        <v>#REF!</v>
      </c>
      <c r="F44" s="65" t="e">
        <f aca="false">#REF!</f>
        <v>#REF!</v>
      </c>
    </row>
    <row r="45" customFormat="false" ht="12.8" hidden="false" customHeight="false" outlineLevel="0" collapsed="false">
      <c r="A45" s="50" t="e">
        <f aca="false">_xlfn.CONCAT($A$1, ".", #REF!)</f>
        <v>#REF!</v>
      </c>
      <c r="B45" s="64" t="e">
        <f aca="false">_xlfn.CONCAT(#REF!, ":", #REF!)</f>
        <v>#REF!</v>
      </c>
      <c r="C45" s="65" t="e">
        <f aca="false">#REF!</f>
        <v>#REF!</v>
      </c>
      <c r="D45" s="65" t="e">
        <f aca="false">#REF!</f>
        <v>#REF!</v>
      </c>
      <c r="E45" s="65" t="e">
        <f aca="false">#REF!</f>
        <v>#REF!</v>
      </c>
      <c r="F45" s="65" t="e">
        <f aca="false">#REF!</f>
        <v>#REF!</v>
      </c>
    </row>
    <row r="46" customFormat="false" ht="12.8" hidden="false" customHeight="false" outlineLevel="0" collapsed="false">
      <c r="A46" s="50" t="e">
        <f aca="false">_xlfn.CONCAT($A$1, ".", #REF!)</f>
        <v>#REF!</v>
      </c>
      <c r="B46" s="64" t="e">
        <f aca="false">_xlfn.CONCAT(#REF!, ":", #REF!)</f>
        <v>#REF!</v>
      </c>
      <c r="C46" s="65" t="e">
        <f aca="false">#REF!</f>
        <v>#REF!</v>
      </c>
      <c r="D46" s="65" t="e">
        <f aca="false">#REF!</f>
        <v>#REF!</v>
      </c>
      <c r="E46" s="65" t="e">
        <f aca="false">#REF!</f>
        <v>#REF!</v>
      </c>
      <c r="F46" s="65" t="e">
        <f aca="false">#REF!</f>
        <v>#REF!</v>
      </c>
    </row>
    <row r="47" customFormat="false" ht="12.8" hidden="false" customHeight="false" outlineLevel="0" collapsed="false">
      <c r="A47" s="50" t="e">
        <f aca="false">_xlfn.CONCAT($A$1, ".", #REF!)</f>
        <v>#REF!</v>
      </c>
      <c r="B47" s="64" t="e">
        <f aca="false">_xlfn.CONCAT(#REF!, ":", #REF!)</f>
        <v>#REF!</v>
      </c>
      <c r="C47" s="65" t="e">
        <f aca="false">#REF!</f>
        <v>#REF!</v>
      </c>
      <c r="D47" s="65" t="e">
        <f aca="false">#REF!</f>
        <v>#REF!</v>
      </c>
      <c r="E47" s="65" t="e">
        <f aca="false">#REF!</f>
        <v>#REF!</v>
      </c>
      <c r="F47" s="65" t="e">
        <f aca="false">#REF!</f>
        <v>#REF!</v>
      </c>
    </row>
    <row r="48" customFormat="false" ht="12.8" hidden="false" customHeight="false" outlineLevel="0" collapsed="false">
      <c r="A48" s="50" t="e">
        <f aca="false">_xlfn.CONCAT($A$1, ".", #REF!)</f>
        <v>#REF!</v>
      </c>
      <c r="B48" s="64" t="e">
        <f aca="false">_xlfn.CONCAT(#REF!, ":", #REF!)</f>
        <v>#REF!</v>
      </c>
      <c r="C48" s="65" t="e">
        <f aca="false">#REF!</f>
        <v>#REF!</v>
      </c>
      <c r="D48" s="65" t="e">
        <f aca="false">#REF!</f>
        <v>#REF!</v>
      </c>
      <c r="E48" s="65" t="e">
        <f aca="false">#REF!</f>
        <v>#REF!</v>
      </c>
      <c r="F48" s="65" t="e">
        <f aca="false">#REF!</f>
        <v>#REF!</v>
      </c>
    </row>
    <row r="49" customFormat="false" ht="12.8" hidden="false" customHeight="false" outlineLevel="0" collapsed="false">
      <c r="A49" s="50" t="e">
        <f aca="false">_xlfn.CONCAT($A$1, ".", #REF!)</f>
        <v>#REF!</v>
      </c>
      <c r="B49" s="64" t="e">
        <f aca="false">_xlfn.CONCAT(#REF!, ":", #REF!)</f>
        <v>#REF!</v>
      </c>
      <c r="C49" s="65" t="e">
        <f aca="false">#REF!</f>
        <v>#REF!</v>
      </c>
      <c r="D49" s="65" t="e">
        <f aca="false">#REF!</f>
        <v>#REF!</v>
      </c>
      <c r="E49" s="65" t="e">
        <f aca="false">#REF!</f>
        <v>#REF!</v>
      </c>
      <c r="F49" s="65" t="e">
        <f aca="false">#REF!</f>
        <v>#REF!</v>
      </c>
    </row>
    <row r="50" customFormat="false" ht="12.8" hidden="false" customHeight="false" outlineLevel="0" collapsed="false">
      <c r="A50" s="50" t="e">
        <f aca="false">_xlfn.CONCAT($A$1, ".", #REF!)</f>
        <v>#REF!</v>
      </c>
      <c r="B50" s="64" t="e">
        <f aca="false">_xlfn.CONCAT(#REF!, ":", #REF!)</f>
        <v>#REF!</v>
      </c>
      <c r="C50" s="65" t="e">
        <f aca="false">#REF!</f>
        <v>#REF!</v>
      </c>
      <c r="D50" s="65" t="e">
        <f aca="false">#REF!</f>
        <v>#REF!</v>
      </c>
      <c r="E50" s="65" t="e">
        <f aca="false">#REF!</f>
        <v>#REF!</v>
      </c>
      <c r="F50" s="65" t="e">
        <f aca="false">#REF!</f>
        <v>#REF!</v>
      </c>
    </row>
    <row r="51" customFormat="false" ht="12.8" hidden="false" customHeight="false" outlineLevel="0" collapsed="false">
      <c r="A51" s="50" t="e">
        <f aca="false">_xlfn.CONCAT($A$1, ".", #REF!)</f>
        <v>#REF!</v>
      </c>
      <c r="B51" s="64" t="e">
        <f aca="false">_xlfn.CONCAT(#REF!, ":", #REF!)</f>
        <v>#REF!</v>
      </c>
      <c r="C51" s="65" t="e">
        <f aca="false">#REF!</f>
        <v>#REF!</v>
      </c>
      <c r="D51" s="65" t="e">
        <f aca="false">#REF!</f>
        <v>#REF!</v>
      </c>
      <c r="E51" s="65" t="e">
        <f aca="false">#REF!</f>
        <v>#REF!</v>
      </c>
      <c r="F51" s="65" t="e">
        <f aca="false">#REF!</f>
        <v>#REF!</v>
      </c>
    </row>
    <row r="52" customFormat="false" ht="12.8" hidden="false" customHeight="false" outlineLevel="0" collapsed="false">
      <c r="A52" s="50" t="e">
        <f aca="false">_xlfn.CONCAT($A$1, ".", #REF!)</f>
        <v>#REF!</v>
      </c>
      <c r="B52" s="64" t="e">
        <f aca="false">_xlfn.CONCAT(#REF!, ":", #REF!)</f>
        <v>#REF!</v>
      </c>
      <c r="C52" s="65" t="e">
        <f aca="false">#REF!</f>
        <v>#REF!</v>
      </c>
      <c r="D52" s="65" t="e">
        <f aca="false">#REF!</f>
        <v>#REF!</v>
      </c>
      <c r="E52" s="65" t="e">
        <f aca="false">#REF!</f>
        <v>#REF!</v>
      </c>
      <c r="F52" s="65" t="e">
        <f aca="false">#REF!</f>
        <v>#REF!</v>
      </c>
    </row>
    <row r="53" customFormat="false" ht="12.8" hidden="false" customHeight="false" outlineLevel="0" collapsed="false">
      <c r="A53" s="50" t="e">
        <f aca="false">_xlfn.CONCAT($A$1, ".", #REF!)</f>
        <v>#REF!</v>
      </c>
      <c r="B53" s="64" t="e">
        <f aca="false">_xlfn.CONCAT(#REF!, ":", #REF!)</f>
        <v>#REF!</v>
      </c>
      <c r="C53" s="65" t="e">
        <f aca="false">#REF!</f>
        <v>#REF!</v>
      </c>
      <c r="D53" s="65" t="e">
        <f aca="false">#REF!</f>
        <v>#REF!</v>
      </c>
      <c r="E53" s="65" t="e">
        <f aca="false">#REF!</f>
        <v>#REF!</v>
      </c>
      <c r="F53" s="65" t="e">
        <f aca="false">#REF!</f>
        <v>#REF!</v>
      </c>
    </row>
    <row r="54" customFormat="false" ht="12.8" hidden="false" customHeight="false" outlineLevel="0" collapsed="false">
      <c r="A54" s="50" t="e">
        <f aca="false">_xlfn.CONCAT($A$1, ".", #REF!)</f>
        <v>#REF!</v>
      </c>
      <c r="B54" s="64" t="e">
        <f aca="false">_xlfn.CONCAT(#REF!, ":", #REF!)</f>
        <v>#REF!</v>
      </c>
      <c r="C54" s="65" t="e">
        <f aca="false">#REF!</f>
        <v>#REF!</v>
      </c>
      <c r="D54" s="65" t="e">
        <f aca="false">#REF!</f>
        <v>#REF!</v>
      </c>
      <c r="E54" s="65" t="e">
        <f aca="false">#REF!</f>
        <v>#REF!</v>
      </c>
      <c r="F54" s="65" t="e">
        <f aca="false">#REF!</f>
        <v>#REF!</v>
      </c>
    </row>
    <row r="55" customFormat="false" ht="12.8" hidden="false" customHeight="false" outlineLevel="0" collapsed="false">
      <c r="A55" s="50" t="e">
        <f aca="false">_xlfn.CONCAT($A$1, ".", #REF!)</f>
        <v>#REF!</v>
      </c>
      <c r="B55" s="64" t="e">
        <f aca="false">_xlfn.CONCAT(#REF!, ":", #REF!)</f>
        <v>#REF!</v>
      </c>
      <c r="C55" s="65" t="e">
        <f aca="false">#REF!</f>
        <v>#REF!</v>
      </c>
      <c r="D55" s="65" t="e">
        <f aca="false">#REF!</f>
        <v>#REF!</v>
      </c>
      <c r="E55" s="65" t="e">
        <f aca="false">#REF!</f>
        <v>#REF!</v>
      </c>
      <c r="F55" s="6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5718</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2026-02-15T14:28:36Z</dcterms:modified>
  <cp:revision>762</cp:revision>
  <dc:subject/>
  <dc:title/>
</cp:coreProperties>
</file>

<file path=docProps/custom.xml><?xml version="1.0" encoding="utf-8"?>
<Properties xmlns="http://schemas.openxmlformats.org/officeDocument/2006/custom-properties" xmlns:vt="http://schemas.openxmlformats.org/officeDocument/2006/docPropsVTypes"/>
</file>