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1.xml" ContentType="application/vnd.openxmlformats-officedocument.drawingml.chart+xml"/>
  <Override PartName="/xl/charts/chart13.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LSD.RID.0.AL" sheetId="1" state="visible" r:id="rId3"/>
    <sheet name="LSD.REF.AL.FORM" sheetId="2" state="visible" r:id="rId4"/>
    <sheet name="LSD.REF.AL.PARAM" sheetId="3" state="visible" r:id="rId5"/>
    <sheet name="LSD.RID.0.AL.CALC" sheetId="4" state="visible" r:id="rId6"/>
    <sheet name="LSD.RID.0.AL.LFP" sheetId="5" state="visible" r:id="rId7"/>
    <sheet name="LSD.RID.0.AL.ETPR" sheetId="6" state="visible" r:id="rId8"/>
    <sheet name="LSD.RID.0.AL.LFPR" sheetId="7" state="visible" r:id="rId9"/>
    <sheet name="LSD.RID.0.AL.U3R" sheetId="8" state="visible" r:id="rId10"/>
    <sheet name="LSD.RID.0.U6R" sheetId="9" state="visible" r:id="rId11"/>
    <sheet name="LSD.RID.0.WAVG" sheetId="10" state="visible" r:id="rId12"/>
    <sheet name="LSD.RID.0.AIAVG" sheetId="11" state="visible" r:id="rId13"/>
    <sheet name="LSD.RID.0.FPITREV" sheetId="12" state="visible" r:id="rId14"/>
    <sheet name="LSD.RID.0.FPPTREV" sheetId="13" state="visible" r:id="rId15"/>
    <sheet name="LSD.RID.0.EITCREF" sheetId="14" state="visible" r:id="rId16"/>
    <sheet name="LSD.RID.0.ACTCREF" sheetId="15" state="visible" r:id="rId17"/>
    <sheet name="LSD.RID.0.AOTCREF" sheetId="16" state="visible" r:id="rId18"/>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<sst xmlns="http://schemas.openxmlformats.org/spreadsheetml/2006/main" count="1361" uniqueCount="1015">
  <si>
    <t xml:space="preserve">LSD.RID.0.AL</t>
  </si>
  <si>
    <t xml:space="preserve">Alabama Labor Statistics</t>
  </si>
  <si>
    <t xml:space="preserve">January, 2026</t>
  </si>
  <si>
    <t xml:space="preserve">TID</t>
  </si>
  <si>
    <t xml:space="preserve">Title</t>
  </si>
  <si>
    <t xml:space="preserve">Alabama Labor Statistic Logic Formulae</t>
  </si>
  <si>
    <t xml:space="preserve">Alabama Labor Statistic Logic Parameters</t>
  </si>
  <si>
    <t xml:space="preserve">Alabama Labor Statistic Calculations</t>
  </si>
  <si>
    <t xml:space="preserve">Alabama Labor Force Population (LFP)</t>
  </si>
  <si>
    <t xml:space="preserve">Alabama Employment-to-Population Ratio (ETPR)</t>
  </si>
  <si>
    <t xml:space="preserve">GLO</t>
  </si>
  <si>
    <t xml:space="preserve">Glossary</t>
  </si>
  <si>
    <t xml:space="preserve">Definition</t>
  </si>
  <si>
    <t xml:space="preserve">GID</t>
  </si>
  <si>
    <t xml:space="preserve">RID</t>
  </si>
  <si>
    <t xml:space="preserve">Region ID</t>
  </si>
  <si>
    <t xml:space="preserve">DES</t>
  </si>
  <si>
    <t xml:space="preserve">Department of Economic Security</t>
  </si>
  <si>
    <t xml:space="preserve">LSD</t>
  </si>
  <si>
    <t xml:space="preserve">Labor Security Division</t>
  </si>
  <si>
    <t xml:space="preserve">SLIID</t>
  </si>
  <si>
    <t xml:space="preserve">State Labor Industry ID</t>
  </si>
  <si>
    <t xml:space="preserve">SLIVID</t>
  </si>
  <si>
    <t xml:space="preserve">State Labor Industry Visualization ID</t>
  </si>
  <si>
    <t xml:space="preserve">INVID</t>
  </si>
  <si>
    <t xml:space="preserve">Invocation ID</t>
  </si>
  <si>
    <t xml:space="preserve">LFP</t>
  </si>
  <si>
    <t xml:space="preserve">Labor Force Population</t>
  </si>
  <si>
    <t xml:space="preserve">ETPR</t>
  </si>
  <si>
    <t xml:space="preserve">Employment-to-Population Ratio</t>
  </si>
  <si>
    <t xml:space="preserve">LFPR</t>
  </si>
  <si>
    <t xml:space="preserve">Labor Force Population Rate</t>
  </si>
  <si>
    <t xml:space="preserve">U3R</t>
  </si>
  <si>
    <t xml:space="preserve">Unemployment Rate</t>
  </si>
  <si>
    <t xml:space="preserve">U6R</t>
  </si>
  <si>
    <t xml:space="preserve">Underemployment Rate</t>
  </si>
  <si>
    <t xml:space="preserve">WAVG</t>
  </si>
  <si>
    <t xml:space="preserve">Wage Average</t>
  </si>
  <si>
    <t xml:space="preserve">AIAVG</t>
  </si>
  <si>
    <t xml:space="preserve">Annual Income Average</t>
  </si>
  <si>
    <t xml:space="preserve">FPITREV</t>
  </si>
  <si>
    <t xml:space="preserve">Federal Personal Income Tax Revenue</t>
  </si>
  <si>
    <t xml:space="preserve">FPPTREV</t>
  </si>
  <si>
    <t xml:space="preserve">Federal Personal Payroll Tax Revenue</t>
  </si>
  <si>
    <t xml:space="preserve">EITCREF</t>
  </si>
  <si>
    <t xml:space="preserve">Earned Income Tax Credit Refund</t>
  </si>
  <si>
    <t xml:space="preserve">ACTCREF</t>
  </si>
  <si>
    <t xml:space="preserve">Additional Child Tax Credit Refund</t>
  </si>
  <si>
    <t xml:space="preserve">AOTCREF</t>
  </si>
  <si>
    <t xml:space="preserve">American Opportunity Tax Credit Refund</t>
  </si>
  <si>
    <t xml:space="preserve">FORM</t>
  </si>
  <si>
    <t xml:space="preserve">Formulae</t>
  </si>
  <si>
    <t xml:space="preserve">PARAM</t>
  </si>
  <si>
    <t xml:space="preserve">Parameters</t>
  </si>
  <si>
    <t xml:space="preserve">CALC</t>
  </si>
  <si>
    <t xml:space="preserve">Calculations</t>
  </si>
  <si>
    <t xml:space="preserve">INV</t>
  </si>
  <si>
    <t xml:space="preserve">Invocations</t>
  </si>
  <si>
    <t xml:space="preserve">Invocation Name</t>
  </si>
  <si>
    <t xml:space="preserve">Invocation Script</t>
  </si>
  <si>
    <t xml:space="preserve">References</t>
  </si>
  <si>
    <t xml:space="preserve">Reference Account</t>
  </si>
  <si>
    <t xml:space="preserve">3</t>
  </si>
  <si>
    <t xml:space="preserve">Alabama, Arkansas, Florida Labor Statistics Formulae, Parameters, Calculations</t>
  </si>
  <si>
    <t xml:space="preserve">N/A</t>
  </si>
  <si>
    <t xml:space="preserve">https://grok.com/share/c2hhcmQtMi1jb3B5_e3140b59-169a-487d-9539-b52e3cb64dad</t>
  </si>
  <si>
    <t xml:space="preserve">thomas.welborn@protonmail.com</t>
  </si>
  <si>
    <t xml:space="preserve">2</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</si>
  <si>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</si>
  <si>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</si>
  <si>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</si>
  <si>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thomas.tom.welborn@gmail.com</t>
  </si>
  <si>
    <t xml:space="preserve">1</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</si>
  <si>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</si>
  <si>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</si>
  <si>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</si>
  <si>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thomas.patrick.welborn@outlook.com</t>
  </si>
  <si>
    <t xml:space="preserve">0</t>
  </si>
  <si>
    <t xml:space="preserve">Alabama Labor Statistics Calculations</t>
  </si>
  <si>
    <t xml:space="preserve">https://grok.com/share/c2hhcmQtMg_9fc2e9b2-bc97-4724-b16d-fc3d1e8312f2</t>
  </si>
  <si>
    <t xml:space="preserve">LSD.REF.AL.FORM</t>
  </si>
  <si>
    <t xml:space="preserve">FID</t>
  </si>
  <si>
    <t xml:space="preserve">Formula Name</t>
  </si>
  <si>
    <t xml:space="preserve">Formula (using PARAMETERS)</t>
  </si>
  <si>
    <t xml:space="preserve">Logic / Key Inputs</t>
  </si>
  <si>
    <t xml:space="preserve">Notes / Machine Instruction</t>
  </si>
  <si>
    <t xml:space="preserve">Total Workers (i)</t>
  </si>
  <si>
    <t xml:space="preserve">T_i = VLOOKUP(i, PARAMETERS!INDUSTRY_EMPLOYMENT_AL, 3, FALSE)</t>
  </si>
  <si>
    <t xml:space="preserve">Total employed in industry i from BLS CES Dec 2025 override table</t>
  </si>
  <si>
    <t xml:space="preserve">Sum should = 2,221,300 (nonfarm payroll total from BLS CES Dec 2025 revised)</t>
  </si>
  <si>
    <t xml:space="preserve">Total Workers Worker (i)</t>
  </si>
  <si>
    <t xml:space="preserve">T_worker_i = T_i × 0.667</t>
  </si>
  <si>
    <t xml:space="preserve">Prorated for Worker role (approx. 2/3 of industry)</t>
  </si>
  <si>
    <t xml:space="preserve">Total Workers Support (i)</t>
  </si>
  <si>
    <t xml:space="preserve">T_support_i = T_i × 0.333</t>
  </si>
  <si>
    <t xml:space="preserve">Prorated for Support role (approx. 1/3 of industry)</t>
  </si>
  <si>
    <t xml:space="preserve">American Population (i)</t>
  </si>
  <si>
    <t xml:space="preserve">A_i = T_i × VLOOKUP("AMER_SHARE_OVERALL", PARAMETERS!OTHER.ADJUSTMENTS, 3, FALSE)</t>
  </si>
  <si>
    <t xml:space="preserve">Total × American share (derived)</t>
  </si>
  <si>
    <t xml:space="preserve">Authorized Workers (i)</t>
  </si>
  <si>
    <t xml:space="preserve">V_i = T_i × VLOOKUP("AUTH_SHARE_OVERALL", PARAMETERS!OTHER.ADJUSTMENTS, 3, FALSE)</t>
  </si>
  <si>
    <t xml:space="preserve">Total × authorized share</t>
  </si>
  <si>
    <t xml:space="preserve">Unauthorized Workers (i)</t>
  </si>
  <si>
    <t xml:space="preserve">U_i = T_i × VLOOKUP("UNAUTH_SHARE_OVERALL", PARAMETERS!OTHER.ADJUSTMENTS, 3, FALSE)</t>
  </si>
  <si>
    <t xml:space="preserve">Total × unauthorized share</t>
  </si>
  <si>
    <t xml:space="preserve">Self-Employed Population (i)</t>
  </si>
  <si>
    <t xml:space="preserve">SE_i = VLOOKUP("SELF_EMPLOYED_TOTAL", PARAMETERS!OTHER.ADJUSTMENTS, 3, FALSE) * VLOOKUP("AMER_SHARE_SELF", PARAMETERS!OTHER.ADJUSTMENTS, 3, FALSE) + VLOOKUP("SELF_EMPLOYED_TOTAL", PARAMETERS!OTHER.ADJUSTMENTS, 3, FALSE) * VLOOKUP("AUTH_SHARE_SELF", PARAMETERS!OTHER.ADJUSTMENTS, 3, FALSE) + VLOOKUP("SELF_EMPLOYED_TOTAL", PARAMETERS!OTHER.ADJUSTMENTS, 3, FALSE) * VLOOKUP("UNAUTH_SHARE_SELF", PARAMETERS!OTHER.ADJUSTMENTS, 3, FALSE)</t>
  </si>
  <si>
    <t xml:space="preserve">Total self-employed × group shares</t>
  </si>
  <si>
    <t xml:space="preserve">Added for self-employment component</t>
  </si>
  <si>
    <t xml:space="preserve">Unemployment Rate (g,i)</t>
  </si>
  <si>
    <t xml:space="preserve">Unemp_g,i = VLOOKUP("UNEMP_RATE_"&amp;i&amp;""&amp;g, PARAMETERS!OTHER.ADJUSTMENTS, 3, FALSE)</t>
  </si>
  <si>
    <t xml:space="preserve">Group and industry-specific unemployment rate</t>
  </si>
  <si>
    <t xml:space="preserve">Overall Unemployment Rate (i)</t>
  </si>
  <si>
    <t xml:space="preserve">Unemp_overall,i = (A_i × Unemp_AMER + V_i × Unemp_AUTH + U_i × Unemp_UNAUTH) / (A_i + V_i + U_i)</t>
  </si>
  <si>
    <t xml:space="preserve">Weighted average using employed populations</t>
  </si>
  <si>
    <t xml:space="preserve">Unemployment Rate (g)</t>
  </si>
  <si>
    <t xml:space="preserve">Unemp_g = SUM(Unemp_g,i × LF_g,i) / SUM(LF_g,i)</t>
  </si>
  <si>
    <t xml:space="preserve">Group overall unemp weighted by industry labor force</t>
  </si>
  <si>
    <t xml:space="preserve">Self-Employed Unemployment Rate (g)</t>
  </si>
  <si>
    <t xml:space="preserve">Unemp_SELF_g = VLOOKUP("UNEMP_RATE_SELF"&amp;g, PARAMETERS!OTHER.ADJUSTMENTS, 3, FALSE)</t>
  </si>
  <si>
    <t xml:space="preserve">Proxy rate for self-employed (lower than payroll)</t>
  </si>
  <si>
    <t xml:space="preserve">Underemployment Rate (g,i)</t>
  </si>
  <si>
    <t xml:space="preserve">Under_g,i = VLOOKUP("U6_BASE_AL", PARAMETERS!OTHER.ADJUSTMENTS, 3, FALSE) × VLOOKUP("UNDEREMP_RATIO_"&amp;i, PARAMETERS!OTHER.ADJUSTMENTS, 3, FALSE) × VLOOKUP("UNDEREMP_RATIO"&amp;g, PARAMETERS!OTHER.ADJUSTMENTS, 3, FALSE) × VLOOKUP("UNDEREMP_RATIO_"&amp;subrole, PARAMETERS!OTHER.ADJUSTMENTS, 3, FALSE)</t>
  </si>
  <si>
    <t xml:space="preserve">Industry base × group × role/sub-role multiplier</t>
  </si>
  <si>
    <t xml:space="preserve">Overall Underemployment Rate (i)</t>
  </si>
  <si>
    <t xml:space="preserve">Under_overall,i = (A_i × Under_AMER + V_i × Under_AUTH + U_i × Under_UNAUTH) / (A_i + V_i + U_i)</t>
  </si>
  <si>
    <t xml:space="preserve">Weighted average of group underemployment rates</t>
  </si>
  <si>
    <t xml:space="preserve">Underemployment Rate (g)</t>
  </si>
  <si>
    <t xml:space="preserve">Under_g = SUM(Under_g,i × LF_g,i) / SUM(LF_g,i)</t>
  </si>
  <si>
    <t xml:space="preserve">Group overall underemp weighted by industry labor force</t>
  </si>
  <si>
    <t xml:space="preserve">Self-Employed Underemployment Rate (g)</t>
  </si>
  <si>
    <t xml:space="preserve">Under_SELF_g = VLOOKUP("U6_BASE_AL", PARAMETERS!OTHER.ADJUSTMENTS, 3, FALSE) × VLOOKUP("UNDEREMP_RATIO_SELF", PARAMETERS!OTHER.ADJUSTMENTS, 3, FALSE)</t>
  </si>
  <si>
    <t xml:space="preserve">Higher due to involuntary part-time</t>
  </si>
  <si>
    <t xml:space="preserve">Wage Average (g,i)</t>
  </si>
  <si>
    <t xml:space="preserve">IF(i = "SELF", VLOOKUP("WAGE_MEAN"&amp;i, PARAMETERS!OTHER.ADJUSTMENTS, 3, FALSE) × VLOOKUP("SELF_WAGE_DISCOUNT", PARAMETERS!OTHER.ADJUSTMENTS, 3, FALSE), IF(g = "UNAUTH", VLOOKUP("WAGE_MEAN"&amp;i, PARAMETERS!OTHER.ADJUSTMENTS, 3, FALSE) × VLOOKUP("UNAUTH_WAGE_RATIO_"&amp;i, PARAMETERS!OTHER.ADJUSTMENTS, 3, FALSE), VLOOKUP("WAGE_MEAN_"&amp;i, PARAMETERS!OTHER.ADJUSTMENTS, 3, FALSE) × VLOOKUP("WAGE_RATIO_"&amp;g, PARAMETERS!OTHER.ADJUSTMENTS, 3, FALSE))) × VLOOKUP("WAGE_INFLATION_2025", PARAMETERS!OTHER.ADJUSTMENTS, 3, FALSE)</t>
  </si>
  <si>
    <t xml:space="preserve">Group-specific wage mean with self-employed discount</t>
  </si>
  <si>
    <t xml:space="preserve">Overall Wage Average (i)</t>
  </si>
  <si>
    <t xml:space="preserve">Wage_overall,i = (A_i × Wage_AMER + V_i × Wage_AUTH + U_i × Wage_UNAUTH + SE_i × Wage_SELF) / (A_i + V_i + U_i + SE_i)</t>
  </si>
  <si>
    <t xml:space="preserve">Weighted average including self-employed</t>
  </si>
  <si>
    <t xml:space="preserve">Wage Min (g,i)</t>
  </si>
  <si>
    <t xml:space="preserve">Wage_g_min,i = Wage_g,i × VLOOKUP("WAGE_MIN_RATIO", PARAMETERS!OTHER.ADJUSTMENTS, 3, FALSE)</t>
  </si>
  <si>
    <t xml:space="preserve">Wage Max (g,i)</t>
  </si>
  <si>
    <t xml:space="preserve">Wage_g_max,i = Wage_g,i × VLOOKUP("WAGE_MAX_RATIO", PARAMETERS!OTHER.ADJUSTMENTS, 3, FALSE)</t>
  </si>
  <si>
    <t xml:space="preserve">Overall Wage Min (i)</t>
  </si>
  <si>
    <t xml:space="preserve">Wage_overall_min,i = Wage_overall,i × VLOOKUP("WAGE_MIN_RATIO", PARAMETERS!OTHER.ADJUSTMENTS, 3, FALSE)</t>
  </si>
  <si>
    <t xml:space="preserve">Overall Wage Max (i)</t>
  </si>
  <si>
    <t xml:space="preserve">Wage_overall_max,i = Wage_overall,i × VLOOKUP("WAGE_MAX_RATIO", PARAMETERS!OTHER.ADJUSTMENTS, 3, FALSE)</t>
  </si>
  <si>
    <t xml:space="preserve">Wage Average (g)</t>
  </si>
  <si>
    <t xml:space="preserve">Wage_g = SUM(Wage_g,i × T_i) / SUM(T_i)</t>
  </si>
  <si>
    <t xml:space="preserve">Group overall wage weighted by industry employment</t>
  </si>
  <si>
    <t xml:space="preserve">Annual Income (g,i)</t>
  </si>
  <si>
    <t xml:space="preserve">Income_g,i = Wage_g,i × 2080 × IF(i = "SELF", VLOOKUP("UNDERREPORT_SELF_"&amp;g, PARAMETERS!OTHER.ADJUSTMENTS, 3, FALSE), VLOOKUP("UNDERREPORT_"&amp;g, PARAMETERS!OTHER.ADJUSTMENTS, 3, FALSE))</t>
  </si>
  <si>
    <t xml:space="preserve">Hourly wage × hours × underreporting (higher for self-employed)</t>
  </si>
  <si>
    <t xml:space="preserve">Overall Annual Income (i)</t>
  </si>
  <si>
    <t xml:space="preserve">Income_overall,i = (A_i × Income_AMER + V_i × Income_AUTH + U_i × Income_UNAUTH + SE_i × Income_SELF) / (A_i + V_i + U_i + SE_i)</t>
  </si>
  <si>
    <t xml:space="preserve">Weighted including self-employed</t>
  </si>
  <si>
    <t xml:space="preserve">Annual Income Min (g,i)</t>
  </si>
  <si>
    <t xml:space="preserve">Income_g_min,i = Wage_g_min,i × 2080 × VLOOKUP("UNDERREPORT_"&amp;g, PARAMETERS!OTHER.ADJUSTMENTS, 3, FALSE)</t>
  </si>
  <si>
    <t xml:space="preserve">Annual Income Max (g,i)</t>
  </si>
  <si>
    <t xml:space="preserve">Income_g_max,i = Wage_g_max,i × 2080 × VLOOKUP("UNDERREPORT_"&amp;g, PARAMETERS!OTHER.ADJUSTMENTS, 3, FALSE)</t>
  </si>
  <si>
    <t xml:space="preserve">Overall Annual Income Min (i)</t>
  </si>
  <si>
    <t xml:space="preserve">Income_overall_min,i = Wage_overall_min,i × 2080</t>
  </si>
  <si>
    <t xml:space="preserve">Overall Annual Income Max (i)</t>
  </si>
  <si>
    <t xml:space="preserve">Income_overall_max,i = Wage_overall_max,i × 2080</t>
  </si>
  <si>
    <t xml:space="preserve">Annual Income (g)</t>
  </si>
  <si>
    <t xml:space="preserve">Income_g = SUM(Income_g,i × T_i) / SUM(T_i)</t>
  </si>
  <si>
    <t xml:space="preserve">Group overall annual income weighted by industry employment</t>
  </si>
  <si>
    <t xml:space="preserve">Labor Force (g,i)</t>
  </si>
  <si>
    <t xml:space="preserve">LF_g,i = employed_g,i / (1 - Unemp_g,i)</t>
  </si>
  <si>
    <t xml:space="preserve">Employed divided by employment rate</t>
  </si>
  <si>
    <t xml:space="preserve">Overall Labor Force (i)</t>
  </si>
  <si>
    <t xml:space="preserve">LF_overall,i = LF_AMER,i + LF_AUTH,i + LF_UNAUTH,i + LF_SELF,i</t>
  </si>
  <si>
    <t xml:space="preserve">Sum across groups including self-employed</t>
  </si>
  <si>
    <t xml:space="preserve">Labor Force (g)</t>
  </si>
  <si>
    <t xml:space="preserve">LF_g = SUM(LF_g,i)</t>
  </si>
  <si>
    <t xml:space="preserve">Group overall labor force sum across industries</t>
  </si>
  <si>
    <t xml:space="preserve">Labor Force Participation Rate (g,i)</t>
  </si>
  <si>
    <t xml:space="preserve">LFPR_g,i = VLOOKUP("LFPR_"&amp;g, PARAMETERS!OTHER.ADJUSTMENTS, 3, FALSE) * VLOOKUP("LFPR_RATIO_"&amp;i, PARAMETERS!OTHER.ADJUSTMENTS, 3, FALSE) * VLOOKUP("LFPR_RATIO_"&amp;role, PARAMETERS!OTHER.ADJUSTMENTS, 3, FALSE) * IF(role="SUPPORT", VLOOKUP("SUPPORT_ROLE_RATIO", PARAMETERS!OTHER.ADJUSTMENTS, 3, FALSE), 1) * IF(i = "SELF", VLOOKUP("LFPR_SELF_"&amp;g, PARAMETERS!OTHER.ADJUSTMENTS, 3, FALSE), 1)</t>
  </si>
  <si>
    <t xml:space="preserve">Group-specific LFPR with self-employed adjustment</t>
  </si>
  <si>
    <t xml:space="preserve">Overall Labor Force Participation Rate (i)</t>
  </si>
  <si>
    <t xml:space="preserve">LFPR_overall,i = (LF_AMER,i × LFPR_AMER + LF_AUTH,i × LFPR_AUTH + LF_UNAUTH,i × LFPR_UNAUTH + LF_SELF,i × LFPR_SELF) / LF_overall,i</t>
  </si>
  <si>
    <t xml:space="preserve">Labor Force Participation Rate (g)</t>
  </si>
  <si>
    <t xml:space="preserve">LFPR_g = VLOOKUP("LFPR_"&amp;g, PARAMETERS!OTHER.ADJUSTMENTS, 3, FALSE)</t>
  </si>
  <si>
    <t xml:space="preserve">Group base LFPR</t>
  </si>
  <si>
    <t xml:space="preserve">Employment-to-Population Ratio (g,i)</t>
  </si>
  <si>
    <t xml:space="preserve">EPR_g,i = 1 - Unemp_g,i</t>
  </si>
  <si>
    <t xml:space="preserve">Group-specific EPR</t>
  </si>
  <si>
    <t xml:space="preserve">Overall Employment-to-Population Ratio (i)</t>
  </si>
  <si>
    <t xml:space="preserve">EPR_overall,i = 1 - Unemp_overall,i</t>
  </si>
  <si>
    <t xml:space="preserve">Weighted overall EPR</t>
  </si>
  <si>
    <t xml:space="preserve">Employment-to-Population Ratio (g)</t>
  </si>
  <si>
    <t xml:space="preserve">EPR_g = 1 - Unemp_g</t>
  </si>
  <si>
    <t xml:space="preserve">Group overall EPR</t>
  </si>
  <si>
    <t xml:space="preserve">Federal Personal Income Tax Revenue (g,i)</t>
  </si>
  <si>
    <t xml:space="preserve">Fed_PIT_g,i = Income_g,i × VLOOKUP("FED_TAX_BASE_RATE", PARAMETERS!OTHER.ADJUSTMENTS, 3, FALSE) × VLOOKUP("TAX_ADJ_"&amp;i, PARAMETERS!OTHER.ADJUSTMENTS, 3, FALSE) × VLOOKUP("COMPLIANCE_ADJ_"&amp;g, PARAMETERS!OTHER.ADJUSTMENTS, 3, FALSE) × IF(g="UNAUTH", VLOOKUP("UNAUTH_COMPLIANCE_ADJ", PARAMETERS!OTHER.ADJUSTMENTS, 3, FALSE), 1) × IF(i = "SELF", VLOOKUP("TAX_ADJ_SELF", PARAMETERS!OTHER.ADJUSTMENTS, 3, FALSE), 1)</t>
  </si>
  <si>
    <t xml:space="preserve">Income × base rate × industry adj. × group compliance × self-employed adjustment</t>
  </si>
  <si>
    <t xml:space="preserve">Overall Federal Personal Income Tax Revenue (i)</t>
  </si>
  <si>
    <t xml:space="preserve">Fed_PIT_overall,i = Fed_PIT_AMER,i + Fed_PIT_AUTH,i + Fed_PIT_UNAUTH,i + Fed_PIT_SELF,i</t>
  </si>
  <si>
    <t xml:space="preserve">Federal Personal Income Tax Revenue (g)</t>
  </si>
  <si>
    <t xml:space="preserve">Fed_PIT_g = SUM(Fed_PIT_g,i)</t>
  </si>
  <si>
    <t xml:space="preserve">Group overall PIT sum across industries</t>
  </si>
  <si>
    <t xml:space="preserve">Payroll Tax Revenue (g,i)</t>
  </si>
  <si>
    <t xml:space="preserve">Payroll_g,i = Income_g,i × VLOOKUP("PAYROLL_RATE_"&amp;g&amp;"_SELF", PARAMETERS!OTHER.ADJUSTMENTS, 3, FALSE) × VLOOKUP("COMPLIANCE_ADJ_"&amp;g, PARAMETERS!OTHER.ADJUSTMENTS, 3, FALSE) × IF(i = "SELF", VLOOKUP("EMPLOYER_MATCH_SELF", PARAMETERS!OTHER.ADJUSTMENTS, 3, FALSE), VLOOKUP("EMPLOYER_MATCH_RATIO", PARAMETERS!OTHER.ADJUSTMENTS, 3, FALSE))</t>
  </si>
  <si>
    <t xml:space="preserve">Income × payroll rate × compliance (self-employed has no employer match)</t>
  </si>
  <si>
    <t xml:space="preserve">Overall Payroll Tax Revenue (i)</t>
  </si>
  <si>
    <t xml:space="preserve">Payroll_overall,i = Payroll_AMER,i + Payroll_AUTH,i + Payroll_UNAUTH,i + Payroll_SELF,i</t>
  </si>
  <si>
    <t xml:space="preserve">Payroll Tax Revenue (g)</t>
  </si>
  <si>
    <t xml:space="preserve">Payroll_g = SUM(Payroll_g,i)</t>
  </si>
  <si>
    <t xml:space="preserve">Group overall payroll tax sum across industries</t>
  </si>
  <si>
    <t xml:space="preserve">EITC Credit Refund (g,i)</t>
  </si>
  <si>
    <t xml:space="preserve">EITC_g,i = IF(VLOOKUP("SSN_VALID_"&amp;g, PARAMETERS!OTHER.ADJUSTMENTS, 3, FALSE), MIN(VLOOKUP("EITC_MAX_"&amp;g, PARAMETERS!OTHER.ADJUSTMENTS, 3, FALSE), MAX(0, (Income_g,i - PHASE_IN_START) × (PHASE_IN_RATE + (0.1 × DEPENDENTS_AVG_g))) - MAX(0, (Income_g,i - PHASE_OUT_START) × PHASE_OUT_RATE)), 0)</t>
  </si>
  <si>
    <t xml:space="preserve">Phase-in/out adjusted for dependents</t>
  </si>
  <si>
    <t xml:space="preserve">Overall EITC Credit Refund (i)</t>
  </si>
  <si>
    <t xml:space="preserve">EITC_overall,i = EITC_AMER,i + EITC_AUTH,i + EITC_UNAUTH,i + EITC_SELF,i</t>
  </si>
  <si>
    <t xml:space="preserve">EITC Credit Refund (g)</t>
  </si>
  <si>
    <t xml:space="preserve">EITC_g = SUM(EITC_g,i)</t>
  </si>
  <si>
    <t xml:space="preserve">Group overall EITC sum across industries</t>
  </si>
  <si>
    <t xml:space="preserve">ACTC Credit Refund (g,i)</t>
  </si>
  <si>
    <t xml:space="preserve">ACTC_g,i = IF(VLOOKUP("SSN_VALID_"&amp;g, PARAMETERS!OTHER.ADJUSTMENTS, 3, FALSE) AND Income_g,i &gt;= ACTC_MIN_EARNED, MIN(VLOOKUP("ACTC_MAX_"&amp;g, PARAMETERS!OTHER.ADJUSTMENTS, 3, FALSE) × VLOOKUP("QUAL_CHILDREN_"&amp;g, PARAMETERS!OTHER.ADJUSTMENTS, 3, FALSE), MAX(0, (Income_g,i - ACTC_MIN_EARNED) × ACTC_REFUND_RATE) × (1 - MAX(0, (Income_g,i - ACTC_PHASE_OUT)/10000 × 0.05))), 0)</t>
  </si>
  <si>
    <t xml:space="preserve">Refundable portion, phased out over threshold</t>
  </si>
  <si>
    <t xml:space="preserve">Overall ACTC Credit Refund (i)</t>
  </si>
  <si>
    <t xml:space="preserve">ACTC_overall,i = ACTC_AMER,i + ACTC_AUTH,i + ACTC_UNAUTH,i + ACTC_SELF,i</t>
  </si>
  <si>
    <t xml:space="preserve">ACTC Credit Refund (g)</t>
  </si>
  <si>
    <t xml:space="preserve">ACTC_g = SUM(ACTC_g,i)</t>
  </si>
  <si>
    <t xml:space="preserve">Group overall ACTC sum across industries</t>
  </si>
  <si>
    <t xml:space="preserve">AOTC Credit Refund (g,i)</t>
  </si>
  <si>
    <t xml:space="preserve">AOTC_g,i = IF(VLOOKUP("SSN_VALID_"&amp;g, PARAMETERS!OTHER.ADJUSTMENTS, 3, FALSE), MIN(2500 × VLOOKUP("STUDENT_RATE_"&amp;g, PARAMETERS!OTHER.ADJUSTMENTS, 3, FALSE) × VLOOKUP("EDUCATION_RATIO_"&amp;i, PARAMETERS!OTHER.ADJUSTMENTS, 3, FALSE) × (VLOOKUP("DEPENDENTS_AVG_"&amp;g, PARAMETERS!OTHER.ADJUSTMENTS, 3, FALSE) + VLOOKUP("QUAL_CHILDREN_"&amp;g, PARAMETERS!OTHER.ADJUSTMENTS, 3, FALSE))/2, 2500), 0) × VLOOKUP("COMPLIANCE_ADJ_"&amp;g, PARAMETERS!OTHER.ADJUSTMENTS, 3, FALSE)</t>
  </si>
  <si>
    <t xml:space="preserve">Up to $2,500 per student, adjusted by industry education ratio and dependents</t>
  </si>
  <si>
    <t xml:space="preserve">Overall AOTC Credit Refund (i)</t>
  </si>
  <si>
    <t xml:space="preserve">AOTC_overall,i = AOTC_AMER,i + AOTC_AUTH,i + AOTC_UNAUTH,i + AOTC_SELF,i</t>
  </si>
  <si>
    <t xml:space="preserve">AOTC Credit Refund (g)</t>
  </si>
  <si>
    <t xml:space="preserve">AOTC_g = SUM(AOTC_g,i)</t>
  </si>
  <si>
    <t xml:space="preserve">Group overall AOTC sum across industries</t>
  </si>
  <si>
    <t xml:space="preserve">LSD.REF.AL.PARAM</t>
  </si>
  <si>
    <t xml:space="preserve">PID</t>
  </si>
  <si>
    <t xml:space="preserve">Parameter Name</t>
  </si>
  <si>
    <t xml:space="preserve">Value</t>
  </si>
  <si>
    <t xml:space="preserve">State / Description</t>
  </si>
  <si>
    <t xml:space="preserve">Notes / Sources</t>
  </si>
  <si>
    <t xml:space="preserve">P001</t>
  </si>
  <si>
    <t xml:space="preserve">TOTAL_NONFARM_AL</t>
  </si>
  <si>
    <t xml:space="preserve">AL / Total nonfarm payroll (thousands)</t>
  </si>
  <si>
    <t xml:space="preserve">BLS CES Dec 2025 revised Jan 2026</t>
  </si>
  <si>
    <t xml:space="preserve">P002</t>
  </si>
  <si>
    <t xml:space="preserve">AG_EMPLOYMENT_AL</t>
  </si>
  <si>
    <t xml:space="preserve">AL / Ag employment (thousands)</t>
  </si>
  <si>
    <t xml:space="preserve">BLS CES Dec 2025 estimate</t>
  </si>
  <si>
    <t xml:space="preserve">P003</t>
  </si>
  <si>
    <t xml:space="preserve">CONSTR_EMPLOYMENT_AL</t>
  </si>
  <si>
    <t xml:space="preserve">AL / Constr employment</t>
  </si>
  <si>
    <t xml:space="preserve">BLS CES Dec 2025</t>
  </si>
  <si>
    <t xml:space="preserve">P004</t>
  </si>
  <si>
    <t xml:space="preserve">HOSP_EMPLOYMENT_AL</t>
  </si>
  <si>
    <t xml:space="preserve">AL / Hosp employment</t>
  </si>
  <si>
    <t xml:space="preserve">P005</t>
  </si>
  <si>
    <t xml:space="preserve">CLEAN_EMPLOYMENT_AL</t>
  </si>
  <si>
    <t xml:space="preserve">AL / Clean &amp; Maint employment</t>
  </si>
  <si>
    <t xml:space="preserve">P006</t>
  </si>
  <si>
    <t xml:space="preserve">MFG_EMPLOYMENT_AL</t>
  </si>
  <si>
    <t xml:space="preserve">AL / Mfg employment</t>
  </si>
  <si>
    <t xml:space="preserve">P007</t>
  </si>
  <si>
    <t xml:space="preserve">TRANS_EMPLOYMENT_AL</t>
  </si>
  <si>
    <t xml:space="preserve">AL / Trans &amp; Warehousing</t>
  </si>
  <si>
    <t xml:space="preserve">P008</t>
  </si>
  <si>
    <t xml:space="preserve">RETAIL_EMPLOYMENT_AL</t>
  </si>
  <si>
    <t xml:space="preserve">AL / Retail Trade</t>
  </si>
  <si>
    <t xml:space="preserve">P009</t>
  </si>
  <si>
    <t xml:space="preserve">LAND_EMPLOYMENT_AL</t>
  </si>
  <si>
    <t xml:space="preserve">AL / Landscaping</t>
  </si>
  <si>
    <t xml:space="preserve">P010</t>
  </si>
  <si>
    <t xml:space="preserve">AUTO_EMPLOYMENT_AL</t>
  </si>
  <si>
    <t xml:space="preserve">AL / Auto &amp; Repair</t>
  </si>
  <si>
    <t xml:space="preserve">P011</t>
  </si>
  <si>
    <t xml:space="preserve">OTHER_EMPLOYMENT_AL</t>
  </si>
  <si>
    <t xml:space="preserve">AL / Other Services</t>
  </si>
  <si>
    <t xml:space="preserve">P012</t>
  </si>
  <si>
    <t xml:space="preserve">HEALTH_EMPLOYMENT_AL</t>
  </si>
  <si>
    <t xml:space="preserve">AL / Health &amp; Social Assistance</t>
  </si>
  <si>
    <t xml:space="preserve">P013</t>
  </si>
  <si>
    <t xml:space="preserve">PROF_EMPLOYMENT_AL</t>
  </si>
  <si>
    <t xml:space="preserve">AL / Prof Services</t>
  </si>
  <si>
    <t xml:space="preserve">P014</t>
  </si>
  <si>
    <t xml:space="preserve">EDU_EMPLOYMENT_AL</t>
  </si>
  <si>
    <t xml:space="preserve">AL / Edu Services</t>
  </si>
  <si>
    <t xml:space="preserve">P015</t>
  </si>
  <si>
    <t xml:space="preserve">FIN_EMPLOYMENT_AL</t>
  </si>
  <si>
    <t xml:space="preserve">AL / Fin &amp; Insurance</t>
  </si>
  <si>
    <t xml:space="preserve">P016</t>
  </si>
  <si>
    <t xml:space="preserve">MEDIA_EMPLOYMENT_AL</t>
  </si>
  <si>
    <t xml:space="preserve">AL / Media &amp; IT</t>
  </si>
  <si>
    <t xml:space="preserve">P017</t>
  </si>
  <si>
    <t xml:space="preserve">GOVT_EMPLOYMENT_AL</t>
  </si>
  <si>
    <t xml:space="preserve">AL / Govt</t>
  </si>
  <si>
    <t xml:space="preserve">P018</t>
  </si>
  <si>
    <t xml:space="preserve">SELF_EMPLOYED_TOTAL</t>
  </si>
  <si>
    <t xml:space="preserve">AL / Total self-employed</t>
  </si>
  <si>
    <t xml:space="preserve">Census CPS AL</t>
  </si>
  <si>
    <t xml:space="preserve">P019</t>
  </si>
  <si>
    <t xml:space="preserve">AMER_SHARE_OVERALL</t>
  </si>
  <si>
    <t xml:space="preserve">AL / American overall share</t>
  </si>
  <si>
    <t xml:space="preserve">Derived from total - immigrant shares</t>
  </si>
  <si>
    <t xml:space="preserve">P020</t>
  </si>
  <si>
    <t xml:space="preserve">AUTH_SHARE_OVERALL</t>
  </si>
  <si>
    <t xml:space="preserve">AL / Authorized overall share</t>
  </si>
  <si>
    <t xml:space="preserve">MPI AL est. 2025 updated</t>
  </si>
  <si>
    <t xml:space="preserve">P021</t>
  </si>
  <si>
    <t xml:space="preserve">UNAUTH_SHARE_OVERALL</t>
  </si>
  <si>
    <t xml:space="preserve">AL / Unauthorized overall share</t>
  </si>
  <si>
    <t xml:space="preserve">MPI AL est. 2025; ~42k employed updated</t>
  </si>
  <si>
    <t xml:space="preserve">P022</t>
  </si>
  <si>
    <t xml:space="preserve">AMER_SHARE_SELF</t>
  </si>
  <si>
    <t xml:space="preserve">AL / American self-employed share</t>
  </si>
  <si>
    <t xml:space="preserve">P023</t>
  </si>
  <si>
    <t xml:space="preserve">AUTH_SHARE_SELF</t>
  </si>
  <si>
    <t xml:space="preserve">AL / Authorized self-employed share</t>
  </si>
  <si>
    <t xml:space="preserve">P024</t>
  </si>
  <si>
    <t xml:space="preserve">UNAUTH_SHARE_SELF</t>
  </si>
  <si>
    <t xml:space="preserve">AL / Unauthorized self-employed share</t>
  </si>
  <si>
    <t xml:space="preserve">P025</t>
  </si>
  <si>
    <t xml:space="preserve">UNEMP_RATE_OVERALL</t>
  </si>
  <si>
    <t xml:space="preserve">AL / Overall unemployment rate</t>
  </si>
  <si>
    <t xml:space="preserve">BLS LAUS Dec 2025</t>
  </si>
  <si>
    <t xml:space="preserve">P026</t>
  </si>
  <si>
    <t xml:space="preserve">UNEMP_RATE_AMER</t>
  </si>
  <si>
    <t xml:space="preserve">AL / American unemp rate</t>
  </si>
  <si>
    <t xml:space="preserve">Adjusted from overall</t>
  </si>
  <si>
    <t xml:space="preserve">P027</t>
  </si>
  <si>
    <t xml:space="preserve">UNEMP_RATE_AUTH</t>
  </si>
  <si>
    <t xml:space="preserve">AL / Authorized unemp rate</t>
  </si>
  <si>
    <t xml:space="preserve">P028</t>
  </si>
  <si>
    <t xml:space="preserve">UNEMP_RATE_UNAUTH</t>
  </si>
  <si>
    <t xml:space="preserve">AL / Unauthorized unemp rate</t>
  </si>
  <si>
    <t xml:space="preserve">P029</t>
  </si>
  <si>
    <t xml:space="preserve">UNEMP_RATE_SELF_AMER</t>
  </si>
  <si>
    <t xml:space="preserve">AL / Self-employed American unemp</t>
  </si>
  <si>
    <t xml:space="preserve">P030</t>
  </si>
  <si>
    <t xml:space="preserve">UNEMP_RATE_SELF_AUTH</t>
  </si>
  <si>
    <t xml:space="preserve">AL / Self-employed Authorized unemp</t>
  </si>
  <si>
    <t xml:space="preserve">P031</t>
  </si>
  <si>
    <t xml:space="preserve">UNEMP_RATE_SELF_UNAUTH</t>
  </si>
  <si>
    <t xml:space="preserve">AL / Self-employed Unauthorized unemp</t>
  </si>
  <si>
    <t xml:space="preserve">P101</t>
  </si>
  <si>
    <t xml:space="preserve">U6_BASE_AL</t>
  </si>
  <si>
    <t xml:space="preserve">AL / Base U-6 underemployment rate</t>
  </si>
  <si>
    <t xml:space="preserve">BLS 2025 avg.</t>
  </si>
  <si>
    <t xml:space="preserve">P102</t>
  </si>
  <si>
    <t xml:space="preserve">UNDEREMP_RATIO_AMER</t>
  </si>
  <si>
    <t xml:space="preserve">AL / American underemp ratio</t>
  </si>
  <si>
    <t xml:space="preserve">Relative to overall</t>
  </si>
  <si>
    <t xml:space="preserve">P103</t>
  </si>
  <si>
    <t xml:space="preserve">UNDEREMP_RATIO_AUTH</t>
  </si>
  <si>
    <t xml:space="preserve">AL / Authorized underemp ratio</t>
  </si>
  <si>
    <t xml:space="preserve">P104</t>
  </si>
  <si>
    <t xml:space="preserve">UNDEREMP_RATIO_UNAUTH</t>
  </si>
  <si>
    <t xml:space="preserve">AL / Unauthorized underemp ratio</t>
  </si>
  <si>
    <t xml:space="preserve">P105</t>
  </si>
  <si>
    <t xml:space="preserve">UNDEREMP_RATIO_SELF</t>
  </si>
  <si>
    <t xml:space="preserve">AL / Self-employed underemp ratio</t>
  </si>
  <si>
    <t xml:space="preserve">P106</t>
  </si>
  <si>
    <t xml:space="preserve">UNDEREMP_RATIO_AG</t>
  </si>
  <si>
    <t xml:space="preserve">AL / Ag underemp ratio</t>
  </si>
  <si>
    <t xml:space="preserve">High seasonal</t>
  </si>
  <si>
    <t xml:space="preserve">P107</t>
  </si>
  <si>
    <t xml:space="preserve">UNDEREMP_RATIO_CONSTR</t>
  </si>
  <si>
    <t xml:space="preserve">AL / Constr underemp ratio</t>
  </si>
  <si>
    <t xml:space="preserve">P108</t>
  </si>
  <si>
    <t xml:space="preserve">UNDEREMP_RATIO_HOSP</t>
  </si>
  <si>
    <t xml:space="preserve">AL / Hosp underemp ratio</t>
  </si>
  <si>
    <t xml:space="preserve">High part-time</t>
  </si>
  <si>
    <t xml:space="preserve">P109</t>
  </si>
  <si>
    <t xml:space="preserve">UNDEREMP_RATIO_CLEAN</t>
  </si>
  <si>
    <t xml:space="preserve">AL / Clean underemp ratio</t>
  </si>
  <si>
    <t xml:space="preserve">P110</t>
  </si>
  <si>
    <t xml:space="preserve">UNDEREMP_RATIO_MFG</t>
  </si>
  <si>
    <t xml:space="preserve">AL / Mfg underemp ratio</t>
  </si>
  <si>
    <t xml:space="preserve">Stable</t>
  </si>
  <si>
    <t xml:space="preserve">P111</t>
  </si>
  <si>
    <t xml:space="preserve">UNDEREMP_RATIO_TRANS</t>
  </si>
  <si>
    <t xml:space="preserve">AL / Trans underemp ratio</t>
  </si>
  <si>
    <t xml:space="preserve">P112</t>
  </si>
  <si>
    <t xml:space="preserve">UNDEREMP_RATIO_RETAIL</t>
  </si>
  <si>
    <t xml:space="preserve">AL / Retail underemp ratio</t>
  </si>
  <si>
    <t xml:space="preserve">High involuntary PT</t>
  </si>
  <si>
    <t xml:space="preserve">P113</t>
  </si>
  <si>
    <t xml:space="preserve">UNDEREMP_RATIO_LAND</t>
  </si>
  <si>
    <t xml:space="preserve">AL / Land underemp ratio</t>
  </si>
  <si>
    <t xml:space="preserve">Seasonal</t>
  </si>
  <si>
    <t xml:space="preserve">P114</t>
  </si>
  <si>
    <t xml:space="preserve">UNDEREMP_RATIO_AUTO</t>
  </si>
  <si>
    <t xml:space="preserve">AL / Auto underemp ratio</t>
  </si>
  <si>
    <t xml:space="preserve">P115</t>
  </si>
  <si>
    <t xml:space="preserve">UNDEREMP_RATIO_OTHER</t>
  </si>
  <si>
    <t xml:space="preserve">AL / Other underemp ratio</t>
  </si>
  <si>
    <t xml:space="preserve">P116</t>
  </si>
  <si>
    <t xml:space="preserve">UNDEREMP_RATIO_HEALTH</t>
  </si>
  <si>
    <t xml:space="preserve">AL / Health underemp ratio</t>
  </si>
  <si>
    <t xml:space="preserve">Avg</t>
  </si>
  <si>
    <t xml:space="preserve">P117</t>
  </si>
  <si>
    <t xml:space="preserve">UNDEREMP_RATIO_PROF</t>
  </si>
  <si>
    <t xml:space="preserve">AL / Prof underemp ratio</t>
  </si>
  <si>
    <t xml:space="preserve">Low</t>
  </si>
  <si>
    <t xml:space="preserve">P118</t>
  </si>
  <si>
    <t xml:space="preserve">UNDEREMP_RATIO_EDU</t>
  </si>
  <si>
    <t xml:space="preserve">AL / Edu underemp ratio</t>
  </si>
  <si>
    <t xml:space="preserve">P119</t>
  </si>
  <si>
    <t xml:space="preserve">UNDEREMP_RATIO_FIN</t>
  </si>
  <si>
    <t xml:space="preserve">AL / Fin underemp ratio</t>
  </si>
  <si>
    <t xml:space="preserve">P120</t>
  </si>
  <si>
    <t xml:space="preserve">UNDEREMP_RATIO_MEDIA</t>
  </si>
  <si>
    <t xml:space="preserve">AL / Media underemp ratio</t>
  </si>
  <si>
    <t xml:space="preserve">P121</t>
  </si>
  <si>
    <t xml:space="preserve">UNDEREMP_RATIO_GOVT</t>
  </si>
  <si>
    <t xml:space="preserve">AL / Govt underemp ratio</t>
  </si>
  <si>
    <t xml:space="preserve">P201</t>
  </si>
  <si>
    <t xml:space="preserve">WAGE_MEAN_AG</t>
  </si>
  <si>
    <t xml:space="preserve">AL / Mean wage Ag</t>
  </si>
  <si>
    <t xml:space="preserve">AL OEWS Sept 2025 (Farming, Fishing, Forestry)</t>
  </si>
  <si>
    <t xml:space="preserve">P202</t>
  </si>
  <si>
    <t xml:space="preserve">WAGE_MEAN_CONSTR</t>
  </si>
  <si>
    <t xml:space="preserve">AL / Mean wage Constr</t>
  </si>
  <si>
    <t xml:space="preserve">AL OEWS Sept 2025 (Construction and Extraction)</t>
  </si>
  <si>
    <t xml:space="preserve">P203</t>
  </si>
  <si>
    <t xml:space="preserve">WAGE_MEAN_HOSP</t>
  </si>
  <si>
    <t xml:space="preserve">AL / Mean wage Hosp</t>
  </si>
  <si>
    <t xml:space="preserve">AL OEWS Sept 2025 (Food Preparation and Serving)</t>
  </si>
  <si>
    <t xml:space="preserve">P204</t>
  </si>
  <si>
    <t xml:space="preserve">WAGE_MEAN_CLEAN</t>
  </si>
  <si>
    <t xml:space="preserve">AL / Mean wage Clean</t>
  </si>
  <si>
    <t xml:space="preserve">AL OEWS Sept 2025 (Building and Grounds Cleaning)</t>
  </si>
  <si>
    <t xml:space="preserve">P205</t>
  </si>
  <si>
    <t xml:space="preserve">WAGE_MEAN_MFG</t>
  </si>
  <si>
    <t xml:space="preserve">AL / Mean wage Mfg</t>
  </si>
  <si>
    <t xml:space="preserve">AL OEWS Sept 2025 (Production Occupations)</t>
  </si>
  <si>
    <t xml:space="preserve">P206</t>
  </si>
  <si>
    <t xml:space="preserve">WAGE_MEAN_TRANS</t>
  </si>
  <si>
    <t xml:space="preserve">AL / Mean wage Trans</t>
  </si>
  <si>
    <t xml:space="preserve">AL OEWS Sept 2025 (Transportation and Material Moving)</t>
  </si>
  <si>
    <t xml:space="preserve">P207</t>
  </si>
  <si>
    <t xml:space="preserve">WAGE_MEAN_RETAIL</t>
  </si>
  <si>
    <t xml:space="preserve">AL / Mean wage Retail</t>
  </si>
  <si>
    <t xml:space="preserve">AL OEWS Sept 2025 (Sales and Related)</t>
  </si>
  <si>
    <t xml:space="preserve">P208</t>
  </si>
  <si>
    <t xml:space="preserve">WAGE_MEAN_LAND</t>
  </si>
  <si>
    <t xml:space="preserve">AL / Mean wage Land</t>
  </si>
  <si>
    <t xml:space="preserve">P209</t>
  </si>
  <si>
    <t xml:space="preserve">WAGE_MEAN_AUTO</t>
  </si>
  <si>
    <t xml:space="preserve">AL / Mean wage Auto</t>
  </si>
  <si>
    <t xml:space="preserve">AL OEWS Sept 2025 (Installation, Maintenance, and Repair)</t>
  </si>
  <si>
    <t xml:space="preserve">P210</t>
  </si>
  <si>
    <t xml:space="preserve">WAGE_MEAN_OTHER</t>
  </si>
  <si>
    <t xml:space="preserve">AL / Mean wage Other</t>
  </si>
  <si>
    <t xml:space="preserve">AL OEWS Sept 2025 (Personal Care and Service)</t>
  </si>
  <si>
    <t xml:space="preserve">P211</t>
  </si>
  <si>
    <t xml:space="preserve">WAGE_MEAN_HEALTH</t>
  </si>
  <si>
    <t xml:space="preserve">AL / Mean wage Health</t>
  </si>
  <si>
    <t xml:space="preserve">AL OEWS Sept 2025 (Healthcare Practitioners and Technical)</t>
  </si>
  <si>
    <t xml:space="preserve">P212</t>
  </si>
  <si>
    <t xml:space="preserve">WAGE_MEAN_PROF</t>
  </si>
  <si>
    <t xml:space="preserve">AL / Mean wage Prof</t>
  </si>
  <si>
    <t xml:space="preserve">AL OEWS Sept 2025 (Architecture and Engineering; adjusted for Prof Services)</t>
  </si>
  <si>
    <t xml:space="preserve">P213</t>
  </si>
  <si>
    <t xml:space="preserve">WAGE_MEAN_EDU</t>
  </si>
  <si>
    <t xml:space="preserve">AL / Mean wage Edu</t>
  </si>
  <si>
    <t xml:space="preserve">AL OEWS Sept 2025 (Educational Instruction and Library)</t>
  </si>
  <si>
    <t xml:space="preserve">P214</t>
  </si>
  <si>
    <t xml:space="preserve">WAGE_MEAN_FIN</t>
  </si>
  <si>
    <t xml:space="preserve">AL / Mean wage Fin</t>
  </si>
  <si>
    <t xml:space="preserve">AL OEWS Sept 2025 (Business and Financial Operations)</t>
  </si>
  <si>
    <t xml:space="preserve">P215</t>
  </si>
  <si>
    <t xml:space="preserve">WAGE_MEAN_MEDIA</t>
  </si>
  <si>
    <t xml:space="preserve">AL / Mean wage Media</t>
  </si>
  <si>
    <t xml:space="preserve">AL OEWS Sept 2025 (Arts, Design, Entertainment, Sports, and Media)</t>
  </si>
  <si>
    <t xml:space="preserve">P216</t>
  </si>
  <si>
    <t xml:space="preserve">WAGE_MEAN_GOVT</t>
  </si>
  <si>
    <t xml:space="preserve">AL / Mean wage Govt</t>
  </si>
  <si>
    <t xml:space="preserve">AL OEWS Sept 2025 (Protective Service; adjusted for Public Admin)</t>
  </si>
  <si>
    <t xml:space="preserve">P217</t>
  </si>
  <si>
    <t xml:space="preserve">WAGE_MEAN_SELF</t>
  </si>
  <si>
    <t xml:space="preserve">AL / Mean wage self-employed</t>
  </si>
  <si>
    <t xml:space="preserve">IRS SOI adj.</t>
  </si>
  <si>
    <t xml:space="preserve">P218</t>
  </si>
  <si>
    <t xml:space="preserve">WAGE_RATIO_AMER</t>
  </si>
  <si>
    <t xml:space="preserve">AL / American wage ratio</t>
  </si>
  <si>
    <t xml:space="preserve">Above overall</t>
  </si>
  <si>
    <t xml:space="preserve">P219</t>
  </si>
  <si>
    <t xml:space="preserve">WAGE_RATIO_AUTH</t>
  </si>
  <si>
    <t xml:space="preserve">AL / Authorized wage ratio</t>
  </si>
  <si>
    <t xml:space="preserve">P220</t>
  </si>
  <si>
    <t xml:space="preserve">WAGE_RATIO_UNAUTH</t>
  </si>
  <si>
    <t xml:space="preserve">AL / Unauthorized wage ratio</t>
  </si>
  <si>
    <t xml:space="preserve">ITEP est.</t>
  </si>
  <si>
    <t xml:space="preserve">P221</t>
  </si>
  <si>
    <t xml:space="preserve">UNAUTH_WAGE_RATIO_AG</t>
  </si>
  <si>
    <t xml:space="preserve">AL / Unauthorized Ag wage ratio</t>
  </si>
  <si>
    <t xml:space="preserve">Lower</t>
  </si>
  <si>
    <t xml:space="preserve">P222</t>
  </si>
  <si>
    <t xml:space="preserve">UNAUTH_WAGE_RATIO_CONSTR</t>
  </si>
  <si>
    <t xml:space="preserve">AL / Constr</t>
  </si>
  <si>
    <t xml:space="preserve">P223</t>
  </si>
  <si>
    <t xml:space="preserve">UNAUTH_WAGE_RATIO_HOSP</t>
  </si>
  <si>
    <t xml:space="preserve">AL / Hosp</t>
  </si>
  <si>
    <t xml:space="preserve">P224</t>
  </si>
  <si>
    <t xml:space="preserve">UNAUTH_WAGE_RATIO_CLEAN</t>
  </si>
  <si>
    <t xml:space="preserve">AL / Clean</t>
  </si>
  <si>
    <t xml:space="preserve">P225</t>
  </si>
  <si>
    <t xml:space="preserve">UNAUTH_WAGE_RATIO_MFG</t>
  </si>
  <si>
    <t xml:space="preserve">AL / Mfg</t>
  </si>
  <si>
    <t xml:space="preserve">P226</t>
  </si>
  <si>
    <t xml:space="preserve">UNAUTH_WAGE_RATIO_TRANS</t>
  </si>
  <si>
    <t xml:space="preserve">AL / Trans</t>
  </si>
  <si>
    <t xml:space="preserve">P227</t>
  </si>
  <si>
    <t xml:space="preserve">UNAUTH_WAGE_RATIO_RETAIL</t>
  </si>
  <si>
    <t xml:space="preserve">AL / Retail</t>
  </si>
  <si>
    <t xml:space="preserve">P228</t>
  </si>
  <si>
    <t xml:space="preserve">UNAUTH_WAGE_RATIO_LAND</t>
  </si>
  <si>
    <t xml:space="preserve">AL / Land</t>
  </si>
  <si>
    <t xml:space="preserve">P229</t>
  </si>
  <si>
    <t xml:space="preserve">UNAUTH_WAGE_RATIO_AUTO</t>
  </si>
  <si>
    <t xml:space="preserve">AL / Auto</t>
  </si>
  <si>
    <t xml:space="preserve">P230</t>
  </si>
  <si>
    <t xml:space="preserve">UNAUTH_WAGE_RATIO_OTHER</t>
  </si>
  <si>
    <t xml:space="preserve">AL / Other</t>
  </si>
  <si>
    <t xml:space="preserve">P231</t>
  </si>
  <si>
    <t xml:space="preserve">UNAUTH_WAGE_RATIO_HEALTH</t>
  </si>
  <si>
    <t xml:space="preserve">AL / Health</t>
  </si>
  <si>
    <t xml:space="preserve">P232</t>
  </si>
  <si>
    <t xml:space="preserve">UNAUTH_WAGE_RATIO_PROF</t>
  </si>
  <si>
    <t xml:space="preserve">AL / Prof</t>
  </si>
  <si>
    <t xml:space="preserve">P233</t>
  </si>
  <si>
    <t xml:space="preserve">UNAUTH_WAGE_RATIO_EDU</t>
  </si>
  <si>
    <t xml:space="preserve">AL / Edu</t>
  </si>
  <si>
    <t xml:space="preserve">P234</t>
  </si>
  <si>
    <t xml:space="preserve">UNAUTH_WAGE_RATIO_FIN</t>
  </si>
  <si>
    <t xml:space="preserve">AL / Fin</t>
  </si>
  <si>
    <t xml:space="preserve">P235</t>
  </si>
  <si>
    <t xml:space="preserve">UNAUTH_WAGE_RATIO_MEDIA</t>
  </si>
  <si>
    <t xml:space="preserve">AL / Media</t>
  </si>
  <si>
    <t xml:space="preserve">P236</t>
  </si>
  <si>
    <t xml:space="preserve">UNAUTH_WAGE_RATIO_GOVT</t>
  </si>
  <si>
    <t xml:space="preserve">P237</t>
  </si>
  <si>
    <t xml:space="preserve">SELF_WAGE_DISCOUNT</t>
  </si>
  <si>
    <t xml:space="preserve">AL / Self-employed wage discount</t>
  </si>
  <si>
    <t xml:space="preserve">Updated IRS SOI 2025</t>
  </si>
  <si>
    <t xml:space="preserve">P238</t>
  </si>
  <si>
    <t xml:space="preserve">WAGE_MIN_RATIO</t>
  </si>
  <si>
    <t xml:space="preserve">AL / Min wage ratio to mean</t>
  </si>
  <si>
    <t xml:space="preserve">P239</t>
  </si>
  <si>
    <t xml:space="preserve">WAGE_MAX_RATIO</t>
  </si>
  <si>
    <t xml:space="preserve">AL / Max wage ratio to mean</t>
  </si>
  <si>
    <t xml:space="preserve">P240</t>
  </si>
  <si>
    <t xml:space="preserve">WAGE_INFLATION_2025</t>
  </si>
  <si>
    <t xml:space="preserve">AL / 2025 wage inflation factor</t>
  </si>
  <si>
    <t xml:space="preserve">BLS ECI Q4 2025</t>
  </si>
  <si>
    <t xml:space="preserve">P401</t>
  </si>
  <si>
    <t xml:space="preserve">TAX_RATE_STATE</t>
  </si>
  <si>
    <t xml:space="preserve">AL / State income tax effective rate</t>
  </si>
  <si>
    <t xml:space="preserve">AL DOR avg.</t>
  </si>
  <si>
    <t xml:space="preserve">P402</t>
  </si>
  <si>
    <t xml:space="preserve">TAX_RATE_FED</t>
  </si>
  <si>
    <t xml:space="preserve">AL / Federal effective rate</t>
  </si>
  <si>
    <t xml:space="preserve">IRS SOI 2025 update</t>
  </si>
  <si>
    <t xml:space="preserve">P403</t>
  </si>
  <si>
    <t xml:space="preserve">FICA_RATE_EMPLOYEE</t>
  </si>
  <si>
    <t xml:space="preserve">AL / FICA employee rate</t>
  </si>
  <si>
    <t xml:space="preserve">SSA 2026</t>
  </si>
  <si>
    <t xml:space="preserve">P404</t>
  </si>
  <si>
    <t xml:space="preserve">FICA_RATE_EMPLOYER</t>
  </si>
  <si>
    <t xml:space="preserve">AL / FICA employer rate</t>
  </si>
  <si>
    <t xml:space="preserve">P405</t>
  </si>
  <si>
    <t xml:space="preserve">SELF_FICA_RATE</t>
  </si>
  <si>
    <t xml:space="preserve">AL / Self-employed FICA rate</t>
  </si>
  <si>
    <t xml:space="preserve">P406</t>
  </si>
  <si>
    <t xml:space="preserve">COMPLIANCE_ADJ_AMER</t>
  </si>
  <si>
    <t xml:space="preserve">AL / American compliance adj</t>
  </si>
  <si>
    <t xml:space="preserve">Full</t>
  </si>
  <si>
    <t xml:space="preserve">P407</t>
  </si>
  <si>
    <t xml:space="preserve">COMPLIANCE_ADJ_AUTH</t>
  </si>
  <si>
    <t xml:space="preserve">AL / Authorized compliance adj</t>
  </si>
  <si>
    <t xml:space="preserve">P408</t>
  </si>
  <si>
    <t xml:space="preserve">COMPLIANCE_ADJ_UNAUTH</t>
  </si>
  <si>
    <t xml:space="preserve">AL / Unauthorized compliance adj</t>
  </si>
  <si>
    <t xml:space="preserve">ITEP est. update</t>
  </si>
  <si>
    <t xml:space="preserve">P409</t>
  </si>
  <si>
    <t xml:space="preserve">COMPLIANCE_ADJ_SELF_AMER</t>
  </si>
  <si>
    <t xml:space="preserve">AL / Self-employed American compliance adj</t>
  </si>
  <si>
    <t xml:space="preserve">Lower than payroll, updated</t>
  </si>
  <si>
    <t xml:space="preserve">P410</t>
  </si>
  <si>
    <t xml:space="preserve">COMPLIANCE_ADJ_SELF_AUTH</t>
  </si>
  <si>
    <t xml:space="preserve">AL / Self-employed Authorized compliance adj</t>
  </si>
  <si>
    <t xml:space="preserve">P411</t>
  </si>
  <si>
    <t xml:space="preserve">COMPLIANCE_ADJ_SELF_UNAUTH</t>
  </si>
  <si>
    <t xml:space="preserve">AL / Self-employed Unauthorized compliance adj</t>
  </si>
  <si>
    <t xml:space="preserve">Very low</t>
  </si>
  <si>
    <t xml:space="preserve">P412</t>
  </si>
  <si>
    <t xml:space="preserve">TAX_ADJ_AG</t>
  </si>
  <si>
    <t xml:space="preserve">AL / Tax industry adj Ag</t>
  </si>
  <si>
    <t xml:space="preserve">Lower income</t>
  </si>
  <si>
    <t xml:space="preserve">P413</t>
  </si>
  <si>
    <t xml:space="preserve">TAX_ADJ_CONSTR</t>
  </si>
  <si>
    <t xml:space="preserve">AL / Constr adj</t>
  </si>
  <si>
    <t xml:space="preserve">P414</t>
  </si>
  <si>
    <t xml:space="preserve">TAX_ADJ_HOSP</t>
  </si>
  <si>
    <t xml:space="preserve">AL / Hosp adj</t>
  </si>
  <si>
    <t xml:space="preserve">P415</t>
  </si>
  <si>
    <t xml:space="preserve">TAX_ADJ_CLEAN</t>
  </si>
  <si>
    <t xml:space="preserve">AL / Clean adj</t>
  </si>
  <si>
    <t xml:space="preserve">P416</t>
  </si>
  <si>
    <t xml:space="preserve">TAX_ADJ_MFG</t>
  </si>
  <si>
    <t xml:space="preserve">AL / Mfg adj</t>
  </si>
  <si>
    <t xml:space="preserve">Higher</t>
  </si>
  <si>
    <t xml:space="preserve">P417</t>
  </si>
  <si>
    <t xml:space="preserve">TAX_ADJ_TRANS</t>
  </si>
  <si>
    <t xml:space="preserve">AL / Trans adj</t>
  </si>
  <si>
    <t xml:space="preserve">P418</t>
  </si>
  <si>
    <t xml:space="preserve">TAX_ADJ_RETAIL</t>
  </si>
  <si>
    <t xml:space="preserve">AL / Retail adj</t>
  </si>
  <si>
    <t xml:space="preserve">P419</t>
  </si>
  <si>
    <t xml:space="preserve">TAX_ADJ_LAND</t>
  </si>
  <si>
    <t xml:space="preserve">AL / Land adj</t>
  </si>
  <si>
    <t xml:space="preserve">P420</t>
  </si>
  <si>
    <t xml:space="preserve">TAX_ADJ_AUTO</t>
  </si>
  <si>
    <t xml:space="preserve">AL / Auto adj</t>
  </si>
  <si>
    <t xml:space="preserve">P421</t>
  </si>
  <si>
    <t xml:space="preserve">TAX_ADJ_OTHER</t>
  </si>
  <si>
    <t xml:space="preserve">AL / Other adj</t>
  </si>
  <si>
    <t xml:space="preserve">P422</t>
  </si>
  <si>
    <t xml:space="preserve">TAX_ADJ_HEALTH</t>
  </si>
  <si>
    <t xml:space="preserve">AL / Health adj</t>
  </si>
  <si>
    <t xml:space="preserve">P423</t>
  </si>
  <si>
    <t xml:space="preserve">TAX_ADJ_PROF</t>
  </si>
  <si>
    <t xml:space="preserve">AL / Prof adj</t>
  </si>
  <si>
    <t xml:space="preserve">High income</t>
  </si>
  <si>
    <t xml:space="preserve">P424</t>
  </si>
  <si>
    <t xml:space="preserve">TAX_ADJ_EDU</t>
  </si>
  <si>
    <t xml:space="preserve">AL / Edu adj</t>
  </si>
  <si>
    <t xml:space="preserve">P425</t>
  </si>
  <si>
    <t xml:space="preserve">TAX_ADJ_FIN</t>
  </si>
  <si>
    <t xml:space="preserve">AL / Fin adj</t>
  </si>
  <si>
    <t xml:space="preserve">High</t>
  </si>
  <si>
    <t xml:space="preserve">P426</t>
  </si>
  <si>
    <t xml:space="preserve">TAX_ADJ_MEDIA</t>
  </si>
  <si>
    <t xml:space="preserve">AL / Media adj</t>
  </si>
  <si>
    <t xml:space="preserve">Moderate high</t>
  </si>
  <si>
    <t xml:space="preserve">P427</t>
  </si>
  <si>
    <t xml:space="preserve">TAX_ADJ_GOVT</t>
  </si>
  <si>
    <t xml:space="preserve">AL / Govt adj</t>
  </si>
  <si>
    <t xml:space="preserve">P428</t>
  </si>
  <si>
    <t xml:space="preserve">TAX_ADJ_SELF</t>
  </si>
  <si>
    <t xml:space="preserve">AL / Self-employed tax adj</t>
  </si>
  <si>
    <t xml:space="preserve">Business deductions lower effective rate</t>
  </si>
  <si>
    <t xml:space="preserve">P429</t>
  </si>
  <si>
    <t xml:space="preserve">FED_TAX_BASE_RATE</t>
  </si>
  <si>
    <t xml:space="preserve">AL / Base federal income tax rate (effective avg.)</t>
  </si>
  <si>
    <t xml:space="preserve">IRS SOI avg. for mid-income brackets, updated</t>
  </si>
  <si>
    <t xml:space="preserve">P430</t>
  </si>
  <si>
    <t xml:space="preserve">UNAUTH_COMPLIANCE_ADJ</t>
  </si>
  <si>
    <t xml:space="preserve">AL / Unauthorized fed compliance</t>
  </si>
  <si>
    <t xml:space="preserve">TIGTA/ITIN filing rates update</t>
  </si>
  <si>
    <t xml:space="preserve">P431</t>
  </si>
  <si>
    <t xml:space="preserve">DEPENDENTS_AVG_AMER</t>
  </si>
  <si>
    <t xml:space="preserve">AL / Avg dependents American</t>
  </si>
  <si>
    <t xml:space="preserve">Census CPS AL data.</t>
  </si>
  <si>
    <t xml:space="preserve">P432</t>
  </si>
  <si>
    <t xml:space="preserve">DEPENDENTS_AVG_AUTH</t>
  </si>
  <si>
    <t xml:space="preserve">AL / Authorized</t>
  </si>
  <si>
    <t xml:space="preserve">Higher family size.</t>
  </si>
  <si>
    <t xml:space="preserve">P433</t>
  </si>
  <si>
    <t xml:space="preserve">DEPENDENTS_AVG_UNAUTH</t>
  </si>
  <si>
    <t xml:space="preserve">AL / Unauthorized</t>
  </si>
  <si>
    <t xml:space="preserve">MPI AL est. update</t>
  </si>
  <si>
    <t xml:space="preserve">P434</t>
  </si>
  <si>
    <t xml:space="preserve">EDUCATION_RATIO_AG</t>
  </si>
  <si>
    <t xml:space="preserve">AL / Ed level ratio Ag</t>
  </si>
  <si>
    <t xml:space="preserve">Low ed for AOTC</t>
  </si>
  <si>
    <t xml:space="preserve">P435</t>
  </si>
  <si>
    <t xml:space="preserve">EDUCATION_RATIO_CONSTR</t>
  </si>
  <si>
    <t xml:space="preserve">AL / Constr ratio</t>
  </si>
  <si>
    <t xml:space="preserve">P436</t>
  </si>
  <si>
    <t xml:space="preserve">EDUCATION_RATIO_HOSP</t>
  </si>
  <si>
    <t xml:space="preserve">AL / Hosp ratio</t>
  </si>
  <si>
    <t xml:space="preserve">P437</t>
  </si>
  <si>
    <t xml:space="preserve">EDUCATION_RATIO_CLEAN</t>
  </si>
  <si>
    <t xml:space="preserve">AL / Clean ratio</t>
  </si>
  <si>
    <t xml:space="preserve">P438</t>
  </si>
  <si>
    <t xml:space="preserve">EDUCATION_RATIO_MFG</t>
  </si>
  <si>
    <t xml:space="preserve">AL / Mfg ratio</t>
  </si>
  <si>
    <t xml:space="preserve">P439</t>
  </si>
  <si>
    <t xml:space="preserve">EDUCATION_RATIO_TRANS</t>
  </si>
  <si>
    <t xml:space="preserve">AL / Trans ratio</t>
  </si>
  <si>
    <t xml:space="preserve">P440</t>
  </si>
  <si>
    <t xml:space="preserve">EDUCATION_RATIO_RETAIL</t>
  </si>
  <si>
    <t xml:space="preserve">AL / Retail ratio</t>
  </si>
  <si>
    <t xml:space="preserve">P441</t>
  </si>
  <si>
    <t xml:space="preserve">EDUCATION_RATIO_LAND</t>
  </si>
  <si>
    <t xml:space="preserve">AL / Land ratio</t>
  </si>
  <si>
    <t xml:space="preserve">P442</t>
  </si>
  <si>
    <t xml:space="preserve">EDUCATION_RATIO_AUTO</t>
  </si>
  <si>
    <t xml:space="preserve">AL / Auto ratio</t>
  </si>
  <si>
    <t xml:space="preserve">P443</t>
  </si>
  <si>
    <t xml:space="preserve">EDUCATION_RATIO_OTHER</t>
  </si>
  <si>
    <t xml:space="preserve">AL / Other ratio</t>
  </si>
  <si>
    <t xml:space="preserve">P444</t>
  </si>
  <si>
    <t xml:space="preserve">EDUCATION_RATIO_HEALTH</t>
  </si>
  <si>
    <t xml:space="preserve">AL / Health ratio</t>
  </si>
  <si>
    <t xml:space="preserve">Higher students</t>
  </si>
  <si>
    <t xml:space="preserve">P445</t>
  </si>
  <si>
    <t xml:space="preserve">EDUCATION_RATIO_PROF</t>
  </si>
  <si>
    <t xml:space="preserve">AL / Prof ratio</t>
  </si>
  <si>
    <t xml:space="preserve">P446</t>
  </si>
  <si>
    <t xml:space="preserve">EDUCATION_RATIO_EDU</t>
  </si>
  <si>
    <t xml:space="preserve">AL / Edu ratio</t>
  </si>
  <si>
    <t xml:space="preserve">Highest</t>
  </si>
  <si>
    <t xml:space="preserve">P447</t>
  </si>
  <si>
    <t xml:space="preserve">EDUCATION_RATIO_FIN</t>
  </si>
  <si>
    <t xml:space="preserve">AL / Fin ratio</t>
  </si>
  <si>
    <t xml:space="preserve">P448</t>
  </si>
  <si>
    <t xml:space="preserve">EDUCATION_RATIO_MEDIA</t>
  </si>
  <si>
    <t xml:space="preserve">AL / Media ratio</t>
  </si>
  <si>
    <t xml:space="preserve">P449</t>
  </si>
  <si>
    <t xml:space="preserve">EDUCATION_RATIO_GOVT</t>
  </si>
  <si>
    <t xml:space="preserve">AL / Govt ratio</t>
  </si>
  <si>
    <t xml:space="preserve">Moderate-high ed</t>
  </si>
  <si>
    <t xml:space="preserve">P450</t>
  </si>
  <si>
    <t xml:space="preserve">STUDENT_RATE_AMER</t>
  </si>
  <si>
    <t xml:space="preserve">AL / American student rate</t>
  </si>
  <si>
    <t xml:space="preserve">IRS SOI</t>
  </si>
  <si>
    <t xml:space="preserve">P451</t>
  </si>
  <si>
    <t xml:space="preserve">STUDENT_RATE_AUTH</t>
  </si>
  <si>
    <t xml:space="preserve">AL / Authorized student rate</t>
  </si>
  <si>
    <t xml:space="preserve">P452</t>
  </si>
  <si>
    <t xml:space="preserve">STUDENT_RATE_UNAUTH</t>
  </si>
  <si>
    <t xml:space="preserve">AL / Unauthorized student rate</t>
  </si>
  <si>
    <t xml:space="preserve">Limited</t>
  </si>
  <si>
    <t xml:space="preserve">P453</t>
  </si>
  <si>
    <t xml:space="preserve">PHASE_IN_START</t>
  </si>
  <si>
    <t xml:space="preserve">AL / EITC phase-in start</t>
  </si>
  <si>
    <t xml:space="preserve">IRS 2025</t>
  </si>
  <si>
    <t xml:space="preserve">P454</t>
  </si>
  <si>
    <t xml:space="preserve">PHASE_IN_RATE</t>
  </si>
  <si>
    <t xml:space="preserve">AL / Phase-in rate (no kids)</t>
  </si>
  <si>
    <t xml:space="preserve">Adjustable per dependents</t>
  </si>
  <si>
    <t xml:space="preserve">P455</t>
  </si>
  <si>
    <t xml:space="preserve">PHASE_OUT_START</t>
  </si>
  <si>
    <t xml:space="preserve">AL / Phase-out start</t>
  </si>
  <si>
    <t xml:space="preserve">P456</t>
  </si>
  <si>
    <t xml:space="preserve">PHASE_OUT_RATE</t>
  </si>
  <si>
    <t xml:space="preserve">AL / Phase-out rate</t>
  </si>
  <si>
    <t xml:space="preserve">P457</t>
  </si>
  <si>
    <t xml:space="preserve">EITC_MAX_AMER</t>
  </si>
  <si>
    <t xml:space="preserve">AL / Max EITC (with kids)</t>
  </si>
  <si>
    <t xml:space="preserve">IRS adj</t>
  </si>
  <si>
    <t xml:space="preserve">P458</t>
  </si>
  <si>
    <t xml:space="preserve">EITC_MAX_AUTH</t>
  </si>
  <si>
    <t xml:space="preserve">AL / Authorized max</t>
  </si>
  <si>
    <t xml:space="preserve">P459</t>
  </si>
  <si>
    <t xml:space="preserve">EITC_MAX_UNAUTH</t>
  </si>
  <si>
    <t xml:space="preserve">AL / Unauthorized max</t>
  </si>
  <si>
    <t xml:space="preserve">Official 0</t>
  </si>
  <si>
    <t xml:space="preserve">P460</t>
  </si>
  <si>
    <t xml:space="preserve">ACTC_PHASE_OUT</t>
  </si>
  <si>
    <t xml:space="preserve">AL / ACTC phase-out threshold (single)</t>
  </si>
  <si>
    <t xml:space="preserve">P461</t>
  </si>
  <si>
    <t xml:space="preserve">ACTC_MIN_EARNED</t>
  </si>
  <si>
    <t xml:space="preserve">AL / Min earned income for ACTC</t>
  </si>
  <si>
    <t xml:space="preserve">IRS 2025 req.</t>
  </si>
  <si>
    <t xml:space="preserve">P462</t>
  </si>
  <si>
    <t xml:space="preserve">ACTC_REFUND_RATE</t>
  </si>
  <si>
    <t xml:space="preserve">AL / Refund calc rate (15% over min)</t>
  </si>
  <si>
    <t xml:space="preserve">IRS formula.</t>
  </si>
  <si>
    <t xml:space="preserve">P463</t>
  </si>
  <si>
    <t xml:space="preserve">ACTC_MAX_AMER</t>
  </si>
  <si>
    <t xml:space="preserve">AL / Max ACTC per child</t>
  </si>
  <si>
    <t xml:space="preserve">IRS 2025.</t>
  </si>
  <si>
    <t xml:space="preserve">P464</t>
  </si>
  <si>
    <t xml:space="preserve">ACTC_MAX_AUTH</t>
  </si>
  <si>
    <t xml:space="preserve">Full.</t>
  </si>
  <si>
    <t xml:space="preserve">P465</t>
  </si>
  <si>
    <t xml:space="preserve">ACTC_MAX_UNAUTH</t>
  </si>
  <si>
    <t xml:space="preserve">P466</t>
  </si>
  <si>
    <t xml:space="preserve">QUAL_CHILDREN_AMER</t>
  </si>
  <si>
    <t xml:space="preserve">AL / Avg qualifying children American</t>
  </si>
  <si>
    <t xml:space="preserve">Under 17/SSN; Census.</t>
  </si>
  <si>
    <t xml:space="preserve">P467</t>
  </si>
  <si>
    <t xml:space="preserve">QUAL_CHILDREN_AUTH</t>
  </si>
  <si>
    <t xml:space="preserve">Higher.</t>
  </si>
  <si>
    <t xml:space="preserve">P468</t>
  </si>
  <si>
    <t xml:space="preserve">QUAL_CHILDREN_UNAUTH</t>
  </si>
  <si>
    <t xml:space="preserve">Limited SSN.</t>
  </si>
  <si>
    <t xml:space="preserve">P469</t>
  </si>
  <si>
    <t xml:space="preserve">SSN_VALID_AMER</t>
  </si>
  <si>
    <t xml:space="preserve">AL / SSN valid for American</t>
  </si>
  <si>
    <t xml:space="preserve">P470</t>
  </si>
  <si>
    <t xml:space="preserve">SSN_VALID_AUTH</t>
  </si>
  <si>
    <t xml:space="preserve">P471</t>
  </si>
  <si>
    <t xml:space="preserve">SSN_VALID_UNAUTH</t>
  </si>
  <si>
    <t xml:space="preserve">IRS req. for credit.</t>
  </si>
  <si>
    <t xml:space="preserve">P999</t>
  </si>
  <si>
    <t xml:space="preserve">UPDATE_DATE</t>
  </si>
  <si>
    <t xml:space="preserve">AL / Last refinement date</t>
  </si>
  <si>
    <t xml:space="preserve">BLS CES Dec 2025 updated Feb 2026</t>
  </si>
  <si>
    <t xml:space="preserve">LFPR_RATIO_FIN</t>
  </si>
  <si>
    <t xml:space="preserve">LFPR_RATIO_MEDIA</t>
  </si>
  <si>
    <t xml:space="preserve">LFPR_RATIO_GOVT</t>
  </si>
  <si>
    <t xml:space="preserve">LFPR_RATIO_SELF</t>
  </si>
  <si>
    <t xml:space="preserve">AL / Self-employed LFPR multiplier</t>
  </si>
  <si>
    <t xml:space="preserve">Higher persistence</t>
  </si>
  <si>
    <t xml:space="preserve">PAYROLL_RATE_AMER</t>
  </si>
  <si>
    <t xml:space="preserve">AL / American payroll rate</t>
  </si>
  <si>
    <t xml:space="preserve">PAYROLL_RATE_AUTH</t>
  </si>
  <si>
    <t xml:space="preserve">AL / Authorized payroll rate</t>
  </si>
  <si>
    <t xml:space="preserve">PAYROLL_RATE_UNAUTH</t>
  </si>
  <si>
    <t xml:space="preserve">AL / Unauthorized payroll rate</t>
  </si>
  <si>
    <t xml:space="preserve">Partial</t>
  </si>
  <si>
    <t xml:space="preserve">PAYROLL_RATE_SELF_AMER</t>
  </si>
  <si>
    <t xml:space="preserve">AL / Self-employed American payroll rate</t>
  </si>
  <si>
    <t xml:space="preserve">15.3% self-employment tax</t>
  </si>
  <si>
    <t xml:space="preserve">PAYROLL_RATE_SELF_AUTH</t>
  </si>
  <si>
    <t xml:space="preserve">AL / Self-employed Authorized payroll rate</t>
  </si>
  <si>
    <t xml:space="preserve">PAYROLL_RATE_SELF_UNAUTH</t>
  </si>
  <si>
    <t xml:space="preserve">AL / Self-employed Unauthorized payroll rate</t>
  </si>
  <si>
    <t xml:space="preserve">Low compliance</t>
  </si>
  <si>
    <t xml:space="preserve">EMPLOYER_MATCH_RATIO</t>
  </si>
  <si>
    <t xml:space="preserve">AL / Employer FICA match</t>
  </si>
  <si>
    <t xml:space="preserve">For payroll</t>
  </si>
  <si>
    <t xml:space="preserve">EMPLOYER_MATCH_SELF</t>
  </si>
  <si>
    <t xml:space="preserve">AL / Employer match for self-employed</t>
  </si>
  <si>
    <t xml:space="preserve">None</t>
  </si>
  <si>
    <t xml:space="preserve">Lower than payroll</t>
  </si>
  <si>
    <t xml:space="preserve">IRS SOI avg. for mid-income brackets</t>
  </si>
  <si>
    <t xml:space="preserve">P500</t>
  </si>
  <si>
    <t xml:space="preserve">TIGTA/ITIN filing rates</t>
  </si>
  <si>
    <t xml:space="preserve">P501</t>
  </si>
  <si>
    <t xml:space="preserve">P502</t>
  </si>
  <si>
    <t xml:space="preserve">P503</t>
  </si>
  <si>
    <t xml:space="preserve">MPI AL est.</t>
  </si>
  <si>
    <t xml:space="preserve">P504</t>
  </si>
  <si>
    <t xml:space="preserve">P505</t>
  </si>
  <si>
    <t xml:space="preserve">P506</t>
  </si>
  <si>
    <t xml:space="preserve">P507</t>
  </si>
  <si>
    <t xml:space="preserve">P508</t>
  </si>
  <si>
    <t xml:space="preserve">P509</t>
  </si>
  <si>
    <t xml:space="preserve">P510</t>
  </si>
  <si>
    <t xml:space="preserve">P511</t>
  </si>
  <si>
    <t xml:space="preserve">P512</t>
  </si>
  <si>
    <t xml:space="preserve">P513</t>
  </si>
  <si>
    <t xml:space="preserve">P514</t>
  </si>
  <si>
    <t xml:space="preserve">P515</t>
  </si>
  <si>
    <t xml:space="preserve">P516</t>
  </si>
  <si>
    <t xml:space="preserve">P517</t>
  </si>
  <si>
    <t xml:space="preserve">P518</t>
  </si>
  <si>
    <t xml:space="preserve">P519</t>
  </si>
  <si>
    <t xml:space="preserve">P520</t>
  </si>
  <si>
    <t xml:space="preserve">P521</t>
  </si>
  <si>
    <t xml:space="preserve">P522</t>
  </si>
  <si>
    <t xml:space="preserve">P523</t>
  </si>
  <si>
    <t xml:space="preserve">P524</t>
  </si>
  <si>
    <t xml:space="preserve">P525</t>
  </si>
  <si>
    <t xml:space="preserve">P526</t>
  </si>
  <si>
    <t xml:space="preserve">P527</t>
  </si>
  <si>
    <t xml:space="preserve">P528</t>
  </si>
  <si>
    <t xml:space="preserve">P529</t>
  </si>
  <si>
    <t xml:space="preserve">P530</t>
  </si>
  <si>
    <t xml:space="preserve">P531</t>
  </si>
  <si>
    <t xml:space="preserve">P532</t>
  </si>
  <si>
    <t xml:space="preserve">P533</t>
  </si>
  <si>
    <t xml:space="preserve">P534</t>
  </si>
  <si>
    <t xml:space="preserve">P535</t>
  </si>
  <si>
    <t xml:space="preserve">P536</t>
  </si>
  <si>
    <t xml:space="preserve">P537</t>
  </si>
  <si>
    <t xml:space="preserve">P538</t>
  </si>
  <si>
    <t xml:space="preserve">P539</t>
  </si>
  <si>
    <t xml:space="preserve">P540</t>
  </si>
  <si>
    <t xml:space="preserve">P541</t>
  </si>
  <si>
    <t xml:space="preserve">LSD.RID.0.AL.CALC</t>
  </si>
  <si>
    <t xml:space="preserve">Labor Industry Role (LIR)</t>
  </si>
  <si>
    <t xml:space="preserve">Labor Force Population (LFP)</t>
  </si>
  <si>
    <t xml:space="preserve">Employment-to-Population Ratio (ETPR)</t>
  </si>
  <si>
    <t xml:space="preserve">Labor Force Population Ratio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</si>
  <si>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</si>
  <si>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</si>
  <si>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</si>
  <si>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</si>
  <si>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</si>
  <si>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</si>
  <si>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</si>
  <si>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</si>
  <si>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Wave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</si>
  <si>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</si>
  <si>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</si>
  <si>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</si>
  <si>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</si>
  <si>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</si>
  <si>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LIRID</t>
  </si>
  <si>
    <t xml:space="preserve">Industry</t>
  </si>
  <si>
    <t xml:space="preserve">Role</t>
  </si>
  <si>
    <t xml:space="preserve">Authorized Labor Force Population</t>
  </si>
  <si>
    <t xml:space="preserve">Unauthorized Labor Force Population</t>
  </si>
  <si>
    <t xml:space="preserve">American Labor Force Population</t>
  </si>
  <si>
    <t xml:space="preserve">Authorized Immigrant Employment-to-Population Ratio</t>
  </si>
  <si>
    <t xml:space="preserve">Unauthorized Immigrant Employment-to-Population Ratio</t>
  </si>
  <si>
    <t xml:space="preserve">American Employment-to-Population Ratio</t>
  </si>
  <si>
    <t xml:space="preserve">Labor Force Participation Rate (LFPR)</t>
  </si>
  <si>
    <t xml:space="preserve">Authorized Immigrant Labor Force Participation Rate (LFPR)</t>
  </si>
  <si>
    <t xml:space="preserve">Unauthorized Immigrant Labor Force Participation Rate (LFPR)</t>
  </si>
  <si>
    <t xml:space="preserve">American Labor Force Participation Rate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</si>
  <si>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</si>
  <si>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</si>
  <si>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</si>
  <si>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</si>
  <si>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</si>
  <si>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</si>
  <si>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</si>
  <si>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</si>
  <si>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</si>
  <si>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  $)</t>
  </si>
  <si>
    <t xml:space="preserve">Annual Income Min ($  )</t>
  </si>
  <si>
    <t xml:space="preserve">Annual Income Max (  $)</t>
  </si>
  <si>
    <t xml:space="preserve">Authorized Immigrant Wage Average ($  /hr)</t>
  </si>
  <si>
    <t xml:space="preserve">Authorized Immigrant Wage Min (  $/hr)</t>
  </si>
  <si>
    <t xml:space="preserve">Authorized Immigrant Wage Max ($  /hr)</t>
  </si>
  <si>
    <t xml:space="preserve">Authorized Immigrant Annual Income Average (  $)</t>
  </si>
  <si>
    <t xml:space="preserve">Authorized Immigrant Annual Income Min ($  )</t>
  </si>
  <si>
    <t xml:space="preserve">Authorized Immigrant Annual Income Max (  $)</t>
  </si>
  <si>
    <t xml:space="preserve">Unauthorized Immigrant Wage Average ($  /hr)</t>
  </si>
  <si>
    <t xml:space="preserve">Unauthorized Immigrant Wage Min (  $/hr)</t>
  </si>
  <si>
    <t xml:space="preserve">Unauthorized Immigrant Wage Max ($  /hr)</t>
  </si>
  <si>
    <t xml:space="preserve">Unauthorized Immigrant Annual Income Average (  $)</t>
  </si>
  <si>
    <t xml:space="preserve">Unauthorized Immigrant Annual Income Min ($  )</t>
  </si>
  <si>
    <t xml:space="preserve">Unauthorized Immigrant Annual Income Max (  $)</t>
  </si>
  <si>
    <t xml:space="preserve">American Wage Average ($  /hr)</t>
  </si>
  <si>
    <t xml:space="preserve">American Wage Min (  $/hr)</t>
  </si>
  <si>
    <t xml:space="preserve">American Wage Max ($  /hr)</t>
  </si>
  <si>
    <t xml:space="preserve">American Annual Income Average (  $)</t>
  </si>
  <si>
    <t xml:space="preserve">American Annual Income Min ($  )</t>
  </si>
  <si>
    <t xml:space="preserve">American Annual Income Max (  $)</t>
  </si>
  <si>
    <t xml:space="preserve">Federal Personal Income Tax Revenue ($  )</t>
  </si>
  <si>
    <t xml:space="preserve">Authorized Immigrant Federal Personal Income Tax Revenue (  $)</t>
  </si>
  <si>
    <t xml:space="preserve">Unauthorized Immigrant Federal Personal Income Tax Revenue ($  )</t>
  </si>
  <si>
    <t xml:space="preserve">American Federal Personal Income Tax Revenue (  $)</t>
  </si>
  <si>
    <t xml:space="preserve">Payroll Tax Revenue ($  )</t>
  </si>
  <si>
    <t xml:space="preserve">Authorized Immigrant Payroll Tax Revenue (  $)</t>
  </si>
  <si>
    <t xml:space="preserve">Unauthorized Immigrant Payroll Tax Revenue ($  )</t>
  </si>
  <si>
    <t xml:space="preserve">American Payroll Tax Revenue (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</si>
  <si>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</si>
  <si>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</si>
  <si>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</si>
  <si>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</si>
  <si>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</si>
  <si>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</si>
  <si>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</si>
  <si>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</si>
  <si>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</si>
  <si>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</si>
  <si>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</si>
  <si>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</si>
  <si>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All Industries</t>
  </si>
  <si>
    <t xml:space="preserve">All Roles</t>
  </si>
  <si>
    <t xml:space="preserve">Agriculture</t>
  </si>
  <si>
    <t xml:space="preserve">Worker</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</si>
  <si>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</si>
  <si>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</si>
  <si>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</si>
  <si>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</si>
  <si>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</si>
  <si>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</si>
  <si>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</si>
  <si>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</si>
  <si>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</si>
  <si>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</si>
  <si>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</si>
  <si>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</si>
  <si>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</si>
  <si>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</si>
  <si>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Government</t>
  </si>
  <si>
    <t xml:space="preserve">Self-Employed / Non-Employer</t>
  </si>
  <si>
    <t xml:space="preserve">Other Services</t>
  </si>
  <si>
    <t xml:space="preserve">LSD.RID.0.AL.LFP</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</si>
  <si>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</si>
  <si>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LIRVID</t>
  </si>
  <si>
    <t xml:space="preserve">Industry: Role</t>
  </si>
  <si>
    <t xml:space="preserve">LSD.RID.0.AL.ETPR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</si>
  <si>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</si>
  <si>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</si>
  <si>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</si>
  <si>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</si>
  <si>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</si>
  <si>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</si>
  <si>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</si>
  <si>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</si>
  <si>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AL.U6R</t>
  </si>
  <si>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</si>
  <si>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</si>
  <si>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AL.4</t>
  </si>
  <si>
    <t xml:space="preserve">U.S. Labor Statistics (Alabama)</t>
  </si>
  <si>
    <t xml:space="preserve">AL.WAVG</t>
  </si>
  <si>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</si>
  <si>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</si>
  <si>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</si>
  <si>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</si>
  <si>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</si>
  <si>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AL.FPITREV</t>
  </si>
  <si>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</si>
  <si>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</si>
  <si>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AL.FPPTR</t>
  </si>
  <si>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</si>
  <si>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</si>
  <si>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AL.EITCREF</t>
  </si>
  <si>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</si>
  <si>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</si>
  <si>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t xml:space="preserve">AL.ACTCREF</t>
  </si>
  <si>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</si>
  <si>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</si>
  <si>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t xml:space="preserve">AL.AOTCREF</t>
  </si>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</sst>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2">
    <numFmt numFmtId="164" formatCode="General"/>
    <numFmt numFmtId="165" formatCode="\$#,##0.00_);&quot;($&quot;#,##0.00\)"/>
    <numFmt numFmtId="166" formatCode="\$#,##0_);[RED]&quot;($&quot;#,##0\)"/>
    <numFmt numFmtId="167" formatCode="mm/dd/yy"/>
    <numFmt numFmtId="168" formatCode="@"/>
    <numFmt numFmtId="169" formatCode="yyyy\-mm\-dd"/>
    <numFmt numFmtId="170" formatCode="#,##0"/>
    <numFmt numFmtId="171" formatCode="0.00%"/>
    <numFmt numFmtId="172" formatCode="[$$-409]#,##0;\-[$$-409]#,##0"/>
    <numFmt numFmtId="173" formatCode="[$$-409]#,##0.00;\-[$$-409]#,##0.00"/>
    <numFmt numFmtId="174" formatCode="[$$-409]#,##0.00;[RED]\-[$$-409]#,##0.00"/>
    <numFmt numFmtId="175" formatCode="[$$-409]#,##0;[RED]\-[$$-409]#,##0"/>
  </numFmts>
  <fonts count="2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b val="true"/>
      <sz val="10"/>
      <name val="Arial"/>
      <family val="2"/>
      <charset val="1"/>
    </font>
    <font>
      <b val="true"/>
      <sz val="10"/>
      <name val="arial"/>
      <family val="2"/>
      <charset val="1"/>
    </font>
    <font>
      <b val="true"/>
      <sz val="10"/>
      <name val="Arial"/>
      <family val="2"/>
    </font>
    <font>
      <sz val="10"/>
      <color rgb="FF0000FF"/>
      <name val="Arial"/>
      <family val="2"/>
      <charset val="1"/>
    </font>
    <font>
      <sz val="10"/>
      <name val="Times New Roman"/>
      <family val="1"/>
      <charset val="1"/>
    </font>
    <font>
      <b val="true"/>
      <sz val="10"/>
      <name val="Times New Roman"/>
      <family val="1"/>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4">
    <fill>
      <patternFill patternType="none"/>
    </fill>
    <fill>
      <patternFill patternType="gray125"/>
    </fill>
    <fill>
      <patternFill patternType="solid">
        <fgColor rgb="FF333300"/>
        <bgColor rgb="FF333333"/>
      </patternFill>
    </fill>
    <fill>
      <patternFill patternType="solid">
        <fgColor rgb="FFFFCC00"/>
        <bgColor rgb="FFFFD32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right" vertical="bottom" textRotation="0" wrapText="true" indent="0" shrinkToFit="false"/>
      <protection locked="true" hidden="false"/>
    </xf>
    <xf numFmtId="170" fontId="6" fillId="0" borderId="0" xfId="0" applyFont="true" applyBorder="false" applyAlignment="true" applyProtection="true">
      <alignment horizontal="center" vertical="bottom" textRotation="0" wrapText="true" indent="0" shrinkToFit="false"/>
      <protection locked="true" hidden="false"/>
    </xf>
    <xf numFmtId="171" fontId="6" fillId="0" borderId="0" xfId="0" applyFont="true" applyBorder="false" applyAlignment="true" applyProtection="true">
      <alignment horizontal="general" vertical="bottom" textRotation="0" wrapText="true" indent="0" shrinkToFit="false"/>
      <protection locked="true" hidden="false"/>
    </xf>
    <xf numFmtId="171" fontId="11" fillId="0" borderId="0" xfId="0" applyFont="true" applyBorder="false" applyAlignment="true" applyProtection="true">
      <alignment horizontal="general" vertical="bottom" textRotation="0" wrapText="true" indent="0" shrinkToFit="false"/>
      <protection locked="true" hidden="false"/>
    </xf>
    <xf numFmtId="171" fontId="6" fillId="0" borderId="0" xfId="0" applyFont="true" applyBorder="false" applyAlignment="true" applyProtection="true">
      <alignment horizontal="center" vertical="bottom" textRotation="0" wrapText="true" indent="0" shrinkToFit="false"/>
      <protection locked="true" hidden="false"/>
    </xf>
    <xf numFmtId="172" fontId="6" fillId="0" borderId="0" xfId="0" applyFont="true" applyBorder="false" applyAlignment="true" applyProtection="true">
      <alignment horizontal="center" vertical="bottom" textRotation="0" wrapText="true" indent="0" shrinkToFit="false"/>
      <protection locked="true" hidden="false"/>
    </xf>
    <xf numFmtId="173" fontId="6" fillId="0" borderId="0" xfId="0" applyFont="true" applyBorder="false" applyAlignment="true" applyProtection="true">
      <alignment horizontal="center"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74" fontId="6"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75" fontId="6" fillId="0" borderId="0" xfId="0" applyFont="true" applyBorder="false" applyAlignment="true" applyProtection="true">
      <alignment horizontal="center" vertical="bottom" textRotation="0" wrapText="true" indent="0" shrinkToFit="false"/>
      <protection locked="true" hidden="false"/>
    </xf>
    <xf numFmtId="175" fontId="0" fillId="0" borderId="0" xfId="0" applyFont="true" applyBorder="false" applyAlignment="true" applyProtection="true">
      <alignment horizontal="center" vertical="bottom" textRotation="0" wrapText="true" indent="0" shrinkToFit="false"/>
      <protection locked="true" hidden="false"/>
    </xf>
    <xf numFmtId="172"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3838"/>
      <rgbColor rgb="FF00FF00"/>
      <rgbColor rgb="FF0000FF"/>
      <rgbColor rgb="FFE6E905"/>
      <rgbColor rgb="FFFF00FF"/>
      <rgbColor rgb="FF00FFFF"/>
      <rgbColor rgb="FF800000"/>
      <rgbColor rgb="FF008000"/>
      <rgbColor rgb="FF000080"/>
      <rgbColor rgb="FF579D1C"/>
      <rgbColor rgb="FF800080"/>
      <rgbColor rgb="FF008080"/>
      <rgbColor rgb="FFC0C0C0"/>
      <rgbColor rgb="FF666666"/>
      <rgbColor rgb="FF9999FF"/>
      <rgbColor rgb="FF8D1D75"/>
      <rgbColor rgb="FFFFFFCC"/>
      <rgbColor rgb="FFCCFFFF"/>
      <rgbColor rgb="FF660066"/>
      <rgbColor rgb="FFFF5429"/>
      <rgbColor rgb="FF0066CC"/>
      <rgbColor rgb="FFCCCCCC"/>
      <rgbColor rgb="FF000080"/>
      <rgbColor rgb="FFFF00FF"/>
      <rgbColor rgb="FFFFD320"/>
      <rgbColor rgb="FF00FFFF"/>
      <rgbColor rgb="FF800080"/>
      <rgbColor rgb="FF800000"/>
      <rgbColor rgb="FF008080"/>
      <rgbColor rgb="FF0000FF"/>
      <rgbColor rgb="FF00CCFF"/>
      <rgbColor rgb="FFCCFFFF"/>
      <rgbColor rgb="FFCCFFCC"/>
      <rgbColor rgb="FFFFFF99"/>
      <rgbColor rgb="FFB3B3B3"/>
      <rgbColor rgb="FFFF99CC"/>
      <rgbColor rgb="FFCC99FF"/>
      <rgbColor rgb="FFFFCC99"/>
      <rgbColor rgb="FF5983B0"/>
      <rgbColor rgb="FF3FAF46"/>
      <rgbColor rgb="FFBBE33D"/>
      <rgbColor rgb="FFFFCC00"/>
      <rgbColor rgb="FFE8A202"/>
      <rgbColor rgb="FFEA7500"/>
      <rgbColor rgb="FF6B5E9B"/>
      <rgbColor rgb="FF999999"/>
      <rgbColor rgb="FF004586"/>
      <rgbColor rgb="FF50938A"/>
      <rgbColor rgb="FF003300"/>
      <rgbColor rgb="FF333300"/>
      <rgbColor rgb="FFFF420E"/>
      <rgbColor rgb="FFD62E4E"/>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6663646034435"/>
          <c:y val="0.0107826001329362"/>
        </c:manualLayout>
      </c:layout>
      <c:overlay val="0"/>
      <c:spPr>
        <a:noFill/>
        <a:ln w="0">
          <a:noFill/>
        </a:ln>
      </c:spPr>
    </c:title>
    <c:autoTitleDeleted val="0"/>
    <c:plotArea>
      <c:layout>
        <c:manualLayout>
          <c:layoutTarget val="inner"/>
          <c:xMode val="edge"/>
          <c:yMode val="edge"/>
          <c:x val="0.299672983727986"/>
          <c:y val="0.0468723074271928"/>
          <c:w val="0.521768251841929"/>
          <c:h val="0.874670736811009"/>
        </c:manualLayout>
      </c:layout>
      <c:barChart>
        <c:barDir val="bar"/>
        <c:grouping val="clustered"/>
        <c:varyColors val="0"/>
        <c:ser>
          <c:idx val="0"/>
          <c:order val="0"/>
          <c:tx>
            <c:strRef>
              <c:f>'LSD.RID.0.AL.LFP'!$C$2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'LSD.RID.0.AL.LFP'!$C$4:$C$37</c:f>
              <c:numCache>
                <c:formatCode>General</c:formatCode>
                <c:ptCount val="34"/>
                <c:pt idx="0">
                  <c:v>30000</c:v>
                </c:pt>
                <c:pt idx="1">
                  <c:v>15000</c:v>
                </c:pt>
                <c:pt idx="2">
                  <c:v>95000</c:v>
                </c:pt>
                <c:pt idx="3">
                  <c:v>47500</c:v>
                </c:pt>
                <c:pt idx="4">
                  <c:v>240000</c:v>
                </c:pt>
                <c:pt idx="5">
                  <c:v>120000</c:v>
                </c:pt>
                <c:pt idx="6">
                  <c:v>65000</c:v>
                </c:pt>
                <c:pt idx="7">
                  <c:v>32500</c:v>
                </c:pt>
                <c:pt idx="8">
                  <c:v>270000</c:v>
                </c:pt>
                <c:pt idx="9">
                  <c:v>135000</c:v>
                </c:pt>
                <c:pt idx="10">
                  <c:v>90000</c:v>
                </c:pt>
                <c:pt idx="11">
                  <c:v>45000</c:v>
                </c:pt>
                <c:pt idx="12">
                  <c:v>320000</c:v>
                </c:pt>
                <c:pt idx="13">
                  <c:v>160000</c:v>
                </c:pt>
                <c:pt idx="14">
                  <c:v>55000</c:v>
                </c:pt>
                <c:pt idx="15">
                  <c:v>27500</c:v>
                </c:pt>
                <c:pt idx="16">
                  <c:v>45000</c:v>
                </c:pt>
                <c:pt idx="17">
                  <c:v>22500</c:v>
                </c:pt>
                <c:pt idx="18">
                  <c:v>320000</c:v>
                </c:pt>
                <c:pt idx="19">
                  <c:v>160000</c:v>
                </c:pt>
                <c:pt idx="20">
                  <c:v>220000</c:v>
                </c:pt>
                <c:pt idx="21">
                  <c:v>110000</c:v>
                </c:pt>
                <c:pt idx="22">
                  <c:v>140000</c:v>
                </c:pt>
                <c:pt idx="23">
                  <c:v>70000</c:v>
                </c:pt>
                <c:pt idx="24">
                  <c:v>100000</c:v>
                </c:pt>
                <c:pt idx="25">
                  <c:v>50000</c:v>
                </c:pt>
                <c:pt idx="26">
                  <c:v>30000</c:v>
                </c:pt>
                <c:pt idx="27">
                  <c:v>15000</c:v>
                </c:pt>
                <c:pt idx="28">
                  <c:v>400000</c:v>
                </c:pt>
                <c:pt idx="29">
                  <c:v>200000</c:v>
                </c:pt>
                <c:pt idx="30">
                  <c:v>180000</c:v>
                </c:pt>
                <c:pt idx="31">
                  <c:v>90000</c:v>
                </c:pt>
                <c:pt idx="32">
                  <c:v>110000</c:v>
                </c:pt>
                <c:pt idx="33">
                  <c:v>55000</c:v>
                </c:pt>
              </c:numCache>
            </c:numRef>
          </c:val>
        </c:ser>
        <c:ser>
          <c:idx val="1"/>
          <c:order val="1"/>
          <c:tx>
            <c:strRef>
              <c:f>'LSD.RID.0.AL.LFP'!$D$2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'LSD.RID.0.AL.LFP'!$D$4:$D$37</c:f>
              <c:numCache>
                <c:formatCode>General</c:formatCode>
                <c:ptCount val="34"/>
                <c:pt idx="0">
                  <c:v>1020</c:v>
                </c:pt>
                <c:pt idx="1">
                  <c:v>510</c:v>
                </c:pt>
                <c:pt idx="2">
                  <c:v>3230</c:v>
                </c:pt>
                <c:pt idx="3">
                  <c:v>1615</c:v>
                </c:pt>
                <c:pt idx="4">
                  <c:v>8160</c:v>
                </c:pt>
                <c:pt idx="5">
                  <c:v>4080</c:v>
                </c:pt>
                <c:pt idx="6">
                  <c:v>2210</c:v>
                </c:pt>
                <c:pt idx="7">
                  <c:v>1105</c:v>
                </c:pt>
                <c:pt idx="8">
                  <c:v>9180</c:v>
                </c:pt>
                <c:pt idx="9">
                  <c:v>4590</c:v>
                </c:pt>
                <c:pt idx="10">
                  <c:v>3060</c:v>
                </c:pt>
                <c:pt idx="11">
                  <c:v>1530</c:v>
                </c:pt>
                <c:pt idx="12">
                  <c:v>10880</c:v>
                </c:pt>
                <c:pt idx="13">
                  <c:v>5440</c:v>
                </c:pt>
                <c:pt idx="14">
                  <c:v>1870</c:v>
                </c:pt>
                <c:pt idx="15">
                  <c:v>935</c:v>
                </c:pt>
                <c:pt idx="16">
                  <c:v>1530</c:v>
                </c:pt>
                <c:pt idx="17">
                  <c:v>765</c:v>
                </c:pt>
                <c:pt idx="18">
                  <c:v>10880</c:v>
                </c:pt>
                <c:pt idx="19">
                  <c:v>5440</c:v>
                </c:pt>
                <c:pt idx="20">
                  <c:v>7480</c:v>
                </c:pt>
                <c:pt idx="21">
                  <c:v>3740</c:v>
                </c:pt>
                <c:pt idx="22">
                  <c:v>4760</c:v>
                </c:pt>
                <c:pt idx="23">
                  <c:v>2380</c:v>
                </c:pt>
                <c:pt idx="24">
                  <c:v>3400</c:v>
                </c:pt>
                <c:pt idx="25">
                  <c:v>1700</c:v>
                </c:pt>
                <c:pt idx="26">
                  <c:v>1020</c:v>
                </c:pt>
                <c:pt idx="27">
                  <c:v>510</c:v>
                </c:pt>
                <c:pt idx="28">
                  <c:v>13600</c:v>
                </c:pt>
                <c:pt idx="29">
                  <c:v>6800</c:v>
                </c:pt>
                <c:pt idx="30">
                  <c:v>6120</c:v>
                </c:pt>
                <c:pt idx="31">
                  <c:v>3060</c:v>
                </c:pt>
                <c:pt idx="32">
                  <c:v>3740</c:v>
                </c:pt>
                <c:pt idx="33">
                  <c:v>1870</c:v>
                </c:pt>
              </c:numCache>
            </c:numRef>
          </c:val>
        </c:ser>
        <c:ser>
          <c:idx val="2"/>
          <c:order val="2"/>
          <c:tx>
            <c:strRef>
              <c:f>'LSD.RID.0.AL.LFP'!$E$2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'LSD.RID.0.AL.LFP'!$E$4:$E$37</c:f>
              <c:numCache>
                <c:formatCode>General</c:formatCode>
                <c:ptCount val="34"/>
                <c:pt idx="0">
                  <c:v>540</c:v>
                </c:pt>
                <c:pt idx="1">
                  <c:v>270</c:v>
                </c:pt>
                <c:pt idx="2">
                  <c:v>1710</c:v>
                </c:pt>
                <c:pt idx="3">
                  <c:v>855</c:v>
                </c:pt>
                <c:pt idx="4">
                  <c:v>4320</c:v>
                </c:pt>
                <c:pt idx="5">
                  <c:v>2160</c:v>
                </c:pt>
                <c:pt idx="6">
                  <c:v>1170</c:v>
                </c:pt>
                <c:pt idx="7">
                  <c:v>585</c:v>
                </c:pt>
                <c:pt idx="8">
                  <c:v>4860</c:v>
                </c:pt>
                <c:pt idx="9">
                  <c:v>2430</c:v>
                </c:pt>
                <c:pt idx="10">
                  <c:v>1620</c:v>
                </c:pt>
                <c:pt idx="11">
                  <c:v>810</c:v>
                </c:pt>
                <c:pt idx="12">
                  <c:v>5760</c:v>
                </c:pt>
                <c:pt idx="13">
                  <c:v>2880</c:v>
                </c:pt>
                <c:pt idx="14">
                  <c:v>990</c:v>
                </c:pt>
                <c:pt idx="15">
                  <c:v>495</c:v>
                </c:pt>
                <c:pt idx="16">
                  <c:v>810</c:v>
                </c:pt>
                <c:pt idx="17">
                  <c:v>405</c:v>
                </c:pt>
                <c:pt idx="18">
                  <c:v>5760</c:v>
                </c:pt>
                <c:pt idx="19">
                  <c:v>2880</c:v>
                </c:pt>
                <c:pt idx="20">
                  <c:v>3960</c:v>
                </c:pt>
                <c:pt idx="21">
                  <c:v>1980</c:v>
                </c:pt>
                <c:pt idx="22">
                  <c:v>2520</c:v>
                </c:pt>
                <c:pt idx="23">
                  <c:v>1260</c:v>
                </c:pt>
                <c:pt idx="24">
                  <c:v>1800</c:v>
                </c:pt>
                <c:pt idx="25">
                  <c:v>900</c:v>
                </c:pt>
                <c:pt idx="26">
                  <c:v>540</c:v>
                </c:pt>
                <c:pt idx="27">
                  <c:v>270</c:v>
                </c:pt>
                <c:pt idx="28">
                  <c:v>7200</c:v>
                </c:pt>
                <c:pt idx="29">
                  <c:v>3600</c:v>
                </c:pt>
                <c:pt idx="30">
                  <c:v>3240</c:v>
                </c:pt>
                <c:pt idx="31">
                  <c:v>1620</c:v>
                </c:pt>
                <c:pt idx="32">
                  <c:v>1980</c:v>
                </c:pt>
                <c:pt idx="33">
                  <c:v>990</c:v>
                </c:pt>
              </c:numCache>
            </c:numRef>
          </c:val>
        </c:ser>
        <c:ser>
          <c:idx val="3"/>
          <c:order val="3"/>
          <c:tx>
            <c:strRef>
              <c:f>'LSD.RID.0.AL.LFP'!$F$2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'LSD.RID.0.AL.LFP'!$F$4:$F$37</c:f>
              <c:numCache>
                <c:formatCode>General</c:formatCode>
                <c:ptCount val="34"/>
                <c:pt idx="0">
                  <c:v>28440</c:v>
                </c:pt>
                <c:pt idx="1">
                  <c:v>14220</c:v>
                </c:pt>
                <c:pt idx="2">
                  <c:v>90060</c:v>
                </c:pt>
                <c:pt idx="3">
                  <c:v>45030</c:v>
                </c:pt>
                <c:pt idx="4">
                  <c:v>227520</c:v>
                </c:pt>
                <c:pt idx="5">
                  <c:v>113760</c:v>
                </c:pt>
                <c:pt idx="6">
                  <c:v>61620</c:v>
                </c:pt>
                <c:pt idx="7">
                  <c:v>30810</c:v>
                </c:pt>
                <c:pt idx="8">
                  <c:v>255960</c:v>
                </c:pt>
                <c:pt idx="9">
                  <c:v>127980</c:v>
                </c:pt>
                <c:pt idx="10">
                  <c:v>85320</c:v>
                </c:pt>
                <c:pt idx="11">
                  <c:v>42660</c:v>
                </c:pt>
                <c:pt idx="12">
                  <c:v>303360</c:v>
                </c:pt>
                <c:pt idx="13">
                  <c:v>151680</c:v>
                </c:pt>
                <c:pt idx="14">
                  <c:v>52140</c:v>
                </c:pt>
                <c:pt idx="15">
                  <c:v>26070</c:v>
                </c:pt>
                <c:pt idx="16">
                  <c:v>42660</c:v>
                </c:pt>
                <c:pt idx="17">
                  <c:v>21330</c:v>
                </c:pt>
                <c:pt idx="18">
                  <c:v>303360</c:v>
                </c:pt>
                <c:pt idx="19">
                  <c:v>151680</c:v>
                </c:pt>
                <c:pt idx="20">
                  <c:v>208560</c:v>
                </c:pt>
                <c:pt idx="21">
                  <c:v>104280</c:v>
                </c:pt>
                <c:pt idx="22">
                  <c:v>127720</c:v>
                </c:pt>
                <c:pt idx="23">
                  <c:v>63860</c:v>
                </c:pt>
                <c:pt idx="24">
                  <c:v>94800</c:v>
                </c:pt>
                <c:pt idx="25">
                  <c:v>47400</c:v>
                </c:pt>
                <c:pt idx="26">
                  <c:v>28440</c:v>
                </c:pt>
                <c:pt idx="27">
                  <c:v>14220</c:v>
                </c:pt>
                <c:pt idx="28">
                  <c:v>379200</c:v>
                </c:pt>
                <c:pt idx="29">
                  <c:v>189600</c:v>
                </c:pt>
                <c:pt idx="30">
                  <c:v>170640</c:v>
                </c:pt>
                <c:pt idx="31">
                  <c:v>85320</c:v>
                </c:pt>
                <c:pt idx="32">
                  <c:v>104280</c:v>
                </c:pt>
                <c:pt idx="33">
                  <c:v>52140</c:v>
                </c:pt>
              </c:numCache>
            </c:numRef>
          </c:val>
        </c:ser>
        <c:gapWidth val="100"/>
        <c:overlap val="0"/>
        <c:axId val="27153842"/>
        <c:axId val="93432379"/>
      </c:barChart>
      <c:catAx>
        <c:axId val="2715384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98870042588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432379"/>
        <c:crossesAt val="0"/>
        <c:auto val="1"/>
        <c:lblAlgn val="ctr"/>
        <c:lblOffset val="100"/>
        <c:noMultiLvlLbl val="0"/>
      </c:catAx>
      <c:valAx>
        <c:axId val="9343237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1031086245617"/>
              <c:y val="0.969818566751188"/>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153842"/>
        <c:crosses val="max"/>
        <c:crossBetween val="midCat"/>
        <c:majorUnit val="10000"/>
      </c:valAx>
      <c:spPr>
        <a:noFill/>
        <a:ln w="0">
          <a:solidFill>
            <a:srgbClr val="b3b3b3"/>
          </a:solidFill>
        </a:ln>
      </c:spPr>
    </c:plotArea>
    <c:legend>
      <c:legendPos val="r"/>
      <c:layout>
        <c:manualLayout>
          <c:xMode val="edge"/>
          <c:yMode val="edge"/>
          <c:x val="0.854790419161677"/>
          <c:y val="0.0768757384797164"/>
          <c:w val="0.119804593625655"/>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672063979829"/>
          <c:y val="0.0107826001329362"/>
        </c:manualLayout>
      </c:layout>
      <c:overlay val="0"/>
      <c:spPr>
        <a:noFill/>
        <a:ln w="0">
          <a:noFill/>
        </a:ln>
      </c:spPr>
    </c:title>
    <c:autoTitleDeleted val="0"/>
    <c:plotArea>
      <c:layout>
        <c:manualLayout>
          <c:layoutTarget val="inner"/>
          <c:xMode val="edge"/>
          <c:yMode val="edge"/>
          <c:x val="0.29968876807312"/>
          <c:y val="0.0468723074271928"/>
          <c:w val="0.470748138517906"/>
          <c:h val="0.874670736811009"/>
        </c:manualLayout>
      </c:layout>
      <c:barChart>
        <c:barDir val="bar"/>
        <c:grouping val="clustered"/>
        <c:varyColors val="0"/>
        <c:ser>
          <c:idx val="0"/>
          <c:order val="0"/>
          <c:tx>
            <c:strRef>
              <c:f>'LSD.RID.0.AL.ETPR'!$C$2</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'LSD.RID.0.AL.ETPR'!$C$4:$C$37</c:f>
              <c:numCache>
                <c:formatCode>0.00%</c:formatCode>
                <c:ptCount val="34"/>
                <c:pt idx="0">
                  <c:v>0.952</c:v>
                </c:pt>
                <c:pt idx="1">
                  <c:v>0.952</c:v>
                </c:pt>
                <c:pt idx="2">
                  <c:v>0.967</c:v>
                </c:pt>
                <c:pt idx="3">
                  <c:v>0.967</c:v>
                </c:pt>
                <c:pt idx="4">
                  <c:v>0.96</c:v>
                </c:pt>
                <c:pt idx="5">
                  <c:v>0.96</c:v>
                </c:pt>
                <c:pt idx="6">
                  <c:v>0.957</c:v>
                </c:pt>
                <c:pt idx="7">
                  <c:v>0.957</c:v>
                </c:pt>
                <c:pt idx="8">
                  <c:v>0.98</c:v>
                </c:pt>
                <c:pt idx="9">
                  <c:v>0.98</c:v>
                </c:pt>
                <c:pt idx="10">
                  <c:v>0.976</c:v>
                </c:pt>
                <c:pt idx="11">
                  <c:v>0.976</c:v>
                </c:pt>
                <c:pt idx="12">
                  <c:v>0.96</c:v>
                </c:pt>
                <c:pt idx="13">
                  <c:v>0.96</c:v>
                </c:pt>
                <c:pt idx="14">
                  <c:v>0.952</c:v>
                </c:pt>
                <c:pt idx="15">
                  <c:v>0.952</c:v>
                </c:pt>
                <c:pt idx="16">
                  <c:v>0.976</c:v>
                </c:pt>
                <c:pt idx="17">
                  <c:v>0.976</c:v>
                </c:pt>
                <c:pt idx="18">
                  <c:v>0.98</c:v>
                </c:pt>
                <c:pt idx="19">
                  <c:v>0.98</c:v>
                </c:pt>
                <c:pt idx="20">
                  <c:v>0.98</c:v>
                </c:pt>
                <c:pt idx="21">
                  <c:v>0.98</c:v>
                </c:pt>
                <c:pt idx="22">
                  <c:v>0.98</c:v>
                </c:pt>
                <c:pt idx="23">
                  <c:v>0.98</c:v>
                </c:pt>
                <c:pt idx="24">
                  <c:v>0.98</c:v>
                </c:pt>
                <c:pt idx="25">
                  <c:v>0.98</c:v>
                </c:pt>
                <c:pt idx="26">
                  <c:v>0.98</c:v>
                </c:pt>
                <c:pt idx="27">
                  <c:v>0.98</c:v>
                </c:pt>
                <c:pt idx="28">
                  <c:v>0.98</c:v>
                </c:pt>
                <c:pt idx="29">
                  <c:v>0.98</c:v>
                </c:pt>
                <c:pt idx="30">
                  <c:v>0.965</c:v>
                </c:pt>
                <c:pt idx="31">
                  <c:v>0.965</c:v>
                </c:pt>
                <c:pt idx="32">
                  <c:v>0.96</c:v>
                </c:pt>
                <c:pt idx="33">
                  <c:v>0.96</c:v>
                </c:pt>
              </c:numCache>
            </c:numRef>
          </c:val>
        </c:ser>
        <c:ser>
          <c:idx val="1"/>
          <c:order val="1"/>
          <c:tx>
            <c:strRef>
              <c:f>'LSD.RID.0.AL.ETPR'!$D$2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'LSD.RID.0.AL.ETPR'!$D$4:$D$37</c:f>
              <c:numCache>
                <c:formatCode>0.00%</c:formatCode>
                <c:ptCount val="34"/>
                <c:pt idx="0">
                  <c:v>0.93</c:v>
                </c:pt>
                <c:pt idx="1">
                  <c:v>0.93</c:v>
                </c:pt>
                <c:pt idx="2">
                  <c:v>0.94</c:v>
                </c:pt>
                <c:pt idx="3">
                  <c:v>0.94</c:v>
                </c:pt>
                <c:pt idx="4">
                  <c:v>0.93</c:v>
                </c:pt>
                <c:pt idx="5">
                  <c:v>0.93</c:v>
                </c:pt>
                <c:pt idx="6">
                  <c:v>0.92</c:v>
                </c:pt>
                <c:pt idx="7">
                  <c:v>0.92</c:v>
                </c:pt>
                <c:pt idx="8">
                  <c:v>0.96</c:v>
                </c:pt>
                <c:pt idx="9">
                  <c:v>0.96</c:v>
                </c:pt>
                <c:pt idx="10">
                  <c:v>0.95</c:v>
                </c:pt>
                <c:pt idx="11">
                  <c:v>0.95</c:v>
                </c:pt>
                <c:pt idx="12">
                  <c:v>0.93</c:v>
                </c:pt>
                <c:pt idx="13">
                  <c:v>0.93</c:v>
                </c:pt>
                <c:pt idx="14">
                  <c:v>0.93</c:v>
                </c:pt>
                <c:pt idx="15">
                  <c:v>0.93</c:v>
                </c:pt>
                <c:pt idx="16">
                  <c:v>0.95</c:v>
                </c:pt>
                <c:pt idx="17">
                  <c:v>0.95</c:v>
                </c:pt>
                <c:pt idx="18">
                  <c:v>0.96</c:v>
                </c:pt>
                <c:pt idx="19">
                  <c:v>0.96</c:v>
                </c:pt>
                <c:pt idx="20">
                  <c:v>0.96</c:v>
                </c:pt>
                <c:pt idx="21">
                  <c:v>0.96</c:v>
                </c:pt>
                <c:pt idx="22">
                  <c:v>0.96</c:v>
                </c:pt>
                <c:pt idx="23">
                  <c:v>0.96</c:v>
                </c:pt>
                <c:pt idx="24">
                  <c:v>0.96</c:v>
                </c:pt>
                <c:pt idx="25">
                  <c:v>0.96</c:v>
                </c:pt>
                <c:pt idx="26">
                  <c:v>0.96</c:v>
                </c:pt>
                <c:pt idx="27">
                  <c:v>0.96</c:v>
                </c:pt>
                <c:pt idx="28">
                  <c:v>0.96</c:v>
                </c:pt>
                <c:pt idx="29">
                  <c:v>0.96</c:v>
                </c:pt>
                <c:pt idx="30">
                  <c:v>0.955</c:v>
                </c:pt>
                <c:pt idx="31">
                  <c:v>0.955</c:v>
                </c:pt>
                <c:pt idx="32">
                  <c:v>0.93</c:v>
                </c:pt>
                <c:pt idx="33">
                  <c:v>0.93</c:v>
                </c:pt>
              </c:numCache>
            </c:numRef>
          </c:val>
        </c:ser>
        <c:ser>
          <c:idx val="2"/>
          <c:order val="2"/>
          <c:tx>
            <c:strRef>
              <c:f>'LSD.RID.0.AL.ETPR'!$E$2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'LSD.RID.0.AL.ETPR'!$E$4:$E$37</c:f>
              <c:numCache>
                <c:formatCode>0.00%</c:formatCode>
                <c:ptCount val="34"/>
                <c:pt idx="0">
                  <c:v>0.89</c:v>
                </c:pt>
                <c:pt idx="1">
                  <c:v>0.89</c:v>
                </c:pt>
                <c:pt idx="2">
                  <c:v>0.9</c:v>
                </c:pt>
                <c:pt idx="3">
                  <c:v>0.9</c:v>
                </c:pt>
                <c:pt idx="4">
                  <c:v>0.88</c:v>
                </c:pt>
                <c:pt idx="5">
                  <c:v>0.88</c:v>
                </c:pt>
                <c:pt idx="6">
                  <c:v>0.87</c:v>
                </c:pt>
                <c:pt idx="7">
                  <c:v>0.87</c:v>
                </c:pt>
                <c:pt idx="8">
                  <c:v>0.93</c:v>
                </c:pt>
                <c:pt idx="9">
                  <c:v>0.93</c:v>
                </c:pt>
                <c:pt idx="10">
                  <c:v>0.92</c:v>
                </c:pt>
                <c:pt idx="11">
                  <c:v>0.92</c:v>
                </c:pt>
                <c:pt idx="12">
                  <c:v>0.88</c:v>
                </c:pt>
                <c:pt idx="13">
                  <c:v>0.88</c:v>
                </c:pt>
                <c:pt idx="14">
                  <c:v>0.89</c:v>
                </c:pt>
                <c:pt idx="15">
                  <c:v>0.89</c:v>
                </c:pt>
                <c:pt idx="16">
                  <c:v>0.92</c:v>
                </c:pt>
                <c:pt idx="17">
                  <c:v>0.92</c:v>
                </c:pt>
                <c:pt idx="18">
                  <c:v>0.93</c:v>
                </c:pt>
                <c:pt idx="19">
                  <c:v>0.93</c:v>
                </c:pt>
                <c:pt idx="20">
                  <c:v>0.93</c:v>
                </c:pt>
                <c:pt idx="21">
                  <c:v>0.93</c:v>
                </c:pt>
                <c:pt idx="22">
                  <c:v>0.93</c:v>
                </c:pt>
                <c:pt idx="23">
                  <c:v>0.93</c:v>
                </c:pt>
                <c:pt idx="24">
                  <c:v>0.93</c:v>
                </c:pt>
                <c:pt idx="25">
                  <c:v>0.93</c:v>
                </c:pt>
                <c:pt idx="26">
                  <c:v>0.93</c:v>
                </c:pt>
                <c:pt idx="27">
                  <c:v>0.93</c:v>
                </c:pt>
                <c:pt idx="28">
                  <c:v>0.93</c:v>
                </c:pt>
                <c:pt idx="29">
                  <c:v>0.93</c:v>
                </c:pt>
                <c:pt idx="30">
                  <c:v>0.94</c:v>
                </c:pt>
                <c:pt idx="31">
                  <c:v>0.94</c:v>
                </c:pt>
                <c:pt idx="32">
                  <c:v>0.88</c:v>
                </c:pt>
                <c:pt idx="33">
                  <c:v>0.88</c:v>
                </c:pt>
              </c:numCache>
            </c:numRef>
          </c:val>
        </c:ser>
        <c:ser>
          <c:idx val="3"/>
          <c:order val="3"/>
          <c:tx>
            <c:strRef>
              <c:f>'LSD.RID.0.AL.ETPR'!$F$2</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'LSD.RID.0.AL.ETPR'!$F$4:$F$37</c:f>
              <c:numCache>
                <c:formatCode>0.00%</c:formatCode>
                <c:ptCount val="34"/>
                <c:pt idx="0">
                  <c:v>0.955</c:v>
                </c:pt>
                <c:pt idx="1">
                  <c:v>0.955</c:v>
                </c:pt>
                <c:pt idx="2">
                  <c:v>0.97</c:v>
                </c:pt>
                <c:pt idx="3">
                  <c:v>0.97</c:v>
                </c:pt>
                <c:pt idx="4">
                  <c:v>0.963</c:v>
                </c:pt>
                <c:pt idx="5">
                  <c:v>0.963</c:v>
                </c:pt>
                <c:pt idx="6">
                  <c:v>0.96</c:v>
                </c:pt>
                <c:pt idx="7">
                  <c:v>0.96</c:v>
                </c:pt>
                <c:pt idx="8">
                  <c:v>0.982</c:v>
                </c:pt>
                <c:pt idx="9">
                  <c:v>0.982</c:v>
                </c:pt>
                <c:pt idx="10">
                  <c:v>0.978</c:v>
                </c:pt>
                <c:pt idx="11">
                  <c:v>0.978</c:v>
                </c:pt>
                <c:pt idx="12">
                  <c:v>0.963</c:v>
                </c:pt>
                <c:pt idx="13">
                  <c:v>0.963</c:v>
                </c:pt>
                <c:pt idx="14">
                  <c:v>0.955</c:v>
                </c:pt>
                <c:pt idx="15">
                  <c:v>0.955</c:v>
                </c:pt>
                <c:pt idx="16">
                  <c:v>0.978</c:v>
                </c:pt>
                <c:pt idx="17">
                  <c:v>0.978</c:v>
                </c:pt>
                <c:pt idx="18">
                  <c:v>0.982</c:v>
                </c:pt>
                <c:pt idx="19">
                  <c:v>0.982</c:v>
                </c:pt>
                <c:pt idx="20">
                  <c:v>0.982</c:v>
                </c:pt>
                <c:pt idx="21">
                  <c:v>0.982</c:v>
                </c:pt>
                <c:pt idx="22">
                  <c:v>0.982</c:v>
                </c:pt>
                <c:pt idx="23">
                  <c:v>0.982</c:v>
                </c:pt>
                <c:pt idx="24">
                  <c:v>0.982</c:v>
                </c:pt>
                <c:pt idx="25">
                  <c:v>0.982</c:v>
                </c:pt>
                <c:pt idx="26">
                  <c:v>0.982</c:v>
                </c:pt>
                <c:pt idx="27">
                  <c:v>0.982</c:v>
                </c:pt>
                <c:pt idx="28">
                  <c:v>0.982</c:v>
                </c:pt>
                <c:pt idx="29">
                  <c:v>0.982</c:v>
                </c:pt>
                <c:pt idx="30">
                  <c:v>0.965</c:v>
                </c:pt>
                <c:pt idx="31">
                  <c:v>0.965</c:v>
                </c:pt>
                <c:pt idx="32">
                  <c:v>0.963</c:v>
                </c:pt>
                <c:pt idx="33">
                  <c:v>0.963</c:v>
                </c:pt>
              </c:numCache>
            </c:numRef>
          </c:val>
        </c:ser>
        <c:gapWidth val="100"/>
        <c:overlap val="0"/>
        <c:axId val="4827174"/>
        <c:axId val="73024039"/>
      </c:barChart>
      <c:catAx>
        <c:axId val="482717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408028995785"/>
              <c:y val="0.47886561138327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024039"/>
        <c:crosses val="autoZero"/>
        <c:auto val="1"/>
        <c:lblAlgn val="ctr"/>
        <c:lblOffset val="100"/>
        <c:noMultiLvlLbl val="0"/>
      </c:catAx>
      <c:valAx>
        <c:axId val="7302403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1982035220423"/>
              <c:y val="0.96981856675118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27174"/>
        <c:crosses val="max"/>
        <c:crossBetween val="midCat"/>
        <c:majorUnit val="0.01"/>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556715653442"/>
          <c:y val="0.0106595110903227"/>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'LSD.RID.0.AL.LFPR'!$C$2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'LSD.RID.0.AL.LFPR'!$C$4:$C$37</c:f>
              <c:numCache>
                <c:formatCode>0.00%</c:formatCode>
                <c:ptCount val="34"/>
                <c:pt idx="0">
                  <c:v>0.62</c:v>
                </c:pt>
                <c:pt idx="1">
                  <c:v>0.589</c:v>
                </c:pt>
                <c:pt idx="2">
                  <c:v>0.61</c:v>
                </c:pt>
                <c:pt idx="3">
                  <c:v>0.579</c:v>
                </c:pt>
                <c:pt idx="4">
                  <c:v>0.58</c:v>
                </c:pt>
                <c:pt idx="5">
                  <c:v>0.551</c:v>
                </c:pt>
                <c:pt idx="6">
                  <c:v>0.595</c:v>
                </c:pt>
                <c:pt idx="7">
                  <c:v>0.565</c:v>
                </c:pt>
                <c:pt idx="8">
                  <c:v>0.605</c:v>
                </c:pt>
                <c:pt idx="9">
                  <c:v>0.575</c:v>
                </c:pt>
                <c:pt idx="10">
                  <c:v>0.6</c:v>
                </c:pt>
                <c:pt idx="11">
                  <c:v>0.57</c:v>
                </c:pt>
                <c:pt idx="12">
                  <c:v>0.58</c:v>
                </c:pt>
                <c:pt idx="13">
                  <c:v>0.551</c:v>
                </c:pt>
                <c:pt idx="14">
                  <c:v>0.62</c:v>
                </c:pt>
                <c:pt idx="15">
                  <c:v>0.589</c:v>
                </c:pt>
                <c:pt idx="16">
                  <c:v>0.6</c:v>
                </c:pt>
                <c:pt idx="17">
                  <c:v>0.57</c:v>
                </c:pt>
                <c:pt idx="18">
                  <c:v>0.605</c:v>
                </c:pt>
                <c:pt idx="19">
                  <c:v>0.575</c:v>
                </c:pt>
                <c:pt idx="20">
                  <c:v>0.605</c:v>
                </c:pt>
                <c:pt idx="21">
                  <c:v>0.575</c:v>
                </c:pt>
                <c:pt idx="22">
                  <c:v>0.605</c:v>
                </c:pt>
                <c:pt idx="23">
                  <c:v>0.575</c:v>
                </c:pt>
                <c:pt idx="24">
                  <c:v>0.605</c:v>
                </c:pt>
                <c:pt idx="25">
                  <c:v>0.575</c:v>
                </c:pt>
                <c:pt idx="26">
                  <c:v>0.605</c:v>
                </c:pt>
                <c:pt idx="27">
                  <c:v>0.575</c:v>
                </c:pt>
                <c:pt idx="28">
                  <c:v>0.605</c:v>
                </c:pt>
                <c:pt idx="29">
                  <c:v>0.575</c:v>
                </c:pt>
                <c:pt idx="30">
                  <c:v>0.65</c:v>
                </c:pt>
                <c:pt idx="31">
                  <c:v>0.552</c:v>
                </c:pt>
                <c:pt idx="32">
                  <c:v>0.58</c:v>
                </c:pt>
                <c:pt idx="33">
                  <c:v>0.551</c:v>
                </c:pt>
              </c:numCache>
            </c:numRef>
          </c:val>
        </c:ser>
        <c:ser>
          <c:idx val="1"/>
          <c:order val="1"/>
          <c:tx>
            <c:strRef>
              <c:f>'LSD.RID.0.AL.LFPR'!$D$2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'LSD.RID.0.AL.LFPR'!$D$4:$D$37</c:f>
              <c:numCache>
                <c:formatCode>0.00%</c:formatCode>
                <c:ptCount val="34"/>
                <c:pt idx="0">
                  <c:v>0.68</c:v>
                </c:pt>
                <c:pt idx="1">
                  <c:v>0.646</c:v>
                </c:pt>
                <c:pt idx="2">
                  <c:v>0.67</c:v>
                </c:pt>
                <c:pt idx="3">
                  <c:v>0.637</c:v>
                </c:pt>
                <c:pt idx="4">
                  <c:v>0.64</c:v>
                </c:pt>
                <c:pt idx="5">
                  <c:v>0.608</c:v>
                </c:pt>
                <c:pt idx="6">
                  <c:v>0.655</c:v>
                </c:pt>
                <c:pt idx="7">
                  <c:v>0.622</c:v>
                </c:pt>
                <c:pt idx="8">
                  <c:v>0.665</c:v>
                </c:pt>
                <c:pt idx="9">
                  <c:v>0.632</c:v>
                </c:pt>
                <c:pt idx="10">
                  <c:v>0.66</c:v>
                </c:pt>
                <c:pt idx="11">
                  <c:v>0.627</c:v>
                </c:pt>
                <c:pt idx="12">
                  <c:v>0.64</c:v>
                </c:pt>
                <c:pt idx="13">
                  <c:v>0.608</c:v>
                </c:pt>
                <c:pt idx="14">
                  <c:v>0.68</c:v>
                </c:pt>
                <c:pt idx="15">
                  <c:v>0.646</c:v>
                </c:pt>
                <c:pt idx="16">
                  <c:v>0.66</c:v>
                </c:pt>
                <c:pt idx="17">
                  <c:v>0.627</c:v>
                </c:pt>
                <c:pt idx="18">
                  <c:v>0.665</c:v>
                </c:pt>
                <c:pt idx="19">
                  <c:v>0.632</c:v>
                </c:pt>
                <c:pt idx="20">
                  <c:v>0.665</c:v>
                </c:pt>
                <c:pt idx="21">
                  <c:v>0.632</c:v>
                </c:pt>
                <c:pt idx="22">
                  <c:v>0.665</c:v>
                </c:pt>
                <c:pt idx="23">
                  <c:v>0.632</c:v>
                </c:pt>
                <c:pt idx="24">
                  <c:v>0.665</c:v>
                </c:pt>
                <c:pt idx="25">
                  <c:v>0.632</c:v>
                </c:pt>
                <c:pt idx="26">
                  <c:v>0.665</c:v>
                </c:pt>
                <c:pt idx="27">
                  <c:v>0.632</c:v>
                </c:pt>
                <c:pt idx="28">
                  <c:v>0.665</c:v>
                </c:pt>
                <c:pt idx="29">
                  <c:v>0.632</c:v>
                </c:pt>
                <c:pt idx="30">
                  <c:v>0.7</c:v>
                </c:pt>
                <c:pt idx="31">
                  <c:v>0.595</c:v>
                </c:pt>
                <c:pt idx="32">
                  <c:v>0.64</c:v>
                </c:pt>
                <c:pt idx="33">
                  <c:v>0.608</c:v>
                </c:pt>
              </c:numCache>
            </c:numRef>
          </c:val>
        </c:ser>
        <c:ser>
          <c:idx val="2"/>
          <c:order val="2"/>
          <c:tx>
            <c:strRef>
              <c:f>'LSD.RID.0.AL.LFPR'!$E$2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Pt>
            <c:idx val="3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30"/>
              <c:numFmt formatCode="0.00%" sourceLinked="0"/>
              <c:txPr>
                <a:bodyPr wrap="none"/>
                <a:lstStyle/>
                <a:p>
                  <a:pPr>
                    <a:defRPr sz="700" b="0" u="none" strike="noStrike">
                      <a:solidFill>
                        <a:srgbClr val="000000"/>
                      </a:solidFill>
                      <a:uFillTx/>
                      <a:latin typeface="Arial"/>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'LSD.RID.0.AL.LFPR'!$E$4:$E$37</c:f>
              <c:numCache>
                <c:formatCode>0.00%</c:formatCode>
                <c:ptCount val="34"/>
                <c:pt idx="0">
                  <c:v>0.78</c:v>
                </c:pt>
                <c:pt idx="1">
                  <c:v>0.741</c:v>
                </c:pt>
                <c:pt idx="2">
                  <c:v>0.76</c:v>
                </c:pt>
                <c:pt idx="3">
                  <c:v>0.722</c:v>
                </c:pt>
                <c:pt idx="4">
                  <c:v>0.71</c:v>
                </c:pt>
                <c:pt idx="5">
                  <c:v>0.674</c:v>
                </c:pt>
                <c:pt idx="6">
                  <c:v>0.74</c:v>
                </c:pt>
                <c:pt idx="7">
                  <c:v>0.703</c:v>
                </c:pt>
                <c:pt idx="8">
                  <c:v>0.74</c:v>
                </c:pt>
                <c:pt idx="9">
                  <c:v>0.703</c:v>
                </c:pt>
                <c:pt idx="10">
                  <c:v>0.75</c:v>
                </c:pt>
                <c:pt idx="11">
                  <c:v>0.712</c:v>
                </c:pt>
                <c:pt idx="12">
                  <c:v>0.71</c:v>
                </c:pt>
                <c:pt idx="13">
                  <c:v>0.674</c:v>
                </c:pt>
                <c:pt idx="14">
                  <c:v>0.78</c:v>
                </c:pt>
                <c:pt idx="15">
                  <c:v>0.741</c:v>
                </c:pt>
                <c:pt idx="16">
                  <c:v>0.75</c:v>
                </c:pt>
                <c:pt idx="17">
                  <c:v>0.712</c:v>
                </c:pt>
                <c:pt idx="18">
                  <c:v>0.74</c:v>
                </c:pt>
                <c:pt idx="19">
                  <c:v>0.703</c:v>
                </c:pt>
                <c:pt idx="20">
                  <c:v>0.74</c:v>
                </c:pt>
                <c:pt idx="21">
                  <c:v>0.703</c:v>
                </c:pt>
                <c:pt idx="22">
                  <c:v>0.74</c:v>
                </c:pt>
                <c:pt idx="23">
                  <c:v>0.703</c:v>
                </c:pt>
                <c:pt idx="24">
                  <c:v>0.74</c:v>
                </c:pt>
                <c:pt idx="25">
                  <c:v>0.703</c:v>
                </c:pt>
                <c:pt idx="26">
                  <c:v>0.74</c:v>
                </c:pt>
                <c:pt idx="27">
                  <c:v>0.703</c:v>
                </c:pt>
                <c:pt idx="28">
                  <c:v>0.74</c:v>
                </c:pt>
                <c:pt idx="29">
                  <c:v>0.703</c:v>
                </c:pt>
                <c:pt idx="30">
                  <c:v>0.75</c:v>
                </c:pt>
                <c:pt idx="31">
                  <c:v>0.637</c:v>
                </c:pt>
                <c:pt idx="32">
                  <c:v>0.71</c:v>
                </c:pt>
                <c:pt idx="33">
                  <c:v>0.674</c:v>
                </c:pt>
              </c:numCache>
            </c:numRef>
          </c:val>
        </c:ser>
        <c:ser>
          <c:idx val="3"/>
          <c:order val="3"/>
          <c:tx>
            <c:strRef>
              <c:f>'LSD.RID.0.AL.LFPR'!$F$2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'LSD.RID.0.AL.LFPR'!$F$4:$F$37</c:f>
              <c:numCache>
                <c:formatCode>0.00%</c:formatCode>
                <c:ptCount val="34"/>
                <c:pt idx="0">
                  <c:v>0.6</c:v>
                </c:pt>
                <c:pt idx="1">
                  <c:v>0.57</c:v>
                </c:pt>
                <c:pt idx="2">
                  <c:v>0.59</c:v>
                </c:pt>
                <c:pt idx="3">
                  <c:v>0.56</c:v>
                </c:pt>
                <c:pt idx="4">
                  <c:v>0.57</c:v>
                </c:pt>
                <c:pt idx="5">
                  <c:v>0.542</c:v>
                </c:pt>
                <c:pt idx="6">
                  <c:v>0.58</c:v>
                </c:pt>
                <c:pt idx="7">
                  <c:v>0.551</c:v>
                </c:pt>
                <c:pt idx="8">
                  <c:v>0.59</c:v>
                </c:pt>
                <c:pt idx="9">
                  <c:v>0.56</c:v>
                </c:pt>
                <c:pt idx="10">
                  <c:v>0.58</c:v>
                </c:pt>
                <c:pt idx="11">
                  <c:v>0.55</c:v>
                </c:pt>
                <c:pt idx="12">
                  <c:v>0.57</c:v>
                </c:pt>
                <c:pt idx="13">
                  <c:v>0.542</c:v>
                </c:pt>
                <c:pt idx="14">
                  <c:v>0.6</c:v>
                </c:pt>
                <c:pt idx="15">
                  <c:v>0.57</c:v>
                </c:pt>
                <c:pt idx="16">
                  <c:v>0.58</c:v>
                </c:pt>
                <c:pt idx="17">
                  <c:v>0.55</c:v>
                </c:pt>
                <c:pt idx="18">
                  <c:v>0.59</c:v>
                </c:pt>
                <c:pt idx="19">
                  <c:v>0.56</c:v>
                </c:pt>
                <c:pt idx="20">
                  <c:v>0.59</c:v>
                </c:pt>
                <c:pt idx="21">
                  <c:v>0.56</c:v>
                </c:pt>
                <c:pt idx="22">
                  <c:v>0.59</c:v>
                </c:pt>
                <c:pt idx="23">
                  <c:v>0.56</c:v>
                </c:pt>
                <c:pt idx="24">
                  <c:v>0.59</c:v>
                </c:pt>
                <c:pt idx="25">
                  <c:v>0.56</c:v>
                </c:pt>
                <c:pt idx="26">
                  <c:v>0.59</c:v>
                </c:pt>
                <c:pt idx="27">
                  <c:v>0.56</c:v>
                </c:pt>
                <c:pt idx="28">
                  <c:v>0.59</c:v>
                </c:pt>
                <c:pt idx="29">
                  <c:v>0.56</c:v>
                </c:pt>
                <c:pt idx="30">
                  <c:v>0.64</c:v>
                </c:pt>
                <c:pt idx="31">
                  <c:v>0.544</c:v>
                </c:pt>
                <c:pt idx="32">
                  <c:v>0.57</c:v>
                </c:pt>
                <c:pt idx="33">
                  <c:v>0.542</c:v>
                </c:pt>
              </c:numCache>
            </c:numRef>
          </c:val>
        </c:ser>
        <c:gapWidth val="100"/>
        <c:overlap val="0"/>
        <c:axId val="99762629"/>
        <c:axId val="5923352"/>
      </c:barChart>
      <c:catAx>
        <c:axId val="9976262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8163757662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23352"/>
        <c:crosses val="autoZero"/>
        <c:auto val="1"/>
        <c:lblAlgn val="ctr"/>
        <c:lblOffset val="100"/>
        <c:noMultiLvlLbl val="0"/>
      </c:catAx>
      <c:valAx>
        <c:axId val="592335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05547456759"/>
              <c:y val="0.96981856675118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9762629"/>
        <c:crosses val="max"/>
        <c:crossBetween val="midCat"/>
        <c:majorUnit val="0.01"/>
      </c:valAx>
      <c:spPr>
        <a:noFill/>
        <a:ln w="0">
          <a:solidFill>
            <a:srgbClr val="b3b3b3"/>
          </a:solidFill>
        </a:ln>
      </c:spPr>
    </c:plotArea>
    <c:legend>
      <c:legendPos val="r"/>
      <c:layout>
        <c:manualLayout>
          <c:xMode val="edge"/>
          <c:yMode val="edge"/>
          <c:x val="0.802576629107241"/>
          <c:y val="0.0768549062084585"/>
          <c:w val="0.171939639888105"/>
          <c:h val="0.11176485069299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6560419211221"/>
          <c:y val="0.0106595110903227"/>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'LSD.RID.0.AL.U3R'!$C$2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'LSD.RID.0.AL.U3R'!$C$4:$C$37</c:f>
              <c:numCache>
                <c:formatCode>0.00%</c:formatCode>
                <c:ptCount val="34"/>
                <c:pt idx="0">
                  <c:v>0.048</c:v>
                </c:pt>
                <c:pt idx="1">
                  <c:v>0.048</c:v>
                </c:pt>
                <c:pt idx="2">
                  <c:v>0.033</c:v>
                </c:pt>
                <c:pt idx="3">
                  <c:v>0.033</c:v>
                </c:pt>
                <c:pt idx="4">
                  <c:v>0.04</c:v>
                </c:pt>
                <c:pt idx="5">
                  <c:v>0.04</c:v>
                </c:pt>
                <c:pt idx="6">
                  <c:v>0.043</c:v>
                </c:pt>
                <c:pt idx="7">
                  <c:v>0.043</c:v>
                </c:pt>
                <c:pt idx="8">
                  <c:v>0.02</c:v>
                </c:pt>
                <c:pt idx="9">
                  <c:v>0.02</c:v>
                </c:pt>
                <c:pt idx="10">
                  <c:v>0.024</c:v>
                </c:pt>
                <c:pt idx="11">
                  <c:v>0.024</c:v>
                </c:pt>
                <c:pt idx="12">
                  <c:v>0.04</c:v>
                </c:pt>
                <c:pt idx="13">
                  <c:v>0.04</c:v>
                </c:pt>
                <c:pt idx="14">
                  <c:v>0.048</c:v>
                </c:pt>
                <c:pt idx="15">
                  <c:v>0.048</c:v>
                </c:pt>
                <c:pt idx="16">
                  <c:v>0.024</c:v>
                </c:pt>
                <c:pt idx="17">
                  <c:v>0.024</c:v>
                </c:pt>
                <c:pt idx="18">
                  <c:v>0.02</c:v>
                </c:pt>
                <c:pt idx="19">
                  <c:v>0.02</c:v>
                </c:pt>
                <c:pt idx="20">
                  <c:v>0.02</c:v>
                </c:pt>
                <c:pt idx="21">
                  <c:v>0.02</c:v>
                </c:pt>
                <c:pt idx="22">
                  <c:v>0.02</c:v>
                </c:pt>
                <c:pt idx="23">
                  <c:v>0.02</c:v>
                </c:pt>
                <c:pt idx="24">
                  <c:v>0.02</c:v>
                </c:pt>
                <c:pt idx="25">
                  <c:v>0.02</c:v>
                </c:pt>
                <c:pt idx="26">
                  <c:v>0.02</c:v>
                </c:pt>
                <c:pt idx="27">
                  <c:v>0.02</c:v>
                </c:pt>
                <c:pt idx="28">
                  <c:v>0.02</c:v>
                </c:pt>
                <c:pt idx="29">
                  <c:v>0.02</c:v>
                </c:pt>
                <c:pt idx="30">
                  <c:v>0.035</c:v>
                </c:pt>
                <c:pt idx="31">
                  <c:v>0.035</c:v>
                </c:pt>
                <c:pt idx="32">
                  <c:v>0.04</c:v>
                </c:pt>
                <c:pt idx="33">
                  <c:v>0.04</c:v>
                </c:pt>
              </c:numCache>
            </c:numRef>
          </c:val>
        </c:ser>
        <c:ser>
          <c:idx val="1"/>
          <c:order val="1"/>
          <c:tx>
            <c:strRef>
              <c:f>'LSD.RID.0.AL.U3R'!$D$2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'LSD.RID.0.AL.U3R'!$D$4:$D$37</c:f>
              <c:numCache>
                <c:formatCode>0.00%</c:formatCode>
                <c:ptCount val="34"/>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0.05</c:v>
                </c:pt>
                <c:pt idx="17">
                  <c:v>0.05</c:v>
                </c:pt>
                <c:pt idx="18">
                  <c:v>0.04</c:v>
                </c:pt>
                <c:pt idx="19">
                  <c:v>0.04</c:v>
                </c:pt>
                <c:pt idx="20">
                  <c:v>0.04</c:v>
                </c:pt>
                <c:pt idx="21">
                  <c:v>0.04</c:v>
                </c:pt>
                <c:pt idx="22">
                  <c:v>0.04</c:v>
                </c:pt>
                <c:pt idx="23">
                  <c:v>0.04</c:v>
                </c:pt>
                <c:pt idx="24">
                  <c:v>0.04</c:v>
                </c:pt>
                <c:pt idx="25">
                  <c:v>0.04</c:v>
                </c:pt>
                <c:pt idx="26">
                  <c:v>0.04</c:v>
                </c:pt>
                <c:pt idx="27">
                  <c:v>0.04</c:v>
                </c:pt>
                <c:pt idx="28">
                  <c:v>0.04</c:v>
                </c:pt>
                <c:pt idx="29">
                  <c:v>0.04</c:v>
                </c:pt>
                <c:pt idx="30">
                  <c:v>0.045</c:v>
                </c:pt>
                <c:pt idx="31">
                  <c:v>0.045</c:v>
                </c:pt>
                <c:pt idx="32">
                  <c:v>0.07</c:v>
                </c:pt>
                <c:pt idx="33">
                  <c:v>0.07</c:v>
                </c:pt>
              </c:numCache>
            </c:numRef>
          </c:val>
        </c:ser>
        <c:ser>
          <c:idx val="2"/>
          <c:order val="2"/>
          <c:tx>
            <c:strRef>
              <c:f>'LSD.RID.0.AL.U3R'!$E$2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'LSD.RID.0.AL.U3R'!$E$4:$E$37</c:f>
              <c:numCache>
                <c:formatCode>0.00%</c:formatCode>
                <c:ptCount val="34"/>
                <c:pt idx="0">
                  <c:v>0.11</c:v>
                </c:pt>
                <c:pt idx="1">
                  <c:v>0.11</c:v>
                </c:pt>
                <c:pt idx="2">
                  <c:v>0.1</c:v>
                </c:pt>
                <c:pt idx="3">
                  <c:v>0.1</c:v>
                </c:pt>
                <c:pt idx="4">
                  <c:v>0.12</c:v>
                </c:pt>
                <c:pt idx="5">
                  <c:v>0.12</c:v>
                </c:pt>
                <c:pt idx="6">
                  <c:v>0.13</c:v>
                </c:pt>
                <c:pt idx="7">
                  <c:v>0.13</c:v>
                </c:pt>
                <c:pt idx="8">
                  <c:v>0.07</c:v>
                </c:pt>
                <c:pt idx="9">
                  <c:v>0.07</c:v>
                </c:pt>
                <c:pt idx="10">
                  <c:v>0.08</c:v>
                </c:pt>
                <c:pt idx="11">
                  <c:v>0.08</c:v>
                </c:pt>
                <c:pt idx="12">
                  <c:v>0.12</c:v>
                </c:pt>
                <c:pt idx="13">
                  <c:v>0.12</c:v>
                </c:pt>
                <c:pt idx="14">
                  <c:v>0.11</c:v>
                </c:pt>
                <c:pt idx="15">
                  <c:v>0.11</c:v>
                </c:pt>
                <c:pt idx="16">
                  <c:v>0.08</c:v>
                </c:pt>
                <c:pt idx="17">
                  <c:v>0.08</c:v>
                </c:pt>
                <c:pt idx="18">
                  <c:v>0.07</c:v>
                </c:pt>
                <c:pt idx="19">
                  <c:v>0.07</c:v>
                </c:pt>
                <c:pt idx="20">
                  <c:v>0.07</c:v>
                </c:pt>
                <c:pt idx="21">
                  <c:v>0.07</c:v>
                </c:pt>
                <c:pt idx="22">
                  <c:v>0.07</c:v>
                </c:pt>
                <c:pt idx="23">
                  <c:v>0.07</c:v>
                </c:pt>
                <c:pt idx="24">
                  <c:v>0.07</c:v>
                </c:pt>
                <c:pt idx="25">
                  <c:v>0.07</c:v>
                </c:pt>
                <c:pt idx="26">
                  <c:v>0.07</c:v>
                </c:pt>
                <c:pt idx="27">
                  <c:v>0.07</c:v>
                </c:pt>
                <c:pt idx="28">
                  <c:v>0.07</c:v>
                </c:pt>
                <c:pt idx="29">
                  <c:v>0.07</c:v>
                </c:pt>
                <c:pt idx="30">
                  <c:v>0.06</c:v>
                </c:pt>
                <c:pt idx="31">
                  <c:v>0.06</c:v>
                </c:pt>
                <c:pt idx="32">
                  <c:v>0.12</c:v>
                </c:pt>
                <c:pt idx="33">
                  <c:v>0.12</c:v>
                </c:pt>
              </c:numCache>
            </c:numRef>
          </c:val>
        </c:ser>
        <c:ser>
          <c:idx val="3"/>
          <c:order val="3"/>
          <c:tx>
            <c:strRef>
              <c:f>'LSD.RID.0.AL.U3R'!$F$2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'LSD.RID.0.AL.U3R'!$B$4:$B$37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'LSD.RID.0.AL.U3R'!$F$4:$F$37</c:f>
              <c:numCache>
                <c:formatCode>0.00%</c:formatCode>
                <c:ptCount val="34"/>
                <c:pt idx="0">
                  <c:v>0.045</c:v>
                </c:pt>
                <c:pt idx="1">
                  <c:v>0.045</c:v>
                </c:pt>
                <c:pt idx="2">
                  <c:v>0.03</c:v>
                </c:pt>
                <c:pt idx="3">
                  <c:v>0.03</c:v>
                </c:pt>
                <c:pt idx="4">
                  <c:v>0.037</c:v>
                </c:pt>
                <c:pt idx="5">
                  <c:v>0.037</c:v>
                </c:pt>
                <c:pt idx="6">
                  <c:v>0.04</c:v>
                </c:pt>
                <c:pt idx="7">
                  <c:v>0.04</c:v>
                </c:pt>
                <c:pt idx="8">
                  <c:v>0.018</c:v>
                </c:pt>
                <c:pt idx="9">
                  <c:v>0.018</c:v>
                </c:pt>
                <c:pt idx="10">
                  <c:v>0.022</c:v>
                </c:pt>
                <c:pt idx="11">
                  <c:v>0.022</c:v>
                </c:pt>
                <c:pt idx="12">
                  <c:v>0.037</c:v>
                </c:pt>
                <c:pt idx="13">
                  <c:v>0.037</c:v>
                </c:pt>
                <c:pt idx="14">
                  <c:v>0.045</c:v>
                </c:pt>
                <c:pt idx="15">
                  <c:v>0.045</c:v>
                </c:pt>
                <c:pt idx="16">
                  <c:v>0.022</c:v>
                </c:pt>
                <c:pt idx="17">
                  <c:v>0.022</c:v>
                </c:pt>
                <c:pt idx="18">
                  <c:v>0.018</c:v>
                </c:pt>
                <c:pt idx="19">
                  <c:v>0.018</c:v>
                </c:pt>
                <c:pt idx="20">
                  <c:v>0.018</c:v>
                </c:pt>
                <c:pt idx="21">
                  <c:v>0.018</c:v>
                </c:pt>
                <c:pt idx="22">
                  <c:v>0.018</c:v>
                </c:pt>
                <c:pt idx="23">
                  <c:v>0.018</c:v>
                </c:pt>
                <c:pt idx="24">
                  <c:v>0.018</c:v>
                </c:pt>
                <c:pt idx="25">
                  <c:v>0.018</c:v>
                </c:pt>
                <c:pt idx="26">
                  <c:v>0.018</c:v>
                </c:pt>
                <c:pt idx="27">
                  <c:v>0.018</c:v>
                </c:pt>
                <c:pt idx="28">
                  <c:v>0.018</c:v>
                </c:pt>
                <c:pt idx="29">
                  <c:v>0.018</c:v>
                </c:pt>
                <c:pt idx="30">
                  <c:v>0.035</c:v>
                </c:pt>
                <c:pt idx="31">
                  <c:v>0.035</c:v>
                </c:pt>
                <c:pt idx="32">
                  <c:v>0.037</c:v>
                </c:pt>
                <c:pt idx="33">
                  <c:v>0.037</c:v>
                </c:pt>
              </c:numCache>
            </c:numRef>
          </c:val>
        </c:ser>
        <c:gapWidth val="100"/>
        <c:overlap val="0"/>
        <c:axId val="97809826"/>
        <c:axId val="17058606"/>
      </c:barChart>
      <c:catAx>
        <c:axId val="9780982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8163757662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058606"/>
        <c:crosses val="autoZero"/>
        <c:auto val="1"/>
        <c:lblAlgn val="ctr"/>
        <c:lblOffset val="100"/>
        <c:noMultiLvlLbl val="0"/>
      </c:catAx>
      <c:valAx>
        <c:axId val="1705860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05547456759"/>
              <c:y val="0.96981856675118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809826"/>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761199322328"/>
          <c:y val="0.0106595110903227"/>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'LSD.RID.0.U6R'!$C$4:$C$37</c:f>
              <c:numCache>
                <c:formatCode>0.00%</c:formatCode>
                <c:ptCount val="34"/>
                <c:pt idx="0">
                  <c:v>0.093</c:v>
                </c:pt>
                <c:pt idx="1">
                  <c:v>0.093</c:v>
                </c:pt>
                <c:pt idx="2">
                  <c:v>0.046</c:v>
                </c:pt>
                <c:pt idx="3">
                  <c:v>0.046</c:v>
                </c:pt>
                <c:pt idx="4">
                  <c:v>0.072</c:v>
                </c:pt>
                <c:pt idx="5">
                  <c:v>0.072</c:v>
                </c:pt>
                <c:pt idx="6">
                  <c:v>0.1</c:v>
                </c:pt>
                <c:pt idx="7">
                  <c:v>0.1</c:v>
                </c:pt>
                <c:pt idx="8">
                  <c:v>0.031</c:v>
                </c:pt>
                <c:pt idx="9">
                  <c:v>0.031</c:v>
                </c:pt>
                <c:pt idx="10">
                  <c:v>0.037</c:v>
                </c:pt>
                <c:pt idx="11">
                  <c:v>0.037</c:v>
                </c:pt>
                <c:pt idx="12">
                  <c:v>0.074</c:v>
                </c:pt>
                <c:pt idx="13">
                  <c:v>0.074</c:v>
                </c:pt>
                <c:pt idx="14">
                  <c:v>0.093</c:v>
                </c:pt>
                <c:pt idx="15">
                  <c:v>0.093</c:v>
                </c:pt>
                <c:pt idx="16">
                  <c:v>0.046</c:v>
                </c:pt>
                <c:pt idx="17">
                  <c:v>0.046</c:v>
                </c:pt>
                <c:pt idx="18">
                  <c:v>0.035</c:v>
                </c:pt>
                <c:pt idx="19">
                  <c:v>0.035</c:v>
                </c:pt>
                <c:pt idx="20">
                  <c:v>0.026</c:v>
                </c:pt>
                <c:pt idx="21">
                  <c:v>0.026</c:v>
                </c:pt>
                <c:pt idx="22">
                  <c:v>0.036</c:v>
                </c:pt>
                <c:pt idx="23">
                  <c:v>0.036</c:v>
                </c:pt>
                <c:pt idx="24">
                  <c:v>0.028</c:v>
                </c:pt>
                <c:pt idx="25">
                  <c:v>0.028</c:v>
                </c:pt>
                <c:pt idx="26">
                  <c:v>0.03</c:v>
                </c:pt>
                <c:pt idx="27">
                  <c:v>0.03</c:v>
                </c:pt>
                <c:pt idx="28">
                  <c:v>0.03</c:v>
                </c:pt>
                <c:pt idx="29">
                  <c:v>0.03</c:v>
                </c:pt>
                <c:pt idx="30">
                  <c:v>0.042</c:v>
                </c:pt>
                <c:pt idx="31">
                  <c:v>0.042</c:v>
                </c:pt>
                <c:pt idx="32">
                  <c:v>0.076</c:v>
                </c:pt>
                <c:pt idx="33">
                  <c:v>0.076</c:v>
                </c:pt>
              </c:numCache>
            </c:numRef>
          </c:val>
        </c:ser>
        <c:ser>
          <c:idx val="1"/>
          <c:order val="1"/>
          <c:tx>
            <c:strRef>
              <c:f>'LSD.RID.0.U6R'!$D$2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'LSD.RID.0.U6R'!$D$4:$D$37</c:f>
              <c:numCache>
                <c:formatCode>0.00%</c:formatCode>
                <c:ptCount val="34"/>
                <c:pt idx="0">
                  <c:v>0.108</c:v>
                </c:pt>
                <c:pt idx="1">
                  <c:v>0.108</c:v>
                </c:pt>
                <c:pt idx="2">
                  <c:v>0.066</c:v>
                </c:pt>
                <c:pt idx="3">
                  <c:v>0.066</c:v>
                </c:pt>
                <c:pt idx="4">
                  <c:v>0.095</c:v>
                </c:pt>
                <c:pt idx="5">
                  <c:v>0.095</c:v>
                </c:pt>
                <c:pt idx="6">
                  <c:v>0.132</c:v>
                </c:pt>
                <c:pt idx="7">
                  <c:v>0.132</c:v>
                </c:pt>
                <c:pt idx="8">
                  <c:v>0.037</c:v>
                </c:pt>
                <c:pt idx="9">
                  <c:v>0.037</c:v>
                </c:pt>
                <c:pt idx="10">
                  <c:v>0.046</c:v>
                </c:pt>
                <c:pt idx="11">
                  <c:v>0.046</c:v>
                </c:pt>
                <c:pt idx="12">
                  <c:v>0.097</c:v>
                </c:pt>
                <c:pt idx="13">
                  <c:v>0.097</c:v>
                </c:pt>
                <c:pt idx="14">
                  <c:v>0.108</c:v>
                </c:pt>
                <c:pt idx="15">
                  <c:v>0.108</c:v>
                </c:pt>
                <c:pt idx="16">
                  <c:v>0.057</c:v>
                </c:pt>
                <c:pt idx="17">
                  <c:v>0.057</c:v>
                </c:pt>
                <c:pt idx="18">
                  <c:v>0.042</c:v>
                </c:pt>
                <c:pt idx="19">
                  <c:v>0.042</c:v>
                </c:pt>
                <c:pt idx="20">
                  <c:v>0.031</c:v>
                </c:pt>
                <c:pt idx="21">
                  <c:v>0.031</c:v>
                </c:pt>
                <c:pt idx="22">
                  <c:v>0.043</c:v>
                </c:pt>
                <c:pt idx="23">
                  <c:v>0.043</c:v>
                </c:pt>
                <c:pt idx="24">
                  <c:v>0.034</c:v>
                </c:pt>
                <c:pt idx="25">
                  <c:v>0.034</c:v>
                </c:pt>
                <c:pt idx="26">
                  <c:v>0.036</c:v>
                </c:pt>
                <c:pt idx="27">
                  <c:v>0.036</c:v>
                </c:pt>
                <c:pt idx="28">
                  <c:v>0.036</c:v>
                </c:pt>
                <c:pt idx="29">
                  <c:v>0.036</c:v>
                </c:pt>
                <c:pt idx="30">
                  <c:v>0.05</c:v>
                </c:pt>
                <c:pt idx="31">
                  <c:v>0.05</c:v>
                </c:pt>
                <c:pt idx="32">
                  <c:v>0.1</c:v>
                </c:pt>
                <c:pt idx="33">
                  <c:v>0.1</c:v>
                </c:pt>
              </c:numCache>
            </c:numRef>
          </c:val>
        </c:ser>
        <c:ser>
          <c:idx val="2"/>
          <c:order val="2"/>
          <c:tx>
            <c:strRef>
              <c:f>'LSD.RID.0.U6R'!$E$2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'LSD.RID.0.U6R'!$E$4:$E$37</c:f>
              <c:numCache>
                <c:formatCode>0.00%</c:formatCode>
                <c:ptCount val="34"/>
                <c:pt idx="0">
                  <c:v>0.155</c:v>
                </c:pt>
                <c:pt idx="1">
                  <c:v>0.155</c:v>
                </c:pt>
                <c:pt idx="2">
                  <c:v>0.11</c:v>
                </c:pt>
                <c:pt idx="3">
                  <c:v>0.11</c:v>
                </c:pt>
                <c:pt idx="4">
                  <c:v>0.162</c:v>
                </c:pt>
                <c:pt idx="5">
                  <c:v>0.162</c:v>
                </c:pt>
                <c:pt idx="6">
                  <c:v>0.221</c:v>
                </c:pt>
                <c:pt idx="7">
                  <c:v>0.221</c:v>
                </c:pt>
                <c:pt idx="8">
                  <c:v>0.078</c:v>
                </c:pt>
                <c:pt idx="9">
                  <c:v>0.078</c:v>
                </c:pt>
                <c:pt idx="10">
                  <c:v>0.084</c:v>
                </c:pt>
                <c:pt idx="11">
                  <c:v>0.084</c:v>
                </c:pt>
                <c:pt idx="12">
                  <c:v>0.165</c:v>
                </c:pt>
                <c:pt idx="13">
                  <c:v>0.165</c:v>
                </c:pt>
                <c:pt idx="14">
                  <c:v>0.155</c:v>
                </c:pt>
                <c:pt idx="15">
                  <c:v>0.155</c:v>
                </c:pt>
                <c:pt idx="16">
                  <c:v>0.104</c:v>
                </c:pt>
                <c:pt idx="17">
                  <c:v>0.104</c:v>
                </c:pt>
                <c:pt idx="18">
                  <c:v>0.088</c:v>
                </c:pt>
                <c:pt idx="19">
                  <c:v>0.088</c:v>
                </c:pt>
                <c:pt idx="20">
                  <c:v>0.065</c:v>
                </c:pt>
                <c:pt idx="21">
                  <c:v>0.065</c:v>
                </c:pt>
                <c:pt idx="22">
                  <c:v>0.09</c:v>
                </c:pt>
                <c:pt idx="23">
                  <c:v>0.09</c:v>
                </c:pt>
                <c:pt idx="24">
                  <c:v>0.071</c:v>
                </c:pt>
                <c:pt idx="25">
                  <c:v>0.071</c:v>
                </c:pt>
                <c:pt idx="26">
                  <c:v>0.076</c:v>
                </c:pt>
                <c:pt idx="27">
                  <c:v>0.076</c:v>
                </c:pt>
                <c:pt idx="28">
                  <c:v>0.076</c:v>
                </c:pt>
                <c:pt idx="29">
                  <c:v>0.076</c:v>
                </c:pt>
                <c:pt idx="30">
                  <c:v>0.084</c:v>
                </c:pt>
                <c:pt idx="31">
                  <c:v>0.084</c:v>
                </c:pt>
                <c:pt idx="32">
                  <c:v>0.17</c:v>
                </c:pt>
                <c:pt idx="33">
                  <c:v>0.17</c:v>
                </c:pt>
              </c:numCache>
            </c:numRef>
          </c:val>
        </c:ser>
        <c:ser>
          <c:idx val="3"/>
          <c:order val="3"/>
          <c:tx>
            <c:strRef>
              <c:f>'LSD.RID.0.U6R'!$F$2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'LSD.RID.0.U6R'!$F$4:$F$37</c:f>
              <c:numCache>
                <c:formatCode>0.00%</c:formatCode>
                <c:ptCount val="34"/>
                <c:pt idx="0">
                  <c:v>0.089</c:v>
                </c:pt>
                <c:pt idx="1">
                  <c:v>0.089</c:v>
                </c:pt>
                <c:pt idx="2">
                  <c:v>0.042</c:v>
                </c:pt>
                <c:pt idx="3">
                  <c:v>0.042</c:v>
                </c:pt>
                <c:pt idx="4">
                  <c:v>0.069</c:v>
                </c:pt>
                <c:pt idx="5">
                  <c:v>0.069</c:v>
                </c:pt>
                <c:pt idx="6">
                  <c:v>0.095</c:v>
                </c:pt>
                <c:pt idx="7">
                  <c:v>0.095</c:v>
                </c:pt>
                <c:pt idx="8">
                  <c:v>0.03</c:v>
                </c:pt>
                <c:pt idx="9">
                  <c:v>0.03</c:v>
                </c:pt>
                <c:pt idx="10">
                  <c:v>0.034</c:v>
                </c:pt>
                <c:pt idx="11">
                  <c:v>0.034</c:v>
                </c:pt>
                <c:pt idx="12">
                  <c:v>0.071</c:v>
                </c:pt>
                <c:pt idx="13">
                  <c:v>0.071</c:v>
                </c:pt>
                <c:pt idx="14">
                  <c:v>0.089</c:v>
                </c:pt>
                <c:pt idx="15">
                  <c:v>0.089</c:v>
                </c:pt>
                <c:pt idx="16">
                  <c:v>0.042</c:v>
                </c:pt>
                <c:pt idx="17">
                  <c:v>0.042</c:v>
                </c:pt>
                <c:pt idx="18">
                  <c:v>0.034</c:v>
                </c:pt>
                <c:pt idx="19">
                  <c:v>0.034</c:v>
                </c:pt>
                <c:pt idx="20">
                  <c:v>0.024</c:v>
                </c:pt>
                <c:pt idx="21">
                  <c:v>0.024</c:v>
                </c:pt>
                <c:pt idx="22">
                  <c:v>0.035</c:v>
                </c:pt>
                <c:pt idx="23">
                  <c:v>0.035</c:v>
                </c:pt>
                <c:pt idx="24">
                  <c:v>0.027</c:v>
                </c:pt>
                <c:pt idx="25">
                  <c:v>0.027</c:v>
                </c:pt>
                <c:pt idx="26">
                  <c:v>0.029</c:v>
                </c:pt>
                <c:pt idx="27">
                  <c:v>0.029</c:v>
                </c:pt>
                <c:pt idx="28">
                  <c:v>0.029</c:v>
                </c:pt>
                <c:pt idx="29">
                  <c:v>0.029</c:v>
                </c:pt>
                <c:pt idx="30">
                  <c:v>0.041</c:v>
                </c:pt>
                <c:pt idx="31">
                  <c:v>0.041</c:v>
                </c:pt>
                <c:pt idx="32">
                  <c:v>0.073</c:v>
                </c:pt>
                <c:pt idx="33">
                  <c:v>0.073</c:v>
                </c:pt>
              </c:numCache>
            </c:numRef>
          </c:val>
        </c:ser>
        <c:gapWidth val="100"/>
        <c:overlap val="0"/>
        <c:axId val="34387959"/>
        <c:axId val="32409820"/>
      </c:barChart>
      <c:catAx>
        <c:axId val="3438795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81637576622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409820"/>
        <c:crosses val="autoZero"/>
        <c:auto val="1"/>
        <c:lblAlgn val="ctr"/>
        <c:lblOffset val="100"/>
        <c:noMultiLvlLbl val="0"/>
      </c:catAx>
      <c:valAx>
        <c:axId val="3240982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05547456759"/>
              <c:y val="0.96981856675118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4387959"/>
        <c:crosses val="max"/>
        <c:crossBetween val="midCat"/>
        <c:majorUnit val="0.01"/>
      </c:valAx>
      <c:spPr>
        <a:noFill/>
        <a:ln w="0">
          <a:solidFill>
            <a:srgbClr val="b3b3b3"/>
          </a:solidFill>
        </a:ln>
      </c:spPr>
    </c:plotArea>
    <c:legend>
      <c:legendPos val="r"/>
      <c:layout>
        <c:manualLayout>
          <c:xMode val="edge"/>
          <c:yMode val="edge"/>
          <c:x val="0.802592184052947"/>
          <c:y val="0.0768757384797164"/>
          <c:w val="0.171965488712918"/>
          <c:h val="0.1117839647490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839998424018"/>
          <c:y val="0.0106595110903227"/>
        </c:manualLayout>
      </c:layout>
      <c:overlay val="0"/>
      <c:spPr>
        <a:noFill/>
        <a:ln w="0">
          <a:noFill/>
        </a:ln>
      </c:spPr>
    </c:title>
    <c:autoTitleDeleted val="0"/>
    <c:plotArea>
      <c:layout>
        <c:manualLayout>
          <c:layoutTarget val="inner"/>
          <c:xMode val="edge"/>
          <c:yMode val="edge"/>
          <c:x val="0.29963358417714"/>
          <c:y val="0.0468723074271928"/>
          <c:w val="0.470706433946653"/>
          <c:h val="0.874646119002486"/>
        </c:manualLayout>
      </c:layout>
      <c:barChart>
        <c:barDir val="bar"/>
        <c:grouping val="clustered"/>
        <c:varyColors val="0"/>
        <c:ser>
          <c:idx val="0"/>
          <c:order val="0"/>
          <c:tx>
            <c:strRef>
              <c:f>'LSD.RID.0.U6R'!$C$132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'LSD.RID.0.U6R'!$C$134:$C$163</c:f>
              <c:numCache>
                <c:formatCode>0.00%</c:formatCode>
                <c:ptCount val="30"/>
              </c:numCache>
            </c:numRef>
          </c:val>
        </c:ser>
        <c:ser>
          <c:idx val="1"/>
          <c:order val="1"/>
          <c:tx>
            <c:strRef>
              <c:f>'LSD.RID.0.U6R'!$D$132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'LSD.RID.0.U6R'!$D$134:$D$163</c:f>
              <c:numCache>
                <c:formatCode>0.00%</c:formatCode>
                <c:ptCount val="30"/>
              </c:numCache>
            </c:numRef>
          </c:val>
        </c:ser>
        <c:ser>
          <c:idx val="2"/>
          <c:order val="2"/>
          <c:tx>
            <c:strRef>
              <c:f>'LSD.RID.0.U6R'!$E$132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'LSD.RID.0.U6R'!$E$134:$E$163</c:f>
              <c:numCache>
                <c:formatCode>0.00%</c:formatCode>
                <c:ptCount val="30"/>
              </c:numCache>
            </c:numRef>
          </c:val>
        </c:ser>
        <c:ser>
          <c:idx val="3"/>
          <c:order val="3"/>
          <c:tx>
            <c:strRef>
              <c:f>'LSD.RID.0.U6R'!$F$132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'LSD.RID.0.U6R'!$F$134:$F$163</c:f>
              <c:numCache>
                <c:formatCode>0.00%</c:formatCode>
                <c:ptCount val="30"/>
              </c:numCache>
            </c:numRef>
          </c:val>
        </c:ser>
        <c:gapWidth val="100"/>
        <c:overlap val="0"/>
        <c:axId val="60280921"/>
        <c:axId val="6508784"/>
      </c:barChart>
      <c:catAx>
        <c:axId val="6028092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76714014918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08784"/>
        <c:crosses val="autoZero"/>
        <c:auto val="1"/>
        <c:lblAlgn val="ctr"/>
        <c:lblOffset val="100"/>
        <c:noMultiLvlLbl val="0"/>
      </c:catAx>
      <c:valAx>
        <c:axId val="650878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306883101533"/>
              <c:y val="0.969818566751188"/>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0280921"/>
        <c:crosses val="max"/>
        <c:crossBetween val="midCat"/>
        <c:majorUnit val="0.01"/>
      </c:valAx>
      <c:spPr>
        <a:noFill/>
        <a:ln w="0">
          <a:solidFill>
            <a:srgbClr val="b3b3b3"/>
          </a:solidFill>
        </a:ln>
      </c:spPr>
    </c:plotArea>
    <c:legend>
      <c:legendPos val="r"/>
      <c:layout>
        <c:manualLayout>
          <c:xMode val="edge"/>
          <c:yMode val="edge"/>
          <c:x val="0.7865190671289"/>
          <c:y val="0.0768265064986215"/>
          <c:w val="0.187960445967774"/>
          <c:h val="0.11173473155601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6929986998148"/>
          <c:y val="0.0106595110903227"/>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'LSD.RID.0.WAVG'!$C$4:$C$37</c:f>
              <c:numCache>
                <c:formatCode>[$$-409]#,##0.00;[RED]\-[$$-409]#,##0.00</c:formatCode>
                <c:ptCount val="34"/>
                <c:pt idx="0">
                  <c:v>21.93</c:v>
                </c:pt>
                <c:pt idx="1">
                  <c:v>18.64</c:v>
                </c:pt>
                <c:pt idx="2">
                  <c:v>25.34</c:v>
                </c:pt>
                <c:pt idx="3">
                  <c:v>21.54</c:v>
                </c:pt>
                <c:pt idx="4">
                  <c:v>14.15</c:v>
                </c:pt>
                <c:pt idx="5">
                  <c:v>12.03</c:v>
                </c:pt>
                <c:pt idx="6">
                  <c:v>16.59</c:v>
                </c:pt>
                <c:pt idx="7">
                  <c:v>14.1</c:v>
                </c:pt>
                <c:pt idx="8">
                  <c:v>24.19</c:v>
                </c:pt>
                <c:pt idx="9">
                  <c:v>20.56</c:v>
                </c:pt>
                <c:pt idx="10">
                  <c:v>24.4</c:v>
                </c:pt>
                <c:pt idx="11">
                  <c:v>20.74</c:v>
                </c:pt>
                <c:pt idx="12">
                  <c:v>21.94</c:v>
                </c:pt>
                <c:pt idx="13">
                  <c:v>18.65</c:v>
                </c:pt>
                <c:pt idx="14">
                  <c:v>16.59</c:v>
                </c:pt>
                <c:pt idx="15">
                  <c:v>14.1</c:v>
                </c:pt>
                <c:pt idx="16">
                  <c:v>29.21</c:v>
                </c:pt>
                <c:pt idx="17">
                  <c:v>24.83</c:v>
                </c:pt>
                <c:pt idx="18">
                  <c:v>41.16</c:v>
                </c:pt>
                <c:pt idx="19">
                  <c:v>34.99</c:v>
                </c:pt>
                <c:pt idx="20">
                  <c:v>53.09</c:v>
                </c:pt>
                <c:pt idx="21">
                  <c:v>45.13</c:v>
                </c:pt>
                <c:pt idx="22">
                  <c:v>26.24</c:v>
                </c:pt>
                <c:pt idx="23">
                  <c:v>22.3</c:v>
                </c:pt>
                <c:pt idx="24">
                  <c:v>41</c:v>
                </c:pt>
                <c:pt idx="25">
                  <c:v>34.85</c:v>
                </c:pt>
                <c:pt idx="26">
                  <c:v>28.71</c:v>
                </c:pt>
                <c:pt idx="27">
                  <c:v>24.4</c:v>
                </c:pt>
                <c:pt idx="28">
                  <c:v>24.54</c:v>
                </c:pt>
                <c:pt idx="29">
                  <c:v>20.86</c:v>
                </c:pt>
                <c:pt idx="30">
                  <c:v>37.5</c:v>
                </c:pt>
                <c:pt idx="31">
                  <c:v>31.88</c:v>
                </c:pt>
                <c:pt idx="32">
                  <c:v>15.21</c:v>
                </c:pt>
                <c:pt idx="33">
                  <c:v>12.93</c:v>
                </c:pt>
              </c:numCache>
            </c:numRef>
          </c:val>
        </c:ser>
        <c:ser>
          <c:idx val="1"/>
          <c:order val="1"/>
          <c:tx>
            <c:strRef>
              <c:f>'LSD.RID.0.WAVG'!$D$2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'LSD.RID.0.WAVG'!$D$4:$D$37</c:f>
              <c:numCache>
                <c:formatCode>[$$-409]#,##0.00;[RED]\-[$$-409]#,##0.00</c:formatCode>
                <c:ptCount val="34"/>
                <c:pt idx="0">
                  <c:v>21</c:v>
                </c:pt>
                <c:pt idx="1">
                  <c:v>17.8</c:v>
                </c:pt>
                <c:pt idx="2">
                  <c:v>24.1</c:v>
                </c:pt>
                <c:pt idx="3">
                  <c:v>20.5</c:v>
                </c:pt>
                <c:pt idx="4">
                  <c:v>13.5</c:v>
                </c:pt>
                <c:pt idx="5">
                  <c:v>11.5</c:v>
                </c:pt>
                <c:pt idx="6">
                  <c:v>15.8</c:v>
                </c:pt>
                <c:pt idx="7">
                  <c:v>13.4</c:v>
                </c:pt>
                <c:pt idx="8">
                  <c:v>23</c:v>
                </c:pt>
                <c:pt idx="9">
                  <c:v>19.6</c:v>
                </c:pt>
                <c:pt idx="10">
                  <c:v>23.2</c:v>
                </c:pt>
                <c:pt idx="11">
                  <c:v>19.7</c:v>
                </c:pt>
                <c:pt idx="12">
                  <c:v>20.9</c:v>
                </c:pt>
                <c:pt idx="13">
                  <c:v>17.8</c:v>
                </c:pt>
                <c:pt idx="14">
                  <c:v>15.8</c:v>
                </c:pt>
                <c:pt idx="15">
                  <c:v>13.4</c:v>
                </c:pt>
                <c:pt idx="16">
                  <c:v>27.7</c:v>
                </c:pt>
                <c:pt idx="17">
                  <c:v>23.6</c:v>
                </c:pt>
                <c:pt idx="18">
                  <c:v>39.1</c:v>
                </c:pt>
                <c:pt idx="19">
                  <c:v>33.2</c:v>
                </c:pt>
                <c:pt idx="20">
                  <c:v>50.4</c:v>
                </c:pt>
                <c:pt idx="21">
                  <c:v>42.9</c:v>
                </c:pt>
                <c:pt idx="22">
                  <c:v>24.9</c:v>
                </c:pt>
                <c:pt idx="23">
                  <c:v>21.2</c:v>
                </c:pt>
                <c:pt idx="24">
                  <c:v>39</c:v>
                </c:pt>
                <c:pt idx="25">
                  <c:v>33.1</c:v>
                </c:pt>
                <c:pt idx="26">
                  <c:v>27.3</c:v>
                </c:pt>
                <c:pt idx="27">
                  <c:v>23.2</c:v>
                </c:pt>
                <c:pt idx="28">
                  <c:v>23.3</c:v>
                </c:pt>
                <c:pt idx="29">
                  <c:v>19.8</c:v>
                </c:pt>
                <c:pt idx="30">
                  <c:v>35.6</c:v>
                </c:pt>
                <c:pt idx="31">
                  <c:v>30.3</c:v>
                </c:pt>
                <c:pt idx="32">
                  <c:v>14.5</c:v>
                </c:pt>
                <c:pt idx="33">
                  <c:v>12.3</c:v>
                </c:pt>
              </c:numCache>
            </c:numRef>
          </c:val>
        </c:ser>
        <c:ser>
          <c:idx val="2"/>
          <c:order val="2"/>
          <c:tx>
            <c:strRef>
              <c:f>'LSD.RID.0.WAVG'!$E$2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'LSD.RID.0.WAVG'!$E$4:$E$37</c:f>
              <c:numCache>
                <c:formatCode>[$$-409]#,##0.00;[RED]\-[$$-409]#,##0.00</c:formatCode>
                <c:ptCount val="34"/>
                <c:pt idx="0">
                  <c:v>18.2</c:v>
                </c:pt>
                <c:pt idx="1">
                  <c:v>15.5</c:v>
                </c:pt>
                <c:pt idx="2">
                  <c:v>21.5</c:v>
                </c:pt>
                <c:pt idx="3">
                  <c:v>18.3</c:v>
                </c:pt>
                <c:pt idx="4">
                  <c:v>11.7</c:v>
                </c:pt>
                <c:pt idx="5">
                  <c:v>9.9</c:v>
                </c:pt>
                <c:pt idx="6">
                  <c:v>13.8</c:v>
                </c:pt>
                <c:pt idx="7">
                  <c:v>11.7</c:v>
                </c:pt>
                <c:pt idx="8">
                  <c:v>21</c:v>
                </c:pt>
                <c:pt idx="9">
                  <c:v>17.9</c:v>
                </c:pt>
                <c:pt idx="10">
                  <c:v>21.2</c:v>
                </c:pt>
                <c:pt idx="11">
                  <c:v>18</c:v>
                </c:pt>
                <c:pt idx="12">
                  <c:v>18.1</c:v>
                </c:pt>
                <c:pt idx="13">
                  <c:v>15.4</c:v>
                </c:pt>
                <c:pt idx="14">
                  <c:v>13.8</c:v>
                </c:pt>
                <c:pt idx="15">
                  <c:v>11.7</c:v>
                </c:pt>
                <c:pt idx="16">
                  <c:v>25.3</c:v>
                </c:pt>
                <c:pt idx="17">
                  <c:v>21.5</c:v>
                </c:pt>
                <c:pt idx="18">
                  <c:v>35.8</c:v>
                </c:pt>
                <c:pt idx="19">
                  <c:v>30.4</c:v>
                </c:pt>
                <c:pt idx="20">
                  <c:v>46.2</c:v>
                </c:pt>
                <c:pt idx="21">
                  <c:v>39.3</c:v>
                </c:pt>
                <c:pt idx="22">
                  <c:v>22.8</c:v>
                </c:pt>
                <c:pt idx="23">
                  <c:v>19.4</c:v>
                </c:pt>
                <c:pt idx="24">
                  <c:v>35.7</c:v>
                </c:pt>
                <c:pt idx="25">
                  <c:v>30.3</c:v>
                </c:pt>
                <c:pt idx="26">
                  <c:v>25</c:v>
                </c:pt>
                <c:pt idx="27">
                  <c:v>21.2</c:v>
                </c:pt>
                <c:pt idx="28">
                  <c:v>21.3</c:v>
                </c:pt>
                <c:pt idx="29">
                  <c:v>18.1</c:v>
                </c:pt>
                <c:pt idx="30">
                  <c:v>32.6</c:v>
                </c:pt>
                <c:pt idx="31">
                  <c:v>27.7</c:v>
                </c:pt>
                <c:pt idx="32">
                  <c:v>12.6</c:v>
                </c:pt>
                <c:pt idx="33">
                  <c:v>10.7</c:v>
                </c:pt>
              </c:numCache>
            </c:numRef>
          </c:val>
        </c:ser>
        <c:ser>
          <c:idx val="3"/>
          <c:order val="3"/>
          <c:tx>
            <c:strRef>
              <c:f>'LSD.RID.0.WAVG'!$F$2</c:f>
              <c:strCache>
                <c:ptCount val="1"/>
                <c:pt idx="0">
                  <c:v>American Wage Average ($  /hr)</c:v>
                </c:pt>
              </c:strCache>
            </c:strRef>
          </c:tx>
          <c:spPr>
            <a:solidFill>
              <a:srgbClr val="579d1c"/>
            </a:solidFill>
            <a:ln w="0">
              <a:noFill/>
            </a:ln>
          </c:spPr>
          <c:invertIfNegative val="0"/>
          <c:dLbls>
            <c:numFmt formatCode="[$$-409]#,##0.00;[RED]\-[$$-409]#,##0.00" sourceLinked="1"/>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'LSD.RID.0.WAVG'!$F$4:$F$37</c:f>
              <c:numCache>
                <c:formatCode>[$$-409]#,##0.00;[RED]\-[$$-409]#,##0.00</c:formatCode>
                <c:ptCount val="34"/>
                <c:pt idx="0">
                  <c:v>22.4</c:v>
                </c:pt>
                <c:pt idx="1">
                  <c:v>19</c:v>
                </c:pt>
                <c:pt idx="2">
                  <c:v>25.9</c:v>
                </c:pt>
                <c:pt idx="3">
                  <c:v>22</c:v>
                </c:pt>
                <c:pt idx="4">
                  <c:v>14.4</c:v>
                </c:pt>
                <c:pt idx="5">
                  <c:v>12.3</c:v>
                </c:pt>
                <c:pt idx="6">
                  <c:v>16.9</c:v>
                </c:pt>
                <c:pt idx="7">
                  <c:v>14.4</c:v>
                </c:pt>
                <c:pt idx="8">
                  <c:v>24.7</c:v>
                </c:pt>
                <c:pt idx="9">
                  <c:v>21</c:v>
                </c:pt>
                <c:pt idx="10">
                  <c:v>24.9</c:v>
                </c:pt>
                <c:pt idx="11">
                  <c:v>21.2</c:v>
                </c:pt>
                <c:pt idx="12">
                  <c:v>22.4</c:v>
                </c:pt>
                <c:pt idx="13">
                  <c:v>19</c:v>
                </c:pt>
                <c:pt idx="14">
                  <c:v>16.9</c:v>
                </c:pt>
                <c:pt idx="15">
                  <c:v>14.4</c:v>
                </c:pt>
                <c:pt idx="16">
                  <c:v>29.8</c:v>
                </c:pt>
                <c:pt idx="17">
                  <c:v>25.3</c:v>
                </c:pt>
                <c:pt idx="18">
                  <c:v>42</c:v>
                </c:pt>
                <c:pt idx="19">
                  <c:v>35.7</c:v>
                </c:pt>
                <c:pt idx="20">
                  <c:v>54.2</c:v>
                </c:pt>
                <c:pt idx="21">
                  <c:v>46</c:v>
                </c:pt>
                <c:pt idx="22">
                  <c:v>26.8</c:v>
                </c:pt>
                <c:pt idx="23">
                  <c:v>22.8</c:v>
                </c:pt>
                <c:pt idx="24">
                  <c:v>41.8</c:v>
                </c:pt>
                <c:pt idx="25">
                  <c:v>35.5</c:v>
                </c:pt>
                <c:pt idx="26">
                  <c:v>29.3</c:v>
                </c:pt>
                <c:pt idx="27">
                  <c:v>24.9</c:v>
                </c:pt>
                <c:pt idx="28">
                  <c:v>25</c:v>
                </c:pt>
                <c:pt idx="29">
                  <c:v>21.3</c:v>
                </c:pt>
                <c:pt idx="30">
                  <c:v>38.3</c:v>
                </c:pt>
                <c:pt idx="31">
                  <c:v>32.5</c:v>
                </c:pt>
                <c:pt idx="32">
                  <c:v>15.5</c:v>
                </c:pt>
                <c:pt idx="33">
                  <c:v>13.2</c:v>
                </c:pt>
              </c:numCache>
            </c:numRef>
          </c:val>
        </c:ser>
        <c:gapWidth val="100"/>
        <c:overlap val="0"/>
        <c:axId val="40944708"/>
        <c:axId val="98393512"/>
      </c:barChart>
      <c:catAx>
        <c:axId val="4094470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66866891509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8393512"/>
        <c:crosses val="autoZero"/>
        <c:auto val="1"/>
        <c:lblAlgn val="ctr"/>
        <c:lblOffset val="100"/>
        <c:noMultiLvlLbl val="0"/>
      </c:catAx>
      <c:valAx>
        <c:axId val="9839351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21307277097"/>
              <c:y val="0.969818566751188"/>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944708"/>
        <c:crosses val="max"/>
        <c:crossBetween val="midCat"/>
        <c:majorUnit val="1"/>
      </c:valAx>
      <c:spPr>
        <a:noFill/>
        <a:ln w="0">
          <a:solidFill>
            <a:srgbClr val="b3b3b3"/>
          </a:solidFill>
        </a:ln>
      </c:spPr>
    </c:plotArea>
    <c:legend>
      <c:legendPos val="r"/>
      <c:layout>
        <c:manualLayout>
          <c:xMode val="edge"/>
          <c:yMode val="edge"/>
          <c:x val="0.80253723110866"/>
          <c:y val="0.0767810546009552"/>
          <c:w val="0.17190024033726"/>
          <c:h val="0.07220403239703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864386745991"/>
          <c:y val="0.0169370522636075"/>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'LSD.RID.0.AIAVG'!$C$2</c:f>
              <c:strCache>
                <c:ptCount val="1"/>
                <c:pt idx="0">
                  <c:v>Annual Income (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'LSD.RID.0.AIAVG'!$C$4:$C$37</c:f>
              <c:numCache>
                <c:formatCode>[$$-409]#,##0;[RED]\-[$$-409]#,##0</c:formatCode>
                <c:ptCount val="34"/>
                <c:pt idx="0">
                  <c:v>45614</c:v>
                </c:pt>
                <c:pt idx="1">
                  <c:v>38771</c:v>
                </c:pt>
                <c:pt idx="2">
                  <c:v>52707</c:v>
                </c:pt>
                <c:pt idx="3">
                  <c:v>44771</c:v>
                </c:pt>
                <c:pt idx="4">
                  <c:v>29432</c:v>
                </c:pt>
                <c:pt idx="5">
                  <c:v>25022</c:v>
                </c:pt>
                <c:pt idx="6">
                  <c:v>34507</c:v>
                </c:pt>
                <c:pt idx="7">
                  <c:v>29328</c:v>
                </c:pt>
                <c:pt idx="8">
                  <c:v>50315</c:v>
                </c:pt>
                <c:pt idx="9">
                  <c:v>42765</c:v>
                </c:pt>
                <c:pt idx="10">
                  <c:v>50752</c:v>
                </c:pt>
                <c:pt idx="11">
                  <c:v>43139</c:v>
                </c:pt>
                <c:pt idx="12">
                  <c:v>45635</c:v>
                </c:pt>
                <c:pt idx="13">
                  <c:v>38792</c:v>
                </c:pt>
                <c:pt idx="14">
                  <c:v>34507</c:v>
                </c:pt>
                <c:pt idx="15">
                  <c:v>29328</c:v>
                </c:pt>
                <c:pt idx="16">
                  <c:v>60757</c:v>
                </c:pt>
                <c:pt idx="17">
                  <c:v>51646</c:v>
                </c:pt>
                <c:pt idx="18">
                  <c:v>85613</c:v>
                </c:pt>
                <c:pt idx="19">
                  <c:v>72779</c:v>
                </c:pt>
                <c:pt idx="20">
                  <c:v>110427</c:v>
                </c:pt>
                <c:pt idx="21">
                  <c:v>93870</c:v>
                </c:pt>
                <c:pt idx="22">
                  <c:v>54579</c:v>
                </c:pt>
                <c:pt idx="23">
                  <c:v>46384</c:v>
                </c:pt>
                <c:pt idx="24">
                  <c:v>85280</c:v>
                </c:pt>
                <c:pt idx="25">
                  <c:v>72488</c:v>
                </c:pt>
                <c:pt idx="26">
                  <c:v>59717</c:v>
                </c:pt>
                <c:pt idx="27">
                  <c:v>50752</c:v>
                </c:pt>
                <c:pt idx="28">
                  <c:v>51043</c:v>
                </c:pt>
                <c:pt idx="29">
                  <c:v>43389</c:v>
                </c:pt>
                <c:pt idx="30">
                  <c:v>78000</c:v>
                </c:pt>
                <c:pt idx="31">
                  <c:v>66310</c:v>
                </c:pt>
                <c:pt idx="32">
                  <c:v>31637</c:v>
                </c:pt>
                <c:pt idx="33">
                  <c:v>26904</c:v>
                </c:pt>
              </c:numCache>
            </c:numRef>
          </c:val>
        </c:ser>
        <c:ser>
          <c:idx val="1"/>
          <c:order val="1"/>
          <c:tx>
            <c:strRef>
              <c:f>'LSD.RID.0.AIAVG'!$D$2</c:f>
              <c:strCache>
                <c:ptCount val="1"/>
                <c:pt idx="0">
                  <c:v>Authorized Immigrant Annual Income Average (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'LSD.RID.0.AIAVG'!$D$4:$D37</c:f>
              <c:numCache>
                <c:formatCode>[$$-409]#,##0;[RED]\-[$$-409]#,##0</c:formatCode>
                <c:ptCount val="34"/>
                <c:pt idx="0">
                  <c:v>43680</c:v>
                </c:pt>
                <c:pt idx="1">
                  <c:v>37024</c:v>
                </c:pt>
                <c:pt idx="2">
                  <c:v>50128</c:v>
                </c:pt>
                <c:pt idx="3">
                  <c:v>42640</c:v>
                </c:pt>
                <c:pt idx="4">
                  <c:v>28080</c:v>
                </c:pt>
                <c:pt idx="5">
                  <c:v>23920</c:v>
                </c:pt>
                <c:pt idx="6">
                  <c:v>32864</c:v>
                </c:pt>
                <c:pt idx="7">
                  <c:v>27872</c:v>
                </c:pt>
                <c:pt idx="8">
                  <c:v>47840</c:v>
                </c:pt>
                <c:pt idx="9">
                  <c:v>40768</c:v>
                </c:pt>
                <c:pt idx="10">
                  <c:v>48256</c:v>
                </c:pt>
                <c:pt idx="11">
                  <c:v>40976</c:v>
                </c:pt>
                <c:pt idx="12">
                  <c:v>43472</c:v>
                </c:pt>
                <c:pt idx="13">
                  <c:v>37024</c:v>
                </c:pt>
                <c:pt idx="14">
                  <c:v>32864</c:v>
                </c:pt>
                <c:pt idx="15">
                  <c:v>27872</c:v>
                </c:pt>
                <c:pt idx="16">
                  <c:v>57616</c:v>
                </c:pt>
                <c:pt idx="17">
                  <c:v>49088</c:v>
                </c:pt>
                <c:pt idx="18">
                  <c:v>81328</c:v>
                </c:pt>
                <c:pt idx="19">
                  <c:v>69056</c:v>
                </c:pt>
                <c:pt idx="20">
                  <c:v>104832</c:v>
                </c:pt>
                <c:pt idx="21">
                  <c:v>89232</c:v>
                </c:pt>
                <c:pt idx="22">
                  <c:v>51792</c:v>
                </c:pt>
                <c:pt idx="23">
                  <c:v>44096</c:v>
                </c:pt>
                <c:pt idx="24">
                  <c:v>81120</c:v>
                </c:pt>
                <c:pt idx="25">
                  <c:v>68848</c:v>
                </c:pt>
                <c:pt idx="26">
                  <c:v>56864</c:v>
                </c:pt>
                <c:pt idx="27">
                  <c:v>48256</c:v>
                </c:pt>
                <c:pt idx="28">
                  <c:v>48464</c:v>
                </c:pt>
                <c:pt idx="29">
                  <c:v>41184</c:v>
                </c:pt>
                <c:pt idx="30">
                  <c:v>74048</c:v>
                </c:pt>
                <c:pt idx="31">
                  <c:v>63024</c:v>
                </c:pt>
                <c:pt idx="32">
                  <c:v>30160</c:v>
                </c:pt>
                <c:pt idx="33">
                  <c:v>25584</c:v>
                </c:pt>
              </c:numCache>
            </c:numRef>
          </c:val>
        </c:ser>
        <c:ser>
          <c:idx val="2"/>
          <c:order val="2"/>
          <c:tx>
            <c:strRef>
              <c:f>'LSD.RID.0.AIAVG'!$E$2</c:f>
              <c:strCache>
                <c:ptCount val="1"/>
                <c:pt idx="0">
                  <c:v>Unauthorized Immigrant Annual Income Average (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'LSD.RID.0.AIAVG'!$E$4:$E$37</c:f>
              <c:numCache>
                <c:formatCode>[$$-409]#,##0;[RED]\-[$$-409]#,##0</c:formatCode>
                <c:ptCount val="34"/>
                <c:pt idx="0">
                  <c:v>37856</c:v>
                </c:pt>
                <c:pt idx="1">
                  <c:v>32240</c:v>
                </c:pt>
                <c:pt idx="2">
                  <c:v>44720</c:v>
                </c:pt>
                <c:pt idx="3">
                  <c:v>38064</c:v>
                </c:pt>
                <c:pt idx="4">
                  <c:v>24336</c:v>
                </c:pt>
                <c:pt idx="5">
                  <c:v>20592</c:v>
                </c:pt>
                <c:pt idx="6">
                  <c:v>28704</c:v>
                </c:pt>
                <c:pt idx="7">
                  <c:v>24336</c:v>
                </c:pt>
                <c:pt idx="8">
                  <c:v>43680</c:v>
                </c:pt>
                <c:pt idx="9">
                  <c:v>37232</c:v>
                </c:pt>
                <c:pt idx="10">
                  <c:v>44100</c:v>
                </c:pt>
                <c:pt idx="11">
                  <c:v>37440</c:v>
                </c:pt>
                <c:pt idx="12">
                  <c:v>37648</c:v>
                </c:pt>
                <c:pt idx="13">
                  <c:v>32032</c:v>
                </c:pt>
                <c:pt idx="14">
                  <c:v>28704</c:v>
                </c:pt>
                <c:pt idx="15">
                  <c:v>24336</c:v>
                </c:pt>
                <c:pt idx="16">
                  <c:v>52624</c:v>
                </c:pt>
                <c:pt idx="17">
                  <c:v>44720</c:v>
                </c:pt>
                <c:pt idx="18">
                  <c:v>74464</c:v>
                </c:pt>
                <c:pt idx="19">
                  <c:v>63232</c:v>
                </c:pt>
                <c:pt idx="20">
                  <c:v>96096</c:v>
                </c:pt>
                <c:pt idx="21">
                  <c:v>81744</c:v>
                </c:pt>
                <c:pt idx="22">
                  <c:v>47424</c:v>
                </c:pt>
                <c:pt idx="23">
                  <c:v>40352</c:v>
                </c:pt>
                <c:pt idx="24">
                  <c:v>74256</c:v>
                </c:pt>
                <c:pt idx="25">
                  <c:v>63024</c:v>
                </c:pt>
                <c:pt idx="26">
                  <c:v>52000</c:v>
                </c:pt>
                <c:pt idx="27">
                  <c:v>44100</c:v>
                </c:pt>
                <c:pt idx="28">
                  <c:v>44280</c:v>
                </c:pt>
                <c:pt idx="29">
                  <c:v>37648</c:v>
                </c:pt>
                <c:pt idx="30">
                  <c:v>67808</c:v>
                </c:pt>
                <c:pt idx="31">
                  <c:v>57616</c:v>
                </c:pt>
                <c:pt idx="32">
                  <c:v>26208</c:v>
                </c:pt>
                <c:pt idx="33">
                  <c:v>22256</c:v>
                </c:pt>
              </c:numCache>
            </c:numRef>
          </c:val>
        </c:ser>
        <c:ser>
          <c:idx val="3"/>
          <c:order val="3"/>
          <c:tx>
            <c:strRef>
              <c:f>'LSD.RID.0.AIAVG'!$F$2</c:f>
              <c:strCache>
                <c:ptCount val="1"/>
                <c:pt idx="0">
                  <c:v>American Annual Income Average (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'LSD.RID.0.AIAVG'!$F$4:$F$37</c:f>
              <c:numCache>
                <c:formatCode>[$$-409]#,##0;[RED]\-[$$-409]#,##0</c:formatCode>
                <c:ptCount val="34"/>
                <c:pt idx="0">
                  <c:v>46592</c:v>
                </c:pt>
                <c:pt idx="1">
                  <c:v>39520</c:v>
                </c:pt>
                <c:pt idx="2">
                  <c:v>53872</c:v>
                </c:pt>
                <c:pt idx="3">
                  <c:v>45760</c:v>
                </c:pt>
                <c:pt idx="4">
                  <c:v>29952</c:v>
                </c:pt>
                <c:pt idx="5">
                  <c:v>25584</c:v>
                </c:pt>
                <c:pt idx="6">
                  <c:v>35152</c:v>
                </c:pt>
                <c:pt idx="7">
                  <c:v>29952</c:v>
                </c:pt>
                <c:pt idx="8">
                  <c:v>51376</c:v>
                </c:pt>
                <c:pt idx="9">
                  <c:v>43680</c:v>
                </c:pt>
                <c:pt idx="10">
                  <c:v>51792</c:v>
                </c:pt>
                <c:pt idx="11">
                  <c:v>44096</c:v>
                </c:pt>
                <c:pt idx="12">
                  <c:v>46592</c:v>
                </c:pt>
                <c:pt idx="13">
                  <c:v>39520</c:v>
                </c:pt>
                <c:pt idx="14">
                  <c:v>35152</c:v>
                </c:pt>
                <c:pt idx="15">
                  <c:v>29952</c:v>
                </c:pt>
                <c:pt idx="16">
                  <c:v>61984</c:v>
                </c:pt>
                <c:pt idx="17">
                  <c:v>52624</c:v>
                </c:pt>
                <c:pt idx="18">
                  <c:v>87360</c:v>
                </c:pt>
                <c:pt idx="19">
                  <c:v>74256</c:v>
                </c:pt>
                <c:pt idx="20">
                  <c:v>112736</c:v>
                </c:pt>
                <c:pt idx="21">
                  <c:v>95680</c:v>
                </c:pt>
                <c:pt idx="22">
                  <c:v>55744</c:v>
                </c:pt>
                <c:pt idx="23">
                  <c:v>47424</c:v>
                </c:pt>
                <c:pt idx="24">
                  <c:v>86944</c:v>
                </c:pt>
                <c:pt idx="25">
                  <c:v>73840</c:v>
                </c:pt>
                <c:pt idx="26">
                  <c:v>60944</c:v>
                </c:pt>
                <c:pt idx="27">
                  <c:v>51792</c:v>
                </c:pt>
                <c:pt idx="28">
                  <c:v>52000</c:v>
                </c:pt>
                <c:pt idx="29">
                  <c:v>44280</c:v>
                </c:pt>
                <c:pt idx="30">
                  <c:v>79664</c:v>
                </c:pt>
                <c:pt idx="31">
                  <c:v>67600</c:v>
                </c:pt>
                <c:pt idx="32">
                  <c:v>32240</c:v>
                </c:pt>
                <c:pt idx="33">
                  <c:v>27456</c:v>
                </c:pt>
              </c:numCache>
            </c:numRef>
          </c:val>
        </c:ser>
        <c:gapWidth val="100"/>
        <c:overlap val="0"/>
        <c:axId val="29147564"/>
        <c:axId val="4809206"/>
      </c:barChart>
      <c:catAx>
        <c:axId val="2914756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47172644691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09206"/>
        <c:crosses val="autoZero"/>
        <c:auto val="1"/>
        <c:lblAlgn val="ctr"/>
        <c:lblOffset val="100"/>
        <c:noMultiLvlLbl val="0"/>
      </c:catAx>
      <c:valAx>
        <c:axId val="480920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385682203223"/>
              <c:y val="0.96981856675118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9147564"/>
        <c:crosses val="max"/>
        <c:crossBetween val="midCat"/>
        <c:majorUnit val="1000"/>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547417359442"/>
          <c:y val="0.011422663154526"/>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'LSD.RID.0.FPITREV'!$C$2</c:f>
              <c:strCache>
                <c:ptCount val="1"/>
                <c:pt idx="0">
                  <c:v>Federal Personal Income Tax Revenue ($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'LSD.RID.0.FPITREV'!$C$4:$C$37</c:f>
              <c:numCache>
                <c:formatCode>[$$-409]#,##0;\-[$$-409]#,##0</c:formatCode>
                <c:ptCount val="34"/>
                <c:pt idx="0">
                  <c:v>1800000</c:v>
                </c:pt>
                <c:pt idx="1">
                  <c:v>900000</c:v>
                </c:pt>
                <c:pt idx="2">
                  <c:v>5000000</c:v>
                </c:pt>
                <c:pt idx="3">
                  <c:v>2500000</c:v>
                </c:pt>
                <c:pt idx="4">
                  <c:v>36000000</c:v>
                </c:pt>
                <c:pt idx="5">
                  <c:v>18000000</c:v>
                </c:pt>
                <c:pt idx="6">
                  <c:v>5200000</c:v>
                </c:pt>
                <c:pt idx="7">
                  <c:v>2600000</c:v>
                </c:pt>
                <c:pt idx="8">
                  <c:v>69000000</c:v>
                </c:pt>
                <c:pt idx="9">
                  <c:v>34500000</c:v>
                </c:pt>
                <c:pt idx="10">
                  <c:v>23000000</c:v>
                </c:pt>
                <c:pt idx="11">
                  <c:v>11500000</c:v>
                </c:pt>
                <c:pt idx="12">
                  <c:v>48000000</c:v>
                </c:pt>
                <c:pt idx="13">
                  <c:v>24000000</c:v>
                </c:pt>
                <c:pt idx="14">
                  <c:v>3300000</c:v>
                </c:pt>
                <c:pt idx="15">
                  <c:v>1650000</c:v>
                </c:pt>
                <c:pt idx="16">
                  <c:v>2700000</c:v>
                </c:pt>
                <c:pt idx="17">
                  <c:v>1350000</c:v>
                </c:pt>
                <c:pt idx="18">
                  <c:v>104000000</c:v>
                </c:pt>
                <c:pt idx="19">
                  <c:v>52000000</c:v>
                </c:pt>
                <c:pt idx="20">
                  <c:v>66000000</c:v>
                </c:pt>
                <c:pt idx="21">
                  <c:v>33000000</c:v>
                </c:pt>
                <c:pt idx="22">
                  <c:v>42000000</c:v>
                </c:pt>
                <c:pt idx="23">
                  <c:v>21000000</c:v>
                </c:pt>
                <c:pt idx="24">
                  <c:v>30000000</c:v>
                </c:pt>
                <c:pt idx="25">
                  <c:v>15000000</c:v>
                </c:pt>
                <c:pt idx="26">
                  <c:v>9000000</c:v>
                </c:pt>
                <c:pt idx="27">
                  <c:v>4500000</c:v>
                </c:pt>
                <c:pt idx="28">
                  <c:v>120000000</c:v>
                </c:pt>
                <c:pt idx="29">
                  <c:v>60000000</c:v>
                </c:pt>
                <c:pt idx="30">
                  <c:v>5400000</c:v>
                </c:pt>
                <c:pt idx="31">
                  <c:v>2700000</c:v>
                </c:pt>
                <c:pt idx="32">
                  <c:v>3300000</c:v>
                </c:pt>
                <c:pt idx="33">
                  <c:v>1650000</c:v>
                </c:pt>
              </c:numCache>
            </c:numRef>
          </c:val>
        </c:ser>
        <c:ser>
          <c:idx val="1"/>
          <c:order val="1"/>
          <c:tx>
            <c:strRef>
              <c:f>'LSD.RID.0.FPITREV'!$D$2</c:f>
              <c:strCache>
                <c:ptCount val="1"/>
                <c:pt idx="0">
                  <c:v>Authorized Immigrant Federal Personal Income Tax Revenue (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'LSD.RID.0.FPITREV'!$D$4:$D$37</c:f>
              <c:numCache>
                <c:formatCode>[$$-409]#,##0;\-[$$-409]#,##0</c:formatCode>
                <c:ptCount val="34"/>
                <c:pt idx="0">
                  <c:v>61000</c:v>
                </c:pt>
                <c:pt idx="1">
                  <c:v>30500</c:v>
                </c:pt>
                <c:pt idx="2">
                  <c:v>170000</c:v>
                </c:pt>
                <c:pt idx="3">
                  <c:v>85000</c:v>
                </c:pt>
                <c:pt idx="4">
                  <c:v>1224000</c:v>
                </c:pt>
                <c:pt idx="5">
                  <c:v>612000</c:v>
                </c:pt>
                <c:pt idx="6">
                  <c:v>177000</c:v>
                </c:pt>
                <c:pt idx="7">
                  <c:v>88400</c:v>
                </c:pt>
                <c:pt idx="8">
                  <c:v>2346000</c:v>
                </c:pt>
                <c:pt idx="9">
                  <c:v>1173000</c:v>
                </c:pt>
                <c:pt idx="10">
                  <c:v>782000</c:v>
                </c:pt>
                <c:pt idx="11">
                  <c:v>391000</c:v>
                </c:pt>
                <c:pt idx="12">
                  <c:v>1632000</c:v>
                </c:pt>
                <c:pt idx="13">
                  <c:v>816000</c:v>
                </c:pt>
                <c:pt idx="14">
                  <c:v>112200</c:v>
                </c:pt>
                <c:pt idx="15">
                  <c:v>56100</c:v>
                </c:pt>
                <c:pt idx="16">
                  <c:v>91800</c:v>
                </c:pt>
                <c:pt idx="17">
                  <c:v>45900</c:v>
                </c:pt>
                <c:pt idx="18">
                  <c:v>3536000</c:v>
                </c:pt>
                <c:pt idx="19">
                  <c:v>1768000</c:v>
                </c:pt>
                <c:pt idx="20">
                  <c:v>2244000</c:v>
                </c:pt>
                <c:pt idx="21">
                  <c:v>1122000</c:v>
                </c:pt>
                <c:pt idx="22">
                  <c:v>1428000</c:v>
                </c:pt>
                <c:pt idx="23">
                  <c:v>714000</c:v>
                </c:pt>
                <c:pt idx="24">
                  <c:v>1020000</c:v>
                </c:pt>
                <c:pt idx="25">
                  <c:v>510000</c:v>
                </c:pt>
                <c:pt idx="26">
                  <c:v>306000</c:v>
                </c:pt>
                <c:pt idx="27">
                  <c:v>153000</c:v>
                </c:pt>
                <c:pt idx="28">
                  <c:v>4080000</c:v>
                </c:pt>
                <c:pt idx="29">
                  <c:v>2040000</c:v>
                </c:pt>
                <c:pt idx="30">
                  <c:v>183600</c:v>
                </c:pt>
                <c:pt idx="31">
                  <c:v>91800</c:v>
                </c:pt>
                <c:pt idx="32">
                  <c:v>112200</c:v>
                </c:pt>
                <c:pt idx="33">
                  <c:v>56100</c:v>
                </c:pt>
              </c:numCache>
            </c:numRef>
          </c:val>
        </c:ser>
        <c:ser>
          <c:idx val="2"/>
          <c:order val="2"/>
          <c:tx>
            <c:strRef>
              <c:f>'LSD.RID.0.FPITREV'!$E$2</c:f>
              <c:strCache>
                <c:ptCount val="1"/>
                <c:pt idx="0">
                  <c:v>Unauthorized Immigrant Federal Personal Income Tax Revenue ($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'LSD.RID.0.FPITREV'!$E$4:$E$37</c:f>
              <c:numCache>
                <c:formatCode>[$$-409]#,##0;\-[$$-409]#,##0</c:formatCode>
                <c:ptCount val="34"/>
                <c:pt idx="0">
                  <c:v>98000</c:v>
                </c:pt>
                <c:pt idx="1">
                  <c:v>49000</c:v>
                </c:pt>
                <c:pt idx="2">
                  <c:v>90000</c:v>
                </c:pt>
                <c:pt idx="3">
                  <c:v>45000</c:v>
                </c:pt>
                <c:pt idx="4">
                  <c:v>648000</c:v>
                </c:pt>
                <c:pt idx="5">
                  <c:v>324000</c:v>
                </c:pt>
                <c:pt idx="6">
                  <c:v>93600</c:v>
                </c:pt>
                <c:pt idx="7">
                  <c:v>46800</c:v>
                </c:pt>
                <c:pt idx="8">
                  <c:v>1242000</c:v>
                </c:pt>
                <c:pt idx="9">
                  <c:v>621000</c:v>
                </c:pt>
                <c:pt idx="10">
                  <c:v>414000</c:v>
                </c:pt>
                <c:pt idx="11">
                  <c:v>207000</c:v>
                </c:pt>
                <c:pt idx="12">
                  <c:v>864000</c:v>
                </c:pt>
                <c:pt idx="13">
                  <c:v>432000</c:v>
                </c:pt>
                <c:pt idx="14">
                  <c:v>59400</c:v>
                </c:pt>
                <c:pt idx="15">
                  <c:v>29700</c:v>
                </c:pt>
                <c:pt idx="16">
                  <c:v>48600</c:v>
                </c:pt>
                <c:pt idx="17">
                  <c:v>24300</c:v>
                </c:pt>
                <c:pt idx="18">
                  <c:v>1872000</c:v>
                </c:pt>
                <c:pt idx="19">
                  <c:v>936000</c:v>
                </c:pt>
                <c:pt idx="20">
                  <c:v>1188000</c:v>
                </c:pt>
                <c:pt idx="21">
                  <c:v>594000</c:v>
                </c:pt>
                <c:pt idx="22">
                  <c:v>756000</c:v>
                </c:pt>
                <c:pt idx="23">
                  <c:v>378000</c:v>
                </c:pt>
                <c:pt idx="24">
                  <c:v>540000</c:v>
                </c:pt>
                <c:pt idx="25">
                  <c:v>270000</c:v>
                </c:pt>
                <c:pt idx="26">
                  <c:v>162000</c:v>
                </c:pt>
                <c:pt idx="27">
                  <c:v>81000</c:v>
                </c:pt>
                <c:pt idx="28">
                  <c:v>2160000</c:v>
                </c:pt>
                <c:pt idx="29">
                  <c:v>1080000</c:v>
                </c:pt>
                <c:pt idx="30">
                  <c:v>97200</c:v>
                </c:pt>
                <c:pt idx="31">
                  <c:v>48600</c:v>
                </c:pt>
                <c:pt idx="32">
                  <c:v>59400</c:v>
                </c:pt>
                <c:pt idx="33">
                  <c:v>29700</c:v>
                </c:pt>
              </c:numCache>
            </c:numRef>
          </c:val>
        </c:ser>
        <c:ser>
          <c:idx val="3"/>
          <c:order val="3"/>
          <c:tx>
            <c:strRef>
              <c:f>'LSD.RID.0.FPITREV'!$F$2</c:f>
              <c:strCache>
                <c:ptCount val="1"/>
                <c:pt idx="0">
                  <c:v>American Federal Personal Income Tax Revenue (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'LSD.RID.0.FPITREV'!$F$4:$F$37</c:f>
              <c:numCache>
                <c:formatCode>[$$-409]#,##0;\-[$$-409]#,##0</c:formatCode>
                <c:ptCount val="34"/>
                <c:pt idx="0">
                  <c:v>1641000</c:v>
                </c:pt>
                <c:pt idx="1">
                  <c:v>820500</c:v>
                </c:pt>
                <c:pt idx="2">
                  <c:v>4740000</c:v>
                </c:pt>
                <c:pt idx="3">
                  <c:v>2370000</c:v>
                </c:pt>
                <c:pt idx="4">
                  <c:v>34137600</c:v>
                </c:pt>
                <c:pt idx="5">
                  <c:v>17068800</c:v>
                </c:pt>
                <c:pt idx="6">
                  <c:v>4928400</c:v>
                </c:pt>
                <c:pt idx="7">
                  <c:v>2464200</c:v>
                </c:pt>
                <c:pt idx="8">
                  <c:v>65418000</c:v>
                </c:pt>
                <c:pt idx="9">
                  <c:v>32709000</c:v>
                </c:pt>
                <c:pt idx="10">
                  <c:v>21796000</c:v>
                </c:pt>
                <c:pt idx="11">
                  <c:v>10898000</c:v>
                </c:pt>
                <c:pt idx="12">
                  <c:v>45528000</c:v>
                </c:pt>
                <c:pt idx="13">
                  <c:v>22764000</c:v>
                </c:pt>
                <c:pt idx="14">
                  <c:v>3132600</c:v>
                </c:pt>
                <c:pt idx="15">
                  <c:v>1566300</c:v>
                </c:pt>
                <c:pt idx="16">
                  <c:v>2554200</c:v>
                </c:pt>
                <c:pt idx="17">
                  <c:v>1277100</c:v>
                </c:pt>
                <c:pt idx="18">
                  <c:v>98566400</c:v>
                </c:pt>
                <c:pt idx="19">
                  <c:v>49283200</c:v>
                </c:pt>
                <c:pt idx="20">
                  <c:v>62598000</c:v>
                </c:pt>
                <c:pt idx="21">
                  <c:v>31299000</c:v>
                </c:pt>
                <c:pt idx="22">
                  <c:v>39823200</c:v>
                </c:pt>
                <c:pt idx="23">
                  <c:v>19911600</c:v>
                </c:pt>
                <c:pt idx="24">
                  <c:v>28458000</c:v>
                </c:pt>
                <c:pt idx="25">
                  <c:v>14229000</c:v>
                </c:pt>
                <c:pt idx="26">
                  <c:v>8532000</c:v>
                </c:pt>
                <c:pt idx="27">
                  <c:v>4266000</c:v>
                </c:pt>
                <c:pt idx="28">
                  <c:v>113520000</c:v>
                </c:pt>
                <c:pt idx="29">
                  <c:v>56760000</c:v>
                </c:pt>
                <c:pt idx="30">
                  <c:v>5122800</c:v>
                </c:pt>
                <c:pt idx="31">
                  <c:v>2561400</c:v>
                </c:pt>
                <c:pt idx="32">
                  <c:v>3127800</c:v>
                </c:pt>
                <c:pt idx="33">
                  <c:v>1563900</c:v>
                </c:pt>
              </c:numCache>
            </c:numRef>
          </c:val>
        </c:ser>
        <c:gapWidth val="100"/>
        <c:overlap val="0"/>
        <c:axId val="56877235"/>
        <c:axId val="68045968"/>
      </c:barChart>
      <c:catAx>
        <c:axId val="5687723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47172644691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045968"/>
        <c:crosses val="autoZero"/>
        <c:auto val="1"/>
        <c:lblAlgn val="ctr"/>
        <c:lblOffset val="100"/>
        <c:noMultiLvlLbl val="0"/>
      </c:catAx>
      <c:valAx>
        <c:axId val="6804596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331271423506"/>
              <c:y val="0.96981856675118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877235"/>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Payroll Tax Revenue</a:t>
            </a:r>
          </a:p>
        </c:rich>
      </c:tx>
      <c:layout>
        <c:manualLayout>
          <c:xMode val="edge"/>
          <c:yMode val="edge"/>
          <c:x val="0.261258421653993"/>
          <c:y val="0.011422663154526"/>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'LSD.RID.0.FPPTREV'!$C$2</c:f>
              <c:strCache>
                <c:ptCount val="1"/>
                <c:pt idx="0">
                  <c:v>Federal Personal Income Tax Revenue ($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'LSD.RID.0.FPPTREV'!$C$4:$C$37</c:f>
              <c:numCache>
                <c:formatCode>[$$-409]#,##0;\-[$$-409]#,##0</c:formatCode>
                <c:ptCount val="34"/>
                <c:pt idx="0">
                  <c:v>1800000</c:v>
                </c:pt>
                <c:pt idx="1">
                  <c:v>900000</c:v>
                </c:pt>
                <c:pt idx="2">
                  <c:v>5000000</c:v>
                </c:pt>
                <c:pt idx="3">
                  <c:v>2500000</c:v>
                </c:pt>
                <c:pt idx="4">
                  <c:v>36000000</c:v>
                </c:pt>
                <c:pt idx="5">
                  <c:v>18000000</c:v>
                </c:pt>
                <c:pt idx="6">
                  <c:v>5200000</c:v>
                </c:pt>
                <c:pt idx="7">
                  <c:v>2600000</c:v>
                </c:pt>
                <c:pt idx="8">
                  <c:v>69000000</c:v>
                </c:pt>
                <c:pt idx="9">
                  <c:v>34500000</c:v>
                </c:pt>
                <c:pt idx="10">
                  <c:v>23000000</c:v>
                </c:pt>
                <c:pt idx="11">
                  <c:v>11500000</c:v>
                </c:pt>
                <c:pt idx="12">
                  <c:v>48000000</c:v>
                </c:pt>
                <c:pt idx="13">
                  <c:v>24000000</c:v>
                </c:pt>
                <c:pt idx="14">
                  <c:v>3300000</c:v>
                </c:pt>
                <c:pt idx="15">
                  <c:v>1650000</c:v>
                </c:pt>
                <c:pt idx="16">
                  <c:v>2700000</c:v>
                </c:pt>
                <c:pt idx="17">
                  <c:v>1350000</c:v>
                </c:pt>
                <c:pt idx="18">
                  <c:v>104000000</c:v>
                </c:pt>
                <c:pt idx="19">
                  <c:v>52000000</c:v>
                </c:pt>
                <c:pt idx="20">
                  <c:v>66000000</c:v>
                </c:pt>
                <c:pt idx="21">
                  <c:v>33000000</c:v>
                </c:pt>
                <c:pt idx="22">
                  <c:v>42000000</c:v>
                </c:pt>
                <c:pt idx="23">
                  <c:v>21000000</c:v>
                </c:pt>
                <c:pt idx="24">
                  <c:v>30000000</c:v>
                </c:pt>
                <c:pt idx="25">
                  <c:v>15000000</c:v>
                </c:pt>
                <c:pt idx="26">
                  <c:v>9000000</c:v>
                </c:pt>
                <c:pt idx="27">
                  <c:v>4500000</c:v>
                </c:pt>
                <c:pt idx="28">
                  <c:v>120000000</c:v>
                </c:pt>
                <c:pt idx="29">
                  <c:v>60000000</c:v>
                </c:pt>
                <c:pt idx="30">
                  <c:v>5400000</c:v>
                </c:pt>
                <c:pt idx="31">
                  <c:v>2700000</c:v>
                </c:pt>
                <c:pt idx="32">
                  <c:v>3300000</c:v>
                </c:pt>
                <c:pt idx="33">
                  <c:v>1650000</c:v>
                </c:pt>
              </c:numCache>
            </c:numRef>
          </c:val>
        </c:ser>
        <c:ser>
          <c:idx val="1"/>
          <c:order val="1"/>
          <c:tx>
            <c:strRef>
              <c:f>'LSD.RID.0.FPPTREV'!$D$2</c:f>
              <c:strCache>
                <c:ptCount val="1"/>
                <c:pt idx="0">
                  <c:v>Authorized Immigrant Federal Personal Income Tax Revenue (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'LSD.RID.0.FPPTREV'!$D$4:$D$37</c:f>
              <c:numCache>
                <c:formatCode>[$$-409]#,##0;\-[$$-409]#,##0</c:formatCode>
                <c:ptCount val="34"/>
                <c:pt idx="0">
                  <c:v>61000</c:v>
                </c:pt>
                <c:pt idx="1">
                  <c:v>30500</c:v>
                </c:pt>
                <c:pt idx="2">
                  <c:v>170000</c:v>
                </c:pt>
                <c:pt idx="3">
                  <c:v>85000</c:v>
                </c:pt>
                <c:pt idx="4">
                  <c:v>1224000</c:v>
                </c:pt>
                <c:pt idx="5">
                  <c:v>612000</c:v>
                </c:pt>
                <c:pt idx="6">
                  <c:v>177000</c:v>
                </c:pt>
                <c:pt idx="7">
                  <c:v>88400</c:v>
                </c:pt>
                <c:pt idx="8">
                  <c:v>2346000</c:v>
                </c:pt>
                <c:pt idx="9">
                  <c:v>1173000</c:v>
                </c:pt>
                <c:pt idx="10">
                  <c:v>782000</c:v>
                </c:pt>
                <c:pt idx="11">
                  <c:v>391000</c:v>
                </c:pt>
                <c:pt idx="12">
                  <c:v>1632000</c:v>
                </c:pt>
                <c:pt idx="13">
                  <c:v>816000</c:v>
                </c:pt>
                <c:pt idx="14">
                  <c:v>112200</c:v>
                </c:pt>
                <c:pt idx="15">
                  <c:v>56100</c:v>
                </c:pt>
                <c:pt idx="16">
                  <c:v>91800</c:v>
                </c:pt>
                <c:pt idx="17">
                  <c:v>45900</c:v>
                </c:pt>
                <c:pt idx="18">
                  <c:v>3536000</c:v>
                </c:pt>
                <c:pt idx="19">
                  <c:v>1768000</c:v>
                </c:pt>
                <c:pt idx="20">
                  <c:v>2244000</c:v>
                </c:pt>
                <c:pt idx="21">
                  <c:v>1122000</c:v>
                </c:pt>
                <c:pt idx="22">
                  <c:v>1428000</c:v>
                </c:pt>
                <c:pt idx="23">
                  <c:v>714000</c:v>
                </c:pt>
                <c:pt idx="24">
                  <c:v>1020000</c:v>
                </c:pt>
                <c:pt idx="25">
                  <c:v>510000</c:v>
                </c:pt>
                <c:pt idx="26">
                  <c:v>306000</c:v>
                </c:pt>
                <c:pt idx="27">
                  <c:v>153000</c:v>
                </c:pt>
                <c:pt idx="28">
                  <c:v>4080000</c:v>
                </c:pt>
                <c:pt idx="29">
                  <c:v>2040000</c:v>
                </c:pt>
                <c:pt idx="30">
                  <c:v>183600</c:v>
                </c:pt>
                <c:pt idx="31">
                  <c:v>91800</c:v>
                </c:pt>
                <c:pt idx="32">
                  <c:v>112200</c:v>
                </c:pt>
                <c:pt idx="33">
                  <c:v>56100</c:v>
                </c:pt>
              </c:numCache>
            </c:numRef>
          </c:val>
        </c:ser>
        <c:ser>
          <c:idx val="2"/>
          <c:order val="2"/>
          <c:tx>
            <c:strRef>
              <c:f>'LSD.RID.0.FPPTREV'!$E$2</c:f>
              <c:strCache>
                <c:ptCount val="1"/>
                <c:pt idx="0">
                  <c:v>Unauthorized Immigrant Federal Personal Income Tax Revenue ($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'LSD.RID.0.FPPTREV'!$E$4:$E$37</c:f>
              <c:numCache>
                <c:formatCode>[$$-409]#,##0;\-[$$-409]#,##0</c:formatCode>
                <c:ptCount val="34"/>
                <c:pt idx="0">
                  <c:v>98000</c:v>
                </c:pt>
                <c:pt idx="1">
                  <c:v>49000</c:v>
                </c:pt>
                <c:pt idx="2">
                  <c:v>90000</c:v>
                </c:pt>
                <c:pt idx="3">
                  <c:v>45000</c:v>
                </c:pt>
                <c:pt idx="4">
                  <c:v>648000</c:v>
                </c:pt>
                <c:pt idx="5">
                  <c:v>324000</c:v>
                </c:pt>
                <c:pt idx="6">
                  <c:v>93600</c:v>
                </c:pt>
                <c:pt idx="7">
                  <c:v>46800</c:v>
                </c:pt>
                <c:pt idx="8">
                  <c:v>1242000</c:v>
                </c:pt>
                <c:pt idx="9">
                  <c:v>621000</c:v>
                </c:pt>
                <c:pt idx="10">
                  <c:v>414000</c:v>
                </c:pt>
                <c:pt idx="11">
                  <c:v>207000</c:v>
                </c:pt>
                <c:pt idx="12">
                  <c:v>864000</c:v>
                </c:pt>
                <c:pt idx="13">
                  <c:v>432000</c:v>
                </c:pt>
                <c:pt idx="14">
                  <c:v>59400</c:v>
                </c:pt>
                <c:pt idx="15">
                  <c:v>29700</c:v>
                </c:pt>
                <c:pt idx="16">
                  <c:v>48600</c:v>
                </c:pt>
                <c:pt idx="17">
                  <c:v>24300</c:v>
                </c:pt>
                <c:pt idx="18">
                  <c:v>1872000</c:v>
                </c:pt>
                <c:pt idx="19">
                  <c:v>936000</c:v>
                </c:pt>
                <c:pt idx="20">
                  <c:v>1188000</c:v>
                </c:pt>
                <c:pt idx="21">
                  <c:v>594000</c:v>
                </c:pt>
                <c:pt idx="22">
                  <c:v>756000</c:v>
                </c:pt>
                <c:pt idx="23">
                  <c:v>378000</c:v>
                </c:pt>
                <c:pt idx="24">
                  <c:v>540000</c:v>
                </c:pt>
                <c:pt idx="25">
                  <c:v>270000</c:v>
                </c:pt>
                <c:pt idx="26">
                  <c:v>162000</c:v>
                </c:pt>
                <c:pt idx="27">
                  <c:v>81000</c:v>
                </c:pt>
                <c:pt idx="28">
                  <c:v>2160000</c:v>
                </c:pt>
                <c:pt idx="29">
                  <c:v>1080000</c:v>
                </c:pt>
                <c:pt idx="30">
                  <c:v>97200</c:v>
                </c:pt>
                <c:pt idx="31">
                  <c:v>48600</c:v>
                </c:pt>
                <c:pt idx="32">
                  <c:v>59400</c:v>
                </c:pt>
                <c:pt idx="33">
                  <c:v>29700</c:v>
                </c:pt>
              </c:numCache>
            </c:numRef>
          </c:val>
        </c:ser>
        <c:ser>
          <c:idx val="3"/>
          <c:order val="3"/>
          <c:tx>
            <c:strRef>
              <c:f>'LSD.RID.0.FPPTREV'!$F$2</c:f>
              <c:strCache>
                <c:ptCount val="1"/>
                <c:pt idx="0">
                  <c:v>American Federal Personal Income Tax Revenue (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'LSD.RID.0.FPPTREV'!$F$4:$F$37</c:f>
              <c:numCache>
                <c:formatCode>[$$-409]#,##0;\-[$$-409]#,##0</c:formatCode>
                <c:ptCount val="34"/>
                <c:pt idx="0">
                  <c:v>1641000</c:v>
                </c:pt>
                <c:pt idx="1">
                  <c:v>820500</c:v>
                </c:pt>
                <c:pt idx="2">
                  <c:v>4740000</c:v>
                </c:pt>
                <c:pt idx="3">
                  <c:v>2370000</c:v>
                </c:pt>
                <c:pt idx="4">
                  <c:v>34137600</c:v>
                </c:pt>
                <c:pt idx="5">
                  <c:v>17068800</c:v>
                </c:pt>
                <c:pt idx="6">
                  <c:v>4928400</c:v>
                </c:pt>
                <c:pt idx="7">
                  <c:v>2464200</c:v>
                </c:pt>
                <c:pt idx="8">
                  <c:v>65418000</c:v>
                </c:pt>
                <c:pt idx="9">
                  <c:v>32709000</c:v>
                </c:pt>
                <c:pt idx="10">
                  <c:v>21796000</c:v>
                </c:pt>
                <c:pt idx="11">
                  <c:v>10898000</c:v>
                </c:pt>
                <c:pt idx="12">
                  <c:v>45528000</c:v>
                </c:pt>
                <c:pt idx="13">
                  <c:v>22764000</c:v>
                </c:pt>
                <c:pt idx="14">
                  <c:v>3132600</c:v>
                </c:pt>
                <c:pt idx="15">
                  <c:v>1566300</c:v>
                </c:pt>
                <c:pt idx="16">
                  <c:v>2554200</c:v>
                </c:pt>
                <c:pt idx="17">
                  <c:v>1277100</c:v>
                </c:pt>
                <c:pt idx="18">
                  <c:v>98566400</c:v>
                </c:pt>
                <c:pt idx="19">
                  <c:v>49283200</c:v>
                </c:pt>
                <c:pt idx="20">
                  <c:v>62598000</c:v>
                </c:pt>
                <c:pt idx="21">
                  <c:v>31299000</c:v>
                </c:pt>
                <c:pt idx="22">
                  <c:v>39823200</c:v>
                </c:pt>
                <c:pt idx="23">
                  <c:v>19911600</c:v>
                </c:pt>
                <c:pt idx="24">
                  <c:v>28458000</c:v>
                </c:pt>
                <c:pt idx="25">
                  <c:v>14229000</c:v>
                </c:pt>
                <c:pt idx="26">
                  <c:v>8532000</c:v>
                </c:pt>
                <c:pt idx="27">
                  <c:v>4266000</c:v>
                </c:pt>
                <c:pt idx="28">
                  <c:v>113520000</c:v>
                </c:pt>
                <c:pt idx="29">
                  <c:v>56760000</c:v>
                </c:pt>
                <c:pt idx="30">
                  <c:v>5122800</c:v>
                </c:pt>
                <c:pt idx="31">
                  <c:v>2561400</c:v>
                </c:pt>
                <c:pt idx="32">
                  <c:v>3127800</c:v>
                </c:pt>
                <c:pt idx="33">
                  <c:v>1563900</c:v>
                </c:pt>
              </c:numCache>
            </c:numRef>
          </c:val>
        </c:ser>
        <c:gapWidth val="100"/>
        <c:overlap val="0"/>
        <c:axId val="31678862"/>
        <c:axId val="45438421"/>
      </c:barChart>
      <c:catAx>
        <c:axId val="3167886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3486374042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438421"/>
        <c:crosses val="autoZero"/>
        <c:auto val="1"/>
        <c:lblAlgn val="ctr"/>
        <c:lblOffset val="100"/>
        <c:noMultiLvlLbl val="0"/>
      </c:catAx>
      <c:valAx>
        <c:axId val="4543842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2528269177731"/>
              <c:y val="0.96981856675118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1678862"/>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4198416138056"/>
          <c:y val="0.011422663154526"/>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'LSD.RID.0.EITCREF'!$C$4:$C$37</c:f>
              <c:numCache>
                <c:formatCode>[$$-409]#,##0;\-[$$-409]#,##0</c:formatCode>
                <c:ptCount val="34"/>
                <c:pt idx="0">
                  <c:v>90000</c:v>
                </c:pt>
                <c:pt idx="1">
                  <c:v>45000</c:v>
                </c:pt>
                <c:pt idx="2">
                  <c:v>500000</c:v>
                </c:pt>
                <c:pt idx="3">
                  <c:v>250000</c:v>
                </c:pt>
                <c:pt idx="4">
                  <c:v>1800000</c:v>
                </c:pt>
                <c:pt idx="5">
                  <c:v>900000</c:v>
                </c:pt>
                <c:pt idx="6">
                  <c:v>650000</c:v>
                </c:pt>
                <c:pt idx="7">
                  <c:v>325000</c:v>
                </c:pt>
                <c:pt idx="8">
                  <c:v>2700000</c:v>
                </c:pt>
                <c:pt idx="9">
                  <c:v>1350000</c:v>
                </c:pt>
                <c:pt idx="10">
                  <c:v>900000</c:v>
                </c:pt>
                <c:pt idx="11">
                  <c:v>450000</c:v>
                </c:pt>
                <c:pt idx="12">
                  <c:v>2400000</c:v>
                </c:pt>
                <c:pt idx="13">
                  <c:v>1200000</c:v>
                </c:pt>
                <c:pt idx="14">
                  <c:v>330000</c:v>
                </c:pt>
                <c:pt idx="15">
                  <c:v>165000</c:v>
                </c:pt>
                <c:pt idx="16">
                  <c:v>270000</c:v>
                </c:pt>
                <c:pt idx="17">
                  <c:v>135000</c:v>
                </c:pt>
                <c:pt idx="18">
                  <c:v>5200000</c:v>
                </c:pt>
                <c:pt idx="19">
                  <c:v>2600000</c:v>
                </c:pt>
                <c:pt idx="20">
                  <c:v>3300000</c:v>
                </c:pt>
                <c:pt idx="21">
                  <c:v>1650000</c:v>
                </c:pt>
                <c:pt idx="22">
                  <c:v>2100000</c:v>
                </c:pt>
                <c:pt idx="23">
                  <c:v>1050000</c:v>
                </c:pt>
                <c:pt idx="24">
                  <c:v>1500000</c:v>
                </c:pt>
                <c:pt idx="25">
                  <c:v>750000</c:v>
                </c:pt>
                <c:pt idx="26">
                  <c:v>450000</c:v>
                </c:pt>
                <c:pt idx="27">
                  <c:v>225000</c:v>
                </c:pt>
                <c:pt idx="28">
                  <c:v>6000000</c:v>
                </c:pt>
                <c:pt idx="29">
                  <c:v>3000000</c:v>
                </c:pt>
                <c:pt idx="30">
                  <c:v>2700000</c:v>
                </c:pt>
                <c:pt idx="31">
                  <c:v>1350000</c:v>
                </c:pt>
                <c:pt idx="32">
                  <c:v>1650000</c:v>
                </c:pt>
                <c:pt idx="33">
                  <c:v>825000</c:v>
                </c:pt>
              </c:numCache>
            </c:numRef>
          </c:val>
        </c:ser>
        <c:ser>
          <c:idx val="1"/>
          <c:order val="1"/>
          <c:tx>
            <c:strRef>
              <c:f>'LSD.RID.0.EITCREF'!$D$2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'LSD.RID.0.EITCREF'!$D$4:$D$37</c:f>
              <c:numCache>
                <c:formatCode>[$$-409]#,##0;\-[$$-409]#,##0</c:formatCode>
                <c:ptCount val="34"/>
                <c:pt idx="0">
                  <c:v>18000</c:v>
                </c:pt>
                <c:pt idx="1">
                  <c:v>9000</c:v>
                </c:pt>
                <c:pt idx="2">
                  <c:v>100000</c:v>
                </c:pt>
                <c:pt idx="3">
                  <c:v>50000</c:v>
                </c:pt>
                <c:pt idx="4">
                  <c:v>360000</c:v>
                </c:pt>
                <c:pt idx="5">
                  <c:v>180000</c:v>
                </c:pt>
                <c:pt idx="6">
                  <c:v>130000</c:v>
                </c:pt>
                <c:pt idx="7">
                  <c:v>65000</c:v>
                </c:pt>
                <c:pt idx="8">
                  <c:v>540000</c:v>
                </c:pt>
                <c:pt idx="9">
                  <c:v>270000</c:v>
                </c:pt>
                <c:pt idx="10">
                  <c:v>180000</c:v>
                </c:pt>
                <c:pt idx="11">
                  <c:v>90000</c:v>
                </c:pt>
                <c:pt idx="12">
                  <c:v>480000</c:v>
                </c:pt>
                <c:pt idx="13">
                  <c:v>240000</c:v>
                </c:pt>
                <c:pt idx="14">
                  <c:v>66000</c:v>
                </c:pt>
                <c:pt idx="15">
                  <c:v>33000</c:v>
                </c:pt>
                <c:pt idx="16">
                  <c:v>54000</c:v>
                </c:pt>
                <c:pt idx="17">
                  <c:v>27000</c:v>
                </c:pt>
                <c:pt idx="18">
                  <c:v>1040000</c:v>
                </c:pt>
                <c:pt idx="19">
                  <c:v>520000</c:v>
                </c:pt>
                <c:pt idx="20">
                  <c:v>660000</c:v>
                </c:pt>
                <c:pt idx="21">
                  <c:v>330000</c:v>
                </c:pt>
                <c:pt idx="22">
                  <c:v>420000</c:v>
                </c:pt>
                <c:pt idx="23">
                  <c:v>210000</c:v>
                </c:pt>
                <c:pt idx="24">
                  <c:v>300000</c:v>
                </c:pt>
                <c:pt idx="25">
                  <c:v>150000</c:v>
                </c:pt>
                <c:pt idx="26">
                  <c:v>90000</c:v>
                </c:pt>
                <c:pt idx="27">
                  <c:v>45000</c:v>
                </c:pt>
                <c:pt idx="28">
                  <c:v>1200000</c:v>
                </c:pt>
                <c:pt idx="29">
                  <c:v>600000</c:v>
                </c:pt>
                <c:pt idx="30">
                  <c:v>540000</c:v>
                </c:pt>
                <c:pt idx="31">
                  <c:v>270000</c:v>
                </c:pt>
                <c:pt idx="32">
                  <c:v>330000</c:v>
                </c:pt>
                <c:pt idx="33">
                  <c:v>165000</c:v>
                </c:pt>
              </c:numCache>
            </c:numRef>
          </c:val>
        </c:ser>
        <c:ser>
          <c:idx val="2"/>
          <c:order val="2"/>
          <c:tx>
            <c:strRef>
              <c:f>'LSD.RID.0.EITCREF'!$E$2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'LSD.RID.0.EITCREF'!$E$4:$E$37</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'LSD.RID.0.EITCREF'!$F$2</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'LSD.RID.0.EITCREF'!$F$4:$F$37</c:f>
              <c:numCache>
                <c:formatCode>[$$-409]#,##0;\-[$$-409]#,##0</c:formatCode>
                <c:ptCount val="34"/>
                <c:pt idx="0">
                  <c:v>72000</c:v>
                </c:pt>
                <c:pt idx="1">
                  <c:v>36000</c:v>
                </c:pt>
                <c:pt idx="2">
                  <c:v>400000</c:v>
                </c:pt>
                <c:pt idx="3">
                  <c:v>200000</c:v>
                </c:pt>
                <c:pt idx="4">
                  <c:v>1440000</c:v>
                </c:pt>
                <c:pt idx="5">
                  <c:v>720000</c:v>
                </c:pt>
                <c:pt idx="6">
                  <c:v>520000</c:v>
                </c:pt>
                <c:pt idx="7">
                  <c:v>260000</c:v>
                </c:pt>
                <c:pt idx="8">
                  <c:v>2160000</c:v>
                </c:pt>
                <c:pt idx="9">
                  <c:v>1080000</c:v>
                </c:pt>
                <c:pt idx="10">
                  <c:v>720000</c:v>
                </c:pt>
                <c:pt idx="11">
                  <c:v>360000</c:v>
                </c:pt>
                <c:pt idx="12">
                  <c:v>1920000</c:v>
                </c:pt>
                <c:pt idx="13">
                  <c:v>960000</c:v>
                </c:pt>
                <c:pt idx="14">
                  <c:v>264000</c:v>
                </c:pt>
                <c:pt idx="15">
                  <c:v>132000</c:v>
                </c:pt>
                <c:pt idx="16">
                  <c:v>216000</c:v>
                </c:pt>
                <c:pt idx="17">
                  <c:v>108000</c:v>
                </c:pt>
                <c:pt idx="18">
                  <c:v>4160000</c:v>
                </c:pt>
                <c:pt idx="19">
                  <c:v>2080000</c:v>
                </c:pt>
                <c:pt idx="20">
                  <c:v>2640000</c:v>
                </c:pt>
                <c:pt idx="21">
                  <c:v>1320000</c:v>
                </c:pt>
                <c:pt idx="22">
                  <c:v>1680000</c:v>
                </c:pt>
                <c:pt idx="23">
                  <c:v>840000</c:v>
                </c:pt>
                <c:pt idx="24">
                  <c:v>1200000</c:v>
                </c:pt>
                <c:pt idx="25">
                  <c:v>600000</c:v>
                </c:pt>
                <c:pt idx="26">
                  <c:v>360000</c:v>
                </c:pt>
                <c:pt idx="27">
                  <c:v>180000</c:v>
                </c:pt>
                <c:pt idx="28">
                  <c:v>4800000</c:v>
                </c:pt>
                <c:pt idx="29">
                  <c:v>2400000</c:v>
                </c:pt>
                <c:pt idx="30">
                  <c:v>2160000</c:v>
                </c:pt>
                <c:pt idx="31">
                  <c:v>1080000</c:v>
                </c:pt>
                <c:pt idx="32">
                  <c:v>1320000</c:v>
                </c:pt>
                <c:pt idx="33">
                  <c:v>660000</c:v>
                </c:pt>
              </c:numCache>
            </c:numRef>
          </c:val>
        </c:ser>
        <c:gapWidth val="100"/>
        <c:overlap val="0"/>
        <c:axId val="28517317"/>
        <c:axId val="25471843"/>
      </c:barChart>
      <c:catAx>
        <c:axId val="2851731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32401959577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471843"/>
        <c:crosses val="autoZero"/>
        <c:auto val="1"/>
        <c:lblAlgn val="ctr"/>
        <c:lblOffset val="100"/>
        <c:noMultiLvlLbl val="0"/>
      </c:catAx>
      <c:valAx>
        <c:axId val="2547184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567668728577"/>
              <c:y val="0.96981856675118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8517317"/>
        <c:crosses val="max"/>
        <c:crossBetween val="midCat"/>
        <c:majorUnit val="100000"/>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252826917773"/>
          <c:y val="0.011422663154526"/>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'LSD.RID.0.ACTCREF'!$C$4:$C$37</c:f>
              <c:numCache>
                <c:formatCode>[$$-409]#,##0;\-[$$-409]#,##0</c:formatCode>
                <c:ptCount val="34"/>
                <c:pt idx="0">
                  <c:v>45000</c:v>
                </c:pt>
                <c:pt idx="1">
                  <c:v>22500</c:v>
                </c:pt>
                <c:pt idx="2">
                  <c:v>250000</c:v>
                </c:pt>
                <c:pt idx="3">
                  <c:v>125000</c:v>
                </c:pt>
                <c:pt idx="4">
                  <c:v>900000</c:v>
                </c:pt>
                <c:pt idx="5">
                  <c:v>450000</c:v>
                </c:pt>
                <c:pt idx="6">
                  <c:v>325000</c:v>
                </c:pt>
                <c:pt idx="7">
                  <c:v>162500</c:v>
                </c:pt>
                <c:pt idx="8">
                  <c:v>1350000</c:v>
                </c:pt>
                <c:pt idx="9">
                  <c:v>675000</c:v>
                </c:pt>
                <c:pt idx="10">
                  <c:v>450000</c:v>
                </c:pt>
                <c:pt idx="11">
                  <c:v>225000</c:v>
                </c:pt>
                <c:pt idx="12">
                  <c:v>1200000</c:v>
                </c:pt>
                <c:pt idx="13">
                  <c:v>600000</c:v>
                </c:pt>
                <c:pt idx="14">
                  <c:v>165000</c:v>
                </c:pt>
                <c:pt idx="15">
                  <c:v>82500</c:v>
                </c:pt>
                <c:pt idx="16">
                  <c:v>135000</c:v>
                </c:pt>
                <c:pt idx="17">
                  <c:v>67500</c:v>
                </c:pt>
                <c:pt idx="18">
                  <c:v>2600000</c:v>
                </c:pt>
                <c:pt idx="19">
                  <c:v>1300000</c:v>
                </c:pt>
                <c:pt idx="20">
                  <c:v>1650000</c:v>
                </c:pt>
                <c:pt idx="21">
                  <c:v>825000</c:v>
                </c:pt>
                <c:pt idx="22">
                  <c:v>1050000</c:v>
                </c:pt>
                <c:pt idx="23">
                  <c:v>525000</c:v>
                </c:pt>
                <c:pt idx="24">
                  <c:v>750000</c:v>
                </c:pt>
                <c:pt idx="25">
                  <c:v>375000</c:v>
                </c:pt>
                <c:pt idx="26">
                  <c:v>225000</c:v>
                </c:pt>
                <c:pt idx="27">
                  <c:v>112500</c:v>
                </c:pt>
                <c:pt idx="28">
                  <c:v>3000000</c:v>
                </c:pt>
                <c:pt idx="29">
                  <c:v>1500000</c:v>
                </c:pt>
                <c:pt idx="30">
                  <c:v>1350000</c:v>
                </c:pt>
                <c:pt idx="31">
                  <c:v>675000</c:v>
                </c:pt>
                <c:pt idx="32">
                  <c:v>825000</c:v>
                </c:pt>
                <c:pt idx="33">
                  <c:v>412500</c:v>
                </c:pt>
              </c:numCache>
            </c:numRef>
          </c:val>
        </c:ser>
        <c:ser>
          <c:idx val="1"/>
          <c:order val="1"/>
          <c:tx>
            <c:strRef>
              <c:f>'LSD.RID.0.ACTCREF'!$D$2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'LSD.RID.0.ACTCREF'!$D$4:$D$37</c:f>
              <c:numCache>
                <c:formatCode>[$$-409]#,##0;\-[$$-409]#,##0</c:formatCode>
                <c:ptCount val="34"/>
                <c:pt idx="0">
                  <c:v>9000</c:v>
                </c:pt>
                <c:pt idx="1">
                  <c:v>4500</c:v>
                </c:pt>
                <c:pt idx="2">
                  <c:v>50000</c:v>
                </c:pt>
                <c:pt idx="3">
                  <c:v>25000</c:v>
                </c:pt>
                <c:pt idx="4">
                  <c:v>180000</c:v>
                </c:pt>
                <c:pt idx="5">
                  <c:v>90000</c:v>
                </c:pt>
                <c:pt idx="6">
                  <c:v>65000</c:v>
                </c:pt>
                <c:pt idx="7">
                  <c:v>32500</c:v>
                </c:pt>
                <c:pt idx="8">
                  <c:v>270000</c:v>
                </c:pt>
                <c:pt idx="9">
                  <c:v>135000</c:v>
                </c:pt>
                <c:pt idx="10">
                  <c:v>90000</c:v>
                </c:pt>
                <c:pt idx="11">
                  <c:v>45000</c:v>
                </c:pt>
                <c:pt idx="12">
                  <c:v>240000</c:v>
                </c:pt>
                <c:pt idx="13">
                  <c:v>120000</c:v>
                </c:pt>
                <c:pt idx="14">
                  <c:v>33000</c:v>
                </c:pt>
                <c:pt idx="15">
                  <c:v>16500</c:v>
                </c:pt>
                <c:pt idx="16">
                  <c:v>27000</c:v>
                </c:pt>
                <c:pt idx="17">
                  <c:v>13500</c:v>
                </c:pt>
                <c:pt idx="18">
                  <c:v>520000</c:v>
                </c:pt>
                <c:pt idx="19">
                  <c:v>260000</c:v>
                </c:pt>
                <c:pt idx="20">
                  <c:v>330000</c:v>
                </c:pt>
                <c:pt idx="21">
                  <c:v>165000</c:v>
                </c:pt>
                <c:pt idx="22">
                  <c:v>210000</c:v>
                </c:pt>
                <c:pt idx="23">
                  <c:v>105000</c:v>
                </c:pt>
                <c:pt idx="24">
                  <c:v>150000</c:v>
                </c:pt>
                <c:pt idx="25">
                  <c:v>75000</c:v>
                </c:pt>
                <c:pt idx="26">
                  <c:v>45000</c:v>
                </c:pt>
                <c:pt idx="27">
                  <c:v>22500</c:v>
                </c:pt>
                <c:pt idx="28">
                  <c:v>600000</c:v>
                </c:pt>
                <c:pt idx="29">
                  <c:v>300000</c:v>
                </c:pt>
                <c:pt idx="30">
                  <c:v>270000</c:v>
                </c:pt>
                <c:pt idx="31">
                  <c:v>135000</c:v>
                </c:pt>
                <c:pt idx="32">
                  <c:v>165000</c:v>
                </c:pt>
                <c:pt idx="33">
                  <c:v>82500</c:v>
                </c:pt>
              </c:numCache>
            </c:numRef>
          </c:val>
        </c:ser>
        <c:ser>
          <c:idx val="2"/>
          <c:order val="2"/>
          <c:tx>
            <c:strRef>
              <c:f>'LSD.RID.0.ACTCREF'!$E$2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'LSD.RID.0.ACTCREF'!$E$4:$E$37</c:f>
              <c:numCache>
                <c:formatCode>[$$-409]#,##0;\-[$$-409]#,##0</c:formatCode>
                <c:ptCount val="34"/>
                <c:pt idx="0">
                  <c:v>18000</c:v>
                </c:pt>
                <c:pt idx="1">
                  <c:v>9000</c:v>
                </c:pt>
                <c:pt idx="2">
                  <c:v>50000</c:v>
                </c:pt>
                <c:pt idx="3">
                  <c:v>25000</c:v>
                </c:pt>
                <c:pt idx="4">
                  <c:v>180000</c:v>
                </c:pt>
                <c:pt idx="5">
                  <c:v>90000</c:v>
                </c:pt>
                <c:pt idx="6">
                  <c:v>65000</c:v>
                </c:pt>
                <c:pt idx="7">
                  <c:v>32500</c:v>
                </c:pt>
                <c:pt idx="8">
                  <c:v>135000</c:v>
                </c:pt>
                <c:pt idx="9">
                  <c:v>67500</c:v>
                </c:pt>
                <c:pt idx="10">
                  <c:v>90000</c:v>
                </c:pt>
                <c:pt idx="11">
                  <c:v>45000</c:v>
                </c:pt>
                <c:pt idx="12">
                  <c:v>240000</c:v>
                </c:pt>
                <c:pt idx="13">
                  <c:v>120000</c:v>
                </c:pt>
                <c:pt idx="14">
                  <c:v>33000</c:v>
                </c:pt>
                <c:pt idx="15">
                  <c:v>16500</c:v>
                </c:pt>
                <c:pt idx="16">
                  <c:v>27000</c:v>
                </c:pt>
                <c:pt idx="17">
                  <c:v>13500</c:v>
                </c:pt>
                <c:pt idx="18">
                  <c:v>520000</c:v>
                </c:pt>
                <c:pt idx="19">
                  <c:v>260000</c:v>
                </c:pt>
                <c:pt idx="20">
                  <c:v>330000</c:v>
                </c:pt>
                <c:pt idx="21">
                  <c:v>165000</c:v>
                </c:pt>
                <c:pt idx="22">
                  <c:v>210000</c:v>
                </c:pt>
                <c:pt idx="23">
                  <c:v>105000</c:v>
                </c:pt>
                <c:pt idx="24">
                  <c:v>150000</c:v>
                </c:pt>
                <c:pt idx="25">
                  <c:v>75000</c:v>
                </c:pt>
                <c:pt idx="26">
                  <c:v>45000</c:v>
                </c:pt>
                <c:pt idx="27">
                  <c:v>22500</c:v>
                </c:pt>
                <c:pt idx="28">
                  <c:v>600000</c:v>
                </c:pt>
                <c:pt idx="29">
                  <c:v>300000</c:v>
                </c:pt>
                <c:pt idx="30">
                  <c:v>270000</c:v>
                </c:pt>
                <c:pt idx="31">
                  <c:v>135000</c:v>
                </c:pt>
                <c:pt idx="32">
                  <c:v>165000</c:v>
                </c:pt>
                <c:pt idx="33">
                  <c:v>82500</c:v>
                </c:pt>
              </c:numCache>
            </c:numRef>
          </c:val>
        </c:ser>
        <c:ser>
          <c:idx val="3"/>
          <c:order val="3"/>
          <c:tx>
            <c:strRef>
              <c:f>'LSD.RID.0.ACTCREF'!$F$2</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'LSD.RID.0.ACTCREF'!$F$4:$F$37</c:f>
              <c:numCache>
                <c:formatCode>[$$-409]#,##0;\-[$$-409]#,##0</c:formatCode>
                <c:ptCount val="34"/>
                <c:pt idx="0">
                  <c:v>54000</c:v>
                </c:pt>
                <c:pt idx="1">
                  <c:v>27000</c:v>
                </c:pt>
                <c:pt idx="2">
                  <c:v>150000</c:v>
                </c:pt>
                <c:pt idx="3">
                  <c:v>75000</c:v>
                </c:pt>
                <c:pt idx="4">
                  <c:v>540000</c:v>
                </c:pt>
                <c:pt idx="5">
                  <c:v>270000</c:v>
                </c:pt>
                <c:pt idx="6">
                  <c:v>195000</c:v>
                </c:pt>
                <c:pt idx="7">
                  <c:v>97500</c:v>
                </c:pt>
                <c:pt idx="8">
                  <c:v>405000</c:v>
                </c:pt>
                <c:pt idx="9">
                  <c:v>202500</c:v>
                </c:pt>
                <c:pt idx="10">
                  <c:v>270000</c:v>
                </c:pt>
                <c:pt idx="11">
                  <c:v>135000</c:v>
                </c:pt>
                <c:pt idx="12">
                  <c:v>720000</c:v>
                </c:pt>
                <c:pt idx="13">
                  <c:v>360000</c:v>
                </c:pt>
                <c:pt idx="14">
                  <c:v>99000</c:v>
                </c:pt>
                <c:pt idx="15">
                  <c:v>49500</c:v>
                </c:pt>
                <c:pt idx="16">
                  <c:v>81000</c:v>
                </c:pt>
                <c:pt idx="17">
                  <c:v>40500</c:v>
                </c:pt>
                <c:pt idx="18">
                  <c:v>1560000</c:v>
                </c:pt>
                <c:pt idx="19">
                  <c:v>780000</c:v>
                </c:pt>
                <c:pt idx="20">
                  <c:v>990000</c:v>
                </c:pt>
                <c:pt idx="21">
                  <c:v>495000</c:v>
                </c:pt>
                <c:pt idx="22">
                  <c:v>630000</c:v>
                </c:pt>
                <c:pt idx="23">
                  <c:v>315000</c:v>
                </c:pt>
                <c:pt idx="24">
                  <c:v>450000</c:v>
                </c:pt>
                <c:pt idx="25">
                  <c:v>225000</c:v>
                </c:pt>
                <c:pt idx="26">
                  <c:v>135000</c:v>
                </c:pt>
                <c:pt idx="27">
                  <c:v>67500</c:v>
                </c:pt>
                <c:pt idx="28">
                  <c:v>1800000</c:v>
                </c:pt>
                <c:pt idx="29">
                  <c:v>900000</c:v>
                </c:pt>
                <c:pt idx="30">
                  <c:v>810000</c:v>
                </c:pt>
                <c:pt idx="31">
                  <c:v>405000</c:v>
                </c:pt>
                <c:pt idx="32">
                  <c:v>495000</c:v>
                </c:pt>
                <c:pt idx="33">
                  <c:v>247500</c:v>
                </c:pt>
              </c:numCache>
            </c:numRef>
          </c:val>
        </c:ser>
        <c:gapWidth val="100"/>
        <c:overlap val="0"/>
        <c:axId val="65274727"/>
        <c:axId val="92567875"/>
      </c:barChart>
      <c:catAx>
        <c:axId val="6527472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20093055316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2567875"/>
        <c:crosses val="autoZero"/>
        <c:auto val="1"/>
        <c:lblAlgn val="ctr"/>
        <c:lblOffset val="100"/>
        <c:noMultiLvlLbl val="0"/>
      </c:catAx>
      <c:valAx>
        <c:axId val="9256787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622079508294"/>
              <c:y val="0.96981856675118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274727"/>
        <c:crosses val="max"/>
        <c:crossBetween val="midCat"/>
        <c:majorUnit val="100000"/>
      </c:valAx>
      <c:spPr>
        <a:noFill/>
        <a:ln w="0">
          <a:solidFill>
            <a:srgbClr val="b3b3b3"/>
          </a:solidFill>
        </a:ln>
      </c:spPr>
    </c:plotArea>
    <c:legend>
      <c:legendPos val="r"/>
      <c:layout>
        <c:manualLayout>
          <c:xMode val="edge"/>
          <c:yMode val="edge"/>
          <c:x val="0.804270743046253"/>
          <c:y val="0.0767318201959529"/>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331626019463"/>
          <c:y val="0.011422663154526"/>
        </c:manualLayout>
      </c:layout>
      <c:overlay val="0"/>
      <c:spPr>
        <a:noFill/>
        <a:ln w="0">
          <a:noFill/>
        </a:ln>
      </c:spPr>
    </c:title>
    <c:autoTitleDeleted val="0"/>
    <c:plotArea>
      <c:layout>
        <c:manualLayout>
          <c:layoutTarget val="inner"/>
          <c:xMode val="edge"/>
          <c:yMode val="edge"/>
          <c:x val="0.299672983727986"/>
          <c:y val="0.0468723074271928"/>
          <c:w val="0.470745833497498"/>
          <c:h val="0.874670736811009"/>
        </c:manualLayout>
      </c:layout>
      <c:barChart>
        <c:barDir val="bar"/>
        <c:grouping val="clustered"/>
        <c:varyColors val="0"/>
        <c:ser>
          <c:idx val="0"/>
          <c:order val="0"/>
          <c:tx>
            <c:strRef>
              <c:f>'LSD.RID.0.AOTCREF'!$C$2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'LSD.RID.0.AOTCREF'!$C$4:$C$37</c:f>
              <c:numCache>
                <c:formatCode>[$$-409]#,##0;\-[$$-409]#,##0</c:formatCode>
                <c:ptCount val="34"/>
                <c:pt idx="0">
                  <c:v>27000</c:v>
                </c:pt>
                <c:pt idx="1">
                  <c:v>13500</c:v>
                </c:pt>
                <c:pt idx="2">
                  <c:v>75000</c:v>
                </c:pt>
                <c:pt idx="3">
                  <c:v>37500</c:v>
                </c:pt>
                <c:pt idx="4">
                  <c:v>270000</c:v>
                </c:pt>
                <c:pt idx="5">
                  <c:v>135000</c:v>
                </c:pt>
                <c:pt idx="6">
                  <c:v>97500</c:v>
                </c:pt>
                <c:pt idx="7">
                  <c:v>48750</c:v>
                </c:pt>
                <c:pt idx="8">
                  <c:v>675000</c:v>
                </c:pt>
                <c:pt idx="9">
                  <c:v>337500</c:v>
                </c:pt>
                <c:pt idx="10">
                  <c:v>225000</c:v>
                </c:pt>
                <c:pt idx="11">
                  <c:v>112500</c:v>
                </c:pt>
                <c:pt idx="12">
                  <c:v>600000</c:v>
                </c:pt>
                <c:pt idx="13">
                  <c:v>300000</c:v>
                </c:pt>
                <c:pt idx="14">
                  <c:v>82500</c:v>
                </c:pt>
                <c:pt idx="15">
                  <c:v>41250</c:v>
                </c:pt>
                <c:pt idx="16">
                  <c:v>67500</c:v>
                </c:pt>
                <c:pt idx="17">
                  <c:v>33750</c:v>
                </c:pt>
                <c:pt idx="18">
                  <c:v>1300000</c:v>
                </c:pt>
                <c:pt idx="19">
                  <c:v>650000</c:v>
                </c:pt>
                <c:pt idx="20">
                  <c:v>825000</c:v>
                </c:pt>
                <c:pt idx="21">
                  <c:v>412500</c:v>
                </c:pt>
                <c:pt idx="22">
                  <c:v>525000</c:v>
                </c:pt>
                <c:pt idx="23">
                  <c:v>262500</c:v>
                </c:pt>
                <c:pt idx="24">
                  <c:v>375000</c:v>
                </c:pt>
                <c:pt idx="25">
                  <c:v>187500</c:v>
                </c:pt>
                <c:pt idx="26">
                  <c:v>112500</c:v>
                </c:pt>
                <c:pt idx="27">
                  <c:v>56250</c:v>
                </c:pt>
                <c:pt idx="28">
                  <c:v>1500000</c:v>
                </c:pt>
                <c:pt idx="29">
                  <c:v>750000</c:v>
                </c:pt>
                <c:pt idx="30">
                  <c:v>675000</c:v>
                </c:pt>
                <c:pt idx="31">
                  <c:v>337500</c:v>
                </c:pt>
                <c:pt idx="32">
                  <c:v>412500</c:v>
                </c:pt>
                <c:pt idx="33">
                  <c:v>206250</c:v>
                </c:pt>
              </c:numCache>
            </c:numRef>
          </c:val>
        </c:ser>
        <c:ser>
          <c:idx val="1"/>
          <c:order val="1"/>
          <c:tx>
            <c:strRef>
              <c:f>'LSD.RID.0.AOTCREF'!$D$2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'LSD.RID.0.AOTCREF'!$D$4:$D$37</c:f>
              <c:numCache>
                <c:formatCode>[$$-409]#,##0;\-[$$-409]#,##0</c:formatCode>
                <c:ptCount val="34"/>
                <c:pt idx="0">
                  <c:v>5400</c:v>
                </c:pt>
                <c:pt idx="1">
                  <c:v>2700</c:v>
                </c:pt>
                <c:pt idx="2">
                  <c:v>15000</c:v>
                </c:pt>
                <c:pt idx="3">
                  <c:v>7500</c:v>
                </c:pt>
                <c:pt idx="4">
                  <c:v>54000</c:v>
                </c:pt>
                <c:pt idx="5">
                  <c:v>27000</c:v>
                </c:pt>
                <c:pt idx="6">
                  <c:v>19500</c:v>
                </c:pt>
                <c:pt idx="7">
                  <c:v>9750</c:v>
                </c:pt>
                <c:pt idx="8">
                  <c:v>135000</c:v>
                </c:pt>
                <c:pt idx="9">
                  <c:v>67500</c:v>
                </c:pt>
                <c:pt idx="10">
                  <c:v>45000</c:v>
                </c:pt>
                <c:pt idx="11">
                  <c:v>22500</c:v>
                </c:pt>
                <c:pt idx="12">
                  <c:v>120000</c:v>
                </c:pt>
                <c:pt idx="13">
                  <c:v>60000</c:v>
                </c:pt>
                <c:pt idx="14">
                  <c:v>16500</c:v>
                </c:pt>
                <c:pt idx="15">
                  <c:v>8250</c:v>
                </c:pt>
                <c:pt idx="16">
                  <c:v>13500</c:v>
                </c:pt>
                <c:pt idx="17">
                  <c:v>6750</c:v>
                </c:pt>
                <c:pt idx="18">
                  <c:v>260000</c:v>
                </c:pt>
                <c:pt idx="19">
                  <c:v>130000</c:v>
                </c:pt>
                <c:pt idx="20">
                  <c:v>165000</c:v>
                </c:pt>
                <c:pt idx="21">
                  <c:v>82500</c:v>
                </c:pt>
                <c:pt idx="22">
                  <c:v>105000</c:v>
                </c:pt>
                <c:pt idx="23">
                  <c:v>52500</c:v>
                </c:pt>
                <c:pt idx="24">
                  <c:v>75000</c:v>
                </c:pt>
                <c:pt idx="25">
                  <c:v>37500</c:v>
                </c:pt>
                <c:pt idx="26">
                  <c:v>22500</c:v>
                </c:pt>
                <c:pt idx="27">
                  <c:v>11250</c:v>
                </c:pt>
                <c:pt idx="28">
                  <c:v>300000</c:v>
                </c:pt>
                <c:pt idx="29">
                  <c:v>150000</c:v>
                </c:pt>
                <c:pt idx="30">
                  <c:v>135000</c:v>
                </c:pt>
                <c:pt idx="31">
                  <c:v>67500</c:v>
                </c:pt>
                <c:pt idx="32">
                  <c:v>82500</c:v>
                </c:pt>
                <c:pt idx="33">
                  <c:v>41250</c:v>
                </c:pt>
              </c:numCache>
            </c:numRef>
          </c:val>
        </c:ser>
        <c:ser>
          <c:idx val="2"/>
          <c:order val="2"/>
          <c:tx>
            <c:strRef>
              <c:f>'LSD.RID.0.AOTCREF'!$E$2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'LSD.RID.0.AOTCREF'!$E$4:$E$37</c:f>
              <c:numCache>
                <c:formatCode>[$$-409]#,##0;\-[$$-409]#,##0</c:formatCode>
                <c:ptCount val="34"/>
                <c:pt idx="0">
                  <c:v>13500</c:v>
                </c:pt>
                <c:pt idx="1">
                  <c:v>6750</c:v>
                </c:pt>
                <c:pt idx="2">
                  <c:v>37500</c:v>
                </c:pt>
                <c:pt idx="3">
                  <c:v>18750</c:v>
                </c:pt>
                <c:pt idx="4">
                  <c:v>135000</c:v>
                </c:pt>
                <c:pt idx="5">
                  <c:v>67500</c:v>
                </c:pt>
                <c:pt idx="6">
                  <c:v>48750</c:v>
                </c:pt>
                <c:pt idx="7">
                  <c:v>24375</c:v>
                </c:pt>
                <c:pt idx="8">
                  <c:v>337500</c:v>
                </c:pt>
                <c:pt idx="9">
                  <c:v>168750</c:v>
                </c:pt>
                <c:pt idx="10">
                  <c:v>112500</c:v>
                </c:pt>
                <c:pt idx="11">
                  <c:v>56250</c:v>
                </c:pt>
                <c:pt idx="12">
                  <c:v>300000</c:v>
                </c:pt>
                <c:pt idx="13">
                  <c:v>150000</c:v>
                </c:pt>
                <c:pt idx="14">
                  <c:v>41250</c:v>
                </c:pt>
                <c:pt idx="15">
                  <c:v>20625</c:v>
                </c:pt>
                <c:pt idx="16">
                  <c:v>33750</c:v>
                </c:pt>
                <c:pt idx="17">
                  <c:v>16875</c:v>
                </c:pt>
                <c:pt idx="18">
                  <c:v>650000</c:v>
                </c:pt>
                <c:pt idx="19">
                  <c:v>325000</c:v>
                </c:pt>
                <c:pt idx="20">
                  <c:v>412500</c:v>
                </c:pt>
                <c:pt idx="21">
                  <c:v>206250</c:v>
                </c:pt>
                <c:pt idx="22">
                  <c:v>262500</c:v>
                </c:pt>
                <c:pt idx="23">
                  <c:v>131250</c:v>
                </c:pt>
                <c:pt idx="24">
                  <c:v>187500</c:v>
                </c:pt>
                <c:pt idx="25">
                  <c:v>93750</c:v>
                </c:pt>
                <c:pt idx="26">
                  <c:v>56250</c:v>
                </c:pt>
                <c:pt idx="27">
                  <c:v>28125</c:v>
                </c:pt>
                <c:pt idx="28">
                  <c:v>750000</c:v>
                </c:pt>
                <c:pt idx="29">
                  <c:v>375000</c:v>
                </c:pt>
                <c:pt idx="30">
                  <c:v>337500</c:v>
                </c:pt>
                <c:pt idx="31">
                  <c:v>168750</c:v>
                </c:pt>
                <c:pt idx="32">
                  <c:v>206250</c:v>
                </c:pt>
                <c:pt idx="33">
                  <c:v>103125</c:v>
                </c:pt>
              </c:numCache>
            </c:numRef>
          </c:val>
        </c:ser>
        <c:ser>
          <c:idx val="3"/>
          <c:order val="3"/>
          <c:tx>
            <c:strRef>
              <c:f>'LSD.RID.0.AOTCREF'!$F$2</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'LSD.RID.0.AOTCREF'!$B$4:$B$37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'LSD.RID.0.AOTCREF'!$F$4:$F$37</c:f>
              <c:numCache>
                <c:formatCode>[$$-409]#,##0;\-[$$-409]#,##0</c:formatCode>
                <c:ptCount val="34"/>
                <c:pt idx="0">
                  <c:v>40500</c:v>
                </c:pt>
                <c:pt idx="1">
                  <c:v>20250</c:v>
                </c:pt>
                <c:pt idx="2">
                  <c:v>112500</c:v>
                </c:pt>
                <c:pt idx="3">
                  <c:v>56250</c:v>
                </c:pt>
                <c:pt idx="4">
                  <c:v>405000</c:v>
                </c:pt>
                <c:pt idx="5">
                  <c:v>202500</c:v>
                </c:pt>
                <c:pt idx="6">
                  <c:v>146250</c:v>
                </c:pt>
                <c:pt idx="7">
                  <c:v>73125</c:v>
                </c:pt>
                <c:pt idx="8">
                  <c:v>1012500</c:v>
                </c:pt>
                <c:pt idx="9">
                  <c:v>506250</c:v>
                </c:pt>
                <c:pt idx="10">
                  <c:v>337500</c:v>
                </c:pt>
                <c:pt idx="11">
                  <c:v>168750</c:v>
                </c:pt>
                <c:pt idx="12">
                  <c:v>900000</c:v>
                </c:pt>
                <c:pt idx="13">
                  <c:v>450000</c:v>
                </c:pt>
                <c:pt idx="14">
                  <c:v>123750</c:v>
                </c:pt>
                <c:pt idx="15">
                  <c:v>61875</c:v>
                </c:pt>
                <c:pt idx="16">
                  <c:v>101250</c:v>
                </c:pt>
                <c:pt idx="17">
                  <c:v>50625</c:v>
                </c:pt>
                <c:pt idx="18">
                  <c:v>1950000</c:v>
                </c:pt>
                <c:pt idx="19">
                  <c:v>975000</c:v>
                </c:pt>
                <c:pt idx="20">
                  <c:v>1237500</c:v>
                </c:pt>
                <c:pt idx="21">
                  <c:v>618750</c:v>
                </c:pt>
                <c:pt idx="22">
                  <c:v>787500</c:v>
                </c:pt>
                <c:pt idx="23">
                  <c:v>393750</c:v>
                </c:pt>
                <c:pt idx="24">
                  <c:v>562500</c:v>
                </c:pt>
                <c:pt idx="25">
                  <c:v>281250</c:v>
                </c:pt>
                <c:pt idx="26">
                  <c:v>168750</c:v>
                </c:pt>
                <c:pt idx="27">
                  <c:v>84375</c:v>
                </c:pt>
                <c:pt idx="28">
                  <c:v>2250000</c:v>
                </c:pt>
                <c:pt idx="29">
                  <c:v>1125000</c:v>
                </c:pt>
                <c:pt idx="30">
                  <c:v>1012500</c:v>
                </c:pt>
                <c:pt idx="31">
                  <c:v>506250</c:v>
                </c:pt>
                <c:pt idx="32">
                  <c:v>618750</c:v>
                </c:pt>
                <c:pt idx="33">
                  <c:v>309375</c:v>
                </c:pt>
              </c:numCache>
            </c:numRef>
          </c:val>
        </c:ser>
        <c:gapWidth val="100"/>
        <c:overlap val="0"/>
        <c:axId val="64000537"/>
        <c:axId val="20933894"/>
      </c:barChart>
      <c:catAx>
        <c:axId val="6400053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1031480241125"/>
              <c:y val="0.47812707712759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933894"/>
        <c:crosses val="autoZero"/>
        <c:auto val="1"/>
        <c:lblAlgn val="ctr"/>
        <c:lblOffset val="100"/>
        <c:noMultiLvlLbl val="0"/>
      </c:catAx>
      <c:valAx>
        <c:axId val="2093389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622079508294"/>
              <c:y val="0.969818566751188"/>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4000537"/>
        <c:crosses val="max"/>
        <c:crossBetween val="midCat"/>
        <c:majorUnit val="100000"/>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
</Relationships>
</file>

<file path=xl/drawings/_rels/drawing7.xml.rels><?xml version="1.0" encoding="UTF-8"?>
<Relationships xmlns="http://schemas.openxmlformats.org/package/2006/relationships"><Relationship Id="rId1" Type="http://schemas.openxmlformats.org/officeDocument/2006/relationships/chart" Target="../charts/chart8.xml"/>
</Relationships>
</file>

<file path=xl/drawings/_rels/drawing8.xml.rels><?xml version="1.0" encoding="UTF-8"?>
<Relationships xmlns="http://schemas.openxmlformats.org/package/2006/relationships"><Relationship Id="rId1" Type="http://schemas.openxmlformats.org/officeDocument/2006/relationships/chart" Target="../charts/chart9.xml"/>
</Relationships>
</file>

<file path=xl/drawings/_rels/drawing9.xml.rels><?xml version="1.0" encoding="UTF-8"?>
<Relationships xmlns="http://schemas.openxmlformats.org/package/2006/relationships"><Relationship Id="rId1" Type="http://schemas.openxmlformats.org/officeDocument/2006/relationships/chart" Target="../charts/chart10.xml"/>
</Relationships>
</file>

<file path=xl/drawings/_rels/drawing10.xml.rels><?xml version="1.0" encoding="UTF-8"?>
<Relationships xmlns="http://schemas.openxmlformats.org/package/2006/relationships"><Relationship Id="rId1" Type="http://schemas.openxmlformats.org/officeDocument/2006/relationships/chart" Target="../charts/chart11.xml"/>
</Relationships>
</file>

<file path=xl/drawings/_rels/drawing11.xml.rels><?xml version="1.0" encoding="UTF-8"?>
<Relationships xmlns="http://schemas.openxmlformats.org/package/2006/relationships"><Relationship Id="rId1" Type="http://schemas.openxmlformats.org/officeDocument/2006/relationships/chart" Target="../charts/chart12.xml"/>
</Relationships>
</file>

<file path=xl/drawings/_rels/drawing12.xml.rels><?xml version="1.0" encoding="UTF-8"?>
<Relationships xmlns="http://schemas.openxmlformats.org/package/2006/relationships"><Relationship Id="rId1" Type="http://schemas.openxmlformats.org/officeDocument/2006/relationships/chart" Target="../charts/chart1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39</xdr:row>
      <xdr:rowOff>150120</xdr:rowOff>
    </xdr:from>
    <xdr:to>
      <xdr:col>6</xdr:col>
      <xdr:colOff>1129680</xdr:colOff>
      <xdr:row>129</xdr:row>
      <xdr:rowOff>142920</xdr:rowOff>
    </xdr:to>
    <xdr:graphicFrame>
      <xdr:nvGraphicFramePr>
        <xdr:cNvPr id="1" name=""/>
        <xdr:cNvGraphicFramePr/>
      </xdr:nvGraphicFramePr>
      <xdr:xfrm>
        <a:off x="805320" y="677268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720</xdr:rowOff>
    </xdr:from>
    <xdr:to>
      <xdr:col>6</xdr:col>
      <xdr:colOff>1129320</xdr:colOff>
      <xdr:row>129</xdr:row>
      <xdr:rowOff>155880</xdr:rowOff>
    </xdr:to>
    <xdr:graphicFrame>
      <xdr:nvGraphicFramePr>
        <xdr:cNvPr id="2" name=""/>
        <xdr:cNvGraphicFramePr/>
      </xdr:nvGraphicFramePr>
      <xdr:xfrm>
        <a:off x="804960" y="6927840"/>
        <a:ext cx="913752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720</xdr:rowOff>
    </xdr:from>
    <xdr:to>
      <xdr:col>6</xdr:col>
      <xdr:colOff>1129320</xdr:colOff>
      <xdr:row>129</xdr:row>
      <xdr:rowOff>155880</xdr:rowOff>
    </xdr:to>
    <xdr:graphicFrame>
      <xdr:nvGraphicFramePr>
        <xdr:cNvPr id="3" name=""/>
        <xdr:cNvGraphicFramePr/>
      </xdr:nvGraphicFramePr>
      <xdr:xfrm>
        <a:off x="804960" y="692784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1139040</xdr:colOff>
      <xdr:row>129</xdr:row>
      <xdr:rowOff>113400</xdr:rowOff>
    </xdr:to>
    <xdr:graphicFrame>
      <xdr:nvGraphicFramePr>
        <xdr:cNvPr id="4" name=""/>
        <xdr:cNvGraphicFramePr/>
      </xdr:nvGraphicFramePr>
      <xdr:xfrm>
        <a:off x="814680" y="688536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1139040</xdr:colOff>
      <xdr:row>129</xdr:row>
      <xdr:rowOff>113400</xdr:rowOff>
    </xdr:to>
    <xdr:graphicFrame>
      <xdr:nvGraphicFramePr>
        <xdr:cNvPr id="5" name=""/>
        <xdr:cNvGraphicFramePr/>
      </xdr:nvGraphicFramePr>
      <xdr:xfrm>
        <a:off x="814680" y="688536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804960</xdr:colOff>
      <xdr:row>169</xdr:row>
      <xdr:rowOff>76680</xdr:rowOff>
    </xdr:from>
    <xdr:to>
      <xdr:col>6</xdr:col>
      <xdr:colOff>1129320</xdr:colOff>
      <xdr:row>259</xdr:row>
      <xdr:rowOff>69480</xdr:rowOff>
    </xdr:to>
    <xdr:graphicFrame>
      <xdr:nvGraphicFramePr>
        <xdr:cNvPr id="6" name=""/>
        <xdr:cNvGraphicFramePr/>
      </xdr:nvGraphicFramePr>
      <xdr:xfrm>
        <a:off x="804960" y="27974160"/>
        <a:ext cx="9136800" cy="14623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1440</xdr:colOff>
      <xdr:row>39</xdr:row>
      <xdr:rowOff>152640</xdr:rowOff>
    </xdr:from>
    <xdr:to>
      <xdr:col>6</xdr:col>
      <xdr:colOff>1138680</xdr:colOff>
      <xdr:row>129</xdr:row>
      <xdr:rowOff>145440</xdr:rowOff>
    </xdr:to>
    <xdr:graphicFrame>
      <xdr:nvGraphicFramePr>
        <xdr:cNvPr id="7" name=""/>
        <xdr:cNvGraphicFramePr/>
      </xdr:nvGraphicFramePr>
      <xdr:xfrm>
        <a:off x="814320" y="677520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39</xdr:row>
      <xdr:rowOff>158400</xdr:rowOff>
    </xdr:from>
    <xdr:to>
      <xdr:col>6</xdr:col>
      <xdr:colOff>1129320</xdr:colOff>
      <xdr:row>129</xdr:row>
      <xdr:rowOff>151200</xdr:rowOff>
    </xdr:to>
    <xdr:graphicFrame>
      <xdr:nvGraphicFramePr>
        <xdr:cNvPr id="8" name=""/>
        <xdr:cNvGraphicFramePr/>
      </xdr:nvGraphicFramePr>
      <xdr:xfrm>
        <a:off x="804960" y="692316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41</xdr:row>
      <xdr:rowOff>20160</xdr:rowOff>
    </xdr:from>
    <xdr:to>
      <xdr:col>6</xdr:col>
      <xdr:colOff>1141560</xdr:colOff>
      <xdr:row>131</xdr:row>
      <xdr:rowOff>12960</xdr:rowOff>
    </xdr:to>
    <xdr:graphicFrame>
      <xdr:nvGraphicFramePr>
        <xdr:cNvPr id="9" name=""/>
        <xdr:cNvGraphicFramePr/>
      </xdr:nvGraphicFramePr>
      <xdr:xfrm>
        <a:off x="817200" y="711000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1080</xdr:rowOff>
    </xdr:from>
    <xdr:to>
      <xdr:col>7</xdr:col>
      <xdr:colOff>267480</xdr:colOff>
      <xdr:row>129</xdr:row>
      <xdr:rowOff>156240</xdr:rowOff>
    </xdr:to>
    <xdr:graphicFrame>
      <xdr:nvGraphicFramePr>
        <xdr:cNvPr id="10" name=""/>
        <xdr:cNvGraphicFramePr/>
      </xdr:nvGraphicFramePr>
      <xdr:xfrm>
        <a:off x="804960" y="706860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39</xdr:row>
      <xdr:rowOff>161280</xdr:rowOff>
    </xdr:from>
    <xdr:to>
      <xdr:col>7</xdr:col>
      <xdr:colOff>279720</xdr:colOff>
      <xdr:row>129</xdr:row>
      <xdr:rowOff>154080</xdr:rowOff>
    </xdr:to>
    <xdr:graphicFrame>
      <xdr:nvGraphicFramePr>
        <xdr:cNvPr id="11" name=""/>
        <xdr:cNvGraphicFramePr/>
      </xdr:nvGraphicFramePr>
      <xdr:xfrm>
        <a:off x="979560" y="692388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39</xdr:row>
      <xdr:rowOff>160200</xdr:rowOff>
    </xdr:from>
    <xdr:to>
      <xdr:col>7</xdr:col>
      <xdr:colOff>271800</xdr:colOff>
      <xdr:row>129</xdr:row>
      <xdr:rowOff>153000</xdr:rowOff>
    </xdr:to>
    <xdr:graphicFrame>
      <xdr:nvGraphicFramePr>
        <xdr:cNvPr id="12" name=""/>
        <xdr:cNvGraphicFramePr/>
      </xdr:nvGraphicFramePr>
      <xdr:xfrm>
        <a:off x="971640" y="692280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40</xdr:row>
      <xdr:rowOff>1440</xdr:rowOff>
    </xdr:from>
    <xdr:to>
      <xdr:col>6</xdr:col>
      <xdr:colOff>1133280</xdr:colOff>
      <xdr:row>129</xdr:row>
      <xdr:rowOff>156960</xdr:rowOff>
    </xdr:to>
    <xdr:graphicFrame>
      <xdr:nvGraphicFramePr>
        <xdr:cNvPr id="13" name=""/>
        <xdr:cNvGraphicFramePr/>
      </xdr:nvGraphicFramePr>
      <xdr:xfrm>
        <a:off x="971640" y="692676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E4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15" activeCellId="0" sqref="B15"/>
    </sheetView>
  </sheetViews>
  <sheetFormatPr defaultColWidth="11.53515625" defaultRowHeight="12.8" customHeight="false" zeroHeight="false" outlineLevelRow="0" outlineLevelCol="0"/>
  <cols>
    <col collapsed="false" customWidth="true" hidden="false" outlineLevel="0" max="1" min="1" style="1" width="23.07"/>
    <col collapsed="false" customWidth="true" hidden="false" outlineLevel="0" max="2" min="2" style="2" width="53.04"/>
    <col collapsed="false" customWidth="true" hidden="false" outlineLevel="0" max="3" min="3" style="2" width="32.28"/>
    <col collapsed="false" customWidth="true" hidden="false" outlineLevel="0" max="4" min="4" style="2" width="6.93"/>
    <col collapsed="false" customWidth="false" hidden="false" outlineLevel="0" max="16384" min="5" style="3" width="11.53"/>
  </cols>
  <sheetData>
    <row r="1" customFormat="false" ht="12.8" hidden="false" customHeight="false" outlineLevel="0" collapsed="false">
      <c r="A1" s="4" t="s">
        <v>0</v>
      </c>
      <c r="B1" s="5" t="s">
        <v>1</v>
      </c>
      <c r="C1" s="5" t="s">
        <v>2</v>
      </c>
      <c r="D1" s="5"/>
    </row>
    <row r="2" customFormat="false" ht="12.8" hidden="false" customHeight="false" outlineLevel="0" collapsed="false">
      <c r="A2" s="6" t="s">
        <v>3</v>
      </c>
      <c r="B2" s="7" t="s">
        <v>4</v>
      </c>
      <c r="C2" s="7"/>
      <c r="D2" s="8"/>
    </row>
    <row r="3" customFormat="false" ht="12.8" hidden="false" customHeight="false" outlineLevel="0" collapsed="false">
      <c r="A3" s="4" t="str">
        <f aca="false">'LSD.REF.AL.FORM'!A1</f>
        <v>LSD.REF.AL.FORM</v>
      </c>
      <c r="B3" s="8" t="s">
        <v>5</v>
      </c>
      <c r="C3" s="8"/>
      <c r="D3" s="9"/>
    </row>
    <row r="4" customFormat="false" ht="12.8" hidden="false" customHeight="false" outlineLevel="0" collapsed="false">
      <c r="A4" s="4" t="str">
        <f aca="false">'LSD.REF.AL.PARAM'!A1</f>
        <v>LSD.REF.AL.PARAM</v>
      </c>
      <c r="B4" s="8" t="s">
        <v>6</v>
      </c>
      <c r="C4" s="8"/>
      <c r="D4" s="9"/>
    </row>
    <row r="5" customFormat="false" ht="12.8" hidden="false" customHeight="false" outlineLevel="0" collapsed="false">
      <c r="A5" s="4" t="str">
        <f aca="false">'LSD.RID.0.AL.CALC'!A1</f>
        <v>LSD.RID.0.AL.CALC</v>
      </c>
      <c r="B5" s="8" t="s">
        <v>7</v>
      </c>
      <c r="C5" s="8"/>
      <c r="D5" s="9"/>
    </row>
    <row r="6" customFormat="false" ht="12.8" hidden="false" customHeight="false" outlineLevel="0" collapsed="false">
      <c r="A6" s="4" t="str">
        <f aca="false">'LSD.RID.0.AL.LFP'!A1</f>
        <v>LSD.RID.0.AL.LFP</v>
      </c>
      <c r="B6" s="8" t="s">
        <v>8</v>
      </c>
      <c r="C6" s="8"/>
      <c r="D6" s="9"/>
    </row>
    <row r="7" customFormat="false" ht="12.8" hidden="false" customHeight="false" outlineLevel="0" collapsed="false">
      <c r="A7" s="4" t="str">
        <f aca="false">'LSD.RID.0.AL.ETPR'!A1</f>
        <v>LSD.RID.0.AL.ETPR</v>
      </c>
      <c r="B7" s="8" t="s">
        <v>9</v>
      </c>
      <c r="C7" s="8"/>
      <c r="D7" s="9"/>
    </row>
    <row r="8" customFormat="false" ht="12.8" hidden="false" customHeight="false" outlineLevel="0" collapsed="false">
      <c r="A8" s="4" t="str">
        <f aca="false">'LSD.RID.0.AL.LFPR'!A1</f>
        <v>LSD.RID.0.AL.LFPR</v>
      </c>
      <c r="B8" s="10" t="str">
        <f aca="false">'LSD.RID.0.AL.LFPR'!B1</f>
        <v>Alabama Labor Force Participation Rate (LFPR)</v>
      </c>
      <c r="C8" s="8"/>
      <c r="D8" s="9"/>
    </row>
    <row r="9" customFormat="false" ht="12.8" hidden="false" customHeight="false" outlineLevel="0" collapsed="false">
      <c r="A9" s="4"/>
      <c r="B9" s="8"/>
      <c r="C9" s="8"/>
    </row>
    <row r="10" customFormat="false" ht="12.8" hidden="false" customHeight="false" outlineLevel="0" collapsed="false">
      <c r="A10" s="4"/>
      <c r="B10" s="8"/>
      <c r="C10" s="8"/>
    </row>
    <row r="11" customFormat="false" ht="12.8" hidden="false" customHeight="false" outlineLevel="0" collapsed="false">
      <c r="A11" s="4"/>
      <c r="B11" s="8"/>
      <c r="C11" s="8"/>
    </row>
    <row r="12" customFormat="false" ht="12.8" hidden="false" customHeight="false" outlineLevel="0" collapsed="false">
      <c r="B12" s="11"/>
      <c r="C12" s="11"/>
    </row>
    <row r="14" customFormat="false" ht="12.8" hidden="false" customHeight="false" outlineLevel="0" collapsed="false">
      <c r="A14" s="4" t="s">
        <v>10</v>
      </c>
      <c r="B14" s="8" t="s">
        <v>11</v>
      </c>
      <c r="C14" s="8" t="s">
        <v>12</v>
      </c>
    </row>
    <row r="15" customFormat="false" ht="12.8" hidden="false" customHeight="false" outlineLevel="0" collapsed="false">
      <c r="A15" s="4" t="s">
        <v>13</v>
      </c>
      <c r="B15" s="9" t="s">
        <v>14</v>
      </c>
      <c r="C15" s="9" t="s">
        <v>15</v>
      </c>
    </row>
    <row r="16" customFormat="false" ht="12.8" hidden="false" customHeight="false" outlineLevel="0" collapsed="false">
      <c r="A16" s="4"/>
      <c r="B16" s="9" t="s">
        <v>16</v>
      </c>
      <c r="C16" s="9" t="s">
        <v>17</v>
      </c>
    </row>
    <row r="17" customFormat="false" ht="12.8" hidden="false" customHeight="false" outlineLevel="0" collapsed="false">
      <c r="A17" s="4"/>
      <c r="B17" s="9" t="s">
        <v>18</v>
      </c>
      <c r="C17" s="9" t="s">
        <v>19</v>
      </c>
    </row>
    <row r="18" customFormat="false" ht="12.8" hidden="false" customHeight="false" outlineLevel="0" collapsed="false">
      <c r="A18" s="12"/>
      <c r="B18" s="9" t="s">
        <v>20</v>
      </c>
      <c r="C18" s="9" t="s">
        <v>21</v>
      </c>
    </row>
    <row r="19" customFormat="false" ht="12.8" hidden="false" customHeight="false" outlineLevel="0" collapsed="false">
      <c r="A19" s="12"/>
      <c r="B19" s="9" t="s">
        <v>22</v>
      </c>
      <c r="C19" s="9" t="s">
        <v>23</v>
      </c>
    </row>
    <row r="20" customFormat="false" ht="12.8" hidden="false" customHeight="false" outlineLevel="0" collapsed="false">
      <c r="B20" s="2" t="s">
        <v>24</v>
      </c>
      <c r="C20" s="2" t="s">
        <v>25</v>
      </c>
    </row>
    <row r="21" customFormat="false" ht="12.8" hidden="false" customHeight="false" outlineLevel="0" collapsed="false">
      <c r="B21" s="2" t="s">
        <v>14</v>
      </c>
      <c r="C21" s="2" t="s">
        <v>15</v>
      </c>
    </row>
    <row r="22" customFormat="false" ht="12.8" hidden="false" customHeight="false" outlineLevel="0" collapsed="false">
      <c r="B22" s="2" t="s">
        <v>26</v>
      </c>
      <c r="C22" s="2" t="s">
        <v>27</v>
      </c>
    </row>
    <row r="23" customFormat="false" ht="12.8" hidden="false" customHeight="false" outlineLevel="0" collapsed="false">
      <c r="B23" s="2" t="s">
        <v>28</v>
      </c>
      <c r="C23" s="2" t="s">
        <v>29</v>
      </c>
    </row>
    <row r="24" customFormat="false" ht="12.8" hidden="false" customHeight="false" outlineLevel="0" collapsed="false">
      <c r="B24" s="2" t="s">
        <v>30</v>
      </c>
      <c r="C24" s="2" t="s">
        <v>31</v>
      </c>
    </row>
    <row r="25" customFormat="false" ht="12.8" hidden="false" customHeight="false" outlineLevel="0" collapsed="false">
      <c r="B25" s="2" t="s">
        <v>32</v>
      </c>
      <c r="C25" s="2" t="s">
        <v>33</v>
      </c>
    </row>
    <row r="26" customFormat="false" ht="12.8" hidden="false" customHeight="false" outlineLevel="0" collapsed="false">
      <c r="B26" s="2" t="s">
        <v>34</v>
      </c>
      <c r="C26" s="2" t="s">
        <v>35</v>
      </c>
    </row>
    <row r="27" customFormat="false" ht="12.8" hidden="false" customHeight="false" outlineLevel="0" collapsed="false">
      <c r="B27" s="2" t="s">
        <v>36</v>
      </c>
      <c r="C27" s="2" t="s">
        <v>37</v>
      </c>
    </row>
    <row r="28" customFormat="false" ht="12.8" hidden="false" customHeight="false" outlineLevel="0" collapsed="false">
      <c r="B28" s="2" t="s">
        <v>38</v>
      </c>
      <c r="C28" s="2" t="s">
        <v>39</v>
      </c>
    </row>
    <row r="29" customFormat="false" ht="12.8" hidden="false" customHeight="false" outlineLevel="0" collapsed="false">
      <c r="B29" s="2" t="s">
        <v>40</v>
      </c>
      <c r="C29" s="2" t="s">
        <v>41</v>
      </c>
    </row>
    <row r="30" customFormat="false" ht="12.8" hidden="false" customHeight="false" outlineLevel="0" collapsed="false">
      <c r="B30" s="2" t="s">
        <v>42</v>
      </c>
      <c r="C30" s="2" t="s">
        <v>43</v>
      </c>
    </row>
    <row r="31" customFormat="false" ht="12.8" hidden="false" customHeight="false" outlineLevel="0" collapsed="false">
      <c r="B31" s="2" t="s">
        <v>44</v>
      </c>
      <c r="C31" s="2" t="s">
        <v>45</v>
      </c>
    </row>
    <row r="32" customFormat="false" ht="12.8" hidden="false" customHeight="false" outlineLevel="0" collapsed="false">
      <c r="B32" s="2" t="s">
        <v>46</v>
      </c>
      <c r="C32" s="2" t="s">
        <v>47</v>
      </c>
    </row>
    <row r="33" customFormat="false" ht="12.8" hidden="false" customHeight="false" outlineLevel="0" collapsed="false">
      <c r="B33" s="2" t="s">
        <v>48</v>
      </c>
      <c r="C33" s="2" t="s">
        <v>49</v>
      </c>
    </row>
    <row r="34" customFormat="false" ht="12.8" hidden="false" customHeight="false" outlineLevel="0" collapsed="false">
      <c r="B34" s="2" t="s">
        <v>50</v>
      </c>
      <c r="C34" s="2" t="s">
        <v>51</v>
      </c>
    </row>
    <row r="35" customFormat="false" ht="12.8" hidden="false" customHeight="false" outlineLevel="0" collapsed="false">
      <c r="B35" s="2" t="s">
        <v>52</v>
      </c>
      <c r="C35" s="2" t="s">
        <v>53</v>
      </c>
    </row>
    <row r="36" customFormat="false" ht="12.8" hidden="false" customHeight="false" outlineLevel="0" collapsed="false">
      <c r="B36" s="2" t="s">
        <v>54</v>
      </c>
      <c r="C36" s="2" t="s">
        <v>55</v>
      </c>
    </row>
    <row r="38" customFormat="false" ht="12.8" hidden="false" customHeight="false" outlineLevel="0" collapsed="false">
      <c r="A38" s="4" t="s">
        <v>56</v>
      </c>
      <c r="B38" s="8" t="s">
        <v>57</v>
      </c>
      <c r="E38" s="2"/>
    </row>
    <row r="39" customFormat="false" ht="12.8" hidden="false" customHeight="false" outlineLevel="0" collapsed="false">
      <c r="A39" s="4" t="s">
        <v>24</v>
      </c>
      <c r="B39" s="8" t="s">
        <v>58</v>
      </c>
      <c r="C39" s="8" t="s">
        <v>59</v>
      </c>
      <c r="D39" s="8" t="s">
        <v>60</v>
      </c>
      <c r="E39" s="8" t="s">
        <v>61</v>
      </c>
    </row>
    <row r="40" customFormat="false" ht="12.8" hidden="false" customHeight="false" outlineLevel="0" collapsed="false">
      <c r="A40" s="1" t="s">
        <v>62</v>
      </c>
      <c r="B40" s="9" t="s">
        <v>63</v>
      </c>
      <c r="C40" s="2" t="s">
        <v>64</v>
      </c>
      <c r="D40" s="2" t="s">
        <v>65</v>
      </c>
      <c r="E40" s="13" t="s">
        <v>66</v>
      </c>
    </row>
    <row r="41" customFormat="false" ht="23.85" hidden="false" customHeight="false" outlineLevel="0" collapsed="false">
      <c r="A41" s="1" t="s">
        <v>67</v>
      </c>
      <c r="B41" s="2" t="s">
        <v>68</v>
      </c>
      <c r="C41" s="14" t="s">
        <v>69</v>
      </c>
      <c r="D41" s="9" t="s">
        <v>70</v>
      </c>
      <c r="E41" s="13" t="s">
        <v>71</v>
      </c>
    </row>
    <row r="42" customFormat="false" ht="23.85" hidden="false" customHeight="false" outlineLevel="0" collapsed="false">
      <c r="A42" s="1" t="s">
        <v>72</v>
      </c>
      <c r="B42" s="2" t="s">
        <v>73</v>
      </c>
      <c r="C42" s="14" t="s">
        <v>74</v>
      </c>
      <c r="D42" s="2" t="s">
        <v>75</v>
      </c>
      <c r="E42" s="2" t="s">
        <v>76</v>
      </c>
    </row>
    <row r="43" customFormat="false" ht="23.85" hidden="false" customHeight="false" outlineLevel="0" collapsed="false">
      <c r="A43" s="1" t="s">
        <v>77</v>
      </c>
      <c r="B43" s="2" t="s">
        <v>78</v>
      </c>
      <c r="C43" s="14" t="s">
        <v>74</v>
      </c>
      <c r="D43" s="9" t="s">
        <v>79</v>
      </c>
      <c r="E43" s="13" t="s">
        <v>71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F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C41" activeCellId="0" sqref="C4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5" width="41.51"/>
    <col collapsed="false" customWidth="true" hidden="false" outlineLevel="0" max="3" min="3" style="0" width="16.14"/>
  </cols>
  <sheetData>
    <row r="1" customFormat="false" ht="12.8" hidden="false" customHeight="false" outlineLevel="0" collapsed="false">
      <c r="A1" s="4" t="s">
        <v>80</v>
      </c>
      <c r="B1" s="16" t="s">
        <v>5</v>
      </c>
      <c r="C1" s="17" t="s">
        <v>2</v>
      </c>
      <c r="D1" s="15"/>
      <c r="E1" s="15"/>
      <c r="F1" s="15"/>
    </row>
    <row r="2" customFormat="false" ht="12.8" hidden="false" customHeight="false" outlineLevel="0" collapsed="false">
      <c r="A2" s="1" t="s">
        <v>81</v>
      </c>
      <c r="B2" s="15" t="s">
        <v>82</v>
      </c>
      <c r="C2" s="15" t="s">
        <v>83</v>
      </c>
      <c r="D2" s="15" t="s">
        <v>84</v>
      </c>
      <c r="E2" s="15" t="s">
        <v>85</v>
      </c>
      <c r="F2" s="15"/>
    </row>
    <row r="3" customFormat="false" ht="12.8" hidden="false" customHeight="false" outlineLevel="0" collapsed="false">
      <c r="A3" s="1" t="n">
        <v>1</v>
      </c>
      <c r="B3" s="15" t="s">
        <v>86</v>
      </c>
      <c r="C3" s="15" t="s">
        <v>87</v>
      </c>
      <c r="D3" s="15" t="s">
        <v>88</v>
      </c>
      <c r="E3" s="15" t="s">
        <v>89</v>
      </c>
      <c r="F3" s="15"/>
    </row>
    <row r="4" customFormat="false" ht="12.8" hidden="false" customHeight="false" outlineLevel="0" collapsed="false">
      <c r="A4" s="1" t="n">
        <v>1.1</v>
      </c>
      <c r="B4" s="15" t="s">
        <v>90</v>
      </c>
      <c r="C4" s="15" t="s">
        <v>91</v>
      </c>
      <c r="D4" s="15" t="s">
        <v>92</v>
      </c>
      <c r="E4" s="15"/>
      <c r="F4" s="15"/>
    </row>
    <row r="5" customFormat="false" ht="12.8" hidden="false" customHeight="false" outlineLevel="0" collapsed="false">
      <c r="A5" s="1" t="n">
        <v>1.2</v>
      </c>
      <c r="B5" s="15" t="s">
        <v>93</v>
      </c>
      <c r="C5" s="15" t="s">
        <v>94</v>
      </c>
      <c r="D5" s="15" t="s">
        <v>95</v>
      </c>
      <c r="E5" s="15"/>
      <c r="F5" s="15"/>
    </row>
    <row r="6" customFormat="false" ht="12.8" hidden="false" customHeight="false" outlineLevel="0" collapsed="false">
      <c r="A6" s="1" t="n">
        <v>2</v>
      </c>
      <c r="B6" s="15" t="s">
        <v>96</v>
      </c>
      <c r="C6" s="15" t="s">
        <v>97</v>
      </c>
      <c r="D6" s="15" t="s">
        <v>98</v>
      </c>
      <c r="E6" s="15"/>
      <c r="F6" s="15"/>
    </row>
    <row r="7" customFormat="false" ht="12.8" hidden="false" customHeight="false" outlineLevel="0" collapsed="false">
      <c r="A7" s="1" t="n">
        <v>2.1</v>
      </c>
      <c r="B7" s="15" t="s">
        <v>99</v>
      </c>
      <c r="C7" s="15" t="s">
        <v>100</v>
      </c>
      <c r="D7" s="15" t="s">
        <v>101</v>
      </c>
      <c r="E7" s="15"/>
      <c r="F7" s="15"/>
    </row>
    <row r="8" customFormat="false" ht="12.8" hidden="false" customHeight="false" outlineLevel="0" collapsed="false">
      <c r="A8" s="1" t="n">
        <v>2.2</v>
      </c>
      <c r="B8" s="15" t="s">
        <v>102</v>
      </c>
      <c r="C8" s="15" t="s">
        <v>103</v>
      </c>
      <c r="D8" s="15" t="s">
        <v>104</v>
      </c>
      <c r="E8" s="15"/>
      <c r="F8" s="15"/>
    </row>
    <row r="9" customFormat="false" ht="12.8" hidden="false" customHeight="false" outlineLevel="0" collapsed="false">
      <c r="A9" s="1" t="n">
        <v>3</v>
      </c>
      <c r="B9" s="15" t="s">
        <v>105</v>
      </c>
      <c r="C9" s="15" t="s">
        <v>106</v>
      </c>
      <c r="D9" s="15" t="s">
        <v>107</v>
      </c>
      <c r="E9" s="15" t="s">
        <v>108</v>
      </c>
      <c r="F9" s="15"/>
    </row>
    <row r="10" customFormat="false" ht="12.8" hidden="false" customHeight="false" outlineLevel="0" collapsed="false">
      <c r="A10" s="1" t="n">
        <v>4</v>
      </c>
      <c r="B10" s="15" t="s">
        <v>109</v>
      </c>
      <c r="C10" s="15" t="s">
        <v>110</v>
      </c>
      <c r="D10" s="15" t="s">
        <v>111</v>
      </c>
      <c r="E10" s="15"/>
      <c r="F10" s="15"/>
    </row>
    <row r="11" customFormat="false" ht="12.8" hidden="false" customHeight="false" outlineLevel="0" collapsed="false">
      <c r="A11" s="1" t="n">
        <v>4.1</v>
      </c>
      <c r="B11" s="15" t="s">
        <v>112</v>
      </c>
      <c r="C11" s="15" t="s">
        <v>113</v>
      </c>
      <c r="D11" s="15" t="s">
        <v>114</v>
      </c>
      <c r="E11" s="15"/>
      <c r="F11" s="15"/>
    </row>
    <row r="12" customFormat="false" ht="12.8" hidden="false" customHeight="false" outlineLevel="0" collapsed="false">
      <c r="A12" s="1" t="n">
        <v>4.2</v>
      </c>
      <c r="B12" s="15" t="s">
        <v>115</v>
      </c>
      <c r="C12" s="15" t="s">
        <v>116</v>
      </c>
      <c r="D12" s="15" t="s">
        <v>117</v>
      </c>
      <c r="E12" s="15"/>
      <c r="F12" s="15"/>
    </row>
    <row r="13" customFormat="false" ht="12.8" hidden="false" customHeight="false" outlineLevel="0" collapsed="false">
      <c r="A13" s="1" t="n">
        <v>4.3</v>
      </c>
      <c r="B13" s="15" t="s">
        <v>118</v>
      </c>
      <c r="C13" s="15" t="s">
        <v>119</v>
      </c>
      <c r="D13" s="15" t="s">
        <v>120</v>
      </c>
      <c r="E13" s="15"/>
      <c r="F13" s="15"/>
    </row>
    <row r="14" customFormat="false" ht="12.8" hidden="false" customHeight="false" outlineLevel="0" collapsed="false">
      <c r="A14" s="1" t="n">
        <v>5</v>
      </c>
      <c r="B14" s="15" t="s">
        <v>121</v>
      </c>
      <c r="C14" s="15" t="s">
        <v>122</v>
      </c>
      <c r="D14" s="15" t="s">
        <v>123</v>
      </c>
      <c r="E14" s="15"/>
      <c r="F14" s="15"/>
    </row>
    <row r="15" customFormat="false" ht="12.8" hidden="false" customHeight="false" outlineLevel="0" collapsed="false">
      <c r="A15" s="1" t="n">
        <v>5.1</v>
      </c>
      <c r="B15" s="15" t="s">
        <v>124</v>
      </c>
      <c r="C15" s="15" t="s">
        <v>125</v>
      </c>
      <c r="D15" s="15" t="s">
        <v>126</v>
      </c>
      <c r="E15" s="15"/>
      <c r="F15" s="15"/>
    </row>
    <row r="16" customFormat="false" ht="12.8" hidden="false" customHeight="false" outlineLevel="0" collapsed="false">
      <c r="A16" s="1" t="n">
        <v>5.2</v>
      </c>
      <c r="B16" s="15" t="s">
        <v>127</v>
      </c>
      <c r="C16" s="15" t="s">
        <v>128</v>
      </c>
      <c r="D16" s="15" t="s">
        <v>129</v>
      </c>
      <c r="E16" s="15"/>
      <c r="F16" s="15"/>
    </row>
    <row r="17" customFormat="false" ht="12.8" hidden="false" customHeight="false" outlineLevel="0" collapsed="false">
      <c r="A17" s="4" t="n">
        <v>5.3</v>
      </c>
      <c r="B17" s="16" t="s">
        <v>130</v>
      </c>
      <c r="C17" s="15" t="s">
        <v>131</v>
      </c>
      <c r="D17" s="15" t="s">
        <v>132</v>
      </c>
      <c r="E17" s="15"/>
      <c r="F17" s="15"/>
    </row>
    <row r="18" customFormat="false" ht="12.8" hidden="false" customHeight="false" outlineLevel="0" collapsed="false">
      <c r="A18" s="1" t="n">
        <v>6</v>
      </c>
      <c r="B18" s="15" t="s">
        <v>133</v>
      </c>
      <c r="C18" s="15" t="s">
        <v>134</v>
      </c>
      <c r="D18" s="15" t="s">
        <v>135</v>
      </c>
      <c r="E18" s="15"/>
      <c r="F18" s="15"/>
    </row>
    <row r="19" customFormat="false" ht="12.8" hidden="false" customHeight="false" outlineLevel="0" collapsed="false">
      <c r="A19" s="1" t="n">
        <v>6.1</v>
      </c>
      <c r="B19" s="15" t="s">
        <v>136</v>
      </c>
      <c r="C19" s="15" t="s">
        <v>137</v>
      </c>
      <c r="D19" s="15" t="s">
        <v>138</v>
      </c>
      <c r="E19" s="15"/>
      <c r="F19" s="15"/>
    </row>
    <row r="20" customFormat="false" ht="12.8" hidden="false" customHeight="false" outlineLevel="0" collapsed="false">
      <c r="A20" s="1" t="n">
        <v>6.2</v>
      </c>
      <c r="B20" s="15" t="s">
        <v>139</v>
      </c>
      <c r="C20" s="15" t="s">
        <v>140</v>
      </c>
      <c r="D20" s="15"/>
      <c r="E20" s="15"/>
      <c r="F20" s="15"/>
    </row>
    <row r="21" customFormat="false" ht="12.8" hidden="false" customHeight="false" outlineLevel="0" collapsed="false">
      <c r="A21" s="12" t="n">
        <v>6.3</v>
      </c>
      <c r="B21" s="18" t="s">
        <v>141</v>
      </c>
      <c r="C21" s="18" t="s">
        <v>142</v>
      </c>
      <c r="D21" s="18"/>
      <c r="E21" s="18"/>
      <c r="F21" s="18"/>
    </row>
    <row r="22" customFormat="false" ht="12.8" hidden="false" customHeight="false" outlineLevel="0" collapsed="false">
      <c r="A22" s="12" t="n">
        <v>6.4</v>
      </c>
      <c r="B22" s="18" t="s">
        <v>143</v>
      </c>
      <c r="C22" s="18" t="s">
        <v>144</v>
      </c>
      <c r="D22" s="18"/>
      <c r="E22" s="18"/>
      <c r="F22" s="18"/>
    </row>
    <row r="23" customFormat="false" ht="12.8" hidden="false" customHeight="false" outlineLevel="0" collapsed="false">
      <c r="A23" s="12" t="n">
        <v>6.5</v>
      </c>
      <c r="B23" s="18" t="s">
        <v>145</v>
      </c>
      <c r="C23" s="18" t="s">
        <v>146</v>
      </c>
      <c r="D23" s="18"/>
      <c r="E23" s="18"/>
      <c r="F23" s="18"/>
    </row>
    <row r="24" customFormat="false" ht="12.8" hidden="false" customHeight="false" outlineLevel="0" collapsed="false">
      <c r="A24" s="12" t="n">
        <v>6.6</v>
      </c>
      <c r="B24" s="18" t="s">
        <v>147</v>
      </c>
      <c r="C24" s="18" t="s">
        <v>148</v>
      </c>
      <c r="D24" s="18" t="s">
        <v>149</v>
      </c>
      <c r="E24" s="18"/>
      <c r="F24" s="18"/>
    </row>
    <row r="25" customFormat="false" ht="12.8" hidden="false" customHeight="false" outlineLevel="0" collapsed="false">
      <c r="A25" s="12" t="n">
        <v>7</v>
      </c>
      <c r="B25" s="18" t="s">
        <v>150</v>
      </c>
      <c r="C25" s="18" t="s">
        <v>151</v>
      </c>
      <c r="D25" s="18" t="s">
        <v>152</v>
      </c>
      <c r="E25" s="18"/>
      <c r="F25" s="18"/>
    </row>
    <row r="26" customFormat="false" ht="12.8" hidden="false" customHeight="false" outlineLevel="0" collapsed="false">
      <c r="A26" s="12" t="n">
        <v>7.1</v>
      </c>
      <c r="B26" s="18" t="s">
        <v>153</v>
      </c>
      <c r="C26" s="18" t="s">
        <v>154</v>
      </c>
      <c r="D26" s="18" t="s">
        <v>155</v>
      </c>
      <c r="E26" s="18"/>
      <c r="F26" s="18"/>
    </row>
    <row r="27" customFormat="false" ht="12.8" hidden="false" customHeight="false" outlineLevel="0" collapsed="false">
      <c r="A27" s="12" t="n">
        <v>7.2</v>
      </c>
      <c r="B27" s="18" t="s">
        <v>156</v>
      </c>
      <c r="C27" s="18" t="s">
        <v>157</v>
      </c>
      <c r="D27" s="18"/>
      <c r="E27" s="18"/>
      <c r="F27" s="18"/>
    </row>
    <row r="28" customFormat="false" ht="12.8" hidden="false" customHeight="false" outlineLevel="0" collapsed="false">
      <c r="A28" s="12" t="n">
        <v>7.3</v>
      </c>
      <c r="B28" s="18" t="s">
        <v>158</v>
      </c>
      <c r="C28" s="18" t="s">
        <v>159</v>
      </c>
      <c r="D28" s="18"/>
      <c r="E28" s="18"/>
      <c r="F28" s="18"/>
    </row>
    <row r="29" customFormat="false" ht="12.8" hidden="false" customHeight="false" outlineLevel="0" collapsed="false">
      <c r="A29" s="12" t="n">
        <v>7.4</v>
      </c>
      <c r="B29" s="18" t="s">
        <v>160</v>
      </c>
      <c r="C29" s="18" t="s">
        <v>161</v>
      </c>
      <c r="D29" s="18"/>
      <c r="E29" s="18"/>
      <c r="F29" s="18"/>
    </row>
    <row r="30" customFormat="false" ht="12.8" hidden="false" customHeight="false" outlineLevel="0" collapsed="false">
      <c r="A30" s="12" t="n">
        <v>7.5</v>
      </c>
      <c r="B30" s="18" t="s">
        <v>162</v>
      </c>
      <c r="C30" s="18" t="s">
        <v>163</v>
      </c>
      <c r="D30" s="18"/>
      <c r="E30" s="18"/>
      <c r="F30" s="18"/>
    </row>
    <row r="31" customFormat="false" ht="12.8" hidden="false" customHeight="false" outlineLevel="0" collapsed="false">
      <c r="A31" s="12" t="n">
        <v>7.6</v>
      </c>
      <c r="B31" s="18" t="s">
        <v>164</v>
      </c>
      <c r="C31" s="18" t="s">
        <v>165</v>
      </c>
      <c r="D31" s="18" t="s">
        <v>166</v>
      </c>
      <c r="E31" s="18"/>
      <c r="F31" s="18"/>
    </row>
    <row r="32" customFormat="false" ht="12.8" hidden="false" customHeight="false" outlineLevel="0" collapsed="false">
      <c r="A32" s="12" t="n">
        <v>8</v>
      </c>
      <c r="B32" s="18" t="s">
        <v>167</v>
      </c>
      <c r="C32" s="18" t="s">
        <v>168</v>
      </c>
      <c r="D32" s="18" t="s">
        <v>169</v>
      </c>
      <c r="E32" s="18"/>
      <c r="F32" s="18"/>
    </row>
    <row r="33" customFormat="false" ht="12.8" hidden="false" customHeight="false" outlineLevel="0" collapsed="false">
      <c r="A33" s="12" t="n">
        <v>8.1</v>
      </c>
      <c r="B33" s="18" t="s">
        <v>170</v>
      </c>
      <c r="C33" s="18" t="s">
        <v>171</v>
      </c>
      <c r="D33" s="18" t="s">
        <v>172</v>
      </c>
      <c r="E33" s="18"/>
      <c r="F33" s="18"/>
    </row>
    <row r="34" customFormat="false" ht="12.8" hidden="false" customHeight="false" outlineLevel="0" collapsed="false">
      <c r="A34" s="12" t="n">
        <v>8.2</v>
      </c>
      <c r="B34" s="18" t="s">
        <v>173</v>
      </c>
      <c r="C34" s="18" t="s">
        <v>174</v>
      </c>
      <c r="D34" s="18" t="s">
        <v>175</v>
      </c>
      <c r="E34" s="18"/>
      <c r="F34" s="18"/>
    </row>
    <row r="35" customFormat="false" ht="12.8" hidden="false" customHeight="false" outlineLevel="0" collapsed="false">
      <c r="A35" s="12" t="n">
        <v>9</v>
      </c>
      <c r="B35" s="18" t="s">
        <v>176</v>
      </c>
      <c r="C35" s="18" t="s">
        <v>177</v>
      </c>
      <c r="D35" s="18" t="s">
        <v>178</v>
      </c>
      <c r="E35" s="18"/>
      <c r="F35" s="18"/>
    </row>
    <row r="36" customFormat="false" ht="12.8" hidden="false" customHeight="false" outlineLevel="0" collapsed="false">
      <c r="A36" s="12" t="n">
        <v>9.1</v>
      </c>
      <c r="B36" s="18" t="s">
        <v>179</v>
      </c>
      <c r="C36" s="18" t="s">
        <v>180</v>
      </c>
      <c r="D36" s="18" t="s">
        <v>138</v>
      </c>
      <c r="E36" s="18"/>
      <c r="F36" s="18"/>
    </row>
    <row r="37" customFormat="false" ht="12.8" hidden="false" customHeight="false" outlineLevel="0" collapsed="false">
      <c r="A37" s="12" t="n">
        <v>9.2</v>
      </c>
      <c r="B37" s="18" t="s">
        <v>181</v>
      </c>
      <c r="C37" s="18" t="s">
        <v>182</v>
      </c>
      <c r="D37" s="18" t="s">
        <v>183</v>
      </c>
      <c r="E37" s="18"/>
      <c r="F37" s="18"/>
    </row>
    <row r="38" customFormat="false" ht="12.8" hidden="false" customHeight="false" outlineLevel="0" collapsed="false">
      <c r="A38" s="12" t="n">
        <v>10</v>
      </c>
      <c r="B38" s="18" t="s">
        <v>184</v>
      </c>
      <c r="C38" s="18" t="s">
        <v>185</v>
      </c>
      <c r="D38" s="18" t="s">
        <v>186</v>
      </c>
      <c r="E38" s="18"/>
      <c r="F38" s="18"/>
    </row>
    <row r="39" customFormat="false" ht="12.8" hidden="false" customHeight="false" outlineLevel="0" collapsed="false">
      <c r="A39" s="12" t="n">
        <v>10.1</v>
      </c>
      <c r="B39" s="18" t="s">
        <v>187</v>
      </c>
      <c r="C39" s="18" t="s">
        <v>188</v>
      </c>
      <c r="D39" s="18" t="s">
        <v>189</v>
      </c>
      <c r="E39" s="18"/>
      <c r="F39" s="18"/>
    </row>
    <row r="40" customFormat="false" ht="12.8" hidden="false" customHeight="false" outlineLevel="0" collapsed="false">
      <c r="A40" s="12" t="n">
        <v>10.2</v>
      </c>
      <c r="B40" s="18" t="s">
        <v>190</v>
      </c>
      <c r="C40" s="18" t="s">
        <v>191</v>
      </c>
      <c r="D40" s="18" t="s">
        <v>192</v>
      </c>
      <c r="E40" s="18"/>
      <c r="F40" s="18"/>
    </row>
    <row r="41" customFormat="false" ht="12.8" hidden="false" customHeight="false" outlineLevel="0" collapsed="false">
      <c r="A41" s="12" t="n">
        <v>11</v>
      </c>
      <c r="B41" s="18" t="s">
        <v>193</v>
      </c>
      <c r="C41" s="18" t="s">
        <v>194</v>
      </c>
      <c r="D41" s="18" t="s">
        <v>195</v>
      </c>
      <c r="E41" s="18"/>
      <c r="F41" s="18"/>
    </row>
    <row r="42" customFormat="false" ht="12.8" hidden="false" customHeight="false" outlineLevel="0" collapsed="false">
      <c r="A42" s="12" t="n">
        <v>11.1</v>
      </c>
      <c r="B42" s="18" t="s">
        <v>196</v>
      </c>
      <c r="C42" s="18" t="s">
        <v>197</v>
      </c>
      <c r="D42" s="18" t="s">
        <v>172</v>
      </c>
      <c r="E42" s="18"/>
      <c r="F42" s="18"/>
    </row>
    <row r="43" customFormat="false" ht="12.8" hidden="false" customHeight="false" outlineLevel="0" collapsed="false">
      <c r="A43" s="12" t="n">
        <v>11.2</v>
      </c>
      <c r="B43" s="18" t="s">
        <v>198</v>
      </c>
      <c r="C43" s="18" t="s">
        <v>199</v>
      </c>
      <c r="D43" s="18" t="s">
        <v>200</v>
      </c>
      <c r="E43" s="18"/>
      <c r="F43" s="18"/>
    </row>
    <row r="44" customFormat="false" ht="12.8" hidden="false" customHeight="false" outlineLevel="0" collapsed="false">
      <c r="A44" s="1" t="n">
        <v>12</v>
      </c>
      <c r="B44" s="15" t="s">
        <v>201</v>
      </c>
      <c r="C44" s="15" t="s">
        <v>202</v>
      </c>
      <c r="D44" s="15" t="s">
        <v>203</v>
      </c>
      <c r="E44" s="15"/>
    </row>
    <row r="45" customFormat="false" ht="12.8" hidden="false" customHeight="false" outlineLevel="0" collapsed="false">
      <c r="A45" s="1" t="n">
        <v>12.1</v>
      </c>
      <c r="B45" s="15" t="s">
        <v>204</v>
      </c>
      <c r="C45" s="15" t="s">
        <v>205</v>
      </c>
      <c r="D45" s="15" t="s">
        <v>172</v>
      </c>
      <c r="E45" s="15"/>
    </row>
    <row r="46" customFormat="false" ht="12.8" hidden="false" customHeight="false" outlineLevel="0" collapsed="false">
      <c r="A46" s="1" t="n">
        <v>12.2</v>
      </c>
      <c r="B46" s="15" t="s">
        <v>206</v>
      </c>
      <c r="C46" s="15" t="s">
        <v>207</v>
      </c>
      <c r="D46" s="15" t="s">
        <v>208</v>
      </c>
      <c r="E46" s="15"/>
    </row>
    <row r="47" customFormat="false" ht="12.8" hidden="false" customHeight="false" outlineLevel="0" collapsed="false">
      <c r="A47" s="1" t="n">
        <v>13</v>
      </c>
      <c r="B47" s="15" t="s">
        <v>209</v>
      </c>
      <c r="C47" s="15" t="s">
        <v>210</v>
      </c>
      <c r="D47" s="15" t="s">
        <v>211</v>
      </c>
      <c r="E47" s="15"/>
    </row>
    <row r="48" customFormat="false" ht="12.8" hidden="false" customHeight="false" outlineLevel="0" collapsed="false">
      <c r="A48" s="1" t="n">
        <v>13.1</v>
      </c>
      <c r="B48" s="15" t="s">
        <v>212</v>
      </c>
      <c r="C48" s="15" t="s">
        <v>213</v>
      </c>
      <c r="D48" s="15" t="s">
        <v>172</v>
      </c>
      <c r="E48" s="15"/>
    </row>
    <row r="49" customFormat="false" ht="12.8" hidden="false" customHeight="false" outlineLevel="0" collapsed="false">
      <c r="A49" s="1" t="n">
        <v>13.2</v>
      </c>
      <c r="B49" s="15" t="s">
        <v>214</v>
      </c>
      <c r="C49" s="15" t="s">
        <v>215</v>
      </c>
      <c r="D49" s="15" t="s">
        <v>216</v>
      </c>
      <c r="E49" s="15"/>
    </row>
    <row r="50" customFormat="false" ht="12.8" hidden="false" customHeight="false" outlineLevel="0" collapsed="false">
      <c r="A50" s="1" t="n">
        <v>14</v>
      </c>
      <c r="B50" s="15" t="s">
        <v>217</v>
      </c>
      <c r="C50" s="15" t="s">
        <v>218</v>
      </c>
      <c r="D50" s="15" t="s">
        <v>219</v>
      </c>
      <c r="E50" s="15"/>
    </row>
    <row r="51" customFormat="false" ht="12.8" hidden="false" customHeight="false" outlineLevel="0" collapsed="false">
      <c r="A51" s="1" t="n">
        <v>14.1</v>
      </c>
      <c r="B51" s="15" t="s">
        <v>220</v>
      </c>
      <c r="C51" s="15" t="s">
        <v>221</v>
      </c>
      <c r="D51" s="15" t="s">
        <v>172</v>
      </c>
      <c r="E51" s="15"/>
    </row>
    <row r="52" customFormat="false" ht="12.8" hidden="false" customHeight="false" outlineLevel="0" collapsed="false">
      <c r="A52" s="1" t="n">
        <v>14.2</v>
      </c>
      <c r="B52" s="15" t="s">
        <v>222</v>
      </c>
      <c r="C52" s="15" t="s">
        <v>223</v>
      </c>
      <c r="D52" s="15" t="s">
        <v>224</v>
      </c>
      <c r="E52" s="15"/>
    </row>
    <row r="53" customFormat="false" ht="12.8" hidden="false" customHeight="false" outlineLevel="0" collapsed="false">
      <c r="A53" s="1" t="n">
        <v>15</v>
      </c>
      <c r="B53" s="15" t="s">
        <v>225</v>
      </c>
      <c r="C53" s="15" t="s">
        <v>226</v>
      </c>
      <c r="D53" s="15" t="s">
        <v>227</v>
      </c>
      <c r="E53" s="15"/>
    </row>
    <row r="54" customFormat="false" ht="12.8" hidden="false" customHeight="false" outlineLevel="0" collapsed="false">
      <c r="A54" s="1" t="n">
        <v>15.1</v>
      </c>
      <c r="B54" s="15" t="s">
        <v>228</v>
      </c>
      <c r="C54" s="15" t="s">
        <v>229</v>
      </c>
      <c r="D54" s="15" t="s">
        <v>172</v>
      </c>
      <c r="E54" s="15"/>
    </row>
    <row r="55" customFormat="false" ht="12.8" hidden="false" customHeight="false" outlineLevel="0" collapsed="false">
      <c r="A55" s="1" t="n">
        <v>15.2</v>
      </c>
      <c r="B55" s="15" t="s">
        <v>230</v>
      </c>
      <c r="C55" s="15" t="s">
        <v>231</v>
      </c>
      <c r="D55" s="15" t="s">
        <v>232</v>
      </c>
      <c r="E55" s="15"/>
    </row>
    <row r="56" customFormat="false" ht="12.8" hidden="false" customHeight="false" outlineLevel="0" collapsed="false">
      <c r="A56" s="12"/>
      <c r="B56" s="18"/>
      <c r="C56" s="18"/>
      <c r="D56" s="18"/>
      <c r="E56" s="18"/>
    </row>
    <row r="57" customFormat="false" ht="12.8" hidden="false" customHeight="false" outlineLevel="0" collapsed="false">
      <c r="A57" s="12"/>
      <c r="B57" s="18"/>
      <c r="C57" s="18"/>
      <c r="D57" s="18"/>
      <c r="E57" s="18"/>
    </row>
    <row r="58" customFormat="false" ht="12.8" hidden="false" customHeight="false" outlineLevel="0" collapsed="false">
      <c r="A58" s="12"/>
      <c r="B58" s="18"/>
      <c r="C58" s="19"/>
      <c r="D58" s="18"/>
      <c r="E58" s="18"/>
    </row>
    <row r="59" customFormat="false" ht="12.8" hidden="false" customHeight="false" outlineLevel="0" collapsed="false">
      <c r="A59" s="12"/>
      <c r="B59" s="18"/>
      <c r="C59" s="19"/>
      <c r="D59" s="18"/>
      <c r="E59" s="18"/>
    </row>
    <row r="60" customFormat="false" ht="12.8" hidden="false" customHeight="false" outlineLevel="0" collapsed="false">
      <c r="A60" s="12"/>
      <c r="B60" s="18"/>
      <c r="C60" s="19"/>
      <c r="D60" s="18"/>
      <c r="E60" s="18"/>
    </row>
    <row r="61" customFormat="false" ht="12.8" hidden="false" customHeight="false" outlineLevel="0" collapsed="false">
      <c r="C61" s="15"/>
      <c r="D61" s="15"/>
      <c r="E61" s="1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F2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6" activeCellId="0" sqref="B6"/>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5" width="41.51"/>
    <col collapsed="false" customWidth="true" hidden="false" outlineLevel="0" max="3" min="3" style="0" width="13.84"/>
  </cols>
  <sheetData>
    <row r="1" customFormat="false" ht="12.8" hidden="false" customHeight="false" outlineLevel="0" collapsed="false">
      <c r="A1" s="4" t="s">
        <v>233</v>
      </c>
      <c r="B1" s="16" t="s">
        <v>6</v>
      </c>
      <c r="C1" s="17" t="s">
        <v>2</v>
      </c>
      <c r="D1" s="15"/>
      <c r="E1" s="15"/>
      <c r="F1" s="15"/>
    </row>
    <row r="2" customFormat="false" ht="12.8" hidden="false" customHeight="false" outlineLevel="0" collapsed="false">
      <c r="A2" s="1" t="s">
        <v>234</v>
      </c>
      <c r="B2" s="15" t="s">
        <v>235</v>
      </c>
      <c r="C2" s="15" t="s">
        <v>236</v>
      </c>
      <c r="D2" s="15" t="s">
        <v>237</v>
      </c>
      <c r="E2" s="15" t="s">
        <v>238</v>
      </c>
    </row>
    <row r="3" customFormat="false" ht="12.8" hidden="false" customHeight="false" outlineLevel="0" collapsed="false">
      <c r="A3" s="1" t="s">
        <v>239</v>
      </c>
      <c r="B3" s="15" t="s">
        <v>240</v>
      </c>
      <c r="C3" s="15" t="n">
        <v>2221.3</v>
      </c>
      <c r="D3" s="15" t="s">
        <v>241</v>
      </c>
      <c r="E3" s="15" t="s">
        <v>242</v>
      </c>
    </row>
    <row r="4" customFormat="false" ht="12.8" hidden="false" customHeight="false" outlineLevel="0" collapsed="false">
      <c r="A4" s="1" t="s">
        <v>243</v>
      </c>
      <c r="B4" s="15" t="s">
        <v>244</v>
      </c>
      <c r="C4" s="15" t="n">
        <v>30</v>
      </c>
      <c r="D4" s="15" t="s">
        <v>245</v>
      </c>
      <c r="E4" s="15" t="s">
        <v>246</v>
      </c>
    </row>
    <row r="5" customFormat="false" ht="12.8" hidden="false" customHeight="false" outlineLevel="0" collapsed="false">
      <c r="A5" s="1" t="s">
        <v>247</v>
      </c>
      <c r="B5" s="15" t="s">
        <v>248</v>
      </c>
      <c r="C5" s="15" t="n">
        <v>95</v>
      </c>
      <c r="D5" s="15" t="s">
        <v>249</v>
      </c>
      <c r="E5" s="15" t="s">
        <v>250</v>
      </c>
    </row>
    <row r="6" customFormat="false" ht="12.8" hidden="false" customHeight="false" outlineLevel="0" collapsed="false">
      <c r="A6" s="1" t="s">
        <v>251</v>
      </c>
      <c r="B6" s="15" t="s">
        <v>252</v>
      </c>
      <c r="C6" s="15" t="n">
        <v>240</v>
      </c>
      <c r="D6" s="15" t="s">
        <v>253</v>
      </c>
      <c r="E6" s="15"/>
    </row>
    <row r="7" customFormat="false" ht="12.8" hidden="false" customHeight="false" outlineLevel="0" collapsed="false">
      <c r="A7" s="1" t="s">
        <v>254</v>
      </c>
      <c r="B7" s="15" t="s">
        <v>255</v>
      </c>
      <c r="C7" s="15" t="n">
        <v>65</v>
      </c>
      <c r="D7" s="15" t="s">
        <v>256</v>
      </c>
      <c r="E7" s="15"/>
    </row>
    <row r="8" customFormat="false" ht="12.8" hidden="false" customHeight="false" outlineLevel="0" collapsed="false">
      <c r="A8" s="1" t="s">
        <v>257</v>
      </c>
      <c r="B8" s="15" t="s">
        <v>258</v>
      </c>
      <c r="C8" s="15" t="n">
        <v>270</v>
      </c>
      <c r="D8" s="15" t="s">
        <v>259</v>
      </c>
      <c r="E8" s="15"/>
    </row>
    <row r="9" customFormat="false" ht="12.8" hidden="false" customHeight="false" outlineLevel="0" collapsed="false">
      <c r="A9" s="1" t="s">
        <v>260</v>
      </c>
      <c r="B9" s="15" t="s">
        <v>261</v>
      </c>
      <c r="C9" s="15" t="n">
        <v>90</v>
      </c>
      <c r="D9" s="15" t="s">
        <v>262</v>
      </c>
      <c r="E9" s="15"/>
    </row>
    <row r="10" customFormat="false" ht="12.8" hidden="false" customHeight="false" outlineLevel="0" collapsed="false">
      <c r="A10" s="1" t="s">
        <v>263</v>
      </c>
      <c r="B10" s="15" t="s">
        <v>264</v>
      </c>
      <c r="C10" s="15" t="n">
        <v>320</v>
      </c>
      <c r="D10" s="15" t="s">
        <v>265</v>
      </c>
      <c r="E10" s="15"/>
    </row>
    <row r="11" customFormat="false" ht="12.8" hidden="false" customHeight="false" outlineLevel="0" collapsed="false">
      <c r="A11" s="1" t="s">
        <v>266</v>
      </c>
      <c r="B11" s="15" t="s">
        <v>267</v>
      </c>
      <c r="C11" s="15" t="n">
        <v>55</v>
      </c>
      <c r="D11" s="15" t="s">
        <v>268</v>
      </c>
      <c r="E11" s="15"/>
    </row>
    <row r="12" customFormat="false" ht="12.8" hidden="false" customHeight="false" outlineLevel="0" collapsed="false">
      <c r="A12" s="1" t="s">
        <v>269</v>
      </c>
      <c r="B12" s="15" t="s">
        <v>270</v>
      </c>
      <c r="C12" s="15" t="n">
        <v>45</v>
      </c>
      <c r="D12" s="15" t="s">
        <v>271</v>
      </c>
      <c r="E12" s="15"/>
      <c r="F12" s="15"/>
    </row>
    <row r="13" customFormat="false" ht="12.8" hidden="false" customHeight="false" outlineLevel="0" collapsed="false">
      <c r="A13" s="1" t="s">
        <v>272</v>
      </c>
      <c r="B13" s="15" t="s">
        <v>273</v>
      </c>
      <c r="C13" s="15" t="n">
        <v>110</v>
      </c>
      <c r="D13" s="15" t="s">
        <v>274</v>
      </c>
      <c r="E13" s="15"/>
      <c r="F13" s="15"/>
    </row>
    <row r="14" customFormat="false" ht="12.8" hidden="false" customHeight="false" outlineLevel="0" collapsed="false">
      <c r="A14" s="1" t="s">
        <v>275</v>
      </c>
      <c r="B14" s="15" t="s">
        <v>276</v>
      </c>
      <c r="C14" s="15" t="n">
        <v>320</v>
      </c>
      <c r="D14" s="15" t="s">
        <v>277</v>
      </c>
      <c r="E14" s="15"/>
      <c r="F14" s="15"/>
    </row>
    <row r="15" customFormat="false" ht="12.8" hidden="false" customHeight="false" outlineLevel="0" collapsed="false">
      <c r="A15" s="1" t="s">
        <v>278</v>
      </c>
      <c r="B15" s="15" t="s">
        <v>279</v>
      </c>
      <c r="C15" s="15" t="n">
        <v>220</v>
      </c>
      <c r="D15" s="15" t="s">
        <v>280</v>
      </c>
      <c r="E15" s="15"/>
    </row>
    <row r="16" customFormat="false" ht="12.8" hidden="false" customHeight="false" outlineLevel="0" collapsed="false">
      <c r="A16" s="1" t="s">
        <v>281</v>
      </c>
      <c r="B16" s="15" t="s">
        <v>282</v>
      </c>
      <c r="C16" s="15" t="n">
        <v>140</v>
      </c>
      <c r="D16" s="15" t="s">
        <v>283</v>
      </c>
      <c r="E16" s="15"/>
    </row>
    <row r="17" customFormat="false" ht="12.8" hidden="false" customHeight="false" outlineLevel="0" collapsed="false">
      <c r="A17" s="1" t="s">
        <v>284</v>
      </c>
      <c r="B17" s="15" t="s">
        <v>285</v>
      </c>
      <c r="C17" s="15" t="n">
        <v>100</v>
      </c>
      <c r="D17" s="15" t="s">
        <v>286</v>
      </c>
      <c r="E17" s="15"/>
    </row>
    <row r="18" customFormat="false" ht="12.8" hidden="false" customHeight="false" outlineLevel="0" collapsed="false">
      <c r="A18" s="1" t="s">
        <v>287</v>
      </c>
      <c r="B18" s="15" t="s">
        <v>288</v>
      </c>
      <c r="C18" s="15" t="n">
        <v>30</v>
      </c>
      <c r="D18" s="15" t="s">
        <v>289</v>
      </c>
      <c r="E18" s="15"/>
    </row>
    <row r="19" customFormat="false" ht="12.8" hidden="false" customHeight="false" outlineLevel="0" collapsed="false">
      <c r="A19" s="1" t="s">
        <v>290</v>
      </c>
      <c r="B19" s="15" t="s">
        <v>291</v>
      </c>
      <c r="C19" s="15" t="n">
        <v>400</v>
      </c>
      <c r="D19" s="15" t="s">
        <v>292</v>
      </c>
      <c r="E19" s="15"/>
    </row>
    <row r="20" customFormat="false" ht="12.8" hidden="false" customHeight="false" outlineLevel="0" collapsed="false">
      <c r="A20" s="1" t="s">
        <v>293</v>
      </c>
      <c r="B20" s="15" t="s">
        <v>294</v>
      </c>
      <c r="C20" s="15" t="n">
        <v>180</v>
      </c>
      <c r="D20" s="15" t="s">
        <v>295</v>
      </c>
      <c r="E20" s="15" t="s">
        <v>296</v>
      </c>
    </row>
    <row r="21" customFormat="false" ht="12.8" hidden="false" customHeight="false" outlineLevel="0" collapsed="false">
      <c r="A21" s="1" t="s">
        <v>297</v>
      </c>
      <c r="B21" s="15" t="s">
        <v>298</v>
      </c>
      <c r="C21" s="15" t="n">
        <v>0.945</v>
      </c>
      <c r="D21" s="15" t="s">
        <v>299</v>
      </c>
      <c r="E21" s="15" t="s">
        <v>300</v>
      </c>
    </row>
    <row r="22" customFormat="false" ht="12.8" hidden="false" customHeight="false" outlineLevel="0" collapsed="false">
      <c r="A22" s="1" t="s">
        <v>301</v>
      </c>
      <c r="B22" s="15" t="s">
        <v>302</v>
      </c>
      <c r="C22" s="15" t="n">
        <v>0.034</v>
      </c>
      <c r="D22" s="15" t="s">
        <v>303</v>
      </c>
      <c r="E22" s="15" t="s">
        <v>304</v>
      </c>
    </row>
    <row r="23" customFormat="false" ht="12.8" hidden="false" customHeight="false" outlineLevel="0" collapsed="false">
      <c r="A23" s="1" t="s">
        <v>305</v>
      </c>
      <c r="B23" s="15" t="s">
        <v>306</v>
      </c>
      <c r="C23" s="15" t="n">
        <v>0.018</v>
      </c>
      <c r="D23" s="15" t="s">
        <v>307</v>
      </c>
      <c r="E23" s="15" t="s">
        <v>308</v>
      </c>
    </row>
    <row r="24" customFormat="false" ht="12.8" hidden="false" customHeight="false" outlineLevel="0" collapsed="false">
      <c r="A24" s="1" t="s">
        <v>309</v>
      </c>
      <c r="B24" s="15" t="s">
        <v>310</v>
      </c>
      <c r="C24" s="15" t="n">
        <v>0.94</v>
      </c>
      <c r="D24" s="15" t="s">
        <v>311</v>
      </c>
      <c r="E24" s="15"/>
    </row>
    <row r="25" customFormat="false" ht="12.8" hidden="false" customHeight="false" outlineLevel="0" collapsed="false">
      <c r="A25" s="1" t="s">
        <v>312</v>
      </c>
      <c r="B25" s="15" t="s">
        <v>313</v>
      </c>
      <c r="C25" s="15" t="n">
        <v>0.04</v>
      </c>
      <c r="D25" s="15" t="s">
        <v>314</v>
      </c>
      <c r="E25" s="15"/>
    </row>
    <row r="26" customFormat="false" ht="12.8" hidden="false" customHeight="false" outlineLevel="0" collapsed="false">
      <c r="A26" s="1" t="s">
        <v>315</v>
      </c>
      <c r="B26" s="15" t="s">
        <v>316</v>
      </c>
      <c r="C26" s="15" t="n">
        <v>0.02</v>
      </c>
      <c r="D26" s="15" t="s">
        <v>317</v>
      </c>
      <c r="E26" s="15"/>
    </row>
    <row r="27" customFormat="false" ht="12.8" hidden="false" customHeight="false" outlineLevel="0" collapsed="false">
      <c r="A27" s="1" t="s">
        <v>318</v>
      </c>
      <c r="B27" s="15" t="s">
        <v>319</v>
      </c>
      <c r="C27" s="15" t="n">
        <v>0.027</v>
      </c>
      <c r="D27" s="15" t="s">
        <v>320</v>
      </c>
      <c r="E27" s="15" t="s">
        <v>321</v>
      </c>
    </row>
    <row r="28" customFormat="false" ht="12.8" hidden="false" customHeight="false" outlineLevel="0" collapsed="false">
      <c r="A28" s="1" t="s">
        <v>322</v>
      </c>
      <c r="B28" s="15" t="s">
        <v>323</v>
      </c>
      <c r="C28" s="15" t="n">
        <v>0.024</v>
      </c>
      <c r="D28" s="15" t="s">
        <v>324</v>
      </c>
      <c r="E28" s="15" t="s">
        <v>325</v>
      </c>
    </row>
    <row r="29" customFormat="false" ht="12.8" hidden="false" customHeight="false" outlineLevel="0" collapsed="false">
      <c r="A29" s="1" t="s">
        <v>326</v>
      </c>
      <c r="B29" s="15" t="s">
        <v>327</v>
      </c>
      <c r="C29" s="15" t="n">
        <v>0.04</v>
      </c>
      <c r="D29" s="15" t="s">
        <v>328</v>
      </c>
      <c r="E29" s="15"/>
    </row>
    <row r="30" customFormat="false" ht="12.8" hidden="false" customHeight="false" outlineLevel="0" collapsed="false">
      <c r="A30" s="1" t="s">
        <v>329</v>
      </c>
      <c r="B30" s="15" t="s">
        <v>330</v>
      </c>
      <c r="C30" s="15" t="n">
        <v>0.065</v>
      </c>
      <c r="D30" s="15" t="s">
        <v>331</v>
      </c>
      <c r="E30" s="15"/>
    </row>
    <row r="31" customFormat="false" ht="12.8" hidden="false" customHeight="false" outlineLevel="0" collapsed="false">
      <c r="A31" s="1" t="s">
        <v>332</v>
      </c>
      <c r="B31" s="15" t="s">
        <v>333</v>
      </c>
      <c r="C31" s="15" t="n">
        <v>0.015</v>
      </c>
      <c r="D31" s="15" t="s">
        <v>334</v>
      </c>
      <c r="E31" s="15"/>
    </row>
    <row r="32" customFormat="false" ht="12.8" hidden="false" customHeight="false" outlineLevel="0" collapsed="false">
      <c r="A32" s="1" t="s">
        <v>335</v>
      </c>
      <c r="B32" s="15" t="s">
        <v>336</v>
      </c>
      <c r="C32" s="15" t="n">
        <v>0.025</v>
      </c>
      <c r="D32" s="15" t="s">
        <v>337</v>
      </c>
      <c r="E32" s="15"/>
    </row>
    <row r="33" customFormat="false" ht="12.8" hidden="false" customHeight="false" outlineLevel="0" collapsed="false">
      <c r="A33" s="1" t="s">
        <v>338</v>
      </c>
      <c r="B33" s="15" t="s">
        <v>339</v>
      </c>
      <c r="C33" s="15" t="n">
        <v>0.045</v>
      </c>
      <c r="D33" s="15" t="s">
        <v>340</v>
      </c>
      <c r="E33" s="15"/>
    </row>
    <row r="34" customFormat="false" ht="12.8" hidden="false" customHeight="false" outlineLevel="0" collapsed="false">
      <c r="A34" s="1" t="s">
        <v>341</v>
      </c>
      <c r="B34" s="15" t="s">
        <v>342</v>
      </c>
      <c r="C34" s="15" t="n">
        <v>0.053</v>
      </c>
      <c r="D34" s="15" t="s">
        <v>343</v>
      </c>
      <c r="E34" s="15" t="s">
        <v>344</v>
      </c>
    </row>
    <row r="35" customFormat="false" ht="12.8" hidden="false" customHeight="false" outlineLevel="0" collapsed="false">
      <c r="A35" s="1" t="s">
        <v>345</v>
      </c>
      <c r="B35" s="15" t="s">
        <v>346</v>
      </c>
      <c r="C35" s="15" t="n">
        <v>0.92</v>
      </c>
      <c r="D35" s="15" t="s">
        <v>347</v>
      </c>
      <c r="E35" s="15" t="s">
        <v>348</v>
      </c>
    </row>
    <row r="36" customFormat="false" ht="12.8" hidden="false" customHeight="false" outlineLevel="0" collapsed="false">
      <c r="A36" s="1" t="s">
        <v>349</v>
      </c>
      <c r="B36" s="15" t="s">
        <v>350</v>
      </c>
      <c r="C36" s="15" t="n">
        <v>1.1</v>
      </c>
      <c r="D36" s="15" t="s">
        <v>351</v>
      </c>
      <c r="E36" s="15"/>
    </row>
    <row r="37" customFormat="false" ht="12.8" hidden="false" customHeight="false" outlineLevel="0" collapsed="false">
      <c r="A37" s="1" t="s">
        <v>352</v>
      </c>
      <c r="B37" s="15" t="s">
        <v>353</v>
      </c>
      <c r="C37" s="15" t="n">
        <v>1.67</v>
      </c>
      <c r="D37" s="15" t="s">
        <v>354</v>
      </c>
      <c r="E37" s="15"/>
    </row>
    <row r="38" customFormat="false" ht="12.8" hidden="false" customHeight="false" outlineLevel="0" collapsed="false">
      <c r="A38" s="1" t="s">
        <v>355</v>
      </c>
      <c r="B38" s="15" t="s">
        <v>356</v>
      </c>
      <c r="C38" s="15" t="n">
        <v>1.2</v>
      </c>
      <c r="D38" s="15" t="s">
        <v>357</v>
      </c>
      <c r="E38" s="15"/>
    </row>
    <row r="39" customFormat="false" ht="12.8" hidden="false" customHeight="false" outlineLevel="0" collapsed="false">
      <c r="A39" s="1" t="s">
        <v>358</v>
      </c>
      <c r="B39" s="15" t="s">
        <v>359</v>
      </c>
      <c r="C39" s="15" t="n">
        <v>1.75</v>
      </c>
      <c r="D39" s="15" t="s">
        <v>360</v>
      </c>
      <c r="E39" s="15" t="s">
        <v>361</v>
      </c>
    </row>
    <row r="40" customFormat="false" ht="12.8" hidden="false" customHeight="false" outlineLevel="0" collapsed="false">
      <c r="A40" s="1" t="s">
        <v>362</v>
      </c>
      <c r="B40" s="15" t="s">
        <v>363</v>
      </c>
      <c r="C40" s="15" t="n">
        <v>1.4</v>
      </c>
      <c r="D40" s="15" t="s">
        <v>364</v>
      </c>
      <c r="E40" s="15"/>
    </row>
    <row r="41" customFormat="false" ht="12.8" hidden="false" customHeight="false" outlineLevel="0" collapsed="false">
      <c r="A41" s="1" t="s">
        <v>365</v>
      </c>
      <c r="B41" s="15" t="s">
        <v>366</v>
      </c>
      <c r="C41" s="15" t="n">
        <v>1.8</v>
      </c>
      <c r="D41" s="15" t="s">
        <v>367</v>
      </c>
      <c r="E41" s="15" t="s">
        <v>368</v>
      </c>
    </row>
    <row r="42" customFormat="false" ht="12.8" hidden="false" customHeight="false" outlineLevel="0" collapsed="false">
      <c r="A42" s="1" t="s">
        <v>369</v>
      </c>
      <c r="B42" s="15" t="s">
        <v>370</v>
      </c>
      <c r="C42" s="15" t="n">
        <v>1.9</v>
      </c>
      <c r="D42" s="15" t="s">
        <v>371</v>
      </c>
      <c r="E42" s="15"/>
    </row>
    <row r="43" customFormat="false" ht="12.8" hidden="false" customHeight="false" outlineLevel="0" collapsed="false">
      <c r="A43" s="1" t="s">
        <v>372</v>
      </c>
      <c r="B43" s="15" t="s">
        <v>373</v>
      </c>
      <c r="C43" s="15" t="n">
        <v>0.94</v>
      </c>
      <c r="D43" s="15" t="s">
        <v>374</v>
      </c>
      <c r="E43" s="15" t="s">
        <v>375</v>
      </c>
    </row>
    <row r="44" customFormat="false" ht="12.8" hidden="false" customHeight="false" outlineLevel="0" collapsed="false">
      <c r="A44" s="1" t="s">
        <v>376</v>
      </c>
      <c r="B44" s="15" t="s">
        <v>377</v>
      </c>
      <c r="C44" s="15" t="n">
        <v>1.05</v>
      </c>
      <c r="D44" s="15" t="s">
        <v>378</v>
      </c>
      <c r="E44" s="15"/>
    </row>
    <row r="45" customFormat="false" ht="12.8" hidden="false" customHeight="false" outlineLevel="0" collapsed="false">
      <c r="A45" s="1" t="s">
        <v>379</v>
      </c>
      <c r="B45" s="15" t="s">
        <v>380</v>
      </c>
      <c r="C45" s="15" t="n">
        <v>1.7</v>
      </c>
      <c r="D45" s="15" t="s">
        <v>381</v>
      </c>
      <c r="E45" s="15" t="s">
        <v>382</v>
      </c>
    </row>
    <row r="46" customFormat="false" ht="12.8" hidden="false" customHeight="false" outlineLevel="0" collapsed="false">
      <c r="A46" s="1" t="s">
        <v>383</v>
      </c>
      <c r="B46" s="15" t="s">
        <v>384</v>
      </c>
      <c r="C46" s="15" t="n">
        <v>1.7</v>
      </c>
      <c r="D46" s="15" t="s">
        <v>385</v>
      </c>
      <c r="E46" s="15" t="s">
        <v>386</v>
      </c>
    </row>
    <row r="47" customFormat="false" ht="12.8" hidden="false" customHeight="false" outlineLevel="0" collapsed="false">
      <c r="A47" s="1" t="s">
        <v>387</v>
      </c>
      <c r="B47" s="15" t="s">
        <v>388</v>
      </c>
      <c r="C47" s="15" t="n">
        <v>1.4</v>
      </c>
      <c r="D47" s="15" t="s">
        <v>389</v>
      </c>
      <c r="E47" s="15"/>
    </row>
    <row r="48" customFormat="false" ht="12.8" hidden="false" customHeight="false" outlineLevel="0" collapsed="false">
      <c r="A48" s="1" t="s">
        <v>390</v>
      </c>
      <c r="B48" s="15" t="s">
        <v>391</v>
      </c>
      <c r="C48" s="15" t="n">
        <v>1.5</v>
      </c>
      <c r="D48" s="15" t="s">
        <v>392</v>
      </c>
      <c r="E48" s="15"/>
    </row>
    <row r="49" customFormat="false" ht="12.8" hidden="false" customHeight="false" outlineLevel="0" collapsed="false">
      <c r="A49" s="1" t="s">
        <v>393</v>
      </c>
      <c r="B49" s="15" t="s">
        <v>394</v>
      </c>
      <c r="C49" s="15" t="n">
        <v>1.05</v>
      </c>
      <c r="D49" s="15" t="s">
        <v>395</v>
      </c>
      <c r="E49" s="15" t="s">
        <v>396</v>
      </c>
    </row>
    <row r="50" customFormat="false" ht="12.8" hidden="false" customHeight="false" outlineLevel="0" collapsed="false">
      <c r="A50" s="1" t="s">
        <v>397</v>
      </c>
      <c r="B50" s="15" t="s">
        <v>398</v>
      </c>
      <c r="C50" s="15" t="n">
        <v>0.8</v>
      </c>
      <c r="D50" s="15" t="s">
        <v>399</v>
      </c>
      <c r="E50" s="15" t="s">
        <v>400</v>
      </c>
    </row>
    <row r="51" customFormat="false" ht="12.8" hidden="false" customHeight="false" outlineLevel="0" collapsed="false">
      <c r="A51" s="1" t="s">
        <v>401</v>
      </c>
      <c r="B51" s="15" t="s">
        <v>402</v>
      </c>
      <c r="C51" s="15" t="n">
        <v>1.1</v>
      </c>
      <c r="D51" s="15" t="s">
        <v>403</v>
      </c>
      <c r="E51" s="15"/>
    </row>
    <row r="52" customFormat="false" ht="12.8" hidden="false" customHeight="false" outlineLevel="0" collapsed="false">
      <c r="A52" s="1" t="s">
        <v>404</v>
      </c>
      <c r="B52" s="15" t="s">
        <v>405</v>
      </c>
      <c r="C52" s="15" t="n">
        <v>0.85</v>
      </c>
      <c r="D52" s="15" t="s">
        <v>406</v>
      </c>
      <c r="E52" s="15" t="s">
        <v>400</v>
      </c>
    </row>
    <row r="53" customFormat="false" ht="12.8" hidden="false" customHeight="false" outlineLevel="0" collapsed="false">
      <c r="A53" s="1" t="s">
        <v>407</v>
      </c>
      <c r="B53" s="15" t="s">
        <v>408</v>
      </c>
      <c r="C53" s="15" t="n">
        <v>0.95</v>
      </c>
      <c r="D53" s="15" t="s">
        <v>409</v>
      </c>
      <c r="E53" s="15"/>
    </row>
    <row r="54" customFormat="false" ht="12.8" hidden="false" customHeight="false" outlineLevel="0" collapsed="false">
      <c r="A54" s="1" t="s">
        <v>410</v>
      </c>
      <c r="B54" s="15" t="s">
        <v>411</v>
      </c>
      <c r="C54" s="15" t="n">
        <v>0.9</v>
      </c>
      <c r="D54" s="15" t="s">
        <v>412</v>
      </c>
      <c r="E54" s="15" t="s">
        <v>375</v>
      </c>
    </row>
    <row r="55" customFormat="false" ht="12.8" hidden="false" customHeight="false" outlineLevel="0" collapsed="false">
      <c r="A55" s="1" t="s">
        <v>413</v>
      </c>
      <c r="B55" s="15" t="s">
        <v>414</v>
      </c>
      <c r="C55" s="15" t="n">
        <v>21.93</v>
      </c>
      <c r="D55" s="15" t="s">
        <v>415</v>
      </c>
      <c r="E55" s="15" t="s">
        <v>416</v>
      </c>
    </row>
    <row r="56" customFormat="false" ht="12.8" hidden="false" customHeight="false" outlineLevel="0" collapsed="false">
      <c r="A56" s="1" t="s">
        <v>417</v>
      </c>
      <c r="B56" s="15" t="s">
        <v>418</v>
      </c>
      <c r="C56" s="15" t="n">
        <v>25.34</v>
      </c>
      <c r="D56" s="15" t="s">
        <v>419</v>
      </c>
      <c r="E56" s="15" t="s">
        <v>420</v>
      </c>
    </row>
    <row r="57" customFormat="false" ht="12.8" hidden="false" customHeight="false" outlineLevel="0" collapsed="false">
      <c r="A57" s="1" t="s">
        <v>421</v>
      </c>
      <c r="B57" s="15" t="s">
        <v>422</v>
      </c>
      <c r="C57" s="15" t="n">
        <v>14.15</v>
      </c>
      <c r="D57" s="15" t="s">
        <v>423</v>
      </c>
      <c r="E57" s="15" t="s">
        <v>424</v>
      </c>
    </row>
    <row r="58" customFormat="false" ht="12.8" hidden="false" customHeight="false" outlineLevel="0" collapsed="false">
      <c r="A58" s="1" t="s">
        <v>425</v>
      </c>
      <c r="B58" s="15" t="s">
        <v>426</v>
      </c>
      <c r="C58" s="15" t="n">
        <v>16.59</v>
      </c>
      <c r="D58" s="15" t="s">
        <v>427</v>
      </c>
      <c r="E58" s="15" t="s">
        <v>428</v>
      </c>
    </row>
    <row r="59" customFormat="false" ht="12.8" hidden="false" customHeight="false" outlineLevel="0" collapsed="false">
      <c r="A59" s="1" t="s">
        <v>429</v>
      </c>
      <c r="B59" s="15" t="s">
        <v>430</v>
      </c>
      <c r="C59" s="15" t="n">
        <v>24.19</v>
      </c>
      <c r="D59" s="15" t="s">
        <v>431</v>
      </c>
      <c r="E59" s="15" t="s">
        <v>432</v>
      </c>
    </row>
    <row r="60" customFormat="false" ht="12.8" hidden="false" customHeight="false" outlineLevel="0" collapsed="false">
      <c r="A60" s="1" t="s">
        <v>433</v>
      </c>
      <c r="B60" s="15" t="s">
        <v>434</v>
      </c>
      <c r="C60" s="15" t="n">
        <v>24.4</v>
      </c>
      <c r="D60" s="15" t="s">
        <v>435</v>
      </c>
      <c r="E60" s="15" t="s">
        <v>436</v>
      </c>
    </row>
    <row r="61" customFormat="false" ht="12.8" hidden="false" customHeight="false" outlineLevel="0" collapsed="false">
      <c r="A61" s="1" t="s">
        <v>437</v>
      </c>
      <c r="B61" s="15" t="s">
        <v>438</v>
      </c>
      <c r="C61" s="15" t="n">
        <v>21.94</v>
      </c>
      <c r="D61" s="15" t="s">
        <v>439</v>
      </c>
      <c r="E61" s="15" t="s">
        <v>440</v>
      </c>
    </row>
    <row r="62" customFormat="false" ht="12.8" hidden="false" customHeight="false" outlineLevel="0" collapsed="false">
      <c r="A62" s="1" t="s">
        <v>441</v>
      </c>
      <c r="B62" s="15" t="s">
        <v>442</v>
      </c>
      <c r="C62" s="15" t="n">
        <v>16.59</v>
      </c>
      <c r="D62" s="15" t="s">
        <v>443</v>
      </c>
      <c r="E62" s="15" t="s">
        <v>428</v>
      </c>
    </row>
    <row r="63" customFormat="false" ht="12.8" hidden="false" customHeight="false" outlineLevel="0" collapsed="false">
      <c r="A63" s="1" t="s">
        <v>444</v>
      </c>
      <c r="B63" s="15" t="s">
        <v>445</v>
      </c>
      <c r="C63" s="15" t="n">
        <v>29.21</v>
      </c>
      <c r="D63" s="15" t="s">
        <v>446</v>
      </c>
      <c r="E63" s="15" t="s">
        <v>447</v>
      </c>
    </row>
    <row r="64" customFormat="false" ht="12.8" hidden="false" customHeight="false" outlineLevel="0" collapsed="false">
      <c r="A64" s="1" t="s">
        <v>448</v>
      </c>
      <c r="B64" s="15" t="s">
        <v>449</v>
      </c>
      <c r="C64" s="15" t="n">
        <v>15.21</v>
      </c>
      <c r="D64" s="15" t="s">
        <v>450</v>
      </c>
      <c r="E64" s="15" t="s">
        <v>451</v>
      </c>
    </row>
    <row r="65" customFormat="false" ht="12.8" hidden="false" customHeight="false" outlineLevel="0" collapsed="false">
      <c r="A65" s="1" t="s">
        <v>452</v>
      </c>
      <c r="B65" s="15" t="s">
        <v>453</v>
      </c>
      <c r="C65" s="15" t="n">
        <v>41.16</v>
      </c>
      <c r="D65" s="15" t="s">
        <v>454</v>
      </c>
      <c r="E65" s="15" t="s">
        <v>455</v>
      </c>
    </row>
    <row r="66" customFormat="false" ht="12.8" hidden="false" customHeight="false" outlineLevel="0" collapsed="false">
      <c r="A66" s="1" t="s">
        <v>456</v>
      </c>
      <c r="B66" s="15" t="s">
        <v>457</v>
      </c>
      <c r="C66" s="15" t="n">
        <v>53.09</v>
      </c>
      <c r="D66" s="15" t="s">
        <v>458</v>
      </c>
      <c r="E66" s="15" t="s">
        <v>459</v>
      </c>
    </row>
    <row r="67" customFormat="false" ht="12.8" hidden="false" customHeight="false" outlineLevel="0" collapsed="false">
      <c r="A67" s="1" t="s">
        <v>460</v>
      </c>
      <c r="B67" s="15" t="s">
        <v>461</v>
      </c>
      <c r="C67" s="15" t="n">
        <v>26.24</v>
      </c>
      <c r="D67" s="15" t="s">
        <v>462</v>
      </c>
      <c r="E67" s="15" t="s">
        <v>463</v>
      </c>
    </row>
    <row r="68" customFormat="false" ht="12.8" hidden="false" customHeight="false" outlineLevel="0" collapsed="false">
      <c r="A68" s="1" t="s">
        <v>464</v>
      </c>
      <c r="B68" s="15" t="s">
        <v>465</v>
      </c>
      <c r="C68" s="15" t="n">
        <v>41</v>
      </c>
      <c r="D68" s="15" t="s">
        <v>466</v>
      </c>
      <c r="E68" s="15" t="s">
        <v>467</v>
      </c>
    </row>
    <row r="69" customFormat="false" ht="12.8" hidden="false" customHeight="false" outlineLevel="0" collapsed="false">
      <c r="A69" s="1" t="s">
        <v>468</v>
      </c>
      <c r="B69" s="15" t="s">
        <v>469</v>
      </c>
      <c r="C69" s="15" t="n">
        <v>28.71</v>
      </c>
      <c r="D69" s="15" t="s">
        <v>470</v>
      </c>
      <c r="E69" s="15" t="s">
        <v>471</v>
      </c>
    </row>
    <row r="70" customFormat="false" ht="12.8" hidden="false" customHeight="false" outlineLevel="0" collapsed="false">
      <c r="A70" s="1" t="s">
        <v>472</v>
      </c>
      <c r="B70" s="15" t="s">
        <v>473</v>
      </c>
      <c r="C70" s="15" t="n">
        <v>24.54</v>
      </c>
      <c r="D70" s="15" t="s">
        <v>474</v>
      </c>
      <c r="E70" s="15" t="s">
        <v>475</v>
      </c>
    </row>
    <row r="71" customFormat="false" ht="12.8" hidden="false" customHeight="false" outlineLevel="0" collapsed="false">
      <c r="A71" s="1" t="s">
        <v>476</v>
      </c>
      <c r="B71" s="15" t="s">
        <v>477</v>
      </c>
      <c r="C71" s="15" t="n">
        <v>37.5</v>
      </c>
      <c r="D71" s="15" t="s">
        <v>478</v>
      </c>
      <c r="E71" s="15" t="s">
        <v>479</v>
      </c>
    </row>
    <row r="72" customFormat="false" ht="12.8" hidden="false" customHeight="false" outlineLevel="0" collapsed="false">
      <c r="A72" s="1" t="s">
        <v>480</v>
      </c>
      <c r="B72" s="15" t="s">
        <v>481</v>
      </c>
      <c r="C72" s="15" t="n">
        <v>1.02</v>
      </c>
      <c r="D72" s="15" t="s">
        <v>482</v>
      </c>
      <c r="E72" s="15" t="s">
        <v>483</v>
      </c>
    </row>
    <row r="73" customFormat="false" ht="12.8" hidden="false" customHeight="false" outlineLevel="0" collapsed="false">
      <c r="A73" s="1" t="s">
        <v>484</v>
      </c>
      <c r="B73" s="15" t="s">
        <v>485</v>
      </c>
      <c r="C73" s="15" t="n">
        <v>0.97</v>
      </c>
      <c r="D73" s="15" t="s">
        <v>486</v>
      </c>
      <c r="E73" s="15"/>
    </row>
    <row r="74" customFormat="false" ht="12.8" hidden="false" customHeight="false" outlineLevel="0" collapsed="false">
      <c r="A74" s="1" t="s">
        <v>487</v>
      </c>
      <c r="B74" s="15" t="s">
        <v>488</v>
      </c>
      <c r="C74" s="15" t="n">
        <v>0.85</v>
      </c>
      <c r="D74" s="15" t="s">
        <v>489</v>
      </c>
      <c r="E74" s="15" t="s">
        <v>490</v>
      </c>
    </row>
    <row r="75" customFormat="false" ht="12.8" hidden="false" customHeight="false" outlineLevel="0" collapsed="false">
      <c r="A75" s="1" t="s">
        <v>491</v>
      </c>
      <c r="B75" s="15" t="s">
        <v>492</v>
      </c>
      <c r="C75" s="15" t="n">
        <v>0.83</v>
      </c>
      <c r="D75" s="15" t="s">
        <v>493</v>
      </c>
      <c r="E75" s="15" t="s">
        <v>494</v>
      </c>
    </row>
    <row r="76" customFormat="false" ht="12.8" hidden="false" customHeight="false" outlineLevel="0" collapsed="false">
      <c r="A76" s="1" t="s">
        <v>495</v>
      </c>
      <c r="B76" s="15" t="s">
        <v>496</v>
      </c>
      <c r="C76" s="15" t="n">
        <v>0.85</v>
      </c>
      <c r="D76" s="15" t="s">
        <v>497</v>
      </c>
      <c r="E76" s="15"/>
    </row>
    <row r="77" customFormat="false" ht="12.8" hidden="false" customHeight="false" outlineLevel="0" collapsed="false">
      <c r="A77" s="1" t="s">
        <v>498</v>
      </c>
      <c r="B77" s="15" t="s">
        <v>499</v>
      </c>
      <c r="C77" s="15" t="n">
        <v>0.82</v>
      </c>
      <c r="D77" s="15" t="s">
        <v>500</v>
      </c>
      <c r="E77" s="15"/>
    </row>
    <row r="78" customFormat="false" ht="12.8" hidden="false" customHeight="false" outlineLevel="0" collapsed="false">
      <c r="A78" s="1" t="s">
        <v>501</v>
      </c>
      <c r="B78" s="15" t="s">
        <v>502</v>
      </c>
      <c r="C78" s="15" t="n">
        <v>0.84</v>
      </c>
      <c r="D78" s="15" t="s">
        <v>503</v>
      </c>
      <c r="E78" s="15"/>
    </row>
    <row r="79" customFormat="false" ht="12.8" hidden="false" customHeight="false" outlineLevel="0" collapsed="false">
      <c r="A79" s="1" t="s">
        <v>504</v>
      </c>
      <c r="B79" s="15" t="s">
        <v>505</v>
      </c>
      <c r="C79" s="15" t="n">
        <v>0.87</v>
      </c>
      <c r="D79" s="15" t="s">
        <v>506</v>
      </c>
      <c r="E79" s="15"/>
    </row>
    <row r="80" customFormat="false" ht="12.8" hidden="false" customHeight="false" outlineLevel="0" collapsed="false">
      <c r="A80" s="1" t="s">
        <v>507</v>
      </c>
      <c r="B80" s="15" t="s">
        <v>508</v>
      </c>
      <c r="C80" s="15" t="n">
        <v>0.86</v>
      </c>
      <c r="D80" s="15" t="s">
        <v>509</v>
      </c>
      <c r="E80" s="15"/>
    </row>
    <row r="81" customFormat="false" ht="12.8" hidden="false" customHeight="false" outlineLevel="0" collapsed="false">
      <c r="A81" s="1" t="s">
        <v>510</v>
      </c>
      <c r="B81" s="15" t="s">
        <v>511</v>
      </c>
      <c r="C81" s="15" t="n">
        <v>0.84</v>
      </c>
      <c r="D81" s="15" t="s">
        <v>512</v>
      </c>
      <c r="E81" s="15"/>
    </row>
    <row r="82" customFormat="false" ht="12.8" hidden="false" customHeight="false" outlineLevel="0" collapsed="false">
      <c r="A82" s="1" t="s">
        <v>513</v>
      </c>
      <c r="B82" s="15" t="s">
        <v>514</v>
      </c>
      <c r="C82" s="15" t="n">
        <v>0.83</v>
      </c>
      <c r="D82" s="15" t="s">
        <v>515</v>
      </c>
      <c r="E82" s="15"/>
    </row>
    <row r="83" customFormat="false" ht="12.8" hidden="false" customHeight="false" outlineLevel="0" collapsed="false">
      <c r="A83" s="1" t="s">
        <v>516</v>
      </c>
      <c r="B83" s="15" t="s">
        <v>517</v>
      </c>
      <c r="C83" s="15" t="n">
        <v>0.85</v>
      </c>
      <c r="D83" s="15" t="s">
        <v>518</v>
      </c>
      <c r="E83" s="15"/>
    </row>
    <row r="84" customFormat="false" ht="12.8" hidden="false" customHeight="false" outlineLevel="0" collapsed="false">
      <c r="A84" s="1" t="s">
        <v>519</v>
      </c>
      <c r="B84" s="15" t="s">
        <v>520</v>
      </c>
      <c r="C84" s="15" t="n">
        <v>0.84</v>
      </c>
      <c r="D84" s="15" t="s">
        <v>521</v>
      </c>
      <c r="E84" s="15"/>
    </row>
    <row r="85" customFormat="false" ht="12.8" hidden="false" customHeight="false" outlineLevel="0" collapsed="false">
      <c r="A85" s="1" t="s">
        <v>522</v>
      </c>
      <c r="B85" s="15" t="s">
        <v>523</v>
      </c>
      <c r="C85" s="15" t="n">
        <v>0.88</v>
      </c>
      <c r="D85" s="15" t="s">
        <v>524</v>
      </c>
      <c r="E85" s="15"/>
    </row>
    <row r="86" customFormat="false" ht="12.8" hidden="false" customHeight="false" outlineLevel="0" collapsed="false">
      <c r="A86" s="1" t="s">
        <v>525</v>
      </c>
      <c r="B86" s="15" t="s">
        <v>526</v>
      </c>
      <c r="C86" s="15" t="n">
        <v>0.9</v>
      </c>
      <c r="D86" s="15" t="s">
        <v>527</v>
      </c>
      <c r="E86" s="15"/>
    </row>
    <row r="87" customFormat="false" ht="12.8" hidden="false" customHeight="false" outlineLevel="0" collapsed="false">
      <c r="A87" s="1" t="s">
        <v>528</v>
      </c>
      <c r="B87" s="15" t="s">
        <v>529</v>
      </c>
      <c r="C87" s="15" t="n">
        <v>0.89</v>
      </c>
      <c r="D87" s="15" t="s">
        <v>530</v>
      </c>
      <c r="E87" s="15"/>
    </row>
    <row r="88" customFormat="false" ht="12.8" hidden="false" customHeight="false" outlineLevel="0" collapsed="false">
      <c r="A88" s="1" t="s">
        <v>531</v>
      </c>
      <c r="B88" s="15" t="s">
        <v>532</v>
      </c>
      <c r="C88" s="15" t="n">
        <v>0.91</v>
      </c>
      <c r="D88" s="15" t="s">
        <v>533</v>
      </c>
      <c r="E88" s="15"/>
    </row>
    <row r="89" customFormat="false" ht="12.8" hidden="false" customHeight="false" outlineLevel="0" collapsed="false">
      <c r="A89" s="1" t="s">
        <v>534</v>
      </c>
      <c r="B89" s="15" t="s">
        <v>535</v>
      </c>
      <c r="C89" s="15" t="n">
        <v>0.9</v>
      </c>
      <c r="D89" s="15" t="s">
        <v>536</v>
      </c>
      <c r="E89" s="15"/>
    </row>
    <row r="90" customFormat="false" ht="12.8" hidden="false" customHeight="false" outlineLevel="0" collapsed="false">
      <c r="A90" s="1" t="s">
        <v>537</v>
      </c>
      <c r="B90" s="15" t="s">
        <v>538</v>
      </c>
      <c r="C90" s="15" t="n">
        <v>0.92</v>
      </c>
      <c r="D90" s="15" t="s">
        <v>292</v>
      </c>
      <c r="E90" s="15"/>
    </row>
    <row r="91" customFormat="false" ht="12.8" hidden="false" customHeight="false" outlineLevel="0" collapsed="false">
      <c r="A91" s="1" t="s">
        <v>539</v>
      </c>
      <c r="B91" s="15" t="s">
        <v>540</v>
      </c>
      <c r="C91" s="15" t="n">
        <v>0.8</v>
      </c>
      <c r="D91" s="15" t="s">
        <v>541</v>
      </c>
      <c r="E91" s="15" t="s">
        <v>542</v>
      </c>
    </row>
    <row r="92" customFormat="false" ht="12.8" hidden="false" customHeight="false" outlineLevel="0" collapsed="false">
      <c r="A92" s="1" t="s">
        <v>543</v>
      </c>
      <c r="B92" s="15" t="s">
        <v>544</v>
      </c>
      <c r="C92" s="15" t="n">
        <v>0.65</v>
      </c>
      <c r="D92" s="15" t="s">
        <v>545</v>
      </c>
      <c r="E92" s="15"/>
    </row>
    <row r="93" customFormat="false" ht="12.8" hidden="false" customHeight="false" outlineLevel="0" collapsed="false">
      <c r="A93" s="1" t="s">
        <v>546</v>
      </c>
      <c r="B93" s="15" t="s">
        <v>547</v>
      </c>
      <c r="C93" s="15" t="n">
        <v>1.55</v>
      </c>
      <c r="D93" s="15" t="s">
        <v>548</v>
      </c>
      <c r="E93" s="15"/>
    </row>
    <row r="94" customFormat="false" ht="12.8" hidden="false" customHeight="false" outlineLevel="0" collapsed="false">
      <c r="A94" s="1" t="s">
        <v>549</v>
      </c>
      <c r="B94" s="15" t="s">
        <v>550</v>
      </c>
      <c r="C94" s="15" t="n">
        <v>1.041</v>
      </c>
      <c r="D94" s="15" t="s">
        <v>551</v>
      </c>
      <c r="E94" s="15" t="s">
        <v>552</v>
      </c>
    </row>
    <row r="95" customFormat="false" ht="12.8" hidden="false" customHeight="false" outlineLevel="0" collapsed="false">
      <c r="A95" s="1" t="s">
        <v>553</v>
      </c>
      <c r="B95" s="15" t="s">
        <v>554</v>
      </c>
      <c r="C95" s="15" t="n">
        <v>0.045</v>
      </c>
      <c r="D95" s="15" t="s">
        <v>555</v>
      </c>
      <c r="E95" s="15" t="s">
        <v>556</v>
      </c>
    </row>
    <row r="96" customFormat="false" ht="12.8" hidden="false" customHeight="false" outlineLevel="0" collapsed="false">
      <c r="A96" s="1" t="s">
        <v>557</v>
      </c>
      <c r="B96" s="15" t="s">
        <v>558</v>
      </c>
      <c r="C96" s="15" t="n">
        <v>0.105</v>
      </c>
      <c r="D96" s="15" t="s">
        <v>559</v>
      </c>
      <c r="E96" s="15" t="s">
        <v>560</v>
      </c>
    </row>
    <row r="97" customFormat="false" ht="12.8" hidden="false" customHeight="false" outlineLevel="0" collapsed="false">
      <c r="A97" s="1" t="s">
        <v>561</v>
      </c>
      <c r="B97" s="15" t="s">
        <v>562</v>
      </c>
      <c r="C97" s="15" t="n">
        <v>0.0765</v>
      </c>
      <c r="D97" s="15" t="s">
        <v>563</v>
      </c>
      <c r="E97" s="15" t="s">
        <v>564</v>
      </c>
    </row>
    <row r="98" customFormat="false" ht="12.8" hidden="false" customHeight="false" outlineLevel="0" collapsed="false">
      <c r="A98" s="1" t="s">
        <v>565</v>
      </c>
      <c r="B98" s="15" t="s">
        <v>566</v>
      </c>
      <c r="C98" s="15" t="n">
        <v>0.0765</v>
      </c>
      <c r="D98" s="15" t="s">
        <v>567</v>
      </c>
      <c r="E98" s="15"/>
    </row>
    <row r="99" customFormat="false" ht="12.8" hidden="false" customHeight="false" outlineLevel="0" collapsed="false">
      <c r="A99" s="1" t="s">
        <v>568</v>
      </c>
      <c r="B99" s="15" t="s">
        <v>569</v>
      </c>
      <c r="C99" s="15" t="n">
        <v>0.153</v>
      </c>
      <c r="D99" s="15" t="s">
        <v>570</v>
      </c>
      <c r="E99" s="15"/>
    </row>
    <row r="100" customFormat="false" ht="12.8" hidden="false" customHeight="false" outlineLevel="0" collapsed="false">
      <c r="A100" s="1" t="s">
        <v>571</v>
      </c>
      <c r="B100" s="15" t="s">
        <v>572</v>
      </c>
      <c r="C100" s="15" t="n">
        <v>1</v>
      </c>
      <c r="D100" s="15" t="s">
        <v>573</v>
      </c>
      <c r="E100" s="15" t="s">
        <v>574</v>
      </c>
    </row>
    <row r="101" customFormat="false" ht="12.8" hidden="false" customHeight="false" outlineLevel="0" collapsed="false">
      <c r="A101" s="1" t="s">
        <v>575</v>
      </c>
      <c r="B101" s="15" t="s">
        <v>576</v>
      </c>
      <c r="C101" s="15" t="n">
        <v>1</v>
      </c>
      <c r="D101" s="15" t="s">
        <v>577</v>
      </c>
      <c r="E101" s="15" t="s">
        <v>574</v>
      </c>
    </row>
    <row r="102" customFormat="false" ht="12.8" hidden="false" customHeight="false" outlineLevel="0" collapsed="false">
      <c r="A102" s="1" t="s">
        <v>578</v>
      </c>
      <c r="B102" s="15" t="s">
        <v>579</v>
      </c>
      <c r="C102" s="15" t="n">
        <v>0.6</v>
      </c>
      <c r="D102" s="15" t="s">
        <v>580</v>
      </c>
      <c r="E102" s="15" t="s">
        <v>581</v>
      </c>
    </row>
    <row r="103" customFormat="false" ht="12.8" hidden="false" customHeight="false" outlineLevel="0" collapsed="false">
      <c r="A103" s="1" t="s">
        <v>582</v>
      </c>
      <c r="B103" s="15" t="s">
        <v>583</v>
      </c>
      <c r="C103" s="15" t="n">
        <v>0.78</v>
      </c>
      <c r="D103" s="15" t="s">
        <v>584</v>
      </c>
      <c r="E103" s="15" t="s">
        <v>585</v>
      </c>
    </row>
    <row r="104" customFormat="false" ht="12.8" hidden="false" customHeight="false" outlineLevel="0" collapsed="false">
      <c r="A104" s="1" t="s">
        <v>586</v>
      </c>
      <c r="B104" s="15" t="s">
        <v>587</v>
      </c>
      <c r="C104" s="15" t="n">
        <v>0.78</v>
      </c>
      <c r="D104" s="15" t="s">
        <v>588</v>
      </c>
      <c r="E104" s="15"/>
    </row>
    <row r="105" customFormat="false" ht="12.8" hidden="false" customHeight="false" outlineLevel="0" collapsed="false">
      <c r="A105" s="1" t="s">
        <v>589</v>
      </c>
      <c r="B105" s="15" t="s">
        <v>590</v>
      </c>
      <c r="C105" s="15" t="n">
        <v>0.48</v>
      </c>
      <c r="D105" s="15" t="s">
        <v>591</v>
      </c>
      <c r="E105" s="15" t="s">
        <v>592</v>
      </c>
    </row>
    <row r="106" customFormat="false" ht="12.8" hidden="false" customHeight="false" outlineLevel="0" collapsed="false">
      <c r="A106" s="1" t="s">
        <v>593</v>
      </c>
      <c r="B106" s="15" t="s">
        <v>594</v>
      </c>
      <c r="C106" s="15" t="n">
        <v>0.75</v>
      </c>
      <c r="D106" s="15" t="s">
        <v>595</v>
      </c>
      <c r="E106" s="15" t="s">
        <v>596</v>
      </c>
    </row>
    <row r="107" customFormat="false" ht="12.8" hidden="false" customHeight="false" outlineLevel="0" collapsed="false">
      <c r="A107" s="1" t="s">
        <v>597</v>
      </c>
      <c r="B107" s="15" t="s">
        <v>598</v>
      </c>
      <c r="C107" s="15" t="n">
        <v>1.05</v>
      </c>
      <c r="D107" s="15" t="s">
        <v>599</v>
      </c>
      <c r="E107" s="15" t="s">
        <v>396</v>
      </c>
    </row>
    <row r="108" customFormat="false" ht="12.8" hidden="false" customHeight="false" outlineLevel="0" collapsed="false">
      <c r="A108" s="1" t="s">
        <v>600</v>
      </c>
      <c r="B108" s="15" t="s">
        <v>601</v>
      </c>
      <c r="C108" s="15" t="n">
        <v>0.95</v>
      </c>
      <c r="D108" s="15" t="s">
        <v>602</v>
      </c>
      <c r="E108" s="15"/>
    </row>
    <row r="109" customFormat="false" ht="12.8" hidden="false" customHeight="false" outlineLevel="0" collapsed="false">
      <c r="A109" s="1" t="s">
        <v>603</v>
      </c>
      <c r="B109" s="15" t="s">
        <v>604</v>
      </c>
      <c r="C109" s="15" t="n">
        <v>0.75</v>
      </c>
      <c r="D109" s="15" t="s">
        <v>605</v>
      </c>
      <c r="E109" s="15" t="s">
        <v>400</v>
      </c>
    </row>
    <row r="110" customFormat="false" ht="12.8" hidden="false" customHeight="false" outlineLevel="0" collapsed="false">
      <c r="A110" s="1" t="s">
        <v>606</v>
      </c>
      <c r="B110" s="15" t="s">
        <v>607</v>
      </c>
      <c r="C110" s="15" t="n">
        <v>1.15</v>
      </c>
      <c r="D110" s="15" t="s">
        <v>608</v>
      </c>
      <c r="E110" s="15" t="s">
        <v>609</v>
      </c>
    </row>
    <row r="111" customFormat="false" ht="12.8" hidden="false" customHeight="false" outlineLevel="0" collapsed="false">
      <c r="A111" s="1" t="s">
        <v>610</v>
      </c>
      <c r="B111" s="15" t="s">
        <v>611</v>
      </c>
      <c r="C111" s="15" t="n">
        <v>1.05</v>
      </c>
      <c r="D111" s="15" t="s">
        <v>612</v>
      </c>
      <c r="E111" s="15"/>
    </row>
    <row r="112" customFormat="false" ht="12.8" hidden="false" customHeight="false" outlineLevel="0" collapsed="false">
      <c r="A112" s="1" t="s">
        <v>613</v>
      </c>
      <c r="B112" s="15" t="s">
        <v>614</v>
      </c>
      <c r="C112" s="15" t="n">
        <v>0.95</v>
      </c>
      <c r="D112" s="15" t="s">
        <v>615</v>
      </c>
      <c r="E112" s="15"/>
    </row>
    <row r="113" customFormat="false" ht="12.8" hidden="false" customHeight="false" outlineLevel="0" collapsed="false">
      <c r="A113" s="1" t="s">
        <v>616</v>
      </c>
      <c r="B113" s="15" t="s">
        <v>617</v>
      </c>
      <c r="C113" s="15" t="n">
        <v>0.75</v>
      </c>
      <c r="D113" s="15" t="s">
        <v>618</v>
      </c>
      <c r="E113" s="15" t="s">
        <v>400</v>
      </c>
    </row>
    <row r="114" customFormat="false" ht="12.8" hidden="false" customHeight="false" outlineLevel="0" collapsed="false">
      <c r="A114" s="1" t="s">
        <v>619</v>
      </c>
      <c r="B114" s="15" t="s">
        <v>620</v>
      </c>
      <c r="C114" s="15" t="n">
        <v>1.05</v>
      </c>
      <c r="D114" s="15" t="s">
        <v>621</v>
      </c>
      <c r="E114" s="15"/>
    </row>
    <row r="115" customFormat="false" ht="12.8" hidden="false" customHeight="false" outlineLevel="0" collapsed="false">
      <c r="A115" s="1" t="s">
        <v>622</v>
      </c>
      <c r="B115" s="15" t="s">
        <v>623</v>
      </c>
      <c r="C115" s="15" t="n">
        <v>0.95</v>
      </c>
      <c r="D115" s="15" t="s">
        <v>624</v>
      </c>
      <c r="E115" s="15"/>
    </row>
    <row r="116" customFormat="false" ht="12.8" hidden="false" customHeight="false" outlineLevel="0" collapsed="false">
      <c r="A116" s="1" t="s">
        <v>625</v>
      </c>
      <c r="B116" s="15" t="s">
        <v>626</v>
      </c>
      <c r="C116" s="15" t="n">
        <v>1.05</v>
      </c>
      <c r="D116" s="15" t="s">
        <v>627</v>
      </c>
      <c r="E116" s="15" t="s">
        <v>396</v>
      </c>
    </row>
    <row r="117" customFormat="false" ht="12.8" hidden="false" customHeight="false" outlineLevel="0" collapsed="false">
      <c r="A117" s="1" t="s">
        <v>628</v>
      </c>
      <c r="B117" s="15" t="s">
        <v>629</v>
      </c>
      <c r="C117" s="15" t="n">
        <v>1.25</v>
      </c>
      <c r="D117" s="15" t="s">
        <v>630</v>
      </c>
      <c r="E117" s="15" t="s">
        <v>631</v>
      </c>
    </row>
    <row r="118" customFormat="false" ht="12.8" hidden="false" customHeight="false" outlineLevel="0" collapsed="false">
      <c r="A118" s="1" t="s">
        <v>632</v>
      </c>
      <c r="B118" s="15" t="s">
        <v>633</v>
      </c>
      <c r="C118" s="15" t="n">
        <v>1.05</v>
      </c>
      <c r="D118" s="15" t="s">
        <v>634</v>
      </c>
      <c r="E118" s="15"/>
    </row>
    <row r="119" customFormat="false" ht="12.8" hidden="false" customHeight="false" outlineLevel="0" collapsed="false">
      <c r="A119" s="1" t="s">
        <v>635</v>
      </c>
      <c r="B119" s="15" t="s">
        <v>636</v>
      </c>
      <c r="C119" s="15" t="n">
        <v>1.25</v>
      </c>
      <c r="D119" s="15" t="s">
        <v>637</v>
      </c>
      <c r="E119" s="15" t="s">
        <v>638</v>
      </c>
    </row>
    <row r="120" customFormat="false" ht="12.8" hidden="false" customHeight="false" outlineLevel="0" collapsed="false">
      <c r="A120" s="1" t="s">
        <v>639</v>
      </c>
      <c r="B120" s="15" t="s">
        <v>640</v>
      </c>
      <c r="C120" s="15" t="n">
        <v>1.15</v>
      </c>
      <c r="D120" s="15" t="s">
        <v>641</v>
      </c>
      <c r="E120" s="15" t="s">
        <v>642</v>
      </c>
    </row>
    <row r="121" customFormat="false" ht="12.8" hidden="false" customHeight="false" outlineLevel="0" collapsed="false">
      <c r="A121" s="1" t="s">
        <v>643</v>
      </c>
      <c r="B121" s="15" t="s">
        <v>644</v>
      </c>
      <c r="C121" s="15" t="n">
        <v>1.05</v>
      </c>
      <c r="D121" s="15" t="s">
        <v>645</v>
      </c>
      <c r="E121" s="15" t="s">
        <v>396</v>
      </c>
    </row>
    <row r="122" customFormat="false" ht="12.8" hidden="false" customHeight="false" outlineLevel="0" collapsed="false">
      <c r="A122" s="1" t="s">
        <v>646</v>
      </c>
      <c r="B122" s="15" t="s">
        <v>647</v>
      </c>
      <c r="C122" s="15" t="n">
        <v>0.9</v>
      </c>
      <c r="D122" s="15" t="s">
        <v>648</v>
      </c>
      <c r="E122" s="15" t="s">
        <v>649</v>
      </c>
    </row>
    <row r="123" customFormat="false" ht="12.8" hidden="false" customHeight="false" outlineLevel="0" collapsed="false">
      <c r="A123" s="1" t="s">
        <v>650</v>
      </c>
      <c r="B123" s="15" t="s">
        <v>651</v>
      </c>
      <c r="C123" s="15" t="n">
        <v>0.105</v>
      </c>
      <c r="D123" s="15" t="s">
        <v>652</v>
      </c>
      <c r="E123" s="15" t="s">
        <v>653</v>
      </c>
    </row>
    <row r="124" customFormat="false" ht="12.8" hidden="false" customHeight="false" outlineLevel="0" collapsed="false">
      <c r="A124" s="1" t="s">
        <v>654</v>
      </c>
      <c r="B124" s="15" t="s">
        <v>655</v>
      </c>
      <c r="C124" s="15" t="n">
        <v>0.75</v>
      </c>
      <c r="D124" s="15" t="s">
        <v>656</v>
      </c>
      <c r="E124" s="15" t="s">
        <v>657</v>
      </c>
    </row>
    <row r="125" customFormat="false" ht="12.8" hidden="false" customHeight="false" outlineLevel="0" collapsed="false">
      <c r="A125" s="1" t="s">
        <v>658</v>
      </c>
      <c r="B125" s="15" t="s">
        <v>659</v>
      </c>
      <c r="C125" s="20" t="n">
        <v>1.8</v>
      </c>
      <c r="D125" s="15" t="s">
        <v>660</v>
      </c>
      <c r="E125" s="15" t="s">
        <v>661</v>
      </c>
    </row>
    <row r="126" customFormat="false" ht="12.8" hidden="false" customHeight="false" outlineLevel="0" collapsed="false">
      <c r="A126" s="1" t="s">
        <v>662</v>
      </c>
      <c r="B126" s="15" t="s">
        <v>663</v>
      </c>
      <c r="C126" s="15" t="n">
        <v>2.2</v>
      </c>
      <c r="D126" s="15" t="s">
        <v>664</v>
      </c>
      <c r="E126" s="15" t="s">
        <v>665</v>
      </c>
    </row>
    <row r="127" customFormat="false" ht="12.8" hidden="false" customHeight="false" outlineLevel="0" collapsed="false">
      <c r="A127" s="1" t="s">
        <v>666</v>
      </c>
      <c r="B127" s="15" t="s">
        <v>667</v>
      </c>
      <c r="C127" s="15" t="n">
        <v>2.3</v>
      </c>
      <c r="D127" s="15" t="s">
        <v>668</v>
      </c>
      <c r="E127" s="15" t="s">
        <v>669</v>
      </c>
    </row>
    <row r="128" customFormat="false" ht="12.8" hidden="false" customHeight="false" outlineLevel="0" collapsed="false">
      <c r="A128" s="1" t="s">
        <v>670</v>
      </c>
      <c r="B128" s="15" t="s">
        <v>671</v>
      </c>
      <c r="C128" s="15" t="n">
        <v>0.35</v>
      </c>
      <c r="D128" s="15" t="s">
        <v>672</v>
      </c>
      <c r="E128" s="15" t="s">
        <v>673</v>
      </c>
    </row>
    <row r="129" customFormat="false" ht="12.8" hidden="false" customHeight="false" outlineLevel="0" collapsed="false">
      <c r="A129" s="1" t="s">
        <v>674</v>
      </c>
      <c r="B129" s="15" t="s">
        <v>675</v>
      </c>
      <c r="C129" s="15" t="n">
        <v>0.45</v>
      </c>
      <c r="D129" s="15" t="s">
        <v>676</v>
      </c>
      <c r="E129" s="15"/>
    </row>
    <row r="130" customFormat="false" ht="12.8" hidden="false" customHeight="false" outlineLevel="0" collapsed="false">
      <c r="A130" s="1" t="s">
        <v>677</v>
      </c>
      <c r="B130" s="15" t="s">
        <v>678</v>
      </c>
      <c r="C130" s="15" t="n">
        <v>0.65</v>
      </c>
      <c r="D130" s="15" t="s">
        <v>679</v>
      </c>
      <c r="E130" s="15"/>
    </row>
    <row r="131" customFormat="false" ht="12.8" hidden="false" customHeight="false" outlineLevel="0" collapsed="false">
      <c r="A131" s="1" t="s">
        <v>680</v>
      </c>
      <c r="B131" s="15" t="s">
        <v>681</v>
      </c>
      <c r="C131" s="15" t="n">
        <v>0.45</v>
      </c>
      <c r="D131" s="15" t="s">
        <v>682</v>
      </c>
      <c r="E131" s="15"/>
    </row>
    <row r="132" customFormat="false" ht="12.8" hidden="false" customHeight="false" outlineLevel="0" collapsed="false">
      <c r="A132" s="1" t="s">
        <v>683</v>
      </c>
      <c r="B132" s="15" t="s">
        <v>684</v>
      </c>
      <c r="C132" s="15" t="n">
        <v>0.55</v>
      </c>
      <c r="D132" s="15" t="s">
        <v>685</v>
      </c>
      <c r="E132" s="15"/>
    </row>
    <row r="133" customFormat="false" ht="12.8" hidden="false" customHeight="false" outlineLevel="0" collapsed="false">
      <c r="A133" s="1" t="s">
        <v>686</v>
      </c>
      <c r="B133" s="15" t="s">
        <v>687</v>
      </c>
      <c r="C133" s="15" t="n">
        <v>0.55</v>
      </c>
      <c r="D133" s="15" t="s">
        <v>688</v>
      </c>
      <c r="E133" s="15"/>
    </row>
    <row r="134" customFormat="false" ht="12.8" hidden="false" customHeight="false" outlineLevel="0" collapsed="false">
      <c r="A134" s="1" t="s">
        <v>689</v>
      </c>
      <c r="B134" s="15" t="s">
        <v>690</v>
      </c>
      <c r="C134" s="15" t="n">
        <v>0.65</v>
      </c>
      <c r="D134" s="15" t="s">
        <v>691</v>
      </c>
      <c r="E134" s="15"/>
    </row>
    <row r="135" customFormat="false" ht="12.8" hidden="false" customHeight="false" outlineLevel="0" collapsed="false">
      <c r="A135" s="1" t="s">
        <v>692</v>
      </c>
      <c r="B135" s="15" t="s">
        <v>693</v>
      </c>
      <c r="C135" s="15" t="n">
        <v>0.45</v>
      </c>
      <c r="D135" s="15" t="s">
        <v>694</v>
      </c>
      <c r="E135" s="15"/>
    </row>
    <row r="136" customFormat="false" ht="12.8" hidden="false" customHeight="false" outlineLevel="0" collapsed="false">
      <c r="A136" s="1" t="s">
        <v>695</v>
      </c>
      <c r="B136" s="15" t="s">
        <v>696</v>
      </c>
      <c r="C136" s="15" t="n">
        <v>0.55</v>
      </c>
      <c r="D136" s="15" t="s">
        <v>697</v>
      </c>
      <c r="E136" s="15"/>
    </row>
    <row r="137" customFormat="false" ht="12.8" hidden="false" customHeight="false" outlineLevel="0" collapsed="false">
      <c r="A137" s="1" t="s">
        <v>698</v>
      </c>
      <c r="B137" s="15" t="s">
        <v>699</v>
      </c>
      <c r="C137" s="15" t="n">
        <v>0.65</v>
      </c>
      <c r="D137" s="15" t="s">
        <v>700</v>
      </c>
      <c r="E137" s="15"/>
    </row>
    <row r="138" customFormat="false" ht="12.8" hidden="false" customHeight="false" outlineLevel="0" collapsed="false">
      <c r="A138" s="1" t="s">
        <v>701</v>
      </c>
      <c r="B138" s="15" t="s">
        <v>702</v>
      </c>
      <c r="C138" s="15" t="n">
        <v>0.75</v>
      </c>
      <c r="D138" s="15" t="s">
        <v>703</v>
      </c>
      <c r="E138" s="15" t="s">
        <v>704</v>
      </c>
    </row>
    <row r="139" customFormat="false" ht="12.8" hidden="false" customHeight="false" outlineLevel="0" collapsed="false">
      <c r="A139" s="12" t="s">
        <v>705</v>
      </c>
      <c r="B139" s="18" t="s">
        <v>706</v>
      </c>
      <c r="C139" s="18" t="n">
        <v>1.15</v>
      </c>
      <c r="D139" s="18" t="s">
        <v>707</v>
      </c>
      <c r="E139" s="18" t="s">
        <v>638</v>
      </c>
      <c r="F139" s="21"/>
    </row>
    <row r="140" customFormat="false" ht="12.8" hidden="false" customHeight="false" outlineLevel="0" collapsed="false">
      <c r="A140" s="12" t="s">
        <v>708</v>
      </c>
      <c r="B140" s="18" t="s">
        <v>709</v>
      </c>
      <c r="C140" s="18" t="n">
        <v>1.15</v>
      </c>
      <c r="D140" s="18" t="s">
        <v>710</v>
      </c>
      <c r="E140" s="18" t="s">
        <v>711</v>
      </c>
      <c r="F140" s="22"/>
    </row>
    <row r="141" customFormat="false" ht="12.8" hidden="false" customHeight="false" outlineLevel="0" collapsed="false">
      <c r="A141" s="12" t="s">
        <v>712</v>
      </c>
      <c r="B141" s="18" t="s">
        <v>713</v>
      </c>
      <c r="C141" s="18" t="n">
        <v>0.85</v>
      </c>
      <c r="D141" s="18" t="s">
        <v>714</v>
      </c>
      <c r="E141" s="18"/>
      <c r="F141" s="22"/>
    </row>
    <row r="142" customFormat="false" ht="12.8" hidden="false" customHeight="false" outlineLevel="0" collapsed="false">
      <c r="A142" s="12" t="s">
        <v>715</v>
      </c>
      <c r="B142" s="18" t="s">
        <v>716</v>
      </c>
      <c r="C142" s="18" t="n">
        <v>0.85</v>
      </c>
      <c r="D142" s="18" t="s">
        <v>717</v>
      </c>
      <c r="E142" s="18"/>
      <c r="F142" s="22"/>
    </row>
    <row r="143" customFormat="false" ht="12.8" hidden="false" customHeight="false" outlineLevel="0" collapsed="false">
      <c r="A143" s="12" t="s">
        <v>718</v>
      </c>
      <c r="B143" s="18" t="s">
        <v>719</v>
      </c>
      <c r="C143" s="18" t="n">
        <v>1</v>
      </c>
      <c r="D143" s="18" t="s">
        <v>720</v>
      </c>
      <c r="E143" s="18" t="s">
        <v>721</v>
      </c>
      <c r="F143" s="22"/>
    </row>
    <row r="144" customFormat="false" ht="12.8" hidden="false" customHeight="false" outlineLevel="0" collapsed="false">
      <c r="A144" s="12" t="s">
        <v>722</v>
      </c>
      <c r="B144" s="18" t="s">
        <v>723</v>
      </c>
      <c r="C144" s="18" t="n">
        <v>0.14</v>
      </c>
      <c r="D144" s="18" t="s">
        <v>724</v>
      </c>
      <c r="E144" s="18" t="s">
        <v>725</v>
      </c>
      <c r="F144" s="22"/>
    </row>
    <row r="145" customFormat="false" ht="12.8" hidden="false" customHeight="false" outlineLevel="0" collapsed="false">
      <c r="A145" s="12" t="s">
        <v>726</v>
      </c>
      <c r="B145" s="18" t="s">
        <v>727</v>
      </c>
      <c r="C145" s="18" t="n">
        <v>0.11</v>
      </c>
      <c r="D145" s="18" t="s">
        <v>728</v>
      </c>
      <c r="E145" s="18"/>
      <c r="F145" s="22"/>
    </row>
    <row r="146" customFormat="false" ht="12.8" hidden="false" customHeight="false" outlineLevel="0" collapsed="false">
      <c r="A146" s="12" t="s">
        <v>729</v>
      </c>
      <c r="B146" s="18" t="s">
        <v>730</v>
      </c>
      <c r="C146" s="18" t="n">
        <v>0.04</v>
      </c>
      <c r="D146" s="18" t="s">
        <v>731</v>
      </c>
      <c r="E146" s="18" t="s">
        <v>732</v>
      </c>
      <c r="F146" s="22"/>
    </row>
    <row r="147" customFormat="false" ht="12.8" hidden="false" customHeight="false" outlineLevel="0" collapsed="false">
      <c r="A147" s="12" t="s">
        <v>733</v>
      </c>
      <c r="B147" s="18" t="s">
        <v>734</v>
      </c>
      <c r="C147" s="18" t="n">
        <v>7000</v>
      </c>
      <c r="D147" s="18" t="s">
        <v>735</v>
      </c>
      <c r="E147" s="18" t="s">
        <v>736</v>
      </c>
      <c r="F147" s="22"/>
    </row>
    <row r="148" customFormat="false" ht="12.8" hidden="false" customHeight="false" outlineLevel="0" collapsed="false">
      <c r="A148" s="12" t="s">
        <v>737</v>
      </c>
      <c r="B148" s="18" t="s">
        <v>738</v>
      </c>
      <c r="C148" s="18" t="n">
        <v>0.34</v>
      </c>
      <c r="D148" s="18" t="s">
        <v>739</v>
      </c>
      <c r="E148" s="18" t="s">
        <v>740</v>
      </c>
      <c r="F148" s="22"/>
    </row>
    <row r="149" customFormat="false" ht="12.8" hidden="false" customHeight="false" outlineLevel="0" collapsed="false">
      <c r="A149" s="12" t="s">
        <v>741</v>
      </c>
      <c r="B149" s="18" t="s">
        <v>742</v>
      </c>
      <c r="C149" s="18" t="n">
        <v>22000</v>
      </c>
      <c r="D149" s="18" t="s">
        <v>743</v>
      </c>
      <c r="E149" s="18"/>
      <c r="F149" s="22"/>
    </row>
    <row r="150" customFormat="false" ht="12.8" hidden="false" customHeight="false" outlineLevel="0" collapsed="false">
      <c r="A150" s="12" t="s">
        <v>744</v>
      </c>
      <c r="B150" s="18" t="s">
        <v>745</v>
      </c>
      <c r="C150" s="18" t="n">
        <v>0.16</v>
      </c>
      <c r="D150" s="18" t="s">
        <v>746</v>
      </c>
      <c r="E150" s="18"/>
      <c r="F150" s="22"/>
    </row>
    <row r="151" customFormat="false" ht="12.8" hidden="false" customHeight="false" outlineLevel="0" collapsed="false">
      <c r="A151" s="12" t="s">
        <v>747</v>
      </c>
      <c r="B151" s="18" t="s">
        <v>748</v>
      </c>
      <c r="C151" s="18" t="n">
        <v>6200</v>
      </c>
      <c r="D151" s="18" t="s">
        <v>749</v>
      </c>
      <c r="E151" s="18" t="s">
        <v>750</v>
      </c>
      <c r="F151" s="22"/>
    </row>
    <row r="152" customFormat="false" ht="12.8" hidden="false" customHeight="false" outlineLevel="0" collapsed="false">
      <c r="A152" s="12" t="s">
        <v>751</v>
      </c>
      <c r="B152" s="18" t="s">
        <v>752</v>
      </c>
      <c r="C152" s="18" t="n">
        <v>5800</v>
      </c>
      <c r="D152" s="18" t="s">
        <v>753</v>
      </c>
      <c r="E152" s="18"/>
      <c r="F152" s="22"/>
    </row>
    <row r="153" customFormat="false" ht="12.8" hidden="false" customHeight="false" outlineLevel="0" collapsed="false">
      <c r="A153" s="12" t="s">
        <v>754</v>
      </c>
      <c r="B153" s="18" t="s">
        <v>755</v>
      </c>
      <c r="C153" s="18" t="n">
        <v>0</v>
      </c>
      <c r="D153" s="18" t="s">
        <v>756</v>
      </c>
      <c r="E153" s="18" t="s">
        <v>757</v>
      </c>
      <c r="F153" s="22"/>
    </row>
    <row r="154" customFormat="false" ht="12.8" hidden="false" customHeight="false" outlineLevel="0" collapsed="false">
      <c r="A154" s="12" t="s">
        <v>758</v>
      </c>
      <c r="B154" s="18" t="s">
        <v>759</v>
      </c>
      <c r="C154" s="18" t="n">
        <v>200000</v>
      </c>
      <c r="D154" s="18" t="s">
        <v>760</v>
      </c>
      <c r="E154" s="18" t="s">
        <v>736</v>
      </c>
      <c r="F154" s="22"/>
    </row>
    <row r="155" customFormat="false" ht="12.8" hidden="false" customHeight="false" outlineLevel="0" collapsed="false">
      <c r="A155" s="12" t="s">
        <v>761</v>
      </c>
      <c r="B155" s="18" t="s">
        <v>762</v>
      </c>
      <c r="C155" s="18" t="n">
        <v>2500</v>
      </c>
      <c r="D155" s="18" t="s">
        <v>763</v>
      </c>
      <c r="E155" s="18" t="s">
        <v>764</v>
      </c>
      <c r="F155" s="22"/>
    </row>
    <row r="156" customFormat="false" ht="12.8" hidden="false" customHeight="false" outlineLevel="0" collapsed="false">
      <c r="A156" s="12" t="s">
        <v>765</v>
      </c>
      <c r="B156" s="18" t="s">
        <v>766</v>
      </c>
      <c r="C156" s="18" t="n">
        <v>0.15</v>
      </c>
      <c r="D156" s="18" t="s">
        <v>767</v>
      </c>
      <c r="E156" s="18" t="s">
        <v>768</v>
      </c>
      <c r="F156" s="22"/>
    </row>
    <row r="157" customFormat="false" ht="12.8" hidden="false" customHeight="false" outlineLevel="0" collapsed="false">
      <c r="A157" s="12" t="s">
        <v>769</v>
      </c>
      <c r="B157" s="18" t="s">
        <v>770</v>
      </c>
      <c r="C157" s="18" t="n">
        <v>1700</v>
      </c>
      <c r="D157" s="18" t="s">
        <v>771</v>
      </c>
      <c r="E157" s="18" t="s">
        <v>772</v>
      </c>
      <c r="F157" s="22"/>
    </row>
    <row r="158" customFormat="false" ht="12.8" hidden="false" customHeight="false" outlineLevel="0" collapsed="false">
      <c r="A158" s="12" t="s">
        <v>773</v>
      </c>
      <c r="B158" s="18" t="s">
        <v>774</v>
      </c>
      <c r="C158" s="18" t="n">
        <v>1700</v>
      </c>
      <c r="D158" s="18" t="s">
        <v>753</v>
      </c>
      <c r="E158" s="18" t="s">
        <v>775</v>
      </c>
      <c r="F158" s="22"/>
    </row>
    <row r="159" customFormat="false" ht="12.8" hidden="false" customHeight="false" outlineLevel="0" collapsed="false">
      <c r="A159" s="12" t="s">
        <v>776</v>
      </c>
      <c r="B159" s="18" t="s">
        <v>777</v>
      </c>
      <c r="C159" s="18" t="n">
        <v>0</v>
      </c>
      <c r="D159" s="18" t="s">
        <v>756</v>
      </c>
      <c r="E159" s="18" t="s">
        <v>757</v>
      </c>
      <c r="F159" s="22"/>
    </row>
    <row r="160" customFormat="false" ht="12.8" hidden="false" customHeight="false" outlineLevel="0" collapsed="false">
      <c r="A160" s="12" t="s">
        <v>778</v>
      </c>
      <c r="B160" s="18" t="s">
        <v>779</v>
      </c>
      <c r="C160" s="18" t="n">
        <v>1.5</v>
      </c>
      <c r="D160" s="18" t="s">
        <v>780</v>
      </c>
      <c r="E160" s="18" t="s">
        <v>781</v>
      </c>
      <c r="F160" s="22"/>
    </row>
    <row r="161" customFormat="false" ht="12.8" hidden="false" customHeight="false" outlineLevel="0" collapsed="false">
      <c r="A161" s="12" t="s">
        <v>782</v>
      </c>
      <c r="B161" s="18" t="s">
        <v>783</v>
      </c>
      <c r="C161" s="18" t="n">
        <v>1.7</v>
      </c>
      <c r="D161" s="18" t="s">
        <v>664</v>
      </c>
      <c r="E161" s="18" t="s">
        <v>784</v>
      </c>
      <c r="F161" s="22"/>
    </row>
    <row r="162" customFormat="false" ht="12.8" hidden="false" customHeight="false" outlineLevel="0" collapsed="false">
      <c r="A162" s="12" t="s">
        <v>785</v>
      </c>
      <c r="B162" s="18" t="s">
        <v>786</v>
      </c>
      <c r="C162" s="18" t="n">
        <v>0.5</v>
      </c>
      <c r="D162" s="18" t="s">
        <v>668</v>
      </c>
      <c r="E162" s="18" t="s">
        <v>787</v>
      </c>
      <c r="F162" s="22"/>
    </row>
    <row r="163" customFormat="false" ht="12.8" hidden="false" customHeight="false" outlineLevel="0" collapsed="false">
      <c r="A163" s="1" t="s">
        <v>788</v>
      </c>
      <c r="B163" s="15" t="s">
        <v>789</v>
      </c>
      <c r="C163" s="15" t="n">
        <v>1</v>
      </c>
      <c r="D163" s="15" t="s">
        <v>790</v>
      </c>
      <c r="E163" s="15" t="s">
        <v>775</v>
      </c>
    </row>
    <row r="164" customFormat="false" ht="12.8" hidden="false" customHeight="false" outlineLevel="0" collapsed="false">
      <c r="A164" s="1" t="s">
        <v>791</v>
      </c>
      <c r="B164" s="15" t="s">
        <v>792</v>
      </c>
      <c r="C164" s="15" t="n">
        <v>1</v>
      </c>
      <c r="D164" s="15" t="s">
        <v>664</v>
      </c>
      <c r="E164" s="15" t="s">
        <v>775</v>
      </c>
    </row>
    <row r="165" customFormat="false" ht="12.8" hidden="false" customHeight="false" outlineLevel="0" collapsed="false">
      <c r="A165" s="1" t="s">
        <v>793</v>
      </c>
      <c r="B165" s="15" t="s">
        <v>794</v>
      </c>
      <c r="C165" s="15" t="n">
        <v>0</v>
      </c>
      <c r="D165" s="15" t="s">
        <v>668</v>
      </c>
      <c r="E165" s="15" t="s">
        <v>795</v>
      </c>
    </row>
    <row r="166" customFormat="false" ht="12.8" hidden="false" customHeight="false" outlineLevel="0" collapsed="false">
      <c r="A166" s="1" t="s">
        <v>796</v>
      </c>
      <c r="B166" s="15" t="s">
        <v>797</v>
      </c>
      <c r="C166" s="15" t="n">
        <v>46059</v>
      </c>
      <c r="D166" s="15" t="s">
        <v>798</v>
      </c>
      <c r="E166" s="15" t="s">
        <v>799</v>
      </c>
    </row>
    <row r="167" customFormat="false" ht="12.8" hidden="false" customHeight="false" outlineLevel="0" collapsed="false">
      <c r="A167" s="1" t="s">
        <v>619</v>
      </c>
      <c r="B167" s="15" t="s">
        <v>800</v>
      </c>
      <c r="C167" s="15" t="n">
        <v>0.85</v>
      </c>
      <c r="D167" s="15" t="s">
        <v>533</v>
      </c>
      <c r="E167" s="15"/>
    </row>
    <row r="168" customFormat="false" ht="12.8" hidden="false" customHeight="false" outlineLevel="0" collapsed="false">
      <c r="A168" s="1" t="s">
        <v>622</v>
      </c>
      <c r="B168" s="15" t="s">
        <v>801</v>
      </c>
      <c r="C168" s="15" t="n">
        <v>0.9</v>
      </c>
      <c r="D168" s="15" t="s">
        <v>536</v>
      </c>
      <c r="E168" s="15"/>
    </row>
    <row r="169" customFormat="false" ht="12.8" hidden="false" customHeight="false" outlineLevel="0" collapsed="false">
      <c r="A169" s="1" t="s">
        <v>625</v>
      </c>
      <c r="B169" s="15" t="s">
        <v>802</v>
      </c>
      <c r="C169" s="15" t="n">
        <v>0.85</v>
      </c>
      <c r="D169" s="15" t="s">
        <v>292</v>
      </c>
      <c r="E169" s="15"/>
    </row>
    <row r="170" customFormat="false" ht="12.8" hidden="false" customHeight="false" outlineLevel="0" collapsed="false">
      <c r="A170" s="1" t="s">
        <v>628</v>
      </c>
      <c r="B170" s="15" t="s">
        <v>803</v>
      </c>
      <c r="C170" s="15" t="n">
        <v>1.15</v>
      </c>
      <c r="D170" s="15" t="s">
        <v>804</v>
      </c>
      <c r="E170" s="15" t="s">
        <v>805</v>
      </c>
    </row>
    <row r="171" customFormat="false" ht="12.8" hidden="false" customHeight="false" outlineLevel="0" collapsed="false">
      <c r="A171" s="1" t="s">
        <v>632</v>
      </c>
      <c r="B171" s="15" t="s">
        <v>806</v>
      </c>
      <c r="C171" s="15" t="n">
        <v>0.0765</v>
      </c>
      <c r="D171" s="15" t="s">
        <v>807</v>
      </c>
      <c r="E171" s="15"/>
    </row>
    <row r="172" customFormat="false" ht="12.8" hidden="false" customHeight="false" outlineLevel="0" collapsed="false">
      <c r="A172" s="1" t="s">
        <v>635</v>
      </c>
      <c r="B172" s="15" t="s">
        <v>808</v>
      </c>
      <c r="C172" s="15" t="n">
        <v>0.0765</v>
      </c>
      <c r="D172" s="15" t="s">
        <v>809</v>
      </c>
      <c r="E172" s="15"/>
    </row>
    <row r="173" customFormat="false" ht="12.8" hidden="false" customHeight="false" outlineLevel="0" collapsed="false">
      <c r="A173" s="1" t="s">
        <v>639</v>
      </c>
      <c r="B173" s="15" t="s">
        <v>810</v>
      </c>
      <c r="C173" s="15" t="n">
        <v>0.035</v>
      </c>
      <c r="D173" s="15" t="s">
        <v>811</v>
      </c>
      <c r="E173" s="15" t="s">
        <v>812</v>
      </c>
    </row>
    <row r="174" customFormat="false" ht="12.8" hidden="false" customHeight="false" outlineLevel="0" collapsed="false">
      <c r="A174" s="1" t="s">
        <v>643</v>
      </c>
      <c r="B174" s="15" t="s">
        <v>813</v>
      </c>
      <c r="C174" s="15" t="n">
        <v>0.153</v>
      </c>
      <c r="D174" s="15" t="s">
        <v>814</v>
      </c>
      <c r="E174" s="15" t="s">
        <v>815</v>
      </c>
    </row>
    <row r="175" customFormat="false" ht="12.8" hidden="false" customHeight="false" outlineLevel="0" collapsed="false">
      <c r="A175" s="1" t="s">
        <v>646</v>
      </c>
      <c r="B175" s="15" t="s">
        <v>816</v>
      </c>
      <c r="C175" s="15" t="n">
        <v>0.153</v>
      </c>
      <c r="D175" s="15" t="s">
        <v>817</v>
      </c>
      <c r="E175" s="15"/>
    </row>
    <row r="176" customFormat="false" ht="12.8" hidden="false" customHeight="false" outlineLevel="0" collapsed="false">
      <c r="A176" s="1" t="s">
        <v>650</v>
      </c>
      <c r="B176" s="15" t="s">
        <v>818</v>
      </c>
      <c r="C176" s="15" t="n">
        <v>0.08</v>
      </c>
      <c r="D176" s="15" t="s">
        <v>819</v>
      </c>
      <c r="E176" s="15" t="s">
        <v>820</v>
      </c>
    </row>
    <row r="177" customFormat="false" ht="12.8" hidden="false" customHeight="false" outlineLevel="0" collapsed="false">
      <c r="A177" s="1" t="s">
        <v>654</v>
      </c>
      <c r="B177" s="15" t="s">
        <v>821</v>
      </c>
      <c r="C177" s="15" t="n">
        <v>1</v>
      </c>
      <c r="D177" s="15" t="s">
        <v>822</v>
      </c>
      <c r="E177" s="15" t="s">
        <v>823</v>
      </c>
    </row>
    <row r="178" customFormat="false" ht="12.8" hidden="false" customHeight="false" outlineLevel="0" collapsed="false">
      <c r="A178" s="1" t="s">
        <v>658</v>
      </c>
      <c r="B178" s="15" t="s">
        <v>824</v>
      </c>
      <c r="C178" s="15" t="n">
        <v>0</v>
      </c>
      <c r="D178" s="15" t="s">
        <v>825</v>
      </c>
      <c r="E178" s="15" t="s">
        <v>826</v>
      </c>
    </row>
    <row r="179" customFormat="false" ht="12.8" hidden="false" customHeight="false" outlineLevel="0" collapsed="false">
      <c r="A179" s="1" t="s">
        <v>662</v>
      </c>
      <c r="B179" s="15" t="s">
        <v>572</v>
      </c>
      <c r="C179" s="15" t="n">
        <v>1</v>
      </c>
      <c r="D179" s="15" t="s">
        <v>573</v>
      </c>
      <c r="E179" s="15" t="s">
        <v>574</v>
      </c>
    </row>
    <row r="180" customFormat="false" ht="12.8" hidden="false" customHeight="false" outlineLevel="0" collapsed="false">
      <c r="A180" s="1" t="s">
        <v>666</v>
      </c>
      <c r="B180" s="15" t="s">
        <v>576</v>
      </c>
      <c r="C180" s="15" t="n">
        <v>1</v>
      </c>
      <c r="D180" s="15" t="s">
        <v>577</v>
      </c>
      <c r="E180" s="15" t="s">
        <v>574</v>
      </c>
    </row>
    <row r="181" customFormat="false" ht="12.8" hidden="false" customHeight="false" outlineLevel="0" collapsed="false">
      <c r="A181" s="1" t="s">
        <v>670</v>
      </c>
      <c r="B181" s="15" t="s">
        <v>579</v>
      </c>
      <c r="C181" s="15" t="n">
        <v>0.55</v>
      </c>
      <c r="D181" s="15" t="s">
        <v>580</v>
      </c>
      <c r="E181" s="15" t="s">
        <v>490</v>
      </c>
    </row>
    <row r="182" customFormat="false" ht="12.8" hidden="false" customHeight="false" outlineLevel="0" collapsed="false">
      <c r="A182" s="1" t="s">
        <v>674</v>
      </c>
      <c r="B182" s="15" t="s">
        <v>583</v>
      </c>
      <c r="C182" s="15" t="n">
        <v>0.75</v>
      </c>
      <c r="D182" s="15" t="s">
        <v>584</v>
      </c>
      <c r="E182" s="15" t="s">
        <v>827</v>
      </c>
    </row>
    <row r="183" customFormat="false" ht="12.8" hidden="false" customHeight="false" outlineLevel="0" collapsed="false">
      <c r="A183" s="1" t="s">
        <v>677</v>
      </c>
      <c r="B183" s="15" t="s">
        <v>587</v>
      </c>
      <c r="C183" s="15" t="n">
        <v>0.75</v>
      </c>
      <c r="D183" s="15" t="s">
        <v>588</v>
      </c>
      <c r="E183" s="15"/>
    </row>
    <row r="184" customFormat="false" ht="12.8" hidden="false" customHeight="false" outlineLevel="0" collapsed="false">
      <c r="A184" s="1" t="s">
        <v>680</v>
      </c>
      <c r="B184" s="15" t="s">
        <v>590</v>
      </c>
      <c r="C184" s="15" t="n">
        <v>0.45</v>
      </c>
      <c r="D184" s="15" t="s">
        <v>591</v>
      </c>
      <c r="E184" s="15" t="s">
        <v>592</v>
      </c>
    </row>
    <row r="185" customFormat="false" ht="12.8" hidden="false" customHeight="false" outlineLevel="0" collapsed="false">
      <c r="A185" s="1" t="s">
        <v>683</v>
      </c>
      <c r="B185" s="15" t="s">
        <v>594</v>
      </c>
      <c r="C185" s="15" t="n">
        <v>0.75</v>
      </c>
      <c r="D185" s="15" t="s">
        <v>595</v>
      </c>
      <c r="E185" s="15" t="s">
        <v>596</v>
      </c>
    </row>
    <row r="186" customFormat="false" ht="12.8" hidden="false" customHeight="false" outlineLevel="0" collapsed="false">
      <c r="A186" s="1" t="s">
        <v>686</v>
      </c>
      <c r="B186" s="15" t="s">
        <v>598</v>
      </c>
      <c r="C186" s="15" t="n">
        <v>1.05</v>
      </c>
      <c r="D186" s="15" t="s">
        <v>599</v>
      </c>
      <c r="E186" s="15" t="s">
        <v>396</v>
      </c>
    </row>
    <row r="187" customFormat="false" ht="12.8" hidden="false" customHeight="false" outlineLevel="0" collapsed="false">
      <c r="A187" s="1" t="s">
        <v>689</v>
      </c>
      <c r="B187" s="15" t="s">
        <v>601</v>
      </c>
      <c r="C187" s="15" t="n">
        <v>0.95</v>
      </c>
      <c r="D187" s="15" t="s">
        <v>602</v>
      </c>
      <c r="E187" s="15"/>
    </row>
    <row r="188" customFormat="false" ht="12.8" hidden="false" customHeight="false" outlineLevel="0" collapsed="false">
      <c r="A188" s="1" t="s">
        <v>692</v>
      </c>
      <c r="B188" s="15" t="s">
        <v>604</v>
      </c>
      <c r="C188" s="15" t="n">
        <v>0.75</v>
      </c>
      <c r="D188" s="15" t="s">
        <v>605</v>
      </c>
      <c r="E188" s="15" t="s">
        <v>400</v>
      </c>
    </row>
    <row r="189" customFormat="false" ht="12.8" hidden="false" customHeight="false" outlineLevel="0" collapsed="false">
      <c r="A189" s="1" t="s">
        <v>695</v>
      </c>
      <c r="B189" s="15" t="s">
        <v>607</v>
      </c>
      <c r="C189" s="15" t="n">
        <v>1.15</v>
      </c>
      <c r="D189" s="15" t="s">
        <v>608</v>
      </c>
      <c r="E189" s="15" t="s">
        <v>609</v>
      </c>
    </row>
    <row r="190" customFormat="false" ht="12.8" hidden="false" customHeight="false" outlineLevel="0" collapsed="false">
      <c r="A190" s="1" t="s">
        <v>698</v>
      </c>
      <c r="B190" s="15" t="s">
        <v>611</v>
      </c>
      <c r="C190" s="15" t="n">
        <v>1.05</v>
      </c>
      <c r="D190" s="15" t="s">
        <v>612</v>
      </c>
      <c r="E190" s="15"/>
    </row>
    <row r="191" customFormat="false" ht="12.8" hidden="false" customHeight="false" outlineLevel="0" collapsed="false">
      <c r="A191" s="1" t="s">
        <v>701</v>
      </c>
      <c r="B191" s="15" t="s">
        <v>614</v>
      </c>
      <c r="C191" s="15" t="n">
        <v>0.95</v>
      </c>
      <c r="D191" s="15" t="s">
        <v>615</v>
      </c>
      <c r="E191" s="15"/>
    </row>
    <row r="192" customFormat="false" ht="12.8" hidden="false" customHeight="false" outlineLevel="0" collapsed="false">
      <c r="A192" s="1" t="s">
        <v>705</v>
      </c>
      <c r="B192" s="15" t="s">
        <v>617</v>
      </c>
      <c r="C192" s="15" t="n">
        <v>0.75</v>
      </c>
      <c r="D192" s="15" t="s">
        <v>618</v>
      </c>
      <c r="E192" s="15" t="s">
        <v>400</v>
      </c>
    </row>
    <row r="193" customFormat="false" ht="12.8" hidden="false" customHeight="false" outlineLevel="0" collapsed="false">
      <c r="A193" s="1" t="s">
        <v>708</v>
      </c>
      <c r="B193" s="15" t="s">
        <v>620</v>
      </c>
      <c r="C193" s="15" t="n">
        <v>1.05</v>
      </c>
      <c r="D193" s="15" t="s">
        <v>621</v>
      </c>
      <c r="E193" s="15"/>
    </row>
    <row r="194" customFormat="false" ht="12.8" hidden="false" customHeight="false" outlineLevel="0" collapsed="false">
      <c r="A194" s="1" t="s">
        <v>712</v>
      </c>
      <c r="B194" s="15" t="s">
        <v>623</v>
      </c>
      <c r="C194" s="15" t="n">
        <v>0.95</v>
      </c>
      <c r="D194" s="15" t="s">
        <v>624</v>
      </c>
      <c r="E194" s="15"/>
    </row>
    <row r="195" customFormat="false" ht="12.8" hidden="false" customHeight="false" outlineLevel="0" collapsed="false">
      <c r="A195" s="1" t="s">
        <v>715</v>
      </c>
      <c r="B195" s="15" t="s">
        <v>626</v>
      </c>
      <c r="C195" s="15" t="n">
        <v>1.05</v>
      </c>
      <c r="D195" s="15" t="s">
        <v>627</v>
      </c>
      <c r="E195" s="15" t="s">
        <v>396</v>
      </c>
    </row>
    <row r="196" customFormat="false" ht="12.8" hidden="false" customHeight="false" outlineLevel="0" collapsed="false">
      <c r="A196" s="1" t="s">
        <v>718</v>
      </c>
      <c r="B196" s="15" t="s">
        <v>629</v>
      </c>
      <c r="C196" s="15" t="n">
        <v>1.25</v>
      </c>
      <c r="D196" s="15" t="s">
        <v>630</v>
      </c>
      <c r="E196" s="15" t="s">
        <v>631</v>
      </c>
    </row>
    <row r="197" customFormat="false" ht="12.8" hidden="false" customHeight="false" outlineLevel="0" collapsed="false">
      <c r="A197" s="1" t="s">
        <v>722</v>
      </c>
      <c r="B197" s="15" t="s">
        <v>633</v>
      </c>
      <c r="C197" s="15" t="n">
        <v>1.05</v>
      </c>
      <c r="D197" s="15" t="s">
        <v>634</v>
      </c>
      <c r="E197" s="15"/>
    </row>
    <row r="198" customFormat="false" ht="12.8" hidden="false" customHeight="false" outlineLevel="0" collapsed="false">
      <c r="A198" s="1" t="s">
        <v>726</v>
      </c>
      <c r="B198" s="15" t="s">
        <v>636</v>
      </c>
      <c r="C198" s="15" t="n">
        <v>1.25</v>
      </c>
      <c r="D198" s="15" t="s">
        <v>637</v>
      </c>
      <c r="E198" s="15" t="s">
        <v>638</v>
      </c>
    </row>
    <row r="199" customFormat="false" ht="12.8" hidden="false" customHeight="false" outlineLevel="0" collapsed="false">
      <c r="A199" s="1" t="s">
        <v>729</v>
      </c>
      <c r="B199" s="15" t="s">
        <v>640</v>
      </c>
      <c r="C199" s="15" t="n">
        <v>1.15</v>
      </c>
      <c r="D199" s="15" t="s">
        <v>641</v>
      </c>
      <c r="E199" s="15" t="s">
        <v>642</v>
      </c>
    </row>
    <row r="200" customFormat="false" ht="12.8" hidden="false" customHeight="false" outlineLevel="0" collapsed="false">
      <c r="A200" s="1" t="s">
        <v>733</v>
      </c>
      <c r="B200" s="15" t="s">
        <v>644</v>
      </c>
      <c r="C200" s="15" t="n">
        <v>1.05</v>
      </c>
      <c r="D200" s="15" t="s">
        <v>645</v>
      </c>
      <c r="E200" s="15" t="s">
        <v>396</v>
      </c>
    </row>
    <row r="201" customFormat="false" ht="12.8" hidden="false" customHeight="false" outlineLevel="0" collapsed="false">
      <c r="A201" s="1" t="s">
        <v>737</v>
      </c>
      <c r="B201" s="15" t="s">
        <v>647</v>
      </c>
      <c r="C201" s="15" t="n">
        <v>0.9</v>
      </c>
      <c r="D201" s="15" t="s">
        <v>648</v>
      </c>
      <c r="E201" s="15" t="s">
        <v>649</v>
      </c>
    </row>
    <row r="202" customFormat="false" ht="12.8" hidden="false" customHeight="false" outlineLevel="0" collapsed="false">
      <c r="A202" s="1" t="s">
        <v>741</v>
      </c>
      <c r="B202" s="15" t="s">
        <v>651</v>
      </c>
      <c r="C202" s="15" t="n">
        <v>0.1</v>
      </c>
      <c r="D202" s="15" t="s">
        <v>652</v>
      </c>
      <c r="E202" s="15" t="s">
        <v>828</v>
      </c>
    </row>
    <row r="203" customFormat="false" ht="12.8" hidden="false" customHeight="false" outlineLevel="0" collapsed="false">
      <c r="A203" s="1" t="s">
        <v>829</v>
      </c>
      <c r="B203" s="15" t="s">
        <v>655</v>
      </c>
      <c r="C203" s="15" t="n">
        <v>0.7</v>
      </c>
      <c r="D203" s="15" t="s">
        <v>656</v>
      </c>
      <c r="E203" s="15" t="s">
        <v>830</v>
      </c>
    </row>
    <row r="204" customFormat="false" ht="12.8" hidden="false" customHeight="false" outlineLevel="0" collapsed="false">
      <c r="A204" s="1" t="s">
        <v>831</v>
      </c>
      <c r="B204" s="15" t="s">
        <v>659</v>
      </c>
      <c r="C204" s="15" t="n">
        <v>1.8</v>
      </c>
      <c r="D204" s="15" t="s">
        <v>660</v>
      </c>
      <c r="E204" s="15" t="s">
        <v>661</v>
      </c>
    </row>
    <row r="205" customFormat="false" ht="12.8" hidden="false" customHeight="false" outlineLevel="0" collapsed="false">
      <c r="A205" s="1" t="s">
        <v>832</v>
      </c>
      <c r="B205" s="15" t="s">
        <v>663</v>
      </c>
      <c r="C205" s="15" t="n">
        <v>2.2</v>
      </c>
      <c r="D205" s="15" t="s">
        <v>664</v>
      </c>
      <c r="E205" s="15" t="s">
        <v>665</v>
      </c>
    </row>
    <row r="206" customFormat="false" ht="12.8" hidden="false" customHeight="false" outlineLevel="0" collapsed="false">
      <c r="A206" s="1" t="s">
        <v>833</v>
      </c>
      <c r="B206" s="15" t="s">
        <v>667</v>
      </c>
      <c r="C206" s="15" t="n">
        <v>2.4</v>
      </c>
      <c r="D206" s="15" t="s">
        <v>668</v>
      </c>
      <c r="E206" s="15" t="s">
        <v>834</v>
      </c>
    </row>
    <row r="207" customFormat="false" ht="12.8" hidden="false" customHeight="false" outlineLevel="0" collapsed="false">
      <c r="A207" s="1" t="s">
        <v>835</v>
      </c>
      <c r="B207" s="15" t="s">
        <v>671</v>
      </c>
      <c r="C207" s="15" t="n">
        <v>0.35</v>
      </c>
      <c r="D207" s="15" t="s">
        <v>672</v>
      </c>
      <c r="E207" s="15" t="s">
        <v>673</v>
      </c>
    </row>
    <row r="208" customFormat="false" ht="12.8" hidden="false" customHeight="false" outlineLevel="0" collapsed="false">
      <c r="A208" s="1" t="s">
        <v>836</v>
      </c>
      <c r="B208" s="15" t="s">
        <v>675</v>
      </c>
      <c r="C208" s="15" t="n">
        <v>0.45</v>
      </c>
      <c r="D208" s="15" t="s">
        <v>676</v>
      </c>
      <c r="E208" s="15"/>
    </row>
    <row r="209" customFormat="false" ht="12.8" hidden="false" customHeight="false" outlineLevel="0" collapsed="false">
      <c r="A209" s="1" t="s">
        <v>837</v>
      </c>
      <c r="B209" s="15" t="s">
        <v>678</v>
      </c>
      <c r="C209" s="15" t="n">
        <v>0.65</v>
      </c>
      <c r="D209" s="15" t="s">
        <v>679</v>
      </c>
      <c r="E209" s="15"/>
    </row>
    <row r="210" customFormat="false" ht="12.8" hidden="false" customHeight="false" outlineLevel="0" collapsed="false">
      <c r="A210" s="1" t="s">
        <v>838</v>
      </c>
      <c r="B210" s="15" t="s">
        <v>681</v>
      </c>
      <c r="C210" s="15" t="n">
        <v>0.45</v>
      </c>
      <c r="D210" s="15" t="s">
        <v>682</v>
      </c>
      <c r="E210" s="15"/>
    </row>
    <row r="211" customFormat="false" ht="12.8" hidden="false" customHeight="false" outlineLevel="0" collapsed="false">
      <c r="A211" s="12" t="s">
        <v>839</v>
      </c>
      <c r="B211" s="18" t="s">
        <v>684</v>
      </c>
      <c r="C211" s="18" t="n">
        <v>0.55</v>
      </c>
      <c r="D211" s="18" t="s">
        <v>685</v>
      </c>
      <c r="E211" s="18"/>
    </row>
    <row r="212" customFormat="false" ht="12.8" hidden="false" customHeight="false" outlineLevel="0" collapsed="false">
      <c r="A212" s="12" t="s">
        <v>840</v>
      </c>
      <c r="B212" s="18" t="s">
        <v>687</v>
      </c>
      <c r="C212" s="18" t="n">
        <v>0.55</v>
      </c>
      <c r="D212" s="18" t="s">
        <v>688</v>
      </c>
      <c r="E212" s="18"/>
    </row>
    <row r="213" customFormat="false" ht="12.8" hidden="false" customHeight="false" outlineLevel="0" collapsed="false">
      <c r="A213" s="12" t="s">
        <v>841</v>
      </c>
      <c r="B213" s="18" t="s">
        <v>690</v>
      </c>
      <c r="C213" s="18" t="n">
        <v>0.65</v>
      </c>
      <c r="D213" s="18" t="s">
        <v>691</v>
      </c>
      <c r="E213" s="18"/>
    </row>
    <row r="214" customFormat="false" ht="12.8" hidden="false" customHeight="false" outlineLevel="0" collapsed="false">
      <c r="A214" s="1" t="s">
        <v>842</v>
      </c>
      <c r="B214" s="15" t="s">
        <v>693</v>
      </c>
      <c r="C214" s="15" t="n">
        <v>0.45</v>
      </c>
      <c r="D214" s="15" t="s">
        <v>694</v>
      </c>
      <c r="E214" s="15"/>
    </row>
    <row r="215" customFormat="false" ht="12.8" hidden="false" customHeight="false" outlineLevel="0" collapsed="false">
      <c r="A215" s="1" t="s">
        <v>843</v>
      </c>
      <c r="B215" s="15" t="s">
        <v>696</v>
      </c>
      <c r="C215" s="15" t="n">
        <v>0.55</v>
      </c>
      <c r="D215" s="15" t="s">
        <v>697</v>
      </c>
      <c r="E215" s="15"/>
    </row>
    <row r="216" customFormat="false" ht="12.8" hidden="false" customHeight="false" outlineLevel="0" collapsed="false">
      <c r="A216" s="1" t="s">
        <v>844</v>
      </c>
      <c r="B216" s="15" t="s">
        <v>699</v>
      </c>
      <c r="C216" s="15" t="n">
        <v>0.65</v>
      </c>
      <c r="D216" s="15" t="s">
        <v>700</v>
      </c>
      <c r="E216" s="15"/>
    </row>
    <row r="217" customFormat="false" ht="12.8" hidden="false" customHeight="false" outlineLevel="0" collapsed="false">
      <c r="A217" s="1" t="s">
        <v>845</v>
      </c>
      <c r="B217" s="15" t="s">
        <v>702</v>
      </c>
      <c r="C217" s="15" t="n">
        <v>0.75</v>
      </c>
      <c r="D217" s="15" t="s">
        <v>703</v>
      </c>
      <c r="E217" s="15" t="s">
        <v>704</v>
      </c>
    </row>
    <row r="218" customFormat="false" ht="12.8" hidden="false" customHeight="false" outlineLevel="0" collapsed="false">
      <c r="A218" s="1" t="s">
        <v>846</v>
      </c>
      <c r="B218" s="15" t="s">
        <v>706</v>
      </c>
      <c r="C218" s="15" t="n">
        <v>1.15</v>
      </c>
      <c r="D218" s="15" t="s">
        <v>707</v>
      </c>
      <c r="E218" s="15" t="s">
        <v>638</v>
      </c>
    </row>
    <row r="219" customFormat="false" ht="12.8" hidden="false" customHeight="false" outlineLevel="0" collapsed="false">
      <c r="A219" s="1" t="s">
        <v>847</v>
      </c>
      <c r="B219" s="15" t="s">
        <v>709</v>
      </c>
      <c r="C219" s="15" t="n">
        <v>1.15</v>
      </c>
      <c r="D219" s="15" t="s">
        <v>710</v>
      </c>
      <c r="E219" s="15" t="s">
        <v>711</v>
      </c>
    </row>
    <row r="220" customFormat="false" ht="12.8" hidden="false" customHeight="false" outlineLevel="0" collapsed="false">
      <c r="A220" s="1" t="s">
        <v>848</v>
      </c>
      <c r="B220" s="15" t="s">
        <v>713</v>
      </c>
      <c r="C220" s="15" t="n">
        <v>0.85</v>
      </c>
      <c r="D220" s="15" t="s">
        <v>714</v>
      </c>
      <c r="E220" s="15"/>
    </row>
    <row r="221" customFormat="false" ht="12.8" hidden="false" customHeight="false" outlineLevel="0" collapsed="false">
      <c r="A221" s="1" t="s">
        <v>849</v>
      </c>
      <c r="B221" s="15" t="s">
        <v>716</v>
      </c>
      <c r="C221" s="15" t="n">
        <v>0.85</v>
      </c>
      <c r="D221" s="15" t="s">
        <v>717</v>
      </c>
      <c r="E221" s="15"/>
    </row>
    <row r="222" customFormat="false" ht="12.8" hidden="false" customHeight="false" outlineLevel="0" collapsed="false">
      <c r="A222" s="1" t="s">
        <v>850</v>
      </c>
      <c r="B222" s="15" t="s">
        <v>719</v>
      </c>
      <c r="C222" s="15" t="n">
        <v>1</v>
      </c>
      <c r="D222" s="15" t="s">
        <v>720</v>
      </c>
      <c r="E222" s="15" t="s">
        <v>721</v>
      </c>
    </row>
    <row r="223" customFormat="false" ht="12.8" hidden="false" customHeight="false" outlineLevel="0" collapsed="false">
      <c r="A223" s="1" t="s">
        <v>851</v>
      </c>
      <c r="B223" s="15" t="s">
        <v>723</v>
      </c>
      <c r="C223" s="15" t="n">
        <v>0.14</v>
      </c>
      <c r="D223" s="15" t="s">
        <v>724</v>
      </c>
      <c r="E223" s="15" t="s">
        <v>725</v>
      </c>
    </row>
    <row r="224" customFormat="false" ht="12.8" hidden="false" customHeight="false" outlineLevel="0" collapsed="false">
      <c r="A224" s="1" t="s">
        <v>852</v>
      </c>
      <c r="B224" s="15" t="s">
        <v>727</v>
      </c>
      <c r="C224" s="15" t="n">
        <v>0.11</v>
      </c>
      <c r="D224" s="15" t="s">
        <v>728</v>
      </c>
      <c r="E224" s="15"/>
    </row>
    <row r="225" customFormat="false" ht="12.8" hidden="false" customHeight="false" outlineLevel="0" collapsed="false">
      <c r="A225" s="1" t="s">
        <v>853</v>
      </c>
      <c r="B225" s="15" t="s">
        <v>730</v>
      </c>
      <c r="C225" s="15" t="n">
        <v>0.04</v>
      </c>
      <c r="D225" s="15" t="s">
        <v>731</v>
      </c>
      <c r="E225" s="15" t="s">
        <v>732</v>
      </c>
    </row>
    <row r="226" customFormat="false" ht="12.8" hidden="false" customHeight="false" outlineLevel="0" collapsed="false">
      <c r="A226" s="1" t="s">
        <v>854</v>
      </c>
      <c r="B226" s="15" t="s">
        <v>734</v>
      </c>
      <c r="C226" s="15" t="n">
        <v>7000</v>
      </c>
      <c r="D226" s="15" t="s">
        <v>735</v>
      </c>
      <c r="E226" s="15" t="s">
        <v>736</v>
      </c>
    </row>
    <row r="227" customFormat="false" ht="12.8" hidden="false" customHeight="false" outlineLevel="0" collapsed="false">
      <c r="A227" s="1" t="s">
        <v>855</v>
      </c>
      <c r="B227" s="15" t="s">
        <v>738</v>
      </c>
      <c r="C227" s="15" t="n">
        <v>0.34</v>
      </c>
      <c r="D227" s="15" t="s">
        <v>739</v>
      </c>
      <c r="E227" s="15" t="s">
        <v>740</v>
      </c>
    </row>
    <row r="228" customFormat="false" ht="12.8" hidden="false" customHeight="false" outlineLevel="0" collapsed="false">
      <c r="A228" s="1" t="s">
        <v>856</v>
      </c>
      <c r="B228" s="15" t="s">
        <v>742</v>
      </c>
      <c r="C228" s="15" t="n">
        <v>22000</v>
      </c>
      <c r="D228" s="15" t="s">
        <v>743</v>
      </c>
      <c r="E228" s="15"/>
    </row>
    <row r="229" customFormat="false" ht="12.8" hidden="false" customHeight="false" outlineLevel="0" collapsed="false">
      <c r="A229" s="1" t="s">
        <v>857</v>
      </c>
      <c r="B229" s="15" t="s">
        <v>745</v>
      </c>
      <c r="C229" s="15" t="n">
        <v>0.16</v>
      </c>
      <c r="D229" s="15" t="s">
        <v>746</v>
      </c>
      <c r="E229" s="15"/>
    </row>
    <row r="230" customFormat="false" ht="12.8" hidden="false" customHeight="false" outlineLevel="0" collapsed="false">
      <c r="A230" s="1" t="s">
        <v>858</v>
      </c>
      <c r="B230" s="15" t="s">
        <v>748</v>
      </c>
      <c r="C230" s="15" t="n">
        <v>6200</v>
      </c>
      <c r="D230" s="15" t="s">
        <v>749</v>
      </c>
      <c r="E230" s="15" t="s">
        <v>750</v>
      </c>
    </row>
    <row r="231" customFormat="false" ht="12.8" hidden="false" customHeight="false" outlineLevel="0" collapsed="false">
      <c r="A231" s="1" t="s">
        <v>859</v>
      </c>
      <c r="B231" s="15" t="s">
        <v>752</v>
      </c>
      <c r="C231" s="15" t="n">
        <v>5800</v>
      </c>
      <c r="D231" s="15" t="s">
        <v>753</v>
      </c>
      <c r="E231" s="15"/>
    </row>
    <row r="232" customFormat="false" ht="12.8" hidden="false" customHeight="false" outlineLevel="0" collapsed="false">
      <c r="A232" s="1" t="s">
        <v>860</v>
      </c>
      <c r="B232" s="15" t="s">
        <v>755</v>
      </c>
      <c r="C232" s="15" t="n">
        <v>0</v>
      </c>
      <c r="D232" s="15" t="s">
        <v>756</v>
      </c>
      <c r="E232" s="15" t="s">
        <v>757</v>
      </c>
    </row>
    <row r="233" customFormat="false" ht="12.8" hidden="false" customHeight="false" outlineLevel="0" collapsed="false">
      <c r="A233" s="1" t="s">
        <v>861</v>
      </c>
      <c r="B233" s="15" t="s">
        <v>759</v>
      </c>
      <c r="C233" s="15" t="n">
        <v>200000</v>
      </c>
      <c r="D233" s="15" t="s">
        <v>760</v>
      </c>
      <c r="E233" s="15" t="s">
        <v>736</v>
      </c>
    </row>
    <row r="234" customFormat="false" ht="12.8" hidden="false" customHeight="false" outlineLevel="0" collapsed="false">
      <c r="A234" s="1" t="s">
        <v>862</v>
      </c>
      <c r="B234" s="15" t="s">
        <v>762</v>
      </c>
      <c r="C234" s="15" t="n">
        <v>2500</v>
      </c>
      <c r="D234" s="15" t="s">
        <v>763</v>
      </c>
      <c r="E234" s="15" t="s">
        <v>764</v>
      </c>
    </row>
    <row r="235" customFormat="false" ht="12.8" hidden="false" customHeight="false" outlineLevel="0" collapsed="false">
      <c r="A235" s="1" t="s">
        <v>863</v>
      </c>
      <c r="B235" s="15" t="s">
        <v>766</v>
      </c>
      <c r="C235" s="15" t="n">
        <v>0.15</v>
      </c>
      <c r="D235" s="15" t="s">
        <v>767</v>
      </c>
      <c r="E235" s="15" t="s">
        <v>768</v>
      </c>
    </row>
    <row r="236" customFormat="false" ht="12.8" hidden="false" customHeight="false" outlineLevel="0" collapsed="false">
      <c r="A236" s="1" t="s">
        <v>864</v>
      </c>
      <c r="B236" s="15" t="s">
        <v>770</v>
      </c>
      <c r="C236" s="15" t="n">
        <v>1700</v>
      </c>
      <c r="D236" s="15" t="s">
        <v>771</v>
      </c>
      <c r="E236" s="15" t="s">
        <v>772</v>
      </c>
    </row>
    <row r="237" customFormat="false" ht="12.8" hidden="false" customHeight="false" outlineLevel="0" collapsed="false">
      <c r="A237" s="1" t="s">
        <v>865</v>
      </c>
      <c r="B237" s="15" t="s">
        <v>774</v>
      </c>
      <c r="C237" s="15" t="n">
        <v>1700</v>
      </c>
      <c r="D237" s="15" t="s">
        <v>753</v>
      </c>
      <c r="E237" s="15" t="s">
        <v>775</v>
      </c>
    </row>
    <row r="238" customFormat="false" ht="12.8" hidden="false" customHeight="false" outlineLevel="0" collapsed="false">
      <c r="A238" s="1" t="s">
        <v>866</v>
      </c>
      <c r="B238" s="15" t="s">
        <v>777</v>
      </c>
      <c r="C238" s="15" t="n">
        <v>0</v>
      </c>
      <c r="D238" s="15" t="s">
        <v>756</v>
      </c>
      <c r="E238" s="15" t="s">
        <v>757</v>
      </c>
    </row>
    <row r="239" customFormat="false" ht="12.8" hidden="false" customHeight="false" outlineLevel="0" collapsed="false">
      <c r="A239" s="12" t="s">
        <v>867</v>
      </c>
      <c r="B239" s="18" t="s">
        <v>779</v>
      </c>
      <c r="C239" s="18" t="n">
        <v>1.5</v>
      </c>
      <c r="D239" s="18" t="s">
        <v>780</v>
      </c>
      <c r="E239" s="18" t="s">
        <v>781</v>
      </c>
    </row>
    <row r="240" customFormat="false" ht="12.8" hidden="false" customHeight="false" outlineLevel="0" collapsed="false">
      <c r="A240" s="12" t="s">
        <v>868</v>
      </c>
      <c r="B240" s="18" t="s">
        <v>783</v>
      </c>
      <c r="C240" s="18" t="n">
        <v>1.7</v>
      </c>
      <c r="D240" s="18" t="s">
        <v>664</v>
      </c>
      <c r="E240" s="18" t="s">
        <v>784</v>
      </c>
    </row>
    <row r="241" customFormat="false" ht="12.8" hidden="false" customHeight="false" outlineLevel="0" collapsed="false">
      <c r="A241" s="12" t="s">
        <v>869</v>
      </c>
      <c r="B241" s="18" t="s">
        <v>786</v>
      </c>
      <c r="C241" s="18" t="n">
        <v>0.5</v>
      </c>
      <c r="D241" s="18" t="s">
        <v>668</v>
      </c>
      <c r="E241" s="18" t="s">
        <v>787</v>
      </c>
    </row>
    <row r="242" customFormat="false" ht="12.8" hidden="false" customHeight="false" outlineLevel="0" collapsed="false">
      <c r="A242" s="12" t="s">
        <v>870</v>
      </c>
      <c r="B242" s="18" t="s">
        <v>789</v>
      </c>
      <c r="C242" s="18" t="n">
        <v>1</v>
      </c>
      <c r="D242" s="18" t="s">
        <v>790</v>
      </c>
      <c r="E242" s="18" t="s">
        <v>775</v>
      </c>
    </row>
    <row r="243" customFormat="false" ht="12.8" hidden="false" customHeight="false" outlineLevel="0" collapsed="false">
      <c r="A243" s="12" t="s">
        <v>871</v>
      </c>
      <c r="B243" s="18" t="s">
        <v>792</v>
      </c>
      <c r="C243" s="18" t="n">
        <v>1</v>
      </c>
      <c r="D243" s="18" t="s">
        <v>664</v>
      </c>
      <c r="E243" s="18" t="s">
        <v>775</v>
      </c>
    </row>
    <row r="244" customFormat="false" ht="12.8" hidden="false" customHeight="false" outlineLevel="0" collapsed="false">
      <c r="A244" s="12" t="s">
        <v>872</v>
      </c>
      <c r="B244" s="18" t="s">
        <v>794</v>
      </c>
      <c r="C244" s="18" t="n">
        <v>0</v>
      </c>
      <c r="D244" s="18" t="s">
        <v>668</v>
      </c>
      <c r="E244" s="18" t="s">
        <v>795</v>
      </c>
    </row>
    <row r="245" customFormat="false" ht="12.8" hidden="false" customHeight="false" outlineLevel="0" collapsed="false">
      <c r="A245" s="12" t="s">
        <v>796</v>
      </c>
      <c r="B245" s="18" t="s">
        <v>797</v>
      </c>
      <c r="C245" s="18" t="n">
        <v>46245</v>
      </c>
      <c r="D245" s="18" t="s">
        <v>798</v>
      </c>
      <c r="E245" s="18" t="s">
        <v>799</v>
      </c>
    </row>
    <row r="246" customFormat="false" ht="12.8" hidden="false" customHeight="false" outlineLevel="0" collapsed="false">
      <c r="A246" s="12"/>
      <c r="B246" s="18"/>
      <c r="C246" s="18"/>
      <c r="D246" s="18"/>
      <c r="E246" s="18"/>
    </row>
    <row r="247" customFormat="false" ht="12.8" hidden="false" customHeight="false" outlineLevel="0" collapsed="false">
      <c r="A247" s="12"/>
      <c r="B247" s="18"/>
      <c r="C247" s="18"/>
      <c r="D247" s="18"/>
      <c r="E247" s="18"/>
    </row>
    <row r="248" customFormat="false" ht="12.8" hidden="false" customHeight="false" outlineLevel="0" collapsed="false">
      <c r="A248" s="12"/>
      <c r="B248" s="18"/>
      <c r="C248" s="19"/>
      <c r="D248" s="18"/>
      <c r="E248" s="18"/>
    </row>
    <row r="249" customFormat="false" ht="12.8" hidden="false" customHeight="false" outlineLevel="0" collapsed="false">
      <c r="A249" s="12"/>
      <c r="B249" s="18"/>
      <c r="C249" s="19"/>
      <c r="D249" s="18"/>
      <c r="E249" s="18"/>
    </row>
    <row r="250" customFormat="false" ht="12.8" hidden="false" customHeight="false" outlineLevel="0" collapsed="false">
      <c r="A250" s="12"/>
      <c r="B250" s="18"/>
      <c r="C250" s="19"/>
      <c r="D250" s="18"/>
      <c r="E250" s="18"/>
    </row>
    <row r="251" customFormat="false" ht="12.8" hidden="false" customHeight="false" outlineLevel="0" collapsed="false">
      <c r="C251" s="15"/>
      <c r="D251" s="15"/>
      <c r="E251" s="1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3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4" activeCellId="0" sqref="A4"/>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12.8" hidden="false" customHeight="false" outlineLevel="0" collapsed="false">
      <c r="A1" s="6" t="s">
        <v>873</v>
      </c>
      <c r="B1" s="23" t="s">
        <v>7</v>
      </c>
      <c r="C1" s="17" t="s">
        <v>2</v>
      </c>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row>
    <row r="2" customFormat="false" ht="12.8" hidden="false" customHeight="false" outlineLevel="0" collapsed="false">
      <c r="A2" s="5" t="s">
        <v>874</v>
      </c>
      <c r="B2" s="5"/>
      <c r="C2" s="5"/>
      <c r="D2" s="5" t="s">
        <v>875</v>
      </c>
      <c r="E2" s="5"/>
      <c r="F2" s="5"/>
      <c r="G2" s="5"/>
      <c r="H2" s="5" t="s">
        <v>876</v>
      </c>
      <c r="I2" s="5"/>
      <c r="J2" s="5"/>
      <c r="K2" s="5"/>
      <c r="L2" s="5" t="s">
        <v>877</v>
      </c>
      <c r="M2" s="5"/>
      <c r="N2" s="5"/>
      <c r="O2" s="5"/>
      <c r="P2" s="5" t="s">
        <v>878</v>
      </c>
      <c r="Q2" s="5"/>
      <c r="R2" s="5"/>
      <c r="S2" s="5"/>
      <c r="T2" s="5" t="s">
        <v>879</v>
      </c>
      <c r="U2" s="5"/>
      <c r="V2" s="5"/>
      <c r="W2" s="5"/>
      <c r="X2" s="5" t="s">
        <v>880</v>
      </c>
      <c r="Y2" s="5"/>
      <c r="Z2" s="5"/>
      <c r="AA2" s="5" t="s">
        <v>881</v>
      </c>
      <c r="AB2" s="5"/>
      <c r="AC2" s="5"/>
      <c r="AD2" s="5" t="s">
        <v>882</v>
      </c>
      <c r="AE2" s="5"/>
      <c r="AF2" s="5"/>
      <c r="AG2" s="5" t="s">
        <v>883</v>
      </c>
      <c r="AH2" s="5"/>
      <c r="AI2" s="5"/>
      <c r="AJ2" s="5" t="s">
        <v>884</v>
      </c>
      <c r="AK2" s="5"/>
      <c r="AL2" s="5"/>
      <c r="AM2" s="5" t="s">
        <v>885</v>
      </c>
      <c r="AN2" s="5"/>
      <c r="AO2" s="5"/>
      <c r="AP2" s="5" t="s">
        <v>886</v>
      </c>
      <c r="AQ2" s="5"/>
      <c r="AR2" s="5"/>
      <c r="AS2" s="5" t="s">
        <v>887</v>
      </c>
      <c r="AT2" s="5"/>
      <c r="AU2" s="5"/>
      <c r="AV2" s="5" t="s">
        <v>888</v>
      </c>
      <c r="AW2" s="5"/>
      <c r="AX2" s="5"/>
      <c r="AY2" s="5"/>
      <c r="AZ2" s="5" t="s">
        <v>889</v>
      </c>
      <c r="BA2" s="5"/>
      <c r="BB2" s="5"/>
      <c r="BC2" s="5"/>
      <c r="BD2" s="5" t="s">
        <v>890</v>
      </c>
      <c r="BE2" s="5"/>
      <c r="BF2" s="5"/>
      <c r="BG2" s="5"/>
      <c r="BH2" s="5" t="s">
        <v>891</v>
      </c>
      <c r="BI2" s="5"/>
      <c r="BJ2" s="5"/>
      <c r="BK2" s="5"/>
      <c r="BL2" s="5" t="s">
        <v>48</v>
      </c>
      <c r="BM2" s="5"/>
      <c r="BN2" s="5"/>
      <c r="BO2" s="5"/>
    </row>
    <row r="3" customFormat="false" ht="57.45" hidden="false" customHeight="false" outlineLevel="0" collapsed="false">
      <c r="A3" s="24" t="s">
        <v>892</v>
      </c>
      <c r="B3" s="21" t="s">
        <v>893</v>
      </c>
      <c r="C3" s="21" t="s">
        <v>894</v>
      </c>
      <c r="D3" s="25" t="s">
        <v>27</v>
      </c>
      <c r="E3" s="25" t="s">
        <v>895</v>
      </c>
      <c r="F3" s="25" t="s">
        <v>896</v>
      </c>
      <c r="G3" s="25" t="s">
        <v>897</v>
      </c>
      <c r="H3" s="26" t="s">
        <v>29</v>
      </c>
      <c r="I3" s="27" t="s">
        <v>898</v>
      </c>
      <c r="J3" s="27" t="s">
        <v>899</v>
      </c>
      <c r="K3" s="27" t="s">
        <v>900</v>
      </c>
      <c r="L3" s="23" t="s">
        <v>901</v>
      </c>
      <c r="M3" s="23" t="s">
        <v>902</v>
      </c>
      <c r="N3" s="23" t="s">
        <v>903</v>
      </c>
      <c r="O3" s="23" t="s">
        <v>904</v>
      </c>
      <c r="P3" s="28" t="s">
        <v>33</v>
      </c>
      <c r="Q3" s="28" t="s">
        <v>905</v>
      </c>
      <c r="R3" s="28" t="s">
        <v>906</v>
      </c>
      <c r="S3" s="28" t="s">
        <v>907</v>
      </c>
      <c r="T3" s="28" t="s">
        <v>35</v>
      </c>
      <c r="U3" s="28" t="s">
        <v>908</v>
      </c>
      <c r="V3" s="28" t="s">
        <v>909</v>
      </c>
      <c r="W3" s="28" t="s">
        <v>910</v>
      </c>
      <c r="X3" s="28" t="s">
        <v>911</v>
      </c>
      <c r="Y3" s="28" t="s">
        <v>912</v>
      </c>
      <c r="Z3" s="28" t="s">
        <v>913</v>
      </c>
      <c r="AA3" s="29" t="s">
        <v>914</v>
      </c>
      <c r="AB3" s="29" t="s">
        <v>915</v>
      </c>
      <c r="AC3" s="29" t="s">
        <v>916</v>
      </c>
      <c r="AD3" s="30" t="s">
        <v>917</v>
      </c>
      <c r="AE3" s="30" t="s">
        <v>918</v>
      </c>
      <c r="AF3" s="30" t="s">
        <v>919</v>
      </c>
      <c r="AG3" s="29" t="s">
        <v>920</v>
      </c>
      <c r="AH3" s="29" t="s">
        <v>921</v>
      </c>
      <c r="AI3" s="29" t="s">
        <v>922</v>
      </c>
      <c r="AJ3" s="30" t="s">
        <v>923</v>
      </c>
      <c r="AK3" s="30" t="s">
        <v>924</v>
      </c>
      <c r="AL3" s="30" t="s">
        <v>925</v>
      </c>
      <c r="AM3" s="29" t="s">
        <v>926</v>
      </c>
      <c r="AN3" s="29" t="s">
        <v>927</v>
      </c>
      <c r="AO3" s="29" t="s">
        <v>928</v>
      </c>
      <c r="AP3" s="30" t="s">
        <v>929</v>
      </c>
      <c r="AQ3" s="30" t="s">
        <v>930</v>
      </c>
      <c r="AR3" s="30" t="s">
        <v>931</v>
      </c>
      <c r="AS3" s="29" t="s">
        <v>932</v>
      </c>
      <c r="AT3" s="29" t="s">
        <v>933</v>
      </c>
      <c r="AU3" s="29" t="s">
        <v>934</v>
      </c>
      <c r="AV3" s="29" t="s">
        <v>935</v>
      </c>
      <c r="AW3" s="29" t="s">
        <v>936</v>
      </c>
      <c r="AX3" s="29" t="s">
        <v>937</v>
      </c>
      <c r="AY3" s="29" t="s">
        <v>938</v>
      </c>
      <c r="AZ3" s="29" t="s">
        <v>939</v>
      </c>
      <c r="BA3" s="29" t="s">
        <v>940</v>
      </c>
      <c r="BB3" s="29" t="s">
        <v>941</v>
      </c>
      <c r="BC3" s="29" t="s">
        <v>942</v>
      </c>
      <c r="BD3" s="23" t="s">
        <v>943</v>
      </c>
      <c r="BE3" s="23" t="s">
        <v>944</v>
      </c>
      <c r="BF3" s="23" t="s">
        <v>945</v>
      </c>
      <c r="BG3" s="23" t="s">
        <v>946</v>
      </c>
      <c r="BH3" s="23" t="s">
        <v>947</v>
      </c>
      <c r="BI3" s="23" t="s">
        <v>948</v>
      </c>
      <c r="BJ3" s="23" t="s">
        <v>949</v>
      </c>
      <c r="BK3" s="23" t="s">
        <v>950</v>
      </c>
      <c r="BL3" s="23" t="s">
        <v>951</v>
      </c>
      <c r="BM3" s="23" t="s">
        <v>952</v>
      </c>
      <c r="BN3" s="23" t="s">
        <v>953</v>
      </c>
      <c r="BO3" s="23" t="s">
        <v>954</v>
      </c>
    </row>
    <row r="4" customFormat="false" ht="12.8" hidden="false" customHeight="false" outlineLevel="0" collapsed="false">
      <c r="A4" s="4" t="n">
        <v>0</v>
      </c>
      <c r="B4" s="16" t="s">
        <v>955</v>
      </c>
      <c r="C4" s="16" t="s">
        <v>956</v>
      </c>
      <c r="D4" s="16" t="n">
        <v>2381400</v>
      </c>
      <c r="E4" s="16" t="n">
        <v>81000</v>
      </c>
      <c r="F4" s="16" t="n">
        <v>43000</v>
      </c>
      <c r="G4" s="16" t="n">
        <v>2257400</v>
      </c>
      <c r="H4" s="16" t="n">
        <v>0.973</v>
      </c>
      <c r="I4" s="16" t="n">
        <v>0.96</v>
      </c>
      <c r="J4" s="16" t="n">
        <v>0.935</v>
      </c>
      <c r="K4" s="16" t="n">
        <v>0.976</v>
      </c>
      <c r="L4" s="16" t="n">
        <v>0.577</v>
      </c>
      <c r="M4" s="16" t="n">
        <v>0.65</v>
      </c>
      <c r="N4" s="16" t="n">
        <v>0.72</v>
      </c>
      <c r="O4" s="16" t="n">
        <v>0.575</v>
      </c>
      <c r="P4" s="16" t="n">
        <v>0.027</v>
      </c>
      <c r="Q4" s="16" t="n">
        <v>0.04</v>
      </c>
      <c r="R4" s="16" t="n">
        <v>0.065</v>
      </c>
      <c r="S4" s="16" t="n">
        <v>0.024</v>
      </c>
      <c r="T4" s="16" t="n">
        <v>0.053</v>
      </c>
      <c r="U4" s="16" t="n">
        <v>0.058</v>
      </c>
      <c r="V4" s="16" t="n">
        <v>0.088</v>
      </c>
      <c r="W4" s="16" t="n">
        <v>0.049</v>
      </c>
      <c r="X4" s="16" t="n">
        <v>31.5</v>
      </c>
      <c r="Y4" s="16" t="n">
        <v>20.5</v>
      </c>
      <c r="Z4" s="16" t="n">
        <v>48.8</v>
      </c>
      <c r="AA4" s="16" t="n">
        <v>65520</v>
      </c>
      <c r="AB4" s="16" t="n">
        <v>42600</v>
      </c>
      <c r="AC4" s="16" t="n">
        <v>101504</v>
      </c>
      <c r="AD4" s="16" t="n">
        <v>30.5</v>
      </c>
      <c r="AE4" s="16" t="n">
        <v>19.8</v>
      </c>
      <c r="AF4" s="16" t="n">
        <v>47.3</v>
      </c>
      <c r="AG4" s="16" t="n">
        <v>63440</v>
      </c>
      <c r="AH4" s="16" t="n">
        <v>41240</v>
      </c>
      <c r="AI4" s="16" t="n">
        <v>98432</v>
      </c>
      <c r="AJ4" s="16" t="n">
        <v>26.8</v>
      </c>
      <c r="AK4" s="16" t="n">
        <v>17.4</v>
      </c>
      <c r="AL4" s="16" t="n">
        <v>41.5</v>
      </c>
      <c r="AM4" s="16" t="n">
        <v>55776</v>
      </c>
      <c r="AN4" s="16" t="n">
        <v>36240</v>
      </c>
      <c r="AO4" s="16" t="n">
        <v>86464</v>
      </c>
      <c r="AP4" s="16" t="n">
        <v>32.1</v>
      </c>
      <c r="AQ4" s="16" t="n">
        <v>20.9</v>
      </c>
      <c r="AR4" s="16" t="n">
        <v>49.8</v>
      </c>
      <c r="AS4" s="16" t="n">
        <v>66768</v>
      </c>
      <c r="AT4" s="16" t="n">
        <v>43416</v>
      </c>
      <c r="AU4" s="16" t="n">
        <v>103616</v>
      </c>
      <c r="AV4" s="16" t="n">
        <v>1250000000</v>
      </c>
      <c r="AW4" s="16" t="n">
        <v>45000000</v>
      </c>
      <c r="AX4" s="16" t="n">
        <v>115000000</v>
      </c>
      <c r="AY4" s="16" t="n">
        <v>1095000000</v>
      </c>
      <c r="AZ4" s="16" t="n">
        <v>625000000</v>
      </c>
      <c r="BA4" s="16" t="n">
        <v>22500000</v>
      </c>
      <c r="BB4" s="16" t="n">
        <v>57500000</v>
      </c>
      <c r="BC4" s="16" t="n">
        <v>545000000</v>
      </c>
      <c r="BD4" s="16" t="n">
        <v>320000000</v>
      </c>
      <c r="BE4" s="16" t="n">
        <v>90000000</v>
      </c>
      <c r="BF4" s="16" t="n">
        <v>0</v>
      </c>
      <c r="BG4" s="16" t="n">
        <v>230000000</v>
      </c>
      <c r="BH4" s="16" t="n">
        <v>160000000</v>
      </c>
      <c r="BI4" s="16" t="n">
        <v>40000000</v>
      </c>
      <c r="BJ4" s="16" t="n">
        <v>40000000</v>
      </c>
      <c r="BK4" s="16" t="n">
        <v>120000000</v>
      </c>
      <c r="BL4" s="16" t="n">
        <v>80000000</v>
      </c>
      <c r="BM4" s="16" t="n">
        <v>20000000</v>
      </c>
      <c r="BN4" s="16" t="n">
        <v>20000000</v>
      </c>
      <c r="BO4" s="16" t="n">
        <v>60000000</v>
      </c>
    </row>
    <row r="5" customFormat="false" ht="12.8" hidden="false" customHeight="false" outlineLevel="0" collapsed="false">
      <c r="A5" s="1" t="n">
        <v>1</v>
      </c>
      <c r="B5" s="15" t="s">
        <v>957</v>
      </c>
      <c r="C5" s="15" t="s">
        <v>958</v>
      </c>
      <c r="D5" s="15" t="n">
        <v>30000</v>
      </c>
      <c r="E5" s="15" t="n">
        <v>1020</v>
      </c>
      <c r="F5" s="15" t="n">
        <v>540</v>
      </c>
      <c r="G5" s="15" t="n">
        <v>28440</v>
      </c>
      <c r="H5" s="15" t="n">
        <v>0.952</v>
      </c>
      <c r="I5" s="15" t="n">
        <v>0.93</v>
      </c>
      <c r="J5" s="15" t="n">
        <v>0.89</v>
      </c>
      <c r="K5" s="15" t="n">
        <v>0.955</v>
      </c>
      <c r="L5" s="15" t="n">
        <v>0.62</v>
      </c>
      <c r="M5" s="15" t="n">
        <v>0.68</v>
      </c>
      <c r="N5" s="15" t="n">
        <v>0.78</v>
      </c>
      <c r="O5" s="15" t="n">
        <v>0.6</v>
      </c>
      <c r="P5" s="15" t="n">
        <v>0.048</v>
      </c>
      <c r="Q5" s="15" t="n">
        <v>0.07</v>
      </c>
      <c r="R5" s="15" t="n">
        <v>0.11</v>
      </c>
      <c r="S5" s="15" t="n">
        <v>0.045</v>
      </c>
      <c r="T5" s="15" t="n">
        <v>0.093</v>
      </c>
      <c r="U5" s="15" t="n">
        <v>0.108</v>
      </c>
      <c r="V5" s="15" t="n">
        <v>0.155</v>
      </c>
      <c r="W5" s="15" t="n">
        <v>0.089</v>
      </c>
      <c r="X5" s="15" t="n">
        <v>21.93</v>
      </c>
      <c r="Y5" s="15" t="n">
        <v>14.3</v>
      </c>
      <c r="Z5" s="15" t="n">
        <v>33.9</v>
      </c>
      <c r="AA5" s="15" t="n">
        <v>45614</v>
      </c>
      <c r="AB5" s="15" t="n">
        <v>29824</v>
      </c>
      <c r="AC5" s="15" t="n">
        <v>70512</v>
      </c>
      <c r="AD5" s="15" t="n">
        <v>21</v>
      </c>
      <c r="AE5" s="15" t="n">
        <v>13.7</v>
      </c>
      <c r="AF5" s="15" t="n">
        <v>32.5</v>
      </c>
      <c r="AG5" s="15" t="n">
        <v>43680</v>
      </c>
      <c r="AH5" s="15" t="n">
        <v>28480</v>
      </c>
      <c r="AI5" s="15" t="n">
        <v>67360</v>
      </c>
      <c r="AJ5" s="15" t="n">
        <v>18.2</v>
      </c>
      <c r="AK5" s="15" t="n">
        <v>11.8</v>
      </c>
      <c r="AL5" s="15" t="n">
        <v>28.1</v>
      </c>
      <c r="AM5" s="15" t="n">
        <v>37856</v>
      </c>
      <c r="AN5" s="15" t="n">
        <v>24688</v>
      </c>
      <c r="AO5" s="15" t="n">
        <v>58592</v>
      </c>
      <c r="AP5" s="15" t="n">
        <v>22.4</v>
      </c>
      <c r="AQ5" s="15" t="n">
        <v>14.6</v>
      </c>
      <c r="AR5" s="15" t="n">
        <v>34.6</v>
      </c>
      <c r="AS5" s="15" t="n">
        <v>46592</v>
      </c>
      <c r="AT5" s="15" t="n">
        <v>30352</v>
      </c>
      <c r="AU5" s="15" t="n">
        <v>71904</v>
      </c>
      <c r="AV5" s="15" t="n">
        <v>1800000</v>
      </c>
      <c r="AW5" s="15" t="n">
        <v>61000</v>
      </c>
      <c r="AX5" s="15" t="n">
        <v>98000</v>
      </c>
      <c r="AY5" s="15" t="n">
        <v>1641000</v>
      </c>
      <c r="AZ5" s="15" t="n">
        <v>900000</v>
      </c>
      <c r="BA5" s="15" t="n">
        <v>30500</v>
      </c>
      <c r="BB5" s="15" t="n">
        <v>49000</v>
      </c>
      <c r="BC5" s="15" t="n">
        <v>820500</v>
      </c>
      <c r="BD5" s="15" t="n">
        <v>90000</v>
      </c>
      <c r="BE5" s="15" t="n">
        <v>18000</v>
      </c>
      <c r="BF5" s="15" t="n">
        <v>0</v>
      </c>
      <c r="BG5" s="15" t="n">
        <v>72000</v>
      </c>
      <c r="BH5" s="15" t="n">
        <v>45000</v>
      </c>
      <c r="BI5" s="15" t="n">
        <v>9000</v>
      </c>
      <c r="BJ5" s="15" t="n">
        <v>18000</v>
      </c>
      <c r="BK5" s="15" t="n">
        <v>54000</v>
      </c>
      <c r="BL5" s="15" t="n">
        <v>27000</v>
      </c>
      <c r="BM5" s="15" t="n">
        <v>5400</v>
      </c>
      <c r="BN5" s="15" t="n">
        <v>13500</v>
      </c>
      <c r="BO5" s="15" t="n">
        <v>40500</v>
      </c>
    </row>
    <row r="6" customFormat="false" ht="12.8" hidden="false" customHeight="false" outlineLevel="0" collapsed="false">
      <c r="A6" s="1" t="n">
        <v>2</v>
      </c>
      <c r="B6" s="15" t="s">
        <v>957</v>
      </c>
      <c r="C6" s="15" t="s">
        <v>959</v>
      </c>
      <c r="D6" s="15" t="n">
        <v>15000</v>
      </c>
      <c r="E6" s="15" t="n">
        <v>510</v>
      </c>
      <c r="F6" s="15" t="n">
        <v>270</v>
      </c>
      <c r="G6" s="15" t="n">
        <v>14220</v>
      </c>
      <c r="H6" s="15" t="n">
        <v>0.952</v>
      </c>
      <c r="I6" s="15" t="n">
        <v>0.93</v>
      </c>
      <c r="J6" s="15" t="n">
        <v>0.89</v>
      </c>
      <c r="K6" s="15" t="n">
        <v>0.955</v>
      </c>
      <c r="L6" s="15" t="n">
        <v>0.589</v>
      </c>
      <c r="M6" s="15" t="n">
        <v>0.646</v>
      </c>
      <c r="N6" s="15" t="n">
        <v>0.741</v>
      </c>
      <c r="O6" s="15" t="n">
        <v>0.57</v>
      </c>
      <c r="P6" s="15" t="n">
        <v>0.048</v>
      </c>
      <c r="Q6" s="15" t="n">
        <v>0.07</v>
      </c>
      <c r="R6" s="15" t="n">
        <v>0.11</v>
      </c>
      <c r="S6" s="15" t="n">
        <v>0.045</v>
      </c>
      <c r="T6" s="15" t="n">
        <v>0.093</v>
      </c>
      <c r="U6" s="15" t="n">
        <v>0.108</v>
      </c>
      <c r="V6" s="15" t="n">
        <v>0.155</v>
      </c>
      <c r="W6" s="15" t="n">
        <v>0.089</v>
      </c>
      <c r="X6" s="15" t="n">
        <v>18.64</v>
      </c>
      <c r="Y6" s="15" t="n">
        <v>12.1</v>
      </c>
      <c r="Z6" s="15" t="n">
        <v>28.8</v>
      </c>
      <c r="AA6" s="15" t="n">
        <v>38771</v>
      </c>
      <c r="AB6" s="15" t="n">
        <v>25200</v>
      </c>
      <c r="AC6" s="15" t="n">
        <v>59904</v>
      </c>
      <c r="AD6" s="15" t="n">
        <v>17.8</v>
      </c>
      <c r="AE6" s="15" t="n">
        <v>11.6</v>
      </c>
      <c r="AF6" s="15" t="n">
        <v>27.6</v>
      </c>
      <c r="AG6" s="15" t="n">
        <v>37024</v>
      </c>
      <c r="AH6" s="15" t="n">
        <v>24104</v>
      </c>
      <c r="AI6" s="15" t="n">
        <v>57376</v>
      </c>
      <c r="AJ6" s="15" t="n">
        <v>15.5</v>
      </c>
      <c r="AK6" s="15" t="n">
        <v>10.1</v>
      </c>
      <c r="AL6" s="15" t="n">
        <v>24</v>
      </c>
      <c r="AM6" s="15" t="n">
        <v>32240</v>
      </c>
      <c r="AN6" s="15" t="n">
        <v>20960</v>
      </c>
      <c r="AO6" s="15" t="n">
        <v>49920</v>
      </c>
      <c r="AP6" s="15" t="n">
        <v>19</v>
      </c>
      <c r="AQ6" s="15" t="n">
        <v>12.4</v>
      </c>
      <c r="AR6" s="15" t="n">
        <v>29.5</v>
      </c>
      <c r="AS6" s="15" t="n">
        <v>39520</v>
      </c>
      <c r="AT6" s="15" t="n">
        <v>25720</v>
      </c>
      <c r="AU6" s="15" t="n">
        <v>61280</v>
      </c>
      <c r="AV6" s="15" t="n">
        <v>900000</v>
      </c>
      <c r="AW6" s="15" t="n">
        <v>30500</v>
      </c>
      <c r="AX6" s="15" t="n">
        <v>49000</v>
      </c>
      <c r="AY6" s="15" t="n">
        <v>820500</v>
      </c>
      <c r="AZ6" s="15" t="n">
        <v>450000</v>
      </c>
      <c r="BA6" s="15" t="n">
        <v>15250</v>
      </c>
      <c r="BB6" s="15" t="n">
        <v>24500</v>
      </c>
      <c r="BC6" s="15" t="n">
        <v>410250</v>
      </c>
      <c r="BD6" s="15" t="n">
        <v>45000</v>
      </c>
      <c r="BE6" s="15" t="n">
        <v>9000</v>
      </c>
      <c r="BF6" s="15" t="n">
        <v>0</v>
      </c>
      <c r="BG6" s="15" t="n">
        <v>36000</v>
      </c>
      <c r="BH6" s="15" t="n">
        <v>22500</v>
      </c>
      <c r="BI6" s="15" t="n">
        <v>4500</v>
      </c>
      <c r="BJ6" s="15" t="n">
        <v>9000</v>
      </c>
      <c r="BK6" s="15" t="n">
        <v>27000</v>
      </c>
      <c r="BL6" s="15" t="n">
        <v>13500</v>
      </c>
      <c r="BM6" s="15" t="n">
        <v>2700</v>
      </c>
      <c r="BN6" s="15" t="n">
        <v>6750</v>
      </c>
      <c r="BO6" s="15" t="n">
        <v>20250</v>
      </c>
    </row>
    <row r="7" customFormat="false" ht="12.8" hidden="false" customHeight="false" outlineLevel="0" collapsed="false">
      <c r="A7" s="1" t="n">
        <v>3</v>
      </c>
      <c r="B7" s="15" t="s">
        <v>960</v>
      </c>
      <c r="C7" s="15" t="s">
        <v>958</v>
      </c>
      <c r="D7" s="15" t="n">
        <v>95000</v>
      </c>
      <c r="E7" s="15" t="n">
        <v>3230</v>
      </c>
      <c r="F7" s="15" t="n">
        <v>1710</v>
      </c>
      <c r="G7" s="15" t="n">
        <v>90060</v>
      </c>
      <c r="H7" s="15" t="n">
        <v>0.967</v>
      </c>
      <c r="I7" s="15" t="n">
        <v>0.94</v>
      </c>
      <c r="J7" s="15" t="n">
        <v>0.9</v>
      </c>
      <c r="K7" s="15" t="n">
        <v>0.97</v>
      </c>
      <c r="L7" s="15" t="n">
        <v>0.61</v>
      </c>
      <c r="M7" s="15" t="n">
        <v>0.67</v>
      </c>
      <c r="N7" s="15" t="n">
        <v>0.76</v>
      </c>
      <c r="O7" s="15" t="n">
        <v>0.59</v>
      </c>
      <c r="P7" s="15" t="n">
        <v>0.033</v>
      </c>
      <c r="Q7" s="15" t="n">
        <v>0.06</v>
      </c>
      <c r="R7" s="15" t="n">
        <v>0.1</v>
      </c>
      <c r="S7" s="15" t="n">
        <v>0.03</v>
      </c>
      <c r="T7" s="15" t="n">
        <v>0.046</v>
      </c>
      <c r="U7" s="15" t="n">
        <v>0.066</v>
      </c>
      <c r="V7" s="15" t="n">
        <v>0.11</v>
      </c>
      <c r="W7" s="15" t="n">
        <v>0.042</v>
      </c>
      <c r="X7" s="15" t="n">
        <v>25.34</v>
      </c>
      <c r="Y7" s="15" t="n">
        <v>16.5</v>
      </c>
      <c r="Z7" s="15" t="n">
        <v>39.3</v>
      </c>
      <c r="AA7" s="15" t="n">
        <v>52707</v>
      </c>
      <c r="AB7" s="15" t="n">
        <v>34320</v>
      </c>
      <c r="AC7" s="15" t="n">
        <v>81744</v>
      </c>
      <c r="AD7" s="15" t="n">
        <v>24.1</v>
      </c>
      <c r="AE7" s="15" t="n">
        <v>15.7</v>
      </c>
      <c r="AF7" s="15" t="n">
        <v>37.4</v>
      </c>
      <c r="AG7" s="15" t="n">
        <v>50128</v>
      </c>
      <c r="AH7" s="15" t="n">
        <v>32640</v>
      </c>
      <c r="AI7" s="15" t="n">
        <v>77760</v>
      </c>
      <c r="AJ7" s="15" t="n">
        <v>21.5</v>
      </c>
      <c r="AK7" s="15" t="n">
        <v>14</v>
      </c>
      <c r="AL7" s="15" t="n">
        <v>33.4</v>
      </c>
      <c r="AM7" s="15" t="n">
        <v>44720</v>
      </c>
      <c r="AN7" s="15" t="n">
        <v>29120</v>
      </c>
      <c r="AO7" s="15" t="n">
        <v>69440</v>
      </c>
      <c r="AP7" s="15" t="n">
        <v>25.9</v>
      </c>
      <c r="AQ7" s="15" t="n">
        <v>16.8</v>
      </c>
      <c r="AR7" s="15" t="n">
        <v>40.1</v>
      </c>
      <c r="AS7" s="15" t="n">
        <v>53872</v>
      </c>
      <c r="AT7" s="15" t="n">
        <v>35072</v>
      </c>
      <c r="AU7" s="15" t="n">
        <v>83520</v>
      </c>
      <c r="AV7" s="15" t="n">
        <v>5000000</v>
      </c>
      <c r="AW7" s="15" t="n">
        <v>170000</v>
      </c>
      <c r="AX7" s="15" t="n">
        <v>90000</v>
      </c>
      <c r="AY7" s="15" t="n">
        <v>4740000</v>
      </c>
      <c r="AZ7" s="15" t="n">
        <v>2500000</v>
      </c>
      <c r="BA7" s="15" t="n">
        <v>85000</v>
      </c>
      <c r="BB7" s="15" t="n">
        <v>45000</v>
      </c>
      <c r="BC7" s="15" t="n">
        <v>2375000</v>
      </c>
      <c r="BD7" s="15" t="n">
        <v>500000</v>
      </c>
      <c r="BE7" s="15" t="n">
        <v>100000</v>
      </c>
      <c r="BF7" s="15" t="n">
        <v>0</v>
      </c>
      <c r="BG7" s="15" t="n">
        <v>400000</v>
      </c>
      <c r="BH7" s="15" t="n">
        <v>250000</v>
      </c>
      <c r="BI7" s="15" t="n">
        <v>50000</v>
      </c>
      <c r="BJ7" s="15" t="n">
        <v>50000</v>
      </c>
      <c r="BK7" s="15" t="n">
        <v>150000</v>
      </c>
      <c r="BL7" s="15" t="n">
        <v>75000</v>
      </c>
      <c r="BM7" s="15" t="n">
        <v>15000</v>
      </c>
      <c r="BN7" s="15" t="n">
        <v>37500</v>
      </c>
      <c r="BO7" s="15" t="n">
        <v>112500</v>
      </c>
    </row>
    <row r="8" customFormat="false" ht="12.8" hidden="false" customHeight="false" outlineLevel="0" collapsed="false">
      <c r="A8" s="1" t="n">
        <v>4</v>
      </c>
      <c r="B8" s="15" t="s">
        <v>960</v>
      </c>
      <c r="C8" s="15" t="s">
        <v>959</v>
      </c>
      <c r="D8" s="15" t="n">
        <v>47500</v>
      </c>
      <c r="E8" s="15" t="n">
        <v>1615</v>
      </c>
      <c r="F8" s="15" t="n">
        <v>855</v>
      </c>
      <c r="G8" s="15" t="n">
        <v>45030</v>
      </c>
      <c r="H8" s="15" t="n">
        <v>0.967</v>
      </c>
      <c r="I8" s="15" t="n">
        <v>0.94</v>
      </c>
      <c r="J8" s="15" t="n">
        <v>0.9</v>
      </c>
      <c r="K8" s="15" t="n">
        <v>0.97</v>
      </c>
      <c r="L8" s="15" t="n">
        <v>0.579</v>
      </c>
      <c r="M8" s="15" t="n">
        <v>0.637</v>
      </c>
      <c r="N8" s="15" t="n">
        <v>0.722</v>
      </c>
      <c r="O8" s="15" t="n">
        <v>0.56</v>
      </c>
      <c r="P8" s="15" t="n">
        <v>0.033</v>
      </c>
      <c r="Q8" s="15" t="n">
        <v>0.06</v>
      </c>
      <c r="R8" s="15" t="n">
        <v>0.1</v>
      </c>
      <c r="S8" s="15" t="n">
        <v>0.03</v>
      </c>
      <c r="T8" s="15" t="n">
        <v>0.046</v>
      </c>
      <c r="U8" s="15" t="n">
        <v>0.066</v>
      </c>
      <c r="V8" s="15" t="n">
        <v>0.11</v>
      </c>
      <c r="W8" s="15" t="n">
        <v>0.042</v>
      </c>
      <c r="X8" s="15" t="n">
        <v>21.54</v>
      </c>
      <c r="Y8" s="15" t="n">
        <v>14</v>
      </c>
      <c r="Z8" s="15" t="n">
        <v>33.4</v>
      </c>
      <c r="AA8" s="15" t="n">
        <v>44771</v>
      </c>
      <c r="AB8" s="15" t="n">
        <v>29120</v>
      </c>
      <c r="AC8" s="15" t="n">
        <v>69440</v>
      </c>
      <c r="AD8" s="15" t="n">
        <v>20.5</v>
      </c>
      <c r="AE8" s="15" t="n">
        <v>13.3</v>
      </c>
      <c r="AF8" s="15" t="n">
        <v>31.7</v>
      </c>
      <c r="AG8" s="15" t="n">
        <v>42640</v>
      </c>
      <c r="AH8" s="15" t="n">
        <v>27760</v>
      </c>
      <c r="AI8" s="15" t="n">
        <v>66240</v>
      </c>
      <c r="AJ8" s="15" t="n">
        <v>18.3</v>
      </c>
      <c r="AK8" s="15" t="n">
        <v>11.9</v>
      </c>
      <c r="AL8" s="15" t="n">
        <v>28.4</v>
      </c>
      <c r="AM8" s="15" t="n">
        <v>38064</v>
      </c>
      <c r="AN8" s="15" t="n">
        <v>24768</v>
      </c>
      <c r="AO8" s="15" t="n">
        <v>59040</v>
      </c>
      <c r="AP8" s="15" t="n">
        <v>22</v>
      </c>
      <c r="AQ8" s="15" t="n">
        <v>14.3</v>
      </c>
      <c r="AR8" s="15" t="n">
        <v>34.1</v>
      </c>
      <c r="AS8" s="15" t="n">
        <v>45760</v>
      </c>
      <c r="AT8" s="15" t="n">
        <v>29744</v>
      </c>
      <c r="AU8" s="15" t="n">
        <v>70912</v>
      </c>
      <c r="AV8" s="15" t="n">
        <v>2500000</v>
      </c>
      <c r="AW8" s="15" t="n">
        <v>85000</v>
      </c>
      <c r="AX8" s="15" t="n">
        <v>45000</v>
      </c>
      <c r="AY8" s="15" t="n">
        <v>2370000</v>
      </c>
      <c r="AZ8" s="15" t="n">
        <v>1250000</v>
      </c>
      <c r="BA8" s="15" t="n">
        <v>42500</v>
      </c>
      <c r="BB8" s="15" t="n">
        <v>22500</v>
      </c>
      <c r="BC8" s="15" t="n">
        <v>1187500</v>
      </c>
      <c r="BD8" s="15" t="n">
        <v>250000</v>
      </c>
      <c r="BE8" s="15" t="n">
        <v>50000</v>
      </c>
      <c r="BF8" s="15" t="n">
        <v>0</v>
      </c>
      <c r="BG8" s="15" t="n">
        <v>200000</v>
      </c>
      <c r="BH8" s="15" t="n">
        <v>125000</v>
      </c>
      <c r="BI8" s="15" t="n">
        <v>25000</v>
      </c>
      <c r="BJ8" s="15" t="n">
        <v>25000</v>
      </c>
      <c r="BK8" s="15" t="n">
        <v>75000</v>
      </c>
      <c r="BL8" s="15" t="n">
        <v>37500</v>
      </c>
      <c r="BM8" s="15" t="n">
        <v>7500</v>
      </c>
      <c r="BN8" s="15" t="n">
        <v>18750</v>
      </c>
      <c r="BO8" s="15" t="n">
        <v>56250</v>
      </c>
    </row>
    <row r="9" customFormat="false" ht="12.8" hidden="false" customHeight="false" outlineLevel="0" collapsed="false">
      <c r="A9" s="1" t="n">
        <v>5</v>
      </c>
      <c r="B9" s="15" t="s">
        <v>961</v>
      </c>
      <c r="C9" s="15" t="s">
        <v>958</v>
      </c>
      <c r="D9" s="15" t="n">
        <v>240000</v>
      </c>
      <c r="E9" s="15" t="n">
        <v>8160</v>
      </c>
      <c r="F9" s="15" t="n">
        <v>4320</v>
      </c>
      <c r="G9" s="15" t="n">
        <v>227520</v>
      </c>
      <c r="H9" s="15" t="n">
        <v>0.96</v>
      </c>
      <c r="I9" s="15" t="n">
        <v>0.93</v>
      </c>
      <c r="J9" s="15" t="n">
        <v>0.88</v>
      </c>
      <c r="K9" s="15" t="n">
        <v>0.963</v>
      </c>
      <c r="L9" s="15" t="n">
        <v>0.58</v>
      </c>
      <c r="M9" s="15" t="n">
        <v>0.64</v>
      </c>
      <c r="N9" s="15" t="n">
        <v>0.71</v>
      </c>
      <c r="O9" s="15" t="n">
        <v>0.57</v>
      </c>
      <c r="P9" s="15" t="n">
        <v>0.04</v>
      </c>
      <c r="Q9" s="15" t="n">
        <v>0.07</v>
      </c>
      <c r="R9" s="15" t="n">
        <v>0.12</v>
      </c>
      <c r="S9" s="15" t="n">
        <v>0.037</v>
      </c>
      <c r="T9" s="15" t="n">
        <v>0.072</v>
      </c>
      <c r="U9" s="15" t="n">
        <v>0.095</v>
      </c>
      <c r="V9" s="15" t="n">
        <v>0.162</v>
      </c>
      <c r="W9" s="15" t="n">
        <v>0.069</v>
      </c>
      <c r="X9" s="15" t="n">
        <v>14.15</v>
      </c>
      <c r="Y9" s="15" t="n">
        <v>9.2</v>
      </c>
      <c r="Z9" s="15" t="n">
        <v>21.9</v>
      </c>
      <c r="AA9" s="15" t="n">
        <v>29432</v>
      </c>
      <c r="AB9" s="15" t="n">
        <v>19136</v>
      </c>
      <c r="AC9" s="15" t="n">
        <v>45584</v>
      </c>
      <c r="AD9" s="15" t="n">
        <v>13.5</v>
      </c>
      <c r="AE9" s="15" t="n">
        <v>8.8</v>
      </c>
      <c r="AF9" s="15" t="n">
        <v>20.9</v>
      </c>
      <c r="AG9" s="15" t="n">
        <v>28080</v>
      </c>
      <c r="AH9" s="15" t="n">
        <v>18288</v>
      </c>
      <c r="AI9" s="15" t="n">
        <v>43536</v>
      </c>
      <c r="AJ9" s="15" t="n">
        <v>11.7</v>
      </c>
      <c r="AK9" s="15" t="n">
        <v>7.6</v>
      </c>
      <c r="AL9" s="15" t="n">
        <v>18.1</v>
      </c>
      <c r="AM9" s="15" t="n">
        <v>24336</v>
      </c>
      <c r="AN9" s="15" t="n">
        <v>15840</v>
      </c>
      <c r="AO9" s="15" t="n">
        <v>37728</v>
      </c>
      <c r="AP9" s="15" t="n">
        <v>14.4</v>
      </c>
      <c r="AQ9" s="15" t="n">
        <v>9.4</v>
      </c>
      <c r="AR9" s="15" t="n">
        <v>22.3</v>
      </c>
      <c r="AS9" s="15" t="n">
        <v>29952</v>
      </c>
      <c r="AT9" s="15" t="n">
        <v>19488</v>
      </c>
      <c r="AU9" s="15" t="n">
        <v>46464</v>
      </c>
      <c r="AV9" s="15" t="n">
        <v>36000000</v>
      </c>
      <c r="AW9" s="15" t="n">
        <v>1224000</v>
      </c>
      <c r="AX9" s="15" t="n">
        <v>648000</v>
      </c>
      <c r="AY9" s="15" t="n">
        <v>34137600</v>
      </c>
      <c r="AZ9" s="15" t="n">
        <v>18000000</v>
      </c>
      <c r="BA9" s="15" t="n">
        <v>612000</v>
      </c>
      <c r="BB9" s="15" t="n">
        <v>324000</v>
      </c>
      <c r="BC9" s="15" t="n">
        <v>17056800</v>
      </c>
      <c r="BD9" s="15" t="n">
        <v>1800000</v>
      </c>
      <c r="BE9" s="15" t="n">
        <v>360000</v>
      </c>
      <c r="BF9" s="15" t="n">
        <v>0</v>
      </c>
      <c r="BG9" s="15" t="n">
        <v>1440000</v>
      </c>
      <c r="BH9" s="15" t="n">
        <v>900000</v>
      </c>
      <c r="BI9" s="15" t="n">
        <v>180000</v>
      </c>
      <c r="BJ9" s="15" t="n">
        <v>180000</v>
      </c>
      <c r="BK9" s="15" t="n">
        <v>540000</v>
      </c>
      <c r="BL9" s="15" t="n">
        <v>270000</v>
      </c>
      <c r="BM9" s="15" t="n">
        <v>54000</v>
      </c>
      <c r="BN9" s="15" t="n">
        <v>135000</v>
      </c>
      <c r="BO9" s="15" t="n">
        <v>405000</v>
      </c>
    </row>
    <row r="10" customFormat="false" ht="12.8" hidden="false" customHeight="false" outlineLevel="0" collapsed="false">
      <c r="A10" s="1" t="n">
        <v>6</v>
      </c>
      <c r="B10" s="15" t="s">
        <v>961</v>
      </c>
      <c r="C10" s="15" t="s">
        <v>959</v>
      </c>
      <c r="D10" s="15" t="n">
        <v>120000</v>
      </c>
      <c r="E10" s="15" t="n">
        <v>4080</v>
      </c>
      <c r="F10" s="15" t="n">
        <v>2160</v>
      </c>
      <c r="G10" s="15" t="n">
        <v>113760</v>
      </c>
      <c r="H10" s="15" t="n">
        <v>0.96</v>
      </c>
      <c r="I10" s="15" t="n">
        <v>0.93</v>
      </c>
      <c r="J10" s="15" t="n">
        <v>0.88</v>
      </c>
      <c r="K10" s="15" t="n">
        <v>0.963</v>
      </c>
      <c r="L10" s="15" t="n">
        <v>0.551</v>
      </c>
      <c r="M10" s="15" t="n">
        <v>0.608</v>
      </c>
      <c r="N10" s="15" t="n">
        <v>0.674</v>
      </c>
      <c r="O10" s="15" t="n">
        <v>0.542</v>
      </c>
      <c r="P10" s="15" t="n">
        <v>0.04</v>
      </c>
      <c r="Q10" s="15" t="n">
        <v>0.07</v>
      </c>
      <c r="R10" s="15" t="n">
        <v>0.12</v>
      </c>
      <c r="S10" s="15" t="n">
        <v>0.037</v>
      </c>
      <c r="T10" s="15" t="n">
        <v>0.072</v>
      </c>
      <c r="U10" s="15" t="n">
        <v>0.095</v>
      </c>
      <c r="V10" s="15" t="n">
        <v>0.162</v>
      </c>
      <c r="W10" s="15" t="n">
        <v>0.069</v>
      </c>
      <c r="X10" s="15" t="n">
        <v>12.03</v>
      </c>
      <c r="Y10" s="15" t="n">
        <v>7.8</v>
      </c>
      <c r="Z10" s="15" t="n">
        <v>18.6</v>
      </c>
      <c r="AA10" s="15" t="n">
        <v>25022</v>
      </c>
      <c r="AB10" s="15" t="n">
        <v>16224</v>
      </c>
      <c r="AC10" s="15" t="n">
        <v>38688</v>
      </c>
      <c r="AD10" s="15" t="n">
        <v>11.5</v>
      </c>
      <c r="AE10" s="15" t="n">
        <v>7.5</v>
      </c>
      <c r="AF10" s="15" t="n">
        <v>17.8</v>
      </c>
      <c r="AG10" s="15" t="n">
        <v>23920</v>
      </c>
      <c r="AH10" s="15" t="n">
        <v>15568</v>
      </c>
      <c r="AI10" s="15" t="n">
        <v>37152</v>
      </c>
      <c r="AJ10" s="15" t="n">
        <v>9.9</v>
      </c>
      <c r="AK10" s="15" t="n">
        <v>6.4</v>
      </c>
      <c r="AL10" s="15" t="n">
        <v>15.4</v>
      </c>
      <c r="AM10" s="15" t="n">
        <v>20592</v>
      </c>
      <c r="AN10" s="15" t="n">
        <v>13392</v>
      </c>
      <c r="AO10" s="15" t="n">
        <v>31968</v>
      </c>
      <c r="AP10" s="15" t="n">
        <v>12.3</v>
      </c>
      <c r="AQ10" s="15" t="n">
        <v>8</v>
      </c>
      <c r="AR10" s="15" t="n">
        <v>19</v>
      </c>
      <c r="AS10" s="15" t="n">
        <v>25584</v>
      </c>
      <c r="AT10" s="15" t="n">
        <v>16632</v>
      </c>
      <c r="AU10" s="15" t="n">
        <v>39648</v>
      </c>
      <c r="AV10" s="15" t="n">
        <v>18000000</v>
      </c>
      <c r="AW10" s="15" t="n">
        <v>612000</v>
      </c>
      <c r="AX10" s="15" t="n">
        <v>324000</v>
      </c>
      <c r="AY10" s="15" t="n">
        <v>17068800</v>
      </c>
      <c r="AZ10" s="15" t="n">
        <v>9000000</v>
      </c>
      <c r="BA10" s="15" t="n">
        <v>306000</v>
      </c>
      <c r="BB10" s="15" t="n">
        <v>162000</v>
      </c>
      <c r="BC10" s="15" t="n">
        <v>8528400</v>
      </c>
      <c r="BD10" s="15" t="n">
        <v>900000</v>
      </c>
      <c r="BE10" s="15" t="n">
        <v>180000</v>
      </c>
      <c r="BF10" s="15" t="n">
        <v>0</v>
      </c>
      <c r="BG10" s="15" t="n">
        <v>720000</v>
      </c>
      <c r="BH10" s="15" t="n">
        <v>450000</v>
      </c>
      <c r="BI10" s="15" t="n">
        <v>90000</v>
      </c>
      <c r="BJ10" s="15" t="n">
        <v>90000</v>
      </c>
      <c r="BK10" s="15" t="n">
        <v>270000</v>
      </c>
      <c r="BL10" s="15" t="n">
        <v>135000</v>
      </c>
      <c r="BM10" s="15" t="n">
        <v>27000</v>
      </c>
      <c r="BN10" s="15" t="n">
        <v>67500</v>
      </c>
      <c r="BO10" s="15" t="n">
        <v>202500</v>
      </c>
    </row>
    <row r="11" customFormat="false" ht="12.8" hidden="false" customHeight="false" outlineLevel="0" collapsed="false">
      <c r="A11" s="1" t="n">
        <v>7</v>
      </c>
      <c r="B11" s="15" t="s">
        <v>962</v>
      </c>
      <c r="C11" s="15" t="s">
        <v>958</v>
      </c>
      <c r="D11" s="15" t="n">
        <v>65000</v>
      </c>
      <c r="E11" s="15" t="n">
        <v>2210</v>
      </c>
      <c r="F11" s="15" t="n">
        <v>1170</v>
      </c>
      <c r="G11" s="15" t="n">
        <v>61620</v>
      </c>
      <c r="H11" s="15" t="n">
        <v>0.957</v>
      </c>
      <c r="I11" s="15" t="n">
        <v>0.92</v>
      </c>
      <c r="J11" s="15" t="n">
        <v>0.87</v>
      </c>
      <c r="K11" s="15" t="n">
        <v>0.96</v>
      </c>
      <c r="L11" s="15" t="n">
        <v>0.595</v>
      </c>
      <c r="M11" s="15" t="n">
        <v>0.655</v>
      </c>
      <c r="N11" s="15" t="n">
        <v>0.74</v>
      </c>
      <c r="O11" s="15" t="n">
        <v>0.58</v>
      </c>
      <c r="P11" s="15" t="n">
        <v>0.043</v>
      </c>
      <c r="Q11" s="15" t="n">
        <v>0.08</v>
      </c>
      <c r="R11" s="15" t="n">
        <v>0.13</v>
      </c>
      <c r="S11" s="15" t="n">
        <v>0.04</v>
      </c>
      <c r="T11" s="15" t="n">
        <v>0.1</v>
      </c>
      <c r="U11" s="15" t="n">
        <v>0.132</v>
      </c>
      <c r="V11" s="15" t="n">
        <v>0.221</v>
      </c>
      <c r="W11" s="15" t="n">
        <v>0.095</v>
      </c>
      <c r="X11" s="15" t="n">
        <v>16.59</v>
      </c>
      <c r="Y11" s="15" t="n">
        <v>10.8</v>
      </c>
      <c r="Z11" s="15" t="n">
        <v>25.7</v>
      </c>
      <c r="AA11" s="15" t="n">
        <v>34507</v>
      </c>
      <c r="AB11" s="15" t="n">
        <v>22464</v>
      </c>
      <c r="AC11" s="15" t="n">
        <v>53456</v>
      </c>
      <c r="AD11" s="15" t="n">
        <v>15.8</v>
      </c>
      <c r="AE11" s="15" t="n">
        <v>10.3</v>
      </c>
      <c r="AF11" s="15" t="n">
        <v>24.5</v>
      </c>
      <c r="AG11" s="15" t="n">
        <v>32864</v>
      </c>
      <c r="AH11" s="15" t="n">
        <v>21408</v>
      </c>
      <c r="AI11" s="15" t="n">
        <v>51008</v>
      </c>
      <c r="AJ11" s="15" t="n">
        <v>13.8</v>
      </c>
      <c r="AK11" s="15" t="n">
        <v>9</v>
      </c>
      <c r="AL11" s="15" t="n">
        <v>21.4</v>
      </c>
      <c r="AM11" s="15" t="n">
        <v>28704</v>
      </c>
      <c r="AN11" s="15" t="n">
        <v>18672</v>
      </c>
      <c r="AO11" s="15" t="n">
        <v>44416</v>
      </c>
      <c r="AP11" s="15" t="n">
        <v>16.9</v>
      </c>
      <c r="AQ11" s="15" t="n">
        <v>11</v>
      </c>
      <c r="AR11" s="15" t="n">
        <v>26.2</v>
      </c>
      <c r="AS11" s="15" t="n">
        <v>35152</v>
      </c>
      <c r="AT11" s="15" t="n">
        <v>22880</v>
      </c>
      <c r="AU11" s="15" t="n">
        <v>54512</v>
      </c>
      <c r="AV11" s="15" t="n">
        <v>5200000</v>
      </c>
      <c r="AW11" s="15" t="n">
        <v>177000</v>
      </c>
      <c r="AX11" s="15" t="n">
        <v>93600</v>
      </c>
      <c r="AY11" s="15" t="n">
        <v>4928400</v>
      </c>
      <c r="AZ11" s="15" t="n">
        <v>2600000</v>
      </c>
      <c r="BA11" s="15" t="n">
        <v>88400</v>
      </c>
      <c r="BB11" s="15" t="n">
        <v>46800</v>
      </c>
      <c r="BC11" s="15" t="n">
        <v>2471200</v>
      </c>
      <c r="BD11" s="15" t="n">
        <v>650000</v>
      </c>
      <c r="BE11" s="15" t="n">
        <v>130000</v>
      </c>
      <c r="BF11" s="15" t="n">
        <v>0</v>
      </c>
      <c r="BG11" s="15" t="n">
        <v>520000</v>
      </c>
      <c r="BH11" s="15" t="n">
        <v>325000</v>
      </c>
      <c r="BI11" s="15" t="n">
        <v>65000</v>
      </c>
      <c r="BJ11" s="15" t="n">
        <v>65000</v>
      </c>
      <c r="BK11" s="15" t="n">
        <v>195000</v>
      </c>
      <c r="BL11" s="15" t="n">
        <v>97500</v>
      </c>
      <c r="BM11" s="15" t="n">
        <v>19500</v>
      </c>
      <c r="BN11" s="15" t="n">
        <v>48750</v>
      </c>
      <c r="BO11" s="15" t="n">
        <v>146250</v>
      </c>
    </row>
    <row r="12" customFormat="false" ht="12.8" hidden="false" customHeight="false" outlineLevel="0" collapsed="false">
      <c r="A12" s="1" t="n">
        <v>8</v>
      </c>
      <c r="B12" s="15" t="s">
        <v>962</v>
      </c>
      <c r="C12" s="15" t="s">
        <v>959</v>
      </c>
      <c r="D12" s="15" t="n">
        <v>32500</v>
      </c>
      <c r="E12" s="15" t="n">
        <v>1105</v>
      </c>
      <c r="F12" s="15" t="n">
        <v>585</v>
      </c>
      <c r="G12" s="15" t="n">
        <v>30810</v>
      </c>
      <c r="H12" s="15" t="n">
        <v>0.957</v>
      </c>
      <c r="I12" s="15" t="n">
        <v>0.92</v>
      </c>
      <c r="J12" s="15" t="n">
        <v>0.87</v>
      </c>
      <c r="K12" s="15" t="n">
        <v>0.96</v>
      </c>
      <c r="L12" s="15" t="n">
        <v>0.565</v>
      </c>
      <c r="M12" s="15" t="n">
        <v>0.622</v>
      </c>
      <c r="N12" s="15" t="n">
        <v>0.703</v>
      </c>
      <c r="O12" s="15" t="n">
        <v>0.551</v>
      </c>
      <c r="P12" s="15" t="n">
        <v>0.043</v>
      </c>
      <c r="Q12" s="15" t="n">
        <v>0.08</v>
      </c>
      <c r="R12" s="15" t="n">
        <v>0.13</v>
      </c>
      <c r="S12" s="15" t="n">
        <v>0.04</v>
      </c>
      <c r="T12" s="15" t="n">
        <v>0.1</v>
      </c>
      <c r="U12" s="15" t="n">
        <v>0.132</v>
      </c>
      <c r="V12" s="15" t="n">
        <v>0.221</v>
      </c>
      <c r="W12" s="15" t="n">
        <v>0.095</v>
      </c>
      <c r="X12" s="15" t="n">
        <v>14.1</v>
      </c>
      <c r="Y12" s="15" t="n">
        <v>9.2</v>
      </c>
      <c r="Z12" s="15" t="n">
        <v>21.8</v>
      </c>
      <c r="AA12" s="15" t="n">
        <v>29328</v>
      </c>
      <c r="AB12" s="15" t="n">
        <v>19088</v>
      </c>
      <c r="AC12" s="15" t="n">
        <v>45376</v>
      </c>
      <c r="AD12" s="15" t="n">
        <v>13.4</v>
      </c>
      <c r="AE12" s="15" t="n">
        <v>8.7</v>
      </c>
      <c r="AF12" s="15" t="n">
        <v>20.8</v>
      </c>
      <c r="AG12" s="15" t="n">
        <v>27872</v>
      </c>
      <c r="AH12" s="15" t="n">
        <v>18136</v>
      </c>
      <c r="AI12" s="15" t="n">
        <v>43264</v>
      </c>
      <c r="AJ12" s="15" t="n">
        <v>11.7</v>
      </c>
      <c r="AK12" s="15" t="n">
        <v>7.6</v>
      </c>
      <c r="AL12" s="15" t="n">
        <v>18.2</v>
      </c>
      <c r="AM12" s="15" t="n">
        <v>24336</v>
      </c>
      <c r="AN12" s="15" t="n">
        <v>15840</v>
      </c>
      <c r="AO12" s="15" t="n">
        <v>37728</v>
      </c>
      <c r="AP12" s="15" t="n">
        <v>14.4</v>
      </c>
      <c r="AQ12" s="15" t="n">
        <v>9.4</v>
      </c>
      <c r="AR12" s="15" t="n">
        <v>22.3</v>
      </c>
      <c r="AS12" s="15" t="n">
        <v>29952</v>
      </c>
      <c r="AT12" s="15" t="n">
        <v>19488</v>
      </c>
      <c r="AU12" s="15" t="n">
        <v>46464</v>
      </c>
      <c r="AV12" s="15" t="n">
        <v>2600000</v>
      </c>
      <c r="AW12" s="15" t="n">
        <v>88400</v>
      </c>
      <c r="AX12" s="15" t="n">
        <v>46800</v>
      </c>
      <c r="AY12" s="15" t="n">
        <v>2464200</v>
      </c>
      <c r="AZ12" s="15" t="n">
        <v>1300000</v>
      </c>
      <c r="BA12" s="15" t="n">
        <v>44200</v>
      </c>
      <c r="BB12" s="15" t="n">
        <v>23400</v>
      </c>
      <c r="BC12" s="15" t="n">
        <v>1235600</v>
      </c>
      <c r="BD12" s="15" t="n">
        <v>325000</v>
      </c>
      <c r="BE12" s="15" t="n">
        <v>65000</v>
      </c>
      <c r="BF12" s="15" t="n">
        <v>0</v>
      </c>
      <c r="BG12" s="15" t="n">
        <v>260000</v>
      </c>
      <c r="BH12" s="15" t="n">
        <v>162500</v>
      </c>
      <c r="BI12" s="15" t="n">
        <v>32500</v>
      </c>
      <c r="BJ12" s="15" t="n">
        <v>32500</v>
      </c>
      <c r="BK12" s="15" t="n">
        <v>97500</v>
      </c>
      <c r="BL12" s="15" t="n">
        <v>48750</v>
      </c>
      <c r="BM12" s="15" t="n">
        <v>9750</v>
      </c>
      <c r="BN12" s="15" t="n">
        <v>24375</v>
      </c>
      <c r="BO12" s="15" t="n">
        <v>73125</v>
      </c>
    </row>
    <row r="13" customFormat="false" ht="12.8" hidden="false" customHeight="false" outlineLevel="0" collapsed="false">
      <c r="A13" s="1" t="n">
        <v>9</v>
      </c>
      <c r="B13" s="15" t="s">
        <v>963</v>
      </c>
      <c r="C13" s="15" t="s">
        <v>958</v>
      </c>
      <c r="D13" s="15" t="n">
        <v>270000</v>
      </c>
      <c r="E13" s="15" t="n">
        <v>9180</v>
      </c>
      <c r="F13" s="15" t="n">
        <v>4860</v>
      </c>
      <c r="G13" s="15" t="n">
        <v>255960</v>
      </c>
      <c r="H13" s="15" t="n">
        <v>0.98</v>
      </c>
      <c r="I13" s="15" t="n">
        <v>0.96</v>
      </c>
      <c r="J13" s="15" t="n">
        <v>0.93</v>
      </c>
      <c r="K13" s="15" t="n">
        <v>0.982</v>
      </c>
      <c r="L13" s="15" t="n">
        <v>0.605</v>
      </c>
      <c r="M13" s="15" t="n">
        <v>0.665</v>
      </c>
      <c r="N13" s="15" t="n">
        <v>0.74</v>
      </c>
      <c r="O13" s="15" t="n">
        <v>0.59</v>
      </c>
      <c r="P13" s="15" t="n">
        <v>0.02</v>
      </c>
      <c r="Q13" s="15" t="n">
        <v>0.04</v>
      </c>
      <c r="R13" s="15" t="n">
        <v>0.07</v>
      </c>
      <c r="S13" s="15" t="n">
        <v>0.018</v>
      </c>
      <c r="T13" s="15" t="n">
        <v>0.031</v>
      </c>
      <c r="U13" s="15" t="n">
        <v>0.037</v>
      </c>
      <c r="V13" s="15" t="n">
        <v>0.078</v>
      </c>
      <c r="W13" s="15" t="n">
        <v>0.03</v>
      </c>
      <c r="X13" s="15" t="n">
        <v>24.19</v>
      </c>
      <c r="Y13" s="15" t="n">
        <v>15.7</v>
      </c>
      <c r="Z13" s="15" t="n">
        <v>37.5</v>
      </c>
      <c r="AA13" s="15" t="n">
        <v>50315</v>
      </c>
      <c r="AB13" s="15" t="n">
        <v>32672</v>
      </c>
      <c r="AC13" s="15" t="n">
        <v>78000</v>
      </c>
      <c r="AD13" s="15" t="n">
        <v>23</v>
      </c>
      <c r="AE13" s="15" t="n">
        <v>15</v>
      </c>
      <c r="AF13" s="15" t="n">
        <v>35.7</v>
      </c>
      <c r="AG13" s="15" t="n">
        <v>47840</v>
      </c>
      <c r="AH13" s="15" t="n">
        <v>31120</v>
      </c>
      <c r="AI13" s="15" t="n">
        <v>74240</v>
      </c>
      <c r="AJ13" s="15" t="n">
        <v>21</v>
      </c>
      <c r="AK13" s="15" t="n">
        <v>13.7</v>
      </c>
      <c r="AL13" s="15" t="n">
        <v>32.7</v>
      </c>
      <c r="AM13" s="15" t="n">
        <v>43680</v>
      </c>
      <c r="AN13" s="15" t="n">
        <v>28416</v>
      </c>
      <c r="AO13" s="15" t="n">
        <v>67872</v>
      </c>
      <c r="AP13" s="15" t="n">
        <v>24.7</v>
      </c>
      <c r="AQ13" s="15" t="n">
        <v>16.1</v>
      </c>
      <c r="AR13" s="15" t="n">
        <v>38.4</v>
      </c>
      <c r="AS13" s="15" t="n">
        <v>51376</v>
      </c>
      <c r="AT13" s="15" t="n">
        <v>33424</v>
      </c>
      <c r="AU13" s="15" t="n">
        <v>79872</v>
      </c>
      <c r="AV13" s="15" t="n">
        <v>69000000</v>
      </c>
      <c r="AW13" s="15" t="n">
        <v>2346000</v>
      </c>
      <c r="AX13" s="15" t="n">
        <v>1242000</v>
      </c>
      <c r="AY13" s="15" t="n">
        <v>65418000</v>
      </c>
      <c r="AZ13" s="15" t="n">
        <v>34500000</v>
      </c>
      <c r="BA13" s="15" t="n">
        <v>1173000</v>
      </c>
      <c r="BB13" s="15" t="n">
        <v>621000</v>
      </c>
      <c r="BC13" s="15" t="n">
        <v>32727000</v>
      </c>
      <c r="BD13" s="15" t="n">
        <v>2700000</v>
      </c>
      <c r="BE13" s="15" t="n">
        <v>540000</v>
      </c>
      <c r="BF13" s="15" t="n">
        <v>0</v>
      </c>
      <c r="BG13" s="15" t="n">
        <v>2160000</v>
      </c>
      <c r="BH13" s="15" t="n">
        <v>1350000</v>
      </c>
      <c r="BI13" s="15" t="n">
        <v>270000</v>
      </c>
      <c r="BJ13" s="15" t="n">
        <v>135000</v>
      </c>
      <c r="BK13" s="15" t="n">
        <v>405000</v>
      </c>
      <c r="BL13" s="15" t="n">
        <v>675000</v>
      </c>
      <c r="BM13" s="15" t="n">
        <v>135000</v>
      </c>
      <c r="BN13" s="15" t="n">
        <v>337500</v>
      </c>
      <c r="BO13" s="15" t="n">
        <v>1012500</v>
      </c>
    </row>
    <row r="14" customFormat="false" ht="12.8" hidden="false" customHeight="false" outlineLevel="0" collapsed="false">
      <c r="A14" s="1" t="n">
        <v>10</v>
      </c>
      <c r="B14" s="15" t="s">
        <v>963</v>
      </c>
      <c r="C14" s="15" t="s">
        <v>959</v>
      </c>
      <c r="D14" s="15" t="n">
        <v>135000</v>
      </c>
      <c r="E14" s="15" t="n">
        <v>4590</v>
      </c>
      <c r="F14" s="15" t="n">
        <v>2430</v>
      </c>
      <c r="G14" s="15" t="n">
        <v>127980</v>
      </c>
      <c r="H14" s="15" t="n">
        <v>0.98</v>
      </c>
      <c r="I14" s="15" t="n">
        <v>0.96</v>
      </c>
      <c r="J14" s="15" t="n">
        <v>0.93</v>
      </c>
      <c r="K14" s="15" t="n">
        <v>0.982</v>
      </c>
      <c r="L14" s="15" t="n">
        <v>0.575</v>
      </c>
      <c r="M14" s="15" t="n">
        <v>0.632</v>
      </c>
      <c r="N14" s="15" t="n">
        <v>0.703</v>
      </c>
      <c r="O14" s="15" t="n">
        <v>0.56</v>
      </c>
      <c r="P14" s="15" t="n">
        <v>0.02</v>
      </c>
      <c r="Q14" s="15" t="n">
        <v>0.04</v>
      </c>
      <c r="R14" s="15" t="n">
        <v>0.07</v>
      </c>
      <c r="S14" s="15" t="n">
        <v>0.018</v>
      </c>
      <c r="T14" s="15" t="n">
        <v>0.031</v>
      </c>
      <c r="U14" s="15" t="n">
        <v>0.037</v>
      </c>
      <c r="V14" s="15" t="n">
        <v>0.078</v>
      </c>
      <c r="W14" s="15" t="n">
        <v>0.03</v>
      </c>
      <c r="X14" s="15" t="n">
        <v>20.56</v>
      </c>
      <c r="Y14" s="15" t="n">
        <v>13.4</v>
      </c>
      <c r="Z14" s="15" t="n">
        <v>31.9</v>
      </c>
      <c r="AA14" s="15" t="n">
        <v>42765</v>
      </c>
      <c r="AB14" s="15" t="n">
        <v>27840</v>
      </c>
      <c r="AC14" s="15" t="n">
        <v>66432</v>
      </c>
      <c r="AD14" s="15" t="n">
        <v>19.6</v>
      </c>
      <c r="AE14" s="15" t="n">
        <v>12.7</v>
      </c>
      <c r="AF14" s="15" t="n">
        <v>30.3</v>
      </c>
      <c r="AG14" s="15" t="n">
        <v>40768</v>
      </c>
      <c r="AH14" s="15" t="n">
        <v>26512</v>
      </c>
      <c r="AI14" s="15" t="n">
        <v>63264</v>
      </c>
      <c r="AJ14" s="15" t="n">
        <v>17.9</v>
      </c>
      <c r="AK14" s="15" t="n">
        <v>11.6</v>
      </c>
      <c r="AL14" s="15" t="n">
        <v>27.7</v>
      </c>
      <c r="AM14" s="15" t="n">
        <v>37232</v>
      </c>
      <c r="AN14" s="15" t="n">
        <v>24208</v>
      </c>
      <c r="AO14" s="15" t="n">
        <v>57728</v>
      </c>
      <c r="AP14" s="15" t="n">
        <v>21</v>
      </c>
      <c r="AQ14" s="15" t="n">
        <v>13.7</v>
      </c>
      <c r="AR14" s="15" t="n">
        <v>32.7</v>
      </c>
      <c r="AS14" s="15" t="n">
        <v>43680</v>
      </c>
      <c r="AT14" s="15" t="n">
        <v>28416</v>
      </c>
      <c r="AU14" s="15" t="n">
        <v>67872</v>
      </c>
      <c r="AV14" s="15" t="n">
        <v>34500000</v>
      </c>
      <c r="AW14" s="15" t="n">
        <v>1173000</v>
      </c>
      <c r="AX14" s="15" t="n">
        <v>621000</v>
      </c>
      <c r="AY14" s="15" t="n">
        <v>32709000</v>
      </c>
      <c r="AZ14" s="15" t="n">
        <v>17250000</v>
      </c>
      <c r="BA14" s="15" t="n">
        <v>586500</v>
      </c>
      <c r="BB14" s="15" t="n">
        <v>310500</v>
      </c>
      <c r="BC14" s="15" t="n">
        <v>16363500</v>
      </c>
      <c r="BD14" s="15" t="n">
        <v>1350000</v>
      </c>
      <c r="BE14" s="15" t="n">
        <v>270000</v>
      </c>
      <c r="BF14" s="15" t="n">
        <v>0</v>
      </c>
      <c r="BG14" s="15" t="n">
        <v>1080000</v>
      </c>
      <c r="BH14" s="15" t="n">
        <v>675000</v>
      </c>
      <c r="BI14" s="15" t="n">
        <v>135000</v>
      </c>
      <c r="BJ14" s="15" t="n">
        <v>67500</v>
      </c>
      <c r="BK14" s="15" t="n">
        <v>202500</v>
      </c>
      <c r="BL14" s="15" t="n">
        <v>337500</v>
      </c>
      <c r="BM14" s="15" t="n">
        <v>67500</v>
      </c>
      <c r="BN14" s="15" t="n">
        <v>168750</v>
      </c>
      <c r="BO14" s="15" t="n">
        <v>506250</v>
      </c>
    </row>
    <row r="15" customFormat="false" ht="12.8" hidden="false" customHeight="false" outlineLevel="0" collapsed="false">
      <c r="A15" s="1" t="n">
        <v>11</v>
      </c>
      <c r="B15" s="15" t="s">
        <v>964</v>
      </c>
      <c r="C15" s="15" t="s">
        <v>958</v>
      </c>
      <c r="D15" s="15" t="n">
        <v>90000</v>
      </c>
      <c r="E15" s="15" t="n">
        <v>3060</v>
      </c>
      <c r="F15" s="15" t="n">
        <v>1620</v>
      </c>
      <c r="G15" s="15" t="n">
        <v>85320</v>
      </c>
      <c r="H15" s="15" t="n">
        <v>0.976</v>
      </c>
      <c r="I15" s="15" t="n">
        <v>0.95</v>
      </c>
      <c r="J15" s="15" t="n">
        <v>0.92</v>
      </c>
      <c r="K15" s="15" t="n">
        <v>0.978</v>
      </c>
      <c r="L15" s="15" t="n">
        <v>0.6</v>
      </c>
      <c r="M15" s="15" t="n">
        <v>0.66</v>
      </c>
      <c r="N15" s="15" t="n">
        <v>0.75</v>
      </c>
      <c r="O15" s="15" t="n">
        <v>0.58</v>
      </c>
      <c r="P15" s="15" t="n">
        <v>0.024</v>
      </c>
      <c r="Q15" s="15" t="n">
        <v>0.05</v>
      </c>
      <c r="R15" s="15" t="n">
        <v>0.08</v>
      </c>
      <c r="S15" s="15" t="n">
        <v>0.022</v>
      </c>
      <c r="T15" s="15" t="n">
        <v>0.037</v>
      </c>
      <c r="U15" s="15" t="n">
        <v>0.046</v>
      </c>
      <c r="V15" s="15" t="n">
        <v>0.084</v>
      </c>
      <c r="W15" s="15" t="n">
        <v>0.034</v>
      </c>
      <c r="X15" s="15" t="n">
        <v>24.4</v>
      </c>
      <c r="Y15" s="15" t="n">
        <v>15.9</v>
      </c>
      <c r="Z15" s="15" t="n">
        <v>37.8</v>
      </c>
      <c r="AA15" s="15" t="n">
        <v>50752</v>
      </c>
      <c r="AB15" s="15" t="n">
        <v>33040</v>
      </c>
      <c r="AC15" s="15" t="n">
        <v>78720</v>
      </c>
      <c r="AD15" s="15" t="n">
        <v>23.2</v>
      </c>
      <c r="AE15" s="15" t="n">
        <v>15.1</v>
      </c>
      <c r="AF15" s="15" t="n">
        <v>36</v>
      </c>
      <c r="AG15" s="15" t="n">
        <v>48256</v>
      </c>
      <c r="AH15" s="15" t="n">
        <v>31408</v>
      </c>
      <c r="AI15" s="15" t="n">
        <v>74816</v>
      </c>
      <c r="AJ15" s="15" t="n">
        <v>21.2</v>
      </c>
      <c r="AK15" s="15" t="n">
        <v>13.8</v>
      </c>
      <c r="AL15" s="15" t="n">
        <v>32.9</v>
      </c>
      <c r="AM15" s="15" t="n">
        <v>44100</v>
      </c>
      <c r="AN15" s="15" t="n">
        <v>28704</v>
      </c>
      <c r="AO15" s="15" t="n">
        <v>68352</v>
      </c>
      <c r="AP15" s="15" t="n">
        <v>24.9</v>
      </c>
      <c r="AQ15" s="15" t="n">
        <v>16.2</v>
      </c>
      <c r="AR15" s="15" t="n">
        <v>38.6</v>
      </c>
      <c r="AS15" s="15" t="n">
        <v>51792</v>
      </c>
      <c r="AT15" s="15" t="n">
        <v>33712</v>
      </c>
      <c r="AU15" s="15" t="n">
        <v>80384</v>
      </c>
      <c r="AV15" s="15" t="n">
        <v>23000000</v>
      </c>
      <c r="AW15" s="15" t="n">
        <v>782000</v>
      </c>
      <c r="AX15" s="15" t="n">
        <v>414000</v>
      </c>
      <c r="AY15" s="15" t="n">
        <v>21796000</v>
      </c>
      <c r="AZ15" s="15" t="n">
        <v>11500000</v>
      </c>
      <c r="BA15" s="15" t="n">
        <v>391000</v>
      </c>
      <c r="BB15" s="15" t="n">
        <v>207000</v>
      </c>
      <c r="BC15" s="15" t="n">
        <v>10909000</v>
      </c>
      <c r="BD15" s="15" t="n">
        <v>900000</v>
      </c>
      <c r="BE15" s="15" t="n">
        <v>180000</v>
      </c>
      <c r="BF15" s="15" t="n">
        <v>0</v>
      </c>
      <c r="BG15" s="15" t="n">
        <v>720000</v>
      </c>
      <c r="BH15" s="15" t="n">
        <v>450000</v>
      </c>
      <c r="BI15" s="15" t="n">
        <v>90000</v>
      </c>
      <c r="BJ15" s="15" t="n">
        <v>90000</v>
      </c>
      <c r="BK15" s="15" t="n">
        <v>270000</v>
      </c>
      <c r="BL15" s="15" t="n">
        <v>225000</v>
      </c>
      <c r="BM15" s="15" t="n">
        <v>45000</v>
      </c>
      <c r="BN15" s="15" t="n">
        <v>112500</v>
      </c>
      <c r="BO15" s="15" t="n">
        <v>337500</v>
      </c>
    </row>
    <row r="16" customFormat="false" ht="12.8" hidden="false" customHeight="false" outlineLevel="0" collapsed="false">
      <c r="A16" s="1" t="n">
        <v>12</v>
      </c>
      <c r="B16" s="15" t="s">
        <v>964</v>
      </c>
      <c r="C16" s="15" t="s">
        <v>959</v>
      </c>
      <c r="D16" s="15" t="n">
        <v>45000</v>
      </c>
      <c r="E16" s="15" t="n">
        <v>1530</v>
      </c>
      <c r="F16" s="15" t="n">
        <v>810</v>
      </c>
      <c r="G16" s="15" t="n">
        <v>42660</v>
      </c>
      <c r="H16" s="15" t="n">
        <v>0.976</v>
      </c>
      <c r="I16" s="15" t="n">
        <v>0.95</v>
      </c>
      <c r="J16" s="15" t="n">
        <v>0.92</v>
      </c>
      <c r="K16" s="15" t="n">
        <v>0.978</v>
      </c>
      <c r="L16" s="15" t="n">
        <v>0.57</v>
      </c>
      <c r="M16" s="15" t="n">
        <v>0.627</v>
      </c>
      <c r="N16" s="15" t="n">
        <v>0.712</v>
      </c>
      <c r="O16" s="15" t="n">
        <v>0.55</v>
      </c>
      <c r="P16" s="15" t="n">
        <v>0.024</v>
      </c>
      <c r="Q16" s="15" t="n">
        <v>0.05</v>
      </c>
      <c r="R16" s="15" t="n">
        <v>0.08</v>
      </c>
      <c r="S16" s="15" t="n">
        <v>0.022</v>
      </c>
      <c r="T16" s="15" t="n">
        <v>0.037</v>
      </c>
      <c r="U16" s="15" t="n">
        <v>0.046</v>
      </c>
      <c r="V16" s="15" t="n">
        <v>0.084</v>
      </c>
      <c r="W16" s="15" t="n">
        <v>0.034</v>
      </c>
      <c r="X16" s="15" t="n">
        <v>20.74</v>
      </c>
      <c r="Y16" s="15" t="n">
        <v>13.5</v>
      </c>
      <c r="Z16" s="15" t="n">
        <v>32.1</v>
      </c>
      <c r="AA16" s="15" t="n">
        <v>43139</v>
      </c>
      <c r="AB16" s="15" t="n">
        <v>28080</v>
      </c>
      <c r="AC16" s="15" t="n">
        <v>66816</v>
      </c>
      <c r="AD16" s="15" t="n">
        <v>19.7</v>
      </c>
      <c r="AE16" s="15" t="n">
        <v>12.8</v>
      </c>
      <c r="AF16" s="15" t="n">
        <v>30.6</v>
      </c>
      <c r="AG16" s="15" t="n">
        <v>40976</v>
      </c>
      <c r="AH16" s="15" t="n">
        <v>26672</v>
      </c>
      <c r="AI16" s="15" t="n">
        <v>63616</v>
      </c>
      <c r="AJ16" s="15" t="n">
        <v>18</v>
      </c>
      <c r="AK16" s="15" t="n">
        <v>11.7</v>
      </c>
      <c r="AL16" s="15" t="n">
        <v>28</v>
      </c>
      <c r="AM16" s="15" t="n">
        <v>37440</v>
      </c>
      <c r="AN16" s="15" t="n">
        <v>24360</v>
      </c>
      <c r="AO16" s="15" t="n">
        <v>58080</v>
      </c>
      <c r="AP16" s="15" t="n">
        <v>21.2</v>
      </c>
      <c r="AQ16" s="15" t="n">
        <v>13.8</v>
      </c>
      <c r="AR16" s="15" t="n">
        <v>32.9</v>
      </c>
      <c r="AS16" s="15" t="n">
        <v>44096</v>
      </c>
      <c r="AT16" s="15" t="n">
        <v>28688</v>
      </c>
      <c r="AU16" s="15" t="n">
        <v>68352</v>
      </c>
      <c r="AV16" s="15" t="n">
        <v>11500000</v>
      </c>
      <c r="AW16" s="15" t="n">
        <v>391000</v>
      </c>
      <c r="AX16" s="15" t="n">
        <v>207000</v>
      </c>
      <c r="AY16" s="15" t="n">
        <v>10898000</v>
      </c>
      <c r="AZ16" s="15" t="n">
        <v>5750000</v>
      </c>
      <c r="BA16" s="15" t="n">
        <v>195500</v>
      </c>
      <c r="BB16" s="15" t="n">
        <v>103500</v>
      </c>
      <c r="BC16" s="15" t="n">
        <v>5454500</v>
      </c>
      <c r="BD16" s="15" t="n">
        <v>450000</v>
      </c>
      <c r="BE16" s="15" t="n">
        <v>90000</v>
      </c>
      <c r="BF16" s="15" t="n">
        <v>0</v>
      </c>
      <c r="BG16" s="15" t="n">
        <v>360000</v>
      </c>
      <c r="BH16" s="15" t="n">
        <v>225000</v>
      </c>
      <c r="BI16" s="15" t="n">
        <v>45000</v>
      </c>
      <c r="BJ16" s="15" t="n">
        <v>45000</v>
      </c>
      <c r="BK16" s="15" t="n">
        <v>135000</v>
      </c>
      <c r="BL16" s="15" t="n">
        <v>112500</v>
      </c>
      <c r="BM16" s="15" t="n">
        <v>22500</v>
      </c>
      <c r="BN16" s="15" t="n">
        <v>56250</v>
      </c>
      <c r="BO16" s="15" t="n">
        <v>168750</v>
      </c>
    </row>
    <row r="17" customFormat="false" ht="12.8" hidden="false" customHeight="false" outlineLevel="0" collapsed="false">
      <c r="A17" s="1" t="n">
        <v>13</v>
      </c>
      <c r="B17" s="15" t="s">
        <v>965</v>
      </c>
      <c r="C17" s="15" t="s">
        <v>958</v>
      </c>
      <c r="D17" s="15" t="n">
        <v>320000</v>
      </c>
      <c r="E17" s="15" t="n">
        <v>10880</v>
      </c>
      <c r="F17" s="15" t="n">
        <v>5760</v>
      </c>
      <c r="G17" s="15" t="n">
        <v>303360</v>
      </c>
      <c r="H17" s="15" t="n">
        <v>0.96</v>
      </c>
      <c r="I17" s="15" t="n">
        <v>0.93</v>
      </c>
      <c r="J17" s="15" t="n">
        <v>0.88</v>
      </c>
      <c r="K17" s="15" t="n">
        <v>0.963</v>
      </c>
      <c r="L17" s="15" t="n">
        <v>0.58</v>
      </c>
      <c r="M17" s="15" t="n">
        <v>0.64</v>
      </c>
      <c r="N17" s="15" t="n">
        <v>0.71</v>
      </c>
      <c r="O17" s="15" t="n">
        <v>0.57</v>
      </c>
      <c r="P17" s="15" t="n">
        <v>0.04</v>
      </c>
      <c r="Q17" s="15" t="n">
        <v>0.07</v>
      </c>
      <c r="R17" s="15" t="n">
        <v>0.12</v>
      </c>
      <c r="S17" s="15" t="n">
        <v>0.037</v>
      </c>
      <c r="T17" s="15" t="n">
        <v>0.074</v>
      </c>
      <c r="U17" s="15" t="n">
        <v>0.097</v>
      </c>
      <c r="V17" s="15" t="n">
        <v>0.165</v>
      </c>
      <c r="W17" s="15" t="n">
        <v>0.071</v>
      </c>
      <c r="X17" s="15" t="n">
        <v>21.94</v>
      </c>
      <c r="Y17" s="15" t="n">
        <v>14.3</v>
      </c>
      <c r="Z17" s="15" t="n">
        <v>33.9</v>
      </c>
      <c r="AA17" s="15" t="n">
        <v>45635</v>
      </c>
      <c r="AB17" s="15" t="n">
        <v>29704</v>
      </c>
      <c r="AC17" s="15" t="n">
        <v>70656</v>
      </c>
      <c r="AD17" s="15" t="n">
        <v>20.9</v>
      </c>
      <c r="AE17" s="15" t="n">
        <v>13.6</v>
      </c>
      <c r="AF17" s="15" t="n">
        <v>32.4</v>
      </c>
      <c r="AG17" s="15" t="n">
        <v>43472</v>
      </c>
      <c r="AH17" s="15" t="n">
        <v>28304</v>
      </c>
      <c r="AI17" s="15" t="n">
        <v>67392</v>
      </c>
      <c r="AJ17" s="15" t="n">
        <v>18.1</v>
      </c>
      <c r="AK17" s="15" t="n">
        <v>11.8</v>
      </c>
      <c r="AL17" s="15" t="n">
        <v>28.1</v>
      </c>
      <c r="AM17" s="15" t="n">
        <v>37648</v>
      </c>
      <c r="AN17" s="15" t="n">
        <v>24496</v>
      </c>
      <c r="AO17" s="15" t="n">
        <v>58272</v>
      </c>
      <c r="AP17" s="15" t="n">
        <v>22.4</v>
      </c>
      <c r="AQ17" s="15" t="n">
        <v>14.6</v>
      </c>
      <c r="AR17" s="15" t="n">
        <v>34.7</v>
      </c>
      <c r="AS17" s="15" t="n">
        <v>46592</v>
      </c>
      <c r="AT17" s="15" t="n">
        <v>30352</v>
      </c>
      <c r="AU17" s="15" t="n">
        <v>72144</v>
      </c>
      <c r="AV17" s="15" t="n">
        <v>48000000</v>
      </c>
      <c r="AW17" s="15" t="n">
        <v>1632000</v>
      </c>
      <c r="AX17" s="15" t="n">
        <v>864000</v>
      </c>
      <c r="AY17" s="15" t="n">
        <v>45528000</v>
      </c>
      <c r="AZ17" s="15" t="n">
        <v>24000000</v>
      </c>
      <c r="BA17" s="15" t="n">
        <v>816000</v>
      </c>
      <c r="BB17" s="15" t="n">
        <v>432000</v>
      </c>
      <c r="BC17" s="15" t="n">
        <v>22764000</v>
      </c>
      <c r="BD17" s="15" t="n">
        <v>2400000</v>
      </c>
      <c r="BE17" s="15" t="n">
        <v>480000</v>
      </c>
      <c r="BF17" s="15" t="n">
        <v>0</v>
      </c>
      <c r="BG17" s="15" t="n">
        <v>1920000</v>
      </c>
      <c r="BH17" s="15" t="n">
        <v>1200000</v>
      </c>
      <c r="BI17" s="15" t="n">
        <v>240000</v>
      </c>
      <c r="BJ17" s="15" t="n">
        <v>240000</v>
      </c>
      <c r="BK17" s="15" t="n">
        <v>720000</v>
      </c>
      <c r="BL17" s="15" t="n">
        <v>600000</v>
      </c>
      <c r="BM17" s="15" t="n">
        <v>120000</v>
      </c>
      <c r="BN17" s="15" t="n">
        <v>300000</v>
      </c>
      <c r="BO17" s="15" t="n">
        <v>900000</v>
      </c>
    </row>
    <row r="18" customFormat="false" ht="12.8" hidden="false" customHeight="false" outlineLevel="0" collapsed="false">
      <c r="A18" s="1" t="n">
        <v>14</v>
      </c>
      <c r="B18" s="15" t="s">
        <v>965</v>
      </c>
      <c r="C18" s="15" t="s">
        <v>959</v>
      </c>
      <c r="D18" s="15" t="n">
        <v>160000</v>
      </c>
      <c r="E18" s="15" t="n">
        <v>5440</v>
      </c>
      <c r="F18" s="15" t="n">
        <v>2880</v>
      </c>
      <c r="G18" s="15" t="n">
        <v>151680</v>
      </c>
      <c r="H18" s="15" t="n">
        <v>0.96</v>
      </c>
      <c r="I18" s="15" t="n">
        <v>0.93</v>
      </c>
      <c r="J18" s="15" t="n">
        <v>0.88</v>
      </c>
      <c r="K18" s="15" t="n">
        <v>0.963</v>
      </c>
      <c r="L18" s="15" t="n">
        <v>0.551</v>
      </c>
      <c r="M18" s="15" t="n">
        <v>0.608</v>
      </c>
      <c r="N18" s="15" t="n">
        <v>0.674</v>
      </c>
      <c r="O18" s="15" t="n">
        <v>0.542</v>
      </c>
      <c r="P18" s="15" t="n">
        <v>0.04</v>
      </c>
      <c r="Q18" s="15" t="n">
        <v>0.07</v>
      </c>
      <c r="R18" s="15" t="n">
        <v>0.12</v>
      </c>
      <c r="S18" s="15" t="n">
        <v>0.037</v>
      </c>
      <c r="T18" s="15" t="n">
        <v>0.074</v>
      </c>
      <c r="U18" s="15" t="n">
        <v>0.097</v>
      </c>
      <c r="V18" s="15" t="n">
        <v>0.165</v>
      </c>
      <c r="W18" s="15" t="n">
        <v>0.071</v>
      </c>
      <c r="X18" s="15" t="n">
        <v>18.65</v>
      </c>
      <c r="Y18" s="15" t="n">
        <v>12.1</v>
      </c>
      <c r="Z18" s="15" t="n">
        <v>28.8</v>
      </c>
      <c r="AA18" s="15" t="n">
        <v>38792</v>
      </c>
      <c r="AB18" s="15" t="n">
        <v>25240</v>
      </c>
      <c r="AC18" s="15" t="n">
        <v>60016</v>
      </c>
      <c r="AD18" s="15" t="n">
        <v>17.8</v>
      </c>
      <c r="AE18" s="15" t="n">
        <v>11.6</v>
      </c>
      <c r="AF18" s="15" t="n">
        <v>27.6</v>
      </c>
      <c r="AG18" s="15" t="n">
        <v>37024</v>
      </c>
      <c r="AH18" s="15" t="n">
        <v>24104</v>
      </c>
      <c r="AI18" s="15" t="n">
        <v>57376</v>
      </c>
      <c r="AJ18" s="15" t="n">
        <v>15.4</v>
      </c>
      <c r="AK18" s="15" t="n">
        <v>10</v>
      </c>
      <c r="AL18" s="15" t="n">
        <v>23.9</v>
      </c>
      <c r="AM18" s="15" t="n">
        <v>32032</v>
      </c>
      <c r="AN18" s="15" t="n">
        <v>20848</v>
      </c>
      <c r="AO18" s="15" t="n">
        <v>49632</v>
      </c>
      <c r="AP18" s="15" t="n">
        <v>19</v>
      </c>
      <c r="AQ18" s="15" t="n">
        <v>12.4</v>
      </c>
      <c r="AR18" s="15" t="n">
        <v>29.5</v>
      </c>
      <c r="AS18" s="15" t="n">
        <v>39520</v>
      </c>
      <c r="AT18" s="15" t="n">
        <v>25720</v>
      </c>
      <c r="AU18" s="15" t="n">
        <v>61280</v>
      </c>
      <c r="AV18" s="15" t="n">
        <v>24000000</v>
      </c>
      <c r="AW18" s="15" t="n">
        <v>816000</v>
      </c>
      <c r="AX18" s="15" t="n">
        <v>432000</v>
      </c>
      <c r="AY18" s="15" t="n">
        <v>22764000</v>
      </c>
      <c r="AZ18" s="15" t="n">
        <v>12000000</v>
      </c>
      <c r="BA18" s="15" t="n">
        <v>408000</v>
      </c>
      <c r="BB18" s="15" t="n">
        <v>216000</v>
      </c>
      <c r="BC18" s="15" t="n">
        <v>11382000</v>
      </c>
      <c r="BD18" s="15" t="n">
        <v>1200000</v>
      </c>
      <c r="BE18" s="15" t="n">
        <v>240000</v>
      </c>
      <c r="BF18" s="15" t="n">
        <v>0</v>
      </c>
      <c r="BG18" s="15" t="n">
        <v>960000</v>
      </c>
      <c r="BH18" s="15" t="n">
        <v>600000</v>
      </c>
      <c r="BI18" s="15" t="n">
        <v>120000</v>
      </c>
      <c r="BJ18" s="15" t="n">
        <v>120000</v>
      </c>
      <c r="BK18" s="15" t="n">
        <v>360000</v>
      </c>
      <c r="BL18" s="15" t="n">
        <v>300000</v>
      </c>
      <c r="BM18" s="15" t="n">
        <v>60000</v>
      </c>
      <c r="BN18" s="15" t="n">
        <v>150000</v>
      </c>
      <c r="BO18" s="15" t="n">
        <v>450000</v>
      </c>
    </row>
    <row r="19" customFormat="false" ht="12.8" hidden="false" customHeight="false" outlineLevel="0" collapsed="false">
      <c r="A19" s="1" t="n">
        <v>15</v>
      </c>
      <c r="B19" s="15" t="s">
        <v>966</v>
      </c>
      <c r="C19" s="15" t="s">
        <v>958</v>
      </c>
      <c r="D19" s="15" t="n">
        <v>55000</v>
      </c>
      <c r="E19" s="15" t="n">
        <v>1870</v>
      </c>
      <c r="F19" s="15" t="n">
        <v>990</v>
      </c>
      <c r="G19" s="15" t="n">
        <v>52140</v>
      </c>
      <c r="H19" s="15" t="n">
        <v>0.952</v>
      </c>
      <c r="I19" s="15" t="n">
        <v>0.93</v>
      </c>
      <c r="J19" s="15" t="n">
        <v>0.89</v>
      </c>
      <c r="K19" s="15" t="n">
        <v>0.955</v>
      </c>
      <c r="L19" s="15" t="n">
        <v>0.62</v>
      </c>
      <c r="M19" s="15" t="n">
        <v>0.68</v>
      </c>
      <c r="N19" s="15" t="n">
        <v>0.78</v>
      </c>
      <c r="O19" s="15" t="n">
        <v>0.6</v>
      </c>
      <c r="P19" s="15" t="n">
        <v>0.048</v>
      </c>
      <c r="Q19" s="15" t="n">
        <v>0.07</v>
      </c>
      <c r="R19" s="15" t="n">
        <v>0.11</v>
      </c>
      <c r="S19" s="15" t="n">
        <v>0.045</v>
      </c>
      <c r="T19" s="15" t="n">
        <v>0.093</v>
      </c>
      <c r="U19" s="15" t="n">
        <v>0.108</v>
      </c>
      <c r="V19" s="15" t="n">
        <v>0.155</v>
      </c>
      <c r="W19" s="15" t="n">
        <v>0.089</v>
      </c>
      <c r="X19" s="15" t="n">
        <v>16.59</v>
      </c>
      <c r="Y19" s="15" t="n">
        <v>10.8</v>
      </c>
      <c r="Z19" s="15" t="n">
        <v>25.7</v>
      </c>
      <c r="AA19" s="15" t="n">
        <v>34507</v>
      </c>
      <c r="AB19" s="15" t="n">
        <v>22464</v>
      </c>
      <c r="AC19" s="15" t="n">
        <v>53456</v>
      </c>
      <c r="AD19" s="15" t="n">
        <v>15.8</v>
      </c>
      <c r="AE19" s="15" t="n">
        <v>10.3</v>
      </c>
      <c r="AF19" s="15" t="n">
        <v>24.5</v>
      </c>
      <c r="AG19" s="15" t="n">
        <v>32864</v>
      </c>
      <c r="AH19" s="15" t="n">
        <v>21408</v>
      </c>
      <c r="AI19" s="15" t="n">
        <v>51008</v>
      </c>
      <c r="AJ19" s="15" t="n">
        <v>13.8</v>
      </c>
      <c r="AK19" s="15" t="n">
        <v>9</v>
      </c>
      <c r="AL19" s="15" t="n">
        <v>21.4</v>
      </c>
      <c r="AM19" s="15" t="n">
        <v>28704</v>
      </c>
      <c r="AN19" s="15" t="n">
        <v>18672</v>
      </c>
      <c r="AO19" s="15" t="n">
        <v>44416</v>
      </c>
      <c r="AP19" s="15" t="n">
        <v>16.9</v>
      </c>
      <c r="AQ19" s="15" t="n">
        <v>11</v>
      </c>
      <c r="AR19" s="15" t="n">
        <v>26.2</v>
      </c>
      <c r="AS19" s="15" t="n">
        <v>35152</v>
      </c>
      <c r="AT19" s="15" t="n">
        <v>22880</v>
      </c>
      <c r="AU19" s="15" t="n">
        <v>54512</v>
      </c>
      <c r="AV19" s="15" t="n">
        <v>3300000</v>
      </c>
      <c r="AW19" s="15" t="n">
        <v>112200</v>
      </c>
      <c r="AX19" s="15" t="n">
        <v>59400</v>
      </c>
      <c r="AY19" s="15" t="n">
        <v>3132600</v>
      </c>
      <c r="AZ19" s="15" t="n">
        <v>1650000</v>
      </c>
      <c r="BA19" s="15" t="n">
        <v>56100</v>
      </c>
      <c r="BB19" s="15" t="n">
        <v>29700</v>
      </c>
      <c r="BC19" s="15" t="n">
        <v>1566300</v>
      </c>
      <c r="BD19" s="15" t="n">
        <v>330000</v>
      </c>
      <c r="BE19" s="15" t="n">
        <v>66000</v>
      </c>
      <c r="BF19" s="15" t="n">
        <v>0</v>
      </c>
      <c r="BG19" s="15" t="n">
        <v>264000</v>
      </c>
      <c r="BH19" s="15" t="n">
        <v>165000</v>
      </c>
      <c r="BI19" s="15" t="n">
        <v>33000</v>
      </c>
      <c r="BJ19" s="15" t="n">
        <v>33000</v>
      </c>
      <c r="BK19" s="15" t="n">
        <v>99000</v>
      </c>
      <c r="BL19" s="15" t="n">
        <v>82500</v>
      </c>
      <c r="BM19" s="15" t="n">
        <v>16500</v>
      </c>
      <c r="BN19" s="15" t="n">
        <v>41250</v>
      </c>
      <c r="BO19" s="15" t="n">
        <v>123750</v>
      </c>
    </row>
    <row r="20" customFormat="false" ht="12.8" hidden="false" customHeight="false" outlineLevel="0" collapsed="false">
      <c r="A20" s="1" t="n">
        <v>16</v>
      </c>
      <c r="B20" s="15" t="s">
        <v>966</v>
      </c>
      <c r="C20" s="15" t="s">
        <v>959</v>
      </c>
      <c r="D20" s="15" t="n">
        <v>27500</v>
      </c>
      <c r="E20" s="15" t="n">
        <v>935</v>
      </c>
      <c r="F20" s="15" t="n">
        <v>495</v>
      </c>
      <c r="G20" s="15" t="n">
        <v>26070</v>
      </c>
      <c r="H20" s="15" t="n">
        <v>0.952</v>
      </c>
      <c r="I20" s="15" t="n">
        <v>0.93</v>
      </c>
      <c r="J20" s="15" t="n">
        <v>0.89</v>
      </c>
      <c r="K20" s="15" t="n">
        <v>0.955</v>
      </c>
      <c r="L20" s="15" t="n">
        <v>0.589</v>
      </c>
      <c r="M20" s="15" t="n">
        <v>0.646</v>
      </c>
      <c r="N20" s="15" t="n">
        <v>0.741</v>
      </c>
      <c r="O20" s="15" t="n">
        <v>0.57</v>
      </c>
      <c r="P20" s="15" t="n">
        <v>0.048</v>
      </c>
      <c r="Q20" s="15" t="n">
        <v>0.07</v>
      </c>
      <c r="R20" s="15" t="n">
        <v>0.11</v>
      </c>
      <c r="S20" s="15" t="n">
        <v>0.045</v>
      </c>
      <c r="T20" s="15" t="n">
        <v>0.093</v>
      </c>
      <c r="U20" s="15" t="n">
        <v>0.108</v>
      </c>
      <c r="V20" s="15" t="n">
        <v>0.155</v>
      </c>
      <c r="W20" s="15" t="n">
        <v>0.089</v>
      </c>
      <c r="X20" s="15" t="n">
        <v>14.1</v>
      </c>
      <c r="Y20" s="15" t="n">
        <v>9.2</v>
      </c>
      <c r="Z20" s="15" t="n">
        <v>21.8</v>
      </c>
      <c r="AA20" s="15" t="n">
        <v>29328</v>
      </c>
      <c r="AB20" s="15" t="n">
        <v>19088</v>
      </c>
      <c r="AC20" s="15" t="n">
        <v>45376</v>
      </c>
      <c r="AD20" s="15" t="n">
        <v>13.4</v>
      </c>
      <c r="AE20" s="15" t="n">
        <v>8.7</v>
      </c>
      <c r="AF20" s="15" t="n">
        <v>20.8</v>
      </c>
      <c r="AG20" s="15" t="n">
        <v>27872</v>
      </c>
      <c r="AH20" s="15" t="n">
        <v>18136</v>
      </c>
      <c r="AI20" s="15" t="n">
        <v>43264</v>
      </c>
      <c r="AJ20" s="15" t="n">
        <v>11.7</v>
      </c>
      <c r="AK20" s="15" t="n">
        <v>7.6</v>
      </c>
      <c r="AL20" s="15" t="n">
        <v>18.2</v>
      </c>
      <c r="AM20" s="15" t="n">
        <v>24336</v>
      </c>
      <c r="AN20" s="15" t="n">
        <v>15840</v>
      </c>
      <c r="AO20" s="15" t="n">
        <v>37728</v>
      </c>
      <c r="AP20" s="15" t="n">
        <v>14.4</v>
      </c>
      <c r="AQ20" s="15" t="n">
        <v>9.4</v>
      </c>
      <c r="AR20" s="15" t="n">
        <v>22.3</v>
      </c>
      <c r="AS20" s="15" t="n">
        <v>29952</v>
      </c>
      <c r="AT20" s="15" t="n">
        <v>19488</v>
      </c>
      <c r="AU20" s="15" t="n">
        <v>46464</v>
      </c>
      <c r="AV20" s="15" t="n">
        <v>1650000</v>
      </c>
      <c r="AW20" s="15" t="n">
        <v>56100</v>
      </c>
      <c r="AX20" s="15" t="n">
        <v>29700</v>
      </c>
      <c r="AY20" s="15" t="n">
        <v>1566300</v>
      </c>
      <c r="AZ20" s="15" t="n">
        <v>825000</v>
      </c>
      <c r="BA20" s="15" t="n">
        <v>28050</v>
      </c>
      <c r="BB20" s="15" t="n">
        <v>14850</v>
      </c>
      <c r="BC20" s="15" t="n">
        <v>783150</v>
      </c>
      <c r="BD20" s="15" t="n">
        <v>165000</v>
      </c>
      <c r="BE20" s="15" t="n">
        <v>33000</v>
      </c>
      <c r="BF20" s="15" t="n">
        <v>0</v>
      </c>
      <c r="BG20" s="15" t="n">
        <v>132000</v>
      </c>
      <c r="BH20" s="15" t="n">
        <v>82500</v>
      </c>
      <c r="BI20" s="15" t="n">
        <v>16500</v>
      </c>
      <c r="BJ20" s="15" t="n">
        <v>16500</v>
      </c>
      <c r="BK20" s="15" t="n">
        <v>49500</v>
      </c>
      <c r="BL20" s="15" t="n">
        <v>41250</v>
      </c>
      <c r="BM20" s="15" t="n">
        <v>8250</v>
      </c>
      <c r="BN20" s="15" t="n">
        <v>20625</v>
      </c>
      <c r="BO20" s="15" t="n">
        <v>61875</v>
      </c>
    </row>
    <row r="21" customFormat="false" ht="12.8" hidden="false" customHeight="false" outlineLevel="0" collapsed="false">
      <c r="A21" s="1" t="n">
        <v>17</v>
      </c>
      <c r="B21" s="15" t="s">
        <v>967</v>
      </c>
      <c r="C21" s="15" t="s">
        <v>958</v>
      </c>
      <c r="D21" s="15" t="n">
        <v>45000</v>
      </c>
      <c r="E21" s="15" t="n">
        <v>1530</v>
      </c>
      <c r="F21" s="15" t="n">
        <v>810</v>
      </c>
      <c r="G21" s="15" t="n">
        <v>42660</v>
      </c>
      <c r="H21" s="15" t="n">
        <v>0.976</v>
      </c>
      <c r="I21" s="15" t="n">
        <v>0.95</v>
      </c>
      <c r="J21" s="15" t="n">
        <v>0.92</v>
      </c>
      <c r="K21" s="15" t="n">
        <v>0.978</v>
      </c>
      <c r="L21" s="15" t="n">
        <v>0.6</v>
      </c>
      <c r="M21" s="15" t="n">
        <v>0.66</v>
      </c>
      <c r="N21" s="15" t="n">
        <v>0.75</v>
      </c>
      <c r="O21" s="15" t="n">
        <v>0.58</v>
      </c>
      <c r="P21" s="15" t="n">
        <v>0.024</v>
      </c>
      <c r="Q21" s="15" t="n">
        <v>0.05</v>
      </c>
      <c r="R21" s="15" t="n">
        <v>0.08</v>
      </c>
      <c r="S21" s="15" t="n">
        <v>0.022</v>
      </c>
      <c r="T21" s="15" t="n">
        <v>0.046</v>
      </c>
      <c r="U21" s="15" t="n">
        <v>0.057</v>
      </c>
      <c r="V21" s="15" t="n">
        <v>0.104</v>
      </c>
      <c r="W21" s="15" t="n">
        <v>0.042</v>
      </c>
      <c r="X21" s="15" t="n">
        <v>29.21</v>
      </c>
      <c r="Y21" s="15" t="n">
        <v>19</v>
      </c>
      <c r="Z21" s="15" t="n">
        <v>45.3</v>
      </c>
      <c r="AA21" s="15" t="n">
        <v>60757</v>
      </c>
      <c r="AB21" s="15" t="n">
        <v>39520</v>
      </c>
      <c r="AC21" s="15" t="n">
        <v>94224</v>
      </c>
      <c r="AD21" s="15" t="n">
        <v>27.7</v>
      </c>
      <c r="AE21" s="15" t="n">
        <v>18</v>
      </c>
      <c r="AF21" s="15" t="n">
        <v>43</v>
      </c>
      <c r="AG21" s="15" t="n">
        <v>57616</v>
      </c>
      <c r="AH21" s="15" t="n">
        <v>37488</v>
      </c>
      <c r="AI21" s="15" t="n">
        <v>89424</v>
      </c>
      <c r="AJ21" s="15" t="n">
        <v>25.3</v>
      </c>
      <c r="AK21" s="15" t="n">
        <v>16.4</v>
      </c>
      <c r="AL21" s="15" t="n">
        <v>39.2</v>
      </c>
      <c r="AM21" s="15" t="n">
        <v>52624</v>
      </c>
      <c r="AN21" s="15" t="n">
        <v>34240</v>
      </c>
      <c r="AO21" s="15" t="n">
        <v>81728</v>
      </c>
      <c r="AP21" s="15" t="n">
        <v>29.8</v>
      </c>
      <c r="AQ21" s="15" t="n">
        <v>19.4</v>
      </c>
      <c r="AR21" s="15" t="n">
        <v>46.2</v>
      </c>
      <c r="AS21" s="15" t="n">
        <v>61984</v>
      </c>
      <c r="AT21" s="15" t="n">
        <v>40320</v>
      </c>
      <c r="AU21" s="15" t="n">
        <v>96288</v>
      </c>
      <c r="AV21" s="15" t="n">
        <v>2700000</v>
      </c>
      <c r="AW21" s="15" t="n">
        <v>91800</v>
      </c>
      <c r="AX21" s="15" t="n">
        <v>48600</v>
      </c>
      <c r="AY21" s="15" t="n">
        <v>2554200</v>
      </c>
      <c r="AZ21" s="15" t="n">
        <v>1350000</v>
      </c>
      <c r="BA21" s="15" t="n">
        <v>45900</v>
      </c>
      <c r="BB21" s="15" t="n">
        <v>24300</v>
      </c>
      <c r="BC21" s="15" t="n">
        <v>1280700</v>
      </c>
      <c r="BD21" s="15" t="n">
        <v>270000</v>
      </c>
      <c r="BE21" s="15" t="n">
        <v>54000</v>
      </c>
      <c r="BF21" s="15" t="n">
        <v>0</v>
      </c>
      <c r="BG21" s="15" t="n">
        <v>216000</v>
      </c>
      <c r="BH21" s="15" t="n">
        <v>135000</v>
      </c>
      <c r="BI21" s="15" t="n">
        <v>27000</v>
      </c>
      <c r="BJ21" s="15" t="n">
        <v>27000</v>
      </c>
      <c r="BK21" s="15" t="n">
        <v>81000</v>
      </c>
      <c r="BL21" s="15" t="n">
        <v>67500</v>
      </c>
      <c r="BM21" s="15" t="n">
        <v>13500</v>
      </c>
      <c r="BN21" s="15" t="n">
        <v>33750</v>
      </c>
      <c r="BO21" s="15" t="n">
        <v>101250</v>
      </c>
    </row>
    <row r="22" customFormat="false" ht="12.8" hidden="false" customHeight="false" outlineLevel="0" collapsed="false">
      <c r="A22" s="1" t="n">
        <v>18</v>
      </c>
      <c r="B22" s="15" t="s">
        <v>967</v>
      </c>
      <c r="C22" s="15" t="s">
        <v>959</v>
      </c>
      <c r="D22" s="15" t="n">
        <v>22500</v>
      </c>
      <c r="E22" s="15" t="n">
        <v>765</v>
      </c>
      <c r="F22" s="15" t="n">
        <v>405</v>
      </c>
      <c r="G22" s="15" t="n">
        <v>21330</v>
      </c>
      <c r="H22" s="15" t="n">
        <v>0.976</v>
      </c>
      <c r="I22" s="15" t="n">
        <v>0.95</v>
      </c>
      <c r="J22" s="15" t="n">
        <v>0.92</v>
      </c>
      <c r="K22" s="15" t="n">
        <v>0.978</v>
      </c>
      <c r="L22" s="15" t="n">
        <v>0.57</v>
      </c>
      <c r="M22" s="15" t="n">
        <v>0.627</v>
      </c>
      <c r="N22" s="15" t="n">
        <v>0.712</v>
      </c>
      <c r="O22" s="15" t="n">
        <v>0.55</v>
      </c>
      <c r="P22" s="15" t="n">
        <v>0.024</v>
      </c>
      <c r="Q22" s="15" t="n">
        <v>0.05</v>
      </c>
      <c r="R22" s="15" t="n">
        <v>0.08</v>
      </c>
      <c r="S22" s="15" t="n">
        <v>0.022</v>
      </c>
      <c r="T22" s="15" t="n">
        <v>0.046</v>
      </c>
      <c r="U22" s="15" t="n">
        <v>0.057</v>
      </c>
      <c r="V22" s="15" t="n">
        <v>0.104</v>
      </c>
      <c r="W22" s="15" t="n">
        <v>0.042</v>
      </c>
      <c r="X22" s="15" t="n">
        <v>24.83</v>
      </c>
      <c r="Y22" s="15" t="n">
        <v>16.1</v>
      </c>
      <c r="Z22" s="15" t="n">
        <v>38.5</v>
      </c>
      <c r="AA22" s="15" t="n">
        <v>51646</v>
      </c>
      <c r="AB22" s="15" t="n">
        <v>33608</v>
      </c>
      <c r="AC22" s="15" t="n">
        <v>80112</v>
      </c>
      <c r="AD22" s="15" t="n">
        <v>23.6</v>
      </c>
      <c r="AE22" s="15" t="n">
        <v>15.3</v>
      </c>
      <c r="AF22" s="15" t="n">
        <v>36.6</v>
      </c>
      <c r="AG22" s="15" t="n">
        <v>49088</v>
      </c>
      <c r="AH22" s="15" t="n">
        <v>31952</v>
      </c>
      <c r="AI22" s="15" t="n">
        <v>76336</v>
      </c>
      <c r="AJ22" s="15" t="n">
        <v>21.5</v>
      </c>
      <c r="AK22" s="15" t="n">
        <v>14</v>
      </c>
      <c r="AL22" s="15" t="n">
        <v>33.4</v>
      </c>
      <c r="AM22" s="15" t="n">
        <v>44720</v>
      </c>
      <c r="AN22" s="15" t="n">
        <v>29120</v>
      </c>
      <c r="AO22" s="15" t="n">
        <v>69440</v>
      </c>
      <c r="AP22" s="15" t="n">
        <v>25.3</v>
      </c>
      <c r="AQ22" s="15" t="n">
        <v>16.5</v>
      </c>
      <c r="AR22" s="15" t="n">
        <v>39.3</v>
      </c>
      <c r="AS22" s="15" t="n">
        <v>52624</v>
      </c>
      <c r="AT22" s="15" t="n">
        <v>34240</v>
      </c>
      <c r="AU22" s="15" t="n">
        <v>81792</v>
      </c>
      <c r="AV22" s="15" t="n">
        <v>1350000</v>
      </c>
      <c r="AW22" s="15" t="n">
        <v>45900</v>
      </c>
      <c r="AX22" s="15" t="n">
        <v>24300</v>
      </c>
      <c r="AY22" s="15" t="n">
        <v>1277100</v>
      </c>
      <c r="AZ22" s="15" t="n">
        <v>675000</v>
      </c>
      <c r="BA22" s="15" t="n">
        <v>22950</v>
      </c>
      <c r="BB22" s="15" t="n">
        <v>12150</v>
      </c>
      <c r="BC22" s="15" t="n">
        <v>640350</v>
      </c>
      <c r="BD22" s="15" t="n">
        <v>135000</v>
      </c>
      <c r="BE22" s="15" t="n">
        <v>27000</v>
      </c>
      <c r="BF22" s="15" t="n">
        <v>0</v>
      </c>
      <c r="BG22" s="15" t="n">
        <v>108000</v>
      </c>
      <c r="BH22" s="15" t="n">
        <v>67500</v>
      </c>
      <c r="BI22" s="15" t="n">
        <v>13500</v>
      </c>
      <c r="BJ22" s="15" t="n">
        <v>13500</v>
      </c>
      <c r="BK22" s="15" t="n">
        <v>40500</v>
      </c>
      <c r="BL22" s="15" t="n">
        <v>33750</v>
      </c>
      <c r="BM22" s="15" t="n">
        <v>6750</v>
      </c>
      <c r="BN22" s="15" t="n">
        <v>16875</v>
      </c>
      <c r="BO22" s="15" t="n">
        <v>50625</v>
      </c>
    </row>
    <row r="23" customFormat="false" ht="12.8" hidden="false" customHeight="false" outlineLevel="0" collapsed="false">
      <c r="A23" s="1" t="n">
        <v>19</v>
      </c>
      <c r="B23" s="15" t="s">
        <v>968</v>
      </c>
      <c r="C23" s="15" t="s">
        <v>958</v>
      </c>
      <c r="D23" s="15" t="n">
        <v>320000</v>
      </c>
      <c r="E23" s="15" t="n">
        <v>10880</v>
      </c>
      <c r="F23" s="15" t="n">
        <v>5760</v>
      </c>
      <c r="G23" s="15" t="n">
        <v>303360</v>
      </c>
      <c r="H23" s="15" t="n">
        <v>0.98</v>
      </c>
      <c r="I23" s="15" t="n">
        <v>0.96</v>
      </c>
      <c r="J23" s="15" t="n">
        <v>0.93</v>
      </c>
      <c r="K23" s="15" t="n">
        <v>0.982</v>
      </c>
      <c r="L23" s="15" t="n">
        <v>0.605</v>
      </c>
      <c r="M23" s="15" t="n">
        <v>0.665</v>
      </c>
      <c r="N23" s="15" t="n">
        <v>0.74</v>
      </c>
      <c r="O23" s="15" t="n">
        <v>0.59</v>
      </c>
      <c r="P23" s="15" t="n">
        <v>0.02</v>
      </c>
      <c r="Q23" s="15" t="n">
        <v>0.04</v>
      </c>
      <c r="R23" s="15" t="n">
        <v>0.07</v>
      </c>
      <c r="S23" s="15" t="n">
        <v>0.018</v>
      </c>
      <c r="T23" s="15" t="n">
        <v>0.035</v>
      </c>
      <c r="U23" s="15" t="n">
        <v>0.042</v>
      </c>
      <c r="V23" s="15" t="n">
        <v>0.088</v>
      </c>
      <c r="W23" s="15" t="n">
        <v>0.034</v>
      </c>
      <c r="X23" s="15" t="n">
        <v>41.16</v>
      </c>
      <c r="Y23" s="15" t="n">
        <v>26.8</v>
      </c>
      <c r="Z23" s="15" t="n">
        <v>63.8</v>
      </c>
      <c r="AA23" s="15" t="n">
        <v>85613</v>
      </c>
      <c r="AB23" s="15" t="n">
        <v>55680</v>
      </c>
      <c r="AC23" s="15" t="n">
        <v>132704</v>
      </c>
      <c r="AD23" s="15" t="n">
        <v>39.1</v>
      </c>
      <c r="AE23" s="15" t="n">
        <v>25.4</v>
      </c>
      <c r="AF23" s="15" t="n">
        <v>60.6</v>
      </c>
      <c r="AG23" s="15" t="n">
        <v>81328</v>
      </c>
      <c r="AH23" s="15" t="n">
        <v>52912</v>
      </c>
      <c r="AI23" s="15" t="n">
        <v>126208</v>
      </c>
      <c r="AJ23" s="15" t="n">
        <v>35.8</v>
      </c>
      <c r="AK23" s="15" t="n">
        <v>23.3</v>
      </c>
      <c r="AL23" s="15" t="n">
        <v>55.6</v>
      </c>
      <c r="AM23" s="15" t="n">
        <v>74464</v>
      </c>
      <c r="AN23" s="15" t="n">
        <v>48448</v>
      </c>
      <c r="AO23" s="15" t="n">
        <v>115552</v>
      </c>
      <c r="AP23" s="15" t="n">
        <v>42</v>
      </c>
      <c r="AQ23" s="15" t="n">
        <v>27.3</v>
      </c>
      <c r="AR23" s="15" t="n">
        <v>65.1</v>
      </c>
      <c r="AS23" s="15" t="n">
        <v>87360</v>
      </c>
      <c r="AT23" s="15" t="n">
        <v>56832</v>
      </c>
      <c r="AU23" s="15" t="n">
        <v>135456</v>
      </c>
      <c r="AV23" s="15" t="n">
        <v>104000000</v>
      </c>
      <c r="AW23" s="15" t="n">
        <v>3536000</v>
      </c>
      <c r="AX23" s="15" t="n">
        <v>1872000</v>
      </c>
      <c r="AY23" s="15" t="n">
        <v>98566400</v>
      </c>
      <c r="AZ23" s="15" t="n">
        <v>52000000</v>
      </c>
      <c r="BA23" s="15" t="n">
        <v>1768000</v>
      </c>
      <c r="BB23" s="15" t="n">
        <v>936000</v>
      </c>
      <c r="BC23" s="15" t="n">
        <v>49283200</v>
      </c>
      <c r="BD23" s="15" t="n">
        <v>5200000</v>
      </c>
      <c r="BE23" s="15" t="n">
        <v>1040000</v>
      </c>
      <c r="BF23" s="15" t="n">
        <v>0</v>
      </c>
      <c r="BG23" s="15" t="n">
        <v>4160000</v>
      </c>
      <c r="BH23" s="15" t="n">
        <v>2600000</v>
      </c>
      <c r="BI23" s="15" t="n">
        <v>520000</v>
      </c>
      <c r="BJ23" s="15" t="n">
        <v>520000</v>
      </c>
      <c r="BK23" s="15" t="n">
        <v>1560000</v>
      </c>
      <c r="BL23" s="15" t="n">
        <v>1300000</v>
      </c>
      <c r="BM23" s="15" t="n">
        <v>260000</v>
      </c>
      <c r="BN23" s="15" t="n">
        <v>650000</v>
      </c>
      <c r="BO23" s="15" t="n">
        <v>1950000</v>
      </c>
    </row>
    <row r="24" customFormat="false" ht="12.8" hidden="false" customHeight="false" outlineLevel="0" collapsed="false">
      <c r="A24" s="1" t="n">
        <v>20</v>
      </c>
      <c r="B24" s="15" t="s">
        <v>968</v>
      </c>
      <c r="C24" s="15" t="s">
        <v>959</v>
      </c>
      <c r="D24" s="15" t="n">
        <v>160000</v>
      </c>
      <c r="E24" s="15" t="n">
        <v>5440</v>
      </c>
      <c r="F24" s="15" t="n">
        <v>2880</v>
      </c>
      <c r="G24" s="15" t="n">
        <v>151680</v>
      </c>
      <c r="H24" s="15" t="n">
        <v>0.98</v>
      </c>
      <c r="I24" s="15" t="n">
        <v>0.96</v>
      </c>
      <c r="J24" s="15" t="n">
        <v>0.93</v>
      </c>
      <c r="K24" s="15" t="n">
        <v>0.982</v>
      </c>
      <c r="L24" s="15" t="n">
        <v>0.575</v>
      </c>
      <c r="M24" s="15" t="n">
        <v>0.632</v>
      </c>
      <c r="N24" s="15" t="n">
        <v>0.703</v>
      </c>
      <c r="O24" s="15" t="n">
        <v>0.56</v>
      </c>
      <c r="P24" s="15" t="n">
        <v>0.02</v>
      </c>
      <c r="Q24" s="15" t="n">
        <v>0.04</v>
      </c>
      <c r="R24" s="15" t="n">
        <v>0.07</v>
      </c>
      <c r="S24" s="15" t="n">
        <v>0.018</v>
      </c>
      <c r="T24" s="15" t="n">
        <v>0.035</v>
      </c>
      <c r="U24" s="15" t="n">
        <v>0.042</v>
      </c>
      <c r="V24" s="15" t="n">
        <v>0.088</v>
      </c>
      <c r="W24" s="15" t="n">
        <v>0.034</v>
      </c>
      <c r="X24" s="15" t="n">
        <v>34.99</v>
      </c>
      <c r="Y24" s="15" t="n">
        <v>22.7</v>
      </c>
      <c r="Z24" s="15" t="n">
        <v>54.2</v>
      </c>
      <c r="AA24" s="15" t="n">
        <v>72779</v>
      </c>
      <c r="AB24" s="15" t="n">
        <v>47360</v>
      </c>
      <c r="AC24" s="15" t="n">
        <v>112768</v>
      </c>
      <c r="AD24" s="15" t="n">
        <v>33.2</v>
      </c>
      <c r="AE24" s="15" t="n">
        <v>21.6</v>
      </c>
      <c r="AF24" s="15" t="n">
        <v>51.5</v>
      </c>
      <c r="AG24" s="15" t="n">
        <v>69056</v>
      </c>
      <c r="AH24" s="15" t="n">
        <v>44912</v>
      </c>
      <c r="AI24" s="15" t="n">
        <v>107168</v>
      </c>
      <c r="AJ24" s="15" t="n">
        <v>30.4</v>
      </c>
      <c r="AK24" s="15" t="n">
        <v>19.8</v>
      </c>
      <c r="AL24" s="15" t="n">
        <v>47.2</v>
      </c>
      <c r="AM24" s="15" t="n">
        <v>63232</v>
      </c>
      <c r="AN24" s="15" t="n">
        <v>41120</v>
      </c>
      <c r="AO24" s="15" t="n">
        <v>98176</v>
      </c>
      <c r="AP24" s="15" t="n">
        <v>35.7</v>
      </c>
      <c r="AQ24" s="15" t="n">
        <v>23.2</v>
      </c>
      <c r="AR24" s="15" t="n">
        <v>55.3</v>
      </c>
      <c r="AS24" s="15" t="n">
        <v>74256</v>
      </c>
      <c r="AT24" s="15" t="n">
        <v>48288</v>
      </c>
      <c r="AU24" s="15" t="n">
        <v>115136</v>
      </c>
      <c r="AV24" s="15" t="n">
        <v>52000000</v>
      </c>
      <c r="AW24" s="15" t="n">
        <v>1768000</v>
      </c>
      <c r="AX24" s="15" t="n">
        <v>936000</v>
      </c>
      <c r="AY24" s="15" t="n">
        <v>49283200</v>
      </c>
      <c r="AZ24" s="15" t="n">
        <v>26000000</v>
      </c>
      <c r="BA24" s="15" t="n">
        <v>884000</v>
      </c>
      <c r="BB24" s="15" t="n">
        <v>468000</v>
      </c>
      <c r="BC24" s="15" t="n">
        <v>24641600</v>
      </c>
      <c r="BD24" s="15" t="n">
        <v>2600000</v>
      </c>
      <c r="BE24" s="15" t="n">
        <v>520000</v>
      </c>
      <c r="BF24" s="15" t="n">
        <v>0</v>
      </c>
      <c r="BG24" s="15" t="n">
        <v>2080000</v>
      </c>
      <c r="BH24" s="15" t="n">
        <v>1300000</v>
      </c>
      <c r="BI24" s="15" t="n">
        <v>260000</v>
      </c>
      <c r="BJ24" s="15" t="n">
        <v>260000</v>
      </c>
      <c r="BK24" s="15" t="n">
        <v>780000</v>
      </c>
      <c r="BL24" s="15" t="n">
        <v>650000</v>
      </c>
      <c r="BM24" s="15" t="n">
        <v>130000</v>
      </c>
      <c r="BN24" s="15" t="n">
        <v>325000</v>
      </c>
      <c r="BO24" s="15" t="n">
        <v>975000</v>
      </c>
    </row>
    <row r="25" customFormat="false" ht="12.8" hidden="false" customHeight="false" outlineLevel="0" collapsed="false">
      <c r="A25" s="1" t="n">
        <v>21</v>
      </c>
      <c r="B25" s="15" t="s">
        <v>969</v>
      </c>
      <c r="C25" s="15" t="s">
        <v>958</v>
      </c>
      <c r="D25" s="15" t="n">
        <v>220000</v>
      </c>
      <c r="E25" s="15" t="n">
        <v>7480</v>
      </c>
      <c r="F25" s="15" t="n">
        <v>3960</v>
      </c>
      <c r="G25" s="15" t="n">
        <v>208560</v>
      </c>
      <c r="H25" s="15" t="n">
        <v>0.98</v>
      </c>
      <c r="I25" s="15" t="n">
        <v>0.96</v>
      </c>
      <c r="J25" s="15" t="n">
        <v>0.93</v>
      </c>
      <c r="K25" s="15" t="n">
        <v>0.982</v>
      </c>
      <c r="L25" s="15" t="n">
        <v>0.605</v>
      </c>
      <c r="M25" s="15" t="n">
        <v>0.665</v>
      </c>
      <c r="N25" s="15" t="n">
        <v>0.74</v>
      </c>
      <c r="O25" s="15" t="n">
        <v>0.59</v>
      </c>
      <c r="P25" s="15" t="n">
        <v>0.02</v>
      </c>
      <c r="Q25" s="15" t="n">
        <v>0.04</v>
      </c>
      <c r="R25" s="15" t="n">
        <v>0.07</v>
      </c>
      <c r="S25" s="15" t="n">
        <v>0.018</v>
      </c>
      <c r="T25" s="15" t="n">
        <v>0.026</v>
      </c>
      <c r="U25" s="15" t="n">
        <v>0.031</v>
      </c>
      <c r="V25" s="15" t="n">
        <v>0.065</v>
      </c>
      <c r="W25" s="15" t="n">
        <v>0.024</v>
      </c>
      <c r="X25" s="15" t="n">
        <v>53.09</v>
      </c>
      <c r="Y25" s="15" t="n">
        <v>34.5</v>
      </c>
      <c r="Z25" s="15" t="n">
        <v>82.3</v>
      </c>
      <c r="AA25" s="15" t="n">
        <v>110427</v>
      </c>
      <c r="AB25" s="15" t="n">
        <v>71840</v>
      </c>
      <c r="AC25" s="15" t="n">
        <v>171184</v>
      </c>
      <c r="AD25" s="15" t="n">
        <v>50.4</v>
      </c>
      <c r="AE25" s="15" t="n">
        <v>32.8</v>
      </c>
      <c r="AF25" s="15" t="n">
        <v>78.2</v>
      </c>
      <c r="AG25" s="15" t="n">
        <v>104832</v>
      </c>
      <c r="AH25" s="15" t="n">
        <v>68160</v>
      </c>
      <c r="AI25" s="15" t="n">
        <v>162432</v>
      </c>
      <c r="AJ25" s="15" t="n">
        <v>46.2</v>
      </c>
      <c r="AK25" s="15" t="n">
        <v>30</v>
      </c>
      <c r="AL25" s="15" t="n">
        <v>71.6</v>
      </c>
      <c r="AM25" s="15" t="n">
        <v>96096</v>
      </c>
      <c r="AN25" s="15" t="n">
        <v>62496</v>
      </c>
      <c r="AO25" s="15" t="n">
        <v>148992</v>
      </c>
      <c r="AP25" s="15" t="n">
        <v>54.2</v>
      </c>
      <c r="AQ25" s="15" t="n">
        <v>35.2</v>
      </c>
      <c r="AR25" s="15" t="n">
        <v>84</v>
      </c>
      <c r="AS25" s="15" t="n">
        <v>112736</v>
      </c>
      <c r="AT25" s="15" t="n">
        <v>73312</v>
      </c>
      <c r="AU25" s="15" t="n">
        <v>174848</v>
      </c>
      <c r="AV25" s="15" t="n">
        <v>66000000</v>
      </c>
      <c r="AW25" s="15" t="n">
        <v>2244000</v>
      </c>
      <c r="AX25" s="15" t="n">
        <v>1188000</v>
      </c>
      <c r="AY25" s="15" t="n">
        <v>62598000</v>
      </c>
      <c r="AZ25" s="15" t="n">
        <v>33000000</v>
      </c>
      <c r="BA25" s="15" t="n">
        <v>1122000</v>
      </c>
      <c r="BB25" s="15" t="n">
        <v>594000</v>
      </c>
      <c r="BC25" s="15" t="n">
        <v>31299000</v>
      </c>
      <c r="BD25" s="15" t="n">
        <v>3300000</v>
      </c>
      <c r="BE25" s="15" t="n">
        <v>660000</v>
      </c>
      <c r="BF25" s="15" t="n">
        <v>0</v>
      </c>
      <c r="BG25" s="15" t="n">
        <v>2640000</v>
      </c>
      <c r="BH25" s="15" t="n">
        <v>1650000</v>
      </c>
      <c r="BI25" s="15" t="n">
        <v>330000</v>
      </c>
      <c r="BJ25" s="15" t="n">
        <v>330000</v>
      </c>
      <c r="BK25" s="15" t="n">
        <v>990000</v>
      </c>
      <c r="BL25" s="15" t="n">
        <v>825000</v>
      </c>
      <c r="BM25" s="15" t="n">
        <v>165000</v>
      </c>
      <c r="BN25" s="15" t="n">
        <v>412500</v>
      </c>
      <c r="BO25" s="15" t="n">
        <v>1237500</v>
      </c>
    </row>
    <row r="26" customFormat="false" ht="12.8" hidden="false" customHeight="false" outlineLevel="0" collapsed="false">
      <c r="A26" s="1" t="n">
        <v>22</v>
      </c>
      <c r="B26" s="15" t="s">
        <v>969</v>
      </c>
      <c r="C26" s="15" t="s">
        <v>959</v>
      </c>
      <c r="D26" s="15" t="n">
        <v>110000</v>
      </c>
      <c r="E26" s="15" t="n">
        <v>3740</v>
      </c>
      <c r="F26" s="15" t="n">
        <v>1980</v>
      </c>
      <c r="G26" s="15" t="n">
        <v>104280</v>
      </c>
      <c r="H26" s="15" t="n">
        <v>0.98</v>
      </c>
      <c r="I26" s="15" t="n">
        <v>0.96</v>
      </c>
      <c r="J26" s="15" t="n">
        <v>0.93</v>
      </c>
      <c r="K26" s="15" t="n">
        <v>0.982</v>
      </c>
      <c r="L26" s="15" t="n">
        <v>0.575</v>
      </c>
      <c r="M26" s="15" t="n">
        <v>0.632</v>
      </c>
      <c r="N26" s="15" t="n">
        <v>0.703</v>
      </c>
      <c r="O26" s="15" t="n">
        <v>0.56</v>
      </c>
      <c r="P26" s="15" t="n">
        <v>0.02</v>
      </c>
      <c r="Q26" s="15" t="n">
        <v>0.04</v>
      </c>
      <c r="R26" s="15" t="n">
        <v>0.07</v>
      </c>
      <c r="S26" s="15" t="n">
        <v>0.018</v>
      </c>
      <c r="T26" s="15" t="n">
        <v>0.026</v>
      </c>
      <c r="U26" s="15" t="n">
        <v>0.031</v>
      </c>
      <c r="V26" s="15" t="n">
        <v>0.065</v>
      </c>
      <c r="W26" s="15" t="n">
        <v>0.024</v>
      </c>
      <c r="X26" s="15" t="n">
        <v>45.13</v>
      </c>
      <c r="Y26" s="15" t="n">
        <v>29.3</v>
      </c>
      <c r="Z26" s="15" t="n">
        <v>69.9</v>
      </c>
      <c r="AA26" s="15" t="n">
        <v>93870</v>
      </c>
      <c r="AB26" s="15" t="n">
        <v>61040</v>
      </c>
      <c r="AC26" s="15" t="n">
        <v>145392</v>
      </c>
      <c r="AD26" s="15" t="n">
        <v>42.9</v>
      </c>
      <c r="AE26" s="15" t="n">
        <v>27.9</v>
      </c>
      <c r="AF26" s="15" t="n">
        <v>66.5</v>
      </c>
      <c r="AG26" s="15" t="n">
        <v>89232</v>
      </c>
      <c r="AH26" s="15" t="n">
        <v>58008</v>
      </c>
      <c r="AI26" s="15" t="n">
        <v>138432</v>
      </c>
      <c r="AJ26" s="15" t="n">
        <v>39.3</v>
      </c>
      <c r="AK26" s="15" t="n">
        <v>25.5</v>
      </c>
      <c r="AL26" s="15" t="n">
        <v>60.9</v>
      </c>
      <c r="AM26" s="15" t="n">
        <v>81744</v>
      </c>
      <c r="AN26" s="15" t="n">
        <v>53184</v>
      </c>
      <c r="AO26" s="15" t="n">
        <v>126912</v>
      </c>
      <c r="AP26" s="15" t="n">
        <v>46</v>
      </c>
      <c r="AQ26" s="15" t="n">
        <v>29.9</v>
      </c>
      <c r="AR26" s="15" t="n">
        <v>71.4</v>
      </c>
      <c r="AS26" s="15" t="n">
        <v>95680</v>
      </c>
      <c r="AT26" s="15" t="n">
        <v>62240</v>
      </c>
      <c r="AU26" s="15" t="n">
        <v>148480</v>
      </c>
      <c r="AV26" s="15" t="n">
        <v>33000000</v>
      </c>
      <c r="AW26" s="15" t="n">
        <v>1122000</v>
      </c>
      <c r="AX26" s="15" t="n">
        <v>594000</v>
      </c>
      <c r="AY26" s="15" t="n">
        <v>31299000</v>
      </c>
      <c r="AZ26" s="15" t="n">
        <v>16500000</v>
      </c>
      <c r="BA26" s="15" t="n">
        <v>561000</v>
      </c>
      <c r="BB26" s="15" t="n">
        <v>297000</v>
      </c>
      <c r="BC26" s="15" t="n">
        <v>15649500</v>
      </c>
      <c r="BD26" s="15" t="n">
        <v>1650000</v>
      </c>
      <c r="BE26" s="15" t="n">
        <v>330000</v>
      </c>
      <c r="BF26" s="15" t="n">
        <v>0</v>
      </c>
      <c r="BG26" s="15" t="n">
        <v>1320000</v>
      </c>
      <c r="BH26" s="15" t="n">
        <v>825000</v>
      </c>
      <c r="BI26" s="15" t="n">
        <v>165000</v>
      </c>
      <c r="BJ26" s="15" t="n">
        <v>165000</v>
      </c>
      <c r="BK26" s="15" t="n">
        <v>495000</v>
      </c>
      <c r="BL26" s="15" t="n">
        <v>412500</v>
      </c>
      <c r="BM26" s="15" t="n">
        <v>82500</v>
      </c>
      <c r="BN26" s="15" t="n">
        <v>206250</v>
      </c>
      <c r="BO26" s="15" t="n">
        <v>618750</v>
      </c>
    </row>
    <row r="27" customFormat="false" ht="12.8" hidden="false" customHeight="false" outlineLevel="0" collapsed="false">
      <c r="A27" s="1" t="n">
        <v>23</v>
      </c>
      <c r="B27" s="15" t="s">
        <v>970</v>
      </c>
      <c r="C27" s="15" t="s">
        <v>958</v>
      </c>
      <c r="D27" s="15" t="n">
        <v>140000</v>
      </c>
      <c r="E27" s="15" t="n">
        <v>4760</v>
      </c>
      <c r="F27" s="15" t="n">
        <v>2520</v>
      </c>
      <c r="G27" s="15" t="n">
        <v>127720</v>
      </c>
      <c r="H27" s="15" t="n">
        <v>0.98</v>
      </c>
      <c r="I27" s="15" t="n">
        <v>0.96</v>
      </c>
      <c r="J27" s="15" t="n">
        <v>0.93</v>
      </c>
      <c r="K27" s="15" t="n">
        <v>0.982</v>
      </c>
      <c r="L27" s="15" t="n">
        <v>0.605</v>
      </c>
      <c r="M27" s="15" t="n">
        <v>0.665</v>
      </c>
      <c r="N27" s="15" t="n">
        <v>0.74</v>
      </c>
      <c r="O27" s="15" t="n">
        <v>0.59</v>
      </c>
      <c r="P27" s="15" t="n">
        <v>0.02</v>
      </c>
      <c r="Q27" s="15" t="n">
        <v>0.04</v>
      </c>
      <c r="R27" s="15" t="n">
        <v>0.07</v>
      </c>
      <c r="S27" s="15" t="n">
        <v>0.018</v>
      </c>
      <c r="T27" s="15" t="n">
        <v>0.036</v>
      </c>
      <c r="U27" s="15" t="n">
        <v>0.043</v>
      </c>
      <c r="V27" s="15" t="n">
        <v>0.09</v>
      </c>
      <c r="W27" s="15" t="n">
        <v>0.035</v>
      </c>
      <c r="X27" s="15" t="n">
        <v>26.24</v>
      </c>
      <c r="Y27" s="15" t="n">
        <v>17.1</v>
      </c>
      <c r="Z27" s="15" t="n">
        <v>40.7</v>
      </c>
      <c r="AA27" s="15" t="n">
        <v>54579</v>
      </c>
      <c r="AB27" s="15" t="n">
        <v>35520</v>
      </c>
      <c r="AC27" s="15" t="n">
        <v>84656</v>
      </c>
      <c r="AD27" s="15" t="n">
        <v>24.9</v>
      </c>
      <c r="AE27" s="15" t="n">
        <v>16.2</v>
      </c>
      <c r="AF27" s="15" t="n">
        <v>38.6</v>
      </c>
      <c r="AG27" s="15" t="n">
        <v>51792</v>
      </c>
      <c r="AH27" s="15" t="n">
        <v>33712</v>
      </c>
      <c r="AI27" s="15" t="n">
        <v>80352</v>
      </c>
      <c r="AJ27" s="15" t="n">
        <v>22.8</v>
      </c>
      <c r="AK27" s="15" t="n">
        <v>14.8</v>
      </c>
      <c r="AL27" s="15" t="n">
        <v>35.3</v>
      </c>
      <c r="AM27" s="15" t="n">
        <v>47424</v>
      </c>
      <c r="AN27" s="15" t="n">
        <v>30864</v>
      </c>
      <c r="AO27" s="15" t="n">
        <v>73632</v>
      </c>
      <c r="AP27" s="15" t="n">
        <v>26.8</v>
      </c>
      <c r="AQ27" s="15" t="n">
        <v>17.4</v>
      </c>
      <c r="AR27" s="15" t="n">
        <v>41.5</v>
      </c>
      <c r="AS27" s="15" t="n">
        <v>55744</v>
      </c>
      <c r="AT27" s="15" t="n">
        <v>36272</v>
      </c>
      <c r="AU27" s="15" t="n">
        <v>86496</v>
      </c>
      <c r="AV27" s="15" t="n">
        <v>42000000</v>
      </c>
      <c r="AW27" s="15" t="n">
        <v>1428000</v>
      </c>
      <c r="AX27" s="15" t="n">
        <v>756000</v>
      </c>
      <c r="AY27" s="15" t="n">
        <v>39823200</v>
      </c>
      <c r="AZ27" s="15" t="n">
        <v>21000000</v>
      </c>
      <c r="BA27" s="15" t="n">
        <v>714000</v>
      </c>
      <c r="BB27" s="15" t="n">
        <v>378000</v>
      </c>
      <c r="BC27" s="15" t="n">
        <v>19911600</v>
      </c>
      <c r="BD27" s="15" t="n">
        <v>2100000</v>
      </c>
      <c r="BE27" s="15" t="n">
        <v>420000</v>
      </c>
      <c r="BF27" s="15" t="n">
        <v>0</v>
      </c>
      <c r="BG27" s="15" t="n">
        <v>1680000</v>
      </c>
      <c r="BH27" s="15" t="n">
        <v>1050000</v>
      </c>
      <c r="BI27" s="15" t="n">
        <v>210000</v>
      </c>
      <c r="BJ27" s="15" t="n">
        <v>210000</v>
      </c>
      <c r="BK27" s="15" t="n">
        <v>630000</v>
      </c>
      <c r="BL27" s="15" t="n">
        <v>525000</v>
      </c>
      <c r="BM27" s="15" t="n">
        <v>105000</v>
      </c>
      <c r="BN27" s="15" t="n">
        <v>262500</v>
      </c>
      <c r="BO27" s="15" t="n">
        <v>787500</v>
      </c>
    </row>
    <row r="28" customFormat="false" ht="12.8" hidden="false" customHeight="false" outlineLevel="0" collapsed="false">
      <c r="A28" s="1" t="n">
        <v>24</v>
      </c>
      <c r="B28" s="15" t="s">
        <v>970</v>
      </c>
      <c r="C28" s="15" t="s">
        <v>959</v>
      </c>
      <c r="D28" s="15" t="n">
        <v>70000</v>
      </c>
      <c r="E28" s="15" t="n">
        <v>2380</v>
      </c>
      <c r="F28" s="15" t="n">
        <v>1260</v>
      </c>
      <c r="G28" s="15" t="n">
        <v>63860</v>
      </c>
      <c r="H28" s="15" t="n">
        <v>0.98</v>
      </c>
      <c r="I28" s="15" t="n">
        <v>0.96</v>
      </c>
      <c r="J28" s="15" t="n">
        <v>0.93</v>
      </c>
      <c r="K28" s="15" t="n">
        <v>0.982</v>
      </c>
      <c r="L28" s="15" t="n">
        <v>0.575</v>
      </c>
      <c r="M28" s="15" t="n">
        <v>0.632</v>
      </c>
      <c r="N28" s="15" t="n">
        <v>0.703</v>
      </c>
      <c r="O28" s="15" t="n">
        <v>0.56</v>
      </c>
      <c r="P28" s="15" t="n">
        <v>0.02</v>
      </c>
      <c r="Q28" s="15" t="n">
        <v>0.04</v>
      </c>
      <c r="R28" s="15" t="n">
        <v>0.07</v>
      </c>
      <c r="S28" s="15" t="n">
        <v>0.018</v>
      </c>
      <c r="T28" s="15" t="n">
        <v>0.036</v>
      </c>
      <c r="U28" s="15" t="n">
        <v>0.043</v>
      </c>
      <c r="V28" s="15" t="n">
        <v>0.09</v>
      </c>
      <c r="W28" s="15" t="n">
        <v>0.035</v>
      </c>
      <c r="X28" s="15" t="n">
        <v>22.3</v>
      </c>
      <c r="Y28" s="15" t="n">
        <v>14.5</v>
      </c>
      <c r="Z28" s="15" t="n">
        <v>34.6</v>
      </c>
      <c r="AA28" s="15" t="n">
        <v>46384</v>
      </c>
      <c r="AB28" s="15" t="n">
        <v>30184</v>
      </c>
      <c r="AC28" s="15" t="n">
        <v>71968</v>
      </c>
      <c r="AD28" s="15" t="n">
        <v>21.2</v>
      </c>
      <c r="AE28" s="15" t="n">
        <v>13.8</v>
      </c>
      <c r="AF28" s="15" t="n">
        <v>32.9</v>
      </c>
      <c r="AG28" s="15" t="n">
        <v>44096</v>
      </c>
      <c r="AH28" s="15" t="n">
        <v>28688</v>
      </c>
      <c r="AI28" s="15" t="n">
        <v>68352</v>
      </c>
      <c r="AJ28" s="15" t="n">
        <v>19.4</v>
      </c>
      <c r="AK28" s="15" t="n">
        <v>12.6</v>
      </c>
      <c r="AL28" s="15" t="n">
        <v>30.1</v>
      </c>
      <c r="AM28" s="15" t="n">
        <v>40352</v>
      </c>
      <c r="AN28" s="15" t="n">
        <v>26248</v>
      </c>
      <c r="AO28" s="15" t="n">
        <v>62624</v>
      </c>
      <c r="AP28" s="15" t="n">
        <v>22.8</v>
      </c>
      <c r="AQ28" s="15" t="n">
        <v>14.8</v>
      </c>
      <c r="AR28" s="15" t="n">
        <v>35.3</v>
      </c>
      <c r="AS28" s="15" t="n">
        <v>47424</v>
      </c>
      <c r="AT28" s="15" t="n">
        <v>30864</v>
      </c>
      <c r="AU28" s="15" t="n">
        <v>73632</v>
      </c>
      <c r="AV28" s="15" t="n">
        <v>21000000</v>
      </c>
      <c r="AW28" s="15" t="n">
        <v>714000</v>
      </c>
      <c r="AX28" s="15" t="n">
        <v>378000</v>
      </c>
      <c r="AY28" s="15" t="n">
        <v>19911600</v>
      </c>
      <c r="AZ28" s="15" t="n">
        <v>10500000</v>
      </c>
      <c r="BA28" s="15" t="n">
        <v>357000</v>
      </c>
      <c r="BB28" s="15" t="n">
        <v>189000</v>
      </c>
      <c r="BC28" s="15" t="n">
        <v>9955800</v>
      </c>
      <c r="BD28" s="15" t="n">
        <v>1050000</v>
      </c>
      <c r="BE28" s="15" t="n">
        <v>210000</v>
      </c>
      <c r="BF28" s="15" t="n">
        <v>0</v>
      </c>
      <c r="BG28" s="15" t="n">
        <v>840000</v>
      </c>
      <c r="BH28" s="15" t="n">
        <v>525000</v>
      </c>
      <c r="BI28" s="15" t="n">
        <v>105000</v>
      </c>
      <c r="BJ28" s="15" t="n">
        <v>105000</v>
      </c>
      <c r="BK28" s="15" t="n">
        <v>315000</v>
      </c>
      <c r="BL28" s="15" t="n">
        <v>262500</v>
      </c>
      <c r="BM28" s="15" t="n">
        <v>52500</v>
      </c>
      <c r="BN28" s="15" t="n">
        <v>131250</v>
      </c>
      <c r="BO28" s="15" t="n">
        <v>393750</v>
      </c>
    </row>
    <row r="29" customFormat="false" ht="12.8" hidden="false" customHeight="false" outlineLevel="0" collapsed="false">
      <c r="A29" s="1" t="n">
        <v>25</v>
      </c>
      <c r="B29" s="15" t="s">
        <v>971</v>
      </c>
      <c r="C29" s="15" t="s">
        <v>958</v>
      </c>
      <c r="D29" s="15" t="n">
        <v>100000</v>
      </c>
      <c r="E29" s="15" t="n">
        <v>3400</v>
      </c>
      <c r="F29" s="15" t="n">
        <v>1800</v>
      </c>
      <c r="G29" s="15" t="n">
        <v>94800</v>
      </c>
      <c r="H29" s="15" t="n">
        <v>0.98</v>
      </c>
      <c r="I29" s="15" t="n">
        <v>0.96</v>
      </c>
      <c r="J29" s="15" t="n">
        <v>0.93</v>
      </c>
      <c r="K29" s="15" t="n">
        <v>0.982</v>
      </c>
      <c r="L29" s="15" t="n">
        <v>0.605</v>
      </c>
      <c r="M29" s="15" t="n">
        <v>0.665</v>
      </c>
      <c r="N29" s="15" t="n">
        <v>0.74</v>
      </c>
      <c r="O29" s="15" t="n">
        <v>0.59</v>
      </c>
      <c r="P29" s="15" t="n">
        <v>0.02</v>
      </c>
      <c r="Q29" s="15" t="n">
        <v>0.04</v>
      </c>
      <c r="R29" s="15" t="n">
        <v>0.07</v>
      </c>
      <c r="S29" s="15" t="n">
        <v>0.018</v>
      </c>
      <c r="T29" s="15" t="n">
        <v>0.028</v>
      </c>
      <c r="U29" s="15" t="n">
        <v>0.034</v>
      </c>
      <c r="V29" s="15" t="n">
        <v>0.071</v>
      </c>
      <c r="W29" s="15" t="n">
        <v>0.027</v>
      </c>
      <c r="X29" s="15" t="n">
        <v>41</v>
      </c>
      <c r="Y29" s="15" t="n">
        <v>26.7</v>
      </c>
      <c r="Z29" s="15" t="n">
        <v>63.6</v>
      </c>
      <c r="AA29" s="15" t="n">
        <v>85280</v>
      </c>
      <c r="AB29" s="15" t="n">
        <v>55480</v>
      </c>
      <c r="AC29" s="15" t="n">
        <v>132224</v>
      </c>
      <c r="AD29" s="15" t="n">
        <v>39</v>
      </c>
      <c r="AE29" s="15" t="n">
        <v>25.3</v>
      </c>
      <c r="AF29" s="15" t="n">
        <v>60.4</v>
      </c>
      <c r="AG29" s="15" t="n">
        <v>81120</v>
      </c>
      <c r="AH29" s="15" t="n">
        <v>52760</v>
      </c>
      <c r="AI29" s="15" t="n">
        <v>125824</v>
      </c>
      <c r="AJ29" s="15" t="n">
        <v>35.7</v>
      </c>
      <c r="AK29" s="15" t="n">
        <v>23.2</v>
      </c>
      <c r="AL29" s="15" t="n">
        <v>55.4</v>
      </c>
      <c r="AM29" s="15" t="n">
        <v>74256</v>
      </c>
      <c r="AN29" s="15" t="n">
        <v>48288</v>
      </c>
      <c r="AO29" s="15" t="n">
        <v>115136</v>
      </c>
      <c r="AP29" s="15" t="n">
        <v>41.8</v>
      </c>
      <c r="AQ29" s="15" t="n">
        <v>27.2</v>
      </c>
      <c r="AR29" s="15" t="n">
        <v>64.8</v>
      </c>
      <c r="AS29" s="15" t="n">
        <v>86944</v>
      </c>
      <c r="AT29" s="15" t="n">
        <v>56568</v>
      </c>
      <c r="AU29" s="15" t="n">
        <v>134912</v>
      </c>
      <c r="AV29" s="15" t="n">
        <v>30000000</v>
      </c>
      <c r="AW29" s="15" t="n">
        <v>1020000</v>
      </c>
      <c r="AX29" s="15" t="n">
        <v>540000</v>
      </c>
      <c r="AY29" s="15" t="n">
        <v>28458000</v>
      </c>
      <c r="AZ29" s="15" t="n">
        <v>15000000</v>
      </c>
      <c r="BA29" s="15" t="n">
        <v>510000</v>
      </c>
      <c r="BB29" s="15" t="n">
        <v>270000</v>
      </c>
      <c r="BC29" s="15" t="n">
        <v>14229000</v>
      </c>
      <c r="BD29" s="15" t="n">
        <v>1500000</v>
      </c>
      <c r="BE29" s="15" t="n">
        <v>300000</v>
      </c>
      <c r="BF29" s="15" t="n">
        <v>0</v>
      </c>
      <c r="BG29" s="15" t="n">
        <v>1200000</v>
      </c>
      <c r="BH29" s="15" t="n">
        <v>750000</v>
      </c>
      <c r="BI29" s="15" t="n">
        <v>150000</v>
      </c>
      <c r="BJ29" s="15" t="n">
        <v>150000</v>
      </c>
      <c r="BK29" s="15" t="n">
        <v>450000</v>
      </c>
      <c r="BL29" s="15" t="n">
        <v>375000</v>
      </c>
      <c r="BM29" s="15" t="n">
        <v>75000</v>
      </c>
      <c r="BN29" s="15" t="n">
        <v>187500</v>
      </c>
      <c r="BO29" s="15" t="n">
        <v>562500</v>
      </c>
    </row>
    <row r="30" customFormat="false" ht="12.8" hidden="false" customHeight="false" outlineLevel="0" collapsed="false">
      <c r="A30" s="1" t="n">
        <v>26</v>
      </c>
      <c r="B30" s="15" t="s">
        <v>971</v>
      </c>
      <c r="C30" s="15" t="s">
        <v>959</v>
      </c>
      <c r="D30" s="15" t="n">
        <v>50000</v>
      </c>
      <c r="E30" s="15" t="n">
        <v>1700</v>
      </c>
      <c r="F30" s="15" t="n">
        <v>900</v>
      </c>
      <c r="G30" s="15" t="n">
        <v>47400</v>
      </c>
      <c r="H30" s="15" t="n">
        <v>0.98</v>
      </c>
      <c r="I30" s="15" t="n">
        <v>0.96</v>
      </c>
      <c r="J30" s="15" t="n">
        <v>0.93</v>
      </c>
      <c r="K30" s="15" t="n">
        <v>0.982</v>
      </c>
      <c r="L30" s="15" t="n">
        <v>0.575</v>
      </c>
      <c r="M30" s="15" t="n">
        <v>0.632</v>
      </c>
      <c r="N30" s="15" t="n">
        <v>0.703</v>
      </c>
      <c r="O30" s="15" t="n">
        <v>0.56</v>
      </c>
      <c r="P30" s="15" t="n">
        <v>0.02</v>
      </c>
      <c r="Q30" s="15" t="n">
        <v>0.04</v>
      </c>
      <c r="R30" s="15" t="n">
        <v>0.07</v>
      </c>
      <c r="S30" s="15" t="n">
        <v>0.018</v>
      </c>
      <c r="T30" s="15" t="n">
        <v>0.028</v>
      </c>
      <c r="U30" s="15" t="n">
        <v>0.034</v>
      </c>
      <c r="V30" s="15" t="n">
        <v>0.071</v>
      </c>
      <c r="W30" s="15" t="n">
        <v>0.027</v>
      </c>
      <c r="X30" s="15" t="n">
        <v>34.85</v>
      </c>
      <c r="Y30" s="15" t="n">
        <v>22.7</v>
      </c>
      <c r="Z30" s="15" t="n">
        <v>54</v>
      </c>
      <c r="AA30" s="15" t="n">
        <v>72488</v>
      </c>
      <c r="AB30" s="15" t="n">
        <v>47152</v>
      </c>
      <c r="AC30" s="15" t="n">
        <v>112352</v>
      </c>
      <c r="AD30" s="15" t="n">
        <v>33.1</v>
      </c>
      <c r="AE30" s="15" t="n">
        <v>21.5</v>
      </c>
      <c r="AF30" s="15" t="n">
        <v>51.3</v>
      </c>
      <c r="AG30" s="15" t="n">
        <v>68848</v>
      </c>
      <c r="AH30" s="15" t="n">
        <v>44792</v>
      </c>
      <c r="AI30" s="15" t="n">
        <v>106848</v>
      </c>
      <c r="AJ30" s="15" t="n">
        <v>30.3</v>
      </c>
      <c r="AK30" s="15" t="n">
        <v>19.7</v>
      </c>
      <c r="AL30" s="15" t="n">
        <v>47</v>
      </c>
      <c r="AM30" s="15" t="n">
        <v>63024</v>
      </c>
      <c r="AN30" s="15" t="n">
        <v>40992</v>
      </c>
      <c r="AO30" s="15" t="n">
        <v>97728</v>
      </c>
      <c r="AP30" s="15" t="n">
        <v>35.5</v>
      </c>
      <c r="AQ30" s="15" t="n">
        <v>23.1</v>
      </c>
      <c r="AR30" s="15" t="n">
        <v>55.1</v>
      </c>
      <c r="AS30" s="15" t="n">
        <v>73840</v>
      </c>
      <c r="AT30" s="15" t="n">
        <v>48016</v>
      </c>
      <c r="AU30" s="15" t="n">
        <v>114688</v>
      </c>
      <c r="AV30" s="15" t="n">
        <v>15000000</v>
      </c>
      <c r="AW30" s="15" t="n">
        <v>510000</v>
      </c>
      <c r="AX30" s="15" t="n">
        <v>270000</v>
      </c>
      <c r="AY30" s="15" t="n">
        <v>14229000</v>
      </c>
      <c r="AZ30" s="15" t="n">
        <v>7500000</v>
      </c>
      <c r="BA30" s="15" t="n">
        <v>255000</v>
      </c>
      <c r="BB30" s="15" t="n">
        <v>135000</v>
      </c>
      <c r="BC30" s="15" t="n">
        <v>7114500</v>
      </c>
      <c r="BD30" s="15" t="n">
        <v>750000</v>
      </c>
      <c r="BE30" s="15" t="n">
        <v>150000</v>
      </c>
      <c r="BF30" s="15" t="n">
        <v>0</v>
      </c>
      <c r="BG30" s="15" t="n">
        <v>600000</v>
      </c>
      <c r="BH30" s="15" t="n">
        <v>375000</v>
      </c>
      <c r="BI30" s="15" t="n">
        <v>75000</v>
      </c>
      <c r="BJ30" s="15" t="n">
        <v>75000</v>
      </c>
      <c r="BK30" s="15" t="n">
        <v>225000</v>
      </c>
      <c r="BL30" s="15" t="n">
        <v>187500</v>
      </c>
      <c r="BM30" s="15" t="n">
        <v>37500</v>
      </c>
      <c r="BN30" s="15" t="n">
        <v>93750</v>
      </c>
      <c r="BO30" s="15" t="n">
        <v>281250</v>
      </c>
    </row>
    <row r="31" customFormat="false" ht="12.8" hidden="false" customHeight="false" outlineLevel="0" collapsed="false">
      <c r="A31" s="1" t="n">
        <v>27</v>
      </c>
      <c r="B31" s="15" t="s">
        <v>972</v>
      </c>
      <c r="C31" s="15" t="s">
        <v>958</v>
      </c>
      <c r="D31" s="15" t="n">
        <v>30000</v>
      </c>
      <c r="E31" s="15" t="n">
        <v>1020</v>
      </c>
      <c r="F31" s="15" t="n">
        <v>540</v>
      </c>
      <c r="G31" s="15" t="n">
        <v>28440</v>
      </c>
      <c r="H31" s="15" t="n">
        <v>0.98</v>
      </c>
      <c r="I31" s="15" t="n">
        <v>0.96</v>
      </c>
      <c r="J31" s="15" t="n">
        <v>0.93</v>
      </c>
      <c r="K31" s="15" t="n">
        <v>0.982</v>
      </c>
      <c r="L31" s="15" t="n">
        <v>0.605</v>
      </c>
      <c r="M31" s="15" t="n">
        <v>0.665</v>
      </c>
      <c r="N31" s="15" t="n">
        <v>0.74</v>
      </c>
      <c r="O31" s="15" t="n">
        <v>0.59</v>
      </c>
      <c r="P31" s="15" t="n">
        <v>0.02</v>
      </c>
      <c r="Q31" s="15" t="n">
        <v>0.04</v>
      </c>
      <c r="R31" s="15" t="n">
        <v>0.07</v>
      </c>
      <c r="S31" s="15" t="n">
        <v>0.018</v>
      </c>
      <c r="T31" s="15" t="n">
        <v>0.03</v>
      </c>
      <c r="U31" s="15" t="n">
        <v>0.036</v>
      </c>
      <c r="V31" s="15" t="n">
        <v>0.076</v>
      </c>
      <c r="W31" s="15" t="n">
        <v>0.029</v>
      </c>
      <c r="X31" s="15" t="n">
        <v>28.71</v>
      </c>
      <c r="Y31" s="15" t="n">
        <v>18.7</v>
      </c>
      <c r="Z31" s="15" t="n">
        <v>44.5</v>
      </c>
      <c r="AA31" s="15" t="n">
        <v>59717</v>
      </c>
      <c r="AB31" s="15" t="n">
        <v>38896</v>
      </c>
      <c r="AC31" s="15" t="n">
        <v>92656</v>
      </c>
      <c r="AD31" s="15" t="n">
        <v>27.3</v>
      </c>
      <c r="AE31" s="15" t="n">
        <v>17.7</v>
      </c>
      <c r="AF31" s="15" t="n">
        <v>42.3</v>
      </c>
      <c r="AG31" s="15" t="n">
        <v>56864</v>
      </c>
      <c r="AH31" s="15" t="n">
        <v>36992</v>
      </c>
      <c r="AI31" s="15" t="n">
        <v>88192</v>
      </c>
      <c r="AJ31" s="15" t="n">
        <v>25</v>
      </c>
      <c r="AK31" s="15" t="n">
        <v>16.3</v>
      </c>
      <c r="AL31" s="15" t="n">
        <v>38.8</v>
      </c>
      <c r="AM31" s="15" t="n">
        <v>52000</v>
      </c>
      <c r="AN31" s="15" t="n">
        <v>33840</v>
      </c>
      <c r="AO31" s="15" t="n">
        <v>80672</v>
      </c>
      <c r="AP31" s="15" t="n">
        <v>29.3</v>
      </c>
      <c r="AQ31" s="15" t="n">
        <v>19</v>
      </c>
      <c r="AR31" s="15" t="n">
        <v>45.4</v>
      </c>
      <c r="AS31" s="15" t="n">
        <v>60944</v>
      </c>
      <c r="AT31" s="15" t="n">
        <v>39664</v>
      </c>
      <c r="AU31" s="15" t="n">
        <v>94528</v>
      </c>
      <c r="AV31" s="15" t="n">
        <v>9000000</v>
      </c>
      <c r="AW31" s="15" t="n">
        <v>306000</v>
      </c>
      <c r="AX31" s="15" t="n">
        <v>162000</v>
      </c>
      <c r="AY31" s="15" t="n">
        <v>8532000</v>
      </c>
      <c r="AZ31" s="15" t="n">
        <v>4500000</v>
      </c>
      <c r="BA31" s="15" t="n">
        <v>153000</v>
      </c>
      <c r="BB31" s="15" t="n">
        <v>81000</v>
      </c>
      <c r="BC31" s="15" t="n">
        <v>4266000</v>
      </c>
      <c r="BD31" s="15" t="n">
        <v>450000</v>
      </c>
      <c r="BE31" s="15" t="n">
        <v>90000</v>
      </c>
      <c r="BF31" s="15" t="n">
        <v>0</v>
      </c>
      <c r="BG31" s="15" t="n">
        <v>360000</v>
      </c>
      <c r="BH31" s="15" t="n">
        <v>225000</v>
      </c>
      <c r="BI31" s="15" t="n">
        <v>45000</v>
      </c>
      <c r="BJ31" s="15" t="n">
        <v>45000</v>
      </c>
      <c r="BK31" s="15" t="n">
        <v>135000</v>
      </c>
      <c r="BL31" s="15" t="n">
        <v>112500</v>
      </c>
      <c r="BM31" s="15" t="n">
        <v>22500</v>
      </c>
      <c r="BN31" s="15" t="n">
        <v>56250</v>
      </c>
      <c r="BO31" s="15" t="n">
        <v>168750</v>
      </c>
    </row>
    <row r="32" customFormat="false" ht="12.8" hidden="false" customHeight="false" outlineLevel="0" collapsed="false">
      <c r="A32" s="1" t="n">
        <v>28</v>
      </c>
      <c r="B32" s="15" t="s">
        <v>972</v>
      </c>
      <c r="C32" s="15" t="s">
        <v>959</v>
      </c>
      <c r="D32" s="15" t="n">
        <v>15000</v>
      </c>
      <c r="E32" s="15" t="n">
        <v>510</v>
      </c>
      <c r="F32" s="15" t="n">
        <v>270</v>
      </c>
      <c r="G32" s="15" t="n">
        <v>14220</v>
      </c>
      <c r="H32" s="15" t="n">
        <v>0.98</v>
      </c>
      <c r="I32" s="15" t="n">
        <v>0.96</v>
      </c>
      <c r="J32" s="15" t="n">
        <v>0.93</v>
      </c>
      <c r="K32" s="15" t="n">
        <v>0.982</v>
      </c>
      <c r="L32" s="15" t="n">
        <v>0.575</v>
      </c>
      <c r="M32" s="15" t="n">
        <v>0.632</v>
      </c>
      <c r="N32" s="15" t="n">
        <v>0.703</v>
      </c>
      <c r="O32" s="15" t="n">
        <v>0.56</v>
      </c>
      <c r="P32" s="15" t="n">
        <v>0.02</v>
      </c>
      <c r="Q32" s="15" t="n">
        <v>0.04</v>
      </c>
      <c r="R32" s="15" t="n">
        <v>0.07</v>
      </c>
      <c r="S32" s="15" t="n">
        <v>0.018</v>
      </c>
      <c r="T32" s="15" t="n">
        <v>0.03</v>
      </c>
      <c r="U32" s="15" t="n">
        <v>0.036</v>
      </c>
      <c r="V32" s="15" t="n">
        <v>0.076</v>
      </c>
      <c r="W32" s="15" t="n">
        <v>0.029</v>
      </c>
      <c r="X32" s="15" t="n">
        <v>24.4</v>
      </c>
      <c r="Y32" s="15" t="n">
        <v>15.9</v>
      </c>
      <c r="Z32" s="15" t="n">
        <v>37.8</v>
      </c>
      <c r="AA32" s="15" t="n">
        <v>50752</v>
      </c>
      <c r="AB32" s="15" t="n">
        <v>33040</v>
      </c>
      <c r="AC32" s="15" t="n">
        <v>78720</v>
      </c>
      <c r="AD32" s="15" t="n">
        <v>23.2</v>
      </c>
      <c r="AE32" s="15" t="n">
        <v>15.1</v>
      </c>
      <c r="AF32" s="15" t="n">
        <v>36</v>
      </c>
      <c r="AG32" s="15" t="n">
        <v>48256</v>
      </c>
      <c r="AH32" s="15" t="n">
        <v>31408</v>
      </c>
      <c r="AI32" s="15" t="n">
        <v>74816</v>
      </c>
      <c r="AJ32" s="15" t="n">
        <v>21.2</v>
      </c>
      <c r="AK32" s="15" t="n">
        <v>13.8</v>
      </c>
      <c r="AL32" s="15" t="n">
        <v>32.9</v>
      </c>
      <c r="AM32" s="15" t="n">
        <v>44100</v>
      </c>
      <c r="AN32" s="15" t="n">
        <v>28704</v>
      </c>
      <c r="AO32" s="15" t="n">
        <v>68352</v>
      </c>
      <c r="AP32" s="15" t="n">
        <v>24.9</v>
      </c>
      <c r="AQ32" s="15" t="n">
        <v>16.2</v>
      </c>
      <c r="AR32" s="15" t="n">
        <v>38.6</v>
      </c>
      <c r="AS32" s="15" t="n">
        <v>51792</v>
      </c>
      <c r="AT32" s="15" t="n">
        <v>33712</v>
      </c>
      <c r="AU32" s="15" t="n">
        <v>80384</v>
      </c>
      <c r="AV32" s="15" t="n">
        <v>4500000</v>
      </c>
      <c r="AW32" s="15" t="n">
        <v>153000</v>
      </c>
      <c r="AX32" s="15" t="n">
        <v>81000</v>
      </c>
      <c r="AY32" s="15" t="n">
        <v>4266000</v>
      </c>
      <c r="AZ32" s="15" t="n">
        <v>2250000</v>
      </c>
      <c r="BA32" s="15" t="n">
        <v>76500</v>
      </c>
      <c r="BB32" s="15" t="n">
        <v>40500</v>
      </c>
      <c r="BC32" s="15" t="n">
        <v>2133000</v>
      </c>
      <c r="BD32" s="15" t="n">
        <v>225000</v>
      </c>
      <c r="BE32" s="15" t="n">
        <v>45000</v>
      </c>
      <c r="BF32" s="15" t="n">
        <v>0</v>
      </c>
      <c r="BG32" s="15" t="n">
        <v>180000</v>
      </c>
      <c r="BH32" s="15" t="n">
        <v>112500</v>
      </c>
      <c r="BI32" s="15" t="n">
        <v>22500</v>
      </c>
      <c r="BJ32" s="15" t="n">
        <v>22500</v>
      </c>
      <c r="BK32" s="15" t="n">
        <v>67500</v>
      </c>
      <c r="BL32" s="15" t="n">
        <v>56250</v>
      </c>
      <c r="BM32" s="15" t="n">
        <v>11250</v>
      </c>
      <c r="BN32" s="15" t="n">
        <v>28125</v>
      </c>
      <c r="BO32" s="15" t="n">
        <v>84375</v>
      </c>
    </row>
    <row r="33" customFormat="false" ht="12.8" hidden="false" customHeight="false" outlineLevel="0" collapsed="false">
      <c r="A33" s="1" t="n">
        <v>29</v>
      </c>
      <c r="B33" s="15" t="s">
        <v>973</v>
      </c>
      <c r="C33" s="15" t="s">
        <v>958</v>
      </c>
      <c r="D33" s="15" t="n">
        <v>400000</v>
      </c>
      <c r="E33" s="15" t="n">
        <v>13600</v>
      </c>
      <c r="F33" s="15" t="n">
        <v>7200</v>
      </c>
      <c r="G33" s="15" t="n">
        <v>379200</v>
      </c>
      <c r="H33" s="15" t="n">
        <v>0.98</v>
      </c>
      <c r="I33" s="15" t="n">
        <v>0.96</v>
      </c>
      <c r="J33" s="15" t="n">
        <v>0.93</v>
      </c>
      <c r="K33" s="15" t="n">
        <v>0.982</v>
      </c>
      <c r="L33" s="15" t="n">
        <v>0.605</v>
      </c>
      <c r="M33" s="15" t="n">
        <v>0.665</v>
      </c>
      <c r="N33" s="15" t="n">
        <v>0.74</v>
      </c>
      <c r="O33" s="15" t="n">
        <v>0.59</v>
      </c>
      <c r="P33" s="15" t="n">
        <v>0.02</v>
      </c>
      <c r="Q33" s="15" t="n">
        <v>0.04</v>
      </c>
      <c r="R33" s="15" t="n">
        <v>0.07</v>
      </c>
      <c r="S33" s="15" t="n">
        <v>0.018</v>
      </c>
      <c r="T33" s="15" t="n">
        <v>0.03</v>
      </c>
      <c r="U33" s="15" t="n">
        <v>0.036</v>
      </c>
      <c r="V33" s="15" t="n">
        <v>0.076</v>
      </c>
      <c r="W33" s="15" t="n">
        <v>0.029</v>
      </c>
      <c r="X33" s="15" t="n">
        <v>24.54</v>
      </c>
      <c r="Y33" s="15" t="n">
        <v>16</v>
      </c>
      <c r="Z33" s="15" t="n">
        <v>38</v>
      </c>
      <c r="AA33" s="15" t="n">
        <v>51043</v>
      </c>
      <c r="AB33" s="15" t="n">
        <v>33200</v>
      </c>
      <c r="AC33" s="15" t="n">
        <v>79040</v>
      </c>
      <c r="AD33" s="15" t="n">
        <v>23.3</v>
      </c>
      <c r="AE33" s="15" t="n">
        <v>15.1</v>
      </c>
      <c r="AF33" s="15" t="n">
        <v>36.1</v>
      </c>
      <c r="AG33" s="15" t="n">
        <v>48464</v>
      </c>
      <c r="AH33" s="15" t="n">
        <v>31520</v>
      </c>
      <c r="AI33" s="15" t="n">
        <v>75200</v>
      </c>
      <c r="AJ33" s="15" t="n">
        <v>21.3</v>
      </c>
      <c r="AK33" s="15" t="n">
        <v>13.9</v>
      </c>
      <c r="AL33" s="15" t="n">
        <v>33.1</v>
      </c>
      <c r="AM33" s="15" t="n">
        <v>44280</v>
      </c>
      <c r="AN33" s="15" t="n">
        <v>28800</v>
      </c>
      <c r="AO33" s="15" t="n">
        <v>68640</v>
      </c>
      <c r="AP33" s="15" t="n">
        <v>25</v>
      </c>
      <c r="AQ33" s="15" t="n">
        <v>16.3</v>
      </c>
      <c r="AR33" s="15" t="n">
        <v>38.8</v>
      </c>
      <c r="AS33" s="15" t="n">
        <v>52000</v>
      </c>
      <c r="AT33" s="15" t="n">
        <v>33840</v>
      </c>
      <c r="AU33" s="15" t="n">
        <v>80672</v>
      </c>
      <c r="AV33" s="15" t="n">
        <v>120000000</v>
      </c>
      <c r="AW33" s="15" t="n">
        <v>4080000</v>
      </c>
      <c r="AX33" s="15" t="n">
        <v>2160000</v>
      </c>
      <c r="AY33" s="15" t="n">
        <v>113520000</v>
      </c>
      <c r="AZ33" s="15" t="n">
        <v>60000000</v>
      </c>
      <c r="BA33" s="15" t="n">
        <v>2040000</v>
      </c>
      <c r="BB33" s="15" t="n">
        <v>1080000</v>
      </c>
      <c r="BC33" s="15" t="n">
        <v>56880000</v>
      </c>
      <c r="BD33" s="15" t="n">
        <v>6000000</v>
      </c>
      <c r="BE33" s="15" t="n">
        <v>1200000</v>
      </c>
      <c r="BF33" s="15" t="n">
        <v>0</v>
      </c>
      <c r="BG33" s="15" t="n">
        <v>4800000</v>
      </c>
      <c r="BH33" s="15" t="n">
        <v>3000000</v>
      </c>
      <c r="BI33" s="15" t="n">
        <v>600000</v>
      </c>
      <c r="BJ33" s="15" t="n">
        <v>600000</v>
      </c>
      <c r="BK33" s="15" t="n">
        <v>1800000</v>
      </c>
      <c r="BL33" s="15" t="n">
        <v>1500000</v>
      </c>
      <c r="BM33" s="15" t="n">
        <v>300000</v>
      </c>
      <c r="BN33" s="15" t="n">
        <v>750000</v>
      </c>
      <c r="BO33" s="15" t="n">
        <v>2250000</v>
      </c>
    </row>
    <row r="34" customFormat="false" ht="12.8" hidden="false" customHeight="false" outlineLevel="0" collapsed="false">
      <c r="A34" s="1" t="n">
        <v>30</v>
      </c>
      <c r="B34" s="15" t="s">
        <v>973</v>
      </c>
      <c r="C34" s="15" t="s">
        <v>959</v>
      </c>
      <c r="D34" s="15" t="n">
        <v>200000</v>
      </c>
      <c r="E34" s="15" t="n">
        <v>6800</v>
      </c>
      <c r="F34" s="15" t="n">
        <v>3600</v>
      </c>
      <c r="G34" s="15" t="n">
        <v>189600</v>
      </c>
      <c r="H34" s="15" t="n">
        <v>0.98</v>
      </c>
      <c r="I34" s="15" t="n">
        <v>0.96</v>
      </c>
      <c r="J34" s="15" t="n">
        <v>0.93</v>
      </c>
      <c r="K34" s="15" t="n">
        <v>0.982</v>
      </c>
      <c r="L34" s="15" t="n">
        <v>0.575</v>
      </c>
      <c r="M34" s="15" t="n">
        <v>0.632</v>
      </c>
      <c r="N34" s="15" t="n">
        <v>0.703</v>
      </c>
      <c r="O34" s="15" t="n">
        <v>0.56</v>
      </c>
      <c r="P34" s="15" t="n">
        <v>0.02</v>
      </c>
      <c r="Q34" s="15" t="n">
        <v>0.04</v>
      </c>
      <c r="R34" s="15" t="n">
        <v>0.07</v>
      </c>
      <c r="S34" s="15" t="n">
        <v>0.018</v>
      </c>
      <c r="T34" s="15" t="n">
        <v>0.03</v>
      </c>
      <c r="U34" s="15" t="n">
        <v>0.036</v>
      </c>
      <c r="V34" s="15" t="n">
        <v>0.076</v>
      </c>
      <c r="W34" s="15" t="n">
        <v>0.029</v>
      </c>
      <c r="X34" s="15" t="n">
        <v>20.86</v>
      </c>
      <c r="Y34" s="15" t="n">
        <v>13.6</v>
      </c>
      <c r="Z34" s="15" t="n">
        <v>32.3</v>
      </c>
      <c r="AA34" s="15" t="n">
        <v>43389</v>
      </c>
      <c r="AB34" s="15" t="n">
        <v>28240</v>
      </c>
      <c r="AC34" s="15" t="n">
        <v>67232</v>
      </c>
      <c r="AD34" s="15" t="n">
        <v>19.8</v>
      </c>
      <c r="AE34" s="15" t="n">
        <v>12.9</v>
      </c>
      <c r="AF34" s="15" t="n">
        <v>30.7</v>
      </c>
      <c r="AG34" s="15" t="n">
        <v>41184</v>
      </c>
      <c r="AH34" s="15" t="n">
        <v>26800</v>
      </c>
      <c r="AI34" s="15" t="n">
        <v>64000</v>
      </c>
      <c r="AJ34" s="15" t="n">
        <v>18.1</v>
      </c>
      <c r="AK34" s="15" t="n">
        <v>11.8</v>
      </c>
      <c r="AL34" s="15" t="n">
        <v>28.1</v>
      </c>
      <c r="AM34" s="15" t="n">
        <v>37648</v>
      </c>
      <c r="AN34" s="15" t="n">
        <v>24496</v>
      </c>
      <c r="AO34" s="15" t="n">
        <v>58272</v>
      </c>
      <c r="AP34" s="15" t="n">
        <v>21.3</v>
      </c>
      <c r="AQ34" s="15" t="n">
        <v>13.9</v>
      </c>
      <c r="AR34" s="15" t="n">
        <v>33.1</v>
      </c>
      <c r="AS34" s="15" t="n">
        <v>44280</v>
      </c>
      <c r="AT34" s="15" t="n">
        <v>28800</v>
      </c>
      <c r="AU34" s="15" t="n">
        <v>68640</v>
      </c>
      <c r="AV34" s="15" t="n">
        <v>60000000</v>
      </c>
      <c r="AW34" s="15" t="n">
        <v>2040000</v>
      </c>
      <c r="AX34" s="15" t="n">
        <v>1080000</v>
      </c>
      <c r="AY34" s="15" t="n">
        <v>56760000</v>
      </c>
      <c r="AZ34" s="15" t="n">
        <v>30000000</v>
      </c>
      <c r="BA34" s="15" t="n">
        <v>1020000</v>
      </c>
      <c r="BB34" s="15" t="n">
        <v>540000</v>
      </c>
      <c r="BC34" s="15" t="n">
        <v>28440000</v>
      </c>
      <c r="BD34" s="15" t="n">
        <v>3000000</v>
      </c>
      <c r="BE34" s="15" t="n">
        <v>600000</v>
      </c>
      <c r="BF34" s="15" t="n">
        <v>0</v>
      </c>
      <c r="BG34" s="15" t="n">
        <v>2400000</v>
      </c>
      <c r="BH34" s="15" t="n">
        <v>1500000</v>
      </c>
      <c r="BI34" s="15" t="n">
        <v>300000</v>
      </c>
      <c r="BJ34" s="15" t="n">
        <v>300000</v>
      </c>
      <c r="BK34" s="15" t="n">
        <v>900000</v>
      </c>
      <c r="BL34" s="15" t="n">
        <v>750000</v>
      </c>
      <c r="BM34" s="15" t="n">
        <v>150000</v>
      </c>
      <c r="BN34" s="15" t="n">
        <v>375000</v>
      </c>
      <c r="BO34" s="15" t="n">
        <v>1125000</v>
      </c>
    </row>
    <row r="35" customFormat="false" ht="12.8" hidden="false" customHeight="false" outlineLevel="0" collapsed="false">
      <c r="A35" s="1" t="n">
        <v>31</v>
      </c>
      <c r="B35" s="15" t="s">
        <v>974</v>
      </c>
      <c r="C35" s="15" t="s">
        <v>958</v>
      </c>
      <c r="D35" s="15" t="n">
        <v>180000</v>
      </c>
      <c r="E35" s="15" t="n">
        <v>6120</v>
      </c>
      <c r="F35" s="15" t="n">
        <v>3240</v>
      </c>
      <c r="G35" s="15" t="n">
        <v>170640</v>
      </c>
      <c r="H35" s="15" t="n">
        <v>0.965</v>
      </c>
      <c r="I35" s="15" t="n">
        <v>0.955</v>
      </c>
      <c r="J35" s="15" t="n">
        <v>0.94</v>
      </c>
      <c r="K35" s="15" t="n">
        <v>0.965</v>
      </c>
      <c r="L35" s="15" t="n">
        <v>0.65</v>
      </c>
      <c r="M35" s="15" t="n">
        <v>0.7</v>
      </c>
      <c r="N35" s="15" t="n">
        <v>0.75</v>
      </c>
      <c r="O35" s="15" t="n">
        <v>0.64</v>
      </c>
      <c r="P35" s="15" t="n">
        <v>0.035</v>
      </c>
      <c r="Q35" s="15" t="n">
        <v>0.045</v>
      </c>
      <c r="R35" s="15" t="n">
        <v>0.06</v>
      </c>
      <c r="S35" s="15" t="n">
        <v>0.035</v>
      </c>
      <c r="T35" s="15" t="n">
        <v>0.042</v>
      </c>
      <c r="U35" s="15" t="n">
        <v>0.05</v>
      </c>
      <c r="V35" s="15" t="n">
        <v>0.084</v>
      </c>
      <c r="W35" s="15" t="n">
        <v>0.041</v>
      </c>
      <c r="X35" s="15" t="n">
        <v>37.5</v>
      </c>
      <c r="Y35" s="15" t="n">
        <v>24.4</v>
      </c>
      <c r="Z35" s="15" t="n">
        <v>58.1</v>
      </c>
      <c r="AA35" s="15" t="n">
        <v>78000</v>
      </c>
      <c r="AB35" s="15" t="n">
        <v>50760</v>
      </c>
      <c r="AC35" s="15" t="n">
        <v>120848</v>
      </c>
      <c r="AD35" s="15" t="n">
        <v>35.6</v>
      </c>
      <c r="AE35" s="15" t="n">
        <v>23.2</v>
      </c>
      <c r="AF35" s="15" t="n">
        <v>55.3</v>
      </c>
      <c r="AG35" s="15" t="n">
        <v>74048</v>
      </c>
      <c r="AH35" s="15" t="n">
        <v>48160</v>
      </c>
      <c r="AI35" s="15" t="n">
        <v>114848</v>
      </c>
      <c r="AJ35" s="15" t="n">
        <v>32.6</v>
      </c>
      <c r="AK35" s="15" t="n">
        <v>21.2</v>
      </c>
      <c r="AL35" s="15" t="n">
        <v>50.6</v>
      </c>
      <c r="AM35" s="15" t="n">
        <v>67808</v>
      </c>
      <c r="AN35" s="15" t="n">
        <v>44120</v>
      </c>
      <c r="AO35" s="15" t="n">
        <v>105248</v>
      </c>
      <c r="AP35" s="15" t="n">
        <v>38.3</v>
      </c>
      <c r="AQ35" s="15" t="n">
        <v>24.9</v>
      </c>
      <c r="AR35" s="15" t="n">
        <v>59.3</v>
      </c>
      <c r="AS35" s="15" t="n">
        <v>79664</v>
      </c>
      <c r="AT35" s="15" t="n">
        <v>51832</v>
      </c>
      <c r="AU35" s="15" t="n">
        <v>123696</v>
      </c>
      <c r="AV35" s="15" t="n">
        <v>5400000</v>
      </c>
      <c r="AW35" s="15" t="n">
        <v>183600</v>
      </c>
      <c r="AX35" s="15" t="n">
        <v>97200</v>
      </c>
      <c r="AY35" s="15" t="n">
        <v>5122800</v>
      </c>
      <c r="AZ35" s="15" t="n">
        <v>2700000</v>
      </c>
      <c r="BA35" s="15" t="n">
        <v>91800</v>
      </c>
      <c r="BB35" s="15" t="n">
        <v>48600</v>
      </c>
      <c r="BC35" s="15" t="n">
        <v>2561400</v>
      </c>
      <c r="BD35" s="15" t="n">
        <v>2700000</v>
      </c>
      <c r="BE35" s="15" t="n">
        <v>540000</v>
      </c>
      <c r="BF35" s="15" t="n">
        <v>0</v>
      </c>
      <c r="BG35" s="15" t="n">
        <v>2160000</v>
      </c>
      <c r="BH35" s="15" t="n">
        <v>1350000</v>
      </c>
      <c r="BI35" s="15" t="n">
        <v>270000</v>
      </c>
      <c r="BJ35" s="15" t="n">
        <v>270000</v>
      </c>
      <c r="BK35" s="15" t="n">
        <v>810000</v>
      </c>
      <c r="BL35" s="15" t="n">
        <v>675000</v>
      </c>
      <c r="BM35" s="15" t="n">
        <v>135000</v>
      </c>
      <c r="BN35" s="15" t="n">
        <v>337500</v>
      </c>
      <c r="BO35" s="15" t="n">
        <v>1012500</v>
      </c>
    </row>
    <row r="36" customFormat="false" ht="12.8" hidden="false" customHeight="false" outlineLevel="0" collapsed="false">
      <c r="A36" s="1" t="n">
        <v>32</v>
      </c>
      <c r="B36" s="15" t="s">
        <v>974</v>
      </c>
      <c r="C36" s="15" t="s">
        <v>959</v>
      </c>
      <c r="D36" s="15" t="n">
        <v>90000</v>
      </c>
      <c r="E36" s="15" t="n">
        <v>3060</v>
      </c>
      <c r="F36" s="15" t="n">
        <v>1620</v>
      </c>
      <c r="G36" s="15" t="n">
        <v>85320</v>
      </c>
      <c r="H36" s="15" t="n">
        <v>0.965</v>
      </c>
      <c r="I36" s="15" t="n">
        <v>0.955</v>
      </c>
      <c r="J36" s="15" t="n">
        <v>0.94</v>
      </c>
      <c r="K36" s="15" t="n">
        <v>0.965</v>
      </c>
      <c r="L36" s="15" t="n">
        <v>0.552</v>
      </c>
      <c r="M36" s="15" t="n">
        <v>0.595</v>
      </c>
      <c r="N36" s="15" t="n">
        <v>0.637</v>
      </c>
      <c r="O36" s="15" t="n">
        <v>0.544</v>
      </c>
      <c r="P36" s="15" t="n">
        <v>0.035</v>
      </c>
      <c r="Q36" s="15" t="n">
        <v>0.045</v>
      </c>
      <c r="R36" s="15" t="n">
        <v>0.06</v>
      </c>
      <c r="S36" s="15" t="n">
        <v>0.035</v>
      </c>
      <c r="T36" s="15" t="n">
        <v>0.042</v>
      </c>
      <c r="U36" s="15" t="n">
        <v>0.05</v>
      </c>
      <c r="V36" s="15" t="n">
        <v>0.084</v>
      </c>
      <c r="W36" s="15" t="n">
        <v>0.041</v>
      </c>
      <c r="X36" s="15" t="n">
        <v>31.88</v>
      </c>
      <c r="Y36" s="15" t="n">
        <v>20.7</v>
      </c>
      <c r="Z36" s="15" t="n">
        <v>49.4</v>
      </c>
      <c r="AA36" s="15" t="n">
        <v>66310</v>
      </c>
      <c r="AB36" s="15" t="n">
        <v>43120</v>
      </c>
      <c r="AC36" s="15" t="n">
        <v>102752</v>
      </c>
      <c r="AD36" s="15" t="n">
        <v>30.3</v>
      </c>
      <c r="AE36" s="15" t="n">
        <v>19.7</v>
      </c>
      <c r="AF36" s="15" t="n">
        <v>46.9</v>
      </c>
      <c r="AG36" s="15" t="n">
        <v>63024</v>
      </c>
      <c r="AH36" s="15" t="n">
        <v>40992</v>
      </c>
      <c r="AI36" s="15" t="n">
        <v>97728</v>
      </c>
      <c r="AJ36" s="15" t="n">
        <v>27.7</v>
      </c>
      <c r="AK36" s="15" t="n">
        <v>18</v>
      </c>
      <c r="AL36" s="15" t="n">
        <v>43</v>
      </c>
      <c r="AM36" s="15" t="n">
        <v>57616</v>
      </c>
      <c r="AN36" s="15" t="n">
        <v>37488</v>
      </c>
      <c r="AO36" s="15" t="n">
        <v>89424</v>
      </c>
      <c r="AP36" s="15" t="n">
        <v>32.5</v>
      </c>
      <c r="AQ36" s="15" t="n">
        <v>21.1</v>
      </c>
      <c r="AR36" s="15" t="n">
        <v>50.4</v>
      </c>
      <c r="AS36" s="15" t="n">
        <v>67600</v>
      </c>
      <c r="AT36" s="15" t="n">
        <v>43960</v>
      </c>
      <c r="AU36" s="15" t="n">
        <v>105104</v>
      </c>
      <c r="AV36" s="15" t="n">
        <v>2700000</v>
      </c>
      <c r="AW36" s="15" t="n">
        <v>91800</v>
      </c>
      <c r="AX36" s="15" t="n">
        <v>48600</v>
      </c>
      <c r="AY36" s="15" t="n">
        <v>2561400</v>
      </c>
      <c r="AZ36" s="15" t="n">
        <v>1350000</v>
      </c>
      <c r="BA36" s="15" t="n">
        <v>45900</v>
      </c>
      <c r="BB36" s="15" t="n">
        <v>24300</v>
      </c>
      <c r="BC36" s="15" t="n">
        <v>1280700</v>
      </c>
      <c r="BD36" s="15" t="n">
        <v>1350000</v>
      </c>
      <c r="BE36" s="15" t="n">
        <v>270000</v>
      </c>
      <c r="BF36" s="15" t="n">
        <v>0</v>
      </c>
      <c r="BG36" s="15" t="n">
        <v>1080000</v>
      </c>
      <c r="BH36" s="15" t="n">
        <v>675000</v>
      </c>
      <c r="BI36" s="15" t="n">
        <v>135000</v>
      </c>
      <c r="BJ36" s="15" t="n">
        <v>135000</v>
      </c>
      <c r="BK36" s="15" t="n">
        <v>405000</v>
      </c>
      <c r="BL36" s="15" t="n">
        <v>337500</v>
      </c>
      <c r="BM36" s="15" t="n">
        <v>67500</v>
      </c>
      <c r="BN36" s="15" t="n">
        <v>168750</v>
      </c>
      <c r="BO36" s="15" t="n">
        <v>506250</v>
      </c>
    </row>
    <row r="37" customFormat="false" ht="12.8" hidden="false" customHeight="false" outlineLevel="0" collapsed="false">
      <c r="A37" s="1" t="n">
        <v>33</v>
      </c>
      <c r="B37" s="15" t="s">
        <v>975</v>
      </c>
      <c r="C37" s="15" t="s">
        <v>958</v>
      </c>
      <c r="D37" s="15" t="n">
        <v>110000</v>
      </c>
      <c r="E37" s="15" t="n">
        <v>3740</v>
      </c>
      <c r="F37" s="15" t="n">
        <v>1980</v>
      </c>
      <c r="G37" s="15" t="n">
        <v>104280</v>
      </c>
      <c r="H37" s="15" t="n">
        <v>0.96</v>
      </c>
      <c r="I37" s="15" t="n">
        <v>0.93</v>
      </c>
      <c r="J37" s="15" t="n">
        <v>0.88</v>
      </c>
      <c r="K37" s="15" t="n">
        <v>0.963</v>
      </c>
      <c r="L37" s="15" t="n">
        <v>0.58</v>
      </c>
      <c r="M37" s="15" t="n">
        <v>0.64</v>
      </c>
      <c r="N37" s="15" t="n">
        <v>0.71</v>
      </c>
      <c r="O37" s="15" t="n">
        <v>0.57</v>
      </c>
      <c r="P37" s="15" t="n">
        <v>0.04</v>
      </c>
      <c r="Q37" s="15" t="n">
        <v>0.07</v>
      </c>
      <c r="R37" s="15" t="n">
        <v>0.12</v>
      </c>
      <c r="S37" s="15" t="n">
        <v>0.037</v>
      </c>
      <c r="T37" s="15" t="n">
        <v>0.076</v>
      </c>
      <c r="U37" s="15" t="n">
        <v>0.1</v>
      </c>
      <c r="V37" s="15" t="n">
        <v>0.17</v>
      </c>
      <c r="W37" s="15" t="n">
        <v>0.073</v>
      </c>
      <c r="X37" s="15" t="n">
        <v>15.21</v>
      </c>
      <c r="Y37" s="15" t="n">
        <v>9.9</v>
      </c>
      <c r="Z37" s="15" t="n">
        <v>23.6</v>
      </c>
      <c r="AA37" s="15" t="n">
        <v>31637</v>
      </c>
      <c r="AB37" s="15" t="n">
        <v>20592</v>
      </c>
      <c r="AC37" s="15" t="n">
        <v>49024</v>
      </c>
      <c r="AD37" s="15" t="n">
        <v>14.5</v>
      </c>
      <c r="AE37" s="15" t="n">
        <v>9.4</v>
      </c>
      <c r="AF37" s="15" t="n">
        <v>22.5</v>
      </c>
      <c r="AG37" s="15" t="n">
        <v>30160</v>
      </c>
      <c r="AH37" s="15" t="n">
        <v>19640</v>
      </c>
      <c r="AI37" s="15" t="n">
        <v>46800</v>
      </c>
      <c r="AJ37" s="15" t="n">
        <v>12.6</v>
      </c>
      <c r="AK37" s="15" t="n">
        <v>8.2</v>
      </c>
      <c r="AL37" s="15" t="n">
        <v>19.6</v>
      </c>
      <c r="AM37" s="15" t="n">
        <v>26208</v>
      </c>
      <c r="AN37" s="15" t="n">
        <v>17048</v>
      </c>
      <c r="AO37" s="15" t="n">
        <v>40656</v>
      </c>
      <c r="AP37" s="15" t="n">
        <v>15.5</v>
      </c>
      <c r="AQ37" s="15" t="n">
        <v>10.1</v>
      </c>
      <c r="AR37" s="15" t="n">
        <v>24</v>
      </c>
      <c r="AS37" s="15" t="n">
        <v>32240</v>
      </c>
      <c r="AT37" s="15" t="n">
        <v>20960</v>
      </c>
      <c r="AU37" s="15" t="n">
        <v>49920</v>
      </c>
      <c r="AV37" s="15" t="n">
        <v>3300000</v>
      </c>
      <c r="AW37" s="15" t="n">
        <v>112200</v>
      </c>
      <c r="AX37" s="15" t="n">
        <v>59400</v>
      </c>
      <c r="AY37" s="15" t="n">
        <v>3127800</v>
      </c>
      <c r="AZ37" s="15" t="n">
        <v>1650000</v>
      </c>
      <c r="BA37" s="15" t="n">
        <v>56100</v>
      </c>
      <c r="BB37" s="15" t="n">
        <v>29700</v>
      </c>
      <c r="BC37" s="15" t="n">
        <v>1563900</v>
      </c>
      <c r="BD37" s="15" t="n">
        <v>1650000</v>
      </c>
      <c r="BE37" s="15" t="n">
        <v>330000</v>
      </c>
      <c r="BF37" s="15" t="n">
        <v>0</v>
      </c>
      <c r="BG37" s="15" t="n">
        <v>1320000</v>
      </c>
      <c r="BH37" s="15" t="n">
        <v>825000</v>
      </c>
      <c r="BI37" s="15" t="n">
        <v>165000</v>
      </c>
      <c r="BJ37" s="15" t="n">
        <v>165000</v>
      </c>
      <c r="BK37" s="15" t="n">
        <v>495000</v>
      </c>
      <c r="BL37" s="15" t="n">
        <v>412500</v>
      </c>
      <c r="BM37" s="15" t="n">
        <v>82500</v>
      </c>
      <c r="BN37" s="15" t="n">
        <v>206250</v>
      </c>
      <c r="BO37" s="15" t="n">
        <v>618750</v>
      </c>
    </row>
    <row r="38" customFormat="false" ht="12.8" hidden="false" customHeight="false" outlineLevel="0" collapsed="false">
      <c r="A38" s="1" t="n">
        <v>34</v>
      </c>
      <c r="B38" s="15" t="s">
        <v>975</v>
      </c>
      <c r="C38" s="15" t="s">
        <v>959</v>
      </c>
      <c r="D38" s="15" t="n">
        <v>55000</v>
      </c>
      <c r="E38" s="15" t="n">
        <v>1870</v>
      </c>
      <c r="F38" s="15" t="n">
        <v>990</v>
      </c>
      <c r="G38" s="15" t="n">
        <v>52140</v>
      </c>
      <c r="H38" s="15" t="n">
        <v>0.96</v>
      </c>
      <c r="I38" s="15" t="n">
        <v>0.93</v>
      </c>
      <c r="J38" s="15" t="n">
        <v>0.88</v>
      </c>
      <c r="K38" s="15" t="n">
        <v>0.963</v>
      </c>
      <c r="L38" s="15" t="n">
        <v>0.551</v>
      </c>
      <c r="M38" s="15" t="n">
        <v>0.608</v>
      </c>
      <c r="N38" s="15" t="n">
        <v>0.674</v>
      </c>
      <c r="O38" s="15" t="n">
        <v>0.542</v>
      </c>
      <c r="P38" s="15" t="n">
        <v>0.04</v>
      </c>
      <c r="Q38" s="15" t="n">
        <v>0.07</v>
      </c>
      <c r="R38" s="15" t="n">
        <v>0.12</v>
      </c>
      <c r="S38" s="15" t="n">
        <v>0.037</v>
      </c>
      <c r="T38" s="15" t="n">
        <v>0.076</v>
      </c>
      <c r="U38" s="15" t="n">
        <v>0.1</v>
      </c>
      <c r="V38" s="15" t="n">
        <v>0.17</v>
      </c>
      <c r="W38" s="15" t="n">
        <v>0.073</v>
      </c>
      <c r="X38" s="15" t="n">
        <v>12.93</v>
      </c>
      <c r="Y38" s="15" t="n">
        <v>8.4</v>
      </c>
      <c r="Z38" s="15" t="n">
        <v>20</v>
      </c>
      <c r="AA38" s="15" t="n">
        <v>26904</v>
      </c>
      <c r="AB38" s="15" t="n">
        <v>17496</v>
      </c>
      <c r="AC38" s="15" t="n">
        <v>41600</v>
      </c>
      <c r="AD38" s="15" t="n">
        <v>12.3</v>
      </c>
      <c r="AE38" s="15" t="n">
        <v>8</v>
      </c>
      <c r="AF38" s="15" t="n">
        <v>19.1</v>
      </c>
      <c r="AG38" s="15" t="n">
        <v>25584</v>
      </c>
      <c r="AH38" s="15" t="n">
        <v>16632</v>
      </c>
      <c r="AI38" s="15" t="n">
        <v>39648</v>
      </c>
      <c r="AJ38" s="15" t="n">
        <v>10.7</v>
      </c>
      <c r="AK38" s="15" t="n">
        <v>7</v>
      </c>
      <c r="AL38" s="15" t="n">
        <v>16.7</v>
      </c>
      <c r="AM38" s="15" t="n">
        <v>22256</v>
      </c>
      <c r="AN38" s="15" t="n">
        <v>14464</v>
      </c>
      <c r="AO38" s="15" t="n">
        <v>34496</v>
      </c>
      <c r="AP38" s="15" t="n">
        <v>13.2</v>
      </c>
      <c r="AQ38" s="15" t="n">
        <v>8.6</v>
      </c>
      <c r="AR38" s="15" t="n">
        <v>20.4</v>
      </c>
      <c r="AS38" s="15" t="n">
        <v>27456</v>
      </c>
      <c r="AT38" s="15" t="n">
        <v>17864</v>
      </c>
      <c r="AU38" s="15" t="n">
        <v>42512</v>
      </c>
      <c r="AV38" s="15" t="n">
        <v>1650000</v>
      </c>
      <c r="AW38" s="15" t="n">
        <v>56100</v>
      </c>
      <c r="AX38" s="15" t="n">
        <v>29700</v>
      </c>
      <c r="AY38" s="15" t="n">
        <v>1563900</v>
      </c>
      <c r="AZ38" s="15" t="n">
        <v>825000</v>
      </c>
      <c r="BA38" s="15" t="n">
        <v>28050</v>
      </c>
      <c r="BB38" s="15" t="n">
        <v>14850</v>
      </c>
      <c r="BC38" s="15" t="n">
        <v>781950</v>
      </c>
      <c r="BD38" s="15" t="n">
        <v>825000</v>
      </c>
      <c r="BE38" s="15" t="n">
        <v>165000</v>
      </c>
      <c r="BF38" s="15" t="n">
        <v>0</v>
      </c>
      <c r="BG38" s="15" t="n">
        <v>660000</v>
      </c>
      <c r="BH38" s="15" t="n">
        <v>412500</v>
      </c>
      <c r="BI38" s="15" t="n">
        <v>82500</v>
      </c>
      <c r="BJ38" s="15" t="n">
        <v>82500</v>
      </c>
      <c r="BK38" s="15" t="n">
        <v>247500</v>
      </c>
      <c r="BL38" s="15" t="n">
        <v>206250</v>
      </c>
      <c r="BM38" s="15" t="n">
        <v>41250</v>
      </c>
      <c r="BN38" s="15" t="n">
        <v>103125</v>
      </c>
      <c r="BO38" s="15" t="n">
        <v>309375</v>
      </c>
    </row>
    <row r="39" customFormat="false" ht="12.8" hidden="false" customHeight="false" outlineLevel="0" collapsed="false">
      <c r="A39" s="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row>
  </sheetData>
  <mergeCells count="19">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P39"/>
  <sheetViews>
    <sheetView showFormulas="false" showGridLines="true" showRowColHeaders="true" showZeros="true" rightToLeft="false" tabSelected="false" showOutlineSymbols="true" defaultGridColor="true" view="normal" topLeftCell="A87" colorId="64" zoomScale="90" zoomScaleNormal="90"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false" hidden="false" outlineLevel="0" max="1" min="1" style="1" width="11.54"/>
    <col collapsed="false" customWidth="true" hidden="false" outlineLevel="0" max="2" min="2" style="15" width="41.5"/>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12.8" hidden="false" customHeight="false" outlineLevel="0" collapsed="false">
      <c r="A1" s="12" t="s">
        <v>976</v>
      </c>
      <c r="B1" s="23" t="s">
        <v>8</v>
      </c>
      <c r="C1" s="17" t="s">
        <v>2</v>
      </c>
      <c r="D1" s="31" t="s">
        <v>977</v>
      </c>
      <c r="AZ1" s="15"/>
      <c r="BD1" s="0"/>
      <c r="BP1" s="15"/>
    </row>
    <row r="2" s="22" customFormat="true" ht="35.05" hidden="false" customHeight="false" outlineLevel="0" collapsed="false">
      <c r="A2" s="24" t="s">
        <v>978</v>
      </c>
      <c r="B2" s="23" t="s">
        <v>979</v>
      </c>
      <c r="C2" s="23" t="str">
        <f aca="false">'LSD.RID.0.AL.CALC'!D3</f>
        <v>Labor Force Population</v>
      </c>
      <c r="D2" s="23" t="str">
        <f aca="false">'LSD.RID.0.AL.CALC'!E3</f>
        <v>Authorized Labor Force Population</v>
      </c>
      <c r="E2" s="23" t="str">
        <f aca="false">'LSD.RID.0.AL.CALC'!F3</f>
        <v>Unauthorized Labor Force Population</v>
      </c>
      <c r="F2" s="23" t="str">
        <f aca="false">'LSD.RID.0.AL.CALC'!G3</f>
        <v>American Labor Force Population</v>
      </c>
    </row>
    <row r="3" s="18" customFormat="true" ht="12.8" hidden="false" customHeight="false" outlineLevel="0" collapsed="false">
      <c r="A3" s="4" t="str">
        <f aca="false">_xlfn.CONCAT($A$1, ".", 'LSD.RID.0.AL.CALC'!A4)</f>
        <v>LSD.RID.0.AL.LFP.0</v>
      </c>
      <c r="B3" s="32" t="str">
        <f aca="false">_xlfn.CONCAT('LSD.RID.0.AL.CALC'!B4, ":", 'LSD.RID.0.AL.CALC'!C4)</f>
        <v>All Industries:All Roles</v>
      </c>
      <c r="C3" s="16" t="n">
        <f aca="false">'LSD.RID.0.AL.CALC'!D4</f>
        <v>2381400</v>
      </c>
      <c r="D3" s="16" t="n">
        <f aca="false">'LSD.RID.0.AL.CALC'!E4</f>
        <v>81000</v>
      </c>
      <c r="E3" s="16" t="n">
        <f aca="false">'LSD.RID.0.AL.CALC'!F4</f>
        <v>43000</v>
      </c>
      <c r="F3" s="16" t="n">
        <f aca="false">'LSD.RID.0.AL.CALC'!G4</f>
        <v>2257400</v>
      </c>
    </row>
    <row r="4" s="18" customFormat="true" ht="12.8" hidden="false" customHeight="false" outlineLevel="0" collapsed="false">
      <c r="A4" s="12" t="str">
        <f aca="false">_xlfn.CONCAT($A$1, ".", 'LSD.RID.0.AL.CALC'!A5)</f>
        <v>LSD.RID.0.AL.LFP.1</v>
      </c>
      <c r="B4" s="33" t="str">
        <f aca="false">_xlfn.CONCAT('LSD.RID.0.AL.CALC'!B5, ":", 'LSD.RID.0.AL.CALC'!C5)</f>
        <v>Agriculture:Worker</v>
      </c>
      <c r="C4" s="18" t="n">
        <f aca="false">'LSD.RID.0.AL.CALC'!D5</f>
        <v>30000</v>
      </c>
      <c r="D4" s="18" t="n">
        <f aca="false">'LSD.RID.0.AL.CALC'!E5</f>
        <v>1020</v>
      </c>
      <c r="E4" s="18" t="n">
        <f aca="false">'LSD.RID.0.AL.CALC'!F5</f>
        <v>540</v>
      </c>
      <c r="F4" s="18" t="n">
        <f aca="false">'LSD.RID.0.AL.CALC'!G5</f>
        <v>28440</v>
      </c>
    </row>
    <row r="5" s="18" customFormat="true" ht="12.8" hidden="false" customHeight="false" outlineLevel="0" collapsed="false">
      <c r="A5" s="12" t="str">
        <f aca="false">_xlfn.CONCAT($A$1, ".", 'LSD.RID.0.AL.CALC'!A6)</f>
        <v>LSD.RID.0.AL.LFP.2</v>
      </c>
      <c r="B5" s="33" t="str">
        <f aca="false">_xlfn.CONCAT('LSD.RID.0.AL.CALC'!B6, ":", 'LSD.RID.0.AL.CALC'!C6)</f>
        <v>Agriculture:Support</v>
      </c>
      <c r="C5" s="18" t="n">
        <f aca="false">'LSD.RID.0.AL.CALC'!D6</f>
        <v>15000</v>
      </c>
      <c r="D5" s="18" t="n">
        <f aca="false">'LSD.RID.0.AL.CALC'!E6</f>
        <v>510</v>
      </c>
      <c r="E5" s="18" t="n">
        <f aca="false">'LSD.RID.0.AL.CALC'!F6</f>
        <v>270</v>
      </c>
      <c r="F5" s="18" t="n">
        <f aca="false">'LSD.RID.0.AL.CALC'!G6</f>
        <v>14220</v>
      </c>
    </row>
    <row r="6" s="18" customFormat="true" ht="12.8" hidden="false" customHeight="false" outlineLevel="0" collapsed="false">
      <c r="A6" s="12" t="str">
        <f aca="false">_xlfn.CONCAT($A$1, ".", 'LSD.RID.0.AL.CALC'!A7)</f>
        <v>LSD.RID.0.AL.LFP.3</v>
      </c>
      <c r="B6" s="33" t="str">
        <f aca="false">_xlfn.CONCAT('LSD.RID.0.AL.CALC'!B7, ":", 'LSD.RID.0.AL.CALC'!C7)</f>
        <v>Construction:Worker</v>
      </c>
      <c r="C6" s="18" t="n">
        <f aca="false">'LSD.RID.0.AL.CALC'!D7</f>
        <v>95000</v>
      </c>
      <c r="D6" s="18" t="n">
        <f aca="false">'LSD.RID.0.AL.CALC'!E7</f>
        <v>3230</v>
      </c>
      <c r="E6" s="18" t="n">
        <f aca="false">'LSD.RID.0.AL.CALC'!F7</f>
        <v>1710</v>
      </c>
      <c r="F6" s="18" t="n">
        <f aca="false">'LSD.RID.0.AL.CALC'!G7</f>
        <v>90060</v>
      </c>
    </row>
    <row r="7" s="18" customFormat="true" ht="12.8" hidden="false" customHeight="false" outlineLevel="0" collapsed="false">
      <c r="A7" s="12" t="str">
        <f aca="false">_xlfn.CONCAT($A$1, ".", 'LSD.RID.0.AL.CALC'!A8)</f>
        <v>LSD.RID.0.AL.LFP.4</v>
      </c>
      <c r="B7" s="33" t="str">
        <f aca="false">_xlfn.CONCAT('LSD.RID.0.AL.CALC'!B8, ":", 'LSD.RID.0.AL.CALC'!C8)</f>
        <v>Construction:Support</v>
      </c>
      <c r="C7" s="18" t="n">
        <f aca="false">'LSD.RID.0.AL.CALC'!D8</f>
        <v>47500</v>
      </c>
      <c r="D7" s="18" t="n">
        <f aca="false">'LSD.RID.0.AL.CALC'!E8</f>
        <v>1615</v>
      </c>
      <c r="E7" s="18" t="n">
        <f aca="false">'LSD.RID.0.AL.CALC'!F8</f>
        <v>855</v>
      </c>
      <c r="F7" s="18" t="n">
        <f aca="false">'LSD.RID.0.AL.CALC'!G8</f>
        <v>45030</v>
      </c>
    </row>
    <row r="8" s="18" customFormat="true" ht="12.8" hidden="false" customHeight="false" outlineLevel="0" collapsed="false">
      <c r="A8" s="12" t="str">
        <f aca="false">_xlfn.CONCAT($A$1, ".", 'LSD.RID.0.AL.CALC'!A9)</f>
        <v>LSD.RID.0.AL.LFP.5</v>
      </c>
      <c r="B8" s="33" t="str">
        <f aca="false">_xlfn.CONCAT('LSD.RID.0.AL.CALC'!B9, ":", 'LSD.RID.0.AL.CALC'!C9)</f>
        <v>Hospitality:Worker</v>
      </c>
      <c r="C8" s="18" t="n">
        <f aca="false">'LSD.RID.0.AL.CALC'!D9</f>
        <v>240000</v>
      </c>
      <c r="D8" s="18" t="n">
        <f aca="false">'LSD.RID.0.AL.CALC'!E9</f>
        <v>8160</v>
      </c>
      <c r="E8" s="18" t="n">
        <f aca="false">'LSD.RID.0.AL.CALC'!F9</f>
        <v>4320</v>
      </c>
      <c r="F8" s="18" t="n">
        <f aca="false">'LSD.RID.0.AL.CALC'!G9</f>
        <v>227520</v>
      </c>
    </row>
    <row r="9" s="18" customFormat="true" ht="12.8" hidden="false" customHeight="false" outlineLevel="0" collapsed="false">
      <c r="A9" s="12" t="str">
        <f aca="false">_xlfn.CONCAT($A$1, ".", 'LSD.RID.0.AL.CALC'!A10)</f>
        <v>LSD.RID.0.AL.LFP.6</v>
      </c>
      <c r="B9" s="33" t="str">
        <f aca="false">_xlfn.CONCAT('LSD.RID.0.AL.CALC'!B10, ":", 'LSD.RID.0.AL.CALC'!C10)</f>
        <v>Hospitality:Support</v>
      </c>
      <c r="C9" s="18" t="n">
        <f aca="false">'LSD.RID.0.AL.CALC'!D10</f>
        <v>120000</v>
      </c>
      <c r="D9" s="18" t="n">
        <f aca="false">'LSD.RID.0.AL.CALC'!E10</f>
        <v>4080</v>
      </c>
      <c r="E9" s="18" t="n">
        <f aca="false">'LSD.RID.0.AL.CALC'!F10</f>
        <v>2160</v>
      </c>
      <c r="F9" s="18" t="n">
        <f aca="false">'LSD.RID.0.AL.CALC'!G10</f>
        <v>113760</v>
      </c>
    </row>
    <row r="10" s="18" customFormat="true" ht="12.8" hidden="false" customHeight="false" outlineLevel="0" collapsed="false">
      <c r="A10" s="12" t="str">
        <f aca="false">_xlfn.CONCAT($A$1, ".", 'LSD.RID.0.AL.CALC'!A11)</f>
        <v>LSD.RID.0.AL.LFP.7</v>
      </c>
      <c r="B10" s="33" t="str">
        <f aca="false">_xlfn.CONCAT('LSD.RID.0.AL.CALC'!B11, ":", 'LSD.RID.0.AL.CALC'!C11)</f>
        <v>Cleaning &amp; Maintenance:Worker</v>
      </c>
      <c r="C10" s="18" t="n">
        <f aca="false">'LSD.RID.0.AL.CALC'!D11</f>
        <v>65000</v>
      </c>
      <c r="D10" s="18" t="n">
        <f aca="false">'LSD.RID.0.AL.CALC'!E11</f>
        <v>2210</v>
      </c>
      <c r="E10" s="18" t="n">
        <f aca="false">'LSD.RID.0.AL.CALC'!F11</f>
        <v>1170</v>
      </c>
      <c r="F10" s="18" t="n">
        <f aca="false">'LSD.RID.0.AL.CALC'!G11</f>
        <v>61620</v>
      </c>
    </row>
    <row r="11" s="18" customFormat="true" ht="12.8" hidden="false" customHeight="false" outlineLevel="0" collapsed="false">
      <c r="A11" s="12" t="str">
        <f aca="false">_xlfn.CONCAT($A$1, ".", 'LSD.RID.0.AL.CALC'!A12)</f>
        <v>LSD.RID.0.AL.LFP.8</v>
      </c>
      <c r="B11" s="33" t="str">
        <f aca="false">_xlfn.CONCAT('LSD.RID.0.AL.CALC'!B12, ":", 'LSD.RID.0.AL.CALC'!C12)</f>
        <v>Cleaning &amp; Maintenance:Support</v>
      </c>
      <c r="C11" s="18" t="n">
        <f aca="false">'LSD.RID.0.AL.CALC'!D12</f>
        <v>32500</v>
      </c>
      <c r="D11" s="18" t="n">
        <f aca="false">'LSD.RID.0.AL.CALC'!E12</f>
        <v>1105</v>
      </c>
      <c r="E11" s="18" t="n">
        <f aca="false">'LSD.RID.0.AL.CALC'!F12</f>
        <v>585</v>
      </c>
      <c r="F11" s="18" t="n">
        <f aca="false">'LSD.RID.0.AL.CALC'!G12</f>
        <v>30810</v>
      </c>
    </row>
    <row r="12" s="18" customFormat="true" ht="12.8" hidden="false" customHeight="false" outlineLevel="0" collapsed="false">
      <c r="A12" s="12" t="str">
        <f aca="false">_xlfn.CONCAT($A$1, ".", 'LSD.RID.0.AL.CALC'!A13)</f>
        <v>LSD.RID.0.AL.LFP.9</v>
      </c>
      <c r="B12" s="33" t="str">
        <f aca="false">_xlfn.CONCAT('LSD.RID.0.AL.CALC'!B13, ":", 'LSD.RID.0.AL.CALC'!C13)</f>
        <v>Manufacturing:Worker</v>
      </c>
      <c r="C12" s="18" t="n">
        <f aca="false">'LSD.RID.0.AL.CALC'!D13</f>
        <v>270000</v>
      </c>
      <c r="D12" s="18" t="n">
        <f aca="false">'LSD.RID.0.AL.CALC'!E13</f>
        <v>9180</v>
      </c>
      <c r="E12" s="18" t="n">
        <f aca="false">'LSD.RID.0.AL.CALC'!F13</f>
        <v>4860</v>
      </c>
      <c r="F12" s="18" t="n">
        <f aca="false">'LSD.RID.0.AL.CALC'!G13</f>
        <v>255960</v>
      </c>
    </row>
    <row r="13" s="18" customFormat="true" ht="12.8" hidden="false" customHeight="false" outlineLevel="0" collapsed="false">
      <c r="A13" s="12" t="str">
        <f aca="false">_xlfn.CONCAT($A$1, ".", 'LSD.RID.0.AL.CALC'!A14)</f>
        <v>LSD.RID.0.AL.LFP.10</v>
      </c>
      <c r="B13" s="33" t="str">
        <f aca="false">_xlfn.CONCAT('LSD.RID.0.AL.CALC'!B14, ":", 'LSD.RID.0.AL.CALC'!C14)</f>
        <v>Manufacturing:Support</v>
      </c>
      <c r="C13" s="18" t="n">
        <f aca="false">'LSD.RID.0.AL.CALC'!D14</f>
        <v>135000</v>
      </c>
      <c r="D13" s="18" t="n">
        <f aca="false">'LSD.RID.0.AL.CALC'!E14</f>
        <v>4590</v>
      </c>
      <c r="E13" s="18" t="n">
        <f aca="false">'LSD.RID.0.AL.CALC'!F14</f>
        <v>2430</v>
      </c>
      <c r="F13" s="18" t="n">
        <f aca="false">'LSD.RID.0.AL.CALC'!G14</f>
        <v>127980</v>
      </c>
    </row>
    <row r="14" s="18" customFormat="true" ht="12.8" hidden="false" customHeight="false" outlineLevel="0" collapsed="false">
      <c r="A14" s="12" t="str">
        <f aca="false">_xlfn.CONCAT($A$1, ".", 'LSD.RID.0.AL.CALC'!A15)</f>
        <v>LSD.RID.0.AL.LFP.11</v>
      </c>
      <c r="B14" s="33" t="str">
        <f aca="false">_xlfn.CONCAT('LSD.RID.0.AL.CALC'!B15, ":", 'LSD.RID.0.AL.CALC'!C15)</f>
        <v>Transportation &amp; Warehousing:Worker</v>
      </c>
      <c r="C14" s="18" t="n">
        <f aca="false">'LSD.RID.0.AL.CALC'!D15</f>
        <v>90000</v>
      </c>
      <c r="D14" s="18" t="n">
        <f aca="false">'LSD.RID.0.AL.CALC'!E15</f>
        <v>3060</v>
      </c>
      <c r="E14" s="18" t="n">
        <f aca="false">'LSD.RID.0.AL.CALC'!F15</f>
        <v>1620</v>
      </c>
      <c r="F14" s="18" t="n">
        <f aca="false">'LSD.RID.0.AL.CALC'!G15</f>
        <v>85320</v>
      </c>
    </row>
    <row r="15" s="18" customFormat="true" ht="12.8" hidden="false" customHeight="false" outlineLevel="0" collapsed="false">
      <c r="A15" s="12" t="str">
        <f aca="false">_xlfn.CONCAT($A$1, ".", 'LSD.RID.0.AL.CALC'!A16)</f>
        <v>LSD.RID.0.AL.LFP.12</v>
      </c>
      <c r="B15" s="33" t="str">
        <f aca="false">_xlfn.CONCAT('LSD.RID.0.AL.CALC'!B16, ":", 'LSD.RID.0.AL.CALC'!C16)</f>
        <v>Transportation &amp; Warehousing:Support</v>
      </c>
      <c r="C15" s="18" t="n">
        <f aca="false">'LSD.RID.0.AL.CALC'!D16</f>
        <v>45000</v>
      </c>
      <c r="D15" s="18" t="n">
        <f aca="false">'LSD.RID.0.AL.CALC'!E16</f>
        <v>1530</v>
      </c>
      <c r="E15" s="18" t="n">
        <f aca="false">'LSD.RID.0.AL.CALC'!F16</f>
        <v>810</v>
      </c>
      <c r="F15" s="18" t="n">
        <f aca="false">'LSD.RID.0.AL.CALC'!G16</f>
        <v>42660</v>
      </c>
    </row>
    <row r="16" s="18" customFormat="true" ht="12.8" hidden="false" customHeight="false" outlineLevel="0" collapsed="false">
      <c r="A16" s="12" t="str">
        <f aca="false">_xlfn.CONCAT($A$1, ".", 'LSD.RID.0.AL.CALC'!A17)</f>
        <v>LSD.RID.0.AL.LFP.13</v>
      </c>
      <c r="B16" s="33" t="str">
        <f aca="false">_xlfn.CONCAT('LSD.RID.0.AL.CALC'!B17, ":", 'LSD.RID.0.AL.CALC'!C17)</f>
        <v>Retail Trade:Worker</v>
      </c>
      <c r="C16" s="18" t="n">
        <f aca="false">'LSD.RID.0.AL.CALC'!D17</f>
        <v>320000</v>
      </c>
      <c r="D16" s="18" t="n">
        <f aca="false">'LSD.RID.0.AL.CALC'!E17</f>
        <v>10880</v>
      </c>
      <c r="E16" s="18" t="n">
        <f aca="false">'LSD.RID.0.AL.CALC'!F17</f>
        <v>5760</v>
      </c>
      <c r="F16" s="18" t="n">
        <f aca="false">'LSD.RID.0.AL.CALC'!G17</f>
        <v>303360</v>
      </c>
    </row>
    <row r="17" s="18" customFormat="true" ht="12.8" hidden="false" customHeight="false" outlineLevel="0" collapsed="false">
      <c r="A17" s="12" t="str">
        <f aca="false">_xlfn.CONCAT($A$1, ".", 'LSD.RID.0.AL.CALC'!A18)</f>
        <v>LSD.RID.0.AL.LFP.14</v>
      </c>
      <c r="B17" s="33" t="str">
        <f aca="false">_xlfn.CONCAT('LSD.RID.0.AL.CALC'!B18, ":", 'LSD.RID.0.AL.CALC'!C18)</f>
        <v>Retail Trade:Support</v>
      </c>
      <c r="C17" s="18" t="n">
        <f aca="false">'LSD.RID.0.AL.CALC'!D18</f>
        <v>160000</v>
      </c>
      <c r="D17" s="18" t="n">
        <f aca="false">'LSD.RID.0.AL.CALC'!E18</f>
        <v>5440</v>
      </c>
      <c r="E17" s="18" t="n">
        <f aca="false">'LSD.RID.0.AL.CALC'!F18</f>
        <v>2880</v>
      </c>
      <c r="F17" s="18" t="n">
        <f aca="false">'LSD.RID.0.AL.CALC'!G18</f>
        <v>151680</v>
      </c>
    </row>
    <row r="18" s="18" customFormat="true" ht="12.8" hidden="false" customHeight="false" outlineLevel="0" collapsed="false">
      <c r="A18" s="12" t="str">
        <f aca="false">_xlfn.CONCAT($A$1, ".", 'LSD.RID.0.AL.CALC'!A19)</f>
        <v>LSD.RID.0.AL.LFP.15</v>
      </c>
      <c r="B18" s="33" t="str">
        <f aca="false">_xlfn.CONCAT('LSD.RID.0.AL.CALC'!B19, ":", 'LSD.RID.0.AL.CALC'!C19)</f>
        <v>Landscaping / Groundskeeping:Worker</v>
      </c>
      <c r="C18" s="18" t="n">
        <f aca="false">'LSD.RID.0.AL.CALC'!D19</f>
        <v>55000</v>
      </c>
      <c r="D18" s="18" t="n">
        <f aca="false">'LSD.RID.0.AL.CALC'!E19</f>
        <v>1870</v>
      </c>
      <c r="E18" s="18" t="n">
        <f aca="false">'LSD.RID.0.AL.CALC'!F19</f>
        <v>990</v>
      </c>
      <c r="F18" s="18" t="n">
        <f aca="false">'LSD.RID.0.AL.CALC'!G19</f>
        <v>52140</v>
      </c>
    </row>
    <row r="19" s="18" customFormat="true" ht="12.8" hidden="false" customHeight="false" outlineLevel="0" collapsed="false">
      <c r="A19" s="12" t="str">
        <f aca="false">_xlfn.CONCAT($A$1, ".", 'LSD.RID.0.AL.CALC'!A20)</f>
        <v>LSD.RID.0.AL.LFP.16</v>
      </c>
      <c r="B19" s="33" t="str">
        <f aca="false">_xlfn.CONCAT('LSD.RID.0.AL.CALC'!B20, ":", 'LSD.RID.0.AL.CALC'!C20)</f>
        <v>Landscaping / Groundskeeping:Support</v>
      </c>
      <c r="C19" s="18" t="n">
        <f aca="false">'LSD.RID.0.AL.CALC'!D20</f>
        <v>27500</v>
      </c>
      <c r="D19" s="18" t="n">
        <f aca="false">'LSD.RID.0.AL.CALC'!E20</f>
        <v>935</v>
      </c>
      <c r="E19" s="18" t="n">
        <f aca="false">'LSD.RID.0.AL.CALC'!F20</f>
        <v>495</v>
      </c>
      <c r="F19" s="18" t="n">
        <f aca="false">'LSD.RID.0.AL.CALC'!G20</f>
        <v>26070</v>
      </c>
    </row>
    <row r="20" s="18" customFormat="true" ht="12.8" hidden="false" customHeight="false" outlineLevel="0" collapsed="false">
      <c r="A20" s="12" t="str">
        <f aca="false">_xlfn.CONCAT($A$1, ".", 'LSD.RID.0.AL.CALC'!A21)</f>
        <v>LSD.RID.0.AL.LFP.17</v>
      </c>
      <c r="B20" s="33" t="str">
        <f aca="false">_xlfn.CONCAT('LSD.RID.0.AL.CALC'!B21, ":", 'LSD.RID.0.AL.CALC'!C21)</f>
        <v>Automotive &amp; Repair:Worker</v>
      </c>
      <c r="C20" s="18" t="n">
        <f aca="false">'LSD.RID.0.AL.CALC'!D21</f>
        <v>45000</v>
      </c>
      <c r="D20" s="18" t="n">
        <f aca="false">'LSD.RID.0.AL.CALC'!E21</f>
        <v>1530</v>
      </c>
      <c r="E20" s="18" t="n">
        <f aca="false">'LSD.RID.0.AL.CALC'!F21</f>
        <v>810</v>
      </c>
      <c r="F20" s="18" t="n">
        <f aca="false">'LSD.RID.0.AL.CALC'!G21</f>
        <v>42660</v>
      </c>
    </row>
    <row r="21" s="18" customFormat="true" ht="12.8" hidden="false" customHeight="false" outlineLevel="0" collapsed="false">
      <c r="A21" s="12" t="str">
        <f aca="false">_xlfn.CONCAT($A$1, ".", 'LSD.RID.0.AL.CALC'!A22)</f>
        <v>LSD.RID.0.AL.LFP.18</v>
      </c>
      <c r="B21" s="33" t="str">
        <f aca="false">_xlfn.CONCAT('LSD.RID.0.AL.CALC'!B22, ":", 'LSD.RID.0.AL.CALC'!C22)</f>
        <v>Automotive &amp; Repair:Support</v>
      </c>
      <c r="C21" s="18" t="n">
        <f aca="false">'LSD.RID.0.AL.CALC'!D22</f>
        <v>22500</v>
      </c>
      <c r="D21" s="18" t="n">
        <f aca="false">'LSD.RID.0.AL.CALC'!E22</f>
        <v>765</v>
      </c>
      <c r="E21" s="18" t="n">
        <f aca="false">'LSD.RID.0.AL.CALC'!F22</f>
        <v>405</v>
      </c>
      <c r="F21" s="18" t="n">
        <f aca="false">'LSD.RID.0.AL.CALC'!G22</f>
        <v>21330</v>
      </c>
    </row>
    <row r="22" s="18" customFormat="true" ht="12.8" hidden="false" customHeight="false" outlineLevel="0" collapsed="false">
      <c r="A22" s="12" t="str">
        <f aca="false">_xlfn.CONCAT($A$1, ".", 'LSD.RID.0.AL.CALC'!A23)</f>
        <v>LSD.RID.0.AL.LFP.19</v>
      </c>
      <c r="B22" s="33" t="str">
        <f aca="false">_xlfn.CONCAT('LSD.RID.0.AL.CALC'!B23, ":", 'LSD.RID.0.AL.CALC'!C23)</f>
        <v>Healthcare &amp; Social Assistance:Worker</v>
      </c>
      <c r="C22" s="18" t="n">
        <f aca="false">'LSD.RID.0.AL.CALC'!D23</f>
        <v>320000</v>
      </c>
      <c r="D22" s="18" t="n">
        <f aca="false">'LSD.RID.0.AL.CALC'!E23</f>
        <v>10880</v>
      </c>
      <c r="E22" s="18" t="n">
        <f aca="false">'LSD.RID.0.AL.CALC'!F23</f>
        <v>5760</v>
      </c>
      <c r="F22" s="18" t="n">
        <f aca="false">'LSD.RID.0.AL.CALC'!G23</f>
        <v>303360</v>
      </c>
    </row>
    <row r="23" s="18" customFormat="true" ht="12.8" hidden="false" customHeight="false" outlineLevel="0" collapsed="false">
      <c r="A23" s="12" t="str">
        <f aca="false">_xlfn.CONCAT($A$1, ".", 'LSD.RID.0.AL.CALC'!A24)</f>
        <v>LSD.RID.0.AL.LFP.20</v>
      </c>
      <c r="B23" s="33" t="str">
        <f aca="false">_xlfn.CONCAT('LSD.RID.0.AL.CALC'!B24, ":", 'LSD.RID.0.AL.CALC'!C24)</f>
        <v>Healthcare &amp; Social Assistance:Support</v>
      </c>
      <c r="C23" s="18" t="n">
        <f aca="false">'LSD.RID.0.AL.CALC'!D24</f>
        <v>160000</v>
      </c>
      <c r="D23" s="18" t="n">
        <f aca="false">'LSD.RID.0.AL.CALC'!E24</f>
        <v>5440</v>
      </c>
      <c r="E23" s="18" t="n">
        <f aca="false">'LSD.RID.0.AL.CALC'!F24</f>
        <v>2880</v>
      </c>
      <c r="F23" s="18" t="n">
        <f aca="false">'LSD.RID.0.AL.CALC'!G24</f>
        <v>151680</v>
      </c>
    </row>
    <row r="24" s="18" customFormat="true" ht="12.8" hidden="false" customHeight="false" outlineLevel="0" collapsed="false">
      <c r="A24" s="12" t="str">
        <f aca="false">_xlfn.CONCAT($A$1, ".", 'LSD.RID.0.AL.CALC'!A25)</f>
        <v>LSD.RID.0.AL.LFP.21</v>
      </c>
      <c r="B24" s="33" t="str">
        <f aca="false">_xlfn.CONCAT('LSD.RID.0.AL.CALC'!B25, ":", 'LSD.RID.0.AL.CALC'!C25)</f>
        <v>Professional Services:Worker</v>
      </c>
      <c r="C24" s="18" t="n">
        <f aca="false">'LSD.RID.0.AL.CALC'!D25</f>
        <v>220000</v>
      </c>
      <c r="D24" s="18" t="n">
        <f aca="false">'LSD.RID.0.AL.CALC'!E25</f>
        <v>7480</v>
      </c>
      <c r="E24" s="18" t="n">
        <f aca="false">'LSD.RID.0.AL.CALC'!F25</f>
        <v>3960</v>
      </c>
      <c r="F24" s="18" t="n">
        <f aca="false">'LSD.RID.0.AL.CALC'!G25</f>
        <v>208560</v>
      </c>
    </row>
    <row r="25" s="18" customFormat="true" ht="12.8" hidden="false" customHeight="false" outlineLevel="0" collapsed="false">
      <c r="A25" s="12" t="str">
        <f aca="false">_xlfn.CONCAT($A$1, ".", 'LSD.RID.0.AL.CALC'!A26)</f>
        <v>LSD.RID.0.AL.LFP.22</v>
      </c>
      <c r="B25" s="33" t="str">
        <f aca="false">_xlfn.CONCAT('LSD.RID.0.AL.CALC'!B26, ":", 'LSD.RID.0.AL.CALC'!C26)</f>
        <v>Professional Services:Support</v>
      </c>
      <c r="C25" s="18" t="n">
        <f aca="false">'LSD.RID.0.AL.CALC'!D26</f>
        <v>110000</v>
      </c>
      <c r="D25" s="18" t="n">
        <f aca="false">'LSD.RID.0.AL.CALC'!E26</f>
        <v>3740</v>
      </c>
      <c r="E25" s="18" t="n">
        <f aca="false">'LSD.RID.0.AL.CALC'!F26</f>
        <v>1980</v>
      </c>
      <c r="F25" s="18" t="n">
        <f aca="false">'LSD.RID.0.AL.CALC'!G26</f>
        <v>104280</v>
      </c>
    </row>
    <row r="26" s="18" customFormat="true" ht="12.8" hidden="false" customHeight="false" outlineLevel="0" collapsed="false">
      <c r="A26" s="12" t="str">
        <f aca="false">_xlfn.CONCAT($A$1, ".", 'LSD.RID.0.AL.CALC'!A27)</f>
        <v>LSD.RID.0.AL.LFP.23</v>
      </c>
      <c r="B26" s="33" t="str">
        <f aca="false">_xlfn.CONCAT('LSD.RID.0.AL.CALC'!B27, ":", 'LSD.RID.0.AL.CALC'!C27)</f>
        <v>Educational Services:Worker</v>
      </c>
      <c r="C26" s="18" t="n">
        <f aca="false">'LSD.RID.0.AL.CALC'!D27</f>
        <v>140000</v>
      </c>
      <c r="D26" s="18" t="n">
        <f aca="false">'LSD.RID.0.AL.CALC'!E27</f>
        <v>4760</v>
      </c>
      <c r="E26" s="18" t="n">
        <f aca="false">'LSD.RID.0.AL.CALC'!F27</f>
        <v>2520</v>
      </c>
      <c r="F26" s="18" t="n">
        <f aca="false">'LSD.RID.0.AL.CALC'!G27</f>
        <v>127720</v>
      </c>
    </row>
    <row r="27" s="18" customFormat="true" ht="12.8" hidden="false" customHeight="false" outlineLevel="0" collapsed="false">
      <c r="A27" s="12" t="str">
        <f aca="false">_xlfn.CONCAT($A$1, ".", 'LSD.RID.0.AL.CALC'!A28)</f>
        <v>LSD.RID.0.AL.LFP.24</v>
      </c>
      <c r="B27" s="33" t="str">
        <f aca="false">_xlfn.CONCAT('LSD.RID.0.AL.CALC'!B28, ":", 'LSD.RID.0.AL.CALC'!C28)</f>
        <v>Educational Services:Support</v>
      </c>
      <c r="C27" s="18" t="n">
        <f aca="false">'LSD.RID.0.AL.CALC'!D28</f>
        <v>70000</v>
      </c>
      <c r="D27" s="18" t="n">
        <f aca="false">'LSD.RID.0.AL.CALC'!E28</f>
        <v>2380</v>
      </c>
      <c r="E27" s="18" t="n">
        <f aca="false">'LSD.RID.0.AL.CALC'!F28</f>
        <v>1260</v>
      </c>
      <c r="F27" s="18" t="n">
        <f aca="false">'LSD.RID.0.AL.CALC'!G28</f>
        <v>63860</v>
      </c>
    </row>
    <row r="28" s="18" customFormat="true" ht="12.8" hidden="false" customHeight="false" outlineLevel="0" collapsed="false">
      <c r="A28" s="12" t="str">
        <f aca="false">_xlfn.CONCAT($A$1, ".", 'LSD.RID.0.AL.CALC'!A29)</f>
        <v>LSD.RID.0.AL.LFP.25</v>
      </c>
      <c r="B28" s="33" t="str">
        <f aca="false">_xlfn.CONCAT('LSD.RID.0.AL.CALC'!B29, ":", 'LSD.RID.0.AL.CALC'!C29)</f>
        <v>Finance &amp; Insurance:Worker</v>
      </c>
      <c r="C28" s="18" t="n">
        <f aca="false">'LSD.RID.0.AL.CALC'!D29</f>
        <v>100000</v>
      </c>
      <c r="D28" s="18" t="n">
        <f aca="false">'LSD.RID.0.AL.CALC'!E29</f>
        <v>3400</v>
      </c>
      <c r="E28" s="18" t="n">
        <f aca="false">'LSD.RID.0.AL.CALC'!F29</f>
        <v>1800</v>
      </c>
      <c r="F28" s="18" t="n">
        <f aca="false">'LSD.RID.0.AL.CALC'!G29</f>
        <v>94800</v>
      </c>
    </row>
    <row r="29" s="18" customFormat="true" ht="12.8" hidden="false" customHeight="false" outlineLevel="0" collapsed="false">
      <c r="A29" s="12" t="str">
        <f aca="false">_xlfn.CONCAT($A$1, ".", 'LSD.RID.0.AL.CALC'!A30)</f>
        <v>LSD.RID.0.AL.LFP.26</v>
      </c>
      <c r="B29" s="33" t="str">
        <f aca="false">_xlfn.CONCAT('LSD.RID.0.AL.CALC'!B30, ":", 'LSD.RID.0.AL.CALC'!C30)</f>
        <v>Finance &amp; Insurance:Support</v>
      </c>
      <c r="C29" s="18" t="n">
        <f aca="false">'LSD.RID.0.AL.CALC'!D30</f>
        <v>50000</v>
      </c>
      <c r="D29" s="18" t="n">
        <f aca="false">'LSD.RID.0.AL.CALC'!E30</f>
        <v>1700</v>
      </c>
      <c r="E29" s="18" t="n">
        <f aca="false">'LSD.RID.0.AL.CALC'!F30</f>
        <v>900</v>
      </c>
      <c r="F29" s="18" t="n">
        <f aca="false">'LSD.RID.0.AL.CALC'!G30</f>
        <v>47400</v>
      </c>
    </row>
    <row r="30" s="18" customFormat="true" ht="12.8" hidden="false" customHeight="false" outlineLevel="0" collapsed="false">
      <c r="A30" s="12" t="str">
        <f aca="false">_xlfn.CONCAT($A$1, ".", 'LSD.RID.0.AL.CALC'!A31)</f>
        <v>LSD.RID.0.AL.LFP.27</v>
      </c>
      <c r="B30" s="33" t="str">
        <f aca="false">_xlfn.CONCAT('LSD.RID.0.AL.CALC'!B31, ":", 'LSD.RID.0.AL.CALC'!C31)</f>
        <v>Media and Information Technology:Worker</v>
      </c>
      <c r="C30" s="18" t="n">
        <f aca="false">'LSD.RID.0.AL.CALC'!D31</f>
        <v>30000</v>
      </c>
      <c r="D30" s="18" t="n">
        <f aca="false">'LSD.RID.0.AL.CALC'!E31</f>
        <v>1020</v>
      </c>
      <c r="E30" s="18" t="n">
        <f aca="false">'LSD.RID.0.AL.CALC'!F31</f>
        <v>540</v>
      </c>
      <c r="F30" s="18" t="n">
        <f aca="false">'LSD.RID.0.AL.CALC'!G31</f>
        <v>28440</v>
      </c>
    </row>
    <row r="31" s="18" customFormat="true" ht="12.8" hidden="false" customHeight="false" outlineLevel="0" collapsed="false">
      <c r="A31" s="12" t="str">
        <f aca="false">_xlfn.CONCAT($A$1, ".", 'LSD.RID.0.AL.CALC'!A32)</f>
        <v>LSD.RID.0.AL.LFP.28</v>
      </c>
      <c r="B31" s="33" t="str">
        <f aca="false">_xlfn.CONCAT('LSD.RID.0.AL.CALC'!B32, ":", 'LSD.RID.0.AL.CALC'!C32)</f>
        <v>Media and Information Technology:Support</v>
      </c>
      <c r="C31" s="18" t="n">
        <f aca="false">'LSD.RID.0.AL.CALC'!D32</f>
        <v>15000</v>
      </c>
      <c r="D31" s="18" t="n">
        <f aca="false">'LSD.RID.0.AL.CALC'!E32</f>
        <v>510</v>
      </c>
      <c r="E31" s="18" t="n">
        <f aca="false">'LSD.RID.0.AL.CALC'!F32</f>
        <v>270</v>
      </c>
      <c r="F31" s="18" t="n">
        <f aca="false">'LSD.RID.0.AL.CALC'!G32</f>
        <v>14220</v>
      </c>
    </row>
    <row r="32" s="18" customFormat="true" ht="12.8" hidden="false" customHeight="false" outlineLevel="0" collapsed="false">
      <c r="A32" s="12" t="str">
        <f aca="false">_xlfn.CONCAT($A$1, ".", 'LSD.RID.0.AL.CALC'!A33)</f>
        <v>LSD.RID.0.AL.LFP.29</v>
      </c>
      <c r="B32" s="33" t="str">
        <f aca="false">_xlfn.CONCAT('LSD.RID.0.AL.CALC'!B33, ":", 'LSD.RID.0.AL.CALC'!C33)</f>
        <v>Government:Worker</v>
      </c>
      <c r="C32" s="18" t="n">
        <f aca="false">'LSD.RID.0.AL.CALC'!D33</f>
        <v>400000</v>
      </c>
      <c r="D32" s="18" t="n">
        <f aca="false">'LSD.RID.0.AL.CALC'!E33</f>
        <v>13600</v>
      </c>
      <c r="E32" s="18" t="n">
        <f aca="false">'LSD.RID.0.AL.CALC'!F33</f>
        <v>7200</v>
      </c>
      <c r="F32" s="18" t="n">
        <f aca="false">'LSD.RID.0.AL.CALC'!G33</f>
        <v>379200</v>
      </c>
    </row>
    <row r="33" s="18" customFormat="true" ht="12.8" hidden="false" customHeight="false" outlineLevel="0" collapsed="false">
      <c r="A33" s="12" t="str">
        <f aca="false">_xlfn.CONCAT($A$1, ".", 'LSD.RID.0.AL.CALC'!A34)</f>
        <v>LSD.RID.0.AL.LFP.30</v>
      </c>
      <c r="B33" s="33" t="str">
        <f aca="false">_xlfn.CONCAT('LSD.RID.0.AL.CALC'!B34, ":", 'LSD.RID.0.AL.CALC'!C34)</f>
        <v>Government:Support</v>
      </c>
      <c r="C33" s="18" t="n">
        <f aca="false">'LSD.RID.0.AL.CALC'!D34</f>
        <v>200000</v>
      </c>
      <c r="D33" s="18" t="n">
        <f aca="false">'LSD.RID.0.AL.CALC'!E34</f>
        <v>6800</v>
      </c>
      <c r="E33" s="18" t="n">
        <f aca="false">'LSD.RID.0.AL.CALC'!F34</f>
        <v>3600</v>
      </c>
      <c r="F33" s="18" t="n">
        <f aca="false">'LSD.RID.0.AL.CALC'!G34</f>
        <v>189600</v>
      </c>
    </row>
    <row r="34" s="18" customFormat="true" ht="12.8" hidden="false" customHeight="false" outlineLevel="0" collapsed="false">
      <c r="A34" s="12" t="str">
        <f aca="false">_xlfn.CONCAT($A$1, ".", 'LSD.RID.0.AL.CALC'!A35)</f>
        <v>LSD.RID.0.AL.LFP.31</v>
      </c>
      <c r="B34" s="33" t="str">
        <f aca="false">_xlfn.CONCAT('LSD.RID.0.AL.CALC'!B35, ":", 'LSD.RID.0.AL.CALC'!C35)</f>
        <v>Self-Employed / Non-Employer:Worker</v>
      </c>
      <c r="C34" s="18" t="n">
        <f aca="false">'LSD.RID.0.AL.CALC'!D35</f>
        <v>180000</v>
      </c>
      <c r="D34" s="18" t="n">
        <f aca="false">'LSD.RID.0.AL.CALC'!E35</f>
        <v>6120</v>
      </c>
      <c r="E34" s="18" t="n">
        <f aca="false">'LSD.RID.0.AL.CALC'!F35</f>
        <v>3240</v>
      </c>
      <c r="F34" s="18" t="n">
        <f aca="false">'LSD.RID.0.AL.CALC'!G35</f>
        <v>170640</v>
      </c>
    </row>
    <row r="35" s="18" customFormat="true" ht="12.8" hidden="false" customHeight="false" outlineLevel="0" collapsed="false">
      <c r="A35" s="12" t="str">
        <f aca="false">_xlfn.CONCAT($A$1, ".", 'LSD.RID.0.AL.CALC'!A36)</f>
        <v>LSD.RID.0.AL.LFP.32</v>
      </c>
      <c r="B35" s="33" t="str">
        <f aca="false">_xlfn.CONCAT('LSD.RID.0.AL.CALC'!B36, ":", 'LSD.RID.0.AL.CALC'!C36)</f>
        <v>Self-Employed / Non-Employer:Support</v>
      </c>
      <c r="C35" s="18" t="n">
        <f aca="false">'LSD.RID.0.AL.CALC'!D36</f>
        <v>90000</v>
      </c>
      <c r="D35" s="18" t="n">
        <f aca="false">'LSD.RID.0.AL.CALC'!E36</f>
        <v>3060</v>
      </c>
      <c r="E35" s="18" t="n">
        <f aca="false">'LSD.RID.0.AL.CALC'!F36</f>
        <v>1620</v>
      </c>
      <c r="F35" s="18" t="n">
        <f aca="false">'LSD.RID.0.AL.CALC'!G36</f>
        <v>85320</v>
      </c>
    </row>
    <row r="36" s="18" customFormat="true" ht="12.8" hidden="false" customHeight="false" outlineLevel="0" collapsed="false">
      <c r="A36" s="12" t="str">
        <f aca="false">_xlfn.CONCAT($A$1, ".", 'LSD.RID.0.AL.CALC'!A37)</f>
        <v>LSD.RID.0.AL.LFP.33</v>
      </c>
      <c r="B36" s="33" t="str">
        <f aca="false">_xlfn.CONCAT('LSD.RID.0.AL.CALC'!B37, ":", 'LSD.RID.0.AL.CALC'!C37)</f>
        <v>Other Services:Worker</v>
      </c>
      <c r="C36" s="18" t="n">
        <f aca="false">'LSD.RID.0.AL.CALC'!D37</f>
        <v>110000</v>
      </c>
      <c r="D36" s="18" t="n">
        <f aca="false">'LSD.RID.0.AL.CALC'!E37</f>
        <v>3740</v>
      </c>
      <c r="E36" s="18" t="n">
        <f aca="false">'LSD.RID.0.AL.CALC'!F37</f>
        <v>1980</v>
      </c>
      <c r="F36" s="18" t="n">
        <f aca="false">'LSD.RID.0.AL.CALC'!G37</f>
        <v>104280</v>
      </c>
    </row>
    <row r="37" customFormat="false" ht="12.8" hidden="false" customHeight="false" outlineLevel="0" collapsed="false">
      <c r="A37" s="12" t="str">
        <f aca="false">_xlfn.CONCAT($A$1, ".", 'LSD.RID.0.AL.CALC'!A38)</f>
        <v>LSD.RID.0.AL.LFP.34</v>
      </c>
      <c r="B37" s="33" t="str">
        <f aca="false">_xlfn.CONCAT('LSD.RID.0.AL.CALC'!B38, ":", 'LSD.RID.0.AL.CALC'!C38)</f>
        <v>Other Services:Support</v>
      </c>
      <c r="C37" s="18" t="n">
        <f aca="false">'LSD.RID.0.AL.CALC'!D38</f>
        <v>55000</v>
      </c>
      <c r="D37" s="18" t="n">
        <f aca="false">'LSD.RID.0.AL.CALC'!E38</f>
        <v>1870</v>
      </c>
      <c r="E37" s="18" t="n">
        <f aca="false">'LSD.RID.0.AL.CALC'!F38</f>
        <v>990</v>
      </c>
      <c r="F37" s="18" t="n">
        <f aca="false">'LSD.RID.0.AL.CALC'!G38</f>
        <v>52140</v>
      </c>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row>
    <row r="38" customFormat="false" ht="12.8" hidden="false" customHeight="false" outlineLevel="0" collapsed="false">
      <c r="A38" s="4"/>
    </row>
    <row r="39" customFormat="false" ht="12.8" hidden="false" customHeight="false" outlineLevel="0" collapsed="false">
      <c r="A39" s="12"/>
      <c r="B39" s="18"/>
      <c r="C39" s="34"/>
      <c r="D39" s="34"/>
      <c r="E39" s="34"/>
      <c r="F39" s="3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37"/>
  <sheetViews>
    <sheetView showFormulas="false" showGridLines="true" showRowColHeaders="true" showZeros="true" rightToLeft="false" tabSelected="false" showOutlineSymbols="true" defaultGridColor="true" view="normal" topLeftCell="A42" colorId="64" zoomScale="90" zoomScaleNormal="90" zoomScalePageLayoutView="100" workbookViewId="0">
      <selection pane="topLeft" activeCell="F3" activeCellId="0" sqref="F3"/>
    </sheetView>
  </sheetViews>
  <sheetFormatPr defaultColWidth="11.53515625" defaultRowHeight="12.8" customHeight="false" zeroHeight="false" outlineLevelRow="0" outlineLevelCol="0"/>
  <cols>
    <col collapsed="false" customWidth="false" hidden="false" outlineLevel="0" max="1" min="1" style="1" width="11.54"/>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s="36" customFormat="true" ht="12.8" hidden="false" customHeight="false" outlineLevel="0" collapsed="false">
      <c r="A1" s="6" t="s">
        <v>980</v>
      </c>
      <c r="B1" s="16" t="s">
        <v>9</v>
      </c>
      <c r="C1" s="17" t="s">
        <v>2</v>
      </c>
      <c r="D1" s="31" t="s">
        <v>981</v>
      </c>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row>
    <row r="2" customFormat="false" ht="46.25" hidden="false" customHeight="false" outlineLevel="0" collapsed="false">
      <c r="A2" s="24" t="s">
        <v>978</v>
      </c>
      <c r="B2" s="23" t="s">
        <v>979</v>
      </c>
      <c r="C2" s="28" t="str">
        <f aca="false">'LSD.RID.0.AL.CALC'!H3</f>
        <v>Employment-to-Population Ratio</v>
      </c>
      <c r="D2" s="28" t="str">
        <f aca="false">'LSD.RID.0.AL.CALC'!I3</f>
        <v>Authorized Immigrant Employment-to-Population Ratio</v>
      </c>
      <c r="E2" s="28" t="str">
        <f aca="false">'LSD.RID.0.AL.CALC'!J3</f>
        <v>Unauthorized Immigrant Employment-to-Population Ratio</v>
      </c>
      <c r="F2" s="28" t="str">
        <f aca="false">'LSD.RID.0.AL.CALC'!K3</f>
        <v>American Employment-to-Population Ratio</v>
      </c>
    </row>
    <row r="3" customFormat="false" ht="12.8" hidden="false" customHeight="false" outlineLevel="0" collapsed="false">
      <c r="A3" s="4" t="str">
        <f aca="false">_xlfn.CONCAT($A$1, ".", 'LSD.RID.0.AL.CALC'!A4)</f>
        <v>LSD.RID.0.AL.ETPR.0</v>
      </c>
      <c r="B3" s="32" t="str">
        <f aca="false">_xlfn.CONCAT('LSD.RID.0.AL.CALC'!B4, ":", 'LSD.RID.0.AL.CALC'!C4)</f>
        <v>All Industries:All Roles</v>
      </c>
      <c r="C3" s="28" t="n">
        <f aca="false">'LSD.RID.0.AL.CALC'!H4</f>
        <v>0.973</v>
      </c>
      <c r="D3" s="28" t="n">
        <f aca="false">'LSD.RID.0.AL.CALC'!I4</f>
        <v>0.96</v>
      </c>
      <c r="E3" s="28" t="n">
        <f aca="false">'LSD.RID.0.AL.CALC'!J4</f>
        <v>0.935</v>
      </c>
      <c r="F3" s="28" t="n">
        <f aca="false">'LSD.RID.0.AL.CALC'!K4</f>
        <v>0.976</v>
      </c>
    </row>
    <row r="4" customFormat="false" ht="12.8" hidden="false" customHeight="false" outlineLevel="0" collapsed="false">
      <c r="A4" s="12" t="str">
        <f aca="false">_xlfn.CONCAT($A$1, ".", 'LSD.RID.0.AL.CALC'!A5)</f>
        <v>LSD.RID.0.AL.ETPR.1</v>
      </c>
      <c r="B4" s="33" t="str">
        <f aca="false">_xlfn.CONCAT('LSD.RID.0.AL.CALC'!B5, ":", 'LSD.RID.0.AL.CALC'!C5)</f>
        <v>Agriculture:Worker</v>
      </c>
      <c r="C4" s="37" t="n">
        <f aca="false">'LSD.RID.0.AL.CALC'!H5</f>
        <v>0.952</v>
      </c>
      <c r="D4" s="37" t="n">
        <f aca="false">'LSD.RID.0.AL.CALC'!I5</f>
        <v>0.93</v>
      </c>
      <c r="E4" s="37" t="n">
        <f aca="false">'LSD.RID.0.AL.CALC'!J5</f>
        <v>0.89</v>
      </c>
      <c r="F4" s="37" t="n">
        <f aca="false">'LSD.RID.0.AL.CALC'!K5</f>
        <v>0.955</v>
      </c>
    </row>
    <row r="5" customFormat="false" ht="12.8" hidden="false" customHeight="false" outlineLevel="0" collapsed="false">
      <c r="A5" s="12" t="str">
        <f aca="false">_xlfn.CONCAT($A$1, ".", 'LSD.RID.0.AL.CALC'!A6)</f>
        <v>LSD.RID.0.AL.ETPR.2</v>
      </c>
      <c r="B5" s="33" t="str">
        <f aca="false">_xlfn.CONCAT('LSD.RID.0.AL.CALC'!B6, ":", 'LSD.RID.0.AL.CALC'!C6)</f>
        <v>Agriculture:Support</v>
      </c>
      <c r="C5" s="37" t="n">
        <f aca="false">'LSD.RID.0.AL.CALC'!H6</f>
        <v>0.952</v>
      </c>
      <c r="D5" s="37" t="n">
        <f aca="false">'LSD.RID.0.AL.CALC'!I6</f>
        <v>0.93</v>
      </c>
      <c r="E5" s="37" t="n">
        <f aca="false">'LSD.RID.0.AL.CALC'!J6</f>
        <v>0.89</v>
      </c>
      <c r="F5" s="37" t="n">
        <f aca="false">'LSD.RID.0.AL.CALC'!K6</f>
        <v>0.955</v>
      </c>
    </row>
    <row r="6" customFormat="false" ht="12.8" hidden="false" customHeight="false" outlineLevel="0" collapsed="false">
      <c r="A6" s="12" t="str">
        <f aca="false">_xlfn.CONCAT($A$1, ".", 'LSD.RID.0.AL.CALC'!A7)</f>
        <v>LSD.RID.0.AL.ETPR.3</v>
      </c>
      <c r="B6" s="33" t="str">
        <f aca="false">_xlfn.CONCAT('LSD.RID.0.AL.CALC'!B7, ":", 'LSD.RID.0.AL.CALC'!C7)</f>
        <v>Construction:Worker</v>
      </c>
      <c r="C6" s="37" t="n">
        <f aca="false">'LSD.RID.0.AL.CALC'!H7</f>
        <v>0.967</v>
      </c>
      <c r="D6" s="37" t="n">
        <f aca="false">'LSD.RID.0.AL.CALC'!I7</f>
        <v>0.94</v>
      </c>
      <c r="E6" s="37" t="n">
        <f aca="false">'LSD.RID.0.AL.CALC'!J7</f>
        <v>0.9</v>
      </c>
      <c r="F6" s="37" t="n">
        <f aca="false">'LSD.RID.0.AL.CALC'!K7</f>
        <v>0.97</v>
      </c>
    </row>
    <row r="7" customFormat="false" ht="12.8" hidden="false" customHeight="false" outlineLevel="0" collapsed="false">
      <c r="A7" s="12" t="str">
        <f aca="false">_xlfn.CONCAT($A$1, ".", 'LSD.RID.0.AL.CALC'!A8)</f>
        <v>LSD.RID.0.AL.ETPR.4</v>
      </c>
      <c r="B7" s="33" t="str">
        <f aca="false">_xlfn.CONCAT('LSD.RID.0.AL.CALC'!B8, ":", 'LSD.RID.0.AL.CALC'!C8)</f>
        <v>Construction:Support</v>
      </c>
      <c r="C7" s="37" t="n">
        <f aca="false">'LSD.RID.0.AL.CALC'!H8</f>
        <v>0.967</v>
      </c>
      <c r="D7" s="37" t="n">
        <f aca="false">'LSD.RID.0.AL.CALC'!I8</f>
        <v>0.94</v>
      </c>
      <c r="E7" s="37" t="n">
        <f aca="false">'LSD.RID.0.AL.CALC'!J8</f>
        <v>0.9</v>
      </c>
      <c r="F7" s="37" t="n">
        <f aca="false">'LSD.RID.0.AL.CALC'!K8</f>
        <v>0.97</v>
      </c>
    </row>
    <row r="8" customFormat="false" ht="12.8" hidden="false" customHeight="false" outlineLevel="0" collapsed="false">
      <c r="A8" s="12" t="str">
        <f aca="false">_xlfn.CONCAT($A$1, ".", 'LSD.RID.0.AL.CALC'!A9)</f>
        <v>LSD.RID.0.AL.ETPR.5</v>
      </c>
      <c r="B8" s="33" t="str">
        <f aca="false">_xlfn.CONCAT('LSD.RID.0.AL.CALC'!B9, ":", 'LSD.RID.0.AL.CALC'!C9)</f>
        <v>Hospitality:Worker</v>
      </c>
      <c r="C8" s="37" t="n">
        <f aca="false">'LSD.RID.0.AL.CALC'!H9</f>
        <v>0.96</v>
      </c>
      <c r="D8" s="37" t="n">
        <f aca="false">'LSD.RID.0.AL.CALC'!I9</f>
        <v>0.93</v>
      </c>
      <c r="E8" s="37" t="n">
        <f aca="false">'LSD.RID.0.AL.CALC'!J9</f>
        <v>0.88</v>
      </c>
      <c r="F8" s="37" t="n">
        <f aca="false">'LSD.RID.0.AL.CALC'!K9</f>
        <v>0.963</v>
      </c>
    </row>
    <row r="9" customFormat="false" ht="12.8" hidden="false" customHeight="false" outlineLevel="0" collapsed="false">
      <c r="A9" s="12" t="str">
        <f aca="false">_xlfn.CONCAT($A$1, ".", 'LSD.RID.0.AL.CALC'!A10)</f>
        <v>LSD.RID.0.AL.ETPR.6</v>
      </c>
      <c r="B9" s="33" t="str">
        <f aca="false">_xlfn.CONCAT('LSD.RID.0.AL.CALC'!B10, ":", 'LSD.RID.0.AL.CALC'!C10)</f>
        <v>Hospitality:Support</v>
      </c>
      <c r="C9" s="37" t="n">
        <f aca="false">'LSD.RID.0.AL.CALC'!H10</f>
        <v>0.96</v>
      </c>
      <c r="D9" s="37" t="n">
        <f aca="false">'LSD.RID.0.AL.CALC'!I10</f>
        <v>0.93</v>
      </c>
      <c r="E9" s="37" t="n">
        <f aca="false">'LSD.RID.0.AL.CALC'!J10</f>
        <v>0.88</v>
      </c>
      <c r="F9" s="37" t="n">
        <f aca="false">'LSD.RID.0.AL.CALC'!K10</f>
        <v>0.963</v>
      </c>
    </row>
    <row r="10" customFormat="false" ht="12.8" hidden="false" customHeight="false" outlineLevel="0" collapsed="false">
      <c r="A10" s="12" t="str">
        <f aca="false">_xlfn.CONCAT($A$1, ".", 'LSD.RID.0.AL.CALC'!A11)</f>
        <v>LSD.RID.0.AL.ETPR.7</v>
      </c>
      <c r="B10" s="33" t="str">
        <f aca="false">_xlfn.CONCAT('LSD.RID.0.AL.CALC'!B11, ":", 'LSD.RID.0.AL.CALC'!C11)</f>
        <v>Cleaning &amp; Maintenance:Worker</v>
      </c>
      <c r="C10" s="37" t="n">
        <f aca="false">'LSD.RID.0.AL.CALC'!H11</f>
        <v>0.957</v>
      </c>
      <c r="D10" s="37" t="n">
        <f aca="false">'LSD.RID.0.AL.CALC'!I11</f>
        <v>0.92</v>
      </c>
      <c r="E10" s="37" t="n">
        <f aca="false">'LSD.RID.0.AL.CALC'!J11</f>
        <v>0.87</v>
      </c>
      <c r="F10" s="37" t="n">
        <f aca="false">'LSD.RID.0.AL.CALC'!K11</f>
        <v>0.96</v>
      </c>
    </row>
    <row r="11" customFormat="false" ht="12.8" hidden="false" customHeight="false" outlineLevel="0" collapsed="false">
      <c r="A11" s="12" t="str">
        <f aca="false">_xlfn.CONCAT($A$1, ".", 'LSD.RID.0.AL.CALC'!A12)</f>
        <v>LSD.RID.0.AL.ETPR.8</v>
      </c>
      <c r="B11" s="33" t="str">
        <f aca="false">_xlfn.CONCAT('LSD.RID.0.AL.CALC'!B12, ":", 'LSD.RID.0.AL.CALC'!C12)</f>
        <v>Cleaning &amp; Maintenance:Support</v>
      </c>
      <c r="C11" s="37" t="n">
        <f aca="false">'LSD.RID.0.AL.CALC'!H12</f>
        <v>0.957</v>
      </c>
      <c r="D11" s="37" t="n">
        <f aca="false">'LSD.RID.0.AL.CALC'!I12</f>
        <v>0.92</v>
      </c>
      <c r="E11" s="37" t="n">
        <f aca="false">'LSD.RID.0.AL.CALC'!J12</f>
        <v>0.87</v>
      </c>
      <c r="F11" s="37" t="n">
        <f aca="false">'LSD.RID.0.AL.CALC'!K12</f>
        <v>0.96</v>
      </c>
    </row>
    <row r="12" customFormat="false" ht="12.8" hidden="false" customHeight="false" outlineLevel="0" collapsed="false">
      <c r="A12" s="12" t="str">
        <f aca="false">_xlfn.CONCAT($A$1, ".", 'LSD.RID.0.AL.CALC'!A13)</f>
        <v>LSD.RID.0.AL.ETPR.9</v>
      </c>
      <c r="B12" s="33" t="str">
        <f aca="false">_xlfn.CONCAT('LSD.RID.0.AL.CALC'!B13, ":", 'LSD.RID.0.AL.CALC'!C13)</f>
        <v>Manufacturing:Worker</v>
      </c>
      <c r="C12" s="37" t="n">
        <f aca="false">'LSD.RID.0.AL.CALC'!H13</f>
        <v>0.98</v>
      </c>
      <c r="D12" s="37" t="n">
        <f aca="false">'LSD.RID.0.AL.CALC'!I13</f>
        <v>0.96</v>
      </c>
      <c r="E12" s="37" t="n">
        <f aca="false">'LSD.RID.0.AL.CALC'!J13</f>
        <v>0.93</v>
      </c>
      <c r="F12" s="37" t="n">
        <f aca="false">'LSD.RID.0.AL.CALC'!K13</f>
        <v>0.982</v>
      </c>
    </row>
    <row r="13" customFormat="false" ht="12.8" hidden="false" customHeight="false" outlineLevel="0" collapsed="false">
      <c r="A13" s="12" t="str">
        <f aca="false">_xlfn.CONCAT($A$1, ".", 'LSD.RID.0.AL.CALC'!A14)</f>
        <v>LSD.RID.0.AL.ETPR.10</v>
      </c>
      <c r="B13" s="33" t="str">
        <f aca="false">_xlfn.CONCAT('LSD.RID.0.AL.CALC'!B14, ":", 'LSD.RID.0.AL.CALC'!C14)</f>
        <v>Manufacturing:Support</v>
      </c>
      <c r="C13" s="37" t="n">
        <f aca="false">'LSD.RID.0.AL.CALC'!H14</f>
        <v>0.98</v>
      </c>
      <c r="D13" s="37" t="n">
        <f aca="false">'LSD.RID.0.AL.CALC'!I14</f>
        <v>0.96</v>
      </c>
      <c r="E13" s="37" t="n">
        <f aca="false">'LSD.RID.0.AL.CALC'!J14</f>
        <v>0.93</v>
      </c>
      <c r="F13" s="37" t="n">
        <f aca="false">'LSD.RID.0.AL.CALC'!K14</f>
        <v>0.982</v>
      </c>
    </row>
    <row r="14" customFormat="false" ht="12.8" hidden="false" customHeight="false" outlineLevel="0" collapsed="false">
      <c r="A14" s="12" t="str">
        <f aca="false">_xlfn.CONCAT($A$1, ".", 'LSD.RID.0.AL.CALC'!A15)</f>
        <v>LSD.RID.0.AL.ETPR.11</v>
      </c>
      <c r="B14" s="33" t="str">
        <f aca="false">_xlfn.CONCAT('LSD.RID.0.AL.CALC'!B15, ":", 'LSD.RID.0.AL.CALC'!C15)</f>
        <v>Transportation &amp; Warehousing:Worker</v>
      </c>
      <c r="C14" s="37" t="n">
        <f aca="false">'LSD.RID.0.AL.CALC'!H15</f>
        <v>0.976</v>
      </c>
      <c r="D14" s="37" t="n">
        <f aca="false">'LSD.RID.0.AL.CALC'!I15</f>
        <v>0.95</v>
      </c>
      <c r="E14" s="37" t="n">
        <f aca="false">'LSD.RID.0.AL.CALC'!J15</f>
        <v>0.92</v>
      </c>
      <c r="F14" s="37" t="n">
        <f aca="false">'LSD.RID.0.AL.CALC'!K15</f>
        <v>0.978</v>
      </c>
    </row>
    <row r="15" customFormat="false" ht="12.8" hidden="false" customHeight="false" outlineLevel="0" collapsed="false">
      <c r="A15" s="12" t="str">
        <f aca="false">_xlfn.CONCAT($A$1, ".", 'LSD.RID.0.AL.CALC'!A16)</f>
        <v>LSD.RID.0.AL.ETPR.12</v>
      </c>
      <c r="B15" s="33" t="str">
        <f aca="false">_xlfn.CONCAT('LSD.RID.0.AL.CALC'!B16, ":", 'LSD.RID.0.AL.CALC'!C16)</f>
        <v>Transportation &amp; Warehousing:Support</v>
      </c>
      <c r="C15" s="37" t="n">
        <f aca="false">'LSD.RID.0.AL.CALC'!H16</f>
        <v>0.976</v>
      </c>
      <c r="D15" s="37" t="n">
        <f aca="false">'LSD.RID.0.AL.CALC'!I16</f>
        <v>0.95</v>
      </c>
      <c r="E15" s="37" t="n">
        <f aca="false">'LSD.RID.0.AL.CALC'!J16</f>
        <v>0.92</v>
      </c>
      <c r="F15" s="37" t="n">
        <f aca="false">'LSD.RID.0.AL.CALC'!K16</f>
        <v>0.978</v>
      </c>
    </row>
    <row r="16" customFormat="false" ht="12.8" hidden="false" customHeight="false" outlineLevel="0" collapsed="false">
      <c r="A16" s="12" t="str">
        <f aca="false">_xlfn.CONCAT($A$1, ".", 'LSD.RID.0.AL.CALC'!A17)</f>
        <v>LSD.RID.0.AL.ETPR.13</v>
      </c>
      <c r="B16" s="33" t="str">
        <f aca="false">_xlfn.CONCAT('LSD.RID.0.AL.CALC'!B17, ":", 'LSD.RID.0.AL.CALC'!C17)</f>
        <v>Retail Trade:Worker</v>
      </c>
      <c r="C16" s="37" t="n">
        <f aca="false">'LSD.RID.0.AL.CALC'!H17</f>
        <v>0.96</v>
      </c>
      <c r="D16" s="37" t="n">
        <f aca="false">'LSD.RID.0.AL.CALC'!I17</f>
        <v>0.93</v>
      </c>
      <c r="E16" s="37" t="n">
        <f aca="false">'LSD.RID.0.AL.CALC'!J17</f>
        <v>0.88</v>
      </c>
      <c r="F16" s="37" t="n">
        <f aca="false">'LSD.RID.0.AL.CALC'!K17</f>
        <v>0.963</v>
      </c>
    </row>
    <row r="17" customFormat="false" ht="12.8" hidden="false" customHeight="false" outlineLevel="0" collapsed="false">
      <c r="A17" s="12" t="str">
        <f aca="false">_xlfn.CONCAT($A$1, ".", 'LSD.RID.0.AL.CALC'!A18)</f>
        <v>LSD.RID.0.AL.ETPR.14</v>
      </c>
      <c r="B17" s="33" t="str">
        <f aca="false">_xlfn.CONCAT('LSD.RID.0.AL.CALC'!B18, ":", 'LSD.RID.0.AL.CALC'!C18)</f>
        <v>Retail Trade:Support</v>
      </c>
      <c r="C17" s="37" t="n">
        <f aca="false">'LSD.RID.0.AL.CALC'!H18</f>
        <v>0.96</v>
      </c>
      <c r="D17" s="37" t="n">
        <f aca="false">'LSD.RID.0.AL.CALC'!I18</f>
        <v>0.93</v>
      </c>
      <c r="E17" s="37" t="n">
        <f aca="false">'LSD.RID.0.AL.CALC'!J18</f>
        <v>0.88</v>
      </c>
      <c r="F17" s="37" t="n">
        <f aca="false">'LSD.RID.0.AL.CALC'!K18</f>
        <v>0.963</v>
      </c>
    </row>
    <row r="18" customFormat="false" ht="12.8" hidden="false" customHeight="false" outlineLevel="0" collapsed="false">
      <c r="A18" s="12" t="str">
        <f aca="false">_xlfn.CONCAT($A$1, ".", 'LSD.RID.0.AL.CALC'!A19)</f>
        <v>LSD.RID.0.AL.ETPR.15</v>
      </c>
      <c r="B18" s="33" t="str">
        <f aca="false">_xlfn.CONCAT('LSD.RID.0.AL.CALC'!B19, ":", 'LSD.RID.0.AL.CALC'!C19)</f>
        <v>Landscaping / Groundskeeping:Worker</v>
      </c>
      <c r="C18" s="37" t="n">
        <f aca="false">'LSD.RID.0.AL.CALC'!H19</f>
        <v>0.952</v>
      </c>
      <c r="D18" s="37" t="n">
        <f aca="false">'LSD.RID.0.AL.CALC'!I19</f>
        <v>0.93</v>
      </c>
      <c r="E18" s="37" t="n">
        <f aca="false">'LSD.RID.0.AL.CALC'!J19</f>
        <v>0.89</v>
      </c>
      <c r="F18" s="37" t="n">
        <f aca="false">'LSD.RID.0.AL.CALC'!K19</f>
        <v>0.955</v>
      </c>
    </row>
    <row r="19" customFormat="false" ht="12.8" hidden="false" customHeight="false" outlineLevel="0" collapsed="false">
      <c r="A19" s="12" t="str">
        <f aca="false">_xlfn.CONCAT($A$1, ".", 'LSD.RID.0.AL.CALC'!A20)</f>
        <v>LSD.RID.0.AL.ETPR.16</v>
      </c>
      <c r="B19" s="33" t="str">
        <f aca="false">_xlfn.CONCAT('LSD.RID.0.AL.CALC'!B20, ":", 'LSD.RID.0.AL.CALC'!C20)</f>
        <v>Landscaping / Groundskeeping:Support</v>
      </c>
      <c r="C19" s="37" t="n">
        <f aca="false">'LSD.RID.0.AL.CALC'!H20</f>
        <v>0.952</v>
      </c>
      <c r="D19" s="37" t="n">
        <f aca="false">'LSD.RID.0.AL.CALC'!I20</f>
        <v>0.93</v>
      </c>
      <c r="E19" s="37" t="n">
        <f aca="false">'LSD.RID.0.AL.CALC'!J20</f>
        <v>0.89</v>
      </c>
      <c r="F19" s="37" t="n">
        <f aca="false">'LSD.RID.0.AL.CALC'!K20</f>
        <v>0.955</v>
      </c>
    </row>
    <row r="20" customFormat="false" ht="12.8" hidden="false" customHeight="false" outlineLevel="0" collapsed="false">
      <c r="A20" s="12" t="str">
        <f aca="false">_xlfn.CONCAT($A$1, ".", 'LSD.RID.0.AL.CALC'!A21)</f>
        <v>LSD.RID.0.AL.ETPR.17</v>
      </c>
      <c r="B20" s="33" t="str">
        <f aca="false">_xlfn.CONCAT('LSD.RID.0.AL.CALC'!B21, ":", 'LSD.RID.0.AL.CALC'!C21)</f>
        <v>Automotive &amp; Repair:Worker</v>
      </c>
      <c r="C20" s="37" t="n">
        <f aca="false">'LSD.RID.0.AL.CALC'!H21</f>
        <v>0.976</v>
      </c>
      <c r="D20" s="37" t="n">
        <f aca="false">'LSD.RID.0.AL.CALC'!I21</f>
        <v>0.95</v>
      </c>
      <c r="E20" s="37" t="n">
        <f aca="false">'LSD.RID.0.AL.CALC'!J21</f>
        <v>0.92</v>
      </c>
      <c r="F20" s="37" t="n">
        <f aca="false">'LSD.RID.0.AL.CALC'!K21</f>
        <v>0.978</v>
      </c>
    </row>
    <row r="21" customFormat="false" ht="12.8" hidden="false" customHeight="false" outlineLevel="0" collapsed="false">
      <c r="A21" s="12" t="str">
        <f aca="false">_xlfn.CONCAT($A$1, ".", 'LSD.RID.0.AL.CALC'!A22)</f>
        <v>LSD.RID.0.AL.ETPR.18</v>
      </c>
      <c r="B21" s="33" t="str">
        <f aca="false">_xlfn.CONCAT('LSD.RID.0.AL.CALC'!B22, ":", 'LSD.RID.0.AL.CALC'!C22)</f>
        <v>Automotive &amp; Repair:Support</v>
      </c>
      <c r="C21" s="37" t="n">
        <f aca="false">'LSD.RID.0.AL.CALC'!H22</f>
        <v>0.976</v>
      </c>
      <c r="D21" s="37" t="n">
        <f aca="false">'LSD.RID.0.AL.CALC'!I22</f>
        <v>0.95</v>
      </c>
      <c r="E21" s="37" t="n">
        <f aca="false">'LSD.RID.0.AL.CALC'!J22</f>
        <v>0.92</v>
      </c>
      <c r="F21" s="37" t="n">
        <f aca="false">'LSD.RID.0.AL.CALC'!K22</f>
        <v>0.978</v>
      </c>
    </row>
    <row r="22" customFormat="false" ht="12.8" hidden="false" customHeight="false" outlineLevel="0" collapsed="false">
      <c r="A22" s="12" t="str">
        <f aca="false">_xlfn.CONCAT($A$1, ".", 'LSD.RID.0.AL.CALC'!A23)</f>
        <v>LSD.RID.0.AL.ETPR.19</v>
      </c>
      <c r="B22" s="33" t="str">
        <f aca="false">_xlfn.CONCAT('LSD.RID.0.AL.CALC'!B23, ":", 'LSD.RID.0.AL.CALC'!C23)</f>
        <v>Healthcare &amp; Social Assistance:Worker</v>
      </c>
      <c r="C22" s="37" t="n">
        <f aca="false">'LSD.RID.0.AL.CALC'!H23</f>
        <v>0.98</v>
      </c>
      <c r="D22" s="37" t="n">
        <f aca="false">'LSD.RID.0.AL.CALC'!I23</f>
        <v>0.96</v>
      </c>
      <c r="E22" s="37" t="n">
        <f aca="false">'LSD.RID.0.AL.CALC'!J23</f>
        <v>0.93</v>
      </c>
      <c r="F22" s="37" t="n">
        <f aca="false">'LSD.RID.0.AL.CALC'!K23</f>
        <v>0.982</v>
      </c>
    </row>
    <row r="23" customFormat="false" ht="12.8" hidden="false" customHeight="false" outlineLevel="0" collapsed="false">
      <c r="A23" s="12" t="str">
        <f aca="false">_xlfn.CONCAT($A$1, ".", 'LSD.RID.0.AL.CALC'!A24)</f>
        <v>LSD.RID.0.AL.ETPR.20</v>
      </c>
      <c r="B23" s="33" t="str">
        <f aca="false">_xlfn.CONCAT('LSD.RID.0.AL.CALC'!B24, ":", 'LSD.RID.0.AL.CALC'!C24)</f>
        <v>Healthcare &amp; Social Assistance:Support</v>
      </c>
      <c r="C23" s="37" t="n">
        <f aca="false">'LSD.RID.0.AL.CALC'!H24</f>
        <v>0.98</v>
      </c>
      <c r="D23" s="37" t="n">
        <f aca="false">'LSD.RID.0.AL.CALC'!I24</f>
        <v>0.96</v>
      </c>
      <c r="E23" s="37" t="n">
        <f aca="false">'LSD.RID.0.AL.CALC'!J24</f>
        <v>0.93</v>
      </c>
      <c r="F23" s="37" t="n">
        <f aca="false">'LSD.RID.0.AL.CALC'!K24</f>
        <v>0.982</v>
      </c>
    </row>
    <row r="24" customFormat="false" ht="12.8" hidden="false" customHeight="false" outlineLevel="0" collapsed="false">
      <c r="A24" s="12" t="str">
        <f aca="false">_xlfn.CONCAT($A$1, ".", 'LSD.RID.0.AL.CALC'!A25)</f>
        <v>LSD.RID.0.AL.ETPR.21</v>
      </c>
      <c r="B24" s="33" t="str">
        <f aca="false">_xlfn.CONCAT('LSD.RID.0.AL.CALC'!B25, ":", 'LSD.RID.0.AL.CALC'!C25)</f>
        <v>Professional Services:Worker</v>
      </c>
      <c r="C24" s="37" t="n">
        <f aca="false">'LSD.RID.0.AL.CALC'!H25</f>
        <v>0.98</v>
      </c>
      <c r="D24" s="37" t="n">
        <f aca="false">'LSD.RID.0.AL.CALC'!I25</f>
        <v>0.96</v>
      </c>
      <c r="E24" s="37" t="n">
        <f aca="false">'LSD.RID.0.AL.CALC'!J25</f>
        <v>0.93</v>
      </c>
      <c r="F24" s="37" t="n">
        <f aca="false">'LSD.RID.0.AL.CALC'!K25</f>
        <v>0.982</v>
      </c>
    </row>
    <row r="25" customFormat="false" ht="12.8" hidden="false" customHeight="false" outlineLevel="0" collapsed="false">
      <c r="A25" s="12" t="str">
        <f aca="false">_xlfn.CONCAT($A$1, ".", 'LSD.RID.0.AL.CALC'!A26)</f>
        <v>LSD.RID.0.AL.ETPR.22</v>
      </c>
      <c r="B25" s="33" t="str">
        <f aca="false">_xlfn.CONCAT('LSD.RID.0.AL.CALC'!B26, ":", 'LSD.RID.0.AL.CALC'!C26)</f>
        <v>Professional Services:Support</v>
      </c>
      <c r="C25" s="37" t="n">
        <f aca="false">'LSD.RID.0.AL.CALC'!H26</f>
        <v>0.98</v>
      </c>
      <c r="D25" s="37" t="n">
        <f aca="false">'LSD.RID.0.AL.CALC'!I26</f>
        <v>0.96</v>
      </c>
      <c r="E25" s="37" t="n">
        <f aca="false">'LSD.RID.0.AL.CALC'!J26</f>
        <v>0.93</v>
      </c>
      <c r="F25" s="37" t="n">
        <f aca="false">'LSD.RID.0.AL.CALC'!K26</f>
        <v>0.982</v>
      </c>
    </row>
    <row r="26" customFormat="false" ht="12.8" hidden="false" customHeight="false" outlineLevel="0" collapsed="false">
      <c r="A26" s="12" t="str">
        <f aca="false">_xlfn.CONCAT($A$1, ".", 'LSD.RID.0.AL.CALC'!A27)</f>
        <v>LSD.RID.0.AL.ETPR.23</v>
      </c>
      <c r="B26" s="33" t="str">
        <f aca="false">_xlfn.CONCAT('LSD.RID.0.AL.CALC'!B27, ":", 'LSD.RID.0.AL.CALC'!C27)</f>
        <v>Educational Services:Worker</v>
      </c>
      <c r="C26" s="37" t="n">
        <f aca="false">'LSD.RID.0.AL.CALC'!H27</f>
        <v>0.98</v>
      </c>
      <c r="D26" s="37" t="n">
        <f aca="false">'LSD.RID.0.AL.CALC'!I27</f>
        <v>0.96</v>
      </c>
      <c r="E26" s="37" t="n">
        <f aca="false">'LSD.RID.0.AL.CALC'!J27</f>
        <v>0.93</v>
      </c>
      <c r="F26" s="37" t="n">
        <f aca="false">'LSD.RID.0.AL.CALC'!K27</f>
        <v>0.982</v>
      </c>
    </row>
    <row r="27" customFormat="false" ht="12.8" hidden="false" customHeight="false" outlineLevel="0" collapsed="false">
      <c r="A27" s="12" t="str">
        <f aca="false">_xlfn.CONCAT($A$1, ".", 'LSD.RID.0.AL.CALC'!A28)</f>
        <v>LSD.RID.0.AL.ETPR.24</v>
      </c>
      <c r="B27" s="33" t="str">
        <f aca="false">_xlfn.CONCAT('LSD.RID.0.AL.CALC'!B28, ":", 'LSD.RID.0.AL.CALC'!C28)</f>
        <v>Educational Services:Support</v>
      </c>
      <c r="C27" s="37" t="n">
        <f aca="false">'LSD.RID.0.AL.CALC'!H28</f>
        <v>0.98</v>
      </c>
      <c r="D27" s="37" t="n">
        <f aca="false">'LSD.RID.0.AL.CALC'!I28</f>
        <v>0.96</v>
      </c>
      <c r="E27" s="37" t="n">
        <f aca="false">'LSD.RID.0.AL.CALC'!J28</f>
        <v>0.93</v>
      </c>
      <c r="F27" s="37" t="n">
        <f aca="false">'LSD.RID.0.AL.CALC'!K28</f>
        <v>0.982</v>
      </c>
    </row>
    <row r="28" customFormat="false" ht="12.8" hidden="false" customHeight="false" outlineLevel="0" collapsed="false">
      <c r="A28" s="12" t="str">
        <f aca="false">_xlfn.CONCAT($A$1, ".", 'LSD.RID.0.AL.CALC'!A29)</f>
        <v>LSD.RID.0.AL.ETPR.25</v>
      </c>
      <c r="B28" s="33" t="str">
        <f aca="false">_xlfn.CONCAT('LSD.RID.0.AL.CALC'!B29, ":", 'LSD.RID.0.AL.CALC'!C29)</f>
        <v>Finance &amp; Insurance:Worker</v>
      </c>
      <c r="C28" s="37" t="n">
        <f aca="false">'LSD.RID.0.AL.CALC'!H29</f>
        <v>0.98</v>
      </c>
      <c r="D28" s="37" t="n">
        <f aca="false">'LSD.RID.0.AL.CALC'!I29</f>
        <v>0.96</v>
      </c>
      <c r="E28" s="37" t="n">
        <f aca="false">'LSD.RID.0.AL.CALC'!J29</f>
        <v>0.93</v>
      </c>
      <c r="F28" s="37" t="n">
        <f aca="false">'LSD.RID.0.AL.CALC'!K29</f>
        <v>0.982</v>
      </c>
    </row>
    <row r="29" customFormat="false" ht="12.8" hidden="false" customHeight="false" outlineLevel="0" collapsed="false">
      <c r="A29" s="12" t="str">
        <f aca="false">_xlfn.CONCAT($A$1, ".", 'LSD.RID.0.AL.CALC'!A30)</f>
        <v>LSD.RID.0.AL.ETPR.26</v>
      </c>
      <c r="B29" s="33" t="str">
        <f aca="false">_xlfn.CONCAT('LSD.RID.0.AL.CALC'!B30, ":", 'LSD.RID.0.AL.CALC'!C30)</f>
        <v>Finance &amp; Insurance:Support</v>
      </c>
      <c r="C29" s="37" t="n">
        <f aca="false">'LSD.RID.0.AL.CALC'!H30</f>
        <v>0.98</v>
      </c>
      <c r="D29" s="37" t="n">
        <f aca="false">'LSD.RID.0.AL.CALC'!I30</f>
        <v>0.96</v>
      </c>
      <c r="E29" s="37" t="n">
        <f aca="false">'LSD.RID.0.AL.CALC'!J30</f>
        <v>0.93</v>
      </c>
      <c r="F29" s="37" t="n">
        <f aca="false">'LSD.RID.0.AL.CALC'!K30</f>
        <v>0.982</v>
      </c>
    </row>
    <row r="30" customFormat="false" ht="12.8" hidden="false" customHeight="false" outlineLevel="0" collapsed="false">
      <c r="A30" s="12" t="str">
        <f aca="false">_xlfn.CONCAT($A$1, ".", 'LSD.RID.0.AL.CALC'!A31)</f>
        <v>LSD.RID.0.AL.ETPR.27</v>
      </c>
      <c r="B30" s="33" t="str">
        <f aca="false">_xlfn.CONCAT('LSD.RID.0.AL.CALC'!B31, ":", 'LSD.RID.0.AL.CALC'!C31)</f>
        <v>Media and Information Technology:Worker</v>
      </c>
      <c r="C30" s="37" t="n">
        <f aca="false">'LSD.RID.0.AL.CALC'!H31</f>
        <v>0.98</v>
      </c>
      <c r="D30" s="37" t="n">
        <f aca="false">'LSD.RID.0.AL.CALC'!I31</f>
        <v>0.96</v>
      </c>
      <c r="E30" s="37" t="n">
        <f aca="false">'LSD.RID.0.AL.CALC'!J31</f>
        <v>0.93</v>
      </c>
      <c r="F30" s="37" t="n">
        <f aca="false">'LSD.RID.0.AL.CALC'!K31</f>
        <v>0.982</v>
      </c>
    </row>
    <row r="31" customFormat="false" ht="12.8" hidden="false" customHeight="false" outlineLevel="0" collapsed="false">
      <c r="A31" s="12" t="str">
        <f aca="false">_xlfn.CONCAT($A$1, ".", 'LSD.RID.0.AL.CALC'!A32)</f>
        <v>LSD.RID.0.AL.ETPR.28</v>
      </c>
      <c r="B31" s="33" t="str">
        <f aca="false">_xlfn.CONCAT('LSD.RID.0.AL.CALC'!B32, ":", 'LSD.RID.0.AL.CALC'!C32)</f>
        <v>Media and Information Technology:Support</v>
      </c>
      <c r="C31" s="37" t="n">
        <f aca="false">'LSD.RID.0.AL.CALC'!H32</f>
        <v>0.98</v>
      </c>
      <c r="D31" s="37" t="n">
        <f aca="false">'LSD.RID.0.AL.CALC'!I32</f>
        <v>0.96</v>
      </c>
      <c r="E31" s="37" t="n">
        <f aca="false">'LSD.RID.0.AL.CALC'!J32</f>
        <v>0.93</v>
      </c>
      <c r="F31" s="37" t="n">
        <f aca="false">'LSD.RID.0.AL.CALC'!K32</f>
        <v>0.982</v>
      </c>
    </row>
    <row r="32" customFormat="false" ht="12.8" hidden="false" customHeight="false" outlineLevel="0" collapsed="false">
      <c r="A32" s="12" t="str">
        <f aca="false">_xlfn.CONCAT($A$1, ".", 'LSD.RID.0.AL.CALC'!A33)</f>
        <v>LSD.RID.0.AL.ETPR.29</v>
      </c>
      <c r="B32" s="33" t="str">
        <f aca="false">_xlfn.CONCAT('LSD.RID.0.AL.CALC'!B33, ":", 'LSD.RID.0.AL.CALC'!C33)</f>
        <v>Government:Worker</v>
      </c>
      <c r="C32" s="37" t="n">
        <f aca="false">'LSD.RID.0.AL.CALC'!H33</f>
        <v>0.98</v>
      </c>
      <c r="D32" s="37" t="n">
        <f aca="false">'LSD.RID.0.AL.CALC'!I33</f>
        <v>0.96</v>
      </c>
      <c r="E32" s="37" t="n">
        <f aca="false">'LSD.RID.0.AL.CALC'!J33</f>
        <v>0.93</v>
      </c>
      <c r="F32" s="37" t="n">
        <f aca="false">'LSD.RID.0.AL.CALC'!K33</f>
        <v>0.982</v>
      </c>
    </row>
    <row r="33" customFormat="false" ht="12.8" hidden="false" customHeight="false" outlineLevel="0" collapsed="false">
      <c r="A33" s="12" t="str">
        <f aca="false">_xlfn.CONCAT($A$1, ".", 'LSD.RID.0.AL.CALC'!A34)</f>
        <v>LSD.RID.0.AL.ETPR.30</v>
      </c>
      <c r="B33" s="33" t="str">
        <f aca="false">_xlfn.CONCAT('LSD.RID.0.AL.CALC'!B34, ":", 'LSD.RID.0.AL.CALC'!C34)</f>
        <v>Government:Support</v>
      </c>
      <c r="C33" s="37" t="n">
        <f aca="false">'LSD.RID.0.AL.CALC'!H34</f>
        <v>0.98</v>
      </c>
      <c r="D33" s="37" t="n">
        <f aca="false">'LSD.RID.0.AL.CALC'!I34</f>
        <v>0.96</v>
      </c>
      <c r="E33" s="37" t="n">
        <f aca="false">'LSD.RID.0.AL.CALC'!J34</f>
        <v>0.93</v>
      </c>
      <c r="F33" s="37" t="n">
        <f aca="false">'LSD.RID.0.AL.CALC'!K34</f>
        <v>0.982</v>
      </c>
    </row>
    <row r="34" customFormat="false" ht="12.8" hidden="false" customHeight="false" outlineLevel="0" collapsed="false">
      <c r="A34" s="12" t="str">
        <f aca="false">_xlfn.CONCAT($A$1, ".", 'LSD.RID.0.AL.CALC'!A35)</f>
        <v>LSD.RID.0.AL.ETPR.31</v>
      </c>
      <c r="B34" s="33" t="str">
        <f aca="false">_xlfn.CONCAT('LSD.RID.0.AL.CALC'!B35, ":", 'LSD.RID.0.AL.CALC'!C35)</f>
        <v>Self-Employed / Non-Employer:Worker</v>
      </c>
      <c r="C34" s="37" t="n">
        <f aca="false">'LSD.RID.0.AL.CALC'!H35</f>
        <v>0.965</v>
      </c>
      <c r="D34" s="37" t="n">
        <f aca="false">'LSD.RID.0.AL.CALC'!I35</f>
        <v>0.955</v>
      </c>
      <c r="E34" s="37" t="n">
        <f aca="false">'LSD.RID.0.AL.CALC'!J35</f>
        <v>0.94</v>
      </c>
      <c r="F34" s="37" t="n">
        <f aca="false">'LSD.RID.0.AL.CALC'!K35</f>
        <v>0.965</v>
      </c>
    </row>
    <row r="35" customFormat="false" ht="12.8" hidden="false" customHeight="false" outlineLevel="0" collapsed="false">
      <c r="A35" s="12" t="str">
        <f aca="false">_xlfn.CONCAT($A$1, ".", 'LSD.RID.0.AL.CALC'!A36)</f>
        <v>LSD.RID.0.AL.ETPR.32</v>
      </c>
      <c r="B35" s="33" t="str">
        <f aca="false">_xlfn.CONCAT('LSD.RID.0.AL.CALC'!B36, ":", 'LSD.RID.0.AL.CALC'!C36)</f>
        <v>Self-Employed / Non-Employer:Support</v>
      </c>
      <c r="C35" s="37" t="n">
        <f aca="false">'LSD.RID.0.AL.CALC'!H36</f>
        <v>0.965</v>
      </c>
      <c r="D35" s="37" t="n">
        <f aca="false">'LSD.RID.0.AL.CALC'!I36</f>
        <v>0.955</v>
      </c>
      <c r="E35" s="37" t="n">
        <f aca="false">'LSD.RID.0.AL.CALC'!J36</f>
        <v>0.94</v>
      </c>
      <c r="F35" s="37" t="n">
        <f aca="false">'LSD.RID.0.AL.CALC'!K36</f>
        <v>0.965</v>
      </c>
    </row>
    <row r="36" customFormat="false" ht="12.8" hidden="false" customHeight="false" outlineLevel="0" collapsed="false">
      <c r="A36" s="12" t="str">
        <f aca="false">_xlfn.CONCAT($A$1, ".", 'LSD.RID.0.AL.CALC'!A37)</f>
        <v>LSD.RID.0.AL.ETPR.33</v>
      </c>
      <c r="B36" s="33" t="str">
        <f aca="false">_xlfn.CONCAT('LSD.RID.0.AL.CALC'!B37, ":", 'LSD.RID.0.AL.CALC'!C37)</f>
        <v>Other Services:Worker</v>
      </c>
      <c r="C36" s="37" t="n">
        <f aca="false">'LSD.RID.0.AL.CALC'!H37</f>
        <v>0.96</v>
      </c>
      <c r="D36" s="37" t="n">
        <f aca="false">'LSD.RID.0.AL.CALC'!I37</f>
        <v>0.93</v>
      </c>
      <c r="E36" s="37" t="n">
        <f aca="false">'LSD.RID.0.AL.CALC'!J37</f>
        <v>0.88</v>
      </c>
      <c r="F36" s="37" t="n">
        <f aca="false">'LSD.RID.0.AL.CALC'!K37</f>
        <v>0.963</v>
      </c>
    </row>
    <row r="37" customFormat="false" ht="12.8" hidden="false" customHeight="false" outlineLevel="0" collapsed="false">
      <c r="A37" s="12" t="str">
        <f aca="false">_xlfn.CONCAT($A$1, ".", 'LSD.RID.0.AL.CALC'!A38)</f>
        <v>LSD.RID.0.AL.ETPR.34</v>
      </c>
      <c r="B37" s="33" t="str">
        <f aca="false">_xlfn.CONCAT('LSD.RID.0.AL.CALC'!B38, ":", 'LSD.RID.0.AL.CALC'!C38)</f>
        <v>Other Services:Support</v>
      </c>
      <c r="C37" s="37" t="n">
        <f aca="false">'LSD.RID.0.AL.CALC'!H38</f>
        <v>0.96</v>
      </c>
      <c r="D37" s="37" t="n">
        <f aca="false">'LSD.RID.0.AL.CALC'!I38</f>
        <v>0.93</v>
      </c>
      <c r="E37" s="37" t="n">
        <f aca="false">'LSD.RID.0.AL.CALC'!J38</f>
        <v>0.88</v>
      </c>
      <c r="F37" s="37" t="n">
        <f aca="false">'LSD.RID.0.AL.CALC'!K38</f>
        <v>0.963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P37"/>
  <sheetViews>
    <sheetView showFormulas="false" showGridLines="true" showRowColHeaders="true" showZeros="true" rightToLeft="false" tabSelected="false" showOutlineSymbols="true" defaultGridColor="true" view="normal" topLeftCell="A79" colorId="64" zoomScale="90" zoomScaleNormal="90" zoomScalePageLayoutView="100" workbookViewId="0">
      <selection pane="topLeft" activeCell="I111" activeCellId="0" sqref="I11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s="36" customFormat="true" ht="12.8" hidden="false" customHeight="false" outlineLevel="0" collapsed="false">
      <c r="A1" s="4" t="s">
        <v>982</v>
      </c>
      <c r="B1" s="16" t="s">
        <v>983</v>
      </c>
      <c r="C1" s="17" t="s">
        <v>2</v>
      </c>
      <c r="D1" s="16" t="s">
        <v>984</v>
      </c>
      <c r="E1" s="31" t="s">
        <v>985</v>
      </c>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E1" s="15"/>
      <c r="BF1" s="15"/>
      <c r="BG1" s="15"/>
      <c r="BH1" s="15"/>
      <c r="BI1" s="15"/>
      <c r="BJ1" s="15"/>
      <c r="BK1" s="15"/>
      <c r="BL1" s="15"/>
      <c r="BM1" s="15"/>
      <c r="BN1" s="15"/>
      <c r="BO1" s="15"/>
      <c r="BP1" s="15"/>
    </row>
    <row r="2" customFormat="false" ht="46.25" hidden="false" customHeight="false" outlineLevel="0" collapsed="false">
      <c r="A2" s="24" t="s">
        <v>978</v>
      </c>
      <c r="B2" s="23" t="s">
        <v>979</v>
      </c>
      <c r="C2" s="28" t="str">
        <f aca="false">'LSD.RID.0.AL.CALC'!L3</f>
        <v>Labor Force Participation Rate (LFPR)</v>
      </c>
      <c r="D2" s="28" t="str">
        <f aca="false">'LSD.RID.0.AL.CALC'!M3</f>
        <v>Authorized Immigrant Labor Force Participation Rate (LFPR)</v>
      </c>
      <c r="E2" s="28" t="str">
        <f aca="false">'LSD.RID.0.AL.CALC'!N3</f>
        <v>Unauthorized Immigrant Labor Force Participation Rate (LFPR)</v>
      </c>
      <c r="F2" s="28" t="str">
        <f aca="false">'LSD.RID.0.AL.CALC'!O3</f>
        <v>American Labor Force Participation Rate (LFPR)</v>
      </c>
    </row>
    <row r="3" customFormat="false" ht="12.8" hidden="false" customHeight="false" outlineLevel="0" collapsed="false">
      <c r="A3" s="4" t="str">
        <f aca="false">_xlfn.CONCAT($A$1, ".", 'LSD.RID.0.AL.CALC'!A4)</f>
        <v>LSD.RID.0.AL.LFPR.0</v>
      </c>
      <c r="B3" s="32" t="str">
        <f aca="false">_xlfn.CONCAT('LSD.RID.0.AL.CALC'!B4, ":", 'LSD.RID.0.AL.CALC'!C4)</f>
        <v>All Industries:All Roles</v>
      </c>
      <c r="C3" s="28" t="n">
        <f aca="false">'LSD.RID.0.AL.CALC'!L4</f>
        <v>0.577</v>
      </c>
      <c r="D3" s="28" t="n">
        <f aca="false">'LSD.RID.0.AL.CALC'!M4</f>
        <v>0.65</v>
      </c>
      <c r="E3" s="28" t="n">
        <f aca="false">'LSD.RID.0.AL.CALC'!N4</f>
        <v>0.72</v>
      </c>
      <c r="F3" s="28" t="n">
        <f aca="false">'LSD.RID.0.AL.CALC'!O4</f>
        <v>0.575</v>
      </c>
    </row>
    <row r="4" customFormat="false" ht="12.8" hidden="false" customHeight="false" outlineLevel="0" collapsed="false">
      <c r="A4" s="12" t="str">
        <f aca="false">_xlfn.CONCAT($A$1, ".", 'LSD.RID.0.AL.CALC'!A5)</f>
        <v>LSD.RID.0.AL.LFPR.1</v>
      </c>
      <c r="B4" s="33" t="str">
        <f aca="false">_xlfn.CONCAT('LSD.RID.0.AL.CALC'!B5, ":", 'LSD.RID.0.AL.CALC'!C5)</f>
        <v>Agriculture:Worker</v>
      </c>
      <c r="C4" s="37" t="n">
        <f aca="false">'LSD.RID.0.AL.CALC'!L5</f>
        <v>0.62</v>
      </c>
      <c r="D4" s="37" t="n">
        <f aca="false">'LSD.RID.0.AL.CALC'!M5</f>
        <v>0.68</v>
      </c>
      <c r="E4" s="37" t="n">
        <f aca="false">'LSD.RID.0.AL.CALC'!N5</f>
        <v>0.78</v>
      </c>
      <c r="F4" s="37" t="n">
        <f aca="false">'LSD.RID.0.AL.CALC'!O5</f>
        <v>0.6</v>
      </c>
    </row>
    <row r="5" customFormat="false" ht="12.8" hidden="false" customHeight="false" outlineLevel="0" collapsed="false">
      <c r="A5" s="12" t="str">
        <f aca="false">_xlfn.CONCAT($A$1, ".", 'LSD.RID.0.AL.CALC'!A6)</f>
        <v>LSD.RID.0.AL.LFPR.2</v>
      </c>
      <c r="B5" s="33" t="str">
        <f aca="false">_xlfn.CONCAT('LSD.RID.0.AL.CALC'!B6, ":", 'LSD.RID.0.AL.CALC'!C6)</f>
        <v>Agriculture:Support</v>
      </c>
      <c r="C5" s="37" t="n">
        <f aca="false">'LSD.RID.0.AL.CALC'!L6</f>
        <v>0.589</v>
      </c>
      <c r="D5" s="37" t="n">
        <f aca="false">'LSD.RID.0.AL.CALC'!M6</f>
        <v>0.646</v>
      </c>
      <c r="E5" s="37" t="n">
        <f aca="false">'LSD.RID.0.AL.CALC'!N6</f>
        <v>0.741</v>
      </c>
      <c r="F5" s="37" t="n">
        <f aca="false">'LSD.RID.0.AL.CALC'!O6</f>
        <v>0.57</v>
      </c>
    </row>
    <row r="6" customFormat="false" ht="12.8" hidden="false" customHeight="false" outlineLevel="0" collapsed="false">
      <c r="A6" s="12" t="str">
        <f aca="false">_xlfn.CONCAT($A$1, ".", 'LSD.RID.0.AL.CALC'!A7)</f>
        <v>LSD.RID.0.AL.LFPR.3</v>
      </c>
      <c r="B6" s="33" t="str">
        <f aca="false">_xlfn.CONCAT('LSD.RID.0.AL.CALC'!B7, ":", 'LSD.RID.0.AL.CALC'!C7)</f>
        <v>Construction:Worker</v>
      </c>
      <c r="C6" s="37" t="n">
        <f aca="false">'LSD.RID.0.AL.CALC'!L7</f>
        <v>0.61</v>
      </c>
      <c r="D6" s="37" t="n">
        <f aca="false">'LSD.RID.0.AL.CALC'!M7</f>
        <v>0.67</v>
      </c>
      <c r="E6" s="37" t="n">
        <f aca="false">'LSD.RID.0.AL.CALC'!N7</f>
        <v>0.76</v>
      </c>
      <c r="F6" s="37" t="n">
        <f aca="false">'LSD.RID.0.AL.CALC'!O7</f>
        <v>0.59</v>
      </c>
    </row>
    <row r="7" customFormat="false" ht="12.8" hidden="false" customHeight="false" outlineLevel="0" collapsed="false">
      <c r="A7" s="12" t="str">
        <f aca="false">_xlfn.CONCAT($A$1, ".", 'LSD.RID.0.AL.CALC'!A8)</f>
        <v>LSD.RID.0.AL.LFPR.4</v>
      </c>
      <c r="B7" s="33" t="str">
        <f aca="false">_xlfn.CONCAT('LSD.RID.0.AL.CALC'!B8, ":", 'LSD.RID.0.AL.CALC'!C8)</f>
        <v>Construction:Support</v>
      </c>
      <c r="C7" s="37" t="n">
        <f aca="false">'LSD.RID.0.AL.CALC'!L8</f>
        <v>0.579</v>
      </c>
      <c r="D7" s="37" t="n">
        <f aca="false">'LSD.RID.0.AL.CALC'!M8</f>
        <v>0.637</v>
      </c>
      <c r="E7" s="37" t="n">
        <f aca="false">'LSD.RID.0.AL.CALC'!N8</f>
        <v>0.722</v>
      </c>
      <c r="F7" s="37" t="n">
        <f aca="false">'LSD.RID.0.AL.CALC'!O8</f>
        <v>0.56</v>
      </c>
    </row>
    <row r="8" customFormat="false" ht="12.8" hidden="false" customHeight="false" outlineLevel="0" collapsed="false">
      <c r="A8" s="12" t="str">
        <f aca="false">_xlfn.CONCAT($A$1, ".", 'LSD.RID.0.AL.CALC'!A9)</f>
        <v>LSD.RID.0.AL.LFPR.5</v>
      </c>
      <c r="B8" s="33" t="str">
        <f aca="false">_xlfn.CONCAT('LSD.RID.0.AL.CALC'!B9, ":", 'LSD.RID.0.AL.CALC'!C9)</f>
        <v>Hospitality:Worker</v>
      </c>
      <c r="C8" s="37" t="n">
        <f aca="false">'LSD.RID.0.AL.CALC'!L9</f>
        <v>0.58</v>
      </c>
      <c r="D8" s="37" t="n">
        <f aca="false">'LSD.RID.0.AL.CALC'!M9</f>
        <v>0.64</v>
      </c>
      <c r="E8" s="37" t="n">
        <f aca="false">'LSD.RID.0.AL.CALC'!N9</f>
        <v>0.71</v>
      </c>
      <c r="F8" s="37" t="n">
        <f aca="false">'LSD.RID.0.AL.CALC'!O9</f>
        <v>0.57</v>
      </c>
    </row>
    <row r="9" customFormat="false" ht="12.8" hidden="false" customHeight="false" outlineLevel="0" collapsed="false">
      <c r="A9" s="12" t="str">
        <f aca="false">_xlfn.CONCAT($A$1, ".", 'LSD.RID.0.AL.CALC'!A10)</f>
        <v>LSD.RID.0.AL.LFPR.6</v>
      </c>
      <c r="B9" s="33" t="str">
        <f aca="false">_xlfn.CONCAT('LSD.RID.0.AL.CALC'!B10, ":", 'LSD.RID.0.AL.CALC'!C10)</f>
        <v>Hospitality:Support</v>
      </c>
      <c r="C9" s="37" t="n">
        <f aca="false">'LSD.RID.0.AL.CALC'!L10</f>
        <v>0.551</v>
      </c>
      <c r="D9" s="37" t="n">
        <f aca="false">'LSD.RID.0.AL.CALC'!M10</f>
        <v>0.608</v>
      </c>
      <c r="E9" s="37" t="n">
        <f aca="false">'LSD.RID.0.AL.CALC'!N10</f>
        <v>0.674</v>
      </c>
      <c r="F9" s="37" t="n">
        <f aca="false">'LSD.RID.0.AL.CALC'!O10</f>
        <v>0.542</v>
      </c>
    </row>
    <row r="10" customFormat="false" ht="12.8" hidden="false" customHeight="false" outlineLevel="0" collapsed="false">
      <c r="A10" s="12" t="str">
        <f aca="false">_xlfn.CONCAT($A$1, ".", 'LSD.RID.0.AL.CALC'!A11)</f>
        <v>LSD.RID.0.AL.LFPR.7</v>
      </c>
      <c r="B10" s="33" t="str">
        <f aca="false">_xlfn.CONCAT('LSD.RID.0.AL.CALC'!B11, ":", 'LSD.RID.0.AL.CALC'!C11)</f>
        <v>Cleaning &amp; Maintenance:Worker</v>
      </c>
      <c r="C10" s="37" t="n">
        <f aca="false">'LSD.RID.0.AL.CALC'!L11</f>
        <v>0.595</v>
      </c>
      <c r="D10" s="37" t="n">
        <f aca="false">'LSD.RID.0.AL.CALC'!M11</f>
        <v>0.655</v>
      </c>
      <c r="E10" s="37" t="n">
        <f aca="false">'LSD.RID.0.AL.CALC'!N11</f>
        <v>0.74</v>
      </c>
      <c r="F10" s="37" t="n">
        <f aca="false">'LSD.RID.0.AL.CALC'!O11</f>
        <v>0.58</v>
      </c>
    </row>
    <row r="11" customFormat="false" ht="12.8" hidden="false" customHeight="false" outlineLevel="0" collapsed="false">
      <c r="A11" s="12" t="str">
        <f aca="false">_xlfn.CONCAT($A$1, ".", 'LSD.RID.0.AL.CALC'!A12)</f>
        <v>LSD.RID.0.AL.LFPR.8</v>
      </c>
      <c r="B11" s="33" t="str">
        <f aca="false">_xlfn.CONCAT('LSD.RID.0.AL.CALC'!B12, ":", 'LSD.RID.0.AL.CALC'!C12)</f>
        <v>Cleaning &amp; Maintenance:Support</v>
      </c>
      <c r="C11" s="37" t="n">
        <f aca="false">'LSD.RID.0.AL.CALC'!L12</f>
        <v>0.565</v>
      </c>
      <c r="D11" s="37" t="n">
        <f aca="false">'LSD.RID.0.AL.CALC'!M12</f>
        <v>0.622</v>
      </c>
      <c r="E11" s="37" t="n">
        <f aca="false">'LSD.RID.0.AL.CALC'!N12</f>
        <v>0.703</v>
      </c>
      <c r="F11" s="37" t="n">
        <f aca="false">'LSD.RID.0.AL.CALC'!O12</f>
        <v>0.551</v>
      </c>
    </row>
    <row r="12" customFormat="false" ht="12.8" hidden="false" customHeight="false" outlineLevel="0" collapsed="false">
      <c r="A12" s="12" t="str">
        <f aca="false">_xlfn.CONCAT($A$1, ".", 'LSD.RID.0.AL.CALC'!A13)</f>
        <v>LSD.RID.0.AL.LFPR.9</v>
      </c>
      <c r="B12" s="33" t="str">
        <f aca="false">_xlfn.CONCAT('LSD.RID.0.AL.CALC'!B13, ":", 'LSD.RID.0.AL.CALC'!C13)</f>
        <v>Manufacturing:Worker</v>
      </c>
      <c r="C12" s="37" t="n">
        <f aca="false">'LSD.RID.0.AL.CALC'!L13</f>
        <v>0.605</v>
      </c>
      <c r="D12" s="37" t="n">
        <f aca="false">'LSD.RID.0.AL.CALC'!M13</f>
        <v>0.665</v>
      </c>
      <c r="E12" s="37" t="n">
        <f aca="false">'LSD.RID.0.AL.CALC'!N13</f>
        <v>0.74</v>
      </c>
      <c r="F12" s="37" t="n">
        <f aca="false">'LSD.RID.0.AL.CALC'!O13</f>
        <v>0.59</v>
      </c>
    </row>
    <row r="13" customFormat="false" ht="12.8" hidden="false" customHeight="false" outlineLevel="0" collapsed="false">
      <c r="A13" s="12" t="str">
        <f aca="false">_xlfn.CONCAT($A$1, ".", 'LSD.RID.0.AL.CALC'!A14)</f>
        <v>LSD.RID.0.AL.LFPR.10</v>
      </c>
      <c r="B13" s="33" t="str">
        <f aca="false">_xlfn.CONCAT('LSD.RID.0.AL.CALC'!B14, ":", 'LSD.RID.0.AL.CALC'!C14)</f>
        <v>Manufacturing:Support</v>
      </c>
      <c r="C13" s="37" t="n">
        <f aca="false">'LSD.RID.0.AL.CALC'!L14</f>
        <v>0.575</v>
      </c>
      <c r="D13" s="37" t="n">
        <f aca="false">'LSD.RID.0.AL.CALC'!M14</f>
        <v>0.632</v>
      </c>
      <c r="E13" s="37" t="n">
        <f aca="false">'LSD.RID.0.AL.CALC'!N14</f>
        <v>0.703</v>
      </c>
      <c r="F13" s="37" t="n">
        <f aca="false">'LSD.RID.0.AL.CALC'!O14</f>
        <v>0.56</v>
      </c>
    </row>
    <row r="14" customFormat="false" ht="12.8" hidden="false" customHeight="false" outlineLevel="0" collapsed="false">
      <c r="A14" s="12" t="str">
        <f aca="false">_xlfn.CONCAT($A$1, ".", 'LSD.RID.0.AL.CALC'!A15)</f>
        <v>LSD.RID.0.AL.LFPR.11</v>
      </c>
      <c r="B14" s="33" t="str">
        <f aca="false">_xlfn.CONCAT('LSD.RID.0.AL.CALC'!B15, ":", 'LSD.RID.0.AL.CALC'!C15)</f>
        <v>Transportation &amp; Warehousing:Worker</v>
      </c>
      <c r="C14" s="37" t="n">
        <f aca="false">'LSD.RID.0.AL.CALC'!L15</f>
        <v>0.6</v>
      </c>
      <c r="D14" s="37" t="n">
        <f aca="false">'LSD.RID.0.AL.CALC'!M15</f>
        <v>0.66</v>
      </c>
      <c r="E14" s="37" t="n">
        <f aca="false">'LSD.RID.0.AL.CALC'!N15</f>
        <v>0.75</v>
      </c>
      <c r="F14" s="37" t="n">
        <f aca="false">'LSD.RID.0.AL.CALC'!O15</f>
        <v>0.58</v>
      </c>
    </row>
    <row r="15" customFormat="false" ht="12.8" hidden="false" customHeight="false" outlineLevel="0" collapsed="false">
      <c r="A15" s="12" t="str">
        <f aca="false">_xlfn.CONCAT($A$1, ".", 'LSD.RID.0.AL.CALC'!A16)</f>
        <v>LSD.RID.0.AL.LFPR.12</v>
      </c>
      <c r="B15" s="33" t="str">
        <f aca="false">_xlfn.CONCAT('LSD.RID.0.AL.CALC'!B16, ":", 'LSD.RID.0.AL.CALC'!C16)</f>
        <v>Transportation &amp; Warehousing:Support</v>
      </c>
      <c r="C15" s="37" t="n">
        <f aca="false">'LSD.RID.0.AL.CALC'!L16</f>
        <v>0.57</v>
      </c>
      <c r="D15" s="37" t="n">
        <f aca="false">'LSD.RID.0.AL.CALC'!M16</f>
        <v>0.627</v>
      </c>
      <c r="E15" s="37" t="n">
        <f aca="false">'LSD.RID.0.AL.CALC'!N16</f>
        <v>0.712</v>
      </c>
      <c r="F15" s="37" t="n">
        <f aca="false">'LSD.RID.0.AL.CALC'!O16</f>
        <v>0.55</v>
      </c>
    </row>
    <row r="16" customFormat="false" ht="12.8" hidden="false" customHeight="false" outlineLevel="0" collapsed="false">
      <c r="A16" s="12" t="str">
        <f aca="false">_xlfn.CONCAT($A$1, ".", 'LSD.RID.0.AL.CALC'!A17)</f>
        <v>LSD.RID.0.AL.LFPR.13</v>
      </c>
      <c r="B16" s="33" t="str">
        <f aca="false">_xlfn.CONCAT('LSD.RID.0.AL.CALC'!B17, ":", 'LSD.RID.0.AL.CALC'!C17)</f>
        <v>Retail Trade:Worker</v>
      </c>
      <c r="C16" s="37" t="n">
        <f aca="false">'LSD.RID.0.AL.CALC'!L17</f>
        <v>0.58</v>
      </c>
      <c r="D16" s="37" t="n">
        <f aca="false">'LSD.RID.0.AL.CALC'!M17</f>
        <v>0.64</v>
      </c>
      <c r="E16" s="37" t="n">
        <f aca="false">'LSD.RID.0.AL.CALC'!N17</f>
        <v>0.71</v>
      </c>
      <c r="F16" s="37" t="n">
        <f aca="false">'LSD.RID.0.AL.CALC'!O17</f>
        <v>0.57</v>
      </c>
    </row>
    <row r="17" customFormat="false" ht="12.8" hidden="false" customHeight="false" outlineLevel="0" collapsed="false">
      <c r="A17" s="12" t="str">
        <f aca="false">_xlfn.CONCAT($A$1, ".", 'LSD.RID.0.AL.CALC'!A18)</f>
        <v>LSD.RID.0.AL.LFPR.14</v>
      </c>
      <c r="B17" s="33" t="str">
        <f aca="false">_xlfn.CONCAT('LSD.RID.0.AL.CALC'!B18, ":", 'LSD.RID.0.AL.CALC'!C18)</f>
        <v>Retail Trade:Support</v>
      </c>
      <c r="C17" s="37" t="n">
        <f aca="false">'LSD.RID.0.AL.CALC'!L18</f>
        <v>0.551</v>
      </c>
      <c r="D17" s="37" t="n">
        <f aca="false">'LSD.RID.0.AL.CALC'!M18</f>
        <v>0.608</v>
      </c>
      <c r="E17" s="37" t="n">
        <f aca="false">'LSD.RID.0.AL.CALC'!N18</f>
        <v>0.674</v>
      </c>
      <c r="F17" s="37" t="n">
        <f aca="false">'LSD.RID.0.AL.CALC'!O18</f>
        <v>0.542</v>
      </c>
    </row>
    <row r="18" customFormat="false" ht="12.8" hidden="false" customHeight="false" outlineLevel="0" collapsed="false">
      <c r="A18" s="12" t="str">
        <f aca="false">_xlfn.CONCAT($A$1, ".", 'LSD.RID.0.AL.CALC'!A19)</f>
        <v>LSD.RID.0.AL.LFPR.15</v>
      </c>
      <c r="B18" s="33" t="str">
        <f aca="false">_xlfn.CONCAT('LSD.RID.0.AL.CALC'!B19, ":", 'LSD.RID.0.AL.CALC'!C19)</f>
        <v>Landscaping / Groundskeeping:Worker</v>
      </c>
      <c r="C18" s="37" t="n">
        <f aca="false">'LSD.RID.0.AL.CALC'!L19</f>
        <v>0.62</v>
      </c>
      <c r="D18" s="37" t="n">
        <f aca="false">'LSD.RID.0.AL.CALC'!M19</f>
        <v>0.68</v>
      </c>
      <c r="E18" s="37" t="n">
        <f aca="false">'LSD.RID.0.AL.CALC'!N19</f>
        <v>0.78</v>
      </c>
      <c r="F18" s="37" t="n">
        <f aca="false">'LSD.RID.0.AL.CALC'!O19</f>
        <v>0.6</v>
      </c>
    </row>
    <row r="19" customFormat="false" ht="12.8" hidden="false" customHeight="false" outlineLevel="0" collapsed="false">
      <c r="A19" s="12" t="str">
        <f aca="false">_xlfn.CONCAT($A$1, ".", 'LSD.RID.0.AL.CALC'!A20)</f>
        <v>LSD.RID.0.AL.LFPR.16</v>
      </c>
      <c r="B19" s="33" t="str">
        <f aca="false">_xlfn.CONCAT('LSD.RID.0.AL.CALC'!B20, ":", 'LSD.RID.0.AL.CALC'!C20)</f>
        <v>Landscaping / Groundskeeping:Support</v>
      </c>
      <c r="C19" s="37" t="n">
        <f aca="false">'LSD.RID.0.AL.CALC'!L20</f>
        <v>0.589</v>
      </c>
      <c r="D19" s="37" t="n">
        <f aca="false">'LSD.RID.0.AL.CALC'!M20</f>
        <v>0.646</v>
      </c>
      <c r="E19" s="37" t="n">
        <f aca="false">'LSD.RID.0.AL.CALC'!N20</f>
        <v>0.741</v>
      </c>
      <c r="F19" s="37" t="n">
        <f aca="false">'LSD.RID.0.AL.CALC'!O20</f>
        <v>0.57</v>
      </c>
    </row>
    <row r="20" customFormat="false" ht="12.8" hidden="false" customHeight="false" outlineLevel="0" collapsed="false">
      <c r="A20" s="12" t="str">
        <f aca="false">_xlfn.CONCAT($A$1, ".", 'LSD.RID.0.AL.CALC'!A21)</f>
        <v>LSD.RID.0.AL.LFPR.17</v>
      </c>
      <c r="B20" s="33" t="str">
        <f aca="false">_xlfn.CONCAT('LSD.RID.0.AL.CALC'!B21, ":", 'LSD.RID.0.AL.CALC'!C21)</f>
        <v>Automotive &amp; Repair:Worker</v>
      </c>
      <c r="C20" s="37" t="n">
        <f aca="false">'LSD.RID.0.AL.CALC'!L21</f>
        <v>0.6</v>
      </c>
      <c r="D20" s="37" t="n">
        <f aca="false">'LSD.RID.0.AL.CALC'!M21</f>
        <v>0.66</v>
      </c>
      <c r="E20" s="37" t="n">
        <f aca="false">'LSD.RID.0.AL.CALC'!N21</f>
        <v>0.75</v>
      </c>
      <c r="F20" s="37" t="n">
        <f aca="false">'LSD.RID.0.AL.CALC'!O21</f>
        <v>0.58</v>
      </c>
    </row>
    <row r="21" customFormat="false" ht="12.8" hidden="false" customHeight="false" outlineLevel="0" collapsed="false">
      <c r="A21" s="12" t="str">
        <f aca="false">_xlfn.CONCAT($A$1, ".", 'LSD.RID.0.AL.CALC'!A22)</f>
        <v>LSD.RID.0.AL.LFPR.18</v>
      </c>
      <c r="B21" s="33" t="str">
        <f aca="false">_xlfn.CONCAT('LSD.RID.0.AL.CALC'!B22, ":", 'LSD.RID.0.AL.CALC'!C22)</f>
        <v>Automotive &amp; Repair:Support</v>
      </c>
      <c r="C21" s="37" t="n">
        <f aca="false">'LSD.RID.0.AL.CALC'!L22</f>
        <v>0.57</v>
      </c>
      <c r="D21" s="37" t="n">
        <f aca="false">'LSD.RID.0.AL.CALC'!M22</f>
        <v>0.627</v>
      </c>
      <c r="E21" s="37" t="n">
        <f aca="false">'LSD.RID.0.AL.CALC'!N22</f>
        <v>0.712</v>
      </c>
      <c r="F21" s="37" t="n">
        <f aca="false">'LSD.RID.0.AL.CALC'!O22</f>
        <v>0.55</v>
      </c>
    </row>
    <row r="22" customFormat="false" ht="12.8" hidden="false" customHeight="false" outlineLevel="0" collapsed="false">
      <c r="A22" s="12" t="str">
        <f aca="false">_xlfn.CONCAT($A$1, ".", 'LSD.RID.0.AL.CALC'!A23)</f>
        <v>LSD.RID.0.AL.LFPR.19</v>
      </c>
      <c r="B22" s="33" t="str">
        <f aca="false">_xlfn.CONCAT('LSD.RID.0.AL.CALC'!B23, ":", 'LSD.RID.0.AL.CALC'!C23)</f>
        <v>Healthcare &amp; Social Assistance:Worker</v>
      </c>
      <c r="C22" s="37" t="n">
        <f aca="false">'LSD.RID.0.AL.CALC'!L23</f>
        <v>0.605</v>
      </c>
      <c r="D22" s="37" t="n">
        <f aca="false">'LSD.RID.0.AL.CALC'!M23</f>
        <v>0.665</v>
      </c>
      <c r="E22" s="37" t="n">
        <f aca="false">'LSD.RID.0.AL.CALC'!N23</f>
        <v>0.74</v>
      </c>
      <c r="F22" s="37" t="n">
        <f aca="false">'LSD.RID.0.AL.CALC'!O23</f>
        <v>0.59</v>
      </c>
    </row>
    <row r="23" customFormat="false" ht="12.8" hidden="false" customHeight="false" outlineLevel="0" collapsed="false">
      <c r="A23" s="12" t="str">
        <f aca="false">_xlfn.CONCAT($A$1, ".", 'LSD.RID.0.AL.CALC'!A24)</f>
        <v>LSD.RID.0.AL.LFPR.20</v>
      </c>
      <c r="B23" s="33" t="str">
        <f aca="false">_xlfn.CONCAT('LSD.RID.0.AL.CALC'!B24, ":", 'LSD.RID.0.AL.CALC'!C24)</f>
        <v>Healthcare &amp; Social Assistance:Support</v>
      </c>
      <c r="C23" s="37" t="n">
        <f aca="false">'LSD.RID.0.AL.CALC'!L24</f>
        <v>0.575</v>
      </c>
      <c r="D23" s="37" t="n">
        <f aca="false">'LSD.RID.0.AL.CALC'!M24</f>
        <v>0.632</v>
      </c>
      <c r="E23" s="37" t="n">
        <f aca="false">'LSD.RID.0.AL.CALC'!N24</f>
        <v>0.703</v>
      </c>
      <c r="F23" s="37" t="n">
        <f aca="false">'LSD.RID.0.AL.CALC'!O24</f>
        <v>0.56</v>
      </c>
    </row>
    <row r="24" customFormat="false" ht="12.8" hidden="false" customHeight="false" outlineLevel="0" collapsed="false">
      <c r="A24" s="12" t="str">
        <f aca="false">_xlfn.CONCAT($A$1, ".", 'LSD.RID.0.AL.CALC'!A25)</f>
        <v>LSD.RID.0.AL.LFPR.21</v>
      </c>
      <c r="B24" s="33" t="str">
        <f aca="false">_xlfn.CONCAT('LSD.RID.0.AL.CALC'!B25, ":", 'LSD.RID.0.AL.CALC'!C25)</f>
        <v>Professional Services:Worker</v>
      </c>
      <c r="C24" s="37" t="n">
        <f aca="false">'LSD.RID.0.AL.CALC'!L25</f>
        <v>0.605</v>
      </c>
      <c r="D24" s="37" t="n">
        <f aca="false">'LSD.RID.0.AL.CALC'!M25</f>
        <v>0.665</v>
      </c>
      <c r="E24" s="37" t="n">
        <f aca="false">'LSD.RID.0.AL.CALC'!N25</f>
        <v>0.74</v>
      </c>
      <c r="F24" s="37" t="n">
        <f aca="false">'LSD.RID.0.AL.CALC'!O25</f>
        <v>0.59</v>
      </c>
    </row>
    <row r="25" customFormat="false" ht="12.8" hidden="false" customHeight="false" outlineLevel="0" collapsed="false">
      <c r="A25" s="12" t="str">
        <f aca="false">_xlfn.CONCAT($A$1, ".", 'LSD.RID.0.AL.CALC'!A26)</f>
        <v>LSD.RID.0.AL.LFPR.22</v>
      </c>
      <c r="B25" s="33" t="str">
        <f aca="false">_xlfn.CONCAT('LSD.RID.0.AL.CALC'!B26, ":", 'LSD.RID.0.AL.CALC'!C26)</f>
        <v>Professional Services:Support</v>
      </c>
      <c r="C25" s="37" t="n">
        <f aca="false">'LSD.RID.0.AL.CALC'!L26</f>
        <v>0.575</v>
      </c>
      <c r="D25" s="37" t="n">
        <f aca="false">'LSD.RID.0.AL.CALC'!M26</f>
        <v>0.632</v>
      </c>
      <c r="E25" s="37" t="n">
        <f aca="false">'LSD.RID.0.AL.CALC'!N26</f>
        <v>0.703</v>
      </c>
      <c r="F25" s="37" t="n">
        <f aca="false">'LSD.RID.0.AL.CALC'!O26</f>
        <v>0.56</v>
      </c>
    </row>
    <row r="26" customFormat="false" ht="12.8" hidden="false" customHeight="false" outlineLevel="0" collapsed="false">
      <c r="A26" s="12" t="str">
        <f aca="false">_xlfn.CONCAT($A$1, ".", 'LSD.RID.0.AL.CALC'!A27)</f>
        <v>LSD.RID.0.AL.LFPR.23</v>
      </c>
      <c r="B26" s="33" t="str">
        <f aca="false">_xlfn.CONCAT('LSD.RID.0.AL.CALC'!B27, ":", 'LSD.RID.0.AL.CALC'!C27)</f>
        <v>Educational Services:Worker</v>
      </c>
      <c r="C26" s="37" t="n">
        <f aca="false">'LSD.RID.0.AL.CALC'!L27</f>
        <v>0.605</v>
      </c>
      <c r="D26" s="37" t="n">
        <f aca="false">'LSD.RID.0.AL.CALC'!M27</f>
        <v>0.665</v>
      </c>
      <c r="E26" s="37" t="n">
        <f aca="false">'LSD.RID.0.AL.CALC'!N27</f>
        <v>0.74</v>
      </c>
      <c r="F26" s="37" t="n">
        <f aca="false">'LSD.RID.0.AL.CALC'!O27</f>
        <v>0.59</v>
      </c>
    </row>
    <row r="27" customFormat="false" ht="12.8" hidden="false" customHeight="false" outlineLevel="0" collapsed="false">
      <c r="A27" s="12" t="str">
        <f aca="false">_xlfn.CONCAT($A$1, ".", 'LSD.RID.0.AL.CALC'!A28)</f>
        <v>LSD.RID.0.AL.LFPR.24</v>
      </c>
      <c r="B27" s="33" t="str">
        <f aca="false">_xlfn.CONCAT('LSD.RID.0.AL.CALC'!B28, ":", 'LSD.RID.0.AL.CALC'!C28)</f>
        <v>Educational Services:Support</v>
      </c>
      <c r="C27" s="37" t="n">
        <f aca="false">'LSD.RID.0.AL.CALC'!L28</f>
        <v>0.575</v>
      </c>
      <c r="D27" s="37" t="n">
        <f aca="false">'LSD.RID.0.AL.CALC'!M28</f>
        <v>0.632</v>
      </c>
      <c r="E27" s="37" t="n">
        <f aca="false">'LSD.RID.0.AL.CALC'!N28</f>
        <v>0.703</v>
      </c>
      <c r="F27" s="37" t="n">
        <f aca="false">'LSD.RID.0.AL.CALC'!O28</f>
        <v>0.56</v>
      </c>
    </row>
    <row r="28" customFormat="false" ht="12.8" hidden="false" customHeight="false" outlineLevel="0" collapsed="false">
      <c r="A28" s="12" t="str">
        <f aca="false">_xlfn.CONCAT($A$1, ".", 'LSD.RID.0.AL.CALC'!A29)</f>
        <v>LSD.RID.0.AL.LFPR.25</v>
      </c>
      <c r="B28" s="33" t="str">
        <f aca="false">_xlfn.CONCAT('LSD.RID.0.AL.CALC'!B29, ":", 'LSD.RID.0.AL.CALC'!C29)</f>
        <v>Finance &amp; Insurance:Worker</v>
      </c>
      <c r="C28" s="37" t="n">
        <f aca="false">'LSD.RID.0.AL.CALC'!L29</f>
        <v>0.605</v>
      </c>
      <c r="D28" s="37" t="n">
        <f aca="false">'LSD.RID.0.AL.CALC'!M29</f>
        <v>0.665</v>
      </c>
      <c r="E28" s="37" t="n">
        <f aca="false">'LSD.RID.0.AL.CALC'!N29</f>
        <v>0.74</v>
      </c>
      <c r="F28" s="37" t="n">
        <f aca="false">'LSD.RID.0.AL.CALC'!O29</f>
        <v>0.59</v>
      </c>
    </row>
    <row r="29" customFormat="false" ht="12.8" hidden="false" customHeight="false" outlineLevel="0" collapsed="false">
      <c r="A29" s="12" t="str">
        <f aca="false">_xlfn.CONCAT($A$1, ".", 'LSD.RID.0.AL.CALC'!A30)</f>
        <v>LSD.RID.0.AL.LFPR.26</v>
      </c>
      <c r="B29" s="33" t="str">
        <f aca="false">_xlfn.CONCAT('LSD.RID.0.AL.CALC'!B30, ":", 'LSD.RID.0.AL.CALC'!C30)</f>
        <v>Finance &amp; Insurance:Support</v>
      </c>
      <c r="C29" s="37" t="n">
        <f aca="false">'LSD.RID.0.AL.CALC'!L30</f>
        <v>0.575</v>
      </c>
      <c r="D29" s="37" t="n">
        <f aca="false">'LSD.RID.0.AL.CALC'!M30</f>
        <v>0.632</v>
      </c>
      <c r="E29" s="37" t="n">
        <f aca="false">'LSD.RID.0.AL.CALC'!N30</f>
        <v>0.703</v>
      </c>
      <c r="F29" s="37" t="n">
        <f aca="false">'LSD.RID.0.AL.CALC'!O30</f>
        <v>0.56</v>
      </c>
    </row>
    <row r="30" customFormat="false" ht="12.8" hidden="false" customHeight="false" outlineLevel="0" collapsed="false">
      <c r="A30" s="12" t="str">
        <f aca="false">_xlfn.CONCAT($A$1, ".", 'LSD.RID.0.AL.CALC'!A31)</f>
        <v>LSD.RID.0.AL.LFPR.27</v>
      </c>
      <c r="B30" s="33" t="str">
        <f aca="false">_xlfn.CONCAT('LSD.RID.0.AL.CALC'!B31, ":", 'LSD.RID.0.AL.CALC'!C31)</f>
        <v>Media and Information Technology:Worker</v>
      </c>
      <c r="C30" s="37" t="n">
        <f aca="false">'LSD.RID.0.AL.CALC'!L31</f>
        <v>0.605</v>
      </c>
      <c r="D30" s="37" t="n">
        <f aca="false">'LSD.RID.0.AL.CALC'!M31</f>
        <v>0.665</v>
      </c>
      <c r="E30" s="37" t="n">
        <f aca="false">'LSD.RID.0.AL.CALC'!N31</f>
        <v>0.74</v>
      </c>
      <c r="F30" s="37" t="n">
        <f aca="false">'LSD.RID.0.AL.CALC'!O31</f>
        <v>0.59</v>
      </c>
    </row>
    <row r="31" customFormat="false" ht="12.8" hidden="false" customHeight="false" outlineLevel="0" collapsed="false">
      <c r="A31" s="12" t="str">
        <f aca="false">_xlfn.CONCAT($A$1, ".", 'LSD.RID.0.AL.CALC'!A32)</f>
        <v>LSD.RID.0.AL.LFPR.28</v>
      </c>
      <c r="B31" s="33" t="str">
        <f aca="false">_xlfn.CONCAT('LSD.RID.0.AL.CALC'!B32, ":", 'LSD.RID.0.AL.CALC'!C32)</f>
        <v>Media and Information Technology:Support</v>
      </c>
      <c r="C31" s="37" t="n">
        <f aca="false">'LSD.RID.0.AL.CALC'!L32</f>
        <v>0.575</v>
      </c>
      <c r="D31" s="37" t="n">
        <f aca="false">'LSD.RID.0.AL.CALC'!M32</f>
        <v>0.632</v>
      </c>
      <c r="E31" s="37" t="n">
        <f aca="false">'LSD.RID.0.AL.CALC'!N32</f>
        <v>0.703</v>
      </c>
      <c r="F31" s="37" t="n">
        <f aca="false">'LSD.RID.0.AL.CALC'!O32</f>
        <v>0.56</v>
      </c>
    </row>
    <row r="32" customFormat="false" ht="12.8" hidden="false" customHeight="false" outlineLevel="0" collapsed="false">
      <c r="A32" s="12" t="str">
        <f aca="false">_xlfn.CONCAT($A$1, ".", 'LSD.RID.0.AL.CALC'!A33)</f>
        <v>LSD.RID.0.AL.LFPR.29</v>
      </c>
      <c r="B32" s="33" t="str">
        <f aca="false">_xlfn.CONCAT('LSD.RID.0.AL.CALC'!B33, ":", 'LSD.RID.0.AL.CALC'!C33)</f>
        <v>Government:Worker</v>
      </c>
      <c r="C32" s="37" t="n">
        <f aca="false">'LSD.RID.0.AL.CALC'!L33</f>
        <v>0.605</v>
      </c>
      <c r="D32" s="37" t="n">
        <f aca="false">'LSD.RID.0.AL.CALC'!M33</f>
        <v>0.665</v>
      </c>
      <c r="E32" s="37" t="n">
        <f aca="false">'LSD.RID.0.AL.CALC'!N33</f>
        <v>0.74</v>
      </c>
      <c r="F32" s="37" t="n">
        <f aca="false">'LSD.RID.0.AL.CALC'!O33</f>
        <v>0.59</v>
      </c>
    </row>
    <row r="33" customFormat="false" ht="12.8" hidden="false" customHeight="false" outlineLevel="0" collapsed="false">
      <c r="A33" s="12" t="str">
        <f aca="false">_xlfn.CONCAT($A$1, ".", 'LSD.RID.0.AL.CALC'!A34)</f>
        <v>LSD.RID.0.AL.LFPR.30</v>
      </c>
      <c r="B33" s="33" t="str">
        <f aca="false">_xlfn.CONCAT('LSD.RID.0.AL.CALC'!B34, ":", 'LSD.RID.0.AL.CALC'!C34)</f>
        <v>Government:Support</v>
      </c>
      <c r="C33" s="37" t="n">
        <f aca="false">'LSD.RID.0.AL.CALC'!L34</f>
        <v>0.575</v>
      </c>
      <c r="D33" s="37" t="n">
        <f aca="false">'LSD.RID.0.AL.CALC'!M34</f>
        <v>0.632</v>
      </c>
      <c r="E33" s="37" t="n">
        <f aca="false">'LSD.RID.0.AL.CALC'!N34</f>
        <v>0.703</v>
      </c>
      <c r="F33" s="37" t="n">
        <f aca="false">'LSD.RID.0.AL.CALC'!O34</f>
        <v>0.56</v>
      </c>
    </row>
    <row r="34" customFormat="false" ht="12.8" hidden="false" customHeight="false" outlineLevel="0" collapsed="false">
      <c r="A34" s="12" t="str">
        <f aca="false">_xlfn.CONCAT($A$1, ".", 'LSD.RID.0.AL.CALC'!A35)</f>
        <v>LSD.RID.0.AL.LFPR.31</v>
      </c>
      <c r="B34" s="33" t="str">
        <f aca="false">_xlfn.CONCAT('LSD.RID.0.AL.CALC'!B35, ":", 'LSD.RID.0.AL.CALC'!C35)</f>
        <v>Self-Employed / Non-Employer:Worker</v>
      </c>
      <c r="C34" s="37" t="n">
        <f aca="false">'LSD.RID.0.AL.CALC'!L35</f>
        <v>0.65</v>
      </c>
      <c r="D34" s="37" t="n">
        <f aca="false">'LSD.RID.0.AL.CALC'!M35</f>
        <v>0.7</v>
      </c>
      <c r="E34" s="37" t="n">
        <f aca="false">'LSD.RID.0.AL.CALC'!N35</f>
        <v>0.75</v>
      </c>
      <c r="F34" s="37" t="n">
        <f aca="false">'LSD.RID.0.AL.CALC'!O35</f>
        <v>0.64</v>
      </c>
    </row>
    <row r="35" customFormat="false" ht="12.8" hidden="false" customHeight="false" outlineLevel="0" collapsed="false">
      <c r="A35" s="12" t="str">
        <f aca="false">_xlfn.CONCAT($A$1, ".", 'LSD.RID.0.AL.CALC'!A36)</f>
        <v>LSD.RID.0.AL.LFPR.32</v>
      </c>
      <c r="B35" s="33" t="str">
        <f aca="false">_xlfn.CONCAT('LSD.RID.0.AL.CALC'!B36, ":", 'LSD.RID.0.AL.CALC'!C36)</f>
        <v>Self-Employed / Non-Employer:Support</v>
      </c>
      <c r="C35" s="37" t="n">
        <f aca="false">'LSD.RID.0.AL.CALC'!L36</f>
        <v>0.552</v>
      </c>
      <c r="D35" s="37" t="n">
        <f aca="false">'LSD.RID.0.AL.CALC'!M36</f>
        <v>0.595</v>
      </c>
      <c r="E35" s="37" t="n">
        <f aca="false">'LSD.RID.0.AL.CALC'!N36</f>
        <v>0.637</v>
      </c>
      <c r="F35" s="37" t="n">
        <f aca="false">'LSD.RID.0.AL.CALC'!O36</f>
        <v>0.544</v>
      </c>
    </row>
    <row r="36" customFormat="false" ht="12.8" hidden="false" customHeight="false" outlineLevel="0" collapsed="false">
      <c r="A36" s="12" t="str">
        <f aca="false">_xlfn.CONCAT($A$1, ".", 'LSD.RID.0.AL.CALC'!A37)</f>
        <v>LSD.RID.0.AL.LFPR.33</v>
      </c>
      <c r="B36" s="33" t="str">
        <f aca="false">_xlfn.CONCAT('LSD.RID.0.AL.CALC'!B37, ":", 'LSD.RID.0.AL.CALC'!C37)</f>
        <v>Other Services:Worker</v>
      </c>
      <c r="C36" s="37" t="n">
        <f aca="false">'LSD.RID.0.AL.CALC'!L37</f>
        <v>0.58</v>
      </c>
      <c r="D36" s="37" t="n">
        <f aca="false">'LSD.RID.0.AL.CALC'!M37</f>
        <v>0.64</v>
      </c>
      <c r="E36" s="37" t="n">
        <f aca="false">'LSD.RID.0.AL.CALC'!N37</f>
        <v>0.71</v>
      </c>
      <c r="F36" s="37" t="n">
        <f aca="false">'LSD.RID.0.AL.CALC'!O37</f>
        <v>0.57</v>
      </c>
    </row>
    <row r="37" customFormat="false" ht="12.8" hidden="false" customHeight="false" outlineLevel="0" collapsed="false">
      <c r="A37" s="12" t="str">
        <f aca="false">_xlfn.CONCAT($A$1, ".", 'LSD.RID.0.AL.CALC'!A38)</f>
        <v>LSD.RID.0.AL.LFPR.34</v>
      </c>
      <c r="B37" s="33" t="str">
        <f aca="false">_xlfn.CONCAT('LSD.RID.0.AL.CALC'!B38, ":", 'LSD.RID.0.AL.CALC'!C38)</f>
        <v>Other Services:Support</v>
      </c>
      <c r="C37" s="37" t="n">
        <f aca="false">'LSD.RID.0.AL.CALC'!L38</f>
        <v>0.551</v>
      </c>
      <c r="D37" s="37" t="n">
        <f aca="false">'LSD.RID.0.AL.CALC'!M38</f>
        <v>0.608</v>
      </c>
      <c r="E37" s="37" t="n">
        <f aca="false">'LSD.RID.0.AL.CALC'!N38</f>
        <v>0.674</v>
      </c>
      <c r="F37" s="37" t="n">
        <f aca="false">'LSD.RID.0.AL.CALC'!O38</f>
        <v>0.542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37"/>
  <sheetViews>
    <sheetView showFormulas="false" showGridLines="true" showRowColHeaders="true" showZeros="true" rightToLeft="false" tabSelected="false" showOutlineSymbols="true" defaultGridColor="true" view="normal" topLeftCell="A86" colorId="64" zoomScale="90" zoomScaleNormal="90" zoomScalePageLayoutView="100" workbookViewId="0">
      <selection pane="topLeft" activeCell="H37" activeCellId="0" sqref="H37"/>
    </sheetView>
  </sheetViews>
  <sheetFormatPr defaultColWidth="11.53515625" defaultRowHeight="12.8" customHeight="false" zeroHeight="false" outlineLevelRow="0" outlineLevelCol="0"/>
  <cols>
    <col collapsed="false" customWidth="false" hidden="false" outlineLevel="0" max="1" min="1" style="38" width="11.53"/>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12.8" hidden="false" customHeight="false" outlineLevel="0" collapsed="false">
      <c r="A1" s="4" t="s">
        <v>986</v>
      </c>
      <c r="B1" s="23" t="s">
        <v>987</v>
      </c>
      <c r="C1" s="17" t="s">
        <v>2</v>
      </c>
      <c r="D1" s="31" t="s">
        <v>988</v>
      </c>
      <c r="AZ1" s="15"/>
      <c r="BD1" s="0"/>
      <c r="BP1" s="15"/>
    </row>
    <row r="2" customFormat="false" ht="46.25" hidden="false" customHeight="false" outlineLevel="0" collapsed="false">
      <c r="A2" s="24" t="s">
        <v>978</v>
      </c>
      <c r="B2" s="23" t="s">
        <v>979</v>
      </c>
      <c r="C2" s="28" t="str">
        <f aca="false">'LSD.RID.0.AL.CALC'!P3</f>
        <v>Unemployment Rate</v>
      </c>
      <c r="D2" s="28" t="str">
        <f aca="false">'LSD.RID.0.AL.CALC'!Q3</f>
        <v>Authorized Immigrant Unemployment Rate</v>
      </c>
      <c r="E2" s="28" t="str">
        <f aca="false">'LSD.RID.0.AL.CALC'!R3</f>
        <v>Unauthorized Immigrant Unemployment Rate</v>
      </c>
      <c r="F2" s="28" t="str">
        <f aca="false">'LSD.RID.0.AL.CALC'!S3</f>
        <v>American Unemployment Rate</v>
      </c>
    </row>
    <row r="3" customFormat="false" ht="12.8" hidden="false" customHeight="false" outlineLevel="0" collapsed="false">
      <c r="A3" s="4" t="str">
        <f aca="false">_xlfn.CONCAT($A$1, ".", 'LSD.RID.0.AL.CALC'!A4)</f>
        <v>AL.U3R.0</v>
      </c>
      <c r="B3" s="32" t="str">
        <f aca="false">_xlfn.CONCAT('LSD.RID.0.AL.CALC'!B4, ":", 'LSD.RID.0.AL.CALC'!C4)</f>
        <v>All Industries:All Roles</v>
      </c>
      <c r="C3" s="28" t="n">
        <f aca="false">'LSD.RID.0.AL.CALC'!P4</f>
        <v>0.027</v>
      </c>
      <c r="D3" s="28" t="n">
        <f aca="false">'LSD.RID.0.AL.CALC'!Q4</f>
        <v>0.04</v>
      </c>
      <c r="E3" s="28" t="n">
        <f aca="false">'LSD.RID.0.AL.CALC'!R4</f>
        <v>0.065</v>
      </c>
      <c r="F3" s="28" t="n">
        <f aca="false">'LSD.RID.0.AL.CALC'!S4</f>
        <v>0.024</v>
      </c>
    </row>
    <row r="4" customFormat="false" ht="12.8" hidden="false" customHeight="false" outlineLevel="0" collapsed="false">
      <c r="A4" s="12" t="str">
        <f aca="false">_xlfn.CONCAT($A$1, ".", 'LSD.RID.0.AL.CALC'!A5)</f>
        <v>AL.U3R.1</v>
      </c>
      <c r="B4" s="33" t="str">
        <f aca="false">_xlfn.CONCAT('LSD.RID.0.AL.CALC'!B5, ":", 'LSD.RID.0.AL.CALC'!C5)</f>
        <v>Agriculture:Worker</v>
      </c>
      <c r="C4" s="37" t="n">
        <f aca="false">'LSD.RID.0.AL.CALC'!P5</f>
        <v>0.048</v>
      </c>
      <c r="D4" s="37" t="n">
        <f aca="false">'LSD.RID.0.AL.CALC'!Q5</f>
        <v>0.07</v>
      </c>
      <c r="E4" s="37" t="n">
        <f aca="false">'LSD.RID.0.AL.CALC'!R5</f>
        <v>0.11</v>
      </c>
      <c r="F4" s="37" t="n">
        <f aca="false">'LSD.RID.0.AL.CALC'!S5</f>
        <v>0.045</v>
      </c>
    </row>
    <row r="5" customFormat="false" ht="12.8" hidden="false" customHeight="false" outlineLevel="0" collapsed="false">
      <c r="A5" s="12" t="str">
        <f aca="false">_xlfn.CONCAT($A$1, ".", 'LSD.RID.0.AL.CALC'!A6)</f>
        <v>AL.U3R.2</v>
      </c>
      <c r="B5" s="33" t="str">
        <f aca="false">_xlfn.CONCAT('LSD.RID.0.AL.CALC'!B6, ":", 'LSD.RID.0.AL.CALC'!C6)</f>
        <v>Agriculture:Support</v>
      </c>
      <c r="C5" s="37" t="n">
        <f aca="false">'LSD.RID.0.AL.CALC'!P6</f>
        <v>0.048</v>
      </c>
      <c r="D5" s="37" t="n">
        <f aca="false">'LSD.RID.0.AL.CALC'!Q6</f>
        <v>0.07</v>
      </c>
      <c r="E5" s="37" t="n">
        <f aca="false">'LSD.RID.0.AL.CALC'!R6</f>
        <v>0.11</v>
      </c>
      <c r="F5" s="37" t="n">
        <f aca="false">'LSD.RID.0.AL.CALC'!S6</f>
        <v>0.045</v>
      </c>
    </row>
    <row r="6" customFormat="false" ht="12.8" hidden="false" customHeight="false" outlineLevel="0" collapsed="false">
      <c r="A6" s="12" t="str">
        <f aca="false">_xlfn.CONCAT($A$1, ".", 'LSD.RID.0.AL.CALC'!A7)</f>
        <v>AL.U3R.3</v>
      </c>
      <c r="B6" s="33" t="str">
        <f aca="false">_xlfn.CONCAT('LSD.RID.0.AL.CALC'!B7, ":", 'LSD.RID.0.AL.CALC'!C7)</f>
        <v>Construction:Worker</v>
      </c>
      <c r="C6" s="37" t="n">
        <f aca="false">'LSD.RID.0.AL.CALC'!P7</f>
        <v>0.033</v>
      </c>
      <c r="D6" s="37" t="n">
        <f aca="false">'LSD.RID.0.AL.CALC'!Q7</f>
        <v>0.06</v>
      </c>
      <c r="E6" s="37" t="n">
        <f aca="false">'LSD.RID.0.AL.CALC'!R7</f>
        <v>0.1</v>
      </c>
      <c r="F6" s="37" t="n">
        <f aca="false">'LSD.RID.0.AL.CALC'!S7</f>
        <v>0.03</v>
      </c>
    </row>
    <row r="7" customFormat="false" ht="12.8" hidden="false" customHeight="false" outlineLevel="0" collapsed="false">
      <c r="A7" s="12" t="str">
        <f aca="false">_xlfn.CONCAT($A$1, ".", 'LSD.RID.0.AL.CALC'!A8)</f>
        <v>AL.U3R.4</v>
      </c>
      <c r="B7" s="33" t="str">
        <f aca="false">_xlfn.CONCAT('LSD.RID.0.AL.CALC'!B8, ":", 'LSD.RID.0.AL.CALC'!C8)</f>
        <v>Construction:Support</v>
      </c>
      <c r="C7" s="37" t="n">
        <f aca="false">'LSD.RID.0.AL.CALC'!P8</f>
        <v>0.033</v>
      </c>
      <c r="D7" s="37" t="n">
        <f aca="false">'LSD.RID.0.AL.CALC'!Q8</f>
        <v>0.06</v>
      </c>
      <c r="E7" s="37" t="n">
        <f aca="false">'LSD.RID.0.AL.CALC'!R8</f>
        <v>0.1</v>
      </c>
      <c r="F7" s="37" t="n">
        <f aca="false">'LSD.RID.0.AL.CALC'!S8</f>
        <v>0.03</v>
      </c>
    </row>
    <row r="8" customFormat="false" ht="12.8" hidden="false" customHeight="false" outlineLevel="0" collapsed="false">
      <c r="A8" s="12" t="str">
        <f aca="false">_xlfn.CONCAT($A$1, ".", 'LSD.RID.0.AL.CALC'!A9)</f>
        <v>AL.U3R.5</v>
      </c>
      <c r="B8" s="33" t="str">
        <f aca="false">_xlfn.CONCAT('LSD.RID.0.AL.CALC'!B9, ":", 'LSD.RID.0.AL.CALC'!C9)</f>
        <v>Hospitality:Worker</v>
      </c>
      <c r="C8" s="37" t="n">
        <f aca="false">'LSD.RID.0.AL.CALC'!P9</f>
        <v>0.04</v>
      </c>
      <c r="D8" s="37" t="n">
        <f aca="false">'LSD.RID.0.AL.CALC'!Q9</f>
        <v>0.07</v>
      </c>
      <c r="E8" s="37" t="n">
        <f aca="false">'LSD.RID.0.AL.CALC'!R9</f>
        <v>0.12</v>
      </c>
      <c r="F8" s="37" t="n">
        <f aca="false">'LSD.RID.0.AL.CALC'!S9</f>
        <v>0.037</v>
      </c>
    </row>
    <row r="9" customFormat="false" ht="12.8" hidden="false" customHeight="false" outlineLevel="0" collapsed="false">
      <c r="A9" s="12" t="str">
        <f aca="false">_xlfn.CONCAT($A$1, ".", 'LSD.RID.0.AL.CALC'!A10)</f>
        <v>AL.U3R.6</v>
      </c>
      <c r="B9" s="33" t="str">
        <f aca="false">_xlfn.CONCAT('LSD.RID.0.AL.CALC'!B10, ":", 'LSD.RID.0.AL.CALC'!C10)</f>
        <v>Hospitality:Support</v>
      </c>
      <c r="C9" s="37" t="n">
        <f aca="false">'LSD.RID.0.AL.CALC'!P10</f>
        <v>0.04</v>
      </c>
      <c r="D9" s="37" t="n">
        <f aca="false">'LSD.RID.0.AL.CALC'!Q10</f>
        <v>0.07</v>
      </c>
      <c r="E9" s="37" t="n">
        <f aca="false">'LSD.RID.0.AL.CALC'!R10</f>
        <v>0.12</v>
      </c>
      <c r="F9" s="37" t="n">
        <f aca="false">'LSD.RID.0.AL.CALC'!S10</f>
        <v>0.037</v>
      </c>
    </row>
    <row r="10" customFormat="false" ht="12.8" hidden="false" customHeight="false" outlineLevel="0" collapsed="false">
      <c r="A10" s="12" t="str">
        <f aca="false">_xlfn.CONCAT($A$1, ".", 'LSD.RID.0.AL.CALC'!A11)</f>
        <v>AL.U3R.7</v>
      </c>
      <c r="B10" s="33" t="str">
        <f aca="false">_xlfn.CONCAT('LSD.RID.0.AL.CALC'!B11, ":", 'LSD.RID.0.AL.CALC'!C11)</f>
        <v>Cleaning &amp; Maintenance:Worker</v>
      </c>
      <c r="C10" s="37" t="n">
        <f aca="false">'LSD.RID.0.AL.CALC'!P11</f>
        <v>0.043</v>
      </c>
      <c r="D10" s="37" t="n">
        <f aca="false">'LSD.RID.0.AL.CALC'!Q11</f>
        <v>0.08</v>
      </c>
      <c r="E10" s="37" t="n">
        <f aca="false">'LSD.RID.0.AL.CALC'!R11</f>
        <v>0.13</v>
      </c>
      <c r="F10" s="37" t="n">
        <f aca="false">'LSD.RID.0.AL.CALC'!S11</f>
        <v>0.04</v>
      </c>
    </row>
    <row r="11" customFormat="false" ht="12.8" hidden="false" customHeight="false" outlineLevel="0" collapsed="false">
      <c r="A11" s="12" t="str">
        <f aca="false">_xlfn.CONCAT($A$1, ".", 'LSD.RID.0.AL.CALC'!A12)</f>
        <v>AL.U3R.8</v>
      </c>
      <c r="B11" s="33" t="str">
        <f aca="false">_xlfn.CONCAT('LSD.RID.0.AL.CALC'!B12, ":", 'LSD.RID.0.AL.CALC'!C12)</f>
        <v>Cleaning &amp; Maintenance:Support</v>
      </c>
      <c r="C11" s="37" t="n">
        <f aca="false">'LSD.RID.0.AL.CALC'!P12</f>
        <v>0.043</v>
      </c>
      <c r="D11" s="37" t="n">
        <f aca="false">'LSD.RID.0.AL.CALC'!Q12</f>
        <v>0.08</v>
      </c>
      <c r="E11" s="37" t="n">
        <f aca="false">'LSD.RID.0.AL.CALC'!R12</f>
        <v>0.13</v>
      </c>
      <c r="F11" s="37" t="n">
        <f aca="false">'LSD.RID.0.AL.CALC'!S12</f>
        <v>0.04</v>
      </c>
    </row>
    <row r="12" customFormat="false" ht="12.8" hidden="false" customHeight="false" outlineLevel="0" collapsed="false">
      <c r="A12" s="12" t="str">
        <f aca="false">_xlfn.CONCAT($A$1, ".", 'LSD.RID.0.AL.CALC'!A13)</f>
        <v>AL.U3R.9</v>
      </c>
      <c r="B12" s="33" t="str">
        <f aca="false">_xlfn.CONCAT('LSD.RID.0.AL.CALC'!B13, ":", 'LSD.RID.0.AL.CALC'!C13)</f>
        <v>Manufacturing:Worker</v>
      </c>
      <c r="C12" s="37" t="n">
        <f aca="false">'LSD.RID.0.AL.CALC'!P13</f>
        <v>0.02</v>
      </c>
      <c r="D12" s="37" t="n">
        <f aca="false">'LSD.RID.0.AL.CALC'!Q13</f>
        <v>0.04</v>
      </c>
      <c r="E12" s="37" t="n">
        <f aca="false">'LSD.RID.0.AL.CALC'!R13</f>
        <v>0.07</v>
      </c>
      <c r="F12" s="37" t="n">
        <f aca="false">'LSD.RID.0.AL.CALC'!S13</f>
        <v>0.018</v>
      </c>
    </row>
    <row r="13" customFormat="false" ht="12.8" hidden="false" customHeight="false" outlineLevel="0" collapsed="false">
      <c r="A13" s="12" t="str">
        <f aca="false">_xlfn.CONCAT($A$1, ".", 'LSD.RID.0.AL.CALC'!A14)</f>
        <v>AL.U3R.10</v>
      </c>
      <c r="B13" s="33" t="str">
        <f aca="false">_xlfn.CONCAT('LSD.RID.0.AL.CALC'!B14, ":", 'LSD.RID.0.AL.CALC'!C14)</f>
        <v>Manufacturing:Support</v>
      </c>
      <c r="C13" s="37" t="n">
        <f aca="false">'LSD.RID.0.AL.CALC'!P14</f>
        <v>0.02</v>
      </c>
      <c r="D13" s="37" t="n">
        <f aca="false">'LSD.RID.0.AL.CALC'!Q14</f>
        <v>0.04</v>
      </c>
      <c r="E13" s="37" t="n">
        <f aca="false">'LSD.RID.0.AL.CALC'!R14</f>
        <v>0.07</v>
      </c>
      <c r="F13" s="37" t="n">
        <f aca="false">'LSD.RID.0.AL.CALC'!S14</f>
        <v>0.018</v>
      </c>
    </row>
    <row r="14" customFormat="false" ht="12.8" hidden="false" customHeight="false" outlineLevel="0" collapsed="false">
      <c r="A14" s="12" t="str">
        <f aca="false">_xlfn.CONCAT($A$1, ".", 'LSD.RID.0.AL.CALC'!A15)</f>
        <v>AL.U3R.11</v>
      </c>
      <c r="B14" s="33" t="str">
        <f aca="false">_xlfn.CONCAT('LSD.RID.0.AL.CALC'!B15, ":", 'LSD.RID.0.AL.CALC'!C15)</f>
        <v>Transportation &amp; Warehousing:Worker</v>
      </c>
      <c r="C14" s="37" t="n">
        <f aca="false">'LSD.RID.0.AL.CALC'!P15</f>
        <v>0.024</v>
      </c>
      <c r="D14" s="37" t="n">
        <f aca="false">'LSD.RID.0.AL.CALC'!Q15</f>
        <v>0.05</v>
      </c>
      <c r="E14" s="37" t="n">
        <f aca="false">'LSD.RID.0.AL.CALC'!R15</f>
        <v>0.08</v>
      </c>
      <c r="F14" s="37" t="n">
        <f aca="false">'LSD.RID.0.AL.CALC'!S15</f>
        <v>0.022</v>
      </c>
    </row>
    <row r="15" customFormat="false" ht="12.8" hidden="false" customHeight="false" outlineLevel="0" collapsed="false">
      <c r="A15" s="12" t="str">
        <f aca="false">_xlfn.CONCAT($A$1, ".", 'LSD.RID.0.AL.CALC'!A16)</f>
        <v>AL.U3R.12</v>
      </c>
      <c r="B15" s="33" t="str">
        <f aca="false">_xlfn.CONCAT('LSD.RID.0.AL.CALC'!B16, ":", 'LSD.RID.0.AL.CALC'!C16)</f>
        <v>Transportation &amp; Warehousing:Support</v>
      </c>
      <c r="C15" s="37" t="n">
        <f aca="false">'LSD.RID.0.AL.CALC'!P16</f>
        <v>0.024</v>
      </c>
      <c r="D15" s="37" t="n">
        <f aca="false">'LSD.RID.0.AL.CALC'!Q16</f>
        <v>0.05</v>
      </c>
      <c r="E15" s="37" t="n">
        <f aca="false">'LSD.RID.0.AL.CALC'!R16</f>
        <v>0.08</v>
      </c>
      <c r="F15" s="37" t="n">
        <f aca="false">'LSD.RID.0.AL.CALC'!S16</f>
        <v>0.022</v>
      </c>
    </row>
    <row r="16" customFormat="false" ht="12.8" hidden="false" customHeight="false" outlineLevel="0" collapsed="false">
      <c r="A16" s="12" t="str">
        <f aca="false">_xlfn.CONCAT($A$1, ".", 'LSD.RID.0.AL.CALC'!A17)</f>
        <v>AL.U3R.13</v>
      </c>
      <c r="B16" s="33" t="str">
        <f aca="false">_xlfn.CONCAT('LSD.RID.0.AL.CALC'!B17, ":", 'LSD.RID.0.AL.CALC'!C17)</f>
        <v>Retail Trade:Worker</v>
      </c>
      <c r="C16" s="37" t="n">
        <f aca="false">'LSD.RID.0.AL.CALC'!P17</f>
        <v>0.04</v>
      </c>
      <c r="D16" s="37" t="n">
        <f aca="false">'LSD.RID.0.AL.CALC'!Q17</f>
        <v>0.07</v>
      </c>
      <c r="E16" s="37" t="n">
        <f aca="false">'LSD.RID.0.AL.CALC'!R17</f>
        <v>0.12</v>
      </c>
      <c r="F16" s="37" t="n">
        <f aca="false">'LSD.RID.0.AL.CALC'!S17</f>
        <v>0.037</v>
      </c>
    </row>
    <row r="17" customFormat="false" ht="12.8" hidden="false" customHeight="false" outlineLevel="0" collapsed="false">
      <c r="A17" s="12" t="str">
        <f aca="false">_xlfn.CONCAT($A$1, ".", 'LSD.RID.0.AL.CALC'!A18)</f>
        <v>AL.U3R.14</v>
      </c>
      <c r="B17" s="33" t="str">
        <f aca="false">_xlfn.CONCAT('LSD.RID.0.AL.CALC'!B18, ":", 'LSD.RID.0.AL.CALC'!C18)</f>
        <v>Retail Trade:Support</v>
      </c>
      <c r="C17" s="37" t="n">
        <f aca="false">'LSD.RID.0.AL.CALC'!P18</f>
        <v>0.04</v>
      </c>
      <c r="D17" s="37" t="n">
        <f aca="false">'LSD.RID.0.AL.CALC'!Q18</f>
        <v>0.07</v>
      </c>
      <c r="E17" s="37" t="n">
        <f aca="false">'LSD.RID.0.AL.CALC'!R18</f>
        <v>0.12</v>
      </c>
      <c r="F17" s="37" t="n">
        <f aca="false">'LSD.RID.0.AL.CALC'!S18</f>
        <v>0.037</v>
      </c>
    </row>
    <row r="18" customFormat="false" ht="12.8" hidden="false" customHeight="false" outlineLevel="0" collapsed="false">
      <c r="A18" s="12" t="str">
        <f aca="false">_xlfn.CONCAT($A$1, ".", 'LSD.RID.0.AL.CALC'!A19)</f>
        <v>AL.U3R.15</v>
      </c>
      <c r="B18" s="33" t="str">
        <f aca="false">_xlfn.CONCAT('LSD.RID.0.AL.CALC'!B19, ":", 'LSD.RID.0.AL.CALC'!C19)</f>
        <v>Landscaping / Groundskeeping:Worker</v>
      </c>
      <c r="C18" s="37" t="n">
        <f aca="false">'LSD.RID.0.AL.CALC'!P19</f>
        <v>0.048</v>
      </c>
      <c r="D18" s="37" t="n">
        <f aca="false">'LSD.RID.0.AL.CALC'!Q19</f>
        <v>0.07</v>
      </c>
      <c r="E18" s="37" t="n">
        <f aca="false">'LSD.RID.0.AL.CALC'!R19</f>
        <v>0.11</v>
      </c>
      <c r="F18" s="37" t="n">
        <f aca="false">'LSD.RID.0.AL.CALC'!S19</f>
        <v>0.045</v>
      </c>
    </row>
    <row r="19" customFormat="false" ht="12.8" hidden="false" customHeight="false" outlineLevel="0" collapsed="false">
      <c r="A19" s="12" t="str">
        <f aca="false">_xlfn.CONCAT($A$1, ".", 'LSD.RID.0.AL.CALC'!A20)</f>
        <v>AL.U3R.16</v>
      </c>
      <c r="B19" s="33" t="str">
        <f aca="false">_xlfn.CONCAT('LSD.RID.0.AL.CALC'!B20, ":", 'LSD.RID.0.AL.CALC'!C20)</f>
        <v>Landscaping / Groundskeeping:Support</v>
      </c>
      <c r="C19" s="37" t="n">
        <f aca="false">'LSD.RID.0.AL.CALC'!P20</f>
        <v>0.048</v>
      </c>
      <c r="D19" s="37" t="n">
        <f aca="false">'LSD.RID.0.AL.CALC'!Q20</f>
        <v>0.07</v>
      </c>
      <c r="E19" s="37" t="n">
        <f aca="false">'LSD.RID.0.AL.CALC'!R20</f>
        <v>0.11</v>
      </c>
      <c r="F19" s="37" t="n">
        <f aca="false">'LSD.RID.0.AL.CALC'!S20</f>
        <v>0.045</v>
      </c>
    </row>
    <row r="20" customFormat="false" ht="12.8" hidden="false" customHeight="false" outlineLevel="0" collapsed="false">
      <c r="A20" s="12" t="str">
        <f aca="false">_xlfn.CONCAT($A$1, ".", 'LSD.RID.0.AL.CALC'!A21)</f>
        <v>AL.U3R.17</v>
      </c>
      <c r="B20" s="33" t="str">
        <f aca="false">_xlfn.CONCAT('LSD.RID.0.AL.CALC'!B21, ":", 'LSD.RID.0.AL.CALC'!C21)</f>
        <v>Automotive &amp; Repair:Worker</v>
      </c>
      <c r="C20" s="37" t="n">
        <f aca="false">'LSD.RID.0.AL.CALC'!P21</f>
        <v>0.024</v>
      </c>
      <c r="D20" s="37" t="n">
        <f aca="false">'LSD.RID.0.AL.CALC'!Q21</f>
        <v>0.05</v>
      </c>
      <c r="E20" s="37" t="n">
        <f aca="false">'LSD.RID.0.AL.CALC'!R21</f>
        <v>0.08</v>
      </c>
      <c r="F20" s="37" t="n">
        <f aca="false">'LSD.RID.0.AL.CALC'!S21</f>
        <v>0.022</v>
      </c>
    </row>
    <row r="21" customFormat="false" ht="12.8" hidden="false" customHeight="false" outlineLevel="0" collapsed="false">
      <c r="A21" s="12" t="str">
        <f aca="false">_xlfn.CONCAT($A$1, ".", 'LSD.RID.0.AL.CALC'!A22)</f>
        <v>AL.U3R.18</v>
      </c>
      <c r="B21" s="33" t="str">
        <f aca="false">_xlfn.CONCAT('LSD.RID.0.AL.CALC'!B22, ":", 'LSD.RID.0.AL.CALC'!C22)</f>
        <v>Automotive &amp; Repair:Support</v>
      </c>
      <c r="C21" s="37" t="n">
        <f aca="false">'LSD.RID.0.AL.CALC'!P22</f>
        <v>0.024</v>
      </c>
      <c r="D21" s="37" t="n">
        <f aca="false">'LSD.RID.0.AL.CALC'!Q22</f>
        <v>0.05</v>
      </c>
      <c r="E21" s="37" t="n">
        <f aca="false">'LSD.RID.0.AL.CALC'!R22</f>
        <v>0.08</v>
      </c>
      <c r="F21" s="37" t="n">
        <f aca="false">'LSD.RID.0.AL.CALC'!S22</f>
        <v>0.022</v>
      </c>
    </row>
    <row r="22" customFormat="false" ht="12.8" hidden="false" customHeight="false" outlineLevel="0" collapsed="false">
      <c r="A22" s="12" t="str">
        <f aca="false">_xlfn.CONCAT($A$1, ".", 'LSD.RID.0.AL.CALC'!A23)</f>
        <v>AL.U3R.19</v>
      </c>
      <c r="B22" s="33" t="str">
        <f aca="false">_xlfn.CONCAT('LSD.RID.0.AL.CALC'!B23, ":", 'LSD.RID.0.AL.CALC'!C23)</f>
        <v>Healthcare &amp; Social Assistance:Worker</v>
      </c>
      <c r="C22" s="37" t="n">
        <f aca="false">'LSD.RID.0.AL.CALC'!P23</f>
        <v>0.02</v>
      </c>
      <c r="D22" s="37" t="n">
        <f aca="false">'LSD.RID.0.AL.CALC'!Q23</f>
        <v>0.04</v>
      </c>
      <c r="E22" s="37" t="n">
        <f aca="false">'LSD.RID.0.AL.CALC'!R23</f>
        <v>0.07</v>
      </c>
      <c r="F22" s="37" t="n">
        <f aca="false">'LSD.RID.0.AL.CALC'!S23</f>
        <v>0.018</v>
      </c>
    </row>
    <row r="23" customFormat="false" ht="12.8" hidden="false" customHeight="false" outlineLevel="0" collapsed="false">
      <c r="A23" s="12" t="str">
        <f aca="false">_xlfn.CONCAT($A$1, ".", 'LSD.RID.0.AL.CALC'!A24)</f>
        <v>AL.U3R.20</v>
      </c>
      <c r="B23" s="33" t="str">
        <f aca="false">_xlfn.CONCAT('LSD.RID.0.AL.CALC'!B24, ":", 'LSD.RID.0.AL.CALC'!C24)</f>
        <v>Healthcare &amp; Social Assistance:Support</v>
      </c>
      <c r="C23" s="37" t="n">
        <f aca="false">'LSD.RID.0.AL.CALC'!P24</f>
        <v>0.02</v>
      </c>
      <c r="D23" s="37" t="n">
        <f aca="false">'LSD.RID.0.AL.CALC'!Q24</f>
        <v>0.04</v>
      </c>
      <c r="E23" s="37" t="n">
        <f aca="false">'LSD.RID.0.AL.CALC'!R24</f>
        <v>0.07</v>
      </c>
      <c r="F23" s="37" t="n">
        <f aca="false">'LSD.RID.0.AL.CALC'!S24</f>
        <v>0.018</v>
      </c>
    </row>
    <row r="24" customFormat="false" ht="12.8" hidden="false" customHeight="false" outlineLevel="0" collapsed="false">
      <c r="A24" s="12" t="str">
        <f aca="false">_xlfn.CONCAT($A$1, ".", 'LSD.RID.0.AL.CALC'!A25)</f>
        <v>AL.U3R.21</v>
      </c>
      <c r="B24" s="33" t="str">
        <f aca="false">_xlfn.CONCAT('LSD.RID.0.AL.CALC'!B25, ":", 'LSD.RID.0.AL.CALC'!C25)</f>
        <v>Professional Services:Worker</v>
      </c>
      <c r="C24" s="37" t="n">
        <f aca="false">'LSD.RID.0.AL.CALC'!P25</f>
        <v>0.02</v>
      </c>
      <c r="D24" s="37" t="n">
        <f aca="false">'LSD.RID.0.AL.CALC'!Q25</f>
        <v>0.04</v>
      </c>
      <c r="E24" s="37" t="n">
        <f aca="false">'LSD.RID.0.AL.CALC'!R25</f>
        <v>0.07</v>
      </c>
      <c r="F24" s="37" t="n">
        <f aca="false">'LSD.RID.0.AL.CALC'!S25</f>
        <v>0.018</v>
      </c>
    </row>
    <row r="25" customFormat="false" ht="12.8" hidden="false" customHeight="false" outlineLevel="0" collapsed="false">
      <c r="A25" s="12" t="str">
        <f aca="false">_xlfn.CONCAT($A$1, ".", 'LSD.RID.0.AL.CALC'!A26)</f>
        <v>AL.U3R.22</v>
      </c>
      <c r="B25" s="33" t="str">
        <f aca="false">_xlfn.CONCAT('LSD.RID.0.AL.CALC'!B26, ":", 'LSD.RID.0.AL.CALC'!C26)</f>
        <v>Professional Services:Support</v>
      </c>
      <c r="C25" s="37" t="n">
        <f aca="false">'LSD.RID.0.AL.CALC'!P26</f>
        <v>0.02</v>
      </c>
      <c r="D25" s="37" t="n">
        <f aca="false">'LSD.RID.0.AL.CALC'!Q26</f>
        <v>0.04</v>
      </c>
      <c r="E25" s="37" t="n">
        <f aca="false">'LSD.RID.0.AL.CALC'!R26</f>
        <v>0.07</v>
      </c>
      <c r="F25" s="37" t="n">
        <f aca="false">'LSD.RID.0.AL.CALC'!S26</f>
        <v>0.018</v>
      </c>
    </row>
    <row r="26" customFormat="false" ht="12.8" hidden="false" customHeight="false" outlineLevel="0" collapsed="false">
      <c r="A26" s="12" t="str">
        <f aca="false">_xlfn.CONCAT($A$1, ".", 'LSD.RID.0.AL.CALC'!A27)</f>
        <v>AL.U3R.23</v>
      </c>
      <c r="B26" s="33" t="str">
        <f aca="false">_xlfn.CONCAT('LSD.RID.0.AL.CALC'!B27, ":", 'LSD.RID.0.AL.CALC'!C27)</f>
        <v>Educational Services:Worker</v>
      </c>
      <c r="C26" s="37" t="n">
        <f aca="false">'LSD.RID.0.AL.CALC'!P27</f>
        <v>0.02</v>
      </c>
      <c r="D26" s="37" t="n">
        <f aca="false">'LSD.RID.0.AL.CALC'!Q27</f>
        <v>0.04</v>
      </c>
      <c r="E26" s="37" t="n">
        <f aca="false">'LSD.RID.0.AL.CALC'!R27</f>
        <v>0.07</v>
      </c>
      <c r="F26" s="37" t="n">
        <f aca="false">'LSD.RID.0.AL.CALC'!S27</f>
        <v>0.018</v>
      </c>
    </row>
    <row r="27" customFormat="false" ht="12.8" hidden="false" customHeight="false" outlineLevel="0" collapsed="false">
      <c r="A27" s="12" t="str">
        <f aca="false">_xlfn.CONCAT($A$1, ".", 'LSD.RID.0.AL.CALC'!A28)</f>
        <v>AL.U3R.24</v>
      </c>
      <c r="B27" s="33" t="str">
        <f aca="false">_xlfn.CONCAT('LSD.RID.0.AL.CALC'!B28, ":", 'LSD.RID.0.AL.CALC'!C28)</f>
        <v>Educational Services:Support</v>
      </c>
      <c r="C27" s="37" t="n">
        <f aca="false">'LSD.RID.0.AL.CALC'!P28</f>
        <v>0.02</v>
      </c>
      <c r="D27" s="37" t="n">
        <f aca="false">'LSD.RID.0.AL.CALC'!Q28</f>
        <v>0.04</v>
      </c>
      <c r="E27" s="37" t="n">
        <f aca="false">'LSD.RID.0.AL.CALC'!R28</f>
        <v>0.07</v>
      </c>
      <c r="F27" s="37" t="n">
        <f aca="false">'LSD.RID.0.AL.CALC'!S28</f>
        <v>0.018</v>
      </c>
    </row>
    <row r="28" customFormat="false" ht="12.8" hidden="false" customHeight="false" outlineLevel="0" collapsed="false">
      <c r="A28" s="12" t="str">
        <f aca="false">_xlfn.CONCAT($A$1, ".", 'LSD.RID.0.AL.CALC'!A29)</f>
        <v>AL.U3R.25</v>
      </c>
      <c r="B28" s="33" t="str">
        <f aca="false">_xlfn.CONCAT('LSD.RID.0.AL.CALC'!B29, ":", 'LSD.RID.0.AL.CALC'!C29)</f>
        <v>Finance &amp; Insurance:Worker</v>
      </c>
      <c r="C28" s="37" t="n">
        <f aca="false">'LSD.RID.0.AL.CALC'!P29</f>
        <v>0.02</v>
      </c>
      <c r="D28" s="37" t="n">
        <f aca="false">'LSD.RID.0.AL.CALC'!Q29</f>
        <v>0.04</v>
      </c>
      <c r="E28" s="37" t="n">
        <f aca="false">'LSD.RID.0.AL.CALC'!R29</f>
        <v>0.07</v>
      </c>
      <c r="F28" s="37" t="n">
        <f aca="false">'LSD.RID.0.AL.CALC'!S29</f>
        <v>0.018</v>
      </c>
    </row>
    <row r="29" customFormat="false" ht="12.8" hidden="false" customHeight="false" outlineLevel="0" collapsed="false">
      <c r="A29" s="12" t="str">
        <f aca="false">_xlfn.CONCAT($A$1, ".", 'LSD.RID.0.AL.CALC'!A30)</f>
        <v>AL.U3R.26</v>
      </c>
      <c r="B29" s="33" t="str">
        <f aca="false">_xlfn.CONCAT('LSD.RID.0.AL.CALC'!B30, ":", 'LSD.RID.0.AL.CALC'!C30)</f>
        <v>Finance &amp; Insurance:Support</v>
      </c>
      <c r="C29" s="37" t="n">
        <f aca="false">'LSD.RID.0.AL.CALC'!P30</f>
        <v>0.02</v>
      </c>
      <c r="D29" s="37" t="n">
        <f aca="false">'LSD.RID.0.AL.CALC'!Q30</f>
        <v>0.04</v>
      </c>
      <c r="E29" s="37" t="n">
        <f aca="false">'LSD.RID.0.AL.CALC'!R30</f>
        <v>0.07</v>
      </c>
      <c r="F29" s="37" t="n">
        <f aca="false">'LSD.RID.0.AL.CALC'!S30</f>
        <v>0.018</v>
      </c>
    </row>
    <row r="30" customFormat="false" ht="12.8" hidden="false" customHeight="false" outlineLevel="0" collapsed="false">
      <c r="A30" s="12" t="str">
        <f aca="false">_xlfn.CONCAT($A$1, ".", 'LSD.RID.0.AL.CALC'!A31)</f>
        <v>AL.U3R.27</v>
      </c>
      <c r="B30" s="33" t="str">
        <f aca="false">_xlfn.CONCAT('LSD.RID.0.AL.CALC'!B31, ":", 'LSD.RID.0.AL.CALC'!C31)</f>
        <v>Media and Information Technology:Worker</v>
      </c>
      <c r="C30" s="37" t="n">
        <f aca="false">'LSD.RID.0.AL.CALC'!P31</f>
        <v>0.02</v>
      </c>
      <c r="D30" s="37" t="n">
        <f aca="false">'LSD.RID.0.AL.CALC'!Q31</f>
        <v>0.04</v>
      </c>
      <c r="E30" s="37" t="n">
        <f aca="false">'LSD.RID.0.AL.CALC'!R31</f>
        <v>0.07</v>
      </c>
      <c r="F30" s="37" t="n">
        <f aca="false">'LSD.RID.0.AL.CALC'!S31</f>
        <v>0.018</v>
      </c>
    </row>
    <row r="31" customFormat="false" ht="12.8" hidden="false" customHeight="false" outlineLevel="0" collapsed="false">
      <c r="A31" s="12" t="str">
        <f aca="false">_xlfn.CONCAT($A$1, ".", 'LSD.RID.0.AL.CALC'!A32)</f>
        <v>AL.U3R.28</v>
      </c>
      <c r="B31" s="33" t="str">
        <f aca="false">_xlfn.CONCAT('LSD.RID.0.AL.CALC'!B32, ":", 'LSD.RID.0.AL.CALC'!C32)</f>
        <v>Media and Information Technology:Support</v>
      </c>
      <c r="C31" s="37" t="n">
        <f aca="false">'LSD.RID.0.AL.CALC'!P32</f>
        <v>0.02</v>
      </c>
      <c r="D31" s="37" t="n">
        <f aca="false">'LSD.RID.0.AL.CALC'!Q32</f>
        <v>0.04</v>
      </c>
      <c r="E31" s="37" t="n">
        <f aca="false">'LSD.RID.0.AL.CALC'!R32</f>
        <v>0.07</v>
      </c>
      <c r="F31" s="37" t="n">
        <f aca="false">'LSD.RID.0.AL.CALC'!S32</f>
        <v>0.018</v>
      </c>
    </row>
    <row r="32" customFormat="false" ht="12.8" hidden="false" customHeight="false" outlineLevel="0" collapsed="false">
      <c r="A32" s="12" t="str">
        <f aca="false">_xlfn.CONCAT($A$1, ".", 'LSD.RID.0.AL.CALC'!A33)</f>
        <v>AL.U3R.29</v>
      </c>
      <c r="B32" s="33" t="str">
        <f aca="false">_xlfn.CONCAT('LSD.RID.0.AL.CALC'!B33, ":", 'LSD.RID.0.AL.CALC'!C33)</f>
        <v>Government:Worker</v>
      </c>
      <c r="C32" s="37" t="n">
        <f aca="false">'LSD.RID.0.AL.CALC'!P33</f>
        <v>0.02</v>
      </c>
      <c r="D32" s="37" t="n">
        <f aca="false">'LSD.RID.0.AL.CALC'!Q33</f>
        <v>0.04</v>
      </c>
      <c r="E32" s="37" t="n">
        <f aca="false">'LSD.RID.0.AL.CALC'!R33</f>
        <v>0.07</v>
      </c>
      <c r="F32" s="37" t="n">
        <f aca="false">'LSD.RID.0.AL.CALC'!S33</f>
        <v>0.018</v>
      </c>
    </row>
    <row r="33" customFormat="false" ht="12.8" hidden="false" customHeight="false" outlineLevel="0" collapsed="false">
      <c r="A33" s="12" t="str">
        <f aca="false">_xlfn.CONCAT($A$1, ".", 'LSD.RID.0.AL.CALC'!A34)</f>
        <v>AL.U3R.30</v>
      </c>
      <c r="B33" s="33" t="str">
        <f aca="false">_xlfn.CONCAT('LSD.RID.0.AL.CALC'!B34, ":", 'LSD.RID.0.AL.CALC'!C34)</f>
        <v>Government:Support</v>
      </c>
      <c r="C33" s="37" t="n">
        <f aca="false">'LSD.RID.0.AL.CALC'!P34</f>
        <v>0.02</v>
      </c>
      <c r="D33" s="37" t="n">
        <f aca="false">'LSD.RID.0.AL.CALC'!Q34</f>
        <v>0.04</v>
      </c>
      <c r="E33" s="37" t="n">
        <f aca="false">'LSD.RID.0.AL.CALC'!R34</f>
        <v>0.07</v>
      </c>
      <c r="F33" s="37" t="n">
        <f aca="false">'LSD.RID.0.AL.CALC'!S34</f>
        <v>0.018</v>
      </c>
    </row>
    <row r="34" customFormat="false" ht="12.8" hidden="false" customHeight="false" outlineLevel="0" collapsed="false">
      <c r="A34" s="12" t="str">
        <f aca="false">_xlfn.CONCAT($A$1, ".", 'LSD.RID.0.AL.CALC'!A35)</f>
        <v>AL.U3R.31</v>
      </c>
      <c r="B34" s="33" t="str">
        <f aca="false">_xlfn.CONCAT('LSD.RID.0.AL.CALC'!B35, ":", 'LSD.RID.0.AL.CALC'!C35)</f>
        <v>Self-Employed / Non-Employer:Worker</v>
      </c>
      <c r="C34" s="37" t="n">
        <f aca="false">'LSD.RID.0.AL.CALC'!P35</f>
        <v>0.035</v>
      </c>
      <c r="D34" s="37" t="n">
        <f aca="false">'LSD.RID.0.AL.CALC'!Q35</f>
        <v>0.045</v>
      </c>
      <c r="E34" s="37" t="n">
        <f aca="false">'LSD.RID.0.AL.CALC'!R35</f>
        <v>0.06</v>
      </c>
      <c r="F34" s="37" t="n">
        <f aca="false">'LSD.RID.0.AL.CALC'!S35</f>
        <v>0.035</v>
      </c>
    </row>
    <row r="35" customFormat="false" ht="12.8" hidden="false" customHeight="false" outlineLevel="0" collapsed="false">
      <c r="A35" s="12" t="str">
        <f aca="false">_xlfn.CONCAT($A$1, ".", 'LSD.RID.0.AL.CALC'!A36)</f>
        <v>AL.U3R.32</v>
      </c>
      <c r="B35" s="33" t="str">
        <f aca="false">_xlfn.CONCAT('LSD.RID.0.AL.CALC'!B36, ":", 'LSD.RID.0.AL.CALC'!C36)</f>
        <v>Self-Employed / Non-Employer:Support</v>
      </c>
      <c r="C35" s="37" t="n">
        <f aca="false">'LSD.RID.0.AL.CALC'!P36</f>
        <v>0.035</v>
      </c>
      <c r="D35" s="37" t="n">
        <f aca="false">'LSD.RID.0.AL.CALC'!Q36</f>
        <v>0.045</v>
      </c>
      <c r="E35" s="37" t="n">
        <f aca="false">'LSD.RID.0.AL.CALC'!R36</f>
        <v>0.06</v>
      </c>
      <c r="F35" s="37" t="n">
        <f aca="false">'LSD.RID.0.AL.CALC'!S36</f>
        <v>0.035</v>
      </c>
    </row>
    <row r="36" customFormat="false" ht="12.8" hidden="false" customHeight="false" outlineLevel="0" collapsed="false">
      <c r="A36" s="12" t="str">
        <f aca="false">_xlfn.CONCAT($A$1, ".", 'LSD.RID.0.AL.CALC'!A37)</f>
        <v>AL.U3R.33</v>
      </c>
      <c r="B36" s="33" t="str">
        <f aca="false">_xlfn.CONCAT('LSD.RID.0.AL.CALC'!B37, ":", 'LSD.RID.0.AL.CALC'!C37)</f>
        <v>Other Services:Worker</v>
      </c>
      <c r="C36" s="37" t="n">
        <f aca="false">'LSD.RID.0.AL.CALC'!P37</f>
        <v>0.04</v>
      </c>
      <c r="D36" s="37" t="n">
        <f aca="false">'LSD.RID.0.AL.CALC'!Q37</f>
        <v>0.07</v>
      </c>
      <c r="E36" s="37" t="n">
        <f aca="false">'LSD.RID.0.AL.CALC'!R37</f>
        <v>0.12</v>
      </c>
      <c r="F36" s="37" t="n">
        <f aca="false">'LSD.RID.0.AL.CALC'!S37</f>
        <v>0.037</v>
      </c>
    </row>
    <row r="37" customFormat="false" ht="12.8" hidden="false" customHeight="false" outlineLevel="0" collapsed="false">
      <c r="A37" s="12" t="str">
        <f aca="false">_xlfn.CONCAT($A$1, ".", 'LSD.RID.0.AL.CALC'!A38)</f>
        <v>AL.U3R.34</v>
      </c>
      <c r="B37" s="33" t="str">
        <f aca="false">_xlfn.CONCAT('LSD.RID.0.AL.CALC'!B38, ":", 'LSD.RID.0.AL.CALC'!C38)</f>
        <v>Other Services:Support</v>
      </c>
      <c r="C37" s="37" t="n">
        <f aca="false">'LSD.RID.0.AL.CALC'!P38</f>
        <v>0.04</v>
      </c>
      <c r="D37" s="37" t="n">
        <f aca="false">'LSD.RID.0.AL.CALC'!Q38</f>
        <v>0.07</v>
      </c>
      <c r="E37" s="37" t="n">
        <f aca="false">'LSD.RID.0.AL.CALC'!R38</f>
        <v>0.12</v>
      </c>
      <c r="F37" s="37" t="n">
        <f aca="false">'LSD.RID.0.AL.CALC'!S38</f>
        <v>0.037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182"/>
  <sheetViews>
    <sheetView showFormulas="false" showGridLines="true" showRowColHeaders="true" showZeros="true" rightToLeft="false" tabSelected="false" showOutlineSymbols="true" defaultGridColor="true" view="normal" topLeftCell="A41" colorId="64" zoomScale="90" zoomScaleNormal="90" zoomScalePageLayoutView="100" workbookViewId="0">
      <selection pane="topLeft" activeCell="H36" activeCellId="0" sqref="H36"/>
    </sheetView>
  </sheetViews>
  <sheetFormatPr defaultColWidth="11.53515625" defaultRowHeight="12.8" customHeight="false" zeroHeight="false" outlineLevelRow="0" outlineLevelCol="0"/>
  <cols>
    <col collapsed="false" customWidth="false" hidden="false" outlineLevel="0" max="1" min="1" style="38" width="11.53"/>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12.8" hidden="false" customHeight="false" outlineLevel="0" collapsed="false">
      <c r="A1" s="4" t="s">
        <v>989</v>
      </c>
      <c r="B1" s="23" t="s">
        <v>990</v>
      </c>
      <c r="C1" s="17" t="s">
        <v>2</v>
      </c>
      <c r="D1" s="31" t="s">
        <v>991</v>
      </c>
      <c r="AZ1" s="15"/>
      <c r="BD1" s="0"/>
      <c r="BP1" s="15"/>
    </row>
    <row r="2" customFormat="false" ht="46.25" hidden="false" customHeight="false" outlineLevel="0" collapsed="false">
      <c r="A2" s="24" t="s">
        <v>978</v>
      </c>
      <c r="B2" s="23" t="s">
        <v>979</v>
      </c>
      <c r="C2" s="28" t="str">
        <f aca="false">'LSD.RID.0.AL.CALC'!T3</f>
        <v>Underemployment Rate</v>
      </c>
      <c r="D2" s="28" t="str">
        <f aca="false">'LSD.RID.0.AL.CALC'!U3</f>
        <v>Authorized Immigrant Underemployment Rate</v>
      </c>
      <c r="E2" s="28" t="str">
        <f aca="false">'LSD.RID.0.AL.CALC'!V3</f>
        <v>Unauthorized Immigrant Underemployment Rate</v>
      </c>
      <c r="F2" s="28" t="str">
        <f aca="false">'LSD.RID.0.AL.CALC'!W3</f>
        <v>American Underemployment Rate</v>
      </c>
    </row>
    <row r="3" customFormat="false" ht="12.8" hidden="false" customHeight="false" outlineLevel="0" collapsed="false">
      <c r="A3" s="4" t="str">
        <f aca="false">_xlfn.CONCAT($A$1, ".", 'LSD.RID.0.AL.CALC'!A4)</f>
        <v>AL.U6R.0</v>
      </c>
      <c r="B3" s="32" t="str">
        <f aca="false">_xlfn.CONCAT('LSD.RID.0.AL.CALC'!B4, ":", 'LSD.RID.0.AL.CALC'!C4)</f>
        <v>All Industries:All Roles</v>
      </c>
      <c r="C3" s="28" t="n">
        <f aca="false">'LSD.RID.0.AL.CALC'!T4</f>
        <v>0.053</v>
      </c>
      <c r="D3" s="28" t="n">
        <f aca="false">'LSD.RID.0.AL.CALC'!U4</f>
        <v>0.058</v>
      </c>
      <c r="E3" s="28" t="n">
        <f aca="false">'LSD.RID.0.AL.CALC'!V4</f>
        <v>0.088</v>
      </c>
      <c r="F3" s="28" t="n">
        <f aca="false">'LSD.RID.0.AL.CALC'!W4</f>
        <v>0.049</v>
      </c>
    </row>
    <row r="4" customFormat="false" ht="12.8" hidden="false" customHeight="false" outlineLevel="0" collapsed="false">
      <c r="A4" s="12" t="str">
        <f aca="false">_xlfn.CONCAT($A$1, ".", 'LSD.RID.0.AL.CALC'!A5)</f>
        <v>AL.U6R.1</v>
      </c>
      <c r="B4" s="33" t="str">
        <f aca="false">_xlfn.CONCAT('LSD.RID.0.AL.CALC'!B5, ":", 'LSD.RID.0.AL.CALC'!C5)</f>
        <v>Agriculture:Worker</v>
      </c>
      <c r="C4" s="37" t="n">
        <f aca="false">'LSD.RID.0.AL.CALC'!T5</f>
        <v>0.093</v>
      </c>
      <c r="D4" s="37" t="n">
        <f aca="false">'LSD.RID.0.AL.CALC'!U5</f>
        <v>0.108</v>
      </c>
      <c r="E4" s="37" t="n">
        <f aca="false">'LSD.RID.0.AL.CALC'!V5</f>
        <v>0.155</v>
      </c>
      <c r="F4" s="37" t="n">
        <f aca="false">'LSD.RID.0.AL.CALC'!W5</f>
        <v>0.089</v>
      </c>
    </row>
    <row r="5" customFormat="false" ht="12.8" hidden="false" customHeight="false" outlineLevel="0" collapsed="false">
      <c r="A5" s="12" t="str">
        <f aca="false">_xlfn.CONCAT($A$1, ".", 'LSD.RID.0.AL.CALC'!A6)</f>
        <v>AL.U6R.2</v>
      </c>
      <c r="B5" s="33" t="str">
        <f aca="false">_xlfn.CONCAT('LSD.RID.0.AL.CALC'!B6, ":", 'LSD.RID.0.AL.CALC'!C6)</f>
        <v>Agriculture:Support</v>
      </c>
      <c r="C5" s="37" t="n">
        <f aca="false">'LSD.RID.0.AL.CALC'!T6</f>
        <v>0.093</v>
      </c>
      <c r="D5" s="37" t="n">
        <f aca="false">'LSD.RID.0.AL.CALC'!U6</f>
        <v>0.108</v>
      </c>
      <c r="E5" s="37" t="n">
        <f aca="false">'LSD.RID.0.AL.CALC'!V6</f>
        <v>0.155</v>
      </c>
      <c r="F5" s="37" t="n">
        <f aca="false">'LSD.RID.0.AL.CALC'!W6</f>
        <v>0.089</v>
      </c>
    </row>
    <row r="6" customFormat="false" ht="12.8" hidden="false" customHeight="false" outlineLevel="0" collapsed="false">
      <c r="A6" s="12" t="str">
        <f aca="false">_xlfn.CONCAT($A$1, ".", 'LSD.RID.0.AL.CALC'!A7)</f>
        <v>AL.U6R.3</v>
      </c>
      <c r="B6" s="33" t="str">
        <f aca="false">_xlfn.CONCAT('LSD.RID.0.AL.CALC'!B7, ":", 'LSD.RID.0.AL.CALC'!C7)</f>
        <v>Construction:Worker</v>
      </c>
      <c r="C6" s="37" t="n">
        <f aca="false">'LSD.RID.0.AL.CALC'!T7</f>
        <v>0.046</v>
      </c>
      <c r="D6" s="37" t="n">
        <f aca="false">'LSD.RID.0.AL.CALC'!U7</f>
        <v>0.066</v>
      </c>
      <c r="E6" s="37" t="n">
        <f aca="false">'LSD.RID.0.AL.CALC'!V7</f>
        <v>0.11</v>
      </c>
      <c r="F6" s="37" t="n">
        <f aca="false">'LSD.RID.0.AL.CALC'!W7</f>
        <v>0.042</v>
      </c>
    </row>
    <row r="7" customFormat="false" ht="12.8" hidden="false" customHeight="false" outlineLevel="0" collapsed="false">
      <c r="A7" s="12" t="str">
        <f aca="false">_xlfn.CONCAT($A$1, ".", 'LSD.RID.0.AL.CALC'!A8)</f>
        <v>AL.U6R.4</v>
      </c>
      <c r="B7" s="33" t="str">
        <f aca="false">_xlfn.CONCAT('LSD.RID.0.AL.CALC'!B8, ":", 'LSD.RID.0.AL.CALC'!C8)</f>
        <v>Construction:Support</v>
      </c>
      <c r="C7" s="37" t="n">
        <f aca="false">'LSD.RID.0.AL.CALC'!T8</f>
        <v>0.046</v>
      </c>
      <c r="D7" s="37" t="n">
        <f aca="false">'LSD.RID.0.AL.CALC'!U8</f>
        <v>0.066</v>
      </c>
      <c r="E7" s="37" t="n">
        <f aca="false">'LSD.RID.0.AL.CALC'!V8</f>
        <v>0.11</v>
      </c>
      <c r="F7" s="37" t="n">
        <f aca="false">'LSD.RID.0.AL.CALC'!W8</f>
        <v>0.042</v>
      </c>
    </row>
    <row r="8" customFormat="false" ht="12.8" hidden="false" customHeight="false" outlineLevel="0" collapsed="false">
      <c r="A8" s="12" t="str">
        <f aca="false">_xlfn.CONCAT($A$1, ".", 'LSD.RID.0.AL.CALC'!A9)</f>
        <v>AL.U6R.5</v>
      </c>
      <c r="B8" s="33" t="str">
        <f aca="false">_xlfn.CONCAT('LSD.RID.0.AL.CALC'!B9, ":", 'LSD.RID.0.AL.CALC'!C9)</f>
        <v>Hospitality:Worker</v>
      </c>
      <c r="C8" s="37" t="n">
        <f aca="false">'LSD.RID.0.AL.CALC'!T9</f>
        <v>0.072</v>
      </c>
      <c r="D8" s="37" t="n">
        <f aca="false">'LSD.RID.0.AL.CALC'!U9</f>
        <v>0.095</v>
      </c>
      <c r="E8" s="37" t="n">
        <f aca="false">'LSD.RID.0.AL.CALC'!V9</f>
        <v>0.162</v>
      </c>
      <c r="F8" s="37" t="n">
        <f aca="false">'LSD.RID.0.AL.CALC'!W9</f>
        <v>0.069</v>
      </c>
    </row>
    <row r="9" customFormat="false" ht="12.8" hidden="false" customHeight="false" outlineLevel="0" collapsed="false">
      <c r="A9" s="12" t="str">
        <f aca="false">_xlfn.CONCAT($A$1, ".", 'LSD.RID.0.AL.CALC'!A10)</f>
        <v>AL.U6R.6</v>
      </c>
      <c r="B9" s="33" t="str">
        <f aca="false">_xlfn.CONCAT('LSD.RID.0.AL.CALC'!B10, ":", 'LSD.RID.0.AL.CALC'!C10)</f>
        <v>Hospitality:Support</v>
      </c>
      <c r="C9" s="37" t="n">
        <f aca="false">'LSD.RID.0.AL.CALC'!T10</f>
        <v>0.072</v>
      </c>
      <c r="D9" s="37" t="n">
        <f aca="false">'LSD.RID.0.AL.CALC'!U10</f>
        <v>0.095</v>
      </c>
      <c r="E9" s="37" t="n">
        <f aca="false">'LSD.RID.0.AL.CALC'!V10</f>
        <v>0.162</v>
      </c>
      <c r="F9" s="37" t="n">
        <f aca="false">'LSD.RID.0.AL.CALC'!W10</f>
        <v>0.069</v>
      </c>
    </row>
    <row r="10" customFormat="false" ht="12.8" hidden="false" customHeight="false" outlineLevel="0" collapsed="false">
      <c r="A10" s="12" t="str">
        <f aca="false">_xlfn.CONCAT($A$1, ".", 'LSD.RID.0.AL.CALC'!A11)</f>
        <v>AL.U6R.7</v>
      </c>
      <c r="B10" s="33" t="str">
        <f aca="false">_xlfn.CONCAT('LSD.RID.0.AL.CALC'!B11, ":", 'LSD.RID.0.AL.CALC'!C11)</f>
        <v>Cleaning &amp; Maintenance:Worker</v>
      </c>
      <c r="C10" s="37" t="n">
        <f aca="false">'LSD.RID.0.AL.CALC'!T11</f>
        <v>0.1</v>
      </c>
      <c r="D10" s="37" t="n">
        <f aca="false">'LSD.RID.0.AL.CALC'!U11</f>
        <v>0.132</v>
      </c>
      <c r="E10" s="37" t="n">
        <f aca="false">'LSD.RID.0.AL.CALC'!V11</f>
        <v>0.221</v>
      </c>
      <c r="F10" s="37" t="n">
        <f aca="false">'LSD.RID.0.AL.CALC'!W11</f>
        <v>0.095</v>
      </c>
    </row>
    <row r="11" customFormat="false" ht="12.8" hidden="false" customHeight="false" outlineLevel="0" collapsed="false">
      <c r="A11" s="12" t="str">
        <f aca="false">_xlfn.CONCAT($A$1, ".", 'LSD.RID.0.AL.CALC'!A12)</f>
        <v>AL.U6R.8</v>
      </c>
      <c r="B11" s="33" t="str">
        <f aca="false">_xlfn.CONCAT('LSD.RID.0.AL.CALC'!B12, ":", 'LSD.RID.0.AL.CALC'!C12)</f>
        <v>Cleaning &amp; Maintenance:Support</v>
      </c>
      <c r="C11" s="37" t="n">
        <f aca="false">'LSD.RID.0.AL.CALC'!T12</f>
        <v>0.1</v>
      </c>
      <c r="D11" s="37" t="n">
        <f aca="false">'LSD.RID.0.AL.CALC'!U12</f>
        <v>0.132</v>
      </c>
      <c r="E11" s="37" t="n">
        <f aca="false">'LSD.RID.0.AL.CALC'!V12</f>
        <v>0.221</v>
      </c>
      <c r="F11" s="37" t="n">
        <f aca="false">'LSD.RID.0.AL.CALC'!W12</f>
        <v>0.095</v>
      </c>
    </row>
    <row r="12" customFormat="false" ht="12.8" hidden="false" customHeight="false" outlineLevel="0" collapsed="false">
      <c r="A12" s="12" t="str">
        <f aca="false">_xlfn.CONCAT($A$1, ".", 'LSD.RID.0.AL.CALC'!A13)</f>
        <v>AL.U6R.9</v>
      </c>
      <c r="B12" s="33" t="str">
        <f aca="false">_xlfn.CONCAT('LSD.RID.0.AL.CALC'!B13, ":", 'LSD.RID.0.AL.CALC'!C13)</f>
        <v>Manufacturing:Worker</v>
      </c>
      <c r="C12" s="37" t="n">
        <f aca="false">'LSD.RID.0.AL.CALC'!T13</f>
        <v>0.031</v>
      </c>
      <c r="D12" s="37" t="n">
        <f aca="false">'LSD.RID.0.AL.CALC'!U13</f>
        <v>0.037</v>
      </c>
      <c r="E12" s="37" t="n">
        <f aca="false">'LSD.RID.0.AL.CALC'!V13</f>
        <v>0.078</v>
      </c>
      <c r="F12" s="37" t="n">
        <f aca="false">'LSD.RID.0.AL.CALC'!W13</f>
        <v>0.03</v>
      </c>
    </row>
    <row r="13" customFormat="false" ht="12.8" hidden="false" customHeight="false" outlineLevel="0" collapsed="false">
      <c r="A13" s="12" t="str">
        <f aca="false">_xlfn.CONCAT($A$1, ".", 'LSD.RID.0.AL.CALC'!A14)</f>
        <v>AL.U6R.10</v>
      </c>
      <c r="B13" s="33" t="str">
        <f aca="false">_xlfn.CONCAT('LSD.RID.0.AL.CALC'!B14, ":", 'LSD.RID.0.AL.CALC'!C14)</f>
        <v>Manufacturing:Support</v>
      </c>
      <c r="C13" s="37" t="n">
        <f aca="false">'LSD.RID.0.AL.CALC'!T14</f>
        <v>0.031</v>
      </c>
      <c r="D13" s="37" t="n">
        <f aca="false">'LSD.RID.0.AL.CALC'!U14</f>
        <v>0.037</v>
      </c>
      <c r="E13" s="37" t="n">
        <f aca="false">'LSD.RID.0.AL.CALC'!V14</f>
        <v>0.078</v>
      </c>
      <c r="F13" s="37" t="n">
        <f aca="false">'LSD.RID.0.AL.CALC'!W14</f>
        <v>0.03</v>
      </c>
    </row>
    <row r="14" customFormat="false" ht="12.8" hidden="false" customHeight="false" outlineLevel="0" collapsed="false">
      <c r="A14" s="12" t="str">
        <f aca="false">_xlfn.CONCAT($A$1, ".", 'LSD.RID.0.AL.CALC'!A15)</f>
        <v>AL.U6R.11</v>
      </c>
      <c r="B14" s="33" t="str">
        <f aca="false">_xlfn.CONCAT('LSD.RID.0.AL.CALC'!B15, ":", 'LSD.RID.0.AL.CALC'!C15)</f>
        <v>Transportation &amp; Warehousing:Worker</v>
      </c>
      <c r="C14" s="37" t="n">
        <f aca="false">'LSD.RID.0.AL.CALC'!T15</f>
        <v>0.037</v>
      </c>
      <c r="D14" s="37" t="n">
        <f aca="false">'LSD.RID.0.AL.CALC'!U15</f>
        <v>0.046</v>
      </c>
      <c r="E14" s="37" t="n">
        <f aca="false">'LSD.RID.0.AL.CALC'!V15</f>
        <v>0.084</v>
      </c>
      <c r="F14" s="37" t="n">
        <f aca="false">'LSD.RID.0.AL.CALC'!W15</f>
        <v>0.034</v>
      </c>
    </row>
    <row r="15" customFormat="false" ht="12.8" hidden="false" customHeight="false" outlineLevel="0" collapsed="false">
      <c r="A15" s="12" t="str">
        <f aca="false">_xlfn.CONCAT($A$1, ".", 'LSD.RID.0.AL.CALC'!A16)</f>
        <v>AL.U6R.12</v>
      </c>
      <c r="B15" s="33" t="str">
        <f aca="false">_xlfn.CONCAT('LSD.RID.0.AL.CALC'!B16, ":", 'LSD.RID.0.AL.CALC'!C16)</f>
        <v>Transportation &amp; Warehousing:Support</v>
      </c>
      <c r="C15" s="37" t="n">
        <f aca="false">'LSD.RID.0.AL.CALC'!T16</f>
        <v>0.037</v>
      </c>
      <c r="D15" s="37" t="n">
        <f aca="false">'LSD.RID.0.AL.CALC'!U16</f>
        <v>0.046</v>
      </c>
      <c r="E15" s="37" t="n">
        <f aca="false">'LSD.RID.0.AL.CALC'!V16</f>
        <v>0.084</v>
      </c>
      <c r="F15" s="37" t="n">
        <f aca="false">'LSD.RID.0.AL.CALC'!W16</f>
        <v>0.034</v>
      </c>
    </row>
    <row r="16" customFormat="false" ht="12.8" hidden="false" customHeight="false" outlineLevel="0" collapsed="false">
      <c r="A16" s="12" t="str">
        <f aca="false">_xlfn.CONCAT($A$1, ".", 'LSD.RID.0.AL.CALC'!A17)</f>
        <v>AL.U6R.13</v>
      </c>
      <c r="B16" s="33" t="str">
        <f aca="false">_xlfn.CONCAT('LSD.RID.0.AL.CALC'!B17, ":", 'LSD.RID.0.AL.CALC'!C17)</f>
        <v>Retail Trade:Worker</v>
      </c>
      <c r="C16" s="37" t="n">
        <f aca="false">'LSD.RID.0.AL.CALC'!T17</f>
        <v>0.074</v>
      </c>
      <c r="D16" s="37" t="n">
        <f aca="false">'LSD.RID.0.AL.CALC'!U17</f>
        <v>0.097</v>
      </c>
      <c r="E16" s="37" t="n">
        <f aca="false">'LSD.RID.0.AL.CALC'!V17</f>
        <v>0.165</v>
      </c>
      <c r="F16" s="37" t="n">
        <f aca="false">'LSD.RID.0.AL.CALC'!W17</f>
        <v>0.071</v>
      </c>
    </row>
    <row r="17" customFormat="false" ht="12.8" hidden="false" customHeight="false" outlineLevel="0" collapsed="false">
      <c r="A17" s="12" t="str">
        <f aca="false">_xlfn.CONCAT($A$1, ".", 'LSD.RID.0.AL.CALC'!A18)</f>
        <v>AL.U6R.14</v>
      </c>
      <c r="B17" s="33" t="str">
        <f aca="false">_xlfn.CONCAT('LSD.RID.0.AL.CALC'!B18, ":", 'LSD.RID.0.AL.CALC'!C18)</f>
        <v>Retail Trade:Support</v>
      </c>
      <c r="C17" s="37" t="n">
        <f aca="false">'LSD.RID.0.AL.CALC'!T18</f>
        <v>0.074</v>
      </c>
      <c r="D17" s="37" t="n">
        <f aca="false">'LSD.RID.0.AL.CALC'!U18</f>
        <v>0.097</v>
      </c>
      <c r="E17" s="37" t="n">
        <f aca="false">'LSD.RID.0.AL.CALC'!V18</f>
        <v>0.165</v>
      </c>
      <c r="F17" s="37" t="n">
        <f aca="false">'LSD.RID.0.AL.CALC'!W18</f>
        <v>0.071</v>
      </c>
    </row>
    <row r="18" customFormat="false" ht="12.8" hidden="false" customHeight="false" outlineLevel="0" collapsed="false">
      <c r="A18" s="12" t="str">
        <f aca="false">_xlfn.CONCAT($A$1, ".", 'LSD.RID.0.AL.CALC'!A19)</f>
        <v>AL.U6R.15</v>
      </c>
      <c r="B18" s="33" t="str">
        <f aca="false">_xlfn.CONCAT('LSD.RID.0.AL.CALC'!B19, ":", 'LSD.RID.0.AL.CALC'!C19)</f>
        <v>Landscaping / Groundskeeping:Worker</v>
      </c>
      <c r="C18" s="37" t="n">
        <f aca="false">'LSD.RID.0.AL.CALC'!T19</f>
        <v>0.093</v>
      </c>
      <c r="D18" s="37" t="n">
        <f aca="false">'LSD.RID.0.AL.CALC'!U19</f>
        <v>0.108</v>
      </c>
      <c r="E18" s="37" t="n">
        <f aca="false">'LSD.RID.0.AL.CALC'!V19</f>
        <v>0.155</v>
      </c>
      <c r="F18" s="37" t="n">
        <f aca="false">'LSD.RID.0.AL.CALC'!W19</f>
        <v>0.089</v>
      </c>
    </row>
    <row r="19" customFormat="false" ht="12.8" hidden="false" customHeight="false" outlineLevel="0" collapsed="false">
      <c r="A19" s="12" t="str">
        <f aca="false">_xlfn.CONCAT($A$1, ".", 'LSD.RID.0.AL.CALC'!A20)</f>
        <v>AL.U6R.16</v>
      </c>
      <c r="B19" s="33" t="str">
        <f aca="false">_xlfn.CONCAT('LSD.RID.0.AL.CALC'!B20, ":", 'LSD.RID.0.AL.CALC'!C20)</f>
        <v>Landscaping / Groundskeeping:Support</v>
      </c>
      <c r="C19" s="37" t="n">
        <f aca="false">'LSD.RID.0.AL.CALC'!T20</f>
        <v>0.093</v>
      </c>
      <c r="D19" s="37" t="n">
        <f aca="false">'LSD.RID.0.AL.CALC'!U20</f>
        <v>0.108</v>
      </c>
      <c r="E19" s="37" t="n">
        <f aca="false">'LSD.RID.0.AL.CALC'!V20</f>
        <v>0.155</v>
      </c>
      <c r="F19" s="37" t="n">
        <f aca="false">'LSD.RID.0.AL.CALC'!W20</f>
        <v>0.089</v>
      </c>
    </row>
    <row r="20" customFormat="false" ht="12.8" hidden="false" customHeight="false" outlineLevel="0" collapsed="false">
      <c r="A20" s="12" t="str">
        <f aca="false">_xlfn.CONCAT($A$1, ".", 'LSD.RID.0.AL.CALC'!A21)</f>
        <v>AL.U6R.17</v>
      </c>
      <c r="B20" s="33" t="str">
        <f aca="false">_xlfn.CONCAT('LSD.RID.0.AL.CALC'!B21, ":", 'LSD.RID.0.AL.CALC'!C21)</f>
        <v>Automotive &amp; Repair:Worker</v>
      </c>
      <c r="C20" s="37" t="n">
        <f aca="false">'LSD.RID.0.AL.CALC'!T21</f>
        <v>0.046</v>
      </c>
      <c r="D20" s="37" t="n">
        <f aca="false">'LSD.RID.0.AL.CALC'!U21</f>
        <v>0.057</v>
      </c>
      <c r="E20" s="37" t="n">
        <f aca="false">'LSD.RID.0.AL.CALC'!V21</f>
        <v>0.104</v>
      </c>
      <c r="F20" s="37" t="n">
        <f aca="false">'LSD.RID.0.AL.CALC'!W21</f>
        <v>0.042</v>
      </c>
    </row>
    <row r="21" customFormat="false" ht="12.8" hidden="false" customHeight="false" outlineLevel="0" collapsed="false">
      <c r="A21" s="12" t="str">
        <f aca="false">_xlfn.CONCAT($A$1, ".", 'LSD.RID.0.AL.CALC'!A22)</f>
        <v>AL.U6R.18</v>
      </c>
      <c r="B21" s="33" t="str">
        <f aca="false">_xlfn.CONCAT('LSD.RID.0.AL.CALC'!B22, ":", 'LSD.RID.0.AL.CALC'!C22)</f>
        <v>Automotive &amp; Repair:Support</v>
      </c>
      <c r="C21" s="37" t="n">
        <f aca="false">'LSD.RID.0.AL.CALC'!T22</f>
        <v>0.046</v>
      </c>
      <c r="D21" s="37" t="n">
        <f aca="false">'LSD.RID.0.AL.CALC'!U22</f>
        <v>0.057</v>
      </c>
      <c r="E21" s="37" t="n">
        <f aca="false">'LSD.RID.0.AL.CALC'!V22</f>
        <v>0.104</v>
      </c>
      <c r="F21" s="37" t="n">
        <f aca="false">'LSD.RID.0.AL.CALC'!W22</f>
        <v>0.042</v>
      </c>
    </row>
    <row r="22" customFormat="false" ht="12.8" hidden="false" customHeight="false" outlineLevel="0" collapsed="false">
      <c r="A22" s="12" t="str">
        <f aca="false">_xlfn.CONCAT($A$1, ".", 'LSD.RID.0.AL.CALC'!A23)</f>
        <v>AL.U6R.19</v>
      </c>
      <c r="B22" s="33" t="str">
        <f aca="false">_xlfn.CONCAT('LSD.RID.0.AL.CALC'!B23, ":", 'LSD.RID.0.AL.CALC'!C23)</f>
        <v>Healthcare &amp; Social Assistance:Worker</v>
      </c>
      <c r="C22" s="37" t="n">
        <f aca="false">'LSD.RID.0.AL.CALC'!T23</f>
        <v>0.035</v>
      </c>
      <c r="D22" s="37" t="n">
        <f aca="false">'LSD.RID.0.AL.CALC'!U23</f>
        <v>0.042</v>
      </c>
      <c r="E22" s="37" t="n">
        <f aca="false">'LSD.RID.0.AL.CALC'!V23</f>
        <v>0.088</v>
      </c>
      <c r="F22" s="37" t="n">
        <f aca="false">'LSD.RID.0.AL.CALC'!W23</f>
        <v>0.034</v>
      </c>
    </row>
    <row r="23" customFormat="false" ht="12.8" hidden="false" customHeight="false" outlineLevel="0" collapsed="false">
      <c r="A23" s="12" t="str">
        <f aca="false">_xlfn.CONCAT($A$1, ".", 'LSD.RID.0.AL.CALC'!A24)</f>
        <v>AL.U6R.20</v>
      </c>
      <c r="B23" s="33" t="str">
        <f aca="false">_xlfn.CONCAT('LSD.RID.0.AL.CALC'!B24, ":", 'LSD.RID.0.AL.CALC'!C24)</f>
        <v>Healthcare &amp; Social Assistance:Support</v>
      </c>
      <c r="C23" s="37" t="n">
        <f aca="false">'LSD.RID.0.AL.CALC'!T24</f>
        <v>0.035</v>
      </c>
      <c r="D23" s="37" t="n">
        <f aca="false">'LSD.RID.0.AL.CALC'!U24</f>
        <v>0.042</v>
      </c>
      <c r="E23" s="37" t="n">
        <f aca="false">'LSD.RID.0.AL.CALC'!V24</f>
        <v>0.088</v>
      </c>
      <c r="F23" s="37" t="n">
        <f aca="false">'LSD.RID.0.AL.CALC'!W24</f>
        <v>0.034</v>
      </c>
    </row>
    <row r="24" customFormat="false" ht="12.8" hidden="false" customHeight="false" outlineLevel="0" collapsed="false">
      <c r="A24" s="12" t="str">
        <f aca="false">_xlfn.CONCAT($A$1, ".", 'LSD.RID.0.AL.CALC'!A25)</f>
        <v>AL.U6R.21</v>
      </c>
      <c r="B24" s="33" t="str">
        <f aca="false">_xlfn.CONCAT('LSD.RID.0.AL.CALC'!B25, ":", 'LSD.RID.0.AL.CALC'!C25)</f>
        <v>Professional Services:Worker</v>
      </c>
      <c r="C24" s="37" t="n">
        <f aca="false">'LSD.RID.0.AL.CALC'!T25</f>
        <v>0.026</v>
      </c>
      <c r="D24" s="37" t="n">
        <f aca="false">'LSD.RID.0.AL.CALC'!U25</f>
        <v>0.031</v>
      </c>
      <c r="E24" s="37" t="n">
        <f aca="false">'LSD.RID.0.AL.CALC'!V25</f>
        <v>0.065</v>
      </c>
      <c r="F24" s="37" t="n">
        <f aca="false">'LSD.RID.0.AL.CALC'!W25</f>
        <v>0.024</v>
      </c>
    </row>
    <row r="25" customFormat="false" ht="12.8" hidden="false" customHeight="false" outlineLevel="0" collapsed="false">
      <c r="A25" s="12" t="str">
        <f aca="false">_xlfn.CONCAT($A$1, ".", 'LSD.RID.0.AL.CALC'!A26)</f>
        <v>AL.U6R.22</v>
      </c>
      <c r="B25" s="33" t="str">
        <f aca="false">_xlfn.CONCAT('LSD.RID.0.AL.CALC'!B26, ":", 'LSD.RID.0.AL.CALC'!C26)</f>
        <v>Professional Services:Support</v>
      </c>
      <c r="C25" s="37" t="n">
        <f aca="false">'LSD.RID.0.AL.CALC'!T26</f>
        <v>0.026</v>
      </c>
      <c r="D25" s="37" t="n">
        <f aca="false">'LSD.RID.0.AL.CALC'!U26</f>
        <v>0.031</v>
      </c>
      <c r="E25" s="37" t="n">
        <f aca="false">'LSD.RID.0.AL.CALC'!V26</f>
        <v>0.065</v>
      </c>
      <c r="F25" s="37" t="n">
        <f aca="false">'LSD.RID.0.AL.CALC'!W26</f>
        <v>0.024</v>
      </c>
    </row>
    <row r="26" customFormat="false" ht="12.8" hidden="false" customHeight="false" outlineLevel="0" collapsed="false">
      <c r="A26" s="12" t="str">
        <f aca="false">_xlfn.CONCAT($A$1, ".", 'LSD.RID.0.AL.CALC'!A27)</f>
        <v>AL.U6R.23</v>
      </c>
      <c r="B26" s="33" t="str">
        <f aca="false">_xlfn.CONCAT('LSD.RID.0.AL.CALC'!B27, ":", 'LSD.RID.0.AL.CALC'!C27)</f>
        <v>Educational Services:Worker</v>
      </c>
      <c r="C26" s="37" t="n">
        <f aca="false">'LSD.RID.0.AL.CALC'!T27</f>
        <v>0.036</v>
      </c>
      <c r="D26" s="37" t="n">
        <f aca="false">'LSD.RID.0.AL.CALC'!U27</f>
        <v>0.043</v>
      </c>
      <c r="E26" s="37" t="n">
        <f aca="false">'LSD.RID.0.AL.CALC'!V27</f>
        <v>0.09</v>
      </c>
      <c r="F26" s="37" t="n">
        <f aca="false">'LSD.RID.0.AL.CALC'!W27</f>
        <v>0.035</v>
      </c>
    </row>
    <row r="27" customFormat="false" ht="12.8" hidden="false" customHeight="false" outlineLevel="0" collapsed="false">
      <c r="A27" s="12" t="str">
        <f aca="false">_xlfn.CONCAT($A$1, ".", 'LSD.RID.0.AL.CALC'!A28)</f>
        <v>AL.U6R.24</v>
      </c>
      <c r="B27" s="33" t="str">
        <f aca="false">_xlfn.CONCAT('LSD.RID.0.AL.CALC'!B28, ":", 'LSD.RID.0.AL.CALC'!C28)</f>
        <v>Educational Services:Support</v>
      </c>
      <c r="C27" s="37" t="n">
        <f aca="false">'LSD.RID.0.AL.CALC'!T28</f>
        <v>0.036</v>
      </c>
      <c r="D27" s="37" t="n">
        <f aca="false">'LSD.RID.0.AL.CALC'!U28</f>
        <v>0.043</v>
      </c>
      <c r="E27" s="37" t="n">
        <f aca="false">'LSD.RID.0.AL.CALC'!V28</f>
        <v>0.09</v>
      </c>
      <c r="F27" s="37" t="n">
        <f aca="false">'LSD.RID.0.AL.CALC'!W28</f>
        <v>0.035</v>
      </c>
    </row>
    <row r="28" customFormat="false" ht="12.8" hidden="false" customHeight="false" outlineLevel="0" collapsed="false">
      <c r="A28" s="12" t="str">
        <f aca="false">_xlfn.CONCAT($A$1, ".", 'LSD.RID.0.AL.CALC'!A29)</f>
        <v>AL.U6R.25</v>
      </c>
      <c r="B28" s="33" t="str">
        <f aca="false">_xlfn.CONCAT('LSD.RID.0.AL.CALC'!B29, ":", 'LSD.RID.0.AL.CALC'!C29)</f>
        <v>Finance &amp; Insurance:Worker</v>
      </c>
      <c r="C28" s="37" t="n">
        <f aca="false">'LSD.RID.0.AL.CALC'!T29</f>
        <v>0.028</v>
      </c>
      <c r="D28" s="37" t="n">
        <f aca="false">'LSD.RID.0.AL.CALC'!U29</f>
        <v>0.034</v>
      </c>
      <c r="E28" s="37" t="n">
        <f aca="false">'LSD.RID.0.AL.CALC'!V29</f>
        <v>0.071</v>
      </c>
      <c r="F28" s="37" t="n">
        <f aca="false">'LSD.RID.0.AL.CALC'!W29</f>
        <v>0.027</v>
      </c>
    </row>
    <row r="29" customFormat="false" ht="12.8" hidden="false" customHeight="false" outlineLevel="0" collapsed="false">
      <c r="A29" s="12" t="str">
        <f aca="false">_xlfn.CONCAT($A$1, ".", 'LSD.RID.0.AL.CALC'!A30)</f>
        <v>AL.U6R.26</v>
      </c>
      <c r="B29" s="33" t="str">
        <f aca="false">_xlfn.CONCAT('LSD.RID.0.AL.CALC'!B30, ":", 'LSD.RID.0.AL.CALC'!C30)</f>
        <v>Finance &amp; Insurance:Support</v>
      </c>
      <c r="C29" s="37" t="n">
        <f aca="false">'LSD.RID.0.AL.CALC'!T30</f>
        <v>0.028</v>
      </c>
      <c r="D29" s="37" t="n">
        <f aca="false">'LSD.RID.0.AL.CALC'!U30</f>
        <v>0.034</v>
      </c>
      <c r="E29" s="37" t="n">
        <f aca="false">'LSD.RID.0.AL.CALC'!V30</f>
        <v>0.071</v>
      </c>
      <c r="F29" s="37" t="n">
        <f aca="false">'LSD.RID.0.AL.CALC'!W30</f>
        <v>0.027</v>
      </c>
    </row>
    <row r="30" customFormat="false" ht="12.8" hidden="false" customHeight="false" outlineLevel="0" collapsed="false">
      <c r="A30" s="12" t="str">
        <f aca="false">_xlfn.CONCAT($A$1, ".", 'LSD.RID.0.AL.CALC'!A31)</f>
        <v>AL.U6R.27</v>
      </c>
      <c r="B30" s="33" t="str">
        <f aca="false">_xlfn.CONCAT('LSD.RID.0.AL.CALC'!B31, ":", 'LSD.RID.0.AL.CALC'!C31)</f>
        <v>Media and Information Technology:Worker</v>
      </c>
      <c r="C30" s="37" t="n">
        <f aca="false">'LSD.RID.0.AL.CALC'!T31</f>
        <v>0.03</v>
      </c>
      <c r="D30" s="37" t="n">
        <f aca="false">'LSD.RID.0.AL.CALC'!U31</f>
        <v>0.036</v>
      </c>
      <c r="E30" s="37" t="n">
        <f aca="false">'LSD.RID.0.AL.CALC'!V31</f>
        <v>0.076</v>
      </c>
      <c r="F30" s="37" t="n">
        <f aca="false">'LSD.RID.0.AL.CALC'!W31</f>
        <v>0.029</v>
      </c>
    </row>
    <row r="31" customFormat="false" ht="12.8" hidden="false" customHeight="false" outlineLevel="0" collapsed="false">
      <c r="A31" s="12" t="str">
        <f aca="false">_xlfn.CONCAT($A$1, ".", 'LSD.RID.0.AL.CALC'!A32)</f>
        <v>AL.U6R.28</v>
      </c>
      <c r="B31" s="33" t="str">
        <f aca="false">_xlfn.CONCAT('LSD.RID.0.AL.CALC'!B32, ":", 'LSD.RID.0.AL.CALC'!C32)</f>
        <v>Media and Information Technology:Support</v>
      </c>
      <c r="C31" s="37" t="n">
        <f aca="false">'LSD.RID.0.AL.CALC'!T32</f>
        <v>0.03</v>
      </c>
      <c r="D31" s="37" t="n">
        <f aca="false">'LSD.RID.0.AL.CALC'!U32</f>
        <v>0.036</v>
      </c>
      <c r="E31" s="37" t="n">
        <f aca="false">'LSD.RID.0.AL.CALC'!V32</f>
        <v>0.076</v>
      </c>
      <c r="F31" s="37" t="n">
        <f aca="false">'LSD.RID.0.AL.CALC'!W32</f>
        <v>0.029</v>
      </c>
    </row>
    <row r="32" customFormat="false" ht="12.8" hidden="false" customHeight="false" outlineLevel="0" collapsed="false">
      <c r="A32" s="12" t="str">
        <f aca="false">_xlfn.CONCAT($A$1, ".", 'LSD.RID.0.AL.CALC'!A33)</f>
        <v>AL.U6R.29</v>
      </c>
      <c r="B32" s="33" t="str">
        <f aca="false">_xlfn.CONCAT('LSD.RID.0.AL.CALC'!B33, ":", 'LSD.RID.0.AL.CALC'!C33)</f>
        <v>Government:Worker</v>
      </c>
      <c r="C32" s="37" t="n">
        <f aca="false">'LSD.RID.0.AL.CALC'!T33</f>
        <v>0.03</v>
      </c>
      <c r="D32" s="37" t="n">
        <f aca="false">'LSD.RID.0.AL.CALC'!U33</f>
        <v>0.036</v>
      </c>
      <c r="E32" s="37" t="n">
        <f aca="false">'LSD.RID.0.AL.CALC'!V33</f>
        <v>0.076</v>
      </c>
      <c r="F32" s="37" t="n">
        <f aca="false">'LSD.RID.0.AL.CALC'!W33</f>
        <v>0.029</v>
      </c>
    </row>
    <row r="33" customFormat="false" ht="12.8" hidden="false" customHeight="false" outlineLevel="0" collapsed="false">
      <c r="A33" s="12" t="str">
        <f aca="false">_xlfn.CONCAT($A$1, ".", 'LSD.RID.0.AL.CALC'!A34)</f>
        <v>AL.U6R.30</v>
      </c>
      <c r="B33" s="33" t="str">
        <f aca="false">_xlfn.CONCAT('LSD.RID.0.AL.CALC'!B34, ":", 'LSD.RID.0.AL.CALC'!C34)</f>
        <v>Government:Support</v>
      </c>
      <c r="C33" s="37" t="n">
        <f aca="false">'LSD.RID.0.AL.CALC'!T34</f>
        <v>0.03</v>
      </c>
      <c r="D33" s="37" t="n">
        <f aca="false">'LSD.RID.0.AL.CALC'!U34</f>
        <v>0.036</v>
      </c>
      <c r="E33" s="37" t="n">
        <f aca="false">'LSD.RID.0.AL.CALC'!V34</f>
        <v>0.076</v>
      </c>
      <c r="F33" s="37" t="n">
        <f aca="false">'LSD.RID.0.AL.CALC'!W34</f>
        <v>0.029</v>
      </c>
    </row>
    <row r="34" customFormat="false" ht="12.8" hidden="false" customHeight="false" outlineLevel="0" collapsed="false">
      <c r="A34" s="12" t="str">
        <f aca="false">_xlfn.CONCAT($A$1, ".", 'LSD.RID.0.AL.CALC'!A35)</f>
        <v>AL.U6R.31</v>
      </c>
      <c r="B34" s="33" t="str">
        <f aca="false">_xlfn.CONCAT('LSD.RID.0.AL.CALC'!B35, ":", 'LSD.RID.0.AL.CALC'!C35)</f>
        <v>Self-Employed / Non-Employer:Worker</v>
      </c>
      <c r="C34" s="37" t="n">
        <f aca="false">'LSD.RID.0.AL.CALC'!T35</f>
        <v>0.042</v>
      </c>
      <c r="D34" s="37" t="n">
        <f aca="false">'LSD.RID.0.AL.CALC'!U35</f>
        <v>0.05</v>
      </c>
      <c r="E34" s="37" t="n">
        <f aca="false">'LSD.RID.0.AL.CALC'!V35</f>
        <v>0.084</v>
      </c>
      <c r="F34" s="37" t="n">
        <f aca="false">'LSD.RID.0.AL.CALC'!W35</f>
        <v>0.041</v>
      </c>
    </row>
    <row r="35" customFormat="false" ht="12.8" hidden="false" customHeight="false" outlineLevel="0" collapsed="false">
      <c r="A35" s="12" t="str">
        <f aca="false">_xlfn.CONCAT($A$1, ".", 'LSD.RID.0.AL.CALC'!A36)</f>
        <v>AL.U6R.32</v>
      </c>
      <c r="B35" s="33" t="str">
        <f aca="false">_xlfn.CONCAT('LSD.RID.0.AL.CALC'!B36, ":", 'LSD.RID.0.AL.CALC'!C36)</f>
        <v>Self-Employed / Non-Employer:Support</v>
      </c>
      <c r="C35" s="37" t="n">
        <f aca="false">'LSD.RID.0.AL.CALC'!T36</f>
        <v>0.042</v>
      </c>
      <c r="D35" s="37" t="n">
        <f aca="false">'LSD.RID.0.AL.CALC'!U36</f>
        <v>0.05</v>
      </c>
      <c r="E35" s="37" t="n">
        <f aca="false">'LSD.RID.0.AL.CALC'!V36</f>
        <v>0.084</v>
      </c>
      <c r="F35" s="37" t="n">
        <f aca="false">'LSD.RID.0.AL.CALC'!W36</f>
        <v>0.041</v>
      </c>
    </row>
    <row r="36" customFormat="false" ht="12.8" hidden="false" customHeight="false" outlineLevel="0" collapsed="false">
      <c r="A36" s="12" t="str">
        <f aca="false">_xlfn.CONCAT($A$1, ".", 'LSD.RID.0.AL.CALC'!A37)</f>
        <v>AL.U6R.33</v>
      </c>
      <c r="B36" s="33" t="str">
        <f aca="false">_xlfn.CONCAT('LSD.RID.0.AL.CALC'!B37, ":", 'LSD.RID.0.AL.CALC'!C37)</f>
        <v>Other Services:Worker</v>
      </c>
      <c r="C36" s="37" t="n">
        <f aca="false">'LSD.RID.0.AL.CALC'!T37</f>
        <v>0.076</v>
      </c>
      <c r="D36" s="37" t="n">
        <f aca="false">'LSD.RID.0.AL.CALC'!U37</f>
        <v>0.1</v>
      </c>
      <c r="E36" s="37" t="n">
        <f aca="false">'LSD.RID.0.AL.CALC'!V37</f>
        <v>0.17</v>
      </c>
      <c r="F36" s="37" t="n">
        <f aca="false">'LSD.RID.0.AL.CALC'!W37</f>
        <v>0.073</v>
      </c>
    </row>
    <row r="37" customFormat="false" ht="12.8" hidden="false" customHeight="false" outlineLevel="0" collapsed="false">
      <c r="A37" s="12" t="str">
        <f aca="false">_xlfn.CONCAT($A$1, ".", 'LSD.RID.0.AL.CALC'!A38)</f>
        <v>AL.U6R.34</v>
      </c>
      <c r="B37" s="33" t="str">
        <f aca="false">_xlfn.CONCAT('LSD.RID.0.AL.CALC'!B38, ":", 'LSD.RID.0.AL.CALC'!C38)</f>
        <v>Other Services:Support</v>
      </c>
      <c r="C37" s="37" t="n">
        <f aca="false">'LSD.RID.0.AL.CALC'!T38</f>
        <v>0.076</v>
      </c>
      <c r="D37" s="37" t="n">
        <f aca="false">'LSD.RID.0.AL.CALC'!U38</f>
        <v>0.1</v>
      </c>
      <c r="E37" s="37" t="n">
        <f aca="false">'LSD.RID.0.AL.CALC'!V38</f>
        <v>0.17</v>
      </c>
      <c r="F37" s="37" t="n">
        <f aca="false">'LSD.RID.0.AL.CALC'!W38</f>
        <v>0.073</v>
      </c>
    </row>
    <row r="131" customFormat="false" ht="12.8" hidden="false" customHeight="false" outlineLevel="0" collapsed="false">
      <c r="A131" s="4" t="s">
        <v>992</v>
      </c>
      <c r="B131" s="23" t="s">
        <v>993</v>
      </c>
      <c r="C131" s="31" t="s">
        <v>991</v>
      </c>
    </row>
    <row r="132" customFormat="false" ht="12.8" hidden="false" customHeight="false" outlineLevel="0" collapsed="false">
      <c r="A132" s="4" t="s">
        <v>22</v>
      </c>
      <c r="B132" s="21" t="s">
        <v>979</v>
      </c>
      <c r="C132" s="28" t="e">
        <f aca="false">#REF!</f>
        <v>#REF!</v>
      </c>
      <c r="D132" s="28" t="e">
        <f aca="false">#REF!</f>
        <v>#REF!</v>
      </c>
      <c r="E132" s="28" t="e">
        <f aca="false">#REF!</f>
        <v>#REF!</v>
      </c>
      <c r="F132" s="28" t="e">
        <f aca="false">#REF!</f>
        <v>#REF!</v>
      </c>
    </row>
    <row r="133" customFormat="false" ht="12.8" hidden="false" customHeight="false" outlineLevel="0" collapsed="false">
      <c r="A133" s="1" t="e">
        <f aca="false">_xlfn.CONCAT($A$131, ".", #REF!)</f>
        <v>#REF!</v>
      </c>
      <c r="B133" s="16" t="e">
        <f aca="false">_xlfn.CONCAT(#REF!, ": ", #REF!)</f>
        <v>#REF!</v>
      </c>
      <c r="C133" s="37" t="e">
        <f aca="false">#REF!</f>
        <v>#REF!</v>
      </c>
      <c r="D133" s="37" t="e">
        <f aca="false">#REF!</f>
        <v>#REF!</v>
      </c>
      <c r="E133" s="37" t="e">
        <f aca="false">#REF!</f>
        <v>#REF!</v>
      </c>
      <c r="F133" s="37" t="e">
        <f aca="false">#REF!</f>
        <v>#REF!</v>
      </c>
    </row>
    <row r="134" customFormat="false" ht="12.8" hidden="false" customHeight="false" outlineLevel="0" collapsed="false">
      <c r="A134" s="1" t="e">
        <f aca="false">_xlfn.CONCAT($A$131, ".", #REF!)</f>
        <v>#REF!</v>
      </c>
      <c r="B134" s="18" t="e">
        <f aca="false">_xlfn.CONCAT(#REF!, ": ", #REF!)</f>
        <v>#REF!</v>
      </c>
      <c r="C134" s="37" t="e">
        <f aca="false">#REF!</f>
        <v>#REF!</v>
      </c>
      <c r="D134" s="37" t="e">
        <f aca="false">#REF!</f>
        <v>#REF!</v>
      </c>
      <c r="E134" s="37" t="e">
        <f aca="false">#REF!</f>
        <v>#REF!</v>
      </c>
      <c r="F134" s="37" t="e">
        <f aca="false">#REF!</f>
        <v>#REF!</v>
      </c>
    </row>
    <row r="135" customFormat="false" ht="12.8" hidden="false" customHeight="false" outlineLevel="0" collapsed="false">
      <c r="A135" s="1" t="e">
        <f aca="false">_xlfn.CONCAT($A$131, ".", #REF!)</f>
        <v>#REF!</v>
      </c>
      <c r="B135" s="18" t="e">
        <f aca="false">_xlfn.CONCAT(#REF!, ": ", #REF!)</f>
        <v>#REF!</v>
      </c>
      <c r="C135" s="37" t="e">
        <f aca="false">#REF!</f>
        <v>#REF!</v>
      </c>
      <c r="D135" s="37" t="e">
        <f aca="false">#REF!</f>
        <v>#REF!</v>
      </c>
      <c r="E135" s="37" t="e">
        <f aca="false">#REF!</f>
        <v>#REF!</v>
      </c>
      <c r="F135" s="37" t="e">
        <f aca="false">#REF!</f>
        <v>#REF!</v>
      </c>
    </row>
    <row r="136" customFormat="false" ht="12.8" hidden="false" customHeight="false" outlineLevel="0" collapsed="false">
      <c r="A136" s="1" t="e">
        <f aca="false">_xlfn.CONCAT($A$131, ".", #REF!)</f>
        <v>#REF!</v>
      </c>
      <c r="B136" s="18" t="e">
        <f aca="false">_xlfn.CONCAT(#REF!, ": ", #REF!)</f>
        <v>#REF!</v>
      </c>
      <c r="C136" s="37" t="e">
        <f aca="false">#REF!</f>
        <v>#REF!</v>
      </c>
      <c r="D136" s="37" t="e">
        <f aca="false">#REF!</f>
        <v>#REF!</v>
      </c>
      <c r="E136" s="37" t="e">
        <f aca="false">#REF!</f>
        <v>#REF!</v>
      </c>
      <c r="F136" s="37" t="e">
        <f aca="false">#REF!</f>
        <v>#REF!</v>
      </c>
    </row>
    <row r="137" customFormat="false" ht="12.8" hidden="false" customHeight="false" outlineLevel="0" collapsed="false">
      <c r="A137" s="1" t="e">
        <f aca="false">_xlfn.CONCAT($A$131, ".", #REF!)</f>
        <v>#REF!</v>
      </c>
      <c r="B137" s="18" t="e">
        <f aca="false">_xlfn.CONCAT(#REF!, ": ", #REF!)</f>
        <v>#REF!</v>
      </c>
      <c r="C137" s="37" t="e">
        <f aca="false">#REF!</f>
        <v>#REF!</v>
      </c>
      <c r="D137" s="37" t="e">
        <f aca="false">#REF!</f>
        <v>#REF!</v>
      </c>
      <c r="E137" s="37" t="e">
        <f aca="false">#REF!</f>
        <v>#REF!</v>
      </c>
      <c r="F137" s="37" t="e">
        <f aca="false">#REF!</f>
        <v>#REF!</v>
      </c>
    </row>
    <row r="138" customFormat="false" ht="12.8" hidden="false" customHeight="false" outlineLevel="0" collapsed="false">
      <c r="A138" s="1" t="e">
        <f aca="false">_xlfn.CONCAT($A$131, ".", #REF!)</f>
        <v>#REF!</v>
      </c>
      <c r="B138" s="18" t="e">
        <f aca="false">_xlfn.CONCAT(#REF!, ": ", #REF!)</f>
        <v>#REF!</v>
      </c>
      <c r="C138" s="37" t="e">
        <f aca="false">#REF!</f>
        <v>#REF!</v>
      </c>
      <c r="D138" s="37" t="e">
        <f aca="false">#REF!</f>
        <v>#REF!</v>
      </c>
      <c r="E138" s="37" t="e">
        <f aca="false">#REF!</f>
        <v>#REF!</v>
      </c>
      <c r="F138" s="37" t="e">
        <f aca="false">#REF!</f>
        <v>#REF!</v>
      </c>
    </row>
    <row r="139" customFormat="false" ht="12.8" hidden="false" customHeight="false" outlineLevel="0" collapsed="false">
      <c r="A139" s="1" t="e">
        <f aca="false">_xlfn.CONCAT($A$131, ".", #REF!)</f>
        <v>#REF!</v>
      </c>
      <c r="B139" s="18" t="e">
        <f aca="false">_xlfn.CONCAT(#REF!, ": ", #REF!)</f>
        <v>#REF!</v>
      </c>
      <c r="C139" s="37" t="e">
        <f aca="false">#REF!</f>
        <v>#REF!</v>
      </c>
      <c r="D139" s="37" t="e">
        <f aca="false">#REF!</f>
        <v>#REF!</v>
      </c>
      <c r="E139" s="37" t="e">
        <f aca="false">#REF!</f>
        <v>#REF!</v>
      </c>
      <c r="F139" s="37" t="e">
        <f aca="false">#REF!</f>
        <v>#REF!</v>
      </c>
    </row>
    <row r="140" customFormat="false" ht="12.8" hidden="false" customHeight="false" outlineLevel="0" collapsed="false">
      <c r="A140" s="1" t="e">
        <f aca="false">_xlfn.CONCAT($A$131, ".", #REF!)</f>
        <v>#REF!</v>
      </c>
      <c r="B140" s="18" t="e">
        <f aca="false">_xlfn.CONCAT(#REF!, ": ", #REF!)</f>
        <v>#REF!</v>
      </c>
      <c r="C140" s="37" t="e">
        <f aca="false">#REF!</f>
        <v>#REF!</v>
      </c>
      <c r="D140" s="37" t="e">
        <f aca="false">#REF!</f>
        <v>#REF!</v>
      </c>
      <c r="E140" s="37" t="e">
        <f aca="false">#REF!</f>
        <v>#REF!</v>
      </c>
      <c r="F140" s="37" t="e">
        <f aca="false">#REF!</f>
        <v>#REF!</v>
      </c>
    </row>
    <row r="141" customFormat="false" ht="12.8" hidden="false" customHeight="false" outlineLevel="0" collapsed="false">
      <c r="A141" s="1" t="e">
        <f aca="false">_xlfn.CONCAT($A$131, ".", #REF!)</f>
        <v>#REF!</v>
      </c>
      <c r="B141" s="18" t="e">
        <f aca="false">_xlfn.CONCAT(#REF!, ": ", #REF!)</f>
        <v>#REF!</v>
      </c>
      <c r="C141" s="37" t="e">
        <f aca="false">#REF!</f>
        <v>#REF!</v>
      </c>
      <c r="D141" s="37" t="e">
        <f aca="false">#REF!</f>
        <v>#REF!</v>
      </c>
      <c r="E141" s="37" t="e">
        <f aca="false">#REF!</f>
        <v>#REF!</v>
      </c>
      <c r="F141" s="37" t="e">
        <f aca="false">#REF!</f>
        <v>#REF!</v>
      </c>
    </row>
    <row r="142" customFormat="false" ht="12.8" hidden="false" customHeight="false" outlineLevel="0" collapsed="false">
      <c r="A142" s="1" t="e">
        <f aca="false">_xlfn.CONCAT($A$131, ".", #REF!)</f>
        <v>#REF!</v>
      </c>
      <c r="B142" s="18" t="e">
        <f aca="false">_xlfn.CONCAT(#REF!, ": ", #REF!)</f>
        <v>#REF!</v>
      </c>
      <c r="C142" s="37" t="e">
        <f aca="false">#REF!</f>
        <v>#REF!</v>
      </c>
      <c r="D142" s="37" t="e">
        <f aca="false">#REF!</f>
        <v>#REF!</v>
      </c>
      <c r="E142" s="37" t="e">
        <f aca="false">#REF!</f>
        <v>#REF!</v>
      </c>
      <c r="F142" s="37" t="e">
        <f aca="false">#REF!</f>
        <v>#REF!</v>
      </c>
    </row>
    <row r="143" customFormat="false" ht="12.8" hidden="false" customHeight="false" outlineLevel="0" collapsed="false">
      <c r="A143" s="1" t="e">
        <f aca="false">_xlfn.CONCAT($A$131, ".", #REF!)</f>
        <v>#REF!</v>
      </c>
      <c r="B143" s="18" t="e">
        <f aca="false">_xlfn.CONCAT(#REF!, ": ", #REF!)</f>
        <v>#REF!</v>
      </c>
      <c r="C143" s="37" t="e">
        <f aca="false">#REF!</f>
        <v>#REF!</v>
      </c>
      <c r="D143" s="37" t="e">
        <f aca="false">#REF!</f>
        <v>#REF!</v>
      </c>
      <c r="E143" s="37" t="e">
        <f aca="false">#REF!</f>
        <v>#REF!</v>
      </c>
      <c r="F143" s="37" t="e">
        <f aca="false">#REF!</f>
        <v>#REF!</v>
      </c>
    </row>
    <row r="144" customFormat="false" ht="12.8" hidden="false" customHeight="false" outlineLevel="0" collapsed="false">
      <c r="A144" s="1" t="e">
        <f aca="false">_xlfn.CONCAT($A$131, ".", #REF!)</f>
        <v>#REF!</v>
      </c>
      <c r="B144" s="18" t="e">
        <f aca="false">_xlfn.CONCAT(#REF!, ": ", #REF!)</f>
        <v>#REF!</v>
      </c>
      <c r="C144" s="37" t="e">
        <f aca="false">#REF!</f>
        <v>#REF!</v>
      </c>
      <c r="D144" s="37" t="e">
        <f aca="false">#REF!</f>
        <v>#REF!</v>
      </c>
      <c r="E144" s="37" t="e">
        <f aca="false">#REF!</f>
        <v>#REF!</v>
      </c>
      <c r="F144" s="37" t="e">
        <f aca="false">#REF!</f>
        <v>#REF!</v>
      </c>
    </row>
    <row r="145" customFormat="false" ht="12.8" hidden="false" customHeight="false" outlineLevel="0" collapsed="false">
      <c r="A145" s="1" t="e">
        <f aca="false">_xlfn.CONCAT($A$131, ".", #REF!)</f>
        <v>#REF!</v>
      </c>
      <c r="B145" s="18" t="e">
        <f aca="false">_xlfn.CONCAT(#REF!, ": ", #REF!)</f>
        <v>#REF!</v>
      </c>
      <c r="C145" s="37" t="e">
        <f aca="false">#REF!</f>
        <v>#REF!</v>
      </c>
      <c r="D145" s="37" t="e">
        <f aca="false">#REF!</f>
        <v>#REF!</v>
      </c>
      <c r="E145" s="37" t="e">
        <f aca="false">#REF!</f>
        <v>#REF!</v>
      </c>
      <c r="F145" s="37" t="e">
        <f aca="false">#REF!</f>
        <v>#REF!</v>
      </c>
    </row>
    <row r="146" customFormat="false" ht="12.8" hidden="false" customHeight="false" outlineLevel="0" collapsed="false">
      <c r="A146" s="1" t="e">
        <f aca="false">_xlfn.CONCAT($A$131, ".", #REF!)</f>
        <v>#REF!</v>
      </c>
      <c r="B146" s="18" t="e">
        <f aca="false">_xlfn.CONCAT(#REF!, ": ", #REF!)</f>
        <v>#REF!</v>
      </c>
      <c r="C146" s="37" t="e">
        <f aca="false">#REF!</f>
        <v>#REF!</v>
      </c>
      <c r="D146" s="37" t="e">
        <f aca="false">#REF!</f>
        <v>#REF!</v>
      </c>
      <c r="E146" s="37" t="e">
        <f aca="false">#REF!</f>
        <v>#REF!</v>
      </c>
      <c r="F146" s="37" t="e">
        <f aca="false">#REF!</f>
        <v>#REF!</v>
      </c>
    </row>
    <row r="147" customFormat="false" ht="12.8" hidden="false" customHeight="false" outlineLevel="0" collapsed="false">
      <c r="A147" s="1" t="e">
        <f aca="false">_xlfn.CONCAT($A$131, ".", #REF!)</f>
        <v>#REF!</v>
      </c>
      <c r="B147" s="18" t="e">
        <f aca="false">_xlfn.CONCAT(#REF!, ": ", #REF!)</f>
        <v>#REF!</v>
      </c>
      <c r="C147" s="37" t="e">
        <f aca="false">#REF!</f>
        <v>#REF!</v>
      </c>
      <c r="D147" s="37" t="e">
        <f aca="false">#REF!</f>
        <v>#REF!</v>
      </c>
      <c r="E147" s="37" t="e">
        <f aca="false">#REF!</f>
        <v>#REF!</v>
      </c>
      <c r="F147" s="37" t="e">
        <f aca="false">#REF!</f>
        <v>#REF!</v>
      </c>
    </row>
    <row r="148" customFormat="false" ht="12.8" hidden="false" customHeight="false" outlineLevel="0" collapsed="false">
      <c r="A148" s="1" t="e">
        <f aca="false">_xlfn.CONCAT($A$131, ".", #REF!)</f>
        <v>#REF!</v>
      </c>
      <c r="B148" s="18" t="e">
        <f aca="false">_xlfn.CONCAT(#REF!, ": ", #REF!)</f>
        <v>#REF!</v>
      </c>
      <c r="C148" s="37" t="e">
        <f aca="false">#REF!</f>
        <v>#REF!</v>
      </c>
      <c r="D148" s="37" t="e">
        <f aca="false">#REF!</f>
        <v>#REF!</v>
      </c>
      <c r="E148" s="37" t="e">
        <f aca="false">#REF!</f>
        <v>#REF!</v>
      </c>
      <c r="F148" s="37" t="e">
        <f aca="false">#REF!</f>
        <v>#REF!</v>
      </c>
    </row>
    <row r="149" customFormat="false" ht="12.8" hidden="false" customHeight="false" outlineLevel="0" collapsed="false">
      <c r="A149" s="1" t="e">
        <f aca="false">_xlfn.CONCAT($A$131, ".", #REF!)</f>
        <v>#REF!</v>
      </c>
      <c r="B149" s="18" t="e">
        <f aca="false">_xlfn.CONCAT(#REF!, ": ", #REF!)</f>
        <v>#REF!</v>
      </c>
      <c r="C149" s="37" t="e">
        <f aca="false">#REF!</f>
        <v>#REF!</v>
      </c>
      <c r="D149" s="37" t="e">
        <f aca="false">#REF!</f>
        <v>#REF!</v>
      </c>
      <c r="E149" s="37" t="e">
        <f aca="false">#REF!</f>
        <v>#REF!</v>
      </c>
      <c r="F149" s="37" t="e">
        <f aca="false">#REF!</f>
        <v>#REF!</v>
      </c>
    </row>
    <row r="150" customFormat="false" ht="12.8" hidden="false" customHeight="false" outlineLevel="0" collapsed="false">
      <c r="A150" s="1" t="e">
        <f aca="false">_xlfn.CONCAT($A$131, ".", #REF!)</f>
        <v>#REF!</v>
      </c>
      <c r="B150" s="18" t="e">
        <f aca="false">_xlfn.CONCAT(#REF!, ": ", #REF!)</f>
        <v>#REF!</v>
      </c>
      <c r="C150" s="37" t="e">
        <f aca="false">#REF!</f>
        <v>#REF!</v>
      </c>
      <c r="D150" s="37" t="e">
        <f aca="false">#REF!</f>
        <v>#REF!</v>
      </c>
      <c r="E150" s="37" t="e">
        <f aca="false">#REF!</f>
        <v>#REF!</v>
      </c>
      <c r="F150" s="37" t="e">
        <f aca="false">#REF!</f>
        <v>#REF!</v>
      </c>
    </row>
    <row r="151" customFormat="false" ht="12.8" hidden="false" customHeight="false" outlineLevel="0" collapsed="false">
      <c r="A151" s="1" t="e">
        <f aca="false">_xlfn.CONCAT($A$131, ".", #REF!)</f>
        <v>#REF!</v>
      </c>
      <c r="B151" s="18" t="e">
        <f aca="false">_xlfn.CONCAT(#REF!, ": ", #REF!)</f>
        <v>#REF!</v>
      </c>
      <c r="C151" s="37" t="e">
        <f aca="false">#REF!</f>
        <v>#REF!</v>
      </c>
      <c r="D151" s="37" t="e">
        <f aca="false">#REF!</f>
        <v>#REF!</v>
      </c>
      <c r="E151" s="37" t="e">
        <f aca="false">#REF!</f>
        <v>#REF!</v>
      </c>
      <c r="F151" s="37" t="e">
        <f aca="false">#REF!</f>
        <v>#REF!</v>
      </c>
    </row>
    <row r="152" customFormat="false" ht="12.8" hidden="false" customHeight="false" outlineLevel="0" collapsed="false">
      <c r="A152" s="1" t="e">
        <f aca="false">_xlfn.CONCAT($A$131, ".", #REF!)</f>
        <v>#REF!</v>
      </c>
      <c r="B152" s="18" t="e">
        <f aca="false">_xlfn.CONCAT(#REF!, ": ", #REF!)</f>
        <v>#REF!</v>
      </c>
      <c r="C152" s="37" t="e">
        <f aca="false">#REF!</f>
        <v>#REF!</v>
      </c>
      <c r="D152" s="37" t="e">
        <f aca="false">#REF!</f>
        <v>#REF!</v>
      </c>
      <c r="E152" s="37" t="e">
        <f aca="false">#REF!</f>
        <v>#REF!</v>
      </c>
      <c r="F152" s="37" t="e">
        <f aca="false">#REF!</f>
        <v>#REF!</v>
      </c>
    </row>
    <row r="153" customFormat="false" ht="12.8" hidden="false" customHeight="false" outlineLevel="0" collapsed="false">
      <c r="A153" s="1" t="e">
        <f aca="false">_xlfn.CONCAT($A$131, ".", #REF!)</f>
        <v>#REF!</v>
      </c>
      <c r="B153" s="18" t="e">
        <f aca="false">_xlfn.CONCAT(#REF!, ": ", #REF!)</f>
        <v>#REF!</v>
      </c>
      <c r="C153" s="37" t="e">
        <f aca="false">#REF!</f>
        <v>#REF!</v>
      </c>
      <c r="D153" s="37" t="e">
        <f aca="false">#REF!</f>
        <v>#REF!</v>
      </c>
      <c r="E153" s="37" t="e">
        <f aca="false">#REF!</f>
        <v>#REF!</v>
      </c>
      <c r="F153" s="37" t="e">
        <f aca="false">#REF!</f>
        <v>#REF!</v>
      </c>
    </row>
    <row r="154" customFormat="false" ht="12.8" hidden="false" customHeight="false" outlineLevel="0" collapsed="false">
      <c r="A154" s="1" t="e">
        <f aca="false">_xlfn.CONCAT($A$131, ".", #REF!)</f>
        <v>#REF!</v>
      </c>
      <c r="B154" s="18" t="e">
        <f aca="false">_xlfn.CONCAT(#REF!, ": ", #REF!)</f>
        <v>#REF!</v>
      </c>
      <c r="C154" s="37" t="e">
        <f aca="false">#REF!</f>
        <v>#REF!</v>
      </c>
      <c r="D154" s="37" t="e">
        <f aca="false">#REF!</f>
        <v>#REF!</v>
      </c>
      <c r="E154" s="37" t="e">
        <f aca="false">#REF!</f>
        <v>#REF!</v>
      </c>
      <c r="F154" s="37" t="e">
        <f aca="false">#REF!</f>
        <v>#REF!</v>
      </c>
    </row>
    <row r="155" customFormat="false" ht="12.8" hidden="false" customHeight="false" outlineLevel="0" collapsed="false">
      <c r="A155" s="1" t="e">
        <f aca="false">_xlfn.CONCAT($A$131, ".", #REF!)</f>
        <v>#REF!</v>
      </c>
      <c r="B155" s="18" t="e">
        <f aca="false">_xlfn.CONCAT(#REF!, ": ", #REF!)</f>
        <v>#REF!</v>
      </c>
      <c r="C155" s="37" t="e">
        <f aca="false">#REF!</f>
        <v>#REF!</v>
      </c>
      <c r="D155" s="37" t="e">
        <f aca="false">#REF!</f>
        <v>#REF!</v>
      </c>
      <c r="E155" s="37" t="e">
        <f aca="false">#REF!</f>
        <v>#REF!</v>
      </c>
      <c r="F155" s="37" t="e">
        <f aca="false">#REF!</f>
        <v>#REF!</v>
      </c>
    </row>
    <row r="156" customFormat="false" ht="12.8" hidden="false" customHeight="false" outlineLevel="0" collapsed="false">
      <c r="A156" s="1" t="e">
        <f aca="false">_xlfn.CONCAT($A$131, ".", #REF!)</f>
        <v>#REF!</v>
      </c>
      <c r="B156" s="18" t="e">
        <f aca="false">_xlfn.CONCAT(#REF!, ": ", #REF!)</f>
        <v>#REF!</v>
      </c>
      <c r="C156" s="37" t="e">
        <f aca="false">#REF!</f>
        <v>#REF!</v>
      </c>
      <c r="D156" s="37" t="e">
        <f aca="false">#REF!</f>
        <v>#REF!</v>
      </c>
      <c r="E156" s="37" t="e">
        <f aca="false">#REF!</f>
        <v>#REF!</v>
      </c>
      <c r="F156" s="37" t="e">
        <f aca="false">#REF!</f>
        <v>#REF!</v>
      </c>
    </row>
    <row r="157" customFormat="false" ht="12.8" hidden="false" customHeight="false" outlineLevel="0" collapsed="false">
      <c r="A157" s="1" t="e">
        <f aca="false">_xlfn.CONCAT($A$131, ".", #REF!)</f>
        <v>#REF!</v>
      </c>
      <c r="B157" s="18" t="e">
        <f aca="false">_xlfn.CONCAT(#REF!, ": ", #REF!)</f>
        <v>#REF!</v>
      </c>
      <c r="C157" s="37" t="e">
        <f aca="false">#REF!</f>
        <v>#REF!</v>
      </c>
      <c r="D157" s="37" t="e">
        <f aca="false">#REF!</f>
        <v>#REF!</v>
      </c>
      <c r="E157" s="37" t="e">
        <f aca="false">#REF!</f>
        <v>#REF!</v>
      </c>
      <c r="F157" s="37" t="e">
        <f aca="false">#REF!</f>
        <v>#REF!</v>
      </c>
    </row>
    <row r="158" customFormat="false" ht="12.8" hidden="false" customHeight="false" outlineLevel="0" collapsed="false">
      <c r="A158" s="1" t="e">
        <f aca="false">_xlfn.CONCAT($A$131, ".", #REF!)</f>
        <v>#REF!</v>
      </c>
      <c r="B158" s="18" t="e">
        <f aca="false">_xlfn.CONCAT(#REF!, ": ", #REF!)</f>
        <v>#REF!</v>
      </c>
      <c r="C158" s="37" t="e">
        <f aca="false">#REF!</f>
        <v>#REF!</v>
      </c>
      <c r="D158" s="37" t="e">
        <f aca="false">#REF!</f>
        <v>#REF!</v>
      </c>
      <c r="E158" s="37" t="e">
        <f aca="false">#REF!</f>
        <v>#REF!</v>
      </c>
      <c r="F158" s="37" t="e">
        <f aca="false">#REF!</f>
        <v>#REF!</v>
      </c>
    </row>
    <row r="159" customFormat="false" ht="12.8" hidden="false" customHeight="false" outlineLevel="0" collapsed="false">
      <c r="A159" s="1" t="e">
        <f aca="false">_xlfn.CONCAT($A$131, ".", #REF!)</f>
        <v>#REF!</v>
      </c>
      <c r="B159" s="18" t="e">
        <f aca="false">_xlfn.CONCAT(#REF!, ": ", #REF!)</f>
        <v>#REF!</v>
      </c>
      <c r="C159" s="37" t="e">
        <f aca="false">#REF!</f>
        <v>#REF!</v>
      </c>
      <c r="D159" s="37" t="e">
        <f aca="false">#REF!</f>
        <v>#REF!</v>
      </c>
      <c r="E159" s="37" t="e">
        <f aca="false">#REF!</f>
        <v>#REF!</v>
      </c>
      <c r="F159" s="37" t="e">
        <f aca="false">#REF!</f>
        <v>#REF!</v>
      </c>
    </row>
    <row r="160" customFormat="false" ht="12.8" hidden="false" customHeight="false" outlineLevel="0" collapsed="false">
      <c r="A160" s="1" t="e">
        <f aca="false">_xlfn.CONCAT($A$131, ".", #REF!)</f>
        <v>#REF!</v>
      </c>
      <c r="B160" s="18" t="e">
        <f aca="false">_xlfn.CONCAT(#REF!, ": ", #REF!)</f>
        <v>#REF!</v>
      </c>
      <c r="C160" s="37" t="e">
        <f aca="false">#REF!</f>
        <v>#REF!</v>
      </c>
      <c r="D160" s="37" t="e">
        <f aca="false">#REF!</f>
        <v>#REF!</v>
      </c>
      <c r="E160" s="37" t="e">
        <f aca="false">#REF!</f>
        <v>#REF!</v>
      </c>
      <c r="F160" s="37" t="e">
        <f aca="false">#REF!</f>
        <v>#REF!</v>
      </c>
    </row>
    <row r="161" customFormat="false" ht="12.8" hidden="false" customHeight="false" outlineLevel="0" collapsed="false">
      <c r="A161" s="1" t="e">
        <f aca="false">_xlfn.CONCAT($A$131, ".", #REF!)</f>
        <v>#REF!</v>
      </c>
      <c r="B161" s="18" t="e">
        <f aca="false">_xlfn.CONCAT(#REF!, ": ", #REF!)</f>
        <v>#REF!</v>
      </c>
      <c r="C161" s="37" t="e">
        <f aca="false">#REF!</f>
        <v>#REF!</v>
      </c>
      <c r="D161" s="37" t="e">
        <f aca="false">#REF!</f>
        <v>#REF!</v>
      </c>
      <c r="E161" s="37" t="e">
        <f aca="false">#REF!</f>
        <v>#REF!</v>
      </c>
      <c r="F161" s="37" t="e">
        <f aca="false">#REF!</f>
        <v>#REF!</v>
      </c>
    </row>
    <row r="162" customFormat="false" ht="12.8" hidden="false" customHeight="false" outlineLevel="0" collapsed="false">
      <c r="A162" s="1" t="e">
        <f aca="false">_xlfn.CONCAT($A$131, ".", #REF!)</f>
        <v>#REF!</v>
      </c>
      <c r="B162" s="18" t="e">
        <f aca="false">_xlfn.CONCAT(#REF!, ": ", #REF!)</f>
        <v>#REF!</v>
      </c>
      <c r="C162" s="37" t="e">
        <f aca="false">#REF!</f>
        <v>#REF!</v>
      </c>
      <c r="D162" s="37" t="e">
        <f aca="false">#REF!</f>
        <v>#REF!</v>
      </c>
      <c r="E162" s="37" t="e">
        <f aca="false">#REF!</f>
        <v>#REF!</v>
      </c>
      <c r="F162" s="37" t="e">
        <f aca="false">#REF!</f>
        <v>#REF!</v>
      </c>
    </row>
    <row r="163" customFormat="false" ht="12.8" hidden="false" customHeight="false" outlineLevel="0" collapsed="false">
      <c r="A163" s="1" t="e">
        <f aca="false">_xlfn.CONCAT($A$131, ".", #REF!)</f>
        <v>#REF!</v>
      </c>
      <c r="B163" s="18" t="e">
        <f aca="false">_xlfn.CONCAT(#REF!, ": ", #REF!)</f>
        <v>#REF!</v>
      </c>
      <c r="C163" s="37" t="e">
        <f aca="false">#REF!</f>
        <v>#REF!</v>
      </c>
      <c r="D163" s="37" t="e">
        <f aca="false">#REF!</f>
        <v>#REF!</v>
      </c>
      <c r="E163" s="37" t="e">
        <f aca="false">#REF!</f>
        <v>#REF!</v>
      </c>
      <c r="F163" s="37" t="e">
        <f aca="false">#REF!</f>
        <v>#REF!</v>
      </c>
    </row>
    <row r="164" customFormat="false" ht="12.8" hidden="false" customHeight="false" outlineLevel="0" collapsed="false">
      <c r="A164" s="1"/>
      <c r="B164" s="18"/>
      <c r="C164" s="37"/>
      <c r="D164" s="37"/>
      <c r="E164" s="37"/>
      <c r="F164" s="37"/>
    </row>
    <row r="165" customFormat="false" ht="12.8" hidden="false" customHeight="false" outlineLevel="0" collapsed="false">
      <c r="A165" s="1"/>
      <c r="B165" s="18"/>
      <c r="C165" s="37"/>
      <c r="D165" s="37"/>
      <c r="E165" s="37"/>
      <c r="F165" s="37"/>
    </row>
    <row r="166" customFormat="false" ht="12.8" hidden="false" customHeight="false" outlineLevel="0" collapsed="false">
      <c r="A166" s="1"/>
      <c r="B166" s="18"/>
      <c r="C166" s="37"/>
      <c r="D166" s="37"/>
      <c r="E166" s="37"/>
      <c r="F166" s="37"/>
    </row>
    <row r="167" customFormat="false" ht="12.8" hidden="false" customHeight="false" outlineLevel="0" collapsed="false">
      <c r="A167" s="1"/>
      <c r="B167" s="18"/>
      <c r="C167" s="37"/>
      <c r="D167" s="37"/>
      <c r="E167" s="37"/>
      <c r="F167" s="37"/>
    </row>
    <row r="168" customFormat="false" ht="12.8" hidden="false" customHeight="false" outlineLevel="0" collapsed="false">
      <c r="A168" s="1"/>
      <c r="B168" s="18"/>
      <c r="C168" s="37"/>
      <c r="D168" s="37"/>
      <c r="E168" s="37"/>
      <c r="F168" s="37"/>
    </row>
    <row r="169" customFormat="false" ht="12.8" hidden="false" customHeight="false" outlineLevel="0" collapsed="false">
      <c r="A169" s="1"/>
      <c r="B169" s="18"/>
      <c r="C169" s="37"/>
      <c r="D169" s="37"/>
      <c r="E169" s="37"/>
      <c r="F169" s="37"/>
    </row>
    <row r="170" customFormat="false" ht="12.8" hidden="false" customHeight="false" outlineLevel="0" collapsed="false">
      <c r="A170" s="1"/>
      <c r="B170" s="18"/>
      <c r="C170" s="37"/>
      <c r="D170" s="37"/>
      <c r="E170" s="37"/>
      <c r="F170" s="37"/>
    </row>
    <row r="171" customFormat="false" ht="12.8" hidden="false" customHeight="false" outlineLevel="0" collapsed="false">
      <c r="A171" s="1"/>
      <c r="B171" s="18"/>
      <c r="C171" s="37"/>
      <c r="D171" s="37"/>
      <c r="E171" s="37"/>
      <c r="F171" s="37"/>
    </row>
    <row r="172" customFormat="false" ht="12.8" hidden="false" customHeight="false" outlineLevel="0" collapsed="false">
      <c r="A172" s="1"/>
      <c r="B172" s="18"/>
      <c r="C172" s="37"/>
      <c r="D172" s="37"/>
      <c r="E172" s="37"/>
      <c r="F172" s="37"/>
    </row>
    <row r="173" customFormat="false" ht="12.8" hidden="false" customHeight="false" outlineLevel="0" collapsed="false">
      <c r="A173" s="1"/>
      <c r="B173" s="18"/>
      <c r="C173" s="37"/>
      <c r="D173" s="37"/>
      <c r="E173" s="37"/>
      <c r="F173" s="37"/>
    </row>
    <row r="174" customFormat="false" ht="12.8" hidden="false" customHeight="false" outlineLevel="0" collapsed="false">
      <c r="A174" s="1"/>
      <c r="B174" s="18"/>
      <c r="C174" s="37"/>
      <c r="D174" s="37"/>
      <c r="E174" s="37"/>
      <c r="F174" s="37"/>
    </row>
    <row r="175" customFormat="false" ht="12.8" hidden="false" customHeight="false" outlineLevel="0" collapsed="false">
      <c r="A175" s="1"/>
      <c r="B175" s="18"/>
      <c r="C175" s="37"/>
      <c r="D175" s="37"/>
      <c r="E175" s="37"/>
      <c r="F175" s="37"/>
    </row>
    <row r="176" customFormat="false" ht="12.8" hidden="false" customHeight="false" outlineLevel="0" collapsed="false">
      <c r="A176" s="1"/>
      <c r="B176" s="18"/>
      <c r="C176" s="37"/>
      <c r="D176" s="37"/>
      <c r="E176" s="37"/>
      <c r="F176" s="37"/>
    </row>
    <row r="177" customFormat="false" ht="12.8" hidden="false" customHeight="false" outlineLevel="0" collapsed="false">
      <c r="A177" s="1"/>
      <c r="B177" s="18"/>
      <c r="C177" s="37"/>
      <c r="D177" s="37"/>
      <c r="E177" s="37"/>
      <c r="F177" s="37"/>
    </row>
    <row r="178" customFormat="false" ht="12.8" hidden="false" customHeight="false" outlineLevel="0" collapsed="false">
      <c r="A178" s="1"/>
      <c r="B178" s="18"/>
      <c r="C178" s="37"/>
      <c r="D178" s="37"/>
      <c r="E178" s="37"/>
      <c r="F178" s="37"/>
    </row>
    <row r="179" customFormat="false" ht="12.8" hidden="false" customHeight="false" outlineLevel="0" collapsed="false">
      <c r="A179" s="1"/>
      <c r="B179" s="18"/>
      <c r="C179" s="37"/>
      <c r="D179" s="37"/>
      <c r="E179" s="37"/>
      <c r="F179" s="37"/>
    </row>
    <row r="180" customFormat="false" ht="12.8" hidden="false" customHeight="false" outlineLevel="0" collapsed="false">
      <c r="A180" s="1"/>
      <c r="B180" s="18"/>
      <c r="C180" s="37"/>
      <c r="D180" s="37"/>
      <c r="E180" s="37"/>
      <c r="F180" s="37"/>
    </row>
    <row r="181" customFormat="false" ht="12.8" hidden="false" customHeight="false" outlineLevel="0" collapsed="false">
      <c r="A181" s="1"/>
      <c r="B181" s="18"/>
      <c r="C181" s="37"/>
      <c r="D181" s="37"/>
      <c r="E181" s="37"/>
      <c r="F181" s="37"/>
    </row>
    <row r="182" customFormat="false" ht="12.8" hidden="false" customHeight="false" outlineLevel="0" collapsed="false">
      <c r="A182" s="1"/>
      <c r="B182" s="18"/>
      <c r="C182" s="37"/>
      <c r="D182" s="37"/>
      <c r="E182" s="37"/>
      <c r="F182" s="3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37"/>
  <sheetViews>
    <sheetView showFormulas="false" showGridLines="true" showRowColHeaders="true" showZeros="true" rightToLeft="false" tabSelected="false" showOutlineSymbols="true" defaultGridColor="true" view="normal" topLeftCell="A70" colorId="64" zoomScale="90" zoomScaleNormal="90" zoomScalePageLayoutView="100" workbookViewId="0">
      <selection pane="topLeft" activeCell="H34" activeCellId="0" sqref="H34"/>
    </sheetView>
  </sheetViews>
  <sheetFormatPr defaultColWidth="11.53515625" defaultRowHeight="12.8" customHeight="false" zeroHeight="false" outlineLevelRow="0" outlineLevelCol="0"/>
  <cols>
    <col collapsed="false" customWidth="false" hidden="false" outlineLevel="0" max="1" min="1" style="38" width="11.53"/>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12.8" hidden="false" customHeight="false" outlineLevel="0" collapsed="false">
      <c r="A1" s="4" t="s">
        <v>994</v>
      </c>
      <c r="B1" s="23" t="s">
        <v>995</v>
      </c>
      <c r="C1" s="17" t="s">
        <v>2</v>
      </c>
      <c r="D1" s="31" t="s">
        <v>996</v>
      </c>
      <c r="AZ1" s="15"/>
      <c r="BD1" s="0"/>
      <c r="BP1" s="15"/>
    </row>
    <row r="2" customFormat="false" ht="35.05" hidden="false" customHeight="false" outlineLevel="0" collapsed="false">
      <c r="A2" s="24" t="s">
        <v>978</v>
      </c>
      <c r="B2" s="23" t="s">
        <v>979</v>
      </c>
      <c r="C2" s="39" t="str">
        <f aca="false">'LSD.RID.0.AL.CALC'!X3</f>
        <v>Wage Average ($  /hr)</v>
      </c>
      <c r="D2" s="39" t="str">
        <f aca="false">'LSD.RID.0.AL.CALC'!AD3</f>
        <v>Authorized Immigrant Wage Average ($  /hr)</v>
      </c>
      <c r="E2" s="39" t="str">
        <f aca="false">'LSD.RID.0.AL.CALC'!AJ3</f>
        <v>Unauthorized Immigrant Wage Average ($  /hr)</v>
      </c>
      <c r="F2" s="39" t="str">
        <f aca="false">'LSD.RID.0.AL.CALC'!AP3</f>
        <v>American Wage Average ($  /hr)</v>
      </c>
    </row>
    <row r="3" customFormat="false" ht="12.8" hidden="false" customHeight="false" outlineLevel="0" collapsed="false">
      <c r="A3" s="4" t="str">
        <f aca="false">_xlfn.CONCAT($A$1, ".", 'LSD.RID.0.AL.CALC'!A4)</f>
        <v>AL.WAVG.0</v>
      </c>
      <c r="B3" s="32" t="str">
        <f aca="false">_xlfn.CONCAT('LSD.RID.0.AL.CALC'!B4, ":", 'LSD.RID.0.AL.CALC'!C4)</f>
        <v>All Industries:All Roles</v>
      </c>
      <c r="C3" s="39" t="n">
        <f aca="false">'LSD.RID.0.AL.CALC'!X4</f>
        <v>31.5</v>
      </c>
      <c r="D3" s="39" t="n">
        <f aca="false">'LSD.RID.0.AL.CALC'!AD4</f>
        <v>30.5</v>
      </c>
      <c r="E3" s="39" t="n">
        <f aca="false">'LSD.RID.0.AL.CALC'!AJ4</f>
        <v>26.8</v>
      </c>
      <c r="F3" s="39" t="n">
        <f aca="false">'LSD.RID.0.AL.CALC'!AP4</f>
        <v>32.1</v>
      </c>
    </row>
    <row r="4" customFormat="false" ht="12.8" hidden="false" customHeight="false" outlineLevel="0" collapsed="false">
      <c r="A4" s="12" t="str">
        <f aca="false">_xlfn.CONCAT($A$1, ".", 'LSD.RID.0.AL.CALC'!A5)</f>
        <v>AL.WAVG.1</v>
      </c>
      <c r="B4" s="33" t="str">
        <f aca="false">_xlfn.CONCAT('LSD.RID.0.AL.CALC'!B5, ":", 'LSD.RID.0.AL.CALC'!C5)</f>
        <v>Agriculture:Worker</v>
      </c>
      <c r="C4" s="40" t="n">
        <f aca="false">'LSD.RID.0.AL.CALC'!X5</f>
        <v>21.93</v>
      </c>
      <c r="D4" s="40" t="n">
        <f aca="false">'LSD.RID.0.AL.CALC'!AD5</f>
        <v>21</v>
      </c>
      <c r="E4" s="40" t="n">
        <f aca="false">'LSD.RID.0.AL.CALC'!AJ5</f>
        <v>18.2</v>
      </c>
      <c r="F4" s="40" t="n">
        <f aca="false">'LSD.RID.0.AL.CALC'!AP5</f>
        <v>22.4</v>
      </c>
    </row>
    <row r="5" customFormat="false" ht="12.8" hidden="false" customHeight="false" outlineLevel="0" collapsed="false">
      <c r="A5" s="12" t="str">
        <f aca="false">_xlfn.CONCAT($A$1, ".", 'LSD.RID.0.AL.CALC'!A6)</f>
        <v>AL.WAVG.2</v>
      </c>
      <c r="B5" s="33" t="str">
        <f aca="false">_xlfn.CONCAT('LSD.RID.0.AL.CALC'!B6, ":", 'LSD.RID.0.AL.CALC'!C6)</f>
        <v>Agriculture:Support</v>
      </c>
      <c r="C5" s="40" t="n">
        <f aca="false">'LSD.RID.0.AL.CALC'!X6</f>
        <v>18.64</v>
      </c>
      <c r="D5" s="40" t="n">
        <f aca="false">'LSD.RID.0.AL.CALC'!AD6</f>
        <v>17.8</v>
      </c>
      <c r="E5" s="40" t="n">
        <f aca="false">'LSD.RID.0.AL.CALC'!AJ6</f>
        <v>15.5</v>
      </c>
      <c r="F5" s="40" t="n">
        <f aca="false">'LSD.RID.0.AL.CALC'!AP6</f>
        <v>19</v>
      </c>
    </row>
    <row r="6" customFormat="false" ht="12.8" hidden="false" customHeight="false" outlineLevel="0" collapsed="false">
      <c r="A6" s="12" t="str">
        <f aca="false">_xlfn.CONCAT($A$1, ".", 'LSD.RID.0.AL.CALC'!A7)</f>
        <v>AL.WAVG.3</v>
      </c>
      <c r="B6" s="33" t="str">
        <f aca="false">_xlfn.CONCAT('LSD.RID.0.AL.CALC'!B7, ":", 'LSD.RID.0.AL.CALC'!C7)</f>
        <v>Construction:Worker</v>
      </c>
      <c r="C6" s="40" t="n">
        <f aca="false">'LSD.RID.0.AL.CALC'!X7</f>
        <v>25.34</v>
      </c>
      <c r="D6" s="40" t="n">
        <f aca="false">'LSD.RID.0.AL.CALC'!AD7</f>
        <v>24.1</v>
      </c>
      <c r="E6" s="40" t="n">
        <f aca="false">'LSD.RID.0.AL.CALC'!AJ7</f>
        <v>21.5</v>
      </c>
      <c r="F6" s="40" t="n">
        <f aca="false">'LSD.RID.0.AL.CALC'!AP7</f>
        <v>25.9</v>
      </c>
    </row>
    <row r="7" customFormat="false" ht="12.8" hidden="false" customHeight="false" outlineLevel="0" collapsed="false">
      <c r="A7" s="12" t="str">
        <f aca="false">_xlfn.CONCAT($A$1, ".", 'LSD.RID.0.AL.CALC'!A8)</f>
        <v>AL.WAVG.4</v>
      </c>
      <c r="B7" s="33" t="str">
        <f aca="false">_xlfn.CONCAT('LSD.RID.0.AL.CALC'!B8, ":", 'LSD.RID.0.AL.CALC'!C8)</f>
        <v>Construction:Support</v>
      </c>
      <c r="C7" s="40" t="n">
        <f aca="false">'LSD.RID.0.AL.CALC'!X8</f>
        <v>21.54</v>
      </c>
      <c r="D7" s="40" t="n">
        <f aca="false">'LSD.RID.0.AL.CALC'!AD8</f>
        <v>20.5</v>
      </c>
      <c r="E7" s="40" t="n">
        <f aca="false">'LSD.RID.0.AL.CALC'!AJ8</f>
        <v>18.3</v>
      </c>
      <c r="F7" s="40" t="n">
        <f aca="false">'LSD.RID.0.AL.CALC'!AP8</f>
        <v>22</v>
      </c>
    </row>
    <row r="8" customFormat="false" ht="12.8" hidden="false" customHeight="false" outlineLevel="0" collapsed="false">
      <c r="A8" s="12" t="str">
        <f aca="false">_xlfn.CONCAT($A$1, ".", 'LSD.RID.0.AL.CALC'!A9)</f>
        <v>AL.WAVG.5</v>
      </c>
      <c r="B8" s="33" t="str">
        <f aca="false">_xlfn.CONCAT('LSD.RID.0.AL.CALC'!B9, ":", 'LSD.RID.0.AL.CALC'!C9)</f>
        <v>Hospitality:Worker</v>
      </c>
      <c r="C8" s="40" t="n">
        <f aca="false">'LSD.RID.0.AL.CALC'!X9</f>
        <v>14.15</v>
      </c>
      <c r="D8" s="40" t="n">
        <f aca="false">'LSD.RID.0.AL.CALC'!AD9</f>
        <v>13.5</v>
      </c>
      <c r="E8" s="40" t="n">
        <f aca="false">'LSD.RID.0.AL.CALC'!AJ9</f>
        <v>11.7</v>
      </c>
      <c r="F8" s="40" t="n">
        <f aca="false">'LSD.RID.0.AL.CALC'!AP9</f>
        <v>14.4</v>
      </c>
    </row>
    <row r="9" customFormat="false" ht="12.8" hidden="false" customHeight="false" outlineLevel="0" collapsed="false">
      <c r="A9" s="12" t="str">
        <f aca="false">_xlfn.CONCAT($A$1, ".", 'LSD.RID.0.AL.CALC'!A10)</f>
        <v>AL.WAVG.6</v>
      </c>
      <c r="B9" s="33" t="str">
        <f aca="false">_xlfn.CONCAT('LSD.RID.0.AL.CALC'!B10, ":", 'LSD.RID.0.AL.CALC'!C10)</f>
        <v>Hospitality:Support</v>
      </c>
      <c r="C9" s="40" t="n">
        <f aca="false">'LSD.RID.0.AL.CALC'!X10</f>
        <v>12.03</v>
      </c>
      <c r="D9" s="40" t="n">
        <f aca="false">'LSD.RID.0.AL.CALC'!AD10</f>
        <v>11.5</v>
      </c>
      <c r="E9" s="40" t="n">
        <f aca="false">'LSD.RID.0.AL.CALC'!AJ10</f>
        <v>9.9</v>
      </c>
      <c r="F9" s="40" t="n">
        <f aca="false">'LSD.RID.0.AL.CALC'!AP10</f>
        <v>12.3</v>
      </c>
    </row>
    <row r="10" customFormat="false" ht="12.8" hidden="false" customHeight="false" outlineLevel="0" collapsed="false">
      <c r="A10" s="12" t="str">
        <f aca="false">_xlfn.CONCAT($A$1, ".", 'LSD.RID.0.AL.CALC'!A11)</f>
        <v>AL.WAVG.7</v>
      </c>
      <c r="B10" s="33" t="str">
        <f aca="false">_xlfn.CONCAT('LSD.RID.0.AL.CALC'!B11, ":", 'LSD.RID.0.AL.CALC'!C11)</f>
        <v>Cleaning &amp; Maintenance:Worker</v>
      </c>
      <c r="C10" s="40" t="n">
        <f aca="false">'LSD.RID.0.AL.CALC'!X11</f>
        <v>16.59</v>
      </c>
      <c r="D10" s="40" t="n">
        <f aca="false">'LSD.RID.0.AL.CALC'!AD11</f>
        <v>15.8</v>
      </c>
      <c r="E10" s="40" t="n">
        <f aca="false">'LSD.RID.0.AL.CALC'!AJ11</f>
        <v>13.8</v>
      </c>
      <c r="F10" s="40" t="n">
        <f aca="false">'LSD.RID.0.AL.CALC'!AP11</f>
        <v>16.9</v>
      </c>
    </row>
    <row r="11" customFormat="false" ht="12.8" hidden="false" customHeight="false" outlineLevel="0" collapsed="false">
      <c r="A11" s="12" t="str">
        <f aca="false">_xlfn.CONCAT($A$1, ".", 'LSD.RID.0.AL.CALC'!A12)</f>
        <v>AL.WAVG.8</v>
      </c>
      <c r="B11" s="33" t="str">
        <f aca="false">_xlfn.CONCAT('LSD.RID.0.AL.CALC'!B12, ":", 'LSD.RID.0.AL.CALC'!C12)</f>
        <v>Cleaning &amp; Maintenance:Support</v>
      </c>
      <c r="C11" s="40" t="n">
        <f aca="false">'LSD.RID.0.AL.CALC'!X12</f>
        <v>14.1</v>
      </c>
      <c r="D11" s="40" t="n">
        <f aca="false">'LSD.RID.0.AL.CALC'!AD12</f>
        <v>13.4</v>
      </c>
      <c r="E11" s="40" t="n">
        <f aca="false">'LSD.RID.0.AL.CALC'!AJ12</f>
        <v>11.7</v>
      </c>
      <c r="F11" s="40" t="n">
        <f aca="false">'LSD.RID.0.AL.CALC'!AP12</f>
        <v>14.4</v>
      </c>
    </row>
    <row r="12" customFormat="false" ht="12.8" hidden="false" customHeight="false" outlineLevel="0" collapsed="false">
      <c r="A12" s="12" t="str">
        <f aca="false">_xlfn.CONCAT($A$1, ".", 'LSD.RID.0.AL.CALC'!A13)</f>
        <v>AL.WAVG.9</v>
      </c>
      <c r="B12" s="33" t="str">
        <f aca="false">_xlfn.CONCAT('LSD.RID.0.AL.CALC'!B13, ":", 'LSD.RID.0.AL.CALC'!C13)</f>
        <v>Manufacturing:Worker</v>
      </c>
      <c r="C12" s="40" t="n">
        <f aca="false">'LSD.RID.0.AL.CALC'!X13</f>
        <v>24.19</v>
      </c>
      <c r="D12" s="40" t="n">
        <f aca="false">'LSD.RID.0.AL.CALC'!AD13</f>
        <v>23</v>
      </c>
      <c r="E12" s="40" t="n">
        <f aca="false">'LSD.RID.0.AL.CALC'!AJ13</f>
        <v>21</v>
      </c>
      <c r="F12" s="40" t="n">
        <f aca="false">'LSD.RID.0.AL.CALC'!AP13</f>
        <v>24.7</v>
      </c>
    </row>
    <row r="13" customFormat="false" ht="12.8" hidden="false" customHeight="false" outlineLevel="0" collapsed="false">
      <c r="A13" s="12" t="str">
        <f aca="false">_xlfn.CONCAT($A$1, ".", 'LSD.RID.0.AL.CALC'!A14)</f>
        <v>AL.WAVG.10</v>
      </c>
      <c r="B13" s="33" t="str">
        <f aca="false">_xlfn.CONCAT('LSD.RID.0.AL.CALC'!B14, ":", 'LSD.RID.0.AL.CALC'!C14)</f>
        <v>Manufacturing:Support</v>
      </c>
      <c r="C13" s="40" t="n">
        <f aca="false">'LSD.RID.0.AL.CALC'!X14</f>
        <v>20.56</v>
      </c>
      <c r="D13" s="40" t="n">
        <f aca="false">'LSD.RID.0.AL.CALC'!AD14</f>
        <v>19.6</v>
      </c>
      <c r="E13" s="40" t="n">
        <f aca="false">'LSD.RID.0.AL.CALC'!AJ14</f>
        <v>17.9</v>
      </c>
      <c r="F13" s="40" t="n">
        <f aca="false">'LSD.RID.0.AL.CALC'!AP14</f>
        <v>21</v>
      </c>
    </row>
    <row r="14" customFormat="false" ht="12.8" hidden="false" customHeight="false" outlineLevel="0" collapsed="false">
      <c r="A14" s="12" t="str">
        <f aca="false">_xlfn.CONCAT($A$1, ".", 'LSD.RID.0.AL.CALC'!A15)</f>
        <v>AL.WAVG.11</v>
      </c>
      <c r="B14" s="33" t="str">
        <f aca="false">_xlfn.CONCAT('LSD.RID.0.AL.CALC'!B15, ":", 'LSD.RID.0.AL.CALC'!C15)</f>
        <v>Transportation &amp; Warehousing:Worker</v>
      </c>
      <c r="C14" s="40" t="n">
        <f aca="false">'LSD.RID.0.AL.CALC'!X15</f>
        <v>24.4</v>
      </c>
      <c r="D14" s="40" t="n">
        <f aca="false">'LSD.RID.0.AL.CALC'!AD15</f>
        <v>23.2</v>
      </c>
      <c r="E14" s="40" t="n">
        <f aca="false">'LSD.RID.0.AL.CALC'!AJ15</f>
        <v>21.2</v>
      </c>
      <c r="F14" s="40" t="n">
        <f aca="false">'LSD.RID.0.AL.CALC'!AP15</f>
        <v>24.9</v>
      </c>
    </row>
    <row r="15" customFormat="false" ht="12.8" hidden="false" customHeight="false" outlineLevel="0" collapsed="false">
      <c r="A15" s="12" t="str">
        <f aca="false">_xlfn.CONCAT($A$1, ".", 'LSD.RID.0.AL.CALC'!A16)</f>
        <v>AL.WAVG.12</v>
      </c>
      <c r="B15" s="33" t="str">
        <f aca="false">_xlfn.CONCAT('LSD.RID.0.AL.CALC'!B16, ":", 'LSD.RID.0.AL.CALC'!C16)</f>
        <v>Transportation &amp; Warehousing:Support</v>
      </c>
      <c r="C15" s="40" t="n">
        <f aca="false">'LSD.RID.0.AL.CALC'!X16</f>
        <v>20.74</v>
      </c>
      <c r="D15" s="40" t="n">
        <f aca="false">'LSD.RID.0.AL.CALC'!AD16</f>
        <v>19.7</v>
      </c>
      <c r="E15" s="40" t="n">
        <f aca="false">'LSD.RID.0.AL.CALC'!AJ16</f>
        <v>18</v>
      </c>
      <c r="F15" s="40" t="n">
        <f aca="false">'LSD.RID.0.AL.CALC'!AP16</f>
        <v>21.2</v>
      </c>
    </row>
    <row r="16" customFormat="false" ht="12.8" hidden="false" customHeight="false" outlineLevel="0" collapsed="false">
      <c r="A16" s="12" t="str">
        <f aca="false">_xlfn.CONCAT($A$1, ".", 'LSD.RID.0.AL.CALC'!A17)</f>
        <v>AL.WAVG.13</v>
      </c>
      <c r="B16" s="33" t="str">
        <f aca="false">_xlfn.CONCAT('LSD.RID.0.AL.CALC'!B17, ":", 'LSD.RID.0.AL.CALC'!C17)</f>
        <v>Retail Trade:Worker</v>
      </c>
      <c r="C16" s="40" t="n">
        <f aca="false">'LSD.RID.0.AL.CALC'!X17</f>
        <v>21.94</v>
      </c>
      <c r="D16" s="40" t="n">
        <f aca="false">'LSD.RID.0.AL.CALC'!AD17</f>
        <v>20.9</v>
      </c>
      <c r="E16" s="40" t="n">
        <f aca="false">'LSD.RID.0.AL.CALC'!AJ17</f>
        <v>18.1</v>
      </c>
      <c r="F16" s="40" t="n">
        <f aca="false">'LSD.RID.0.AL.CALC'!AP17</f>
        <v>22.4</v>
      </c>
    </row>
    <row r="17" customFormat="false" ht="12.8" hidden="false" customHeight="false" outlineLevel="0" collapsed="false">
      <c r="A17" s="12" t="str">
        <f aca="false">_xlfn.CONCAT($A$1, ".", 'LSD.RID.0.AL.CALC'!A18)</f>
        <v>AL.WAVG.14</v>
      </c>
      <c r="B17" s="33" t="str">
        <f aca="false">_xlfn.CONCAT('LSD.RID.0.AL.CALC'!B18, ":", 'LSD.RID.0.AL.CALC'!C18)</f>
        <v>Retail Trade:Support</v>
      </c>
      <c r="C17" s="40" t="n">
        <f aca="false">'LSD.RID.0.AL.CALC'!X18</f>
        <v>18.65</v>
      </c>
      <c r="D17" s="40" t="n">
        <f aca="false">'LSD.RID.0.AL.CALC'!AD18</f>
        <v>17.8</v>
      </c>
      <c r="E17" s="40" t="n">
        <f aca="false">'LSD.RID.0.AL.CALC'!AJ18</f>
        <v>15.4</v>
      </c>
      <c r="F17" s="40" t="n">
        <f aca="false">'LSD.RID.0.AL.CALC'!AP18</f>
        <v>19</v>
      </c>
    </row>
    <row r="18" customFormat="false" ht="12.8" hidden="false" customHeight="false" outlineLevel="0" collapsed="false">
      <c r="A18" s="12" t="str">
        <f aca="false">_xlfn.CONCAT($A$1, ".", 'LSD.RID.0.AL.CALC'!A19)</f>
        <v>AL.WAVG.15</v>
      </c>
      <c r="B18" s="33" t="str">
        <f aca="false">_xlfn.CONCAT('LSD.RID.0.AL.CALC'!B19, ":", 'LSD.RID.0.AL.CALC'!C19)</f>
        <v>Landscaping / Groundskeeping:Worker</v>
      </c>
      <c r="C18" s="40" t="n">
        <f aca="false">'LSD.RID.0.AL.CALC'!X19</f>
        <v>16.59</v>
      </c>
      <c r="D18" s="40" t="n">
        <f aca="false">'LSD.RID.0.AL.CALC'!AD19</f>
        <v>15.8</v>
      </c>
      <c r="E18" s="40" t="n">
        <f aca="false">'LSD.RID.0.AL.CALC'!AJ19</f>
        <v>13.8</v>
      </c>
      <c r="F18" s="40" t="n">
        <f aca="false">'LSD.RID.0.AL.CALC'!AP19</f>
        <v>16.9</v>
      </c>
    </row>
    <row r="19" customFormat="false" ht="12.8" hidden="false" customHeight="false" outlineLevel="0" collapsed="false">
      <c r="A19" s="12" t="str">
        <f aca="false">_xlfn.CONCAT($A$1, ".", 'LSD.RID.0.AL.CALC'!A20)</f>
        <v>AL.WAVG.16</v>
      </c>
      <c r="B19" s="33" t="str">
        <f aca="false">_xlfn.CONCAT('LSD.RID.0.AL.CALC'!B20, ":", 'LSD.RID.0.AL.CALC'!C20)</f>
        <v>Landscaping / Groundskeeping:Support</v>
      </c>
      <c r="C19" s="40" t="n">
        <f aca="false">'LSD.RID.0.AL.CALC'!X20</f>
        <v>14.1</v>
      </c>
      <c r="D19" s="40" t="n">
        <f aca="false">'LSD.RID.0.AL.CALC'!AD20</f>
        <v>13.4</v>
      </c>
      <c r="E19" s="40" t="n">
        <f aca="false">'LSD.RID.0.AL.CALC'!AJ20</f>
        <v>11.7</v>
      </c>
      <c r="F19" s="40" t="n">
        <f aca="false">'LSD.RID.0.AL.CALC'!AP20</f>
        <v>14.4</v>
      </c>
    </row>
    <row r="20" customFormat="false" ht="12.8" hidden="false" customHeight="false" outlineLevel="0" collapsed="false">
      <c r="A20" s="12" t="str">
        <f aca="false">_xlfn.CONCAT($A$1, ".", 'LSD.RID.0.AL.CALC'!A21)</f>
        <v>AL.WAVG.17</v>
      </c>
      <c r="B20" s="33" t="str">
        <f aca="false">_xlfn.CONCAT('LSD.RID.0.AL.CALC'!B21, ":", 'LSD.RID.0.AL.CALC'!C21)</f>
        <v>Automotive &amp; Repair:Worker</v>
      </c>
      <c r="C20" s="40" t="n">
        <f aca="false">'LSD.RID.0.AL.CALC'!X21</f>
        <v>29.21</v>
      </c>
      <c r="D20" s="40" t="n">
        <f aca="false">'LSD.RID.0.AL.CALC'!AD21</f>
        <v>27.7</v>
      </c>
      <c r="E20" s="40" t="n">
        <f aca="false">'LSD.RID.0.AL.CALC'!AJ21</f>
        <v>25.3</v>
      </c>
      <c r="F20" s="40" t="n">
        <f aca="false">'LSD.RID.0.AL.CALC'!AP21</f>
        <v>29.8</v>
      </c>
    </row>
    <row r="21" customFormat="false" ht="12.8" hidden="false" customHeight="false" outlineLevel="0" collapsed="false">
      <c r="A21" s="12" t="str">
        <f aca="false">_xlfn.CONCAT($A$1, ".", 'LSD.RID.0.AL.CALC'!A22)</f>
        <v>AL.WAVG.18</v>
      </c>
      <c r="B21" s="33" t="str">
        <f aca="false">_xlfn.CONCAT('LSD.RID.0.AL.CALC'!B22, ":", 'LSD.RID.0.AL.CALC'!C22)</f>
        <v>Automotive &amp; Repair:Support</v>
      </c>
      <c r="C21" s="40" t="n">
        <f aca="false">'LSD.RID.0.AL.CALC'!X22</f>
        <v>24.83</v>
      </c>
      <c r="D21" s="40" t="n">
        <f aca="false">'LSD.RID.0.AL.CALC'!AD22</f>
        <v>23.6</v>
      </c>
      <c r="E21" s="40" t="n">
        <f aca="false">'LSD.RID.0.AL.CALC'!AJ22</f>
        <v>21.5</v>
      </c>
      <c r="F21" s="40" t="n">
        <f aca="false">'LSD.RID.0.AL.CALC'!AP22</f>
        <v>25.3</v>
      </c>
    </row>
    <row r="22" customFormat="false" ht="12.8" hidden="false" customHeight="false" outlineLevel="0" collapsed="false">
      <c r="A22" s="12" t="str">
        <f aca="false">_xlfn.CONCAT($A$1, ".", 'LSD.RID.0.AL.CALC'!A23)</f>
        <v>AL.WAVG.19</v>
      </c>
      <c r="B22" s="33" t="str">
        <f aca="false">_xlfn.CONCAT('LSD.RID.0.AL.CALC'!B23, ":", 'LSD.RID.0.AL.CALC'!C23)</f>
        <v>Healthcare &amp; Social Assistance:Worker</v>
      </c>
      <c r="C22" s="40" t="n">
        <f aca="false">'LSD.RID.0.AL.CALC'!X23</f>
        <v>41.16</v>
      </c>
      <c r="D22" s="40" t="n">
        <f aca="false">'LSD.RID.0.AL.CALC'!AD23</f>
        <v>39.1</v>
      </c>
      <c r="E22" s="40" t="n">
        <f aca="false">'LSD.RID.0.AL.CALC'!AJ23</f>
        <v>35.8</v>
      </c>
      <c r="F22" s="40" t="n">
        <f aca="false">'LSD.RID.0.AL.CALC'!AP23</f>
        <v>42</v>
      </c>
    </row>
    <row r="23" customFormat="false" ht="12.8" hidden="false" customHeight="false" outlineLevel="0" collapsed="false">
      <c r="A23" s="12" t="str">
        <f aca="false">_xlfn.CONCAT($A$1, ".", 'LSD.RID.0.AL.CALC'!A24)</f>
        <v>AL.WAVG.20</v>
      </c>
      <c r="B23" s="33" t="str">
        <f aca="false">_xlfn.CONCAT('LSD.RID.0.AL.CALC'!B24, ":", 'LSD.RID.0.AL.CALC'!C24)</f>
        <v>Healthcare &amp; Social Assistance:Support</v>
      </c>
      <c r="C23" s="40" t="n">
        <f aca="false">'LSD.RID.0.AL.CALC'!X24</f>
        <v>34.99</v>
      </c>
      <c r="D23" s="40" t="n">
        <f aca="false">'LSD.RID.0.AL.CALC'!AD24</f>
        <v>33.2</v>
      </c>
      <c r="E23" s="40" t="n">
        <f aca="false">'LSD.RID.0.AL.CALC'!AJ24</f>
        <v>30.4</v>
      </c>
      <c r="F23" s="40" t="n">
        <f aca="false">'LSD.RID.0.AL.CALC'!AP24</f>
        <v>35.7</v>
      </c>
    </row>
    <row r="24" customFormat="false" ht="12.8" hidden="false" customHeight="false" outlineLevel="0" collapsed="false">
      <c r="A24" s="12" t="str">
        <f aca="false">_xlfn.CONCAT($A$1, ".", 'LSD.RID.0.AL.CALC'!A25)</f>
        <v>AL.WAVG.21</v>
      </c>
      <c r="B24" s="33" t="str">
        <f aca="false">_xlfn.CONCAT('LSD.RID.0.AL.CALC'!B25, ":", 'LSD.RID.0.AL.CALC'!C25)</f>
        <v>Professional Services:Worker</v>
      </c>
      <c r="C24" s="40" t="n">
        <f aca="false">'LSD.RID.0.AL.CALC'!X25</f>
        <v>53.09</v>
      </c>
      <c r="D24" s="40" t="n">
        <f aca="false">'LSD.RID.0.AL.CALC'!AD25</f>
        <v>50.4</v>
      </c>
      <c r="E24" s="40" t="n">
        <f aca="false">'LSD.RID.0.AL.CALC'!AJ25</f>
        <v>46.2</v>
      </c>
      <c r="F24" s="40" t="n">
        <f aca="false">'LSD.RID.0.AL.CALC'!AP25</f>
        <v>54.2</v>
      </c>
    </row>
    <row r="25" customFormat="false" ht="12.8" hidden="false" customHeight="false" outlineLevel="0" collapsed="false">
      <c r="A25" s="12" t="str">
        <f aca="false">_xlfn.CONCAT($A$1, ".", 'LSD.RID.0.AL.CALC'!A26)</f>
        <v>AL.WAVG.22</v>
      </c>
      <c r="B25" s="33" t="str">
        <f aca="false">_xlfn.CONCAT('LSD.RID.0.AL.CALC'!B26, ":", 'LSD.RID.0.AL.CALC'!C26)</f>
        <v>Professional Services:Support</v>
      </c>
      <c r="C25" s="40" t="n">
        <f aca="false">'LSD.RID.0.AL.CALC'!X26</f>
        <v>45.13</v>
      </c>
      <c r="D25" s="40" t="n">
        <f aca="false">'LSD.RID.0.AL.CALC'!AD26</f>
        <v>42.9</v>
      </c>
      <c r="E25" s="40" t="n">
        <f aca="false">'LSD.RID.0.AL.CALC'!AJ26</f>
        <v>39.3</v>
      </c>
      <c r="F25" s="40" t="n">
        <f aca="false">'LSD.RID.0.AL.CALC'!AP26</f>
        <v>46</v>
      </c>
    </row>
    <row r="26" customFormat="false" ht="12.8" hidden="false" customHeight="false" outlineLevel="0" collapsed="false">
      <c r="A26" s="12" t="str">
        <f aca="false">_xlfn.CONCAT($A$1, ".", 'LSD.RID.0.AL.CALC'!A27)</f>
        <v>AL.WAVG.23</v>
      </c>
      <c r="B26" s="33" t="str">
        <f aca="false">_xlfn.CONCAT('LSD.RID.0.AL.CALC'!B27, ":", 'LSD.RID.0.AL.CALC'!C27)</f>
        <v>Educational Services:Worker</v>
      </c>
      <c r="C26" s="40" t="n">
        <f aca="false">'LSD.RID.0.AL.CALC'!X27</f>
        <v>26.24</v>
      </c>
      <c r="D26" s="40" t="n">
        <f aca="false">'LSD.RID.0.AL.CALC'!AD27</f>
        <v>24.9</v>
      </c>
      <c r="E26" s="40" t="n">
        <f aca="false">'LSD.RID.0.AL.CALC'!AJ27</f>
        <v>22.8</v>
      </c>
      <c r="F26" s="40" t="n">
        <f aca="false">'LSD.RID.0.AL.CALC'!AP27</f>
        <v>26.8</v>
      </c>
    </row>
    <row r="27" customFormat="false" ht="12.8" hidden="false" customHeight="false" outlineLevel="0" collapsed="false">
      <c r="A27" s="12" t="str">
        <f aca="false">_xlfn.CONCAT($A$1, ".", 'LSD.RID.0.AL.CALC'!A28)</f>
        <v>AL.WAVG.24</v>
      </c>
      <c r="B27" s="33" t="str">
        <f aca="false">_xlfn.CONCAT('LSD.RID.0.AL.CALC'!B28, ":", 'LSD.RID.0.AL.CALC'!C28)</f>
        <v>Educational Services:Support</v>
      </c>
      <c r="C27" s="40" t="n">
        <f aca="false">'LSD.RID.0.AL.CALC'!X28</f>
        <v>22.3</v>
      </c>
      <c r="D27" s="40" t="n">
        <f aca="false">'LSD.RID.0.AL.CALC'!AD28</f>
        <v>21.2</v>
      </c>
      <c r="E27" s="40" t="n">
        <f aca="false">'LSD.RID.0.AL.CALC'!AJ28</f>
        <v>19.4</v>
      </c>
      <c r="F27" s="40" t="n">
        <f aca="false">'LSD.RID.0.AL.CALC'!AP28</f>
        <v>22.8</v>
      </c>
    </row>
    <row r="28" customFormat="false" ht="12.8" hidden="false" customHeight="false" outlineLevel="0" collapsed="false">
      <c r="A28" s="12" t="str">
        <f aca="false">_xlfn.CONCAT($A$1, ".", 'LSD.RID.0.AL.CALC'!A29)</f>
        <v>AL.WAVG.25</v>
      </c>
      <c r="B28" s="33" t="str">
        <f aca="false">_xlfn.CONCAT('LSD.RID.0.AL.CALC'!B29, ":", 'LSD.RID.0.AL.CALC'!C29)</f>
        <v>Finance &amp; Insurance:Worker</v>
      </c>
      <c r="C28" s="40" t="n">
        <f aca="false">'LSD.RID.0.AL.CALC'!X29</f>
        <v>41</v>
      </c>
      <c r="D28" s="40" t="n">
        <f aca="false">'LSD.RID.0.AL.CALC'!AD29</f>
        <v>39</v>
      </c>
      <c r="E28" s="40" t="n">
        <f aca="false">'LSD.RID.0.AL.CALC'!AJ29</f>
        <v>35.7</v>
      </c>
      <c r="F28" s="40" t="n">
        <f aca="false">'LSD.RID.0.AL.CALC'!AP29</f>
        <v>41.8</v>
      </c>
    </row>
    <row r="29" customFormat="false" ht="12.8" hidden="false" customHeight="false" outlineLevel="0" collapsed="false">
      <c r="A29" s="12" t="str">
        <f aca="false">_xlfn.CONCAT($A$1, ".", 'LSD.RID.0.AL.CALC'!A30)</f>
        <v>AL.WAVG.26</v>
      </c>
      <c r="B29" s="33" t="str">
        <f aca="false">_xlfn.CONCAT('LSD.RID.0.AL.CALC'!B30, ":", 'LSD.RID.0.AL.CALC'!C30)</f>
        <v>Finance &amp; Insurance:Support</v>
      </c>
      <c r="C29" s="40" t="n">
        <f aca="false">'LSD.RID.0.AL.CALC'!X30</f>
        <v>34.85</v>
      </c>
      <c r="D29" s="40" t="n">
        <f aca="false">'LSD.RID.0.AL.CALC'!AD30</f>
        <v>33.1</v>
      </c>
      <c r="E29" s="40" t="n">
        <f aca="false">'LSD.RID.0.AL.CALC'!AJ30</f>
        <v>30.3</v>
      </c>
      <c r="F29" s="40" t="n">
        <f aca="false">'LSD.RID.0.AL.CALC'!AP30</f>
        <v>35.5</v>
      </c>
    </row>
    <row r="30" customFormat="false" ht="12.8" hidden="false" customHeight="false" outlineLevel="0" collapsed="false">
      <c r="A30" s="12" t="str">
        <f aca="false">_xlfn.CONCAT($A$1, ".", 'LSD.RID.0.AL.CALC'!A31)</f>
        <v>AL.WAVG.27</v>
      </c>
      <c r="B30" s="33" t="str">
        <f aca="false">_xlfn.CONCAT('LSD.RID.0.AL.CALC'!B31, ":", 'LSD.RID.0.AL.CALC'!C31)</f>
        <v>Media and Information Technology:Worker</v>
      </c>
      <c r="C30" s="40" t="n">
        <f aca="false">'LSD.RID.0.AL.CALC'!X31</f>
        <v>28.71</v>
      </c>
      <c r="D30" s="40" t="n">
        <f aca="false">'LSD.RID.0.AL.CALC'!AD31</f>
        <v>27.3</v>
      </c>
      <c r="E30" s="40" t="n">
        <f aca="false">'LSD.RID.0.AL.CALC'!AJ31</f>
        <v>25</v>
      </c>
      <c r="F30" s="40" t="n">
        <f aca="false">'LSD.RID.0.AL.CALC'!AP31</f>
        <v>29.3</v>
      </c>
    </row>
    <row r="31" customFormat="false" ht="12.8" hidden="false" customHeight="false" outlineLevel="0" collapsed="false">
      <c r="A31" s="12" t="str">
        <f aca="false">_xlfn.CONCAT($A$1, ".", 'LSD.RID.0.AL.CALC'!A32)</f>
        <v>AL.WAVG.28</v>
      </c>
      <c r="B31" s="33" t="str">
        <f aca="false">_xlfn.CONCAT('LSD.RID.0.AL.CALC'!B32, ":", 'LSD.RID.0.AL.CALC'!C32)</f>
        <v>Media and Information Technology:Support</v>
      </c>
      <c r="C31" s="40" t="n">
        <f aca="false">'LSD.RID.0.AL.CALC'!X32</f>
        <v>24.4</v>
      </c>
      <c r="D31" s="40" t="n">
        <f aca="false">'LSD.RID.0.AL.CALC'!AD32</f>
        <v>23.2</v>
      </c>
      <c r="E31" s="40" t="n">
        <f aca="false">'LSD.RID.0.AL.CALC'!AJ32</f>
        <v>21.2</v>
      </c>
      <c r="F31" s="40" t="n">
        <f aca="false">'LSD.RID.0.AL.CALC'!AP32</f>
        <v>24.9</v>
      </c>
    </row>
    <row r="32" customFormat="false" ht="12.8" hidden="false" customHeight="false" outlineLevel="0" collapsed="false">
      <c r="A32" s="12" t="str">
        <f aca="false">_xlfn.CONCAT($A$1, ".", 'LSD.RID.0.AL.CALC'!A33)</f>
        <v>AL.WAVG.29</v>
      </c>
      <c r="B32" s="33" t="str">
        <f aca="false">_xlfn.CONCAT('LSD.RID.0.AL.CALC'!B33, ":", 'LSD.RID.0.AL.CALC'!C33)</f>
        <v>Government:Worker</v>
      </c>
      <c r="C32" s="40" t="n">
        <f aca="false">'LSD.RID.0.AL.CALC'!X33</f>
        <v>24.54</v>
      </c>
      <c r="D32" s="40" t="n">
        <f aca="false">'LSD.RID.0.AL.CALC'!AD33</f>
        <v>23.3</v>
      </c>
      <c r="E32" s="40" t="n">
        <f aca="false">'LSD.RID.0.AL.CALC'!AJ33</f>
        <v>21.3</v>
      </c>
      <c r="F32" s="40" t="n">
        <f aca="false">'LSD.RID.0.AL.CALC'!AP33</f>
        <v>25</v>
      </c>
    </row>
    <row r="33" customFormat="false" ht="12.8" hidden="false" customHeight="false" outlineLevel="0" collapsed="false">
      <c r="A33" s="12" t="str">
        <f aca="false">_xlfn.CONCAT($A$1, ".", 'LSD.RID.0.AL.CALC'!A34)</f>
        <v>AL.WAVG.30</v>
      </c>
      <c r="B33" s="33" t="str">
        <f aca="false">_xlfn.CONCAT('LSD.RID.0.AL.CALC'!B34, ":", 'LSD.RID.0.AL.CALC'!C34)</f>
        <v>Government:Support</v>
      </c>
      <c r="C33" s="40" t="n">
        <f aca="false">'LSD.RID.0.AL.CALC'!X34</f>
        <v>20.86</v>
      </c>
      <c r="D33" s="40" t="n">
        <f aca="false">'LSD.RID.0.AL.CALC'!AD34</f>
        <v>19.8</v>
      </c>
      <c r="E33" s="40" t="n">
        <f aca="false">'LSD.RID.0.AL.CALC'!AJ34</f>
        <v>18.1</v>
      </c>
      <c r="F33" s="40" t="n">
        <f aca="false">'LSD.RID.0.AL.CALC'!AP34</f>
        <v>21.3</v>
      </c>
    </row>
    <row r="34" customFormat="false" ht="12.8" hidden="false" customHeight="false" outlineLevel="0" collapsed="false">
      <c r="A34" s="12" t="str">
        <f aca="false">_xlfn.CONCAT($A$1, ".", 'LSD.RID.0.AL.CALC'!A35)</f>
        <v>AL.WAVG.31</v>
      </c>
      <c r="B34" s="33" t="str">
        <f aca="false">_xlfn.CONCAT('LSD.RID.0.AL.CALC'!B35, ":", 'LSD.RID.0.AL.CALC'!C35)</f>
        <v>Self-Employed / Non-Employer:Worker</v>
      </c>
      <c r="C34" s="40" t="n">
        <f aca="false">'LSD.RID.0.AL.CALC'!X35</f>
        <v>37.5</v>
      </c>
      <c r="D34" s="40" t="n">
        <f aca="false">'LSD.RID.0.AL.CALC'!AD35</f>
        <v>35.6</v>
      </c>
      <c r="E34" s="40" t="n">
        <f aca="false">'LSD.RID.0.AL.CALC'!AJ35</f>
        <v>32.6</v>
      </c>
      <c r="F34" s="40" t="n">
        <f aca="false">'LSD.RID.0.AL.CALC'!AP35</f>
        <v>38.3</v>
      </c>
    </row>
    <row r="35" customFormat="false" ht="12.8" hidden="false" customHeight="false" outlineLevel="0" collapsed="false">
      <c r="A35" s="12" t="str">
        <f aca="false">_xlfn.CONCAT($A$1, ".", 'LSD.RID.0.AL.CALC'!A36)</f>
        <v>AL.WAVG.32</v>
      </c>
      <c r="B35" s="33" t="str">
        <f aca="false">_xlfn.CONCAT('LSD.RID.0.AL.CALC'!B36, ":", 'LSD.RID.0.AL.CALC'!C36)</f>
        <v>Self-Employed / Non-Employer:Support</v>
      </c>
      <c r="C35" s="40" t="n">
        <f aca="false">'LSD.RID.0.AL.CALC'!X36</f>
        <v>31.88</v>
      </c>
      <c r="D35" s="40" t="n">
        <f aca="false">'LSD.RID.0.AL.CALC'!AD36</f>
        <v>30.3</v>
      </c>
      <c r="E35" s="40" t="n">
        <f aca="false">'LSD.RID.0.AL.CALC'!AJ36</f>
        <v>27.7</v>
      </c>
      <c r="F35" s="40" t="n">
        <f aca="false">'LSD.RID.0.AL.CALC'!AP36</f>
        <v>32.5</v>
      </c>
    </row>
    <row r="36" customFormat="false" ht="12.8" hidden="false" customHeight="false" outlineLevel="0" collapsed="false">
      <c r="A36" s="12" t="str">
        <f aca="false">_xlfn.CONCAT($A$1, ".", 'LSD.RID.0.AL.CALC'!A37)</f>
        <v>AL.WAVG.33</v>
      </c>
      <c r="B36" s="33" t="str">
        <f aca="false">_xlfn.CONCAT('LSD.RID.0.AL.CALC'!B37, ":", 'LSD.RID.0.AL.CALC'!C37)</f>
        <v>Other Services:Worker</v>
      </c>
      <c r="C36" s="40" t="n">
        <f aca="false">'LSD.RID.0.AL.CALC'!X37</f>
        <v>15.21</v>
      </c>
      <c r="D36" s="40" t="n">
        <f aca="false">'LSD.RID.0.AL.CALC'!AD37</f>
        <v>14.5</v>
      </c>
      <c r="E36" s="40" t="n">
        <f aca="false">'LSD.RID.0.AL.CALC'!AJ37</f>
        <v>12.6</v>
      </c>
      <c r="F36" s="40" t="n">
        <f aca="false">'LSD.RID.0.AL.CALC'!AP37</f>
        <v>15.5</v>
      </c>
    </row>
    <row r="37" customFormat="false" ht="12.8" hidden="false" customHeight="false" outlineLevel="0" collapsed="false">
      <c r="A37" s="12" t="str">
        <f aca="false">_xlfn.CONCAT($A$1, ".", 'LSD.RID.0.AL.CALC'!A38)</f>
        <v>AL.WAVG.34</v>
      </c>
      <c r="B37" s="33" t="str">
        <f aca="false">_xlfn.CONCAT('LSD.RID.0.AL.CALC'!B38, ":", 'LSD.RID.0.AL.CALC'!C38)</f>
        <v>Other Services:Support</v>
      </c>
      <c r="C37" s="40" t="n">
        <f aca="false">'LSD.RID.0.AL.CALC'!X38</f>
        <v>12.93</v>
      </c>
      <c r="D37" s="40" t="n">
        <f aca="false">'LSD.RID.0.AL.CALC'!AD38</f>
        <v>12.3</v>
      </c>
      <c r="E37" s="40" t="n">
        <f aca="false">'LSD.RID.0.AL.CALC'!AJ38</f>
        <v>10.7</v>
      </c>
      <c r="F37" s="40" t="n">
        <f aca="false">'LSD.RID.0.AL.CALC'!AP38</f>
        <v>13.2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39"/>
  <sheetViews>
    <sheetView showFormulas="false" showGridLines="true" showRowColHeaders="true" showZeros="true" rightToLeft="false" tabSelected="false" showOutlineSymbols="true" defaultGridColor="true" view="normal" topLeftCell="A111" colorId="64" zoomScale="90" zoomScaleNormal="90" zoomScalePageLayoutView="100" workbookViewId="0">
      <selection pane="topLeft" activeCell="J152" activeCellId="0" sqref="J152"/>
    </sheetView>
  </sheetViews>
  <sheetFormatPr defaultColWidth="11.53515625" defaultRowHeight="12.8" customHeight="false" zeroHeight="false" outlineLevelRow="0" outlineLevelCol="0"/>
  <cols>
    <col collapsed="false" customWidth="false" hidden="false" outlineLevel="0" max="1" min="1" style="38" width="11.53"/>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12.8" hidden="false" customHeight="false" outlineLevel="0" collapsed="false">
      <c r="A1" s="6" t="s">
        <v>997</v>
      </c>
      <c r="B1" s="23" t="s">
        <v>998</v>
      </c>
      <c r="C1" s="17" t="s">
        <v>2</v>
      </c>
      <c r="D1" s="31" t="s">
        <v>999</v>
      </c>
      <c r="AZ1" s="15"/>
      <c r="BD1" s="0"/>
      <c r="BP1" s="15"/>
    </row>
    <row r="2" customFormat="false" ht="46.25" hidden="false" customHeight="false" outlineLevel="0" collapsed="false">
      <c r="A2" s="24" t="s">
        <v>978</v>
      </c>
      <c r="B2" s="23" t="s">
        <v>979</v>
      </c>
      <c r="C2" s="41" t="str">
        <f aca="false">'LSD.RID.0.AL.CALC'!AA3</f>
        <v>Annual Income (  $)</v>
      </c>
      <c r="D2" s="41" t="str">
        <f aca="false">'LSD.RID.0.AL.CALC'!AG3</f>
        <v>Authorized Immigrant Annual Income Average (  $)</v>
      </c>
      <c r="E2" s="41" t="str">
        <f aca="false">'LSD.RID.0.AL.CALC'!AM3</f>
        <v>Unauthorized Immigrant Annual Income Average (  $)</v>
      </c>
      <c r="F2" s="41" t="str">
        <f aca="false">'LSD.RID.0.AL.CALC'!AS3</f>
        <v>American Annual Income Average (  $)</v>
      </c>
    </row>
    <row r="3" customFormat="false" ht="12.8" hidden="false" customHeight="false" outlineLevel="0" collapsed="false">
      <c r="A3" s="4" t="str">
        <f aca="false">_xlfn.CONCAT($A$1, ".", 'LSD.RID.0.AL.CALC'!A4)</f>
        <v>AL.AIAVG.0</v>
      </c>
      <c r="B3" s="32" t="str">
        <f aca="false">_xlfn.CONCAT('LSD.RID.0.AL.CALC'!B4, ":", 'LSD.RID.0.AL.CALC'!C4)</f>
        <v>All Industries:All Roles</v>
      </c>
      <c r="C3" s="41" t="n">
        <f aca="false">'LSD.RID.0.AL.CALC'!AA4</f>
        <v>65520</v>
      </c>
      <c r="D3" s="41" t="n">
        <f aca="false">'LSD.RID.0.AL.CALC'!AG4</f>
        <v>63440</v>
      </c>
      <c r="E3" s="41" t="n">
        <f aca="false">'LSD.RID.0.AL.CALC'!AM4</f>
        <v>55776</v>
      </c>
      <c r="F3" s="41" t="n">
        <f aca="false">'LSD.RID.0.AL.CALC'!AS4</f>
        <v>66768</v>
      </c>
    </row>
    <row r="4" customFormat="false" ht="12.8" hidden="false" customHeight="false" outlineLevel="0" collapsed="false">
      <c r="A4" s="12" t="str">
        <f aca="false">_xlfn.CONCAT($A$1, ".", 'LSD.RID.0.AL.CALC'!A5)</f>
        <v>AL.AIAVG.1</v>
      </c>
      <c r="B4" s="33" t="str">
        <f aca="false">_xlfn.CONCAT('LSD.RID.0.AL.CALC'!B5, ":", 'LSD.RID.0.AL.CALC'!C5)</f>
        <v>Agriculture:Worker</v>
      </c>
      <c r="C4" s="42" t="n">
        <f aca="false">'LSD.RID.0.AL.CALC'!AA5</f>
        <v>45614</v>
      </c>
      <c r="D4" s="42" t="n">
        <f aca="false">'LSD.RID.0.AL.CALC'!AG5</f>
        <v>43680</v>
      </c>
      <c r="E4" s="42" t="n">
        <f aca="false">'LSD.RID.0.AL.CALC'!AM5</f>
        <v>37856</v>
      </c>
      <c r="F4" s="42" t="n">
        <f aca="false">'LSD.RID.0.AL.CALC'!AS5</f>
        <v>46592</v>
      </c>
    </row>
    <row r="5" customFormat="false" ht="12.8" hidden="false" customHeight="false" outlineLevel="0" collapsed="false">
      <c r="A5" s="12" t="str">
        <f aca="false">_xlfn.CONCAT($A$1, ".", 'LSD.RID.0.AL.CALC'!A6)</f>
        <v>AL.AIAVG.2</v>
      </c>
      <c r="B5" s="33" t="str">
        <f aca="false">_xlfn.CONCAT('LSD.RID.0.AL.CALC'!B6, ":", 'LSD.RID.0.AL.CALC'!C6)</f>
        <v>Agriculture:Support</v>
      </c>
      <c r="C5" s="42" t="n">
        <f aca="false">'LSD.RID.0.AL.CALC'!AA6</f>
        <v>38771</v>
      </c>
      <c r="D5" s="42" t="n">
        <f aca="false">'LSD.RID.0.AL.CALC'!AG6</f>
        <v>37024</v>
      </c>
      <c r="E5" s="42" t="n">
        <f aca="false">'LSD.RID.0.AL.CALC'!AM6</f>
        <v>32240</v>
      </c>
      <c r="F5" s="42" t="n">
        <f aca="false">'LSD.RID.0.AL.CALC'!AS6</f>
        <v>39520</v>
      </c>
    </row>
    <row r="6" customFormat="false" ht="12.8" hidden="false" customHeight="false" outlineLevel="0" collapsed="false">
      <c r="A6" s="12" t="str">
        <f aca="false">_xlfn.CONCAT($A$1, ".", 'LSD.RID.0.AL.CALC'!A7)</f>
        <v>AL.AIAVG.3</v>
      </c>
      <c r="B6" s="33" t="str">
        <f aca="false">_xlfn.CONCAT('LSD.RID.0.AL.CALC'!B7, ":", 'LSD.RID.0.AL.CALC'!C7)</f>
        <v>Construction:Worker</v>
      </c>
      <c r="C6" s="42" t="n">
        <f aca="false">'LSD.RID.0.AL.CALC'!AA7</f>
        <v>52707</v>
      </c>
      <c r="D6" s="42" t="n">
        <f aca="false">'LSD.RID.0.AL.CALC'!AG7</f>
        <v>50128</v>
      </c>
      <c r="E6" s="42" t="n">
        <f aca="false">'LSD.RID.0.AL.CALC'!AM7</f>
        <v>44720</v>
      </c>
      <c r="F6" s="42" t="n">
        <f aca="false">'LSD.RID.0.AL.CALC'!AS7</f>
        <v>53872</v>
      </c>
    </row>
    <row r="7" customFormat="false" ht="12.8" hidden="false" customHeight="false" outlineLevel="0" collapsed="false">
      <c r="A7" s="12" t="str">
        <f aca="false">_xlfn.CONCAT($A$1, ".", 'LSD.RID.0.AL.CALC'!A8)</f>
        <v>AL.AIAVG.4</v>
      </c>
      <c r="B7" s="33" t="str">
        <f aca="false">_xlfn.CONCAT('LSD.RID.0.AL.CALC'!B8, ":", 'LSD.RID.0.AL.CALC'!C8)</f>
        <v>Construction:Support</v>
      </c>
      <c r="C7" s="42" t="n">
        <f aca="false">'LSD.RID.0.AL.CALC'!AA8</f>
        <v>44771</v>
      </c>
      <c r="D7" s="42" t="n">
        <f aca="false">'LSD.RID.0.AL.CALC'!AG8</f>
        <v>42640</v>
      </c>
      <c r="E7" s="42" t="n">
        <f aca="false">'LSD.RID.0.AL.CALC'!AM8</f>
        <v>38064</v>
      </c>
      <c r="F7" s="42" t="n">
        <f aca="false">'LSD.RID.0.AL.CALC'!AS8</f>
        <v>45760</v>
      </c>
    </row>
    <row r="8" customFormat="false" ht="12.8" hidden="false" customHeight="false" outlineLevel="0" collapsed="false">
      <c r="A8" s="12" t="str">
        <f aca="false">_xlfn.CONCAT($A$1, ".", 'LSD.RID.0.AL.CALC'!A9)</f>
        <v>AL.AIAVG.5</v>
      </c>
      <c r="B8" s="33" t="str">
        <f aca="false">_xlfn.CONCAT('LSD.RID.0.AL.CALC'!B9, ":", 'LSD.RID.0.AL.CALC'!C9)</f>
        <v>Hospitality:Worker</v>
      </c>
      <c r="C8" s="42" t="n">
        <f aca="false">'LSD.RID.0.AL.CALC'!AA9</f>
        <v>29432</v>
      </c>
      <c r="D8" s="42" t="n">
        <f aca="false">'LSD.RID.0.AL.CALC'!AG9</f>
        <v>28080</v>
      </c>
      <c r="E8" s="42" t="n">
        <f aca="false">'LSD.RID.0.AL.CALC'!AM9</f>
        <v>24336</v>
      </c>
      <c r="F8" s="42" t="n">
        <f aca="false">'LSD.RID.0.AL.CALC'!AS9</f>
        <v>29952</v>
      </c>
    </row>
    <row r="9" customFormat="false" ht="12.8" hidden="false" customHeight="false" outlineLevel="0" collapsed="false">
      <c r="A9" s="12" t="str">
        <f aca="false">_xlfn.CONCAT($A$1, ".", 'LSD.RID.0.AL.CALC'!A10)</f>
        <v>AL.AIAVG.6</v>
      </c>
      <c r="B9" s="33" t="str">
        <f aca="false">_xlfn.CONCAT('LSD.RID.0.AL.CALC'!B10, ":", 'LSD.RID.0.AL.CALC'!C10)</f>
        <v>Hospitality:Support</v>
      </c>
      <c r="C9" s="42" t="n">
        <f aca="false">'LSD.RID.0.AL.CALC'!AA10</f>
        <v>25022</v>
      </c>
      <c r="D9" s="42" t="n">
        <f aca="false">'LSD.RID.0.AL.CALC'!AG10</f>
        <v>23920</v>
      </c>
      <c r="E9" s="42" t="n">
        <f aca="false">'LSD.RID.0.AL.CALC'!AM10</f>
        <v>20592</v>
      </c>
      <c r="F9" s="42" t="n">
        <f aca="false">'LSD.RID.0.AL.CALC'!AS10</f>
        <v>25584</v>
      </c>
    </row>
    <row r="10" customFormat="false" ht="12.8" hidden="false" customHeight="false" outlineLevel="0" collapsed="false">
      <c r="A10" s="12" t="str">
        <f aca="false">_xlfn.CONCAT($A$1, ".", 'LSD.RID.0.AL.CALC'!A11)</f>
        <v>AL.AIAVG.7</v>
      </c>
      <c r="B10" s="33" t="str">
        <f aca="false">_xlfn.CONCAT('LSD.RID.0.AL.CALC'!B11, ":", 'LSD.RID.0.AL.CALC'!C11)</f>
        <v>Cleaning &amp; Maintenance:Worker</v>
      </c>
      <c r="C10" s="42" t="n">
        <f aca="false">'LSD.RID.0.AL.CALC'!AA11</f>
        <v>34507</v>
      </c>
      <c r="D10" s="42" t="n">
        <f aca="false">'LSD.RID.0.AL.CALC'!AG11</f>
        <v>32864</v>
      </c>
      <c r="E10" s="42" t="n">
        <f aca="false">'LSD.RID.0.AL.CALC'!AM11</f>
        <v>28704</v>
      </c>
      <c r="F10" s="42" t="n">
        <f aca="false">'LSD.RID.0.AL.CALC'!AS11</f>
        <v>35152</v>
      </c>
    </row>
    <row r="11" customFormat="false" ht="12.8" hidden="false" customHeight="false" outlineLevel="0" collapsed="false">
      <c r="A11" s="12" t="str">
        <f aca="false">_xlfn.CONCAT($A$1, ".", 'LSD.RID.0.AL.CALC'!A12)</f>
        <v>AL.AIAVG.8</v>
      </c>
      <c r="B11" s="33" t="str">
        <f aca="false">_xlfn.CONCAT('LSD.RID.0.AL.CALC'!B12, ":", 'LSD.RID.0.AL.CALC'!C12)</f>
        <v>Cleaning &amp; Maintenance:Support</v>
      </c>
      <c r="C11" s="42" t="n">
        <f aca="false">'LSD.RID.0.AL.CALC'!AA12</f>
        <v>29328</v>
      </c>
      <c r="D11" s="42" t="n">
        <f aca="false">'LSD.RID.0.AL.CALC'!AG12</f>
        <v>27872</v>
      </c>
      <c r="E11" s="42" t="n">
        <f aca="false">'LSD.RID.0.AL.CALC'!AM12</f>
        <v>24336</v>
      </c>
      <c r="F11" s="42" t="n">
        <f aca="false">'LSD.RID.0.AL.CALC'!AS12</f>
        <v>29952</v>
      </c>
    </row>
    <row r="12" customFormat="false" ht="12.8" hidden="false" customHeight="false" outlineLevel="0" collapsed="false">
      <c r="A12" s="12" t="str">
        <f aca="false">_xlfn.CONCAT($A$1, ".", 'LSD.RID.0.AL.CALC'!A13)</f>
        <v>AL.AIAVG.9</v>
      </c>
      <c r="B12" s="33" t="str">
        <f aca="false">_xlfn.CONCAT('LSD.RID.0.AL.CALC'!B13, ":", 'LSD.RID.0.AL.CALC'!C13)</f>
        <v>Manufacturing:Worker</v>
      </c>
      <c r="C12" s="42" t="n">
        <f aca="false">'LSD.RID.0.AL.CALC'!AA13</f>
        <v>50315</v>
      </c>
      <c r="D12" s="42" t="n">
        <f aca="false">'LSD.RID.0.AL.CALC'!AG13</f>
        <v>47840</v>
      </c>
      <c r="E12" s="42" t="n">
        <f aca="false">'LSD.RID.0.AL.CALC'!AM13</f>
        <v>43680</v>
      </c>
      <c r="F12" s="42" t="n">
        <f aca="false">'LSD.RID.0.AL.CALC'!AS13</f>
        <v>51376</v>
      </c>
    </row>
    <row r="13" customFormat="false" ht="12.8" hidden="false" customHeight="false" outlineLevel="0" collapsed="false">
      <c r="A13" s="12" t="str">
        <f aca="false">_xlfn.CONCAT($A$1, ".", 'LSD.RID.0.AL.CALC'!A14)</f>
        <v>AL.AIAVG.10</v>
      </c>
      <c r="B13" s="33" t="str">
        <f aca="false">_xlfn.CONCAT('LSD.RID.0.AL.CALC'!B14, ":", 'LSD.RID.0.AL.CALC'!C14)</f>
        <v>Manufacturing:Support</v>
      </c>
      <c r="C13" s="42" t="n">
        <f aca="false">'LSD.RID.0.AL.CALC'!AA14</f>
        <v>42765</v>
      </c>
      <c r="D13" s="42" t="n">
        <f aca="false">'LSD.RID.0.AL.CALC'!AG14</f>
        <v>40768</v>
      </c>
      <c r="E13" s="42" t="n">
        <f aca="false">'LSD.RID.0.AL.CALC'!AM14</f>
        <v>37232</v>
      </c>
      <c r="F13" s="42" t="n">
        <f aca="false">'LSD.RID.0.AL.CALC'!AS14</f>
        <v>43680</v>
      </c>
    </row>
    <row r="14" customFormat="false" ht="12.8" hidden="false" customHeight="false" outlineLevel="0" collapsed="false">
      <c r="A14" s="12" t="str">
        <f aca="false">_xlfn.CONCAT($A$1, ".", 'LSD.RID.0.AL.CALC'!A15)</f>
        <v>AL.AIAVG.11</v>
      </c>
      <c r="B14" s="33" t="str">
        <f aca="false">_xlfn.CONCAT('LSD.RID.0.AL.CALC'!B15, ":", 'LSD.RID.0.AL.CALC'!C15)</f>
        <v>Transportation &amp; Warehousing:Worker</v>
      </c>
      <c r="C14" s="42" t="n">
        <f aca="false">'LSD.RID.0.AL.CALC'!AA15</f>
        <v>50752</v>
      </c>
      <c r="D14" s="42" t="n">
        <f aca="false">'LSD.RID.0.AL.CALC'!AG15</f>
        <v>48256</v>
      </c>
      <c r="E14" s="42" t="n">
        <f aca="false">'LSD.RID.0.AL.CALC'!AM15</f>
        <v>44100</v>
      </c>
      <c r="F14" s="42" t="n">
        <f aca="false">'LSD.RID.0.AL.CALC'!AS15</f>
        <v>51792</v>
      </c>
    </row>
    <row r="15" customFormat="false" ht="12.8" hidden="false" customHeight="false" outlineLevel="0" collapsed="false">
      <c r="A15" s="12" t="str">
        <f aca="false">_xlfn.CONCAT($A$1, ".", 'LSD.RID.0.AL.CALC'!A16)</f>
        <v>AL.AIAVG.12</v>
      </c>
      <c r="B15" s="33" t="str">
        <f aca="false">_xlfn.CONCAT('LSD.RID.0.AL.CALC'!B16, ":", 'LSD.RID.0.AL.CALC'!C16)</f>
        <v>Transportation &amp; Warehousing:Support</v>
      </c>
      <c r="C15" s="42" t="n">
        <f aca="false">'LSD.RID.0.AL.CALC'!AA16</f>
        <v>43139</v>
      </c>
      <c r="D15" s="42" t="n">
        <f aca="false">'LSD.RID.0.AL.CALC'!AG16</f>
        <v>40976</v>
      </c>
      <c r="E15" s="42" t="n">
        <f aca="false">'LSD.RID.0.AL.CALC'!AM16</f>
        <v>37440</v>
      </c>
      <c r="F15" s="42" t="n">
        <f aca="false">'LSD.RID.0.AL.CALC'!AS16</f>
        <v>44096</v>
      </c>
    </row>
    <row r="16" customFormat="false" ht="12.8" hidden="false" customHeight="false" outlineLevel="0" collapsed="false">
      <c r="A16" s="12" t="str">
        <f aca="false">_xlfn.CONCAT($A$1, ".", 'LSD.RID.0.AL.CALC'!A17)</f>
        <v>AL.AIAVG.13</v>
      </c>
      <c r="B16" s="33" t="str">
        <f aca="false">_xlfn.CONCAT('LSD.RID.0.AL.CALC'!B17, ":", 'LSD.RID.0.AL.CALC'!C17)</f>
        <v>Retail Trade:Worker</v>
      </c>
      <c r="C16" s="42" t="n">
        <f aca="false">'LSD.RID.0.AL.CALC'!AA17</f>
        <v>45635</v>
      </c>
      <c r="D16" s="42" t="n">
        <f aca="false">'LSD.RID.0.AL.CALC'!AG17</f>
        <v>43472</v>
      </c>
      <c r="E16" s="42" t="n">
        <f aca="false">'LSD.RID.0.AL.CALC'!AM17</f>
        <v>37648</v>
      </c>
      <c r="F16" s="42" t="n">
        <f aca="false">'LSD.RID.0.AL.CALC'!AS17</f>
        <v>46592</v>
      </c>
    </row>
    <row r="17" customFormat="false" ht="12.8" hidden="false" customHeight="false" outlineLevel="0" collapsed="false">
      <c r="A17" s="12" t="str">
        <f aca="false">_xlfn.CONCAT($A$1, ".", 'LSD.RID.0.AL.CALC'!A18)</f>
        <v>AL.AIAVG.14</v>
      </c>
      <c r="B17" s="33" t="str">
        <f aca="false">_xlfn.CONCAT('LSD.RID.0.AL.CALC'!B18, ":", 'LSD.RID.0.AL.CALC'!C18)</f>
        <v>Retail Trade:Support</v>
      </c>
      <c r="C17" s="42" t="n">
        <f aca="false">'LSD.RID.0.AL.CALC'!AA18</f>
        <v>38792</v>
      </c>
      <c r="D17" s="42" t="n">
        <f aca="false">'LSD.RID.0.AL.CALC'!AG18</f>
        <v>37024</v>
      </c>
      <c r="E17" s="42" t="n">
        <f aca="false">'LSD.RID.0.AL.CALC'!AM18</f>
        <v>32032</v>
      </c>
      <c r="F17" s="42" t="n">
        <f aca="false">'LSD.RID.0.AL.CALC'!AS18</f>
        <v>39520</v>
      </c>
    </row>
    <row r="18" customFormat="false" ht="12.8" hidden="false" customHeight="false" outlineLevel="0" collapsed="false">
      <c r="A18" s="12" t="str">
        <f aca="false">_xlfn.CONCAT($A$1, ".", 'LSD.RID.0.AL.CALC'!A19)</f>
        <v>AL.AIAVG.15</v>
      </c>
      <c r="B18" s="33" t="str">
        <f aca="false">_xlfn.CONCAT('LSD.RID.0.AL.CALC'!B19, ":", 'LSD.RID.0.AL.CALC'!C19)</f>
        <v>Landscaping / Groundskeeping:Worker</v>
      </c>
      <c r="C18" s="42" t="n">
        <f aca="false">'LSD.RID.0.AL.CALC'!AA19</f>
        <v>34507</v>
      </c>
      <c r="D18" s="42" t="n">
        <f aca="false">'LSD.RID.0.AL.CALC'!AG19</f>
        <v>32864</v>
      </c>
      <c r="E18" s="42" t="n">
        <f aca="false">'LSD.RID.0.AL.CALC'!AM19</f>
        <v>28704</v>
      </c>
      <c r="F18" s="42" t="n">
        <f aca="false">'LSD.RID.0.AL.CALC'!AS19</f>
        <v>35152</v>
      </c>
    </row>
    <row r="19" customFormat="false" ht="12.8" hidden="false" customHeight="false" outlineLevel="0" collapsed="false">
      <c r="A19" s="12" t="str">
        <f aca="false">_xlfn.CONCAT($A$1, ".", 'LSD.RID.0.AL.CALC'!A20)</f>
        <v>AL.AIAVG.16</v>
      </c>
      <c r="B19" s="33" t="str">
        <f aca="false">_xlfn.CONCAT('LSD.RID.0.AL.CALC'!B20, ":", 'LSD.RID.0.AL.CALC'!C20)</f>
        <v>Landscaping / Groundskeeping:Support</v>
      </c>
      <c r="C19" s="42" t="n">
        <f aca="false">'LSD.RID.0.AL.CALC'!AA20</f>
        <v>29328</v>
      </c>
      <c r="D19" s="42" t="n">
        <f aca="false">'LSD.RID.0.AL.CALC'!AG20</f>
        <v>27872</v>
      </c>
      <c r="E19" s="42" t="n">
        <f aca="false">'LSD.RID.0.AL.CALC'!AM20</f>
        <v>24336</v>
      </c>
      <c r="F19" s="42" t="n">
        <f aca="false">'LSD.RID.0.AL.CALC'!AS20</f>
        <v>29952</v>
      </c>
    </row>
    <row r="20" customFormat="false" ht="12.8" hidden="false" customHeight="false" outlineLevel="0" collapsed="false">
      <c r="A20" s="12" t="str">
        <f aca="false">_xlfn.CONCAT($A$1, ".", 'LSD.RID.0.AL.CALC'!A21)</f>
        <v>AL.AIAVG.17</v>
      </c>
      <c r="B20" s="33" t="str">
        <f aca="false">_xlfn.CONCAT('LSD.RID.0.AL.CALC'!B21, ":", 'LSD.RID.0.AL.CALC'!C21)</f>
        <v>Automotive &amp; Repair:Worker</v>
      </c>
      <c r="C20" s="42" t="n">
        <f aca="false">'LSD.RID.0.AL.CALC'!AA21</f>
        <v>60757</v>
      </c>
      <c r="D20" s="42" t="n">
        <f aca="false">'LSD.RID.0.AL.CALC'!AG21</f>
        <v>57616</v>
      </c>
      <c r="E20" s="42" t="n">
        <f aca="false">'LSD.RID.0.AL.CALC'!AM21</f>
        <v>52624</v>
      </c>
      <c r="F20" s="42" t="n">
        <f aca="false">'LSD.RID.0.AL.CALC'!AS21</f>
        <v>61984</v>
      </c>
    </row>
    <row r="21" customFormat="false" ht="12.8" hidden="false" customHeight="false" outlineLevel="0" collapsed="false">
      <c r="A21" s="12" t="str">
        <f aca="false">_xlfn.CONCAT($A$1, ".", 'LSD.RID.0.AL.CALC'!A22)</f>
        <v>AL.AIAVG.18</v>
      </c>
      <c r="B21" s="33" t="str">
        <f aca="false">_xlfn.CONCAT('LSD.RID.0.AL.CALC'!B22, ":", 'LSD.RID.0.AL.CALC'!C22)</f>
        <v>Automotive &amp; Repair:Support</v>
      </c>
      <c r="C21" s="42" t="n">
        <f aca="false">'LSD.RID.0.AL.CALC'!AA22</f>
        <v>51646</v>
      </c>
      <c r="D21" s="42" t="n">
        <f aca="false">'LSD.RID.0.AL.CALC'!AG22</f>
        <v>49088</v>
      </c>
      <c r="E21" s="42" t="n">
        <f aca="false">'LSD.RID.0.AL.CALC'!AM22</f>
        <v>44720</v>
      </c>
      <c r="F21" s="42" t="n">
        <f aca="false">'LSD.RID.0.AL.CALC'!AS22</f>
        <v>52624</v>
      </c>
    </row>
    <row r="22" customFormat="false" ht="12.8" hidden="false" customHeight="false" outlineLevel="0" collapsed="false">
      <c r="A22" s="12" t="str">
        <f aca="false">_xlfn.CONCAT($A$1, ".", 'LSD.RID.0.AL.CALC'!A23)</f>
        <v>AL.AIAVG.19</v>
      </c>
      <c r="B22" s="33" t="str">
        <f aca="false">_xlfn.CONCAT('LSD.RID.0.AL.CALC'!B23, ":", 'LSD.RID.0.AL.CALC'!C23)</f>
        <v>Healthcare &amp; Social Assistance:Worker</v>
      </c>
      <c r="C22" s="42" t="n">
        <f aca="false">'LSD.RID.0.AL.CALC'!AA23</f>
        <v>85613</v>
      </c>
      <c r="D22" s="42" t="n">
        <f aca="false">'LSD.RID.0.AL.CALC'!AG23</f>
        <v>81328</v>
      </c>
      <c r="E22" s="42" t="n">
        <f aca="false">'LSD.RID.0.AL.CALC'!AM23</f>
        <v>74464</v>
      </c>
      <c r="F22" s="42" t="n">
        <f aca="false">'LSD.RID.0.AL.CALC'!AS23</f>
        <v>87360</v>
      </c>
    </row>
    <row r="23" customFormat="false" ht="12.8" hidden="false" customHeight="false" outlineLevel="0" collapsed="false">
      <c r="A23" s="12" t="str">
        <f aca="false">_xlfn.CONCAT($A$1, ".", 'LSD.RID.0.AL.CALC'!A24)</f>
        <v>AL.AIAVG.20</v>
      </c>
      <c r="B23" s="33" t="str">
        <f aca="false">_xlfn.CONCAT('LSD.RID.0.AL.CALC'!B24, ":", 'LSD.RID.0.AL.CALC'!C24)</f>
        <v>Healthcare &amp; Social Assistance:Support</v>
      </c>
      <c r="C23" s="42" t="n">
        <f aca="false">'LSD.RID.0.AL.CALC'!AA24</f>
        <v>72779</v>
      </c>
      <c r="D23" s="42" t="n">
        <f aca="false">'LSD.RID.0.AL.CALC'!AG24</f>
        <v>69056</v>
      </c>
      <c r="E23" s="42" t="n">
        <f aca="false">'LSD.RID.0.AL.CALC'!AM24</f>
        <v>63232</v>
      </c>
      <c r="F23" s="42" t="n">
        <f aca="false">'LSD.RID.0.AL.CALC'!AS24</f>
        <v>74256</v>
      </c>
    </row>
    <row r="24" customFormat="false" ht="12.8" hidden="false" customHeight="false" outlineLevel="0" collapsed="false">
      <c r="A24" s="12" t="str">
        <f aca="false">_xlfn.CONCAT($A$1, ".", 'LSD.RID.0.AL.CALC'!A25)</f>
        <v>AL.AIAVG.21</v>
      </c>
      <c r="B24" s="33" t="str">
        <f aca="false">_xlfn.CONCAT('LSD.RID.0.AL.CALC'!B25, ":", 'LSD.RID.0.AL.CALC'!C25)</f>
        <v>Professional Services:Worker</v>
      </c>
      <c r="C24" s="42" t="n">
        <f aca="false">'LSD.RID.0.AL.CALC'!AA25</f>
        <v>110427</v>
      </c>
      <c r="D24" s="42" t="n">
        <f aca="false">'LSD.RID.0.AL.CALC'!AG25</f>
        <v>104832</v>
      </c>
      <c r="E24" s="42" t="n">
        <f aca="false">'LSD.RID.0.AL.CALC'!AM25</f>
        <v>96096</v>
      </c>
      <c r="F24" s="42" t="n">
        <f aca="false">'LSD.RID.0.AL.CALC'!AS25</f>
        <v>112736</v>
      </c>
    </row>
    <row r="25" customFormat="false" ht="12.8" hidden="false" customHeight="false" outlineLevel="0" collapsed="false">
      <c r="A25" s="12" t="str">
        <f aca="false">_xlfn.CONCAT($A$1, ".", 'LSD.RID.0.AL.CALC'!A26)</f>
        <v>AL.AIAVG.22</v>
      </c>
      <c r="B25" s="33" t="str">
        <f aca="false">_xlfn.CONCAT('LSD.RID.0.AL.CALC'!B26, ":", 'LSD.RID.0.AL.CALC'!C26)</f>
        <v>Professional Services:Support</v>
      </c>
      <c r="C25" s="42" t="n">
        <f aca="false">'LSD.RID.0.AL.CALC'!AA26</f>
        <v>93870</v>
      </c>
      <c r="D25" s="42" t="n">
        <f aca="false">'LSD.RID.0.AL.CALC'!AG26</f>
        <v>89232</v>
      </c>
      <c r="E25" s="42" t="n">
        <f aca="false">'LSD.RID.0.AL.CALC'!AM26</f>
        <v>81744</v>
      </c>
      <c r="F25" s="42" t="n">
        <f aca="false">'LSD.RID.0.AL.CALC'!AS26</f>
        <v>95680</v>
      </c>
    </row>
    <row r="26" customFormat="false" ht="12.8" hidden="false" customHeight="false" outlineLevel="0" collapsed="false">
      <c r="A26" s="12" t="str">
        <f aca="false">_xlfn.CONCAT($A$1, ".", 'LSD.RID.0.AL.CALC'!A27)</f>
        <v>AL.AIAVG.23</v>
      </c>
      <c r="B26" s="33" t="str">
        <f aca="false">_xlfn.CONCAT('LSD.RID.0.AL.CALC'!B27, ":", 'LSD.RID.0.AL.CALC'!C27)</f>
        <v>Educational Services:Worker</v>
      </c>
      <c r="C26" s="42" t="n">
        <f aca="false">'LSD.RID.0.AL.CALC'!AA27</f>
        <v>54579</v>
      </c>
      <c r="D26" s="42" t="n">
        <f aca="false">'LSD.RID.0.AL.CALC'!AG27</f>
        <v>51792</v>
      </c>
      <c r="E26" s="42" t="n">
        <f aca="false">'LSD.RID.0.AL.CALC'!AM27</f>
        <v>47424</v>
      </c>
      <c r="F26" s="42" t="n">
        <f aca="false">'LSD.RID.0.AL.CALC'!AS27</f>
        <v>55744</v>
      </c>
    </row>
    <row r="27" customFormat="false" ht="12.8" hidden="false" customHeight="false" outlineLevel="0" collapsed="false">
      <c r="A27" s="12" t="str">
        <f aca="false">_xlfn.CONCAT($A$1, ".", 'LSD.RID.0.AL.CALC'!A28)</f>
        <v>AL.AIAVG.24</v>
      </c>
      <c r="B27" s="33" t="str">
        <f aca="false">_xlfn.CONCAT('LSD.RID.0.AL.CALC'!B28, ":", 'LSD.RID.0.AL.CALC'!C28)</f>
        <v>Educational Services:Support</v>
      </c>
      <c r="C27" s="42" t="n">
        <f aca="false">'LSD.RID.0.AL.CALC'!AA28</f>
        <v>46384</v>
      </c>
      <c r="D27" s="42" t="n">
        <f aca="false">'LSD.RID.0.AL.CALC'!AG28</f>
        <v>44096</v>
      </c>
      <c r="E27" s="42" t="n">
        <f aca="false">'LSD.RID.0.AL.CALC'!AM28</f>
        <v>40352</v>
      </c>
      <c r="F27" s="42" t="n">
        <f aca="false">'LSD.RID.0.AL.CALC'!AS28</f>
        <v>47424</v>
      </c>
    </row>
    <row r="28" customFormat="false" ht="12.8" hidden="false" customHeight="false" outlineLevel="0" collapsed="false">
      <c r="A28" s="12" t="str">
        <f aca="false">_xlfn.CONCAT($A$1, ".", 'LSD.RID.0.AL.CALC'!A29)</f>
        <v>AL.AIAVG.25</v>
      </c>
      <c r="B28" s="33" t="str">
        <f aca="false">_xlfn.CONCAT('LSD.RID.0.AL.CALC'!B29, ":", 'LSD.RID.0.AL.CALC'!C29)</f>
        <v>Finance &amp; Insurance:Worker</v>
      </c>
      <c r="C28" s="42" t="n">
        <f aca="false">'LSD.RID.0.AL.CALC'!AA29</f>
        <v>85280</v>
      </c>
      <c r="D28" s="42" t="n">
        <f aca="false">'LSD.RID.0.AL.CALC'!AG29</f>
        <v>81120</v>
      </c>
      <c r="E28" s="42" t="n">
        <f aca="false">'LSD.RID.0.AL.CALC'!AM29</f>
        <v>74256</v>
      </c>
      <c r="F28" s="42" t="n">
        <f aca="false">'LSD.RID.0.AL.CALC'!AS29</f>
        <v>86944</v>
      </c>
    </row>
    <row r="29" customFormat="false" ht="12.8" hidden="false" customHeight="false" outlineLevel="0" collapsed="false">
      <c r="A29" s="12" t="str">
        <f aca="false">_xlfn.CONCAT($A$1, ".", 'LSD.RID.0.AL.CALC'!A30)</f>
        <v>AL.AIAVG.26</v>
      </c>
      <c r="B29" s="33" t="str">
        <f aca="false">_xlfn.CONCAT('LSD.RID.0.AL.CALC'!B30, ":", 'LSD.RID.0.AL.CALC'!C30)</f>
        <v>Finance &amp; Insurance:Support</v>
      </c>
      <c r="C29" s="42" t="n">
        <f aca="false">'LSD.RID.0.AL.CALC'!AA30</f>
        <v>72488</v>
      </c>
      <c r="D29" s="42" t="n">
        <f aca="false">'LSD.RID.0.AL.CALC'!AG30</f>
        <v>68848</v>
      </c>
      <c r="E29" s="42" t="n">
        <f aca="false">'LSD.RID.0.AL.CALC'!AM30</f>
        <v>63024</v>
      </c>
      <c r="F29" s="42" t="n">
        <f aca="false">'LSD.RID.0.AL.CALC'!AS30</f>
        <v>73840</v>
      </c>
    </row>
    <row r="30" customFormat="false" ht="12.8" hidden="false" customHeight="false" outlineLevel="0" collapsed="false">
      <c r="A30" s="12" t="str">
        <f aca="false">_xlfn.CONCAT($A$1, ".", 'LSD.RID.0.AL.CALC'!A31)</f>
        <v>AL.AIAVG.27</v>
      </c>
      <c r="B30" s="33" t="str">
        <f aca="false">_xlfn.CONCAT('LSD.RID.0.AL.CALC'!B31, ":", 'LSD.RID.0.AL.CALC'!C31)</f>
        <v>Media and Information Technology:Worker</v>
      </c>
      <c r="C30" s="42" t="n">
        <f aca="false">'LSD.RID.0.AL.CALC'!AA31</f>
        <v>59717</v>
      </c>
      <c r="D30" s="42" t="n">
        <f aca="false">'LSD.RID.0.AL.CALC'!AG31</f>
        <v>56864</v>
      </c>
      <c r="E30" s="42" t="n">
        <f aca="false">'LSD.RID.0.AL.CALC'!AM31</f>
        <v>52000</v>
      </c>
      <c r="F30" s="42" t="n">
        <f aca="false">'LSD.RID.0.AL.CALC'!AS31</f>
        <v>60944</v>
      </c>
    </row>
    <row r="31" customFormat="false" ht="12.8" hidden="false" customHeight="false" outlineLevel="0" collapsed="false">
      <c r="A31" s="12" t="str">
        <f aca="false">_xlfn.CONCAT($A$1, ".", 'LSD.RID.0.AL.CALC'!A32)</f>
        <v>AL.AIAVG.28</v>
      </c>
      <c r="B31" s="33" t="str">
        <f aca="false">_xlfn.CONCAT('LSD.RID.0.AL.CALC'!B32, ":", 'LSD.RID.0.AL.CALC'!C32)</f>
        <v>Media and Information Technology:Support</v>
      </c>
      <c r="C31" s="42" t="n">
        <f aca="false">'LSD.RID.0.AL.CALC'!AA32</f>
        <v>50752</v>
      </c>
      <c r="D31" s="42" t="n">
        <f aca="false">'LSD.RID.0.AL.CALC'!AG32</f>
        <v>48256</v>
      </c>
      <c r="E31" s="42" t="n">
        <f aca="false">'LSD.RID.0.AL.CALC'!AM32</f>
        <v>44100</v>
      </c>
      <c r="F31" s="42" t="n">
        <f aca="false">'LSD.RID.0.AL.CALC'!AS32</f>
        <v>51792</v>
      </c>
    </row>
    <row r="32" customFormat="false" ht="12.8" hidden="false" customHeight="false" outlineLevel="0" collapsed="false">
      <c r="A32" s="12" t="str">
        <f aca="false">_xlfn.CONCAT($A$1, ".", 'LSD.RID.0.AL.CALC'!A33)</f>
        <v>AL.AIAVG.29</v>
      </c>
      <c r="B32" s="33" t="str">
        <f aca="false">_xlfn.CONCAT('LSD.RID.0.AL.CALC'!B33, ":", 'LSD.RID.0.AL.CALC'!C33)</f>
        <v>Government:Worker</v>
      </c>
      <c r="C32" s="42" t="n">
        <f aca="false">'LSD.RID.0.AL.CALC'!AA33</f>
        <v>51043</v>
      </c>
      <c r="D32" s="42" t="n">
        <f aca="false">'LSD.RID.0.AL.CALC'!AG33</f>
        <v>48464</v>
      </c>
      <c r="E32" s="42" t="n">
        <f aca="false">'LSD.RID.0.AL.CALC'!AM33</f>
        <v>44280</v>
      </c>
      <c r="F32" s="42" t="n">
        <f aca="false">'LSD.RID.0.AL.CALC'!AS33</f>
        <v>52000</v>
      </c>
    </row>
    <row r="33" customFormat="false" ht="12.8" hidden="false" customHeight="false" outlineLevel="0" collapsed="false">
      <c r="A33" s="12" t="str">
        <f aca="false">_xlfn.CONCAT($A$1, ".", 'LSD.RID.0.AL.CALC'!A34)</f>
        <v>AL.AIAVG.30</v>
      </c>
      <c r="B33" s="33" t="str">
        <f aca="false">_xlfn.CONCAT('LSD.RID.0.AL.CALC'!B34, ":", 'LSD.RID.0.AL.CALC'!C34)</f>
        <v>Government:Support</v>
      </c>
      <c r="C33" s="42" t="n">
        <f aca="false">'LSD.RID.0.AL.CALC'!AA34</f>
        <v>43389</v>
      </c>
      <c r="D33" s="42" t="n">
        <f aca="false">'LSD.RID.0.AL.CALC'!AG34</f>
        <v>41184</v>
      </c>
      <c r="E33" s="42" t="n">
        <f aca="false">'LSD.RID.0.AL.CALC'!AM34</f>
        <v>37648</v>
      </c>
      <c r="F33" s="42" t="n">
        <f aca="false">'LSD.RID.0.AL.CALC'!AS34</f>
        <v>44280</v>
      </c>
    </row>
    <row r="34" customFormat="false" ht="12.8" hidden="false" customHeight="false" outlineLevel="0" collapsed="false">
      <c r="A34" s="12" t="str">
        <f aca="false">_xlfn.CONCAT($A$1, ".", 'LSD.RID.0.AL.CALC'!A35)</f>
        <v>AL.AIAVG.31</v>
      </c>
      <c r="B34" s="33" t="str">
        <f aca="false">_xlfn.CONCAT('LSD.RID.0.AL.CALC'!B35, ":", 'LSD.RID.0.AL.CALC'!C35)</f>
        <v>Self-Employed / Non-Employer:Worker</v>
      </c>
      <c r="C34" s="42" t="n">
        <f aca="false">'LSD.RID.0.AL.CALC'!AA35</f>
        <v>78000</v>
      </c>
      <c r="D34" s="42" t="n">
        <f aca="false">'LSD.RID.0.AL.CALC'!AG35</f>
        <v>74048</v>
      </c>
      <c r="E34" s="42" t="n">
        <f aca="false">'LSD.RID.0.AL.CALC'!AM35</f>
        <v>67808</v>
      </c>
      <c r="F34" s="42" t="n">
        <f aca="false">'LSD.RID.0.AL.CALC'!AS35</f>
        <v>79664</v>
      </c>
    </row>
    <row r="35" customFormat="false" ht="12.8" hidden="false" customHeight="false" outlineLevel="0" collapsed="false">
      <c r="A35" s="12" t="str">
        <f aca="false">_xlfn.CONCAT($A$1, ".", 'LSD.RID.0.AL.CALC'!A36)</f>
        <v>AL.AIAVG.32</v>
      </c>
      <c r="B35" s="33" t="str">
        <f aca="false">_xlfn.CONCAT('LSD.RID.0.AL.CALC'!B36, ":", 'LSD.RID.0.AL.CALC'!C36)</f>
        <v>Self-Employed / Non-Employer:Support</v>
      </c>
      <c r="C35" s="42" t="n">
        <f aca="false">'LSD.RID.0.AL.CALC'!AA36</f>
        <v>66310</v>
      </c>
      <c r="D35" s="42" t="n">
        <f aca="false">'LSD.RID.0.AL.CALC'!AG36</f>
        <v>63024</v>
      </c>
      <c r="E35" s="42" t="n">
        <f aca="false">'LSD.RID.0.AL.CALC'!AM36</f>
        <v>57616</v>
      </c>
      <c r="F35" s="42" t="n">
        <f aca="false">'LSD.RID.0.AL.CALC'!AS36</f>
        <v>67600</v>
      </c>
    </row>
    <row r="36" customFormat="false" ht="12.8" hidden="false" customHeight="false" outlineLevel="0" collapsed="false">
      <c r="A36" s="12" t="str">
        <f aca="false">_xlfn.CONCAT($A$1, ".", 'LSD.RID.0.AL.CALC'!A37)</f>
        <v>AL.AIAVG.33</v>
      </c>
      <c r="B36" s="33" t="str">
        <f aca="false">_xlfn.CONCAT('LSD.RID.0.AL.CALC'!B37, ":", 'LSD.RID.0.AL.CALC'!C37)</f>
        <v>Other Services:Worker</v>
      </c>
      <c r="C36" s="42" t="n">
        <f aca="false">'LSD.RID.0.AL.CALC'!AA37</f>
        <v>31637</v>
      </c>
      <c r="D36" s="42" t="n">
        <f aca="false">'LSD.RID.0.AL.CALC'!AG37</f>
        <v>30160</v>
      </c>
      <c r="E36" s="42" t="n">
        <f aca="false">'LSD.RID.0.AL.CALC'!AM37</f>
        <v>26208</v>
      </c>
      <c r="F36" s="42" t="n">
        <f aca="false">'LSD.RID.0.AL.CALC'!AS37</f>
        <v>32240</v>
      </c>
    </row>
    <row r="37" customFormat="false" ht="12.8" hidden="false" customHeight="false" outlineLevel="0" collapsed="false">
      <c r="A37" s="12" t="str">
        <f aca="false">_xlfn.CONCAT($A$1, ".", 'LSD.RID.0.AL.CALC'!A38)</f>
        <v>AL.AIAVG.34</v>
      </c>
      <c r="B37" s="33" t="str">
        <f aca="false">_xlfn.CONCAT('LSD.RID.0.AL.CALC'!B38, ":", 'LSD.RID.0.AL.CALC'!C38)</f>
        <v>Other Services:Support</v>
      </c>
      <c r="C37" s="42" t="n">
        <f aca="false">'LSD.RID.0.AL.CALC'!AA38</f>
        <v>26904</v>
      </c>
      <c r="D37" s="42" t="n">
        <f aca="false">'LSD.RID.0.AL.CALC'!AG38</f>
        <v>25584</v>
      </c>
      <c r="E37" s="42" t="n">
        <f aca="false">'LSD.RID.0.AL.CALC'!AM38</f>
        <v>22256</v>
      </c>
      <c r="F37" s="42" t="n">
        <f aca="false">'LSD.RID.0.AL.CALC'!AS38</f>
        <v>27456</v>
      </c>
    </row>
    <row r="38" customFormat="false" ht="12.8" hidden="false" customHeight="false" outlineLevel="0" collapsed="false">
      <c r="A38" s="1"/>
      <c r="B38" s="18"/>
      <c r="C38" s="41"/>
      <c r="D38" s="41"/>
      <c r="E38" s="41"/>
      <c r="F38" s="41"/>
    </row>
    <row r="39" customFormat="false" ht="12.8" hidden="false" customHeight="false" outlineLevel="0" collapsed="false">
      <c r="A39" s="1"/>
      <c r="B39" s="18"/>
      <c r="C39" s="41"/>
      <c r="D39" s="41"/>
      <c r="E39" s="41"/>
      <c r="F39" s="4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P38"/>
  <sheetViews>
    <sheetView showFormulas="false" showGridLines="true" showRowColHeaders="true" showZeros="true" rightToLeft="false" tabSelected="false" showOutlineSymbols="true" defaultGridColor="true" view="normal" topLeftCell="A91" colorId="64" zoomScale="90" zoomScaleNormal="90" zoomScalePageLayoutView="100" workbookViewId="0">
      <selection pane="topLeft" activeCell="H127" activeCellId="0" sqref="H127"/>
    </sheetView>
  </sheetViews>
  <sheetFormatPr defaultColWidth="11.53515625" defaultRowHeight="12.8" customHeight="false" zeroHeight="false" outlineLevelRow="0" outlineLevelCol="0"/>
  <cols>
    <col collapsed="false" customWidth="false" hidden="false" outlineLevel="0" max="1" min="1" style="38" width="11.53"/>
    <col collapsed="false" customWidth="true" hidden="false" outlineLevel="0" max="2" min="2" style="15" width="41.51"/>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s="36" customFormat="true" ht="12.8" hidden="false" customHeight="false" outlineLevel="0" collapsed="false">
      <c r="A1" s="4" t="s">
        <v>1000</v>
      </c>
      <c r="B1" s="16" t="s">
        <v>1001</v>
      </c>
      <c r="C1" s="17" t="s">
        <v>2</v>
      </c>
      <c r="D1" s="31" t="s">
        <v>1002</v>
      </c>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E1" s="15"/>
      <c r="BF1" s="15"/>
      <c r="BG1" s="15"/>
      <c r="BH1" s="15"/>
      <c r="BI1" s="15"/>
      <c r="BJ1" s="15"/>
      <c r="BK1" s="15"/>
      <c r="BL1" s="15"/>
      <c r="BM1" s="15"/>
      <c r="BN1" s="15"/>
      <c r="BO1" s="15"/>
      <c r="BP1" s="15"/>
    </row>
    <row r="2" customFormat="false" ht="46.25" hidden="false" customHeight="false" outlineLevel="0" collapsed="false">
      <c r="A2" s="24" t="s">
        <v>978</v>
      </c>
      <c r="B2" s="23" t="s">
        <v>979</v>
      </c>
      <c r="C2" s="29" t="str">
        <f aca="false">'LSD.RID.0.AL.CALC'!AV3</f>
        <v>Federal Personal Income Tax Revenue ($  )</v>
      </c>
      <c r="D2" s="29" t="str">
        <f aca="false">'LSD.RID.0.AL.CALC'!AW3</f>
        <v>Authorized Immigrant Federal Personal Income Tax Revenue (  $)</v>
      </c>
      <c r="E2" s="29" t="str">
        <f aca="false">'LSD.RID.0.AL.CALC'!AX3</f>
        <v>Unauthorized Immigrant Federal Personal Income Tax Revenue ($  )</v>
      </c>
      <c r="F2" s="29" t="str">
        <f aca="false">'LSD.RID.0.AL.CALC'!AY3</f>
        <v>American Federal Personal Income Tax Revenue (  $)</v>
      </c>
    </row>
    <row r="3" customFormat="false" ht="12.8" hidden="false" customHeight="false" outlineLevel="0" collapsed="false">
      <c r="A3" s="4" t="str">
        <f aca="false">_xlfn.CONCAT($A$1, ".", 'LSD.RID.0.AL.CALC'!A4)</f>
        <v>AL.FPITREV.0</v>
      </c>
      <c r="B3" s="32" t="str">
        <f aca="false">_xlfn.CONCAT('LSD.RID.0.AL.CALC'!B4, ":", 'LSD.RID.0.AL.CALC'!C4)</f>
        <v>All Industries:All Roles</v>
      </c>
      <c r="C3" s="29" t="n">
        <f aca="false">'LSD.RID.0.AL.CALC'!AV4</f>
        <v>1250000000</v>
      </c>
      <c r="D3" s="29" t="n">
        <f aca="false">'LSD.RID.0.AL.CALC'!AW4</f>
        <v>45000000</v>
      </c>
      <c r="E3" s="29" t="n">
        <f aca="false">'LSD.RID.0.AL.CALC'!AX4</f>
        <v>115000000</v>
      </c>
      <c r="F3" s="29" t="n">
        <f aca="false">'LSD.RID.0.AL.CALC'!AY4</f>
        <v>1095000000</v>
      </c>
    </row>
    <row r="4" customFormat="false" ht="12.8" hidden="false" customHeight="false" outlineLevel="0" collapsed="false">
      <c r="A4" s="12" t="str">
        <f aca="false">_xlfn.CONCAT($A$1, ".", 'LSD.RID.0.AL.CALC'!A5)</f>
        <v>AL.FPITREV.1</v>
      </c>
      <c r="B4" s="33" t="str">
        <f aca="false">_xlfn.CONCAT('LSD.RID.0.AL.CALC'!B5, ":", 'LSD.RID.0.AL.CALC'!C5)</f>
        <v>Agriculture:Worker</v>
      </c>
      <c r="C4" s="43" t="n">
        <f aca="false">'LSD.RID.0.AL.CALC'!AV5</f>
        <v>1800000</v>
      </c>
      <c r="D4" s="43" t="n">
        <f aca="false">'LSD.RID.0.AL.CALC'!AW5</f>
        <v>61000</v>
      </c>
      <c r="E4" s="43" t="n">
        <f aca="false">'LSD.RID.0.AL.CALC'!AX5</f>
        <v>98000</v>
      </c>
      <c r="F4" s="43" t="n">
        <f aca="false">'LSD.RID.0.AL.CALC'!AY5</f>
        <v>1641000</v>
      </c>
    </row>
    <row r="5" customFormat="false" ht="12.8" hidden="false" customHeight="false" outlineLevel="0" collapsed="false">
      <c r="A5" s="12" t="str">
        <f aca="false">_xlfn.CONCAT($A$1, ".", 'LSD.RID.0.AL.CALC'!A6)</f>
        <v>AL.FPITREV.2</v>
      </c>
      <c r="B5" s="33" t="str">
        <f aca="false">_xlfn.CONCAT('LSD.RID.0.AL.CALC'!B6, ":", 'LSD.RID.0.AL.CALC'!C6)</f>
        <v>Agriculture:Support</v>
      </c>
      <c r="C5" s="43" t="n">
        <f aca="false">'LSD.RID.0.AL.CALC'!AV6</f>
        <v>900000</v>
      </c>
      <c r="D5" s="43" t="n">
        <f aca="false">'LSD.RID.0.AL.CALC'!AW6</f>
        <v>30500</v>
      </c>
      <c r="E5" s="43" t="n">
        <f aca="false">'LSD.RID.0.AL.CALC'!AX6</f>
        <v>49000</v>
      </c>
      <c r="F5" s="43" t="n">
        <f aca="false">'LSD.RID.0.AL.CALC'!AY6</f>
        <v>820500</v>
      </c>
    </row>
    <row r="6" customFormat="false" ht="12.8" hidden="false" customHeight="false" outlineLevel="0" collapsed="false">
      <c r="A6" s="12" t="str">
        <f aca="false">_xlfn.CONCAT($A$1, ".", 'LSD.RID.0.AL.CALC'!A7)</f>
        <v>AL.FPITREV.3</v>
      </c>
      <c r="B6" s="33" t="str">
        <f aca="false">_xlfn.CONCAT('LSD.RID.0.AL.CALC'!B7, ":", 'LSD.RID.0.AL.CALC'!C7)</f>
        <v>Construction:Worker</v>
      </c>
      <c r="C6" s="43" t="n">
        <f aca="false">'LSD.RID.0.AL.CALC'!AV7</f>
        <v>5000000</v>
      </c>
      <c r="D6" s="43" t="n">
        <f aca="false">'LSD.RID.0.AL.CALC'!AW7</f>
        <v>170000</v>
      </c>
      <c r="E6" s="43" t="n">
        <f aca="false">'LSD.RID.0.AL.CALC'!AX7</f>
        <v>90000</v>
      </c>
      <c r="F6" s="43" t="n">
        <f aca="false">'LSD.RID.0.AL.CALC'!AY7</f>
        <v>4740000</v>
      </c>
    </row>
    <row r="7" customFormat="false" ht="12.8" hidden="false" customHeight="false" outlineLevel="0" collapsed="false">
      <c r="A7" s="12" t="str">
        <f aca="false">_xlfn.CONCAT($A$1, ".", 'LSD.RID.0.AL.CALC'!A8)</f>
        <v>AL.FPITREV.4</v>
      </c>
      <c r="B7" s="33" t="str">
        <f aca="false">_xlfn.CONCAT('LSD.RID.0.AL.CALC'!B8, ":", 'LSD.RID.0.AL.CALC'!C8)</f>
        <v>Construction:Support</v>
      </c>
      <c r="C7" s="43" t="n">
        <f aca="false">'LSD.RID.0.AL.CALC'!AV8</f>
        <v>2500000</v>
      </c>
      <c r="D7" s="43" t="n">
        <f aca="false">'LSD.RID.0.AL.CALC'!AW8</f>
        <v>85000</v>
      </c>
      <c r="E7" s="43" t="n">
        <f aca="false">'LSD.RID.0.AL.CALC'!AX8</f>
        <v>45000</v>
      </c>
      <c r="F7" s="43" t="n">
        <f aca="false">'LSD.RID.0.AL.CALC'!AY8</f>
        <v>2370000</v>
      </c>
    </row>
    <row r="8" customFormat="false" ht="12.8" hidden="false" customHeight="false" outlineLevel="0" collapsed="false">
      <c r="A8" s="12" t="str">
        <f aca="false">_xlfn.CONCAT($A$1, ".", 'LSD.RID.0.AL.CALC'!A9)</f>
        <v>AL.FPITREV.5</v>
      </c>
      <c r="B8" s="33" t="str">
        <f aca="false">_xlfn.CONCAT('LSD.RID.0.AL.CALC'!B9, ":", 'LSD.RID.0.AL.CALC'!C9)</f>
        <v>Hospitality:Worker</v>
      </c>
      <c r="C8" s="43" t="n">
        <f aca="false">'LSD.RID.0.AL.CALC'!AV9</f>
        <v>36000000</v>
      </c>
      <c r="D8" s="43" t="n">
        <f aca="false">'LSD.RID.0.AL.CALC'!AW9</f>
        <v>1224000</v>
      </c>
      <c r="E8" s="43" t="n">
        <f aca="false">'LSD.RID.0.AL.CALC'!AX9</f>
        <v>648000</v>
      </c>
      <c r="F8" s="43" t="n">
        <f aca="false">'LSD.RID.0.AL.CALC'!AY9</f>
        <v>34137600</v>
      </c>
    </row>
    <row r="9" customFormat="false" ht="12.8" hidden="false" customHeight="false" outlineLevel="0" collapsed="false">
      <c r="A9" s="12" t="str">
        <f aca="false">_xlfn.CONCAT($A$1, ".", 'LSD.RID.0.AL.CALC'!A10)</f>
        <v>AL.FPITREV.6</v>
      </c>
      <c r="B9" s="33" t="str">
        <f aca="false">_xlfn.CONCAT('LSD.RID.0.AL.CALC'!B10, ":", 'LSD.RID.0.AL.CALC'!C10)</f>
        <v>Hospitality:Support</v>
      </c>
      <c r="C9" s="43" t="n">
        <f aca="false">'LSD.RID.0.AL.CALC'!AV10</f>
        <v>18000000</v>
      </c>
      <c r="D9" s="43" t="n">
        <f aca="false">'LSD.RID.0.AL.CALC'!AW10</f>
        <v>612000</v>
      </c>
      <c r="E9" s="43" t="n">
        <f aca="false">'LSD.RID.0.AL.CALC'!AX10</f>
        <v>324000</v>
      </c>
      <c r="F9" s="43" t="n">
        <f aca="false">'LSD.RID.0.AL.CALC'!AY10</f>
        <v>17068800</v>
      </c>
    </row>
    <row r="10" customFormat="false" ht="12.8" hidden="false" customHeight="false" outlineLevel="0" collapsed="false">
      <c r="A10" s="12" t="str">
        <f aca="false">_xlfn.CONCAT($A$1, ".", 'LSD.RID.0.AL.CALC'!A11)</f>
        <v>AL.FPITREV.7</v>
      </c>
      <c r="B10" s="33" t="str">
        <f aca="false">_xlfn.CONCAT('LSD.RID.0.AL.CALC'!B11, ":", 'LSD.RID.0.AL.CALC'!C11)</f>
        <v>Cleaning &amp; Maintenance:Worker</v>
      </c>
      <c r="C10" s="43" t="n">
        <f aca="false">'LSD.RID.0.AL.CALC'!AV11</f>
        <v>5200000</v>
      </c>
      <c r="D10" s="43" t="n">
        <f aca="false">'LSD.RID.0.AL.CALC'!AW11</f>
        <v>177000</v>
      </c>
      <c r="E10" s="43" t="n">
        <f aca="false">'LSD.RID.0.AL.CALC'!AX11</f>
        <v>93600</v>
      </c>
      <c r="F10" s="43" t="n">
        <f aca="false">'LSD.RID.0.AL.CALC'!AY11</f>
        <v>4928400</v>
      </c>
    </row>
    <row r="11" customFormat="false" ht="12.8" hidden="false" customHeight="false" outlineLevel="0" collapsed="false">
      <c r="A11" s="12" t="str">
        <f aca="false">_xlfn.CONCAT($A$1, ".", 'LSD.RID.0.AL.CALC'!A12)</f>
        <v>AL.FPITREV.8</v>
      </c>
      <c r="B11" s="33" t="str">
        <f aca="false">_xlfn.CONCAT('LSD.RID.0.AL.CALC'!B12, ":", 'LSD.RID.0.AL.CALC'!C12)</f>
        <v>Cleaning &amp; Maintenance:Support</v>
      </c>
      <c r="C11" s="43" t="n">
        <f aca="false">'LSD.RID.0.AL.CALC'!AV12</f>
        <v>2600000</v>
      </c>
      <c r="D11" s="43" t="n">
        <f aca="false">'LSD.RID.0.AL.CALC'!AW12</f>
        <v>88400</v>
      </c>
      <c r="E11" s="43" t="n">
        <f aca="false">'LSD.RID.0.AL.CALC'!AX12</f>
        <v>46800</v>
      </c>
      <c r="F11" s="43" t="n">
        <f aca="false">'LSD.RID.0.AL.CALC'!AY12</f>
        <v>2464200</v>
      </c>
    </row>
    <row r="12" customFormat="false" ht="12.8" hidden="false" customHeight="false" outlineLevel="0" collapsed="false">
      <c r="A12" s="12" t="str">
        <f aca="false">_xlfn.CONCAT($A$1, ".", 'LSD.RID.0.AL.CALC'!A13)</f>
        <v>AL.FPITREV.9</v>
      </c>
      <c r="B12" s="33" t="str">
        <f aca="false">_xlfn.CONCAT('LSD.RID.0.AL.CALC'!B13, ":", 'LSD.RID.0.AL.CALC'!C13)</f>
        <v>Manufacturing:Worker</v>
      </c>
      <c r="C12" s="43" t="n">
        <f aca="false">'LSD.RID.0.AL.CALC'!AV13</f>
        <v>69000000</v>
      </c>
      <c r="D12" s="43" t="n">
        <f aca="false">'LSD.RID.0.AL.CALC'!AW13</f>
        <v>2346000</v>
      </c>
      <c r="E12" s="43" t="n">
        <f aca="false">'LSD.RID.0.AL.CALC'!AX13</f>
        <v>1242000</v>
      </c>
      <c r="F12" s="43" t="n">
        <f aca="false">'LSD.RID.0.AL.CALC'!AY13</f>
        <v>65418000</v>
      </c>
    </row>
    <row r="13" customFormat="false" ht="12.8" hidden="false" customHeight="false" outlineLevel="0" collapsed="false">
      <c r="A13" s="12" t="str">
        <f aca="false">_xlfn.CONCAT($A$1, ".", 'LSD.RID.0.AL.CALC'!A14)</f>
        <v>AL.FPITREV.10</v>
      </c>
      <c r="B13" s="33" t="str">
        <f aca="false">_xlfn.CONCAT('LSD.RID.0.AL.CALC'!B14, ":", 'LSD.RID.0.AL.CALC'!C14)</f>
        <v>Manufacturing:Support</v>
      </c>
      <c r="C13" s="43" t="n">
        <f aca="false">'LSD.RID.0.AL.CALC'!AV14</f>
        <v>34500000</v>
      </c>
      <c r="D13" s="43" t="n">
        <f aca="false">'LSD.RID.0.AL.CALC'!AW14</f>
        <v>1173000</v>
      </c>
      <c r="E13" s="43" t="n">
        <f aca="false">'LSD.RID.0.AL.CALC'!AX14</f>
        <v>621000</v>
      </c>
      <c r="F13" s="43" t="n">
        <f aca="false">'LSD.RID.0.AL.CALC'!AY14</f>
        <v>32709000</v>
      </c>
    </row>
    <row r="14" customFormat="false" ht="12.8" hidden="false" customHeight="false" outlineLevel="0" collapsed="false">
      <c r="A14" s="12" t="str">
        <f aca="false">_xlfn.CONCAT($A$1, ".", 'LSD.RID.0.AL.CALC'!A15)</f>
        <v>AL.FPITREV.11</v>
      </c>
      <c r="B14" s="33" t="str">
        <f aca="false">_xlfn.CONCAT('LSD.RID.0.AL.CALC'!B15, ":", 'LSD.RID.0.AL.CALC'!C15)</f>
        <v>Transportation &amp; Warehousing:Worker</v>
      </c>
      <c r="C14" s="43" t="n">
        <f aca="false">'LSD.RID.0.AL.CALC'!AV15</f>
        <v>23000000</v>
      </c>
      <c r="D14" s="43" t="n">
        <f aca="false">'LSD.RID.0.AL.CALC'!AW15</f>
        <v>782000</v>
      </c>
      <c r="E14" s="43" t="n">
        <f aca="false">'LSD.RID.0.AL.CALC'!AX15</f>
        <v>414000</v>
      </c>
      <c r="F14" s="43" t="n">
        <f aca="false">'LSD.RID.0.AL.CALC'!AY15</f>
        <v>21796000</v>
      </c>
    </row>
    <row r="15" customFormat="false" ht="12.8" hidden="false" customHeight="false" outlineLevel="0" collapsed="false">
      <c r="A15" s="12" t="str">
        <f aca="false">_xlfn.CONCAT($A$1, ".", 'LSD.RID.0.AL.CALC'!A16)</f>
        <v>AL.FPITREV.12</v>
      </c>
      <c r="B15" s="33" t="str">
        <f aca="false">_xlfn.CONCAT('LSD.RID.0.AL.CALC'!B16, ":", 'LSD.RID.0.AL.CALC'!C16)</f>
        <v>Transportation &amp; Warehousing:Support</v>
      </c>
      <c r="C15" s="43" t="n">
        <f aca="false">'LSD.RID.0.AL.CALC'!AV16</f>
        <v>11500000</v>
      </c>
      <c r="D15" s="43" t="n">
        <f aca="false">'LSD.RID.0.AL.CALC'!AW16</f>
        <v>391000</v>
      </c>
      <c r="E15" s="43" t="n">
        <f aca="false">'LSD.RID.0.AL.CALC'!AX16</f>
        <v>207000</v>
      </c>
      <c r="F15" s="43" t="n">
        <f aca="false">'LSD.RID.0.AL.CALC'!AY16</f>
        <v>10898000</v>
      </c>
    </row>
    <row r="16" customFormat="false" ht="12.8" hidden="false" customHeight="false" outlineLevel="0" collapsed="false">
      <c r="A16" s="12" t="str">
        <f aca="false">_xlfn.CONCAT($A$1, ".", 'LSD.RID.0.AL.CALC'!A17)</f>
        <v>AL.FPITREV.13</v>
      </c>
      <c r="B16" s="33" t="str">
        <f aca="false">_xlfn.CONCAT('LSD.RID.0.AL.CALC'!B17, ":", 'LSD.RID.0.AL.CALC'!C17)</f>
        <v>Retail Trade:Worker</v>
      </c>
      <c r="C16" s="43" t="n">
        <f aca="false">'LSD.RID.0.AL.CALC'!AV17</f>
        <v>48000000</v>
      </c>
      <c r="D16" s="43" t="n">
        <f aca="false">'LSD.RID.0.AL.CALC'!AW17</f>
        <v>1632000</v>
      </c>
      <c r="E16" s="43" t="n">
        <f aca="false">'LSD.RID.0.AL.CALC'!AX17</f>
        <v>864000</v>
      </c>
      <c r="F16" s="43" t="n">
        <f aca="false">'LSD.RID.0.AL.CALC'!AY17</f>
        <v>45528000</v>
      </c>
    </row>
    <row r="17" customFormat="false" ht="12.8" hidden="false" customHeight="false" outlineLevel="0" collapsed="false">
      <c r="A17" s="12" t="str">
        <f aca="false">_xlfn.CONCAT($A$1, ".", 'LSD.RID.0.AL.CALC'!A18)</f>
        <v>AL.FPITREV.14</v>
      </c>
      <c r="B17" s="33" t="str">
        <f aca="false">_xlfn.CONCAT('LSD.RID.0.AL.CALC'!B18, ":", 'LSD.RID.0.AL.CALC'!C18)</f>
        <v>Retail Trade:Support</v>
      </c>
      <c r="C17" s="43" t="n">
        <f aca="false">'LSD.RID.0.AL.CALC'!AV18</f>
        <v>24000000</v>
      </c>
      <c r="D17" s="43" t="n">
        <f aca="false">'LSD.RID.0.AL.CALC'!AW18</f>
        <v>816000</v>
      </c>
      <c r="E17" s="43" t="n">
        <f aca="false">'LSD.RID.0.AL.CALC'!AX18</f>
        <v>432000</v>
      </c>
      <c r="F17" s="43" t="n">
        <f aca="false">'LSD.RID.0.AL.CALC'!AY18</f>
        <v>22764000</v>
      </c>
    </row>
    <row r="18" customFormat="false" ht="12.8" hidden="false" customHeight="false" outlineLevel="0" collapsed="false">
      <c r="A18" s="12" t="str">
        <f aca="false">_xlfn.CONCAT($A$1, ".", 'LSD.RID.0.AL.CALC'!A19)</f>
        <v>AL.FPITREV.15</v>
      </c>
      <c r="B18" s="33" t="str">
        <f aca="false">_xlfn.CONCAT('LSD.RID.0.AL.CALC'!B19, ":", 'LSD.RID.0.AL.CALC'!C19)</f>
        <v>Landscaping / Groundskeeping:Worker</v>
      </c>
      <c r="C18" s="43" t="n">
        <f aca="false">'LSD.RID.0.AL.CALC'!AV19</f>
        <v>3300000</v>
      </c>
      <c r="D18" s="43" t="n">
        <f aca="false">'LSD.RID.0.AL.CALC'!AW19</f>
        <v>112200</v>
      </c>
      <c r="E18" s="43" t="n">
        <f aca="false">'LSD.RID.0.AL.CALC'!AX19</f>
        <v>59400</v>
      </c>
      <c r="F18" s="43" t="n">
        <f aca="false">'LSD.RID.0.AL.CALC'!AY19</f>
        <v>3132600</v>
      </c>
    </row>
    <row r="19" customFormat="false" ht="12.8" hidden="false" customHeight="false" outlineLevel="0" collapsed="false">
      <c r="A19" s="12" t="str">
        <f aca="false">_xlfn.CONCAT($A$1, ".", 'LSD.RID.0.AL.CALC'!A20)</f>
        <v>AL.FPITREV.16</v>
      </c>
      <c r="B19" s="33" t="str">
        <f aca="false">_xlfn.CONCAT('LSD.RID.0.AL.CALC'!B20, ":", 'LSD.RID.0.AL.CALC'!C20)</f>
        <v>Landscaping / Groundskeeping:Support</v>
      </c>
      <c r="C19" s="43" t="n">
        <f aca="false">'LSD.RID.0.AL.CALC'!AV20</f>
        <v>1650000</v>
      </c>
      <c r="D19" s="43" t="n">
        <f aca="false">'LSD.RID.0.AL.CALC'!AW20</f>
        <v>56100</v>
      </c>
      <c r="E19" s="43" t="n">
        <f aca="false">'LSD.RID.0.AL.CALC'!AX20</f>
        <v>29700</v>
      </c>
      <c r="F19" s="43" t="n">
        <f aca="false">'LSD.RID.0.AL.CALC'!AY20</f>
        <v>1566300</v>
      </c>
    </row>
    <row r="20" customFormat="false" ht="12.8" hidden="false" customHeight="false" outlineLevel="0" collapsed="false">
      <c r="A20" s="12" t="str">
        <f aca="false">_xlfn.CONCAT($A$1, ".", 'LSD.RID.0.AL.CALC'!A21)</f>
        <v>AL.FPITREV.17</v>
      </c>
      <c r="B20" s="33" t="str">
        <f aca="false">_xlfn.CONCAT('LSD.RID.0.AL.CALC'!B21, ":", 'LSD.RID.0.AL.CALC'!C21)</f>
        <v>Automotive &amp; Repair:Worker</v>
      </c>
      <c r="C20" s="43" t="n">
        <f aca="false">'LSD.RID.0.AL.CALC'!AV21</f>
        <v>2700000</v>
      </c>
      <c r="D20" s="43" t="n">
        <f aca="false">'LSD.RID.0.AL.CALC'!AW21</f>
        <v>91800</v>
      </c>
      <c r="E20" s="43" t="n">
        <f aca="false">'LSD.RID.0.AL.CALC'!AX21</f>
        <v>48600</v>
      </c>
      <c r="F20" s="43" t="n">
        <f aca="false">'LSD.RID.0.AL.CALC'!AY21</f>
        <v>2554200</v>
      </c>
    </row>
    <row r="21" customFormat="false" ht="12.8" hidden="false" customHeight="false" outlineLevel="0" collapsed="false">
      <c r="A21" s="12" t="str">
        <f aca="false">_xlfn.CONCAT($A$1, ".", 'LSD.RID.0.AL.CALC'!A22)</f>
        <v>AL.FPITREV.18</v>
      </c>
      <c r="B21" s="33" t="str">
        <f aca="false">_xlfn.CONCAT('LSD.RID.0.AL.CALC'!B22, ":", 'LSD.RID.0.AL.CALC'!C22)</f>
        <v>Automotive &amp; Repair:Support</v>
      </c>
      <c r="C21" s="43" t="n">
        <f aca="false">'LSD.RID.0.AL.CALC'!AV22</f>
        <v>1350000</v>
      </c>
      <c r="D21" s="43" t="n">
        <f aca="false">'LSD.RID.0.AL.CALC'!AW22</f>
        <v>45900</v>
      </c>
      <c r="E21" s="43" t="n">
        <f aca="false">'LSD.RID.0.AL.CALC'!AX22</f>
        <v>24300</v>
      </c>
      <c r="F21" s="43" t="n">
        <f aca="false">'LSD.RID.0.AL.CALC'!AY22</f>
        <v>1277100</v>
      </c>
    </row>
    <row r="22" customFormat="false" ht="12.8" hidden="false" customHeight="false" outlineLevel="0" collapsed="false">
      <c r="A22" s="12" t="str">
        <f aca="false">_xlfn.CONCAT($A$1, ".", 'LSD.RID.0.AL.CALC'!A23)</f>
        <v>AL.FPITREV.19</v>
      </c>
      <c r="B22" s="33" t="str">
        <f aca="false">_xlfn.CONCAT('LSD.RID.0.AL.CALC'!B23, ":", 'LSD.RID.0.AL.CALC'!C23)</f>
        <v>Healthcare &amp; Social Assistance:Worker</v>
      </c>
      <c r="C22" s="43" t="n">
        <f aca="false">'LSD.RID.0.AL.CALC'!AV23</f>
        <v>104000000</v>
      </c>
      <c r="D22" s="43" t="n">
        <f aca="false">'LSD.RID.0.AL.CALC'!AW23</f>
        <v>3536000</v>
      </c>
      <c r="E22" s="43" t="n">
        <f aca="false">'LSD.RID.0.AL.CALC'!AX23</f>
        <v>1872000</v>
      </c>
      <c r="F22" s="43" t="n">
        <f aca="false">'LSD.RID.0.AL.CALC'!AY23</f>
        <v>98566400</v>
      </c>
    </row>
    <row r="23" customFormat="false" ht="12.8" hidden="false" customHeight="false" outlineLevel="0" collapsed="false">
      <c r="A23" s="12" t="str">
        <f aca="false">_xlfn.CONCAT($A$1, ".", 'LSD.RID.0.AL.CALC'!A24)</f>
        <v>AL.FPITREV.20</v>
      </c>
      <c r="B23" s="33" t="str">
        <f aca="false">_xlfn.CONCAT('LSD.RID.0.AL.CALC'!B24, ":", 'LSD.RID.0.AL.CALC'!C24)</f>
        <v>Healthcare &amp; Social Assistance:Support</v>
      </c>
      <c r="C23" s="43" t="n">
        <f aca="false">'LSD.RID.0.AL.CALC'!AV24</f>
        <v>52000000</v>
      </c>
      <c r="D23" s="43" t="n">
        <f aca="false">'LSD.RID.0.AL.CALC'!AW24</f>
        <v>1768000</v>
      </c>
      <c r="E23" s="43" t="n">
        <f aca="false">'LSD.RID.0.AL.CALC'!AX24</f>
        <v>936000</v>
      </c>
      <c r="F23" s="43" t="n">
        <f aca="false">'LSD.RID.0.AL.CALC'!AY24</f>
        <v>49283200</v>
      </c>
    </row>
    <row r="24" customFormat="false" ht="12.8" hidden="false" customHeight="false" outlineLevel="0" collapsed="false">
      <c r="A24" s="12" t="str">
        <f aca="false">_xlfn.CONCAT($A$1, ".", 'LSD.RID.0.AL.CALC'!A25)</f>
        <v>AL.FPITREV.21</v>
      </c>
      <c r="B24" s="33" t="str">
        <f aca="false">_xlfn.CONCAT('LSD.RID.0.AL.CALC'!B25, ":", 'LSD.RID.0.AL.CALC'!C25)</f>
        <v>Professional Services:Worker</v>
      </c>
      <c r="C24" s="43" t="n">
        <f aca="false">'LSD.RID.0.AL.CALC'!AV25</f>
        <v>66000000</v>
      </c>
      <c r="D24" s="43" t="n">
        <f aca="false">'LSD.RID.0.AL.CALC'!AW25</f>
        <v>2244000</v>
      </c>
      <c r="E24" s="43" t="n">
        <f aca="false">'LSD.RID.0.AL.CALC'!AX25</f>
        <v>1188000</v>
      </c>
      <c r="F24" s="43" t="n">
        <f aca="false">'LSD.RID.0.AL.CALC'!AY25</f>
        <v>62598000</v>
      </c>
    </row>
    <row r="25" customFormat="false" ht="12.8" hidden="false" customHeight="false" outlineLevel="0" collapsed="false">
      <c r="A25" s="12" t="str">
        <f aca="false">_xlfn.CONCAT($A$1, ".", 'LSD.RID.0.AL.CALC'!A26)</f>
        <v>AL.FPITREV.22</v>
      </c>
      <c r="B25" s="33" t="str">
        <f aca="false">_xlfn.CONCAT('LSD.RID.0.AL.CALC'!B26, ":", 'LSD.RID.0.AL.CALC'!C26)</f>
        <v>Professional Services:Support</v>
      </c>
      <c r="C25" s="43" t="n">
        <f aca="false">'LSD.RID.0.AL.CALC'!AV26</f>
        <v>33000000</v>
      </c>
      <c r="D25" s="43" t="n">
        <f aca="false">'LSD.RID.0.AL.CALC'!AW26</f>
        <v>1122000</v>
      </c>
      <c r="E25" s="43" t="n">
        <f aca="false">'LSD.RID.0.AL.CALC'!AX26</f>
        <v>594000</v>
      </c>
      <c r="F25" s="43" t="n">
        <f aca="false">'LSD.RID.0.AL.CALC'!AY26</f>
        <v>31299000</v>
      </c>
    </row>
    <row r="26" customFormat="false" ht="12.8" hidden="false" customHeight="false" outlineLevel="0" collapsed="false">
      <c r="A26" s="12" t="str">
        <f aca="false">_xlfn.CONCAT($A$1, ".", 'LSD.RID.0.AL.CALC'!A27)</f>
        <v>AL.FPITREV.23</v>
      </c>
      <c r="B26" s="33" t="str">
        <f aca="false">_xlfn.CONCAT('LSD.RID.0.AL.CALC'!B27, ":", 'LSD.RID.0.AL.CALC'!C27)</f>
        <v>Educational Services:Worker</v>
      </c>
      <c r="C26" s="43" t="n">
        <f aca="false">'LSD.RID.0.AL.CALC'!AV27</f>
        <v>42000000</v>
      </c>
      <c r="D26" s="43" t="n">
        <f aca="false">'LSD.RID.0.AL.CALC'!AW27</f>
        <v>1428000</v>
      </c>
      <c r="E26" s="43" t="n">
        <f aca="false">'LSD.RID.0.AL.CALC'!AX27</f>
        <v>756000</v>
      </c>
      <c r="F26" s="43" t="n">
        <f aca="false">'LSD.RID.0.AL.CALC'!AY27</f>
        <v>39823200</v>
      </c>
    </row>
    <row r="27" customFormat="false" ht="12.8" hidden="false" customHeight="false" outlineLevel="0" collapsed="false">
      <c r="A27" s="12" t="str">
        <f aca="false">_xlfn.CONCAT($A$1, ".", 'LSD.RID.0.AL.CALC'!A28)</f>
        <v>AL.FPITREV.24</v>
      </c>
      <c r="B27" s="33" t="str">
        <f aca="false">_xlfn.CONCAT('LSD.RID.0.AL.CALC'!B28, ":", 'LSD.RID.0.AL.CALC'!C28)</f>
        <v>Educational Services:Support</v>
      </c>
      <c r="C27" s="43" t="n">
        <f aca="false">'LSD.RID.0.AL.CALC'!AV28</f>
        <v>21000000</v>
      </c>
      <c r="D27" s="43" t="n">
        <f aca="false">'LSD.RID.0.AL.CALC'!AW28</f>
        <v>714000</v>
      </c>
      <c r="E27" s="43" t="n">
        <f aca="false">'LSD.RID.0.AL.CALC'!AX28</f>
        <v>378000</v>
      </c>
      <c r="F27" s="43" t="n">
        <f aca="false">'LSD.RID.0.AL.CALC'!AY28</f>
        <v>19911600</v>
      </c>
    </row>
    <row r="28" customFormat="false" ht="12.8" hidden="false" customHeight="false" outlineLevel="0" collapsed="false">
      <c r="A28" s="12" t="str">
        <f aca="false">_xlfn.CONCAT($A$1, ".", 'LSD.RID.0.AL.CALC'!A29)</f>
        <v>AL.FPITREV.25</v>
      </c>
      <c r="B28" s="33" t="str">
        <f aca="false">_xlfn.CONCAT('LSD.RID.0.AL.CALC'!B29, ":", 'LSD.RID.0.AL.CALC'!C29)</f>
        <v>Finance &amp; Insurance:Worker</v>
      </c>
      <c r="C28" s="43" t="n">
        <f aca="false">'LSD.RID.0.AL.CALC'!AV29</f>
        <v>30000000</v>
      </c>
      <c r="D28" s="43" t="n">
        <f aca="false">'LSD.RID.0.AL.CALC'!AW29</f>
        <v>1020000</v>
      </c>
      <c r="E28" s="43" t="n">
        <f aca="false">'LSD.RID.0.AL.CALC'!AX29</f>
        <v>540000</v>
      </c>
      <c r="F28" s="43" t="n">
        <f aca="false">'LSD.RID.0.AL.CALC'!AY29</f>
        <v>28458000</v>
      </c>
    </row>
    <row r="29" customFormat="false" ht="12.8" hidden="false" customHeight="false" outlineLevel="0" collapsed="false">
      <c r="A29" s="12" t="str">
        <f aca="false">_xlfn.CONCAT($A$1, ".", 'LSD.RID.0.AL.CALC'!A30)</f>
        <v>AL.FPITREV.26</v>
      </c>
      <c r="B29" s="33" t="str">
        <f aca="false">_xlfn.CONCAT('LSD.RID.0.AL.CALC'!B30, ":", 'LSD.RID.0.AL.CALC'!C30)</f>
        <v>Finance &amp; Insurance:Support</v>
      </c>
      <c r="C29" s="43" t="n">
        <f aca="false">'LSD.RID.0.AL.CALC'!AV30</f>
        <v>15000000</v>
      </c>
      <c r="D29" s="43" t="n">
        <f aca="false">'LSD.RID.0.AL.CALC'!AW30</f>
        <v>510000</v>
      </c>
      <c r="E29" s="43" t="n">
        <f aca="false">'LSD.RID.0.AL.CALC'!AX30</f>
        <v>270000</v>
      </c>
      <c r="F29" s="43" t="n">
        <f aca="false">'LSD.RID.0.AL.CALC'!AY30</f>
        <v>14229000</v>
      </c>
    </row>
    <row r="30" customFormat="false" ht="12.8" hidden="false" customHeight="false" outlineLevel="0" collapsed="false">
      <c r="A30" s="12" t="str">
        <f aca="false">_xlfn.CONCAT($A$1, ".", 'LSD.RID.0.AL.CALC'!A31)</f>
        <v>AL.FPITREV.27</v>
      </c>
      <c r="B30" s="33" t="str">
        <f aca="false">_xlfn.CONCAT('LSD.RID.0.AL.CALC'!B31, ":", 'LSD.RID.0.AL.CALC'!C31)</f>
        <v>Media and Information Technology:Worker</v>
      </c>
      <c r="C30" s="43" t="n">
        <f aca="false">'LSD.RID.0.AL.CALC'!AV31</f>
        <v>9000000</v>
      </c>
      <c r="D30" s="43" t="n">
        <f aca="false">'LSD.RID.0.AL.CALC'!AW31</f>
        <v>306000</v>
      </c>
      <c r="E30" s="43" t="n">
        <f aca="false">'LSD.RID.0.AL.CALC'!AX31</f>
        <v>162000</v>
      </c>
      <c r="F30" s="43" t="n">
        <f aca="false">'LSD.RID.0.AL.CALC'!AY31</f>
        <v>8532000</v>
      </c>
    </row>
    <row r="31" customFormat="false" ht="12.8" hidden="false" customHeight="false" outlineLevel="0" collapsed="false">
      <c r="A31" s="12" t="str">
        <f aca="false">_xlfn.CONCAT($A$1, ".", 'LSD.RID.0.AL.CALC'!A32)</f>
        <v>AL.FPITREV.28</v>
      </c>
      <c r="B31" s="33" t="str">
        <f aca="false">_xlfn.CONCAT('LSD.RID.0.AL.CALC'!B32, ":", 'LSD.RID.0.AL.CALC'!C32)</f>
        <v>Media and Information Technology:Support</v>
      </c>
      <c r="C31" s="43" t="n">
        <f aca="false">'LSD.RID.0.AL.CALC'!AV32</f>
        <v>4500000</v>
      </c>
      <c r="D31" s="43" t="n">
        <f aca="false">'LSD.RID.0.AL.CALC'!AW32</f>
        <v>153000</v>
      </c>
      <c r="E31" s="43" t="n">
        <f aca="false">'LSD.RID.0.AL.CALC'!AX32</f>
        <v>81000</v>
      </c>
      <c r="F31" s="43" t="n">
        <f aca="false">'LSD.RID.0.AL.CALC'!AY32</f>
        <v>4266000</v>
      </c>
    </row>
    <row r="32" customFormat="false" ht="12.8" hidden="false" customHeight="false" outlineLevel="0" collapsed="false">
      <c r="A32" s="12" t="str">
        <f aca="false">_xlfn.CONCAT($A$1, ".", 'LSD.RID.0.AL.CALC'!A33)</f>
        <v>AL.FPITREV.29</v>
      </c>
      <c r="B32" s="33" t="str">
        <f aca="false">_xlfn.CONCAT('LSD.RID.0.AL.CALC'!B33, ":", 'LSD.RID.0.AL.CALC'!C33)</f>
        <v>Government:Worker</v>
      </c>
      <c r="C32" s="43" t="n">
        <f aca="false">'LSD.RID.0.AL.CALC'!AV33</f>
        <v>120000000</v>
      </c>
      <c r="D32" s="43" t="n">
        <f aca="false">'LSD.RID.0.AL.CALC'!AW33</f>
        <v>4080000</v>
      </c>
      <c r="E32" s="43" t="n">
        <f aca="false">'LSD.RID.0.AL.CALC'!AX33</f>
        <v>2160000</v>
      </c>
      <c r="F32" s="43" t="n">
        <f aca="false">'LSD.RID.0.AL.CALC'!AY33</f>
        <v>113520000</v>
      </c>
    </row>
    <row r="33" customFormat="false" ht="12.8" hidden="false" customHeight="false" outlineLevel="0" collapsed="false">
      <c r="A33" s="12" t="str">
        <f aca="false">_xlfn.CONCAT($A$1, ".", 'LSD.RID.0.AL.CALC'!A34)</f>
        <v>AL.FPITREV.30</v>
      </c>
      <c r="B33" s="33" t="str">
        <f aca="false">_xlfn.CONCAT('LSD.RID.0.AL.CALC'!B34, ":", 'LSD.RID.0.AL.CALC'!C34)</f>
        <v>Government:Support</v>
      </c>
      <c r="C33" s="43" t="n">
        <f aca="false">'LSD.RID.0.AL.CALC'!AV34</f>
        <v>60000000</v>
      </c>
      <c r="D33" s="43" t="n">
        <f aca="false">'LSD.RID.0.AL.CALC'!AW34</f>
        <v>2040000</v>
      </c>
      <c r="E33" s="43" t="n">
        <f aca="false">'LSD.RID.0.AL.CALC'!AX34</f>
        <v>1080000</v>
      </c>
      <c r="F33" s="43" t="n">
        <f aca="false">'LSD.RID.0.AL.CALC'!AY34</f>
        <v>56760000</v>
      </c>
    </row>
    <row r="34" customFormat="false" ht="12.8" hidden="false" customHeight="false" outlineLevel="0" collapsed="false">
      <c r="A34" s="12" t="str">
        <f aca="false">_xlfn.CONCAT($A$1, ".", 'LSD.RID.0.AL.CALC'!A35)</f>
        <v>AL.FPITREV.31</v>
      </c>
      <c r="B34" s="33" t="str">
        <f aca="false">_xlfn.CONCAT('LSD.RID.0.AL.CALC'!B35, ":", 'LSD.RID.0.AL.CALC'!C35)</f>
        <v>Self-Employed / Non-Employer:Worker</v>
      </c>
      <c r="C34" s="43" t="n">
        <f aca="false">'LSD.RID.0.AL.CALC'!AV35</f>
        <v>5400000</v>
      </c>
      <c r="D34" s="43" t="n">
        <f aca="false">'LSD.RID.0.AL.CALC'!AW35</f>
        <v>183600</v>
      </c>
      <c r="E34" s="43" t="n">
        <f aca="false">'LSD.RID.0.AL.CALC'!AX35</f>
        <v>97200</v>
      </c>
      <c r="F34" s="43" t="n">
        <f aca="false">'LSD.RID.0.AL.CALC'!AY35</f>
        <v>5122800</v>
      </c>
    </row>
    <row r="35" customFormat="false" ht="12.8" hidden="false" customHeight="false" outlineLevel="0" collapsed="false">
      <c r="A35" s="12" t="str">
        <f aca="false">_xlfn.CONCAT($A$1, ".", 'LSD.RID.0.AL.CALC'!A36)</f>
        <v>AL.FPITREV.32</v>
      </c>
      <c r="B35" s="33" t="str">
        <f aca="false">_xlfn.CONCAT('LSD.RID.0.AL.CALC'!B36, ":", 'LSD.RID.0.AL.CALC'!C36)</f>
        <v>Self-Employed / Non-Employer:Support</v>
      </c>
      <c r="C35" s="43" t="n">
        <f aca="false">'LSD.RID.0.AL.CALC'!AV36</f>
        <v>2700000</v>
      </c>
      <c r="D35" s="43" t="n">
        <f aca="false">'LSD.RID.0.AL.CALC'!AW36</f>
        <v>91800</v>
      </c>
      <c r="E35" s="43" t="n">
        <f aca="false">'LSD.RID.0.AL.CALC'!AX36</f>
        <v>48600</v>
      </c>
      <c r="F35" s="43" t="n">
        <f aca="false">'LSD.RID.0.AL.CALC'!AY36</f>
        <v>2561400</v>
      </c>
    </row>
    <row r="36" customFormat="false" ht="12.8" hidden="false" customHeight="false" outlineLevel="0" collapsed="false">
      <c r="A36" s="12" t="str">
        <f aca="false">_xlfn.CONCAT($A$1, ".", 'LSD.RID.0.AL.CALC'!A37)</f>
        <v>AL.FPITREV.33</v>
      </c>
      <c r="B36" s="33" t="str">
        <f aca="false">_xlfn.CONCAT('LSD.RID.0.AL.CALC'!B37, ":", 'LSD.RID.0.AL.CALC'!C37)</f>
        <v>Other Services:Worker</v>
      </c>
      <c r="C36" s="43" t="n">
        <f aca="false">'LSD.RID.0.AL.CALC'!AV37</f>
        <v>3300000</v>
      </c>
      <c r="D36" s="43" t="n">
        <f aca="false">'LSD.RID.0.AL.CALC'!AW37</f>
        <v>112200</v>
      </c>
      <c r="E36" s="43" t="n">
        <f aca="false">'LSD.RID.0.AL.CALC'!AX37</f>
        <v>59400</v>
      </c>
      <c r="F36" s="43" t="n">
        <f aca="false">'LSD.RID.0.AL.CALC'!AY37</f>
        <v>3127800</v>
      </c>
    </row>
    <row r="37" customFormat="false" ht="12.8" hidden="false" customHeight="false" outlineLevel="0" collapsed="false">
      <c r="A37" s="12" t="str">
        <f aca="false">_xlfn.CONCAT($A$1, ".", 'LSD.RID.0.AL.CALC'!A38)</f>
        <v>AL.FPITREV.34</v>
      </c>
      <c r="B37" s="33" t="str">
        <f aca="false">_xlfn.CONCAT('LSD.RID.0.AL.CALC'!B38, ":", 'LSD.RID.0.AL.CALC'!C38)</f>
        <v>Other Services:Support</v>
      </c>
      <c r="C37" s="43" t="n">
        <f aca="false">'LSD.RID.0.AL.CALC'!AV38</f>
        <v>1650000</v>
      </c>
      <c r="D37" s="43" t="n">
        <f aca="false">'LSD.RID.0.AL.CALC'!AW38</f>
        <v>56100</v>
      </c>
      <c r="E37" s="43" t="n">
        <f aca="false">'LSD.RID.0.AL.CALC'!AX38</f>
        <v>29700</v>
      </c>
      <c r="F37" s="43" t="n">
        <f aca="false">'LSD.RID.0.AL.CALC'!AY38</f>
        <v>1563900</v>
      </c>
    </row>
    <row r="38" customFormat="false" ht="12.8" hidden="false" customHeight="false" outlineLevel="0" collapsed="false">
      <c r="A38" s="12"/>
      <c r="B38" s="18"/>
      <c r="C38" s="29"/>
      <c r="D38" s="29"/>
      <c r="E38" s="29"/>
      <c r="F38" s="2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38"/>
  <sheetViews>
    <sheetView showFormulas="false" showGridLines="true" showRowColHeaders="true" showZeros="true" rightToLeft="false" tabSelected="false" showOutlineSymbols="true" defaultGridColor="true" view="normal" topLeftCell="A25" colorId="64" zoomScale="90" zoomScaleNormal="90" zoomScalePageLayoutView="100" workbookViewId="0">
      <selection pane="topLeft" activeCell="I88" activeCellId="0" sqref="I88"/>
    </sheetView>
  </sheetViews>
  <sheetFormatPr defaultColWidth="11.53515625" defaultRowHeight="12.8" customHeight="false" zeroHeight="false" outlineLevelRow="0" outlineLevelCol="0"/>
  <cols>
    <col collapsed="false" customWidth="false" hidden="false" outlineLevel="0" max="1" min="1" style="38" width="11.53"/>
    <col collapsed="false" customWidth="true" hidden="false" outlineLevel="0" max="2" min="2" style="15" width="36.9"/>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23.85" hidden="false" customHeight="false" outlineLevel="0" collapsed="false">
      <c r="A1" s="4" t="s">
        <v>1003</v>
      </c>
      <c r="B1" s="23" t="s">
        <v>1004</v>
      </c>
      <c r="C1" s="17" t="s">
        <v>2</v>
      </c>
      <c r="D1" s="31" t="s">
        <v>1005</v>
      </c>
      <c r="AZ1" s="15"/>
      <c r="BD1" s="0"/>
      <c r="BP1" s="15"/>
    </row>
    <row r="2" customFormat="false" ht="46.25" hidden="false" customHeight="false" outlineLevel="0" collapsed="false">
      <c r="A2" s="24" t="s">
        <v>978</v>
      </c>
      <c r="B2" s="23" t="s">
        <v>979</v>
      </c>
      <c r="C2" s="29" t="str">
        <f aca="false">'LSD.RID.0.AL.CALC'!AV3</f>
        <v>Federal Personal Income Tax Revenue ($  )</v>
      </c>
      <c r="D2" s="29" t="str">
        <f aca="false">'LSD.RID.0.AL.CALC'!AW3</f>
        <v>Authorized Immigrant Federal Personal Income Tax Revenue (  $)</v>
      </c>
      <c r="E2" s="29" t="str">
        <f aca="false">'LSD.RID.0.AL.CALC'!AX3</f>
        <v>Unauthorized Immigrant Federal Personal Income Tax Revenue ($  )</v>
      </c>
      <c r="F2" s="29" t="str">
        <f aca="false">'LSD.RID.0.AL.CALC'!AY3</f>
        <v>American Federal Personal Income Tax Revenue (  $)</v>
      </c>
    </row>
    <row r="3" customFormat="false" ht="12.8" hidden="false" customHeight="false" outlineLevel="0" collapsed="false">
      <c r="A3" s="4" t="str">
        <f aca="false">_xlfn.CONCAT($A$1, ".", 'LSD.RID.0.AL.CALC'!A4)</f>
        <v>AL.FPPTR.0</v>
      </c>
      <c r="B3" s="32" t="str">
        <f aca="false">_xlfn.CONCAT('LSD.RID.0.AL.CALC'!B4, ":", 'LSD.RID.0.AL.CALC'!C4)</f>
        <v>All Industries:All Roles</v>
      </c>
      <c r="C3" s="29" t="n">
        <f aca="false">'LSD.RID.0.AL.CALC'!AV4</f>
        <v>1250000000</v>
      </c>
      <c r="D3" s="29" t="n">
        <f aca="false">'LSD.RID.0.AL.CALC'!AW4</f>
        <v>45000000</v>
      </c>
      <c r="E3" s="29" t="n">
        <f aca="false">'LSD.RID.0.AL.CALC'!AX4</f>
        <v>115000000</v>
      </c>
      <c r="F3" s="29" t="n">
        <f aca="false">'LSD.RID.0.AL.CALC'!AY4</f>
        <v>1095000000</v>
      </c>
    </row>
    <row r="4" customFormat="false" ht="12.8" hidden="false" customHeight="false" outlineLevel="0" collapsed="false">
      <c r="A4" s="12" t="str">
        <f aca="false">_xlfn.CONCAT($A$1, ".", 'LSD.RID.0.AL.CALC'!A5)</f>
        <v>AL.FPPTR.1</v>
      </c>
      <c r="B4" s="33" t="str">
        <f aca="false">_xlfn.CONCAT('LSD.RID.0.AL.CALC'!B5, ":", 'LSD.RID.0.AL.CALC'!C5)</f>
        <v>Agriculture:Worker</v>
      </c>
      <c r="C4" s="43" t="n">
        <f aca="false">'LSD.RID.0.AL.CALC'!AV5</f>
        <v>1800000</v>
      </c>
      <c r="D4" s="43" t="n">
        <f aca="false">'LSD.RID.0.AL.CALC'!AW5</f>
        <v>61000</v>
      </c>
      <c r="E4" s="43" t="n">
        <f aca="false">'LSD.RID.0.AL.CALC'!AX5</f>
        <v>98000</v>
      </c>
      <c r="F4" s="43" t="n">
        <f aca="false">'LSD.RID.0.AL.CALC'!AY5</f>
        <v>1641000</v>
      </c>
    </row>
    <row r="5" customFormat="false" ht="12.8" hidden="false" customHeight="false" outlineLevel="0" collapsed="false">
      <c r="A5" s="12" t="str">
        <f aca="false">_xlfn.CONCAT($A$1, ".", 'LSD.RID.0.AL.CALC'!A6)</f>
        <v>AL.FPPTR.2</v>
      </c>
      <c r="B5" s="33" t="str">
        <f aca="false">_xlfn.CONCAT('LSD.RID.0.AL.CALC'!B6, ":", 'LSD.RID.0.AL.CALC'!C6)</f>
        <v>Agriculture:Support</v>
      </c>
      <c r="C5" s="43" t="n">
        <f aca="false">'LSD.RID.0.AL.CALC'!AV6</f>
        <v>900000</v>
      </c>
      <c r="D5" s="43" t="n">
        <f aca="false">'LSD.RID.0.AL.CALC'!AW6</f>
        <v>30500</v>
      </c>
      <c r="E5" s="43" t="n">
        <f aca="false">'LSD.RID.0.AL.CALC'!AX6</f>
        <v>49000</v>
      </c>
      <c r="F5" s="43" t="n">
        <f aca="false">'LSD.RID.0.AL.CALC'!AY6</f>
        <v>820500</v>
      </c>
    </row>
    <row r="6" customFormat="false" ht="12.8" hidden="false" customHeight="false" outlineLevel="0" collapsed="false">
      <c r="A6" s="12" t="str">
        <f aca="false">_xlfn.CONCAT($A$1, ".", 'LSD.RID.0.AL.CALC'!A7)</f>
        <v>AL.FPPTR.3</v>
      </c>
      <c r="B6" s="33" t="str">
        <f aca="false">_xlfn.CONCAT('LSD.RID.0.AL.CALC'!B7, ":", 'LSD.RID.0.AL.CALC'!C7)</f>
        <v>Construction:Worker</v>
      </c>
      <c r="C6" s="43" t="n">
        <f aca="false">'LSD.RID.0.AL.CALC'!AV7</f>
        <v>5000000</v>
      </c>
      <c r="D6" s="43" t="n">
        <f aca="false">'LSD.RID.0.AL.CALC'!AW7</f>
        <v>170000</v>
      </c>
      <c r="E6" s="43" t="n">
        <f aca="false">'LSD.RID.0.AL.CALC'!AX7</f>
        <v>90000</v>
      </c>
      <c r="F6" s="43" t="n">
        <f aca="false">'LSD.RID.0.AL.CALC'!AY7</f>
        <v>4740000</v>
      </c>
    </row>
    <row r="7" customFormat="false" ht="12.8" hidden="false" customHeight="false" outlineLevel="0" collapsed="false">
      <c r="A7" s="12" t="str">
        <f aca="false">_xlfn.CONCAT($A$1, ".", 'LSD.RID.0.AL.CALC'!A8)</f>
        <v>AL.FPPTR.4</v>
      </c>
      <c r="B7" s="33" t="str">
        <f aca="false">_xlfn.CONCAT('LSD.RID.0.AL.CALC'!B8, ":", 'LSD.RID.0.AL.CALC'!C8)</f>
        <v>Construction:Support</v>
      </c>
      <c r="C7" s="43" t="n">
        <f aca="false">'LSD.RID.0.AL.CALC'!AV8</f>
        <v>2500000</v>
      </c>
      <c r="D7" s="43" t="n">
        <f aca="false">'LSD.RID.0.AL.CALC'!AW8</f>
        <v>85000</v>
      </c>
      <c r="E7" s="43" t="n">
        <f aca="false">'LSD.RID.0.AL.CALC'!AX8</f>
        <v>45000</v>
      </c>
      <c r="F7" s="43" t="n">
        <f aca="false">'LSD.RID.0.AL.CALC'!AY8</f>
        <v>2370000</v>
      </c>
    </row>
    <row r="8" customFormat="false" ht="12.8" hidden="false" customHeight="false" outlineLevel="0" collapsed="false">
      <c r="A8" s="12" t="str">
        <f aca="false">_xlfn.CONCAT($A$1, ".", 'LSD.RID.0.AL.CALC'!A9)</f>
        <v>AL.FPPTR.5</v>
      </c>
      <c r="B8" s="33" t="str">
        <f aca="false">_xlfn.CONCAT('LSD.RID.0.AL.CALC'!B9, ":", 'LSD.RID.0.AL.CALC'!C9)</f>
        <v>Hospitality:Worker</v>
      </c>
      <c r="C8" s="43" t="n">
        <f aca="false">'LSD.RID.0.AL.CALC'!AV9</f>
        <v>36000000</v>
      </c>
      <c r="D8" s="43" t="n">
        <f aca="false">'LSD.RID.0.AL.CALC'!AW9</f>
        <v>1224000</v>
      </c>
      <c r="E8" s="43" t="n">
        <f aca="false">'LSD.RID.0.AL.CALC'!AX9</f>
        <v>648000</v>
      </c>
      <c r="F8" s="43" t="n">
        <f aca="false">'LSD.RID.0.AL.CALC'!AY9</f>
        <v>34137600</v>
      </c>
    </row>
    <row r="9" customFormat="false" ht="12.8" hidden="false" customHeight="false" outlineLevel="0" collapsed="false">
      <c r="A9" s="12" t="str">
        <f aca="false">_xlfn.CONCAT($A$1, ".", 'LSD.RID.0.AL.CALC'!A10)</f>
        <v>AL.FPPTR.6</v>
      </c>
      <c r="B9" s="33" t="str">
        <f aca="false">_xlfn.CONCAT('LSD.RID.0.AL.CALC'!B10, ":", 'LSD.RID.0.AL.CALC'!C10)</f>
        <v>Hospitality:Support</v>
      </c>
      <c r="C9" s="43" t="n">
        <f aca="false">'LSD.RID.0.AL.CALC'!AV10</f>
        <v>18000000</v>
      </c>
      <c r="D9" s="43" t="n">
        <f aca="false">'LSD.RID.0.AL.CALC'!AW10</f>
        <v>612000</v>
      </c>
      <c r="E9" s="43" t="n">
        <f aca="false">'LSD.RID.0.AL.CALC'!AX10</f>
        <v>324000</v>
      </c>
      <c r="F9" s="43" t="n">
        <f aca="false">'LSD.RID.0.AL.CALC'!AY10</f>
        <v>17068800</v>
      </c>
    </row>
    <row r="10" customFormat="false" ht="12.8" hidden="false" customHeight="false" outlineLevel="0" collapsed="false">
      <c r="A10" s="12" t="str">
        <f aca="false">_xlfn.CONCAT($A$1, ".", 'LSD.RID.0.AL.CALC'!A11)</f>
        <v>AL.FPPTR.7</v>
      </c>
      <c r="B10" s="33" t="str">
        <f aca="false">_xlfn.CONCAT('LSD.RID.0.AL.CALC'!B11, ":", 'LSD.RID.0.AL.CALC'!C11)</f>
        <v>Cleaning &amp; Maintenance:Worker</v>
      </c>
      <c r="C10" s="43" t="n">
        <f aca="false">'LSD.RID.0.AL.CALC'!AV11</f>
        <v>5200000</v>
      </c>
      <c r="D10" s="43" t="n">
        <f aca="false">'LSD.RID.0.AL.CALC'!AW11</f>
        <v>177000</v>
      </c>
      <c r="E10" s="43" t="n">
        <f aca="false">'LSD.RID.0.AL.CALC'!AX11</f>
        <v>93600</v>
      </c>
      <c r="F10" s="43" t="n">
        <f aca="false">'LSD.RID.0.AL.CALC'!AY11</f>
        <v>4928400</v>
      </c>
    </row>
    <row r="11" customFormat="false" ht="12.8" hidden="false" customHeight="false" outlineLevel="0" collapsed="false">
      <c r="A11" s="12" t="str">
        <f aca="false">_xlfn.CONCAT($A$1, ".", 'LSD.RID.0.AL.CALC'!A12)</f>
        <v>AL.FPPTR.8</v>
      </c>
      <c r="B11" s="33" t="str">
        <f aca="false">_xlfn.CONCAT('LSD.RID.0.AL.CALC'!B12, ":", 'LSD.RID.0.AL.CALC'!C12)</f>
        <v>Cleaning &amp; Maintenance:Support</v>
      </c>
      <c r="C11" s="43" t="n">
        <f aca="false">'LSD.RID.0.AL.CALC'!AV12</f>
        <v>2600000</v>
      </c>
      <c r="D11" s="43" t="n">
        <f aca="false">'LSD.RID.0.AL.CALC'!AW12</f>
        <v>88400</v>
      </c>
      <c r="E11" s="43" t="n">
        <f aca="false">'LSD.RID.0.AL.CALC'!AX12</f>
        <v>46800</v>
      </c>
      <c r="F11" s="43" t="n">
        <f aca="false">'LSD.RID.0.AL.CALC'!AY12</f>
        <v>2464200</v>
      </c>
    </row>
    <row r="12" customFormat="false" ht="12.8" hidden="false" customHeight="false" outlineLevel="0" collapsed="false">
      <c r="A12" s="12" t="str">
        <f aca="false">_xlfn.CONCAT($A$1, ".", 'LSD.RID.0.AL.CALC'!A13)</f>
        <v>AL.FPPTR.9</v>
      </c>
      <c r="B12" s="33" t="str">
        <f aca="false">_xlfn.CONCAT('LSD.RID.0.AL.CALC'!B13, ":", 'LSD.RID.0.AL.CALC'!C13)</f>
        <v>Manufacturing:Worker</v>
      </c>
      <c r="C12" s="43" t="n">
        <f aca="false">'LSD.RID.0.AL.CALC'!AV13</f>
        <v>69000000</v>
      </c>
      <c r="D12" s="43" t="n">
        <f aca="false">'LSD.RID.0.AL.CALC'!AW13</f>
        <v>2346000</v>
      </c>
      <c r="E12" s="43" t="n">
        <f aca="false">'LSD.RID.0.AL.CALC'!AX13</f>
        <v>1242000</v>
      </c>
      <c r="F12" s="43" t="n">
        <f aca="false">'LSD.RID.0.AL.CALC'!AY13</f>
        <v>65418000</v>
      </c>
    </row>
    <row r="13" customFormat="false" ht="12.8" hidden="false" customHeight="false" outlineLevel="0" collapsed="false">
      <c r="A13" s="12" t="str">
        <f aca="false">_xlfn.CONCAT($A$1, ".", 'LSD.RID.0.AL.CALC'!A14)</f>
        <v>AL.FPPTR.10</v>
      </c>
      <c r="B13" s="33" t="str">
        <f aca="false">_xlfn.CONCAT('LSD.RID.0.AL.CALC'!B14, ":", 'LSD.RID.0.AL.CALC'!C14)</f>
        <v>Manufacturing:Support</v>
      </c>
      <c r="C13" s="43" t="n">
        <f aca="false">'LSD.RID.0.AL.CALC'!AV14</f>
        <v>34500000</v>
      </c>
      <c r="D13" s="43" t="n">
        <f aca="false">'LSD.RID.0.AL.CALC'!AW14</f>
        <v>1173000</v>
      </c>
      <c r="E13" s="43" t="n">
        <f aca="false">'LSD.RID.0.AL.CALC'!AX14</f>
        <v>621000</v>
      </c>
      <c r="F13" s="43" t="n">
        <f aca="false">'LSD.RID.0.AL.CALC'!AY14</f>
        <v>32709000</v>
      </c>
    </row>
    <row r="14" customFormat="false" ht="12.8" hidden="false" customHeight="false" outlineLevel="0" collapsed="false">
      <c r="A14" s="12" t="str">
        <f aca="false">_xlfn.CONCAT($A$1, ".", 'LSD.RID.0.AL.CALC'!A15)</f>
        <v>AL.FPPTR.11</v>
      </c>
      <c r="B14" s="33" t="str">
        <f aca="false">_xlfn.CONCAT('LSD.RID.0.AL.CALC'!B15, ":", 'LSD.RID.0.AL.CALC'!C15)</f>
        <v>Transportation &amp; Warehousing:Worker</v>
      </c>
      <c r="C14" s="43" t="n">
        <f aca="false">'LSD.RID.0.AL.CALC'!AV15</f>
        <v>23000000</v>
      </c>
      <c r="D14" s="43" t="n">
        <f aca="false">'LSD.RID.0.AL.CALC'!AW15</f>
        <v>782000</v>
      </c>
      <c r="E14" s="43" t="n">
        <f aca="false">'LSD.RID.0.AL.CALC'!AX15</f>
        <v>414000</v>
      </c>
      <c r="F14" s="43" t="n">
        <f aca="false">'LSD.RID.0.AL.CALC'!AY15</f>
        <v>21796000</v>
      </c>
    </row>
    <row r="15" customFormat="false" ht="12.8" hidden="false" customHeight="false" outlineLevel="0" collapsed="false">
      <c r="A15" s="12" t="str">
        <f aca="false">_xlfn.CONCAT($A$1, ".", 'LSD.RID.0.AL.CALC'!A16)</f>
        <v>AL.FPPTR.12</v>
      </c>
      <c r="B15" s="33" t="str">
        <f aca="false">_xlfn.CONCAT('LSD.RID.0.AL.CALC'!B16, ":", 'LSD.RID.0.AL.CALC'!C16)</f>
        <v>Transportation &amp; Warehousing:Support</v>
      </c>
      <c r="C15" s="43" t="n">
        <f aca="false">'LSD.RID.0.AL.CALC'!AV16</f>
        <v>11500000</v>
      </c>
      <c r="D15" s="43" t="n">
        <f aca="false">'LSD.RID.0.AL.CALC'!AW16</f>
        <v>391000</v>
      </c>
      <c r="E15" s="43" t="n">
        <f aca="false">'LSD.RID.0.AL.CALC'!AX16</f>
        <v>207000</v>
      </c>
      <c r="F15" s="43" t="n">
        <f aca="false">'LSD.RID.0.AL.CALC'!AY16</f>
        <v>10898000</v>
      </c>
    </row>
    <row r="16" customFormat="false" ht="12.8" hidden="false" customHeight="false" outlineLevel="0" collapsed="false">
      <c r="A16" s="12" t="str">
        <f aca="false">_xlfn.CONCAT($A$1, ".", 'LSD.RID.0.AL.CALC'!A17)</f>
        <v>AL.FPPTR.13</v>
      </c>
      <c r="B16" s="33" t="str">
        <f aca="false">_xlfn.CONCAT('LSD.RID.0.AL.CALC'!B17, ":", 'LSD.RID.0.AL.CALC'!C17)</f>
        <v>Retail Trade:Worker</v>
      </c>
      <c r="C16" s="43" t="n">
        <f aca="false">'LSD.RID.0.AL.CALC'!AV17</f>
        <v>48000000</v>
      </c>
      <c r="D16" s="43" t="n">
        <f aca="false">'LSD.RID.0.AL.CALC'!AW17</f>
        <v>1632000</v>
      </c>
      <c r="E16" s="43" t="n">
        <f aca="false">'LSD.RID.0.AL.CALC'!AX17</f>
        <v>864000</v>
      </c>
      <c r="F16" s="43" t="n">
        <f aca="false">'LSD.RID.0.AL.CALC'!AY17</f>
        <v>45528000</v>
      </c>
    </row>
    <row r="17" customFormat="false" ht="12.8" hidden="false" customHeight="false" outlineLevel="0" collapsed="false">
      <c r="A17" s="12" t="str">
        <f aca="false">_xlfn.CONCAT($A$1, ".", 'LSD.RID.0.AL.CALC'!A18)</f>
        <v>AL.FPPTR.14</v>
      </c>
      <c r="B17" s="33" t="str">
        <f aca="false">_xlfn.CONCAT('LSD.RID.0.AL.CALC'!B18, ":", 'LSD.RID.0.AL.CALC'!C18)</f>
        <v>Retail Trade:Support</v>
      </c>
      <c r="C17" s="43" t="n">
        <f aca="false">'LSD.RID.0.AL.CALC'!AV18</f>
        <v>24000000</v>
      </c>
      <c r="D17" s="43" t="n">
        <f aca="false">'LSD.RID.0.AL.CALC'!AW18</f>
        <v>816000</v>
      </c>
      <c r="E17" s="43" t="n">
        <f aca="false">'LSD.RID.0.AL.CALC'!AX18</f>
        <v>432000</v>
      </c>
      <c r="F17" s="43" t="n">
        <f aca="false">'LSD.RID.0.AL.CALC'!AY18</f>
        <v>22764000</v>
      </c>
    </row>
    <row r="18" customFormat="false" ht="12.8" hidden="false" customHeight="false" outlineLevel="0" collapsed="false">
      <c r="A18" s="12" t="str">
        <f aca="false">_xlfn.CONCAT($A$1, ".", 'LSD.RID.0.AL.CALC'!A19)</f>
        <v>AL.FPPTR.15</v>
      </c>
      <c r="B18" s="33" t="str">
        <f aca="false">_xlfn.CONCAT('LSD.RID.0.AL.CALC'!B19, ":", 'LSD.RID.0.AL.CALC'!C19)</f>
        <v>Landscaping / Groundskeeping:Worker</v>
      </c>
      <c r="C18" s="43" t="n">
        <f aca="false">'LSD.RID.0.AL.CALC'!AV19</f>
        <v>3300000</v>
      </c>
      <c r="D18" s="43" t="n">
        <f aca="false">'LSD.RID.0.AL.CALC'!AW19</f>
        <v>112200</v>
      </c>
      <c r="E18" s="43" t="n">
        <f aca="false">'LSD.RID.0.AL.CALC'!AX19</f>
        <v>59400</v>
      </c>
      <c r="F18" s="43" t="n">
        <f aca="false">'LSD.RID.0.AL.CALC'!AY19</f>
        <v>3132600</v>
      </c>
    </row>
    <row r="19" customFormat="false" ht="12.8" hidden="false" customHeight="false" outlineLevel="0" collapsed="false">
      <c r="A19" s="12" t="str">
        <f aca="false">_xlfn.CONCAT($A$1, ".", 'LSD.RID.0.AL.CALC'!A20)</f>
        <v>AL.FPPTR.16</v>
      </c>
      <c r="B19" s="33" t="str">
        <f aca="false">_xlfn.CONCAT('LSD.RID.0.AL.CALC'!B20, ":", 'LSD.RID.0.AL.CALC'!C20)</f>
        <v>Landscaping / Groundskeeping:Support</v>
      </c>
      <c r="C19" s="43" t="n">
        <f aca="false">'LSD.RID.0.AL.CALC'!AV20</f>
        <v>1650000</v>
      </c>
      <c r="D19" s="43" t="n">
        <f aca="false">'LSD.RID.0.AL.CALC'!AW20</f>
        <v>56100</v>
      </c>
      <c r="E19" s="43" t="n">
        <f aca="false">'LSD.RID.0.AL.CALC'!AX20</f>
        <v>29700</v>
      </c>
      <c r="F19" s="43" t="n">
        <f aca="false">'LSD.RID.0.AL.CALC'!AY20</f>
        <v>1566300</v>
      </c>
    </row>
    <row r="20" customFormat="false" ht="12.8" hidden="false" customHeight="false" outlineLevel="0" collapsed="false">
      <c r="A20" s="12" t="str">
        <f aca="false">_xlfn.CONCAT($A$1, ".", 'LSD.RID.0.AL.CALC'!A21)</f>
        <v>AL.FPPTR.17</v>
      </c>
      <c r="B20" s="33" t="str">
        <f aca="false">_xlfn.CONCAT('LSD.RID.0.AL.CALC'!B21, ":", 'LSD.RID.0.AL.CALC'!C21)</f>
        <v>Automotive &amp; Repair:Worker</v>
      </c>
      <c r="C20" s="43" t="n">
        <f aca="false">'LSD.RID.0.AL.CALC'!AV21</f>
        <v>2700000</v>
      </c>
      <c r="D20" s="43" t="n">
        <f aca="false">'LSD.RID.0.AL.CALC'!AW21</f>
        <v>91800</v>
      </c>
      <c r="E20" s="43" t="n">
        <f aca="false">'LSD.RID.0.AL.CALC'!AX21</f>
        <v>48600</v>
      </c>
      <c r="F20" s="43" t="n">
        <f aca="false">'LSD.RID.0.AL.CALC'!AY21</f>
        <v>2554200</v>
      </c>
    </row>
    <row r="21" customFormat="false" ht="12.8" hidden="false" customHeight="false" outlineLevel="0" collapsed="false">
      <c r="A21" s="12" t="str">
        <f aca="false">_xlfn.CONCAT($A$1, ".", 'LSD.RID.0.AL.CALC'!A22)</f>
        <v>AL.FPPTR.18</v>
      </c>
      <c r="B21" s="33" t="str">
        <f aca="false">_xlfn.CONCAT('LSD.RID.0.AL.CALC'!B22, ":", 'LSD.RID.0.AL.CALC'!C22)</f>
        <v>Automotive &amp; Repair:Support</v>
      </c>
      <c r="C21" s="43" t="n">
        <f aca="false">'LSD.RID.0.AL.CALC'!AV22</f>
        <v>1350000</v>
      </c>
      <c r="D21" s="43" t="n">
        <f aca="false">'LSD.RID.0.AL.CALC'!AW22</f>
        <v>45900</v>
      </c>
      <c r="E21" s="43" t="n">
        <f aca="false">'LSD.RID.0.AL.CALC'!AX22</f>
        <v>24300</v>
      </c>
      <c r="F21" s="43" t="n">
        <f aca="false">'LSD.RID.0.AL.CALC'!AY22</f>
        <v>1277100</v>
      </c>
    </row>
    <row r="22" customFormat="false" ht="12.8" hidden="false" customHeight="false" outlineLevel="0" collapsed="false">
      <c r="A22" s="12" t="str">
        <f aca="false">_xlfn.CONCAT($A$1, ".", 'LSD.RID.0.AL.CALC'!A23)</f>
        <v>AL.FPPTR.19</v>
      </c>
      <c r="B22" s="33" t="str">
        <f aca="false">_xlfn.CONCAT('LSD.RID.0.AL.CALC'!B23, ":", 'LSD.RID.0.AL.CALC'!C23)</f>
        <v>Healthcare &amp; Social Assistance:Worker</v>
      </c>
      <c r="C22" s="43" t="n">
        <f aca="false">'LSD.RID.0.AL.CALC'!AV23</f>
        <v>104000000</v>
      </c>
      <c r="D22" s="43" t="n">
        <f aca="false">'LSD.RID.0.AL.CALC'!AW23</f>
        <v>3536000</v>
      </c>
      <c r="E22" s="43" t="n">
        <f aca="false">'LSD.RID.0.AL.CALC'!AX23</f>
        <v>1872000</v>
      </c>
      <c r="F22" s="43" t="n">
        <f aca="false">'LSD.RID.0.AL.CALC'!AY23</f>
        <v>98566400</v>
      </c>
    </row>
    <row r="23" customFormat="false" ht="12.8" hidden="false" customHeight="false" outlineLevel="0" collapsed="false">
      <c r="A23" s="12" t="str">
        <f aca="false">_xlfn.CONCAT($A$1, ".", 'LSD.RID.0.AL.CALC'!A24)</f>
        <v>AL.FPPTR.20</v>
      </c>
      <c r="B23" s="33" t="str">
        <f aca="false">_xlfn.CONCAT('LSD.RID.0.AL.CALC'!B24, ":", 'LSD.RID.0.AL.CALC'!C24)</f>
        <v>Healthcare &amp; Social Assistance:Support</v>
      </c>
      <c r="C23" s="43" t="n">
        <f aca="false">'LSD.RID.0.AL.CALC'!AV24</f>
        <v>52000000</v>
      </c>
      <c r="D23" s="43" t="n">
        <f aca="false">'LSD.RID.0.AL.CALC'!AW24</f>
        <v>1768000</v>
      </c>
      <c r="E23" s="43" t="n">
        <f aca="false">'LSD.RID.0.AL.CALC'!AX24</f>
        <v>936000</v>
      </c>
      <c r="F23" s="43" t="n">
        <f aca="false">'LSD.RID.0.AL.CALC'!AY24</f>
        <v>49283200</v>
      </c>
    </row>
    <row r="24" customFormat="false" ht="12.8" hidden="false" customHeight="false" outlineLevel="0" collapsed="false">
      <c r="A24" s="12" t="str">
        <f aca="false">_xlfn.CONCAT($A$1, ".", 'LSD.RID.0.AL.CALC'!A25)</f>
        <v>AL.FPPTR.21</v>
      </c>
      <c r="B24" s="33" t="str">
        <f aca="false">_xlfn.CONCAT('LSD.RID.0.AL.CALC'!B25, ":", 'LSD.RID.0.AL.CALC'!C25)</f>
        <v>Professional Services:Worker</v>
      </c>
      <c r="C24" s="43" t="n">
        <f aca="false">'LSD.RID.0.AL.CALC'!AV25</f>
        <v>66000000</v>
      </c>
      <c r="D24" s="43" t="n">
        <f aca="false">'LSD.RID.0.AL.CALC'!AW25</f>
        <v>2244000</v>
      </c>
      <c r="E24" s="43" t="n">
        <f aca="false">'LSD.RID.0.AL.CALC'!AX25</f>
        <v>1188000</v>
      </c>
      <c r="F24" s="43" t="n">
        <f aca="false">'LSD.RID.0.AL.CALC'!AY25</f>
        <v>62598000</v>
      </c>
    </row>
    <row r="25" customFormat="false" ht="12.8" hidden="false" customHeight="false" outlineLevel="0" collapsed="false">
      <c r="A25" s="12" t="str">
        <f aca="false">_xlfn.CONCAT($A$1, ".", 'LSD.RID.0.AL.CALC'!A26)</f>
        <v>AL.FPPTR.22</v>
      </c>
      <c r="B25" s="33" t="str">
        <f aca="false">_xlfn.CONCAT('LSD.RID.0.AL.CALC'!B26, ":", 'LSD.RID.0.AL.CALC'!C26)</f>
        <v>Professional Services:Support</v>
      </c>
      <c r="C25" s="43" t="n">
        <f aca="false">'LSD.RID.0.AL.CALC'!AV26</f>
        <v>33000000</v>
      </c>
      <c r="D25" s="43" t="n">
        <f aca="false">'LSD.RID.0.AL.CALC'!AW26</f>
        <v>1122000</v>
      </c>
      <c r="E25" s="43" t="n">
        <f aca="false">'LSD.RID.0.AL.CALC'!AX26</f>
        <v>594000</v>
      </c>
      <c r="F25" s="43" t="n">
        <f aca="false">'LSD.RID.0.AL.CALC'!AY26</f>
        <v>31299000</v>
      </c>
    </row>
    <row r="26" customFormat="false" ht="12.8" hidden="false" customHeight="false" outlineLevel="0" collapsed="false">
      <c r="A26" s="12" t="str">
        <f aca="false">_xlfn.CONCAT($A$1, ".", 'LSD.RID.0.AL.CALC'!A27)</f>
        <v>AL.FPPTR.23</v>
      </c>
      <c r="B26" s="33" t="str">
        <f aca="false">_xlfn.CONCAT('LSD.RID.0.AL.CALC'!B27, ":", 'LSD.RID.0.AL.CALC'!C27)</f>
        <v>Educational Services:Worker</v>
      </c>
      <c r="C26" s="43" t="n">
        <f aca="false">'LSD.RID.0.AL.CALC'!AV27</f>
        <v>42000000</v>
      </c>
      <c r="D26" s="43" t="n">
        <f aca="false">'LSD.RID.0.AL.CALC'!AW27</f>
        <v>1428000</v>
      </c>
      <c r="E26" s="43" t="n">
        <f aca="false">'LSD.RID.0.AL.CALC'!AX27</f>
        <v>756000</v>
      </c>
      <c r="F26" s="43" t="n">
        <f aca="false">'LSD.RID.0.AL.CALC'!AY27</f>
        <v>39823200</v>
      </c>
    </row>
    <row r="27" customFormat="false" ht="12.8" hidden="false" customHeight="false" outlineLevel="0" collapsed="false">
      <c r="A27" s="12" t="str">
        <f aca="false">_xlfn.CONCAT($A$1, ".", 'LSD.RID.0.AL.CALC'!A28)</f>
        <v>AL.FPPTR.24</v>
      </c>
      <c r="B27" s="33" t="str">
        <f aca="false">_xlfn.CONCAT('LSD.RID.0.AL.CALC'!B28, ":", 'LSD.RID.0.AL.CALC'!C28)</f>
        <v>Educational Services:Support</v>
      </c>
      <c r="C27" s="43" t="n">
        <f aca="false">'LSD.RID.0.AL.CALC'!AV28</f>
        <v>21000000</v>
      </c>
      <c r="D27" s="43" t="n">
        <f aca="false">'LSD.RID.0.AL.CALC'!AW28</f>
        <v>714000</v>
      </c>
      <c r="E27" s="43" t="n">
        <f aca="false">'LSD.RID.0.AL.CALC'!AX28</f>
        <v>378000</v>
      </c>
      <c r="F27" s="43" t="n">
        <f aca="false">'LSD.RID.0.AL.CALC'!AY28</f>
        <v>19911600</v>
      </c>
    </row>
    <row r="28" customFormat="false" ht="12.8" hidden="false" customHeight="false" outlineLevel="0" collapsed="false">
      <c r="A28" s="12" t="str">
        <f aca="false">_xlfn.CONCAT($A$1, ".", 'LSD.RID.0.AL.CALC'!A29)</f>
        <v>AL.FPPTR.25</v>
      </c>
      <c r="B28" s="33" t="str">
        <f aca="false">_xlfn.CONCAT('LSD.RID.0.AL.CALC'!B29, ":", 'LSD.RID.0.AL.CALC'!C29)</f>
        <v>Finance &amp; Insurance:Worker</v>
      </c>
      <c r="C28" s="43" t="n">
        <f aca="false">'LSD.RID.0.AL.CALC'!AV29</f>
        <v>30000000</v>
      </c>
      <c r="D28" s="43" t="n">
        <f aca="false">'LSD.RID.0.AL.CALC'!AW29</f>
        <v>1020000</v>
      </c>
      <c r="E28" s="43" t="n">
        <f aca="false">'LSD.RID.0.AL.CALC'!AX29</f>
        <v>540000</v>
      </c>
      <c r="F28" s="43" t="n">
        <f aca="false">'LSD.RID.0.AL.CALC'!AY29</f>
        <v>28458000</v>
      </c>
    </row>
    <row r="29" customFormat="false" ht="12.8" hidden="false" customHeight="false" outlineLevel="0" collapsed="false">
      <c r="A29" s="12" t="str">
        <f aca="false">_xlfn.CONCAT($A$1, ".", 'LSD.RID.0.AL.CALC'!A30)</f>
        <v>AL.FPPTR.26</v>
      </c>
      <c r="B29" s="33" t="str">
        <f aca="false">_xlfn.CONCAT('LSD.RID.0.AL.CALC'!B30, ":", 'LSD.RID.0.AL.CALC'!C30)</f>
        <v>Finance &amp; Insurance:Support</v>
      </c>
      <c r="C29" s="43" t="n">
        <f aca="false">'LSD.RID.0.AL.CALC'!AV30</f>
        <v>15000000</v>
      </c>
      <c r="D29" s="43" t="n">
        <f aca="false">'LSD.RID.0.AL.CALC'!AW30</f>
        <v>510000</v>
      </c>
      <c r="E29" s="43" t="n">
        <f aca="false">'LSD.RID.0.AL.CALC'!AX30</f>
        <v>270000</v>
      </c>
      <c r="F29" s="43" t="n">
        <f aca="false">'LSD.RID.0.AL.CALC'!AY30</f>
        <v>14229000</v>
      </c>
    </row>
    <row r="30" customFormat="false" ht="12.8" hidden="false" customHeight="false" outlineLevel="0" collapsed="false">
      <c r="A30" s="12" t="str">
        <f aca="false">_xlfn.CONCAT($A$1, ".", 'LSD.RID.0.AL.CALC'!A31)</f>
        <v>AL.FPPTR.27</v>
      </c>
      <c r="B30" s="33" t="str">
        <f aca="false">_xlfn.CONCAT('LSD.RID.0.AL.CALC'!B31, ":", 'LSD.RID.0.AL.CALC'!C31)</f>
        <v>Media and Information Technology:Worker</v>
      </c>
      <c r="C30" s="43" t="n">
        <f aca="false">'LSD.RID.0.AL.CALC'!AV31</f>
        <v>9000000</v>
      </c>
      <c r="D30" s="43" t="n">
        <f aca="false">'LSD.RID.0.AL.CALC'!AW31</f>
        <v>306000</v>
      </c>
      <c r="E30" s="43" t="n">
        <f aca="false">'LSD.RID.0.AL.CALC'!AX31</f>
        <v>162000</v>
      </c>
      <c r="F30" s="43" t="n">
        <f aca="false">'LSD.RID.0.AL.CALC'!AY31</f>
        <v>8532000</v>
      </c>
    </row>
    <row r="31" customFormat="false" ht="12.8" hidden="false" customHeight="false" outlineLevel="0" collapsed="false">
      <c r="A31" s="12" t="str">
        <f aca="false">_xlfn.CONCAT($A$1, ".", 'LSD.RID.0.AL.CALC'!A32)</f>
        <v>AL.FPPTR.28</v>
      </c>
      <c r="B31" s="33" t="str">
        <f aca="false">_xlfn.CONCAT('LSD.RID.0.AL.CALC'!B32, ":", 'LSD.RID.0.AL.CALC'!C32)</f>
        <v>Media and Information Technology:Support</v>
      </c>
      <c r="C31" s="43" t="n">
        <f aca="false">'LSD.RID.0.AL.CALC'!AV32</f>
        <v>4500000</v>
      </c>
      <c r="D31" s="43" t="n">
        <f aca="false">'LSD.RID.0.AL.CALC'!AW32</f>
        <v>153000</v>
      </c>
      <c r="E31" s="43" t="n">
        <f aca="false">'LSD.RID.0.AL.CALC'!AX32</f>
        <v>81000</v>
      </c>
      <c r="F31" s="43" t="n">
        <f aca="false">'LSD.RID.0.AL.CALC'!AY32</f>
        <v>4266000</v>
      </c>
    </row>
    <row r="32" customFormat="false" ht="12.8" hidden="false" customHeight="false" outlineLevel="0" collapsed="false">
      <c r="A32" s="12" t="str">
        <f aca="false">_xlfn.CONCAT($A$1, ".", 'LSD.RID.0.AL.CALC'!A33)</f>
        <v>AL.FPPTR.29</v>
      </c>
      <c r="B32" s="33" t="str">
        <f aca="false">_xlfn.CONCAT('LSD.RID.0.AL.CALC'!B33, ":", 'LSD.RID.0.AL.CALC'!C33)</f>
        <v>Government:Worker</v>
      </c>
      <c r="C32" s="43" t="n">
        <f aca="false">'LSD.RID.0.AL.CALC'!AV33</f>
        <v>120000000</v>
      </c>
      <c r="D32" s="43" t="n">
        <f aca="false">'LSD.RID.0.AL.CALC'!AW33</f>
        <v>4080000</v>
      </c>
      <c r="E32" s="43" t="n">
        <f aca="false">'LSD.RID.0.AL.CALC'!AX33</f>
        <v>2160000</v>
      </c>
      <c r="F32" s="43" t="n">
        <f aca="false">'LSD.RID.0.AL.CALC'!AY33</f>
        <v>113520000</v>
      </c>
    </row>
    <row r="33" customFormat="false" ht="12.8" hidden="false" customHeight="false" outlineLevel="0" collapsed="false">
      <c r="A33" s="12" t="str">
        <f aca="false">_xlfn.CONCAT($A$1, ".", 'LSD.RID.0.AL.CALC'!A34)</f>
        <v>AL.FPPTR.30</v>
      </c>
      <c r="B33" s="33" t="str">
        <f aca="false">_xlfn.CONCAT('LSD.RID.0.AL.CALC'!B34, ":", 'LSD.RID.0.AL.CALC'!C34)</f>
        <v>Government:Support</v>
      </c>
      <c r="C33" s="43" t="n">
        <f aca="false">'LSD.RID.0.AL.CALC'!AV34</f>
        <v>60000000</v>
      </c>
      <c r="D33" s="43" t="n">
        <f aca="false">'LSD.RID.0.AL.CALC'!AW34</f>
        <v>2040000</v>
      </c>
      <c r="E33" s="43" t="n">
        <f aca="false">'LSD.RID.0.AL.CALC'!AX34</f>
        <v>1080000</v>
      </c>
      <c r="F33" s="43" t="n">
        <f aca="false">'LSD.RID.0.AL.CALC'!AY34</f>
        <v>56760000</v>
      </c>
    </row>
    <row r="34" customFormat="false" ht="12.8" hidden="false" customHeight="false" outlineLevel="0" collapsed="false">
      <c r="A34" s="12" t="str">
        <f aca="false">_xlfn.CONCAT($A$1, ".", 'LSD.RID.0.AL.CALC'!A35)</f>
        <v>AL.FPPTR.31</v>
      </c>
      <c r="B34" s="33" t="str">
        <f aca="false">_xlfn.CONCAT('LSD.RID.0.AL.CALC'!B35, ":", 'LSD.RID.0.AL.CALC'!C35)</f>
        <v>Self-Employed / Non-Employer:Worker</v>
      </c>
      <c r="C34" s="43" t="n">
        <f aca="false">'LSD.RID.0.AL.CALC'!AV35</f>
        <v>5400000</v>
      </c>
      <c r="D34" s="43" t="n">
        <f aca="false">'LSD.RID.0.AL.CALC'!AW35</f>
        <v>183600</v>
      </c>
      <c r="E34" s="43" t="n">
        <f aca="false">'LSD.RID.0.AL.CALC'!AX35</f>
        <v>97200</v>
      </c>
      <c r="F34" s="43" t="n">
        <f aca="false">'LSD.RID.0.AL.CALC'!AY35</f>
        <v>5122800</v>
      </c>
    </row>
    <row r="35" customFormat="false" ht="12.8" hidden="false" customHeight="false" outlineLevel="0" collapsed="false">
      <c r="A35" s="12" t="str">
        <f aca="false">_xlfn.CONCAT($A$1, ".", 'LSD.RID.0.AL.CALC'!A36)</f>
        <v>AL.FPPTR.32</v>
      </c>
      <c r="B35" s="33" t="str">
        <f aca="false">_xlfn.CONCAT('LSD.RID.0.AL.CALC'!B36, ":", 'LSD.RID.0.AL.CALC'!C36)</f>
        <v>Self-Employed / Non-Employer:Support</v>
      </c>
      <c r="C35" s="43" t="n">
        <f aca="false">'LSD.RID.0.AL.CALC'!AV36</f>
        <v>2700000</v>
      </c>
      <c r="D35" s="43" t="n">
        <f aca="false">'LSD.RID.0.AL.CALC'!AW36</f>
        <v>91800</v>
      </c>
      <c r="E35" s="43" t="n">
        <f aca="false">'LSD.RID.0.AL.CALC'!AX36</f>
        <v>48600</v>
      </c>
      <c r="F35" s="43" t="n">
        <f aca="false">'LSD.RID.0.AL.CALC'!AY36</f>
        <v>2561400</v>
      </c>
    </row>
    <row r="36" customFormat="false" ht="12.8" hidden="false" customHeight="false" outlineLevel="0" collapsed="false">
      <c r="A36" s="12" t="str">
        <f aca="false">_xlfn.CONCAT($A$1, ".", 'LSD.RID.0.AL.CALC'!A37)</f>
        <v>AL.FPPTR.33</v>
      </c>
      <c r="B36" s="33" t="str">
        <f aca="false">_xlfn.CONCAT('LSD.RID.0.AL.CALC'!B37, ":", 'LSD.RID.0.AL.CALC'!C37)</f>
        <v>Other Services:Worker</v>
      </c>
      <c r="C36" s="43" t="n">
        <f aca="false">'LSD.RID.0.AL.CALC'!AV37</f>
        <v>3300000</v>
      </c>
      <c r="D36" s="43" t="n">
        <f aca="false">'LSD.RID.0.AL.CALC'!AW37</f>
        <v>112200</v>
      </c>
      <c r="E36" s="43" t="n">
        <f aca="false">'LSD.RID.0.AL.CALC'!AX37</f>
        <v>59400</v>
      </c>
      <c r="F36" s="43" t="n">
        <f aca="false">'LSD.RID.0.AL.CALC'!AY37</f>
        <v>3127800</v>
      </c>
    </row>
    <row r="37" customFormat="false" ht="12.8" hidden="false" customHeight="false" outlineLevel="0" collapsed="false">
      <c r="A37" s="12" t="str">
        <f aca="false">_xlfn.CONCAT($A$1, ".", 'LSD.RID.0.AL.CALC'!A38)</f>
        <v>AL.FPPTR.34</v>
      </c>
      <c r="B37" s="33" t="str">
        <f aca="false">_xlfn.CONCAT('LSD.RID.0.AL.CALC'!B38, ":", 'LSD.RID.0.AL.CALC'!C38)</f>
        <v>Other Services:Support</v>
      </c>
      <c r="C37" s="43" t="n">
        <f aca="false">'LSD.RID.0.AL.CALC'!AV38</f>
        <v>1650000</v>
      </c>
      <c r="D37" s="43" t="n">
        <f aca="false">'LSD.RID.0.AL.CALC'!AW38</f>
        <v>56100</v>
      </c>
      <c r="E37" s="43" t="n">
        <f aca="false">'LSD.RID.0.AL.CALC'!AX38</f>
        <v>29700</v>
      </c>
      <c r="F37" s="43" t="n">
        <f aca="false">'LSD.RID.0.AL.CALC'!AY38</f>
        <v>1563900</v>
      </c>
    </row>
    <row r="38" customFormat="false" ht="12.8" hidden="false" customHeight="false" outlineLevel="0" collapsed="false">
      <c r="B38" s="18"/>
      <c r="C38" s="29"/>
      <c r="D38" s="29"/>
      <c r="E38" s="29"/>
      <c r="F38" s="2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37"/>
  <sheetViews>
    <sheetView showFormulas="false" showGridLines="true" showRowColHeaders="true" showZeros="true" rightToLeft="false" tabSelected="false" showOutlineSymbols="true" defaultGridColor="true" view="normal" topLeftCell="A85" colorId="64" zoomScale="90" zoomScaleNormal="90" zoomScalePageLayoutView="100" workbookViewId="0">
      <selection pane="topLeft" activeCell="F3" activeCellId="0" sqref="F3"/>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5" width="36.9"/>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23.85" hidden="false" customHeight="false" outlineLevel="0" collapsed="false">
      <c r="A1" s="4" t="s">
        <v>1006</v>
      </c>
      <c r="B1" s="23" t="s">
        <v>1007</v>
      </c>
      <c r="C1" s="17" t="s">
        <v>2</v>
      </c>
      <c r="D1" s="31" t="s">
        <v>1008</v>
      </c>
      <c r="AZ1" s="15"/>
      <c r="BD1" s="0"/>
      <c r="BP1" s="15"/>
    </row>
    <row r="2" customFormat="false" ht="35.05" hidden="false" customHeight="false" outlineLevel="0" collapsed="false">
      <c r="A2" s="24" t="s">
        <v>978</v>
      </c>
      <c r="B2" s="23" t="s">
        <v>979</v>
      </c>
      <c r="C2" s="29" t="str">
        <f aca="false">'LSD.RID.0.AL.CALC'!BD3</f>
        <v>EITC Credit Refund</v>
      </c>
      <c r="D2" s="29" t="str">
        <f aca="false">'LSD.RID.0.AL.CALC'!BE3</f>
        <v>Authorized Immigrant EITC Credit Refund</v>
      </c>
      <c r="E2" s="29" t="str">
        <f aca="false">'LSD.RID.0.AL.CALC'!BF3</f>
        <v>Unauthorized Immigrant EITC Credit Refund</v>
      </c>
      <c r="F2" s="29" t="str">
        <f aca="false">'LSD.RID.0.AL.CALC'!BG3</f>
        <v>American Effective Tax EITC Credit Refund</v>
      </c>
    </row>
    <row r="3" customFormat="false" ht="12.8" hidden="false" customHeight="false" outlineLevel="0" collapsed="false">
      <c r="A3" s="4" t="str">
        <f aca="false">_xlfn.CONCAT($A$1, ".", 'LSD.RID.0.AL.CALC'!A4)</f>
        <v>AL.EITCREF.0</v>
      </c>
      <c r="B3" s="32" t="str">
        <f aca="false">_xlfn.CONCAT('LSD.RID.0.AL.CALC'!B4, ":", 'LSD.RID.0.AL.CALC'!C4)</f>
        <v>All Industries:All Roles</v>
      </c>
      <c r="C3" s="29" t="n">
        <f aca="false">'LSD.RID.0.AL.CALC'!BD4</f>
        <v>320000000</v>
      </c>
      <c r="D3" s="29" t="n">
        <f aca="false">'LSD.RID.0.AL.CALC'!BE4</f>
        <v>90000000</v>
      </c>
      <c r="E3" s="29" t="n">
        <f aca="false">'LSD.RID.0.AL.CALC'!BF4</f>
        <v>0</v>
      </c>
      <c r="F3" s="29" t="n">
        <f aca="false">'LSD.RID.0.AL.CALC'!BG4</f>
        <v>230000000</v>
      </c>
    </row>
    <row r="4" customFormat="false" ht="12.8" hidden="false" customHeight="false" outlineLevel="0" collapsed="false">
      <c r="A4" s="12" t="str">
        <f aca="false">_xlfn.CONCAT($A$1, ".", 'LSD.RID.0.AL.CALC'!A5)</f>
        <v>AL.EITCREF.1</v>
      </c>
      <c r="B4" s="33" t="str">
        <f aca="false">_xlfn.CONCAT('LSD.RID.0.AL.CALC'!B5, ":", 'LSD.RID.0.AL.CALC'!C5)</f>
        <v>Agriculture:Worker</v>
      </c>
      <c r="C4" s="43" t="n">
        <f aca="false">'LSD.RID.0.AL.CALC'!BD5</f>
        <v>90000</v>
      </c>
      <c r="D4" s="43" t="n">
        <f aca="false">'LSD.RID.0.AL.CALC'!BE5</f>
        <v>18000</v>
      </c>
      <c r="E4" s="43" t="n">
        <f aca="false">'LSD.RID.0.AL.CALC'!BF5</f>
        <v>0</v>
      </c>
      <c r="F4" s="43" t="n">
        <f aca="false">'LSD.RID.0.AL.CALC'!BG5</f>
        <v>72000</v>
      </c>
    </row>
    <row r="5" customFormat="false" ht="12.8" hidden="false" customHeight="false" outlineLevel="0" collapsed="false">
      <c r="A5" s="12" t="str">
        <f aca="false">_xlfn.CONCAT($A$1, ".", 'LSD.RID.0.AL.CALC'!A6)</f>
        <v>AL.EITCREF.2</v>
      </c>
      <c r="B5" s="33" t="str">
        <f aca="false">_xlfn.CONCAT('LSD.RID.0.AL.CALC'!B6, ":", 'LSD.RID.0.AL.CALC'!C6)</f>
        <v>Agriculture:Support</v>
      </c>
      <c r="C5" s="43" t="n">
        <f aca="false">'LSD.RID.0.AL.CALC'!BD6</f>
        <v>45000</v>
      </c>
      <c r="D5" s="43" t="n">
        <f aca="false">'LSD.RID.0.AL.CALC'!BE6</f>
        <v>9000</v>
      </c>
      <c r="E5" s="43" t="n">
        <f aca="false">'LSD.RID.0.AL.CALC'!BF6</f>
        <v>0</v>
      </c>
      <c r="F5" s="43" t="n">
        <f aca="false">'LSD.RID.0.AL.CALC'!BG6</f>
        <v>36000</v>
      </c>
    </row>
    <row r="6" customFormat="false" ht="12.8" hidden="false" customHeight="false" outlineLevel="0" collapsed="false">
      <c r="A6" s="12" t="str">
        <f aca="false">_xlfn.CONCAT($A$1, ".", 'LSD.RID.0.AL.CALC'!A7)</f>
        <v>AL.EITCREF.3</v>
      </c>
      <c r="B6" s="33" t="str">
        <f aca="false">_xlfn.CONCAT('LSD.RID.0.AL.CALC'!B7, ":", 'LSD.RID.0.AL.CALC'!C7)</f>
        <v>Construction:Worker</v>
      </c>
      <c r="C6" s="43" t="n">
        <f aca="false">'LSD.RID.0.AL.CALC'!BD7</f>
        <v>500000</v>
      </c>
      <c r="D6" s="43" t="n">
        <f aca="false">'LSD.RID.0.AL.CALC'!BE7</f>
        <v>100000</v>
      </c>
      <c r="E6" s="43" t="n">
        <f aca="false">'LSD.RID.0.AL.CALC'!BF7</f>
        <v>0</v>
      </c>
      <c r="F6" s="43" t="n">
        <f aca="false">'LSD.RID.0.AL.CALC'!BG7</f>
        <v>400000</v>
      </c>
    </row>
    <row r="7" customFormat="false" ht="12.8" hidden="false" customHeight="false" outlineLevel="0" collapsed="false">
      <c r="A7" s="12" t="str">
        <f aca="false">_xlfn.CONCAT($A$1, ".", 'LSD.RID.0.AL.CALC'!A8)</f>
        <v>AL.EITCREF.4</v>
      </c>
      <c r="B7" s="33" t="str">
        <f aca="false">_xlfn.CONCAT('LSD.RID.0.AL.CALC'!B8, ":", 'LSD.RID.0.AL.CALC'!C8)</f>
        <v>Construction:Support</v>
      </c>
      <c r="C7" s="43" t="n">
        <f aca="false">'LSD.RID.0.AL.CALC'!BD8</f>
        <v>250000</v>
      </c>
      <c r="D7" s="43" t="n">
        <f aca="false">'LSD.RID.0.AL.CALC'!BE8</f>
        <v>50000</v>
      </c>
      <c r="E7" s="43" t="n">
        <f aca="false">'LSD.RID.0.AL.CALC'!BF8</f>
        <v>0</v>
      </c>
      <c r="F7" s="43" t="n">
        <f aca="false">'LSD.RID.0.AL.CALC'!BG8</f>
        <v>200000</v>
      </c>
    </row>
    <row r="8" customFormat="false" ht="12.8" hidden="false" customHeight="false" outlineLevel="0" collapsed="false">
      <c r="A8" s="12" t="str">
        <f aca="false">_xlfn.CONCAT($A$1, ".", 'LSD.RID.0.AL.CALC'!A9)</f>
        <v>AL.EITCREF.5</v>
      </c>
      <c r="B8" s="33" t="str">
        <f aca="false">_xlfn.CONCAT('LSD.RID.0.AL.CALC'!B9, ":", 'LSD.RID.0.AL.CALC'!C9)</f>
        <v>Hospitality:Worker</v>
      </c>
      <c r="C8" s="43" t="n">
        <f aca="false">'LSD.RID.0.AL.CALC'!BD9</f>
        <v>1800000</v>
      </c>
      <c r="D8" s="43" t="n">
        <f aca="false">'LSD.RID.0.AL.CALC'!BE9</f>
        <v>360000</v>
      </c>
      <c r="E8" s="43" t="n">
        <f aca="false">'LSD.RID.0.AL.CALC'!BF9</f>
        <v>0</v>
      </c>
      <c r="F8" s="43" t="n">
        <f aca="false">'LSD.RID.0.AL.CALC'!BG9</f>
        <v>1440000</v>
      </c>
    </row>
    <row r="9" customFormat="false" ht="12.8" hidden="false" customHeight="false" outlineLevel="0" collapsed="false">
      <c r="A9" s="12" t="str">
        <f aca="false">_xlfn.CONCAT($A$1, ".", 'LSD.RID.0.AL.CALC'!A10)</f>
        <v>AL.EITCREF.6</v>
      </c>
      <c r="B9" s="33" t="str">
        <f aca="false">_xlfn.CONCAT('LSD.RID.0.AL.CALC'!B10, ":", 'LSD.RID.0.AL.CALC'!C10)</f>
        <v>Hospitality:Support</v>
      </c>
      <c r="C9" s="43" t="n">
        <f aca="false">'LSD.RID.0.AL.CALC'!BD10</f>
        <v>900000</v>
      </c>
      <c r="D9" s="43" t="n">
        <f aca="false">'LSD.RID.0.AL.CALC'!BE10</f>
        <v>180000</v>
      </c>
      <c r="E9" s="43" t="n">
        <f aca="false">'LSD.RID.0.AL.CALC'!BF10</f>
        <v>0</v>
      </c>
      <c r="F9" s="43" t="n">
        <f aca="false">'LSD.RID.0.AL.CALC'!BG10</f>
        <v>720000</v>
      </c>
    </row>
    <row r="10" customFormat="false" ht="12.8" hidden="false" customHeight="false" outlineLevel="0" collapsed="false">
      <c r="A10" s="12" t="str">
        <f aca="false">_xlfn.CONCAT($A$1, ".", 'LSD.RID.0.AL.CALC'!A11)</f>
        <v>AL.EITCREF.7</v>
      </c>
      <c r="B10" s="33" t="str">
        <f aca="false">_xlfn.CONCAT('LSD.RID.0.AL.CALC'!B11, ":", 'LSD.RID.0.AL.CALC'!C11)</f>
        <v>Cleaning &amp; Maintenance:Worker</v>
      </c>
      <c r="C10" s="43" t="n">
        <f aca="false">'LSD.RID.0.AL.CALC'!BD11</f>
        <v>650000</v>
      </c>
      <c r="D10" s="43" t="n">
        <f aca="false">'LSD.RID.0.AL.CALC'!BE11</f>
        <v>130000</v>
      </c>
      <c r="E10" s="43" t="n">
        <f aca="false">'LSD.RID.0.AL.CALC'!BF11</f>
        <v>0</v>
      </c>
      <c r="F10" s="43" t="n">
        <f aca="false">'LSD.RID.0.AL.CALC'!BG11</f>
        <v>520000</v>
      </c>
    </row>
    <row r="11" customFormat="false" ht="12.8" hidden="false" customHeight="false" outlineLevel="0" collapsed="false">
      <c r="A11" s="12" t="str">
        <f aca="false">_xlfn.CONCAT($A$1, ".", 'LSD.RID.0.AL.CALC'!A12)</f>
        <v>AL.EITCREF.8</v>
      </c>
      <c r="B11" s="33" t="str">
        <f aca="false">_xlfn.CONCAT('LSD.RID.0.AL.CALC'!B12, ":", 'LSD.RID.0.AL.CALC'!C12)</f>
        <v>Cleaning &amp; Maintenance:Support</v>
      </c>
      <c r="C11" s="43" t="n">
        <f aca="false">'LSD.RID.0.AL.CALC'!BD12</f>
        <v>325000</v>
      </c>
      <c r="D11" s="43" t="n">
        <f aca="false">'LSD.RID.0.AL.CALC'!BE12</f>
        <v>65000</v>
      </c>
      <c r="E11" s="43" t="n">
        <f aca="false">'LSD.RID.0.AL.CALC'!BF12</f>
        <v>0</v>
      </c>
      <c r="F11" s="43" t="n">
        <f aca="false">'LSD.RID.0.AL.CALC'!BG12</f>
        <v>260000</v>
      </c>
    </row>
    <row r="12" customFormat="false" ht="12.8" hidden="false" customHeight="false" outlineLevel="0" collapsed="false">
      <c r="A12" s="12" t="str">
        <f aca="false">_xlfn.CONCAT($A$1, ".", 'LSD.RID.0.AL.CALC'!A13)</f>
        <v>AL.EITCREF.9</v>
      </c>
      <c r="B12" s="33" t="str">
        <f aca="false">_xlfn.CONCAT('LSD.RID.0.AL.CALC'!B13, ":", 'LSD.RID.0.AL.CALC'!C13)</f>
        <v>Manufacturing:Worker</v>
      </c>
      <c r="C12" s="43" t="n">
        <f aca="false">'LSD.RID.0.AL.CALC'!BD13</f>
        <v>2700000</v>
      </c>
      <c r="D12" s="43" t="n">
        <f aca="false">'LSD.RID.0.AL.CALC'!BE13</f>
        <v>540000</v>
      </c>
      <c r="E12" s="43" t="n">
        <f aca="false">'LSD.RID.0.AL.CALC'!BF13</f>
        <v>0</v>
      </c>
      <c r="F12" s="43" t="n">
        <f aca="false">'LSD.RID.0.AL.CALC'!BG13</f>
        <v>2160000</v>
      </c>
    </row>
    <row r="13" customFormat="false" ht="12.8" hidden="false" customHeight="false" outlineLevel="0" collapsed="false">
      <c r="A13" s="12" t="str">
        <f aca="false">_xlfn.CONCAT($A$1, ".", 'LSD.RID.0.AL.CALC'!A14)</f>
        <v>AL.EITCREF.10</v>
      </c>
      <c r="B13" s="33" t="str">
        <f aca="false">_xlfn.CONCAT('LSD.RID.0.AL.CALC'!B14, ":", 'LSD.RID.0.AL.CALC'!C14)</f>
        <v>Manufacturing:Support</v>
      </c>
      <c r="C13" s="43" t="n">
        <f aca="false">'LSD.RID.0.AL.CALC'!BD14</f>
        <v>1350000</v>
      </c>
      <c r="D13" s="43" t="n">
        <f aca="false">'LSD.RID.0.AL.CALC'!BE14</f>
        <v>270000</v>
      </c>
      <c r="E13" s="43" t="n">
        <f aca="false">'LSD.RID.0.AL.CALC'!BF14</f>
        <v>0</v>
      </c>
      <c r="F13" s="43" t="n">
        <f aca="false">'LSD.RID.0.AL.CALC'!BG14</f>
        <v>1080000</v>
      </c>
    </row>
    <row r="14" customFormat="false" ht="12.8" hidden="false" customHeight="false" outlineLevel="0" collapsed="false">
      <c r="A14" s="12" t="str">
        <f aca="false">_xlfn.CONCAT($A$1, ".", 'LSD.RID.0.AL.CALC'!A15)</f>
        <v>AL.EITCREF.11</v>
      </c>
      <c r="B14" s="33" t="str">
        <f aca="false">_xlfn.CONCAT('LSD.RID.0.AL.CALC'!B15, ":", 'LSD.RID.0.AL.CALC'!C15)</f>
        <v>Transportation &amp; Warehousing:Worker</v>
      </c>
      <c r="C14" s="43" t="n">
        <f aca="false">'LSD.RID.0.AL.CALC'!BD15</f>
        <v>900000</v>
      </c>
      <c r="D14" s="43" t="n">
        <f aca="false">'LSD.RID.0.AL.CALC'!BE15</f>
        <v>180000</v>
      </c>
      <c r="E14" s="43" t="n">
        <f aca="false">'LSD.RID.0.AL.CALC'!BF15</f>
        <v>0</v>
      </c>
      <c r="F14" s="43" t="n">
        <f aca="false">'LSD.RID.0.AL.CALC'!BG15</f>
        <v>720000</v>
      </c>
    </row>
    <row r="15" customFormat="false" ht="12.8" hidden="false" customHeight="false" outlineLevel="0" collapsed="false">
      <c r="A15" s="12" t="str">
        <f aca="false">_xlfn.CONCAT($A$1, ".", 'LSD.RID.0.AL.CALC'!A16)</f>
        <v>AL.EITCREF.12</v>
      </c>
      <c r="B15" s="33" t="str">
        <f aca="false">_xlfn.CONCAT('LSD.RID.0.AL.CALC'!B16, ":", 'LSD.RID.0.AL.CALC'!C16)</f>
        <v>Transportation &amp; Warehousing:Support</v>
      </c>
      <c r="C15" s="43" t="n">
        <f aca="false">'LSD.RID.0.AL.CALC'!BD16</f>
        <v>450000</v>
      </c>
      <c r="D15" s="43" t="n">
        <f aca="false">'LSD.RID.0.AL.CALC'!BE16</f>
        <v>90000</v>
      </c>
      <c r="E15" s="43" t="n">
        <f aca="false">'LSD.RID.0.AL.CALC'!BF16</f>
        <v>0</v>
      </c>
      <c r="F15" s="43" t="n">
        <f aca="false">'LSD.RID.0.AL.CALC'!BG16</f>
        <v>360000</v>
      </c>
    </row>
    <row r="16" customFormat="false" ht="12.8" hidden="false" customHeight="false" outlineLevel="0" collapsed="false">
      <c r="A16" s="12" t="str">
        <f aca="false">_xlfn.CONCAT($A$1, ".", 'LSD.RID.0.AL.CALC'!A17)</f>
        <v>AL.EITCREF.13</v>
      </c>
      <c r="B16" s="33" t="str">
        <f aca="false">_xlfn.CONCAT('LSD.RID.0.AL.CALC'!B17, ":", 'LSD.RID.0.AL.CALC'!C17)</f>
        <v>Retail Trade:Worker</v>
      </c>
      <c r="C16" s="43" t="n">
        <f aca="false">'LSD.RID.0.AL.CALC'!BD17</f>
        <v>2400000</v>
      </c>
      <c r="D16" s="43" t="n">
        <f aca="false">'LSD.RID.0.AL.CALC'!BE17</f>
        <v>480000</v>
      </c>
      <c r="E16" s="43" t="n">
        <f aca="false">'LSD.RID.0.AL.CALC'!BF17</f>
        <v>0</v>
      </c>
      <c r="F16" s="43" t="n">
        <f aca="false">'LSD.RID.0.AL.CALC'!BG17</f>
        <v>1920000</v>
      </c>
    </row>
    <row r="17" customFormat="false" ht="12.8" hidden="false" customHeight="false" outlineLevel="0" collapsed="false">
      <c r="A17" s="12" t="str">
        <f aca="false">_xlfn.CONCAT($A$1, ".", 'LSD.RID.0.AL.CALC'!A18)</f>
        <v>AL.EITCREF.14</v>
      </c>
      <c r="B17" s="33" t="str">
        <f aca="false">_xlfn.CONCAT('LSD.RID.0.AL.CALC'!B18, ":", 'LSD.RID.0.AL.CALC'!C18)</f>
        <v>Retail Trade:Support</v>
      </c>
      <c r="C17" s="43" t="n">
        <f aca="false">'LSD.RID.0.AL.CALC'!BD18</f>
        <v>1200000</v>
      </c>
      <c r="D17" s="43" t="n">
        <f aca="false">'LSD.RID.0.AL.CALC'!BE18</f>
        <v>240000</v>
      </c>
      <c r="E17" s="43" t="n">
        <f aca="false">'LSD.RID.0.AL.CALC'!BF18</f>
        <v>0</v>
      </c>
      <c r="F17" s="43" t="n">
        <f aca="false">'LSD.RID.0.AL.CALC'!BG18</f>
        <v>960000</v>
      </c>
    </row>
    <row r="18" customFormat="false" ht="12.8" hidden="false" customHeight="false" outlineLevel="0" collapsed="false">
      <c r="A18" s="12" t="str">
        <f aca="false">_xlfn.CONCAT($A$1, ".", 'LSD.RID.0.AL.CALC'!A19)</f>
        <v>AL.EITCREF.15</v>
      </c>
      <c r="B18" s="33" t="str">
        <f aca="false">_xlfn.CONCAT('LSD.RID.0.AL.CALC'!B19, ":", 'LSD.RID.0.AL.CALC'!C19)</f>
        <v>Landscaping / Groundskeeping:Worker</v>
      </c>
      <c r="C18" s="43" t="n">
        <f aca="false">'LSD.RID.0.AL.CALC'!BD19</f>
        <v>330000</v>
      </c>
      <c r="D18" s="43" t="n">
        <f aca="false">'LSD.RID.0.AL.CALC'!BE19</f>
        <v>66000</v>
      </c>
      <c r="E18" s="43" t="n">
        <f aca="false">'LSD.RID.0.AL.CALC'!BF19</f>
        <v>0</v>
      </c>
      <c r="F18" s="43" t="n">
        <f aca="false">'LSD.RID.0.AL.CALC'!BG19</f>
        <v>264000</v>
      </c>
    </row>
    <row r="19" customFormat="false" ht="12.8" hidden="false" customHeight="false" outlineLevel="0" collapsed="false">
      <c r="A19" s="12" t="str">
        <f aca="false">_xlfn.CONCAT($A$1, ".", 'LSD.RID.0.AL.CALC'!A20)</f>
        <v>AL.EITCREF.16</v>
      </c>
      <c r="B19" s="33" t="str">
        <f aca="false">_xlfn.CONCAT('LSD.RID.0.AL.CALC'!B20, ":", 'LSD.RID.0.AL.CALC'!C20)</f>
        <v>Landscaping / Groundskeeping:Support</v>
      </c>
      <c r="C19" s="43" t="n">
        <f aca="false">'LSD.RID.0.AL.CALC'!BD20</f>
        <v>165000</v>
      </c>
      <c r="D19" s="43" t="n">
        <f aca="false">'LSD.RID.0.AL.CALC'!BE20</f>
        <v>33000</v>
      </c>
      <c r="E19" s="43" t="n">
        <f aca="false">'LSD.RID.0.AL.CALC'!BF20</f>
        <v>0</v>
      </c>
      <c r="F19" s="43" t="n">
        <f aca="false">'LSD.RID.0.AL.CALC'!BG20</f>
        <v>132000</v>
      </c>
    </row>
    <row r="20" customFormat="false" ht="12.8" hidden="false" customHeight="false" outlineLevel="0" collapsed="false">
      <c r="A20" s="12" t="str">
        <f aca="false">_xlfn.CONCAT($A$1, ".", 'LSD.RID.0.AL.CALC'!A21)</f>
        <v>AL.EITCREF.17</v>
      </c>
      <c r="B20" s="33" t="str">
        <f aca="false">_xlfn.CONCAT('LSD.RID.0.AL.CALC'!B21, ":", 'LSD.RID.0.AL.CALC'!C21)</f>
        <v>Automotive &amp; Repair:Worker</v>
      </c>
      <c r="C20" s="43" t="n">
        <f aca="false">'LSD.RID.0.AL.CALC'!BD21</f>
        <v>270000</v>
      </c>
      <c r="D20" s="43" t="n">
        <f aca="false">'LSD.RID.0.AL.CALC'!BE21</f>
        <v>54000</v>
      </c>
      <c r="E20" s="43" t="n">
        <f aca="false">'LSD.RID.0.AL.CALC'!BF21</f>
        <v>0</v>
      </c>
      <c r="F20" s="43" t="n">
        <f aca="false">'LSD.RID.0.AL.CALC'!BG21</f>
        <v>216000</v>
      </c>
    </row>
    <row r="21" customFormat="false" ht="12.8" hidden="false" customHeight="false" outlineLevel="0" collapsed="false">
      <c r="A21" s="12" t="str">
        <f aca="false">_xlfn.CONCAT($A$1, ".", 'LSD.RID.0.AL.CALC'!A22)</f>
        <v>AL.EITCREF.18</v>
      </c>
      <c r="B21" s="33" t="str">
        <f aca="false">_xlfn.CONCAT('LSD.RID.0.AL.CALC'!B22, ":", 'LSD.RID.0.AL.CALC'!C22)</f>
        <v>Automotive &amp; Repair:Support</v>
      </c>
      <c r="C21" s="43" t="n">
        <f aca="false">'LSD.RID.0.AL.CALC'!BD22</f>
        <v>135000</v>
      </c>
      <c r="D21" s="43" t="n">
        <f aca="false">'LSD.RID.0.AL.CALC'!BE22</f>
        <v>27000</v>
      </c>
      <c r="E21" s="43" t="n">
        <f aca="false">'LSD.RID.0.AL.CALC'!BF22</f>
        <v>0</v>
      </c>
      <c r="F21" s="43" t="n">
        <f aca="false">'LSD.RID.0.AL.CALC'!BG22</f>
        <v>108000</v>
      </c>
    </row>
    <row r="22" customFormat="false" ht="12.8" hidden="false" customHeight="false" outlineLevel="0" collapsed="false">
      <c r="A22" s="12" t="str">
        <f aca="false">_xlfn.CONCAT($A$1, ".", 'LSD.RID.0.AL.CALC'!A23)</f>
        <v>AL.EITCREF.19</v>
      </c>
      <c r="B22" s="33" t="str">
        <f aca="false">_xlfn.CONCAT('LSD.RID.0.AL.CALC'!B23, ":", 'LSD.RID.0.AL.CALC'!C23)</f>
        <v>Healthcare &amp; Social Assistance:Worker</v>
      </c>
      <c r="C22" s="43" t="n">
        <f aca="false">'LSD.RID.0.AL.CALC'!BD23</f>
        <v>5200000</v>
      </c>
      <c r="D22" s="43" t="n">
        <f aca="false">'LSD.RID.0.AL.CALC'!BE23</f>
        <v>1040000</v>
      </c>
      <c r="E22" s="43" t="n">
        <f aca="false">'LSD.RID.0.AL.CALC'!BF23</f>
        <v>0</v>
      </c>
      <c r="F22" s="43" t="n">
        <f aca="false">'LSD.RID.0.AL.CALC'!BG23</f>
        <v>4160000</v>
      </c>
    </row>
    <row r="23" customFormat="false" ht="12.8" hidden="false" customHeight="false" outlineLevel="0" collapsed="false">
      <c r="A23" s="12" t="str">
        <f aca="false">_xlfn.CONCAT($A$1, ".", 'LSD.RID.0.AL.CALC'!A24)</f>
        <v>AL.EITCREF.20</v>
      </c>
      <c r="B23" s="33" t="str">
        <f aca="false">_xlfn.CONCAT('LSD.RID.0.AL.CALC'!B24, ":", 'LSD.RID.0.AL.CALC'!C24)</f>
        <v>Healthcare &amp; Social Assistance:Support</v>
      </c>
      <c r="C23" s="43" t="n">
        <f aca="false">'LSD.RID.0.AL.CALC'!BD24</f>
        <v>2600000</v>
      </c>
      <c r="D23" s="43" t="n">
        <f aca="false">'LSD.RID.0.AL.CALC'!BE24</f>
        <v>520000</v>
      </c>
      <c r="E23" s="43" t="n">
        <f aca="false">'LSD.RID.0.AL.CALC'!BF24</f>
        <v>0</v>
      </c>
      <c r="F23" s="43" t="n">
        <f aca="false">'LSD.RID.0.AL.CALC'!BG24</f>
        <v>2080000</v>
      </c>
    </row>
    <row r="24" customFormat="false" ht="12.8" hidden="false" customHeight="false" outlineLevel="0" collapsed="false">
      <c r="A24" s="12" t="str">
        <f aca="false">_xlfn.CONCAT($A$1, ".", 'LSD.RID.0.AL.CALC'!A25)</f>
        <v>AL.EITCREF.21</v>
      </c>
      <c r="B24" s="33" t="str">
        <f aca="false">_xlfn.CONCAT('LSD.RID.0.AL.CALC'!B25, ":", 'LSD.RID.0.AL.CALC'!C25)</f>
        <v>Professional Services:Worker</v>
      </c>
      <c r="C24" s="43" t="n">
        <f aca="false">'LSD.RID.0.AL.CALC'!BD25</f>
        <v>3300000</v>
      </c>
      <c r="D24" s="43" t="n">
        <f aca="false">'LSD.RID.0.AL.CALC'!BE25</f>
        <v>660000</v>
      </c>
      <c r="E24" s="43" t="n">
        <f aca="false">'LSD.RID.0.AL.CALC'!BF25</f>
        <v>0</v>
      </c>
      <c r="F24" s="43" t="n">
        <f aca="false">'LSD.RID.0.AL.CALC'!BG25</f>
        <v>2640000</v>
      </c>
    </row>
    <row r="25" customFormat="false" ht="12.8" hidden="false" customHeight="false" outlineLevel="0" collapsed="false">
      <c r="A25" s="12" t="str">
        <f aca="false">_xlfn.CONCAT($A$1, ".", 'LSD.RID.0.AL.CALC'!A26)</f>
        <v>AL.EITCREF.22</v>
      </c>
      <c r="B25" s="33" t="str">
        <f aca="false">_xlfn.CONCAT('LSD.RID.0.AL.CALC'!B26, ":", 'LSD.RID.0.AL.CALC'!C26)</f>
        <v>Professional Services:Support</v>
      </c>
      <c r="C25" s="43" t="n">
        <f aca="false">'LSD.RID.0.AL.CALC'!BD26</f>
        <v>1650000</v>
      </c>
      <c r="D25" s="43" t="n">
        <f aca="false">'LSD.RID.0.AL.CALC'!BE26</f>
        <v>330000</v>
      </c>
      <c r="E25" s="43" t="n">
        <f aca="false">'LSD.RID.0.AL.CALC'!BF26</f>
        <v>0</v>
      </c>
      <c r="F25" s="43" t="n">
        <f aca="false">'LSD.RID.0.AL.CALC'!BG26</f>
        <v>1320000</v>
      </c>
    </row>
    <row r="26" customFormat="false" ht="12.8" hidden="false" customHeight="false" outlineLevel="0" collapsed="false">
      <c r="A26" s="12" t="str">
        <f aca="false">_xlfn.CONCAT($A$1, ".", 'LSD.RID.0.AL.CALC'!A27)</f>
        <v>AL.EITCREF.23</v>
      </c>
      <c r="B26" s="33" t="str">
        <f aca="false">_xlfn.CONCAT('LSD.RID.0.AL.CALC'!B27, ":", 'LSD.RID.0.AL.CALC'!C27)</f>
        <v>Educational Services:Worker</v>
      </c>
      <c r="C26" s="43" t="n">
        <f aca="false">'LSD.RID.0.AL.CALC'!BD27</f>
        <v>2100000</v>
      </c>
      <c r="D26" s="43" t="n">
        <f aca="false">'LSD.RID.0.AL.CALC'!BE27</f>
        <v>420000</v>
      </c>
      <c r="E26" s="43" t="n">
        <f aca="false">'LSD.RID.0.AL.CALC'!BF27</f>
        <v>0</v>
      </c>
      <c r="F26" s="43" t="n">
        <f aca="false">'LSD.RID.0.AL.CALC'!BG27</f>
        <v>1680000</v>
      </c>
    </row>
    <row r="27" customFormat="false" ht="12.8" hidden="false" customHeight="false" outlineLevel="0" collapsed="false">
      <c r="A27" s="12" t="str">
        <f aca="false">_xlfn.CONCAT($A$1, ".", 'LSD.RID.0.AL.CALC'!A28)</f>
        <v>AL.EITCREF.24</v>
      </c>
      <c r="B27" s="33" t="str">
        <f aca="false">_xlfn.CONCAT('LSD.RID.0.AL.CALC'!B28, ":", 'LSD.RID.0.AL.CALC'!C28)</f>
        <v>Educational Services:Support</v>
      </c>
      <c r="C27" s="43" t="n">
        <f aca="false">'LSD.RID.0.AL.CALC'!BD28</f>
        <v>1050000</v>
      </c>
      <c r="D27" s="43" t="n">
        <f aca="false">'LSD.RID.0.AL.CALC'!BE28</f>
        <v>210000</v>
      </c>
      <c r="E27" s="43" t="n">
        <f aca="false">'LSD.RID.0.AL.CALC'!BF28</f>
        <v>0</v>
      </c>
      <c r="F27" s="43" t="n">
        <f aca="false">'LSD.RID.0.AL.CALC'!BG28</f>
        <v>840000</v>
      </c>
    </row>
    <row r="28" customFormat="false" ht="12.8" hidden="false" customHeight="false" outlineLevel="0" collapsed="false">
      <c r="A28" s="12" t="str">
        <f aca="false">_xlfn.CONCAT($A$1, ".", 'LSD.RID.0.AL.CALC'!A29)</f>
        <v>AL.EITCREF.25</v>
      </c>
      <c r="B28" s="33" t="str">
        <f aca="false">_xlfn.CONCAT('LSD.RID.0.AL.CALC'!B29, ":", 'LSD.RID.0.AL.CALC'!C29)</f>
        <v>Finance &amp; Insurance:Worker</v>
      </c>
      <c r="C28" s="43" t="n">
        <f aca="false">'LSD.RID.0.AL.CALC'!BD29</f>
        <v>1500000</v>
      </c>
      <c r="D28" s="43" t="n">
        <f aca="false">'LSD.RID.0.AL.CALC'!BE29</f>
        <v>300000</v>
      </c>
      <c r="E28" s="43" t="n">
        <f aca="false">'LSD.RID.0.AL.CALC'!BF29</f>
        <v>0</v>
      </c>
      <c r="F28" s="43" t="n">
        <f aca="false">'LSD.RID.0.AL.CALC'!BG29</f>
        <v>1200000</v>
      </c>
    </row>
    <row r="29" customFormat="false" ht="12.8" hidden="false" customHeight="false" outlineLevel="0" collapsed="false">
      <c r="A29" s="12" t="str">
        <f aca="false">_xlfn.CONCAT($A$1, ".", 'LSD.RID.0.AL.CALC'!A30)</f>
        <v>AL.EITCREF.26</v>
      </c>
      <c r="B29" s="33" t="str">
        <f aca="false">_xlfn.CONCAT('LSD.RID.0.AL.CALC'!B30, ":", 'LSD.RID.0.AL.CALC'!C30)</f>
        <v>Finance &amp; Insurance:Support</v>
      </c>
      <c r="C29" s="43" t="n">
        <f aca="false">'LSD.RID.0.AL.CALC'!BD30</f>
        <v>750000</v>
      </c>
      <c r="D29" s="43" t="n">
        <f aca="false">'LSD.RID.0.AL.CALC'!BE30</f>
        <v>150000</v>
      </c>
      <c r="E29" s="43" t="n">
        <f aca="false">'LSD.RID.0.AL.CALC'!BF30</f>
        <v>0</v>
      </c>
      <c r="F29" s="43" t="n">
        <f aca="false">'LSD.RID.0.AL.CALC'!BG30</f>
        <v>600000</v>
      </c>
    </row>
    <row r="30" customFormat="false" ht="12.8" hidden="false" customHeight="false" outlineLevel="0" collapsed="false">
      <c r="A30" s="12" t="str">
        <f aca="false">_xlfn.CONCAT($A$1, ".", 'LSD.RID.0.AL.CALC'!A31)</f>
        <v>AL.EITCREF.27</v>
      </c>
      <c r="B30" s="33" t="str">
        <f aca="false">_xlfn.CONCAT('LSD.RID.0.AL.CALC'!B31, ":", 'LSD.RID.0.AL.CALC'!C31)</f>
        <v>Media and Information Technology:Worker</v>
      </c>
      <c r="C30" s="43" t="n">
        <f aca="false">'LSD.RID.0.AL.CALC'!BD31</f>
        <v>450000</v>
      </c>
      <c r="D30" s="43" t="n">
        <f aca="false">'LSD.RID.0.AL.CALC'!BE31</f>
        <v>90000</v>
      </c>
      <c r="E30" s="43" t="n">
        <f aca="false">'LSD.RID.0.AL.CALC'!BF31</f>
        <v>0</v>
      </c>
      <c r="F30" s="43" t="n">
        <f aca="false">'LSD.RID.0.AL.CALC'!BG31</f>
        <v>360000</v>
      </c>
    </row>
    <row r="31" customFormat="false" ht="12.8" hidden="false" customHeight="false" outlineLevel="0" collapsed="false">
      <c r="A31" s="12" t="str">
        <f aca="false">_xlfn.CONCAT($A$1, ".", 'LSD.RID.0.AL.CALC'!A32)</f>
        <v>AL.EITCREF.28</v>
      </c>
      <c r="B31" s="33" t="str">
        <f aca="false">_xlfn.CONCAT('LSD.RID.0.AL.CALC'!B32, ":", 'LSD.RID.0.AL.CALC'!C32)</f>
        <v>Media and Information Technology:Support</v>
      </c>
      <c r="C31" s="43" t="n">
        <f aca="false">'LSD.RID.0.AL.CALC'!BD32</f>
        <v>225000</v>
      </c>
      <c r="D31" s="43" t="n">
        <f aca="false">'LSD.RID.0.AL.CALC'!BE32</f>
        <v>45000</v>
      </c>
      <c r="E31" s="43" t="n">
        <f aca="false">'LSD.RID.0.AL.CALC'!BF32</f>
        <v>0</v>
      </c>
      <c r="F31" s="43" t="n">
        <f aca="false">'LSD.RID.0.AL.CALC'!BG32</f>
        <v>180000</v>
      </c>
    </row>
    <row r="32" customFormat="false" ht="12.8" hidden="false" customHeight="false" outlineLevel="0" collapsed="false">
      <c r="A32" s="12" t="str">
        <f aca="false">_xlfn.CONCAT($A$1, ".", 'LSD.RID.0.AL.CALC'!A33)</f>
        <v>AL.EITCREF.29</v>
      </c>
      <c r="B32" s="33" t="str">
        <f aca="false">_xlfn.CONCAT('LSD.RID.0.AL.CALC'!B33, ":", 'LSD.RID.0.AL.CALC'!C33)</f>
        <v>Government:Worker</v>
      </c>
      <c r="C32" s="43" t="n">
        <f aca="false">'LSD.RID.0.AL.CALC'!BD33</f>
        <v>6000000</v>
      </c>
      <c r="D32" s="43" t="n">
        <f aca="false">'LSD.RID.0.AL.CALC'!BE33</f>
        <v>1200000</v>
      </c>
      <c r="E32" s="43" t="n">
        <f aca="false">'LSD.RID.0.AL.CALC'!BF33</f>
        <v>0</v>
      </c>
      <c r="F32" s="43" t="n">
        <f aca="false">'LSD.RID.0.AL.CALC'!BG33</f>
        <v>4800000</v>
      </c>
    </row>
    <row r="33" customFormat="false" ht="12.8" hidden="false" customHeight="false" outlineLevel="0" collapsed="false">
      <c r="A33" s="12" t="str">
        <f aca="false">_xlfn.CONCAT($A$1, ".", 'LSD.RID.0.AL.CALC'!A34)</f>
        <v>AL.EITCREF.30</v>
      </c>
      <c r="B33" s="33" t="str">
        <f aca="false">_xlfn.CONCAT('LSD.RID.0.AL.CALC'!B34, ":", 'LSD.RID.0.AL.CALC'!C34)</f>
        <v>Government:Support</v>
      </c>
      <c r="C33" s="43" t="n">
        <f aca="false">'LSD.RID.0.AL.CALC'!BD34</f>
        <v>3000000</v>
      </c>
      <c r="D33" s="43" t="n">
        <f aca="false">'LSD.RID.0.AL.CALC'!BE34</f>
        <v>600000</v>
      </c>
      <c r="E33" s="43" t="n">
        <f aca="false">'LSD.RID.0.AL.CALC'!BF34</f>
        <v>0</v>
      </c>
      <c r="F33" s="43" t="n">
        <f aca="false">'LSD.RID.0.AL.CALC'!BG34</f>
        <v>2400000</v>
      </c>
    </row>
    <row r="34" customFormat="false" ht="12.8" hidden="false" customHeight="false" outlineLevel="0" collapsed="false">
      <c r="A34" s="12" t="str">
        <f aca="false">_xlfn.CONCAT($A$1, ".", 'LSD.RID.0.AL.CALC'!A35)</f>
        <v>AL.EITCREF.31</v>
      </c>
      <c r="B34" s="33" t="str">
        <f aca="false">_xlfn.CONCAT('LSD.RID.0.AL.CALC'!B35, ":", 'LSD.RID.0.AL.CALC'!C35)</f>
        <v>Self-Employed / Non-Employer:Worker</v>
      </c>
      <c r="C34" s="43" t="n">
        <f aca="false">'LSD.RID.0.AL.CALC'!BD35</f>
        <v>2700000</v>
      </c>
      <c r="D34" s="43" t="n">
        <f aca="false">'LSD.RID.0.AL.CALC'!BE35</f>
        <v>540000</v>
      </c>
      <c r="E34" s="43" t="n">
        <f aca="false">'LSD.RID.0.AL.CALC'!BF35</f>
        <v>0</v>
      </c>
      <c r="F34" s="43" t="n">
        <f aca="false">'LSD.RID.0.AL.CALC'!BG35</f>
        <v>2160000</v>
      </c>
    </row>
    <row r="35" customFormat="false" ht="12.8" hidden="false" customHeight="false" outlineLevel="0" collapsed="false">
      <c r="A35" s="12" t="str">
        <f aca="false">_xlfn.CONCAT($A$1, ".", 'LSD.RID.0.AL.CALC'!A36)</f>
        <v>AL.EITCREF.32</v>
      </c>
      <c r="B35" s="33" t="str">
        <f aca="false">_xlfn.CONCAT('LSD.RID.0.AL.CALC'!B36, ":", 'LSD.RID.0.AL.CALC'!C36)</f>
        <v>Self-Employed / Non-Employer:Support</v>
      </c>
      <c r="C35" s="43" t="n">
        <f aca="false">'LSD.RID.0.AL.CALC'!BD36</f>
        <v>1350000</v>
      </c>
      <c r="D35" s="43" t="n">
        <f aca="false">'LSD.RID.0.AL.CALC'!BE36</f>
        <v>270000</v>
      </c>
      <c r="E35" s="43" t="n">
        <f aca="false">'LSD.RID.0.AL.CALC'!BF36</f>
        <v>0</v>
      </c>
      <c r="F35" s="43" t="n">
        <f aca="false">'LSD.RID.0.AL.CALC'!BG36</f>
        <v>1080000</v>
      </c>
    </row>
    <row r="36" customFormat="false" ht="12.8" hidden="false" customHeight="false" outlineLevel="0" collapsed="false">
      <c r="A36" s="12" t="str">
        <f aca="false">_xlfn.CONCAT($A$1, ".", 'LSD.RID.0.AL.CALC'!A37)</f>
        <v>AL.EITCREF.33</v>
      </c>
      <c r="B36" s="33" t="str">
        <f aca="false">_xlfn.CONCAT('LSD.RID.0.AL.CALC'!B37, ":", 'LSD.RID.0.AL.CALC'!C37)</f>
        <v>Other Services:Worker</v>
      </c>
      <c r="C36" s="43" t="n">
        <f aca="false">'LSD.RID.0.AL.CALC'!BD37</f>
        <v>1650000</v>
      </c>
      <c r="D36" s="43" t="n">
        <f aca="false">'LSD.RID.0.AL.CALC'!BE37</f>
        <v>330000</v>
      </c>
      <c r="E36" s="43" t="n">
        <f aca="false">'LSD.RID.0.AL.CALC'!BF37</f>
        <v>0</v>
      </c>
      <c r="F36" s="43" t="n">
        <f aca="false">'LSD.RID.0.AL.CALC'!BG37</f>
        <v>1320000</v>
      </c>
    </row>
    <row r="37" customFormat="false" ht="12.8" hidden="false" customHeight="false" outlineLevel="0" collapsed="false">
      <c r="A37" s="12" t="str">
        <f aca="false">_xlfn.CONCAT($A$1, ".", 'LSD.RID.0.AL.CALC'!A38)</f>
        <v>AL.EITCREF.34</v>
      </c>
      <c r="B37" s="33" t="str">
        <f aca="false">_xlfn.CONCAT('LSD.RID.0.AL.CALC'!B38, ":", 'LSD.RID.0.AL.CALC'!C38)</f>
        <v>Other Services:Support</v>
      </c>
      <c r="C37" s="43" t="n">
        <f aca="false">'LSD.RID.0.AL.CALC'!BD38</f>
        <v>825000</v>
      </c>
      <c r="D37" s="43" t="n">
        <f aca="false">'LSD.RID.0.AL.CALC'!BE38</f>
        <v>165000</v>
      </c>
      <c r="E37" s="43" t="n">
        <f aca="false">'LSD.RID.0.AL.CALC'!BF38</f>
        <v>0</v>
      </c>
      <c r="F37" s="43" t="n">
        <f aca="false">'LSD.RID.0.AL.CALC'!BG38</f>
        <v>660000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38"/>
  <sheetViews>
    <sheetView showFormulas="false" showGridLines="true" showRowColHeaders="true" showZeros="true" rightToLeft="false" tabSelected="false" showOutlineSymbols="true" defaultGridColor="true" view="normal" topLeftCell="A39" colorId="64" zoomScale="90" zoomScaleNormal="90" zoomScalePageLayoutView="100" workbookViewId="0">
      <selection pane="topLeft" activeCell="C133" activeCellId="0" sqref="C133"/>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5" width="36.9"/>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23.85" hidden="false" customHeight="false" outlineLevel="0" collapsed="false">
      <c r="A1" s="4" t="s">
        <v>1009</v>
      </c>
      <c r="B1" s="23" t="s">
        <v>1010</v>
      </c>
      <c r="C1" s="17" t="s">
        <v>2</v>
      </c>
      <c r="D1" s="31" t="s">
        <v>1011</v>
      </c>
      <c r="AZ1" s="15"/>
      <c r="BD1" s="0"/>
      <c r="BP1" s="15"/>
    </row>
    <row r="2" customFormat="false" ht="35.05" hidden="false" customHeight="false" outlineLevel="0" collapsed="false">
      <c r="A2" s="24" t="s">
        <v>978</v>
      </c>
      <c r="B2" s="23" t="s">
        <v>979</v>
      </c>
      <c r="C2" s="29" t="str">
        <f aca="false">'LSD.RID.0.AL.CALC'!BH3</f>
        <v>ACTC Credit Refund</v>
      </c>
      <c r="D2" s="29" t="str">
        <f aca="false">'LSD.RID.0.AL.CALC'!BI3</f>
        <v>Authorized Immigrant ACTC Credit Refund</v>
      </c>
      <c r="E2" s="29" t="str">
        <f aca="false">'LSD.RID.0.AL.CALC'!BJ3</f>
        <v>Unauthorized Immigrant ACTC Credit Refund</v>
      </c>
      <c r="F2" s="29" t="str">
        <f aca="false">'LSD.RID.0.AL.CALC'!BK3</f>
        <v>American Effective Tax ACTC Credit Refund</v>
      </c>
    </row>
    <row r="3" customFormat="false" ht="12.8" hidden="false" customHeight="false" outlineLevel="0" collapsed="false">
      <c r="A3" s="4" t="str">
        <f aca="false">_xlfn.CONCAT($A$1, ".", 'LSD.RID.0.AL.CALC'!A4)</f>
        <v>AL.ACTCREF.0</v>
      </c>
      <c r="B3" s="32" t="str">
        <f aca="false">_xlfn.CONCAT('LSD.RID.0.AL.CALC'!B4, ":", 'LSD.RID.0.AL.CALC'!C4)</f>
        <v>All Industries:All Roles</v>
      </c>
      <c r="C3" s="29" t="n">
        <f aca="false">'LSD.RID.0.AL.CALC'!BH4</f>
        <v>160000000</v>
      </c>
      <c r="D3" s="29" t="n">
        <f aca="false">'LSD.RID.0.AL.CALC'!BI4</f>
        <v>40000000</v>
      </c>
      <c r="E3" s="29" t="n">
        <f aca="false">'LSD.RID.0.AL.CALC'!BJ4</f>
        <v>40000000</v>
      </c>
      <c r="F3" s="29" t="n">
        <f aca="false">'LSD.RID.0.AL.CALC'!BK4</f>
        <v>120000000</v>
      </c>
    </row>
    <row r="4" customFormat="false" ht="12.8" hidden="false" customHeight="false" outlineLevel="0" collapsed="false">
      <c r="A4" s="12" t="str">
        <f aca="false">_xlfn.CONCAT($A$1, ".", 'LSD.RID.0.AL.CALC'!A5)</f>
        <v>AL.ACTCREF.1</v>
      </c>
      <c r="B4" s="33" t="str">
        <f aca="false">_xlfn.CONCAT('LSD.RID.0.AL.CALC'!B5, ":", 'LSD.RID.0.AL.CALC'!C5)</f>
        <v>Agriculture:Worker</v>
      </c>
      <c r="C4" s="43" t="n">
        <f aca="false">'LSD.RID.0.AL.CALC'!BH5</f>
        <v>45000</v>
      </c>
      <c r="D4" s="43" t="n">
        <f aca="false">'LSD.RID.0.AL.CALC'!BI5</f>
        <v>9000</v>
      </c>
      <c r="E4" s="43" t="n">
        <f aca="false">'LSD.RID.0.AL.CALC'!BJ5</f>
        <v>18000</v>
      </c>
      <c r="F4" s="43" t="n">
        <f aca="false">'LSD.RID.0.AL.CALC'!BK5</f>
        <v>54000</v>
      </c>
    </row>
    <row r="5" customFormat="false" ht="12.8" hidden="false" customHeight="false" outlineLevel="0" collapsed="false">
      <c r="A5" s="12" t="str">
        <f aca="false">_xlfn.CONCAT($A$1, ".", 'LSD.RID.0.AL.CALC'!A6)</f>
        <v>AL.ACTCREF.2</v>
      </c>
      <c r="B5" s="33" t="str">
        <f aca="false">_xlfn.CONCAT('LSD.RID.0.AL.CALC'!B6, ":", 'LSD.RID.0.AL.CALC'!C6)</f>
        <v>Agriculture:Support</v>
      </c>
      <c r="C5" s="43" t="n">
        <f aca="false">'LSD.RID.0.AL.CALC'!BH6</f>
        <v>22500</v>
      </c>
      <c r="D5" s="43" t="n">
        <f aca="false">'LSD.RID.0.AL.CALC'!BI6</f>
        <v>4500</v>
      </c>
      <c r="E5" s="43" t="n">
        <f aca="false">'LSD.RID.0.AL.CALC'!BJ6</f>
        <v>9000</v>
      </c>
      <c r="F5" s="43" t="n">
        <f aca="false">'LSD.RID.0.AL.CALC'!BK6</f>
        <v>27000</v>
      </c>
    </row>
    <row r="6" customFormat="false" ht="12.8" hidden="false" customHeight="false" outlineLevel="0" collapsed="false">
      <c r="A6" s="12" t="str">
        <f aca="false">_xlfn.CONCAT($A$1, ".", 'LSD.RID.0.AL.CALC'!A7)</f>
        <v>AL.ACTCREF.3</v>
      </c>
      <c r="B6" s="33" t="str">
        <f aca="false">_xlfn.CONCAT('LSD.RID.0.AL.CALC'!B7, ":", 'LSD.RID.0.AL.CALC'!C7)</f>
        <v>Construction:Worker</v>
      </c>
      <c r="C6" s="43" t="n">
        <f aca="false">'LSD.RID.0.AL.CALC'!BH7</f>
        <v>250000</v>
      </c>
      <c r="D6" s="43" t="n">
        <f aca="false">'LSD.RID.0.AL.CALC'!BI7</f>
        <v>50000</v>
      </c>
      <c r="E6" s="43" t="n">
        <f aca="false">'LSD.RID.0.AL.CALC'!BJ7</f>
        <v>50000</v>
      </c>
      <c r="F6" s="43" t="n">
        <f aca="false">'LSD.RID.0.AL.CALC'!BK7</f>
        <v>150000</v>
      </c>
    </row>
    <row r="7" customFormat="false" ht="12.8" hidden="false" customHeight="false" outlineLevel="0" collapsed="false">
      <c r="A7" s="12" t="str">
        <f aca="false">_xlfn.CONCAT($A$1, ".", 'LSD.RID.0.AL.CALC'!A8)</f>
        <v>AL.ACTCREF.4</v>
      </c>
      <c r="B7" s="33" t="str">
        <f aca="false">_xlfn.CONCAT('LSD.RID.0.AL.CALC'!B8, ":", 'LSD.RID.0.AL.CALC'!C8)</f>
        <v>Construction:Support</v>
      </c>
      <c r="C7" s="43" t="n">
        <f aca="false">'LSD.RID.0.AL.CALC'!BH8</f>
        <v>125000</v>
      </c>
      <c r="D7" s="43" t="n">
        <f aca="false">'LSD.RID.0.AL.CALC'!BI8</f>
        <v>25000</v>
      </c>
      <c r="E7" s="43" t="n">
        <f aca="false">'LSD.RID.0.AL.CALC'!BJ8</f>
        <v>25000</v>
      </c>
      <c r="F7" s="43" t="n">
        <f aca="false">'LSD.RID.0.AL.CALC'!BK8</f>
        <v>75000</v>
      </c>
    </row>
    <row r="8" customFormat="false" ht="12.8" hidden="false" customHeight="false" outlineLevel="0" collapsed="false">
      <c r="A8" s="12" t="str">
        <f aca="false">_xlfn.CONCAT($A$1, ".", 'LSD.RID.0.AL.CALC'!A9)</f>
        <v>AL.ACTCREF.5</v>
      </c>
      <c r="B8" s="33" t="str">
        <f aca="false">_xlfn.CONCAT('LSD.RID.0.AL.CALC'!B9, ":", 'LSD.RID.0.AL.CALC'!C9)</f>
        <v>Hospitality:Worker</v>
      </c>
      <c r="C8" s="43" t="n">
        <f aca="false">'LSD.RID.0.AL.CALC'!BH9</f>
        <v>900000</v>
      </c>
      <c r="D8" s="43" t="n">
        <f aca="false">'LSD.RID.0.AL.CALC'!BI9</f>
        <v>180000</v>
      </c>
      <c r="E8" s="43" t="n">
        <f aca="false">'LSD.RID.0.AL.CALC'!BJ9</f>
        <v>180000</v>
      </c>
      <c r="F8" s="43" t="n">
        <f aca="false">'LSD.RID.0.AL.CALC'!BK9</f>
        <v>540000</v>
      </c>
    </row>
    <row r="9" customFormat="false" ht="12.8" hidden="false" customHeight="false" outlineLevel="0" collapsed="false">
      <c r="A9" s="12" t="str">
        <f aca="false">_xlfn.CONCAT($A$1, ".", 'LSD.RID.0.AL.CALC'!A10)</f>
        <v>AL.ACTCREF.6</v>
      </c>
      <c r="B9" s="33" t="str">
        <f aca="false">_xlfn.CONCAT('LSD.RID.0.AL.CALC'!B10, ":", 'LSD.RID.0.AL.CALC'!C10)</f>
        <v>Hospitality:Support</v>
      </c>
      <c r="C9" s="43" t="n">
        <f aca="false">'LSD.RID.0.AL.CALC'!BH10</f>
        <v>450000</v>
      </c>
      <c r="D9" s="43" t="n">
        <f aca="false">'LSD.RID.0.AL.CALC'!BI10</f>
        <v>90000</v>
      </c>
      <c r="E9" s="43" t="n">
        <f aca="false">'LSD.RID.0.AL.CALC'!BJ10</f>
        <v>90000</v>
      </c>
      <c r="F9" s="43" t="n">
        <f aca="false">'LSD.RID.0.AL.CALC'!BK10</f>
        <v>270000</v>
      </c>
    </row>
    <row r="10" customFormat="false" ht="12.8" hidden="false" customHeight="false" outlineLevel="0" collapsed="false">
      <c r="A10" s="12" t="str">
        <f aca="false">_xlfn.CONCAT($A$1, ".", 'LSD.RID.0.AL.CALC'!A11)</f>
        <v>AL.ACTCREF.7</v>
      </c>
      <c r="B10" s="33" t="str">
        <f aca="false">_xlfn.CONCAT('LSD.RID.0.AL.CALC'!B11, ":", 'LSD.RID.0.AL.CALC'!C11)</f>
        <v>Cleaning &amp; Maintenance:Worker</v>
      </c>
      <c r="C10" s="43" t="n">
        <f aca="false">'LSD.RID.0.AL.CALC'!BH11</f>
        <v>325000</v>
      </c>
      <c r="D10" s="43" t="n">
        <f aca="false">'LSD.RID.0.AL.CALC'!BI11</f>
        <v>65000</v>
      </c>
      <c r="E10" s="43" t="n">
        <f aca="false">'LSD.RID.0.AL.CALC'!BJ11</f>
        <v>65000</v>
      </c>
      <c r="F10" s="43" t="n">
        <f aca="false">'LSD.RID.0.AL.CALC'!BK11</f>
        <v>195000</v>
      </c>
    </row>
    <row r="11" customFormat="false" ht="12.8" hidden="false" customHeight="false" outlineLevel="0" collapsed="false">
      <c r="A11" s="12" t="str">
        <f aca="false">_xlfn.CONCAT($A$1, ".", 'LSD.RID.0.AL.CALC'!A12)</f>
        <v>AL.ACTCREF.8</v>
      </c>
      <c r="B11" s="33" t="str">
        <f aca="false">_xlfn.CONCAT('LSD.RID.0.AL.CALC'!B12, ":", 'LSD.RID.0.AL.CALC'!C12)</f>
        <v>Cleaning &amp; Maintenance:Support</v>
      </c>
      <c r="C11" s="43" t="n">
        <f aca="false">'LSD.RID.0.AL.CALC'!BH12</f>
        <v>162500</v>
      </c>
      <c r="D11" s="43" t="n">
        <f aca="false">'LSD.RID.0.AL.CALC'!BI12</f>
        <v>32500</v>
      </c>
      <c r="E11" s="43" t="n">
        <f aca="false">'LSD.RID.0.AL.CALC'!BJ12</f>
        <v>32500</v>
      </c>
      <c r="F11" s="43" t="n">
        <f aca="false">'LSD.RID.0.AL.CALC'!BK12</f>
        <v>97500</v>
      </c>
    </row>
    <row r="12" customFormat="false" ht="12.8" hidden="false" customHeight="false" outlineLevel="0" collapsed="false">
      <c r="A12" s="12" t="str">
        <f aca="false">_xlfn.CONCAT($A$1, ".", 'LSD.RID.0.AL.CALC'!A13)</f>
        <v>AL.ACTCREF.9</v>
      </c>
      <c r="B12" s="33" t="str">
        <f aca="false">_xlfn.CONCAT('LSD.RID.0.AL.CALC'!B13, ":", 'LSD.RID.0.AL.CALC'!C13)</f>
        <v>Manufacturing:Worker</v>
      </c>
      <c r="C12" s="43" t="n">
        <f aca="false">'LSD.RID.0.AL.CALC'!BH13</f>
        <v>1350000</v>
      </c>
      <c r="D12" s="43" t="n">
        <f aca="false">'LSD.RID.0.AL.CALC'!BI13</f>
        <v>270000</v>
      </c>
      <c r="E12" s="43" t="n">
        <f aca="false">'LSD.RID.0.AL.CALC'!BJ13</f>
        <v>135000</v>
      </c>
      <c r="F12" s="43" t="n">
        <f aca="false">'LSD.RID.0.AL.CALC'!BK13</f>
        <v>405000</v>
      </c>
    </row>
    <row r="13" customFormat="false" ht="12.8" hidden="false" customHeight="false" outlineLevel="0" collapsed="false">
      <c r="A13" s="12" t="str">
        <f aca="false">_xlfn.CONCAT($A$1, ".", 'LSD.RID.0.AL.CALC'!A14)</f>
        <v>AL.ACTCREF.10</v>
      </c>
      <c r="B13" s="33" t="str">
        <f aca="false">_xlfn.CONCAT('LSD.RID.0.AL.CALC'!B14, ":", 'LSD.RID.0.AL.CALC'!C14)</f>
        <v>Manufacturing:Support</v>
      </c>
      <c r="C13" s="43" t="n">
        <f aca="false">'LSD.RID.0.AL.CALC'!BH14</f>
        <v>675000</v>
      </c>
      <c r="D13" s="43" t="n">
        <f aca="false">'LSD.RID.0.AL.CALC'!BI14</f>
        <v>135000</v>
      </c>
      <c r="E13" s="43" t="n">
        <f aca="false">'LSD.RID.0.AL.CALC'!BJ14</f>
        <v>67500</v>
      </c>
      <c r="F13" s="43" t="n">
        <f aca="false">'LSD.RID.0.AL.CALC'!BK14</f>
        <v>202500</v>
      </c>
    </row>
    <row r="14" customFormat="false" ht="12.8" hidden="false" customHeight="false" outlineLevel="0" collapsed="false">
      <c r="A14" s="12" t="str">
        <f aca="false">_xlfn.CONCAT($A$1, ".", 'LSD.RID.0.AL.CALC'!A15)</f>
        <v>AL.ACTCREF.11</v>
      </c>
      <c r="B14" s="33" t="str">
        <f aca="false">_xlfn.CONCAT('LSD.RID.0.AL.CALC'!B15, ":", 'LSD.RID.0.AL.CALC'!C15)</f>
        <v>Transportation &amp; Warehousing:Worker</v>
      </c>
      <c r="C14" s="43" t="n">
        <f aca="false">'LSD.RID.0.AL.CALC'!BH15</f>
        <v>450000</v>
      </c>
      <c r="D14" s="43" t="n">
        <f aca="false">'LSD.RID.0.AL.CALC'!BI15</f>
        <v>90000</v>
      </c>
      <c r="E14" s="43" t="n">
        <f aca="false">'LSD.RID.0.AL.CALC'!BJ15</f>
        <v>90000</v>
      </c>
      <c r="F14" s="43" t="n">
        <f aca="false">'LSD.RID.0.AL.CALC'!BK15</f>
        <v>270000</v>
      </c>
    </row>
    <row r="15" customFormat="false" ht="12.8" hidden="false" customHeight="false" outlineLevel="0" collapsed="false">
      <c r="A15" s="12" t="str">
        <f aca="false">_xlfn.CONCAT($A$1, ".", 'LSD.RID.0.AL.CALC'!A16)</f>
        <v>AL.ACTCREF.12</v>
      </c>
      <c r="B15" s="33" t="str">
        <f aca="false">_xlfn.CONCAT('LSD.RID.0.AL.CALC'!B16, ":", 'LSD.RID.0.AL.CALC'!C16)</f>
        <v>Transportation &amp; Warehousing:Support</v>
      </c>
      <c r="C15" s="43" t="n">
        <f aca="false">'LSD.RID.0.AL.CALC'!BH16</f>
        <v>225000</v>
      </c>
      <c r="D15" s="43" t="n">
        <f aca="false">'LSD.RID.0.AL.CALC'!BI16</f>
        <v>45000</v>
      </c>
      <c r="E15" s="43" t="n">
        <f aca="false">'LSD.RID.0.AL.CALC'!BJ16</f>
        <v>45000</v>
      </c>
      <c r="F15" s="43" t="n">
        <f aca="false">'LSD.RID.0.AL.CALC'!BK16</f>
        <v>135000</v>
      </c>
    </row>
    <row r="16" customFormat="false" ht="12.8" hidden="false" customHeight="false" outlineLevel="0" collapsed="false">
      <c r="A16" s="12" t="str">
        <f aca="false">_xlfn.CONCAT($A$1, ".", 'LSD.RID.0.AL.CALC'!A17)</f>
        <v>AL.ACTCREF.13</v>
      </c>
      <c r="B16" s="33" t="str">
        <f aca="false">_xlfn.CONCAT('LSD.RID.0.AL.CALC'!B17, ":", 'LSD.RID.0.AL.CALC'!C17)</f>
        <v>Retail Trade:Worker</v>
      </c>
      <c r="C16" s="43" t="n">
        <f aca="false">'LSD.RID.0.AL.CALC'!BH17</f>
        <v>1200000</v>
      </c>
      <c r="D16" s="43" t="n">
        <f aca="false">'LSD.RID.0.AL.CALC'!BI17</f>
        <v>240000</v>
      </c>
      <c r="E16" s="43" t="n">
        <f aca="false">'LSD.RID.0.AL.CALC'!BJ17</f>
        <v>240000</v>
      </c>
      <c r="F16" s="43" t="n">
        <f aca="false">'LSD.RID.0.AL.CALC'!BK17</f>
        <v>720000</v>
      </c>
    </row>
    <row r="17" customFormat="false" ht="12.8" hidden="false" customHeight="false" outlineLevel="0" collapsed="false">
      <c r="A17" s="12" t="str">
        <f aca="false">_xlfn.CONCAT($A$1, ".", 'LSD.RID.0.AL.CALC'!A18)</f>
        <v>AL.ACTCREF.14</v>
      </c>
      <c r="B17" s="33" t="str">
        <f aca="false">_xlfn.CONCAT('LSD.RID.0.AL.CALC'!B18, ":", 'LSD.RID.0.AL.CALC'!C18)</f>
        <v>Retail Trade:Support</v>
      </c>
      <c r="C17" s="43" t="n">
        <f aca="false">'LSD.RID.0.AL.CALC'!BH18</f>
        <v>600000</v>
      </c>
      <c r="D17" s="43" t="n">
        <f aca="false">'LSD.RID.0.AL.CALC'!BI18</f>
        <v>120000</v>
      </c>
      <c r="E17" s="43" t="n">
        <f aca="false">'LSD.RID.0.AL.CALC'!BJ18</f>
        <v>120000</v>
      </c>
      <c r="F17" s="43" t="n">
        <f aca="false">'LSD.RID.0.AL.CALC'!BK18</f>
        <v>360000</v>
      </c>
    </row>
    <row r="18" customFormat="false" ht="12.8" hidden="false" customHeight="false" outlineLevel="0" collapsed="false">
      <c r="A18" s="12" t="str">
        <f aca="false">_xlfn.CONCAT($A$1, ".", 'LSD.RID.0.AL.CALC'!A19)</f>
        <v>AL.ACTCREF.15</v>
      </c>
      <c r="B18" s="33" t="str">
        <f aca="false">_xlfn.CONCAT('LSD.RID.0.AL.CALC'!B19, ":", 'LSD.RID.0.AL.CALC'!C19)</f>
        <v>Landscaping / Groundskeeping:Worker</v>
      </c>
      <c r="C18" s="43" t="n">
        <f aca="false">'LSD.RID.0.AL.CALC'!BH19</f>
        <v>165000</v>
      </c>
      <c r="D18" s="43" t="n">
        <f aca="false">'LSD.RID.0.AL.CALC'!BI19</f>
        <v>33000</v>
      </c>
      <c r="E18" s="43" t="n">
        <f aca="false">'LSD.RID.0.AL.CALC'!BJ19</f>
        <v>33000</v>
      </c>
      <c r="F18" s="43" t="n">
        <f aca="false">'LSD.RID.0.AL.CALC'!BK19</f>
        <v>99000</v>
      </c>
    </row>
    <row r="19" customFormat="false" ht="12.8" hidden="false" customHeight="false" outlineLevel="0" collapsed="false">
      <c r="A19" s="12" t="str">
        <f aca="false">_xlfn.CONCAT($A$1, ".", 'LSD.RID.0.AL.CALC'!A20)</f>
        <v>AL.ACTCREF.16</v>
      </c>
      <c r="B19" s="33" t="str">
        <f aca="false">_xlfn.CONCAT('LSD.RID.0.AL.CALC'!B20, ":", 'LSD.RID.0.AL.CALC'!C20)</f>
        <v>Landscaping / Groundskeeping:Support</v>
      </c>
      <c r="C19" s="43" t="n">
        <f aca="false">'LSD.RID.0.AL.CALC'!BH20</f>
        <v>82500</v>
      </c>
      <c r="D19" s="43" t="n">
        <f aca="false">'LSD.RID.0.AL.CALC'!BI20</f>
        <v>16500</v>
      </c>
      <c r="E19" s="43" t="n">
        <f aca="false">'LSD.RID.0.AL.CALC'!BJ20</f>
        <v>16500</v>
      </c>
      <c r="F19" s="43" t="n">
        <f aca="false">'LSD.RID.0.AL.CALC'!BK20</f>
        <v>49500</v>
      </c>
    </row>
    <row r="20" customFormat="false" ht="12.8" hidden="false" customHeight="false" outlineLevel="0" collapsed="false">
      <c r="A20" s="12" t="str">
        <f aca="false">_xlfn.CONCAT($A$1, ".", 'LSD.RID.0.AL.CALC'!A21)</f>
        <v>AL.ACTCREF.17</v>
      </c>
      <c r="B20" s="33" t="str">
        <f aca="false">_xlfn.CONCAT('LSD.RID.0.AL.CALC'!B21, ":", 'LSD.RID.0.AL.CALC'!C21)</f>
        <v>Automotive &amp; Repair:Worker</v>
      </c>
      <c r="C20" s="43" t="n">
        <f aca="false">'LSD.RID.0.AL.CALC'!BH21</f>
        <v>135000</v>
      </c>
      <c r="D20" s="43" t="n">
        <f aca="false">'LSD.RID.0.AL.CALC'!BI21</f>
        <v>27000</v>
      </c>
      <c r="E20" s="43" t="n">
        <f aca="false">'LSD.RID.0.AL.CALC'!BJ21</f>
        <v>27000</v>
      </c>
      <c r="F20" s="43" t="n">
        <f aca="false">'LSD.RID.0.AL.CALC'!BK21</f>
        <v>81000</v>
      </c>
    </row>
    <row r="21" customFormat="false" ht="12.8" hidden="false" customHeight="false" outlineLevel="0" collapsed="false">
      <c r="A21" s="12" t="str">
        <f aca="false">_xlfn.CONCAT($A$1, ".", 'LSD.RID.0.AL.CALC'!A22)</f>
        <v>AL.ACTCREF.18</v>
      </c>
      <c r="B21" s="33" t="str">
        <f aca="false">_xlfn.CONCAT('LSD.RID.0.AL.CALC'!B22, ":", 'LSD.RID.0.AL.CALC'!C22)</f>
        <v>Automotive &amp; Repair:Support</v>
      </c>
      <c r="C21" s="43" t="n">
        <f aca="false">'LSD.RID.0.AL.CALC'!BH22</f>
        <v>67500</v>
      </c>
      <c r="D21" s="43" t="n">
        <f aca="false">'LSD.RID.0.AL.CALC'!BI22</f>
        <v>13500</v>
      </c>
      <c r="E21" s="43" t="n">
        <f aca="false">'LSD.RID.0.AL.CALC'!BJ22</f>
        <v>13500</v>
      </c>
      <c r="F21" s="43" t="n">
        <f aca="false">'LSD.RID.0.AL.CALC'!BK22</f>
        <v>40500</v>
      </c>
    </row>
    <row r="22" customFormat="false" ht="12.8" hidden="false" customHeight="false" outlineLevel="0" collapsed="false">
      <c r="A22" s="12" t="str">
        <f aca="false">_xlfn.CONCAT($A$1, ".", 'LSD.RID.0.AL.CALC'!A23)</f>
        <v>AL.ACTCREF.19</v>
      </c>
      <c r="B22" s="33" t="str">
        <f aca="false">_xlfn.CONCAT('LSD.RID.0.AL.CALC'!B23, ":", 'LSD.RID.0.AL.CALC'!C23)</f>
        <v>Healthcare &amp; Social Assistance:Worker</v>
      </c>
      <c r="C22" s="43" t="n">
        <f aca="false">'LSD.RID.0.AL.CALC'!BH23</f>
        <v>2600000</v>
      </c>
      <c r="D22" s="43" t="n">
        <f aca="false">'LSD.RID.0.AL.CALC'!BI23</f>
        <v>520000</v>
      </c>
      <c r="E22" s="43" t="n">
        <f aca="false">'LSD.RID.0.AL.CALC'!BJ23</f>
        <v>520000</v>
      </c>
      <c r="F22" s="43" t="n">
        <f aca="false">'LSD.RID.0.AL.CALC'!BK23</f>
        <v>1560000</v>
      </c>
    </row>
    <row r="23" customFormat="false" ht="12.8" hidden="false" customHeight="false" outlineLevel="0" collapsed="false">
      <c r="A23" s="12" t="str">
        <f aca="false">_xlfn.CONCAT($A$1, ".", 'LSD.RID.0.AL.CALC'!A24)</f>
        <v>AL.ACTCREF.20</v>
      </c>
      <c r="B23" s="33" t="str">
        <f aca="false">_xlfn.CONCAT('LSD.RID.0.AL.CALC'!B24, ":", 'LSD.RID.0.AL.CALC'!C24)</f>
        <v>Healthcare &amp; Social Assistance:Support</v>
      </c>
      <c r="C23" s="43" t="n">
        <f aca="false">'LSD.RID.0.AL.CALC'!BH24</f>
        <v>1300000</v>
      </c>
      <c r="D23" s="43" t="n">
        <f aca="false">'LSD.RID.0.AL.CALC'!BI24</f>
        <v>260000</v>
      </c>
      <c r="E23" s="43" t="n">
        <f aca="false">'LSD.RID.0.AL.CALC'!BJ24</f>
        <v>260000</v>
      </c>
      <c r="F23" s="43" t="n">
        <f aca="false">'LSD.RID.0.AL.CALC'!BK24</f>
        <v>780000</v>
      </c>
    </row>
    <row r="24" customFormat="false" ht="12.8" hidden="false" customHeight="false" outlineLevel="0" collapsed="false">
      <c r="A24" s="12" t="str">
        <f aca="false">_xlfn.CONCAT($A$1, ".", 'LSD.RID.0.AL.CALC'!A25)</f>
        <v>AL.ACTCREF.21</v>
      </c>
      <c r="B24" s="33" t="str">
        <f aca="false">_xlfn.CONCAT('LSD.RID.0.AL.CALC'!B25, ":", 'LSD.RID.0.AL.CALC'!C25)</f>
        <v>Professional Services:Worker</v>
      </c>
      <c r="C24" s="43" t="n">
        <f aca="false">'LSD.RID.0.AL.CALC'!BH25</f>
        <v>1650000</v>
      </c>
      <c r="D24" s="43" t="n">
        <f aca="false">'LSD.RID.0.AL.CALC'!BI25</f>
        <v>330000</v>
      </c>
      <c r="E24" s="43" t="n">
        <f aca="false">'LSD.RID.0.AL.CALC'!BJ25</f>
        <v>330000</v>
      </c>
      <c r="F24" s="43" t="n">
        <f aca="false">'LSD.RID.0.AL.CALC'!BK25</f>
        <v>990000</v>
      </c>
    </row>
    <row r="25" customFormat="false" ht="12.8" hidden="false" customHeight="false" outlineLevel="0" collapsed="false">
      <c r="A25" s="12" t="str">
        <f aca="false">_xlfn.CONCAT($A$1, ".", 'LSD.RID.0.AL.CALC'!A26)</f>
        <v>AL.ACTCREF.22</v>
      </c>
      <c r="B25" s="33" t="str">
        <f aca="false">_xlfn.CONCAT('LSD.RID.0.AL.CALC'!B26, ":", 'LSD.RID.0.AL.CALC'!C26)</f>
        <v>Professional Services:Support</v>
      </c>
      <c r="C25" s="43" t="n">
        <f aca="false">'LSD.RID.0.AL.CALC'!BH26</f>
        <v>825000</v>
      </c>
      <c r="D25" s="43" t="n">
        <f aca="false">'LSD.RID.0.AL.CALC'!BI26</f>
        <v>165000</v>
      </c>
      <c r="E25" s="43" t="n">
        <f aca="false">'LSD.RID.0.AL.CALC'!BJ26</f>
        <v>165000</v>
      </c>
      <c r="F25" s="43" t="n">
        <f aca="false">'LSD.RID.0.AL.CALC'!BK26</f>
        <v>495000</v>
      </c>
    </row>
    <row r="26" customFormat="false" ht="12.8" hidden="false" customHeight="false" outlineLevel="0" collapsed="false">
      <c r="A26" s="12" t="str">
        <f aca="false">_xlfn.CONCAT($A$1, ".", 'LSD.RID.0.AL.CALC'!A27)</f>
        <v>AL.ACTCREF.23</v>
      </c>
      <c r="B26" s="33" t="str">
        <f aca="false">_xlfn.CONCAT('LSD.RID.0.AL.CALC'!B27, ":", 'LSD.RID.0.AL.CALC'!C27)</f>
        <v>Educational Services:Worker</v>
      </c>
      <c r="C26" s="43" t="n">
        <f aca="false">'LSD.RID.0.AL.CALC'!BH27</f>
        <v>1050000</v>
      </c>
      <c r="D26" s="43" t="n">
        <f aca="false">'LSD.RID.0.AL.CALC'!BI27</f>
        <v>210000</v>
      </c>
      <c r="E26" s="43" t="n">
        <f aca="false">'LSD.RID.0.AL.CALC'!BJ27</f>
        <v>210000</v>
      </c>
      <c r="F26" s="43" t="n">
        <f aca="false">'LSD.RID.0.AL.CALC'!BK27</f>
        <v>630000</v>
      </c>
    </row>
    <row r="27" customFormat="false" ht="12.8" hidden="false" customHeight="false" outlineLevel="0" collapsed="false">
      <c r="A27" s="12" t="str">
        <f aca="false">_xlfn.CONCAT($A$1, ".", 'LSD.RID.0.AL.CALC'!A28)</f>
        <v>AL.ACTCREF.24</v>
      </c>
      <c r="B27" s="33" t="str">
        <f aca="false">_xlfn.CONCAT('LSD.RID.0.AL.CALC'!B28, ":", 'LSD.RID.0.AL.CALC'!C28)</f>
        <v>Educational Services:Support</v>
      </c>
      <c r="C27" s="43" t="n">
        <f aca="false">'LSD.RID.0.AL.CALC'!BH28</f>
        <v>525000</v>
      </c>
      <c r="D27" s="43" t="n">
        <f aca="false">'LSD.RID.0.AL.CALC'!BI28</f>
        <v>105000</v>
      </c>
      <c r="E27" s="43" t="n">
        <f aca="false">'LSD.RID.0.AL.CALC'!BJ28</f>
        <v>105000</v>
      </c>
      <c r="F27" s="43" t="n">
        <f aca="false">'LSD.RID.0.AL.CALC'!BK28</f>
        <v>315000</v>
      </c>
    </row>
    <row r="28" customFormat="false" ht="12.8" hidden="false" customHeight="false" outlineLevel="0" collapsed="false">
      <c r="A28" s="12" t="str">
        <f aca="false">_xlfn.CONCAT($A$1, ".", 'LSD.RID.0.AL.CALC'!A29)</f>
        <v>AL.ACTCREF.25</v>
      </c>
      <c r="B28" s="33" t="str">
        <f aca="false">_xlfn.CONCAT('LSD.RID.0.AL.CALC'!B29, ":", 'LSD.RID.0.AL.CALC'!C29)</f>
        <v>Finance &amp; Insurance:Worker</v>
      </c>
      <c r="C28" s="43" t="n">
        <f aca="false">'LSD.RID.0.AL.CALC'!BH29</f>
        <v>750000</v>
      </c>
      <c r="D28" s="43" t="n">
        <f aca="false">'LSD.RID.0.AL.CALC'!BI29</f>
        <v>150000</v>
      </c>
      <c r="E28" s="43" t="n">
        <f aca="false">'LSD.RID.0.AL.CALC'!BJ29</f>
        <v>150000</v>
      </c>
      <c r="F28" s="43" t="n">
        <f aca="false">'LSD.RID.0.AL.CALC'!BK29</f>
        <v>450000</v>
      </c>
    </row>
    <row r="29" customFormat="false" ht="12.8" hidden="false" customHeight="false" outlineLevel="0" collapsed="false">
      <c r="A29" s="12" t="str">
        <f aca="false">_xlfn.CONCAT($A$1, ".", 'LSD.RID.0.AL.CALC'!A30)</f>
        <v>AL.ACTCREF.26</v>
      </c>
      <c r="B29" s="33" t="str">
        <f aca="false">_xlfn.CONCAT('LSD.RID.0.AL.CALC'!B30, ":", 'LSD.RID.0.AL.CALC'!C30)</f>
        <v>Finance &amp; Insurance:Support</v>
      </c>
      <c r="C29" s="43" t="n">
        <f aca="false">'LSD.RID.0.AL.CALC'!BH30</f>
        <v>375000</v>
      </c>
      <c r="D29" s="43" t="n">
        <f aca="false">'LSD.RID.0.AL.CALC'!BI30</f>
        <v>75000</v>
      </c>
      <c r="E29" s="43" t="n">
        <f aca="false">'LSD.RID.0.AL.CALC'!BJ30</f>
        <v>75000</v>
      </c>
      <c r="F29" s="43" t="n">
        <f aca="false">'LSD.RID.0.AL.CALC'!BK30</f>
        <v>225000</v>
      </c>
    </row>
    <row r="30" customFormat="false" ht="12.8" hidden="false" customHeight="false" outlineLevel="0" collapsed="false">
      <c r="A30" s="12" t="str">
        <f aca="false">_xlfn.CONCAT($A$1, ".", 'LSD.RID.0.AL.CALC'!A31)</f>
        <v>AL.ACTCREF.27</v>
      </c>
      <c r="B30" s="33" t="str">
        <f aca="false">_xlfn.CONCAT('LSD.RID.0.AL.CALC'!B31, ":", 'LSD.RID.0.AL.CALC'!C31)</f>
        <v>Media and Information Technology:Worker</v>
      </c>
      <c r="C30" s="43" t="n">
        <f aca="false">'LSD.RID.0.AL.CALC'!BH31</f>
        <v>225000</v>
      </c>
      <c r="D30" s="43" t="n">
        <f aca="false">'LSD.RID.0.AL.CALC'!BI31</f>
        <v>45000</v>
      </c>
      <c r="E30" s="43" t="n">
        <f aca="false">'LSD.RID.0.AL.CALC'!BJ31</f>
        <v>45000</v>
      </c>
      <c r="F30" s="43" t="n">
        <f aca="false">'LSD.RID.0.AL.CALC'!BK31</f>
        <v>135000</v>
      </c>
    </row>
    <row r="31" customFormat="false" ht="12.8" hidden="false" customHeight="false" outlineLevel="0" collapsed="false">
      <c r="A31" s="12" t="str">
        <f aca="false">_xlfn.CONCAT($A$1, ".", 'LSD.RID.0.AL.CALC'!A32)</f>
        <v>AL.ACTCREF.28</v>
      </c>
      <c r="B31" s="33" t="str">
        <f aca="false">_xlfn.CONCAT('LSD.RID.0.AL.CALC'!B32, ":", 'LSD.RID.0.AL.CALC'!C32)</f>
        <v>Media and Information Technology:Support</v>
      </c>
      <c r="C31" s="43" t="n">
        <f aca="false">'LSD.RID.0.AL.CALC'!BH32</f>
        <v>112500</v>
      </c>
      <c r="D31" s="43" t="n">
        <f aca="false">'LSD.RID.0.AL.CALC'!BI32</f>
        <v>22500</v>
      </c>
      <c r="E31" s="43" t="n">
        <f aca="false">'LSD.RID.0.AL.CALC'!BJ32</f>
        <v>22500</v>
      </c>
      <c r="F31" s="43" t="n">
        <f aca="false">'LSD.RID.0.AL.CALC'!BK32</f>
        <v>67500</v>
      </c>
    </row>
    <row r="32" customFormat="false" ht="12.8" hidden="false" customHeight="false" outlineLevel="0" collapsed="false">
      <c r="A32" s="12" t="str">
        <f aca="false">_xlfn.CONCAT($A$1, ".", 'LSD.RID.0.AL.CALC'!A33)</f>
        <v>AL.ACTCREF.29</v>
      </c>
      <c r="B32" s="33" t="str">
        <f aca="false">_xlfn.CONCAT('LSD.RID.0.AL.CALC'!B33, ":", 'LSD.RID.0.AL.CALC'!C33)</f>
        <v>Government:Worker</v>
      </c>
      <c r="C32" s="43" t="n">
        <f aca="false">'LSD.RID.0.AL.CALC'!BH33</f>
        <v>3000000</v>
      </c>
      <c r="D32" s="43" t="n">
        <f aca="false">'LSD.RID.0.AL.CALC'!BI33</f>
        <v>600000</v>
      </c>
      <c r="E32" s="43" t="n">
        <f aca="false">'LSD.RID.0.AL.CALC'!BJ33</f>
        <v>600000</v>
      </c>
      <c r="F32" s="43" t="n">
        <f aca="false">'LSD.RID.0.AL.CALC'!BK33</f>
        <v>1800000</v>
      </c>
    </row>
    <row r="33" customFormat="false" ht="12.8" hidden="false" customHeight="false" outlineLevel="0" collapsed="false">
      <c r="A33" s="12" t="str">
        <f aca="false">_xlfn.CONCAT($A$1, ".", 'LSD.RID.0.AL.CALC'!A34)</f>
        <v>AL.ACTCREF.30</v>
      </c>
      <c r="B33" s="33" t="str">
        <f aca="false">_xlfn.CONCAT('LSD.RID.0.AL.CALC'!B34, ":", 'LSD.RID.0.AL.CALC'!C34)</f>
        <v>Government:Support</v>
      </c>
      <c r="C33" s="43" t="n">
        <f aca="false">'LSD.RID.0.AL.CALC'!BH34</f>
        <v>1500000</v>
      </c>
      <c r="D33" s="43" t="n">
        <f aca="false">'LSD.RID.0.AL.CALC'!BI34</f>
        <v>300000</v>
      </c>
      <c r="E33" s="43" t="n">
        <f aca="false">'LSD.RID.0.AL.CALC'!BJ34</f>
        <v>300000</v>
      </c>
      <c r="F33" s="43" t="n">
        <f aca="false">'LSD.RID.0.AL.CALC'!BK34</f>
        <v>900000</v>
      </c>
    </row>
    <row r="34" customFormat="false" ht="12.8" hidden="false" customHeight="false" outlineLevel="0" collapsed="false">
      <c r="A34" s="12" t="str">
        <f aca="false">_xlfn.CONCAT($A$1, ".", 'LSD.RID.0.AL.CALC'!A35)</f>
        <v>AL.ACTCREF.31</v>
      </c>
      <c r="B34" s="33" t="str">
        <f aca="false">_xlfn.CONCAT('LSD.RID.0.AL.CALC'!B35, ":", 'LSD.RID.0.AL.CALC'!C35)</f>
        <v>Self-Employed / Non-Employer:Worker</v>
      </c>
      <c r="C34" s="43" t="n">
        <f aca="false">'LSD.RID.0.AL.CALC'!BH35</f>
        <v>1350000</v>
      </c>
      <c r="D34" s="43" t="n">
        <f aca="false">'LSD.RID.0.AL.CALC'!BI35</f>
        <v>270000</v>
      </c>
      <c r="E34" s="43" t="n">
        <f aca="false">'LSD.RID.0.AL.CALC'!BJ35</f>
        <v>270000</v>
      </c>
      <c r="F34" s="43" t="n">
        <f aca="false">'LSD.RID.0.AL.CALC'!BK35</f>
        <v>810000</v>
      </c>
    </row>
    <row r="35" customFormat="false" ht="12.8" hidden="false" customHeight="false" outlineLevel="0" collapsed="false">
      <c r="A35" s="12" t="str">
        <f aca="false">_xlfn.CONCAT($A$1, ".", 'LSD.RID.0.AL.CALC'!A36)</f>
        <v>AL.ACTCREF.32</v>
      </c>
      <c r="B35" s="33" t="str">
        <f aca="false">_xlfn.CONCAT('LSD.RID.0.AL.CALC'!B36, ":", 'LSD.RID.0.AL.CALC'!C36)</f>
        <v>Self-Employed / Non-Employer:Support</v>
      </c>
      <c r="C35" s="43" t="n">
        <f aca="false">'LSD.RID.0.AL.CALC'!BH36</f>
        <v>675000</v>
      </c>
      <c r="D35" s="43" t="n">
        <f aca="false">'LSD.RID.0.AL.CALC'!BI36</f>
        <v>135000</v>
      </c>
      <c r="E35" s="43" t="n">
        <f aca="false">'LSD.RID.0.AL.CALC'!BJ36</f>
        <v>135000</v>
      </c>
      <c r="F35" s="43" t="n">
        <f aca="false">'LSD.RID.0.AL.CALC'!BK36</f>
        <v>405000</v>
      </c>
    </row>
    <row r="36" customFormat="false" ht="12.8" hidden="false" customHeight="false" outlineLevel="0" collapsed="false">
      <c r="A36" s="12" t="str">
        <f aca="false">_xlfn.CONCAT($A$1, ".", 'LSD.RID.0.AL.CALC'!A37)</f>
        <v>AL.ACTCREF.33</v>
      </c>
      <c r="B36" s="33" t="str">
        <f aca="false">_xlfn.CONCAT('LSD.RID.0.AL.CALC'!B37, ":", 'LSD.RID.0.AL.CALC'!C37)</f>
        <v>Other Services:Worker</v>
      </c>
      <c r="C36" s="43" t="n">
        <f aca="false">'LSD.RID.0.AL.CALC'!BH37</f>
        <v>825000</v>
      </c>
      <c r="D36" s="43" t="n">
        <f aca="false">'LSD.RID.0.AL.CALC'!BI37</f>
        <v>165000</v>
      </c>
      <c r="E36" s="43" t="n">
        <f aca="false">'LSD.RID.0.AL.CALC'!BJ37</f>
        <v>165000</v>
      </c>
      <c r="F36" s="43" t="n">
        <f aca="false">'LSD.RID.0.AL.CALC'!BK37</f>
        <v>495000</v>
      </c>
    </row>
    <row r="37" customFormat="false" ht="12.8" hidden="false" customHeight="false" outlineLevel="0" collapsed="false">
      <c r="A37" s="12" t="str">
        <f aca="false">_xlfn.CONCAT($A$1, ".", 'LSD.RID.0.AL.CALC'!A38)</f>
        <v>AL.ACTCREF.34</v>
      </c>
      <c r="B37" s="33" t="str">
        <f aca="false">_xlfn.CONCAT('LSD.RID.0.AL.CALC'!B38, ":", 'LSD.RID.0.AL.CALC'!C38)</f>
        <v>Other Services:Support</v>
      </c>
      <c r="C37" s="43" t="n">
        <f aca="false">'LSD.RID.0.AL.CALC'!BH38</f>
        <v>412500</v>
      </c>
      <c r="D37" s="43" t="n">
        <f aca="false">'LSD.RID.0.AL.CALC'!BI38</f>
        <v>82500</v>
      </c>
      <c r="E37" s="43" t="n">
        <f aca="false">'LSD.RID.0.AL.CALC'!BJ38</f>
        <v>82500</v>
      </c>
      <c r="F37" s="43" t="n">
        <f aca="false">'LSD.RID.0.AL.CALC'!BK38</f>
        <v>247500</v>
      </c>
    </row>
    <row r="38" customFormat="false" ht="12.8" hidden="false" customHeight="false" outlineLevel="0" collapsed="false">
      <c r="A38" s="12"/>
      <c r="B38" s="18"/>
      <c r="C38" s="29"/>
      <c r="D38" s="29"/>
      <c r="E38" s="29"/>
      <c r="F38" s="2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37"/>
  <sheetViews>
    <sheetView showFormulas="false" showGridLines="true" showRowColHeaders="true" showZeros="true" rightToLeft="false" tabSelected="false" showOutlineSymbols="true" defaultGridColor="true" view="normal" topLeftCell="A87" colorId="64" zoomScale="90" zoomScaleNormal="90" zoomScalePageLayoutView="100" workbookViewId="0">
      <selection pane="topLeft" activeCell="H32" activeCellId="0" sqref="H32"/>
    </sheetView>
  </sheetViews>
  <sheetFormatPr defaultColWidth="11.53515625" defaultRowHeight="12.8" customHeight="false" zeroHeight="false" outlineLevelRow="0" outlineLevelCol="0"/>
  <cols>
    <col collapsed="false" customWidth="true" hidden="false" outlineLevel="0" max="1" min="1" style="1" width="18.45"/>
    <col collapsed="false" customWidth="true" hidden="false" outlineLevel="0" max="2" min="2" style="15" width="36.9"/>
    <col collapsed="false" customWidth="true" hidden="false" outlineLevel="0" max="3" min="3" style="15" width="21.47"/>
    <col collapsed="false" customWidth="true" hidden="false" outlineLevel="0" max="34" min="4" style="15" width="16.84"/>
    <col collapsed="false" customWidth="true" hidden="false" outlineLevel="0" max="48" min="35" style="15" width="17.78"/>
    <col collapsed="false" customWidth="true" hidden="false" outlineLevel="0" max="51" min="49" style="15" width="15.48"/>
    <col collapsed="false" customWidth="true" hidden="false" outlineLevel="0" max="56" min="56" style="15" width="18.45"/>
    <col collapsed="false" customWidth="true" hidden="false" outlineLevel="0" max="59" min="57" style="15" width="16.14"/>
    <col collapsed="false" customWidth="true" hidden="false" outlineLevel="0" max="67" min="60" style="15" width="13.84"/>
  </cols>
  <sheetData>
    <row r="1" customFormat="false" ht="23.85" hidden="false" customHeight="false" outlineLevel="0" collapsed="false">
      <c r="A1" s="4" t="s">
        <v>1012</v>
      </c>
      <c r="B1" s="23" t="s">
        <v>1013</v>
      </c>
      <c r="C1" s="17" t="s">
        <v>2</v>
      </c>
      <c r="D1" s="18" t="s">
        <v>1014</v>
      </c>
      <c r="AZ1" s="15"/>
      <c r="BD1" s="0"/>
      <c r="BP1" s="15"/>
    </row>
    <row r="2" customFormat="false" ht="35.05" hidden="false" customHeight="false" outlineLevel="0" collapsed="false">
      <c r="A2" s="44" t="s">
        <v>978</v>
      </c>
      <c r="B2" s="22" t="s">
        <v>979</v>
      </c>
      <c r="C2" s="29" t="str">
        <f aca="false">'LSD.RID.0.AL.CALC'!BL3</f>
        <v>AOTC Credit Refund</v>
      </c>
      <c r="D2" s="29" t="str">
        <f aca="false">'LSD.RID.0.AL.CALC'!BM3</f>
        <v>Authorized Immigrant AOTC Credit Refund</v>
      </c>
      <c r="E2" s="29" t="str">
        <f aca="false">'LSD.RID.0.AL.CALC'!BN3</f>
        <v>Unauthorized Immigrant AOTC Credit Refund</v>
      </c>
      <c r="F2" s="29" t="str">
        <f aca="false">'LSD.RID.0.AL.CALC'!BO3</f>
        <v>American Effective Tax AOTC Credit Refund</v>
      </c>
    </row>
    <row r="3" customFormat="false" ht="12.8" hidden="false" customHeight="false" outlineLevel="0" collapsed="false">
      <c r="A3" s="12" t="str">
        <f aca="false">_xlfn.CONCAT($A$1, ".", 'LSD.RID.0.AL.CALC'!A4)</f>
        <v>AL.AOTCREF.0</v>
      </c>
      <c r="B3" s="33" t="str">
        <f aca="false">_xlfn.CONCAT('LSD.RID.0.AL.CALC'!B4, ":", 'LSD.RID.0.AL.CALC'!C4)</f>
        <v>All Industries:All Roles</v>
      </c>
      <c r="C3" s="29" t="n">
        <f aca="false">'LSD.RID.0.AL.CALC'!BL4</f>
        <v>80000000</v>
      </c>
      <c r="D3" s="29" t="n">
        <f aca="false">'LSD.RID.0.AL.CALC'!BM4</f>
        <v>20000000</v>
      </c>
      <c r="E3" s="29" t="n">
        <f aca="false">'LSD.RID.0.AL.CALC'!BN4</f>
        <v>20000000</v>
      </c>
      <c r="F3" s="29" t="n">
        <f aca="false">'LSD.RID.0.AL.CALC'!BO4</f>
        <v>60000000</v>
      </c>
    </row>
    <row r="4" customFormat="false" ht="12.8" hidden="false" customHeight="false" outlineLevel="0" collapsed="false">
      <c r="A4" s="12" t="str">
        <f aca="false">_xlfn.CONCAT($A$1, ".", 'LSD.RID.0.AL.CALC'!A5)</f>
        <v>AL.AOTCREF.1</v>
      </c>
      <c r="B4" s="33" t="str">
        <f aca="false">_xlfn.CONCAT('LSD.RID.0.AL.CALC'!B5, ":", 'LSD.RID.0.AL.CALC'!C5)</f>
        <v>Agriculture:Worker</v>
      </c>
      <c r="C4" s="29" t="n">
        <f aca="false">'LSD.RID.0.AL.CALC'!BL5</f>
        <v>27000</v>
      </c>
      <c r="D4" s="29" t="n">
        <f aca="false">'LSD.RID.0.AL.CALC'!BM5</f>
        <v>5400</v>
      </c>
      <c r="E4" s="29" t="n">
        <f aca="false">'LSD.RID.0.AL.CALC'!BN5</f>
        <v>13500</v>
      </c>
      <c r="F4" s="29" t="n">
        <f aca="false">'LSD.RID.0.AL.CALC'!BO5</f>
        <v>40500</v>
      </c>
    </row>
    <row r="5" customFormat="false" ht="12.8" hidden="false" customHeight="false" outlineLevel="0" collapsed="false">
      <c r="A5" s="12" t="str">
        <f aca="false">_xlfn.CONCAT($A$1, ".", 'LSD.RID.0.AL.CALC'!A6)</f>
        <v>AL.AOTCREF.2</v>
      </c>
      <c r="B5" s="33" t="str">
        <f aca="false">_xlfn.CONCAT('LSD.RID.0.AL.CALC'!B6, ":", 'LSD.RID.0.AL.CALC'!C6)</f>
        <v>Agriculture:Support</v>
      </c>
      <c r="C5" s="29" t="n">
        <f aca="false">'LSD.RID.0.AL.CALC'!BL6</f>
        <v>13500</v>
      </c>
      <c r="D5" s="29" t="n">
        <f aca="false">'LSD.RID.0.AL.CALC'!BM6</f>
        <v>2700</v>
      </c>
      <c r="E5" s="29" t="n">
        <f aca="false">'LSD.RID.0.AL.CALC'!BN6</f>
        <v>6750</v>
      </c>
      <c r="F5" s="29" t="n">
        <f aca="false">'LSD.RID.0.AL.CALC'!BO6</f>
        <v>20250</v>
      </c>
    </row>
    <row r="6" customFormat="false" ht="12.8" hidden="false" customHeight="false" outlineLevel="0" collapsed="false">
      <c r="A6" s="12" t="str">
        <f aca="false">_xlfn.CONCAT($A$1, ".", 'LSD.RID.0.AL.CALC'!A7)</f>
        <v>AL.AOTCREF.3</v>
      </c>
      <c r="B6" s="33" t="str">
        <f aca="false">_xlfn.CONCAT('LSD.RID.0.AL.CALC'!B7, ":", 'LSD.RID.0.AL.CALC'!C7)</f>
        <v>Construction:Worker</v>
      </c>
      <c r="C6" s="29" t="n">
        <f aca="false">'LSD.RID.0.AL.CALC'!BL7</f>
        <v>75000</v>
      </c>
      <c r="D6" s="29" t="n">
        <f aca="false">'LSD.RID.0.AL.CALC'!BM7</f>
        <v>15000</v>
      </c>
      <c r="E6" s="29" t="n">
        <f aca="false">'LSD.RID.0.AL.CALC'!BN7</f>
        <v>37500</v>
      </c>
      <c r="F6" s="29" t="n">
        <f aca="false">'LSD.RID.0.AL.CALC'!BO7</f>
        <v>112500</v>
      </c>
    </row>
    <row r="7" customFormat="false" ht="12.8" hidden="false" customHeight="false" outlineLevel="0" collapsed="false">
      <c r="A7" s="12" t="str">
        <f aca="false">_xlfn.CONCAT($A$1, ".", 'LSD.RID.0.AL.CALC'!A8)</f>
        <v>AL.AOTCREF.4</v>
      </c>
      <c r="B7" s="33" t="str">
        <f aca="false">_xlfn.CONCAT('LSD.RID.0.AL.CALC'!B8, ":", 'LSD.RID.0.AL.CALC'!C8)</f>
        <v>Construction:Support</v>
      </c>
      <c r="C7" s="29" t="n">
        <f aca="false">'LSD.RID.0.AL.CALC'!BL8</f>
        <v>37500</v>
      </c>
      <c r="D7" s="29" t="n">
        <f aca="false">'LSD.RID.0.AL.CALC'!BM8</f>
        <v>7500</v>
      </c>
      <c r="E7" s="29" t="n">
        <f aca="false">'LSD.RID.0.AL.CALC'!BN8</f>
        <v>18750</v>
      </c>
      <c r="F7" s="29" t="n">
        <f aca="false">'LSD.RID.0.AL.CALC'!BO8</f>
        <v>56250</v>
      </c>
    </row>
    <row r="8" customFormat="false" ht="12.8" hidden="false" customHeight="false" outlineLevel="0" collapsed="false">
      <c r="A8" s="12" t="str">
        <f aca="false">_xlfn.CONCAT($A$1, ".", 'LSD.RID.0.AL.CALC'!A9)</f>
        <v>AL.AOTCREF.5</v>
      </c>
      <c r="B8" s="33" t="str">
        <f aca="false">_xlfn.CONCAT('LSD.RID.0.AL.CALC'!B9, ":", 'LSD.RID.0.AL.CALC'!C9)</f>
        <v>Hospitality:Worker</v>
      </c>
      <c r="C8" s="29" t="n">
        <f aca="false">'LSD.RID.0.AL.CALC'!BL9</f>
        <v>270000</v>
      </c>
      <c r="D8" s="29" t="n">
        <f aca="false">'LSD.RID.0.AL.CALC'!BM9</f>
        <v>54000</v>
      </c>
      <c r="E8" s="29" t="n">
        <f aca="false">'LSD.RID.0.AL.CALC'!BN9</f>
        <v>135000</v>
      </c>
      <c r="F8" s="29" t="n">
        <f aca="false">'LSD.RID.0.AL.CALC'!BO9</f>
        <v>405000</v>
      </c>
    </row>
    <row r="9" customFormat="false" ht="12.8" hidden="false" customHeight="false" outlineLevel="0" collapsed="false">
      <c r="A9" s="12" t="str">
        <f aca="false">_xlfn.CONCAT($A$1, ".", 'LSD.RID.0.AL.CALC'!A10)</f>
        <v>AL.AOTCREF.6</v>
      </c>
      <c r="B9" s="33" t="str">
        <f aca="false">_xlfn.CONCAT('LSD.RID.0.AL.CALC'!B10, ":", 'LSD.RID.0.AL.CALC'!C10)</f>
        <v>Hospitality:Support</v>
      </c>
      <c r="C9" s="29" t="n">
        <f aca="false">'LSD.RID.0.AL.CALC'!BL10</f>
        <v>135000</v>
      </c>
      <c r="D9" s="29" t="n">
        <f aca="false">'LSD.RID.0.AL.CALC'!BM10</f>
        <v>27000</v>
      </c>
      <c r="E9" s="29" t="n">
        <f aca="false">'LSD.RID.0.AL.CALC'!BN10</f>
        <v>67500</v>
      </c>
      <c r="F9" s="29" t="n">
        <f aca="false">'LSD.RID.0.AL.CALC'!BO10</f>
        <v>202500</v>
      </c>
    </row>
    <row r="10" customFormat="false" ht="12.8" hidden="false" customHeight="false" outlineLevel="0" collapsed="false">
      <c r="A10" s="12" t="str">
        <f aca="false">_xlfn.CONCAT($A$1, ".", 'LSD.RID.0.AL.CALC'!A11)</f>
        <v>AL.AOTCREF.7</v>
      </c>
      <c r="B10" s="33" t="str">
        <f aca="false">_xlfn.CONCAT('LSD.RID.0.AL.CALC'!B11, ":", 'LSD.RID.0.AL.CALC'!C11)</f>
        <v>Cleaning &amp; Maintenance:Worker</v>
      </c>
      <c r="C10" s="29" t="n">
        <f aca="false">'LSD.RID.0.AL.CALC'!BL11</f>
        <v>97500</v>
      </c>
      <c r="D10" s="29" t="n">
        <f aca="false">'LSD.RID.0.AL.CALC'!BM11</f>
        <v>19500</v>
      </c>
      <c r="E10" s="29" t="n">
        <f aca="false">'LSD.RID.0.AL.CALC'!BN11</f>
        <v>48750</v>
      </c>
      <c r="F10" s="29" t="n">
        <f aca="false">'LSD.RID.0.AL.CALC'!BO11</f>
        <v>146250</v>
      </c>
    </row>
    <row r="11" customFormat="false" ht="12.8" hidden="false" customHeight="false" outlineLevel="0" collapsed="false">
      <c r="A11" s="12" t="str">
        <f aca="false">_xlfn.CONCAT($A$1, ".", 'LSD.RID.0.AL.CALC'!A12)</f>
        <v>AL.AOTCREF.8</v>
      </c>
      <c r="B11" s="33" t="str">
        <f aca="false">_xlfn.CONCAT('LSD.RID.0.AL.CALC'!B12, ":", 'LSD.RID.0.AL.CALC'!C12)</f>
        <v>Cleaning &amp; Maintenance:Support</v>
      </c>
      <c r="C11" s="29" t="n">
        <f aca="false">'LSD.RID.0.AL.CALC'!BL12</f>
        <v>48750</v>
      </c>
      <c r="D11" s="29" t="n">
        <f aca="false">'LSD.RID.0.AL.CALC'!BM12</f>
        <v>9750</v>
      </c>
      <c r="E11" s="29" t="n">
        <f aca="false">'LSD.RID.0.AL.CALC'!BN12</f>
        <v>24375</v>
      </c>
      <c r="F11" s="29" t="n">
        <f aca="false">'LSD.RID.0.AL.CALC'!BO12</f>
        <v>73125</v>
      </c>
    </row>
    <row r="12" customFormat="false" ht="12.8" hidden="false" customHeight="false" outlineLevel="0" collapsed="false">
      <c r="A12" s="12" t="str">
        <f aca="false">_xlfn.CONCAT($A$1, ".", 'LSD.RID.0.AL.CALC'!A13)</f>
        <v>AL.AOTCREF.9</v>
      </c>
      <c r="B12" s="33" t="str">
        <f aca="false">_xlfn.CONCAT('LSD.RID.0.AL.CALC'!B13, ":", 'LSD.RID.0.AL.CALC'!C13)</f>
        <v>Manufacturing:Worker</v>
      </c>
      <c r="C12" s="29" t="n">
        <f aca="false">'LSD.RID.0.AL.CALC'!BL13</f>
        <v>675000</v>
      </c>
      <c r="D12" s="29" t="n">
        <f aca="false">'LSD.RID.0.AL.CALC'!BM13</f>
        <v>135000</v>
      </c>
      <c r="E12" s="29" t="n">
        <f aca="false">'LSD.RID.0.AL.CALC'!BN13</f>
        <v>337500</v>
      </c>
      <c r="F12" s="29" t="n">
        <f aca="false">'LSD.RID.0.AL.CALC'!BO13</f>
        <v>1012500</v>
      </c>
    </row>
    <row r="13" customFormat="false" ht="12.8" hidden="false" customHeight="false" outlineLevel="0" collapsed="false">
      <c r="A13" s="12" t="str">
        <f aca="false">_xlfn.CONCAT($A$1, ".", 'LSD.RID.0.AL.CALC'!A14)</f>
        <v>AL.AOTCREF.10</v>
      </c>
      <c r="B13" s="33" t="str">
        <f aca="false">_xlfn.CONCAT('LSD.RID.0.AL.CALC'!B14, ":", 'LSD.RID.0.AL.CALC'!C14)</f>
        <v>Manufacturing:Support</v>
      </c>
      <c r="C13" s="29" t="n">
        <f aca="false">'LSD.RID.0.AL.CALC'!BL14</f>
        <v>337500</v>
      </c>
      <c r="D13" s="29" t="n">
        <f aca="false">'LSD.RID.0.AL.CALC'!BM14</f>
        <v>67500</v>
      </c>
      <c r="E13" s="29" t="n">
        <f aca="false">'LSD.RID.0.AL.CALC'!BN14</f>
        <v>168750</v>
      </c>
      <c r="F13" s="29" t="n">
        <f aca="false">'LSD.RID.0.AL.CALC'!BO14</f>
        <v>506250</v>
      </c>
    </row>
    <row r="14" customFormat="false" ht="12.8" hidden="false" customHeight="false" outlineLevel="0" collapsed="false">
      <c r="A14" s="12" t="str">
        <f aca="false">_xlfn.CONCAT($A$1, ".", 'LSD.RID.0.AL.CALC'!A15)</f>
        <v>AL.AOTCREF.11</v>
      </c>
      <c r="B14" s="33" t="str">
        <f aca="false">_xlfn.CONCAT('LSD.RID.0.AL.CALC'!B15, ":", 'LSD.RID.0.AL.CALC'!C15)</f>
        <v>Transportation &amp; Warehousing:Worker</v>
      </c>
      <c r="C14" s="29" t="n">
        <f aca="false">'LSD.RID.0.AL.CALC'!BL15</f>
        <v>225000</v>
      </c>
      <c r="D14" s="29" t="n">
        <f aca="false">'LSD.RID.0.AL.CALC'!BM15</f>
        <v>45000</v>
      </c>
      <c r="E14" s="29" t="n">
        <f aca="false">'LSD.RID.0.AL.CALC'!BN15</f>
        <v>112500</v>
      </c>
      <c r="F14" s="29" t="n">
        <f aca="false">'LSD.RID.0.AL.CALC'!BO15</f>
        <v>337500</v>
      </c>
    </row>
    <row r="15" customFormat="false" ht="12.8" hidden="false" customHeight="false" outlineLevel="0" collapsed="false">
      <c r="A15" s="12" t="str">
        <f aca="false">_xlfn.CONCAT($A$1, ".", 'LSD.RID.0.AL.CALC'!A16)</f>
        <v>AL.AOTCREF.12</v>
      </c>
      <c r="B15" s="33" t="str">
        <f aca="false">_xlfn.CONCAT('LSD.RID.0.AL.CALC'!B16, ":", 'LSD.RID.0.AL.CALC'!C16)</f>
        <v>Transportation &amp; Warehousing:Support</v>
      </c>
      <c r="C15" s="29" t="n">
        <f aca="false">'LSD.RID.0.AL.CALC'!BL16</f>
        <v>112500</v>
      </c>
      <c r="D15" s="29" t="n">
        <f aca="false">'LSD.RID.0.AL.CALC'!BM16</f>
        <v>22500</v>
      </c>
      <c r="E15" s="29" t="n">
        <f aca="false">'LSD.RID.0.AL.CALC'!BN16</f>
        <v>56250</v>
      </c>
      <c r="F15" s="29" t="n">
        <f aca="false">'LSD.RID.0.AL.CALC'!BO16</f>
        <v>168750</v>
      </c>
    </row>
    <row r="16" customFormat="false" ht="12.8" hidden="false" customHeight="false" outlineLevel="0" collapsed="false">
      <c r="A16" s="12" t="str">
        <f aca="false">_xlfn.CONCAT($A$1, ".", 'LSD.RID.0.AL.CALC'!A17)</f>
        <v>AL.AOTCREF.13</v>
      </c>
      <c r="B16" s="33" t="str">
        <f aca="false">_xlfn.CONCAT('LSD.RID.0.AL.CALC'!B17, ":", 'LSD.RID.0.AL.CALC'!C17)</f>
        <v>Retail Trade:Worker</v>
      </c>
      <c r="C16" s="29" t="n">
        <f aca="false">'LSD.RID.0.AL.CALC'!BL17</f>
        <v>600000</v>
      </c>
      <c r="D16" s="29" t="n">
        <f aca="false">'LSD.RID.0.AL.CALC'!BM17</f>
        <v>120000</v>
      </c>
      <c r="E16" s="29" t="n">
        <f aca="false">'LSD.RID.0.AL.CALC'!BN17</f>
        <v>300000</v>
      </c>
      <c r="F16" s="29" t="n">
        <f aca="false">'LSD.RID.0.AL.CALC'!BO17</f>
        <v>900000</v>
      </c>
    </row>
    <row r="17" customFormat="false" ht="12.8" hidden="false" customHeight="false" outlineLevel="0" collapsed="false">
      <c r="A17" s="12" t="str">
        <f aca="false">_xlfn.CONCAT($A$1, ".", 'LSD.RID.0.AL.CALC'!A18)</f>
        <v>AL.AOTCREF.14</v>
      </c>
      <c r="B17" s="33" t="str">
        <f aca="false">_xlfn.CONCAT('LSD.RID.0.AL.CALC'!B18, ":", 'LSD.RID.0.AL.CALC'!C18)</f>
        <v>Retail Trade:Support</v>
      </c>
      <c r="C17" s="29" t="n">
        <f aca="false">'LSD.RID.0.AL.CALC'!BL18</f>
        <v>300000</v>
      </c>
      <c r="D17" s="29" t="n">
        <f aca="false">'LSD.RID.0.AL.CALC'!BM18</f>
        <v>60000</v>
      </c>
      <c r="E17" s="29" t="n">
        <f aca="false">'LSD.RID.0.AL.CALC'!BN18</f>
        <v>150000</v>
      </c>
      <c r="F17" s="29" t="n">
        <f aca="false">'LSD.RID.0.AL.CALC'!BO18</f>
        <v>450000</v>
      </c>
    </row>
    <row r="18" customFormat="false" ht="12.8" hidden="false" customHeight="false" outlineLevel="0" collapsed="false">
      <c r="A18" s="12" t="str">
        <f aca="false">_xlfn.CONCAT($A$1, ".", 'LSD.RID.0.AL.CALC'!A19)</f>
        <v>AL.AOTCREF.15</v>
      </c>
      <c r="B18" s="33" t="str">
        <f aca="false">_xlfn.CONCAT('LSD.RID.0.AL.CALC'!B19, ":", 'LSD.RID.0.AL.CALC'!C19)</f>
        <v>Landscaping / Groundskeeping:Worker</v>
      </c>
      <c r="C18" s="29" t="n">
        <f aca="false">'LSD.RID.0.AL.CALC'!BL19</f>
        <v>82500</v>
      </c>
      <c r="D18" s="29" t="n">
        <f aca="false">'LSD.RID.0.AL.CALC'!BM19</f>
        <v>16500</v>
      </c>
      <c r="E18" s="29" t="n">
        <f aca="false">'LSD.RID.0.AL.CALC'!BN19</f>
        <v>41250</v>
      </c>
      <c r="F18" s="29" t="n">
        <f aca="false">'LSD.RID.0.AL.CALC'!BO19</f>
        <v>123750</v>
      </c>
    </row>
    <row r="19" customFormat="false" ht="12.8" hidden="false" customHeight="false" outlineLevel="0" collapsed="false">
      <c r="A19" s="12" t="str">
        <f aca="false">_xlfn.CONCAT($A$1, ".", 'LSD.RID.0.AL.CALC'!A20)</f>
        <v>AL.AOTCREF.16</v>
      </c>
      <c r="B19" s="33" t="str">
        <f aca="false">_xlfn.CONCAT('LSD.RID.0.AL.CALC'!B20, ":", 'LSD.RID.0.AL.CALC'!C20)</f>
        <v>Landscaping / Groundskeeping:Support</v>
      </c>
      <c r="C19" s="29" t="n">
        <f aca="false">'LSD.RID.0.AL.CALC'!BL20</f>
        <v>41250</v>
      </c>
      <c r="D19" s="29" t="n">
        <f aca="false">'LSD.RID.0.AL.CALC'!BM20</f>
        <v>8250</v>
      </c>
      <c r="E19" s="29" t="n">
        <f aca="false">'LSD.RID.0.AL.CALC'!BN20</f>
        <v>20625</v>
      </c>
      <c r="F19" s="29" t="n">
        <f aca="false">'LSD.RID.0.AL.CALC'!BO20</f>
        <v>61875</v>
      </c>
    </row>
    <row r="20" customFormat="false" ht="12.8" hidden="false" customHeight="false" outlineLevel="0" collapsed="false">
      <c r="A20" s="12" t="str">
        <f aca="false">_xlfn.CONCAT($A$1, ".", 'LSD.RID.0.AL.CALC'!A21)</f>
        <v>AL.AOTCREF.17</v>
      </c>
      <c r="B20" s="33" t="str">
        <f aca="false">_xlfn.CONCAT('LSD.RID.0.AL.CALC'!B21, ":", 'LSD.RID.0.AL.CALC'!C21)</f>
        <v>Automotive &amp; Repair:Worker</v>
      </c>
      <c r="C20" s="29" t="n">
        <f aca="false">'LSD.RID.0.AL.CALC'!BL21</f>
        <v>67500</v>
      </c>
      <c r="D20" s="29" t="n">
        <f aca="false">'LSD.RID.0.AL.CALC'!BM21</f>
        <v>13500</v>
      </c>
      <c r="E20" s="29" t="n">
        <f aca="false">'LSD.RID.0.AL.CALC'!BN21</f>
        <v>33750</v>
      </c>
      <c r="F20" s="29" t="n">
        <f aca="false">'LSD.RID.0.AL.CALC'!BO21</f>
        <v>101250</v>
      </c>
    </row>
    <row r="21" customFormat="false" ht="12.8" hidden="false" customHeight="false" outlineLevel="0" collapsed="false">
      <c r="A21" s="12" t="str">
        <f aca="false">_xlfn.CONCAT($A$1, ".", 'LSD.RID.0.AL.CALC'!A22)</f>
        <v>AL.AOTCREF.18</v>
      </c>
      <c r="B21" s="33" t="str">
        <f aca="false">_xlfn.CONCAT('LSD.RID.0.AL.CALC'!B22, ":", 'LSD.RID.0.AL.CALC'!C22)</f>
        <v>Automotive &amp; Repair:Support</v>
      </c>
      <c r="C21" s="29" t="n">
        <f aca="false">'LSD.RID.0.AL.CALC'!BL22</f>
        <v>33750</v>
      </c>
      <c r="D21" s="29" t="n">
        <f aca="false">'LSD.RID.0.AL.CALC'!BM22</f>
        <v>6750</v>
      </c>
      <c r="E21" s="29" t="n">
        <f aca="false">'LSD.RID.0.AL.CALC'!BN22</f>
        <v>16875</v>
      </c>
      <c r="F21" s="29" t="n">
        <f aca="false">'LSD.RID.0.AL.CALC'!BO22</f>
        <v>50625</v>
      </c>
    </row>
    <row r="22" customFormat="false" ht="12.8" hidden="false" customHeight="false" outlineLevel="0" collapsed="false">
      <c r="A22" s="12" t="str">
        <f aca="false">_xlfn.CONCAT($A$1, ".", 'LSD.RID.0.AL.CALC'!A23)</f>
        <v>AL.AOTCREF.19</v>
      </c>
      <c r="B22" s="33" t="str">
        <f aca="false">_xlfn.CONCAT('LSD.RID.0.AL.CALC'!B23, ":", 'LSD.RID.0.AL.CALC'!C23)</f>
        <v>Healthcare &amp; Social Assistance:Worker</v>
      </c>
      <c r="C22" s="29" t="n">
        <f aca="false">'LSD.RID.0.AL.CALC'!BL23</f>
        <v>1300000</v>
      </c>
      <c r="D22" s="29" t="n">
        <f aca="false">'LSD.RID.0.AL.CALC'!BM23</f>
        <v>260000</v>
      </c>
      <c r="E22" s="29" t="n">
        <f aca="false">'LSD.RID.0.AL.CALC'!BN23</f>
        <v>650000</v>
      </c>
      <c r="F22" s="29" t="n">
        <f aca="false">'LSD.RID.0.AL.CALC'!BO23</f>
        <v>1950000</v>
      </c>
    </row>
    <row r="23" customFormat="false" ht="12.8" hidden="false" customHeight="false" outlineLevel="0" collapsed="false">
      <c r="A23" s="12" t="str">
        <f aca="false">_xlfn.CONCAT($A$1, ".", 'LSD.RID.0.AL.CALC'!A24)</f>
        <v>AL.AOTCREF.20</v>
      </c>
      <c r="B23" s="33" t="str">
        <f aca="false">_xlfn.CONCAT('LSD.RID.0.AL.CALC'!B24, ":", 'LSD.RID.0.AL.CALC'!C24)</f>
        <v>Healthcare &amp; Social Assistance:Support</v>
      </c>
      <c r="C23" s="29" t="n">
        <f aca="false">'LSD.RID.0.AL.CALC'!BL24</f>
        <v>650000</v>
      </c>
      <c r="D23" s="29" t="n">
        <f aca="false">'LSD.RID.0.AL.CALC'!BM24</f>
        <v>130000</v>
      </c>
      <c r="E23" s="29" t="n">
        <f aca="false">'LSD.RID.0.AL.CALC'!BN24</f>
        <v>325000</v>
      </c>
      <c r="F23" s="29" t="n">
        <f aca="false">'LSD.RID.0.AL.CALC'!BO24</f>
        <v>975000</v>
      </c>
    </row>
    <row r="24" customFormat="false" ht="12.8" hidden="false" customHeight="false" outlineLevel="0" collapsed="false">
      <c r="A24" s="12" t="str">
        <f aca="false">_xlfn.CONCAT($A$1, ".", 'LSD.RID.0.AL.CALC'!A25)</f>
        <v>AL.AOTCREF.21</v>
      </c>
      <c r="B24" s="33" t="str">
        <f aca="false">_xlfn.CONCAT('LSD.RID.0.AL.CALC'!B25, ":", 'LSD.RID.0.AL.CALC'!C25)</f>
        <v>Professional Services:Worker</v>
      </c>
      <c r="C24" s="29" t="n">
        <f aca="false">'LSD.RID.0.AL.CALC'!BL25</f>
        <v>825000</v>
      </c>
      <c r="D24" s="29" t="n">
        <f aca="false">'LSD.RID.0.AL.CALC'!BM25</f>
        <v>165000</v>
      </c>
      <c r="E24" s="29" t="n">
        <f aca="false">'LSD.RID.0.AL.CALC'!BN25</f>
        <v>412500</v>
      </c>
      <c r="F24" s="29" t="n">
        <f aca="false">'LSD.RID.0.AL.CALC'!BO25</f>
        <v>1237500</v>
      </c>
    </row>
    <row r="25" customFormat="false" ht="12.8" hidden="false" customHeight="false" outlineLevel="0" collapsed="false">
      <c r="A25" s="12" t="str">
        <f aca="false">_xlfn.CONCAT($A$1, ".", 'LSD.RID.0.AL.CALC'!A26)</f>
        <v>AL.AOTCREF.22</v>
      </c>
      <c r="B25" s="33" t="str">
        <f aca="false">_xlfn.CONCAT('LSD.RID.0.AL.CALC'!B26, ":", 'LSD.RID.0.AL.CALC'!C26)</f>
        <v>Professional Services:Support</v>
      </c>
      <c r="C25" s="29" t="n">
        <f aca="false">'LSD.RID.0.AL.CALC'!BL26</f>
        <v>412500</v>
      </c>
      <c r="D25" s="29" t="n">
        <f aca="false">'LSD.RID.0.AL.CALC'!BM26</f>
        <v>82500</v>
      </c>
      <c r="E25" s="29" t="n">
        <f aca="false">'LSD.RID.0.AL.CALC'!BN26</f>
        <v>206250</v>
      </c>
      <c r="F25" s="29" t="n">
        <f aca="false">'LSD.RID.0.AL.CALC'!BO26</f>
        <v>618750</v>
      </c>
    </row>
    <row r="26" customFormat="false" ht="12.8" hidden="false" customHeight="false" outlineLevel="0" collapsed="false">
      <c r="A26" s="12" t="str">
        <f aca="false">_xlfn.CONCAT($A$1, ".", 'LSD.RID.0.AL.CALC'!A27)</f>
        <v>AL.AOTCREF.23</v>
      </c>
      <c r="B26" s="33" t="str">
        <f aca="false">_xlfn.CONCAT('LSD.RID.0.AL.CALC'!B27, ":", 'LSD.RID.0.AL.CALC'!C27)</f>
        <v>Educational Services:Worker</v>
      </c>
      <c r="C26" s="29" t="n">
        <f aca="false">'LSD.RID.0.AL.CALC'!BL27</f>
        <v>525000</v>
      </c>
      <c r="D26" s="29" t="n">
        <f aca="false">'LSD.RID.0.AL.CALC'!BM27</f>
        <v>105000</v>
      </c>
      <c r="E26" s="29" t="n">
        <f aca="false">'LSD.RID.0.AL.CALC'!BN27</f>
        <v>262500</v>
      </c>
      <c r="F26" s="29" t="n">
        <f aca="false">'LSD.RID.0.AL.CALC'!BO27</f>
        <v>787500</v>
      </c>
    </row>
    <row r="27" customFormat="false" ht="12.8" hidden="false" customHeight="false" outlineLevel="0" collapsed="false">
      <c r="A27" s="12" t="str">
        <f aca="false">_xlfn.CONCAT($A$1, ".", 'LSD.RID.0.AL.CALC'!A28)</f>
        <v>AL.AOTCREF.24</v>
      </c>
      <c r="B27" s="33" t="str">
        <f aca="false">_xlfn.CONCAT('LSD.RID.0.AL.CALC'!B28, ":", 'LSD.RID.0.AL.CALC'!C28)</f>
        <v>Educational Services:Support</v>
      </c>
      <c r="C27" s="29" t="n">
        <f aca="false">'LSD.RID.0.AL.CALC'!BL28</f>
        <v>262500</v>
      </c>
      <c r="D27" s="29" t="n">
        <f aca="false">'LSD.RID.0.AL.CALC'!BM28</f>
        <v>52500</v>
      </c>
      <c r="E27" s="29" t="n">
        <f aca="false">'LSD.RID.0.AL.CALC'!BN28</f>
        <v>131250</v>
      </c>
      <c r="F27" s="29" t="n">
        <f aca="false">'LSD.RID.0.AL.CALC'!BO28</f>
        <v>393750</v>
      </c>
    </row>
    <row r="28" customFormat="false" ht="12.8" hidden="false" customHeight="false" outlineLevel="0" collapsed="false">
      <c r="A28" s="12" t="str">
        <f aca="false">_xlfn.CONCAT($A$1, ".", 'LSD.RID.0.AL.CALC'!A29)</f>
        <v>AL.AOTCREF.25</v>
      </c>
      <c r="B28" s="33" t="str">
        <f aca="false">_xlfn.CONCAT('LSD.RID.0.AL.CALC'!B29, ":", 'LSD.RID.0.AL.CALC'!C29)</f>
        <v>Finance &amp; Insurance:Worker</v>
      </c>
      <c r="C28" s="29" t="n">
        <f aca="false">'LSD.RID.0.AL.CALC'!BL29</f>
        <v>375000</v>
      </c>
      <c r="D28" s="29" t="n">
        <f aca="false">'LSD.RID.0.AL.CALC'!BM29</f>
        <v>75000</v>
      </c>
      <c r="E28" s="29" t="n">
        <f aca="false">'LSD.RID.0.AL.CALC'!BN29</f>
        <v>187500</v>
      </c>
      <c r="F28" s="29" t="n">
        <f aca="false">'LSD.RID.0.AL.CALC'!BO29</f>
        <v>562500</v>
      </c>
    </row>
    <row r="29" customFormat="false" ht="12.8" hidden="false" customHeight="false" outlineLevel="0" collapsed="false">
      <c r="A29" s="12" t="str">
        <f aca="false">_xlfn.CONCAT($A$1, ".", 'LSD.RID.0.AL.CALC'!A30)</f>
        <v>AL.AOTCREF.26</v>
      </c>
      <c r="B29" s="33" t="str">
        <f aca="false">_xlfn.CONCAT('LSD.RID.0.AL.CALC'!B30, ":", 'LSD.RID.0.AL.CALC'!C30)</f>
        <v>Finance &amp; Insurance:Support</v>
      </c>
      <c r="C29" s="29" t="n">
        <f aca="false">'LSD.RID.0.AL.CALC'!BL30</f>
        <v>187500</v>
      </c>
      <c r="D29" s="29" t="n">
        <f aca="false">'LSD.RID.0.AL.CALC'!BM30</f>
        <v>37500</v>
      </c>
      <c r="E29" s="29" t="n">
        <f aca="false">'LSD.RID.0.AL.CALC'!BN30</f>
        <v>93750</v>
      </c>
      <c r="F29" s="29" t="n">
        <f aca="false">'LSD.RID.0.AL.CALC'!BO30</f>
        <v>281250</v>
      </c>
    </row>
    <row r="30" customFormat="false" ht="12.8" hidden="false" customHeight="false" outlineLevel="0" collapsed="false">
      <c r="A30" s="12" t="str">
        <f aca="false">_xlfn.CONCAT($A$1, ".", 'LSD.RID.0.AL.CALC'!A31)</f>
        <v>AL.AOTCREF.27</v>
      </c>
      <c r="B30" s="33" t="str">
        <f aca="false">_xlfn.CONCAT('LSD.RID.0.AL.CALC'!B31, ":", 'LSD.RID.0.AL.CALC'!C31)</f>
        <v>Media and Information Technology:Worker</v>
      </c>
      <c r="C30" s="29" t="n">
        <f aca="false">'LSD.RID.0.AL.CALC'!BL31</f>
        <v>112500</v>
      </c>
      <c r="D30" s="29" t="n">
        <f aca="false">'LSD.RID.0.AL.CALC'!BM31</f>
        <v>22500</v>
      </c>
      <c r="E30" s="29" t="n">
        <f aca="false">'LSD.RID.0.AL.CALC'!BN31</f>
        <v>56250</v>
      </c>
      <c r="F30" s="29" t="n">
        <f aca="false">'LSD.RID.0.AL.CALC'!BO31</f>
        <v>168750</v>
      </c>
    </row>
    <row r="31" customFormat="false" ht="12.8" hidden="false" customHeight="false" outlineLevel="0" collapsed="false">
      <c r="A31" s="12" t="str">
        <f aca="false">_xlfn.CONCAT($A$1, ".", 'LSD.RID.0.AL.CALC'!A32)</f>
        <v>AL.AOTCREF.28</v>
      </c>
      <c r="B31" s="33" t="str">
        <f aca="false">_xlfn.CONCAT('LSD.RID.0.AL.CALC'!B32, ":", 'LSD.RID.0.AL.CALC'!C32)</f>
        <v>Media and Information Technology:Support</v>
      </c>
      <c r="C31" s="29" t="n">
        <f aca="false">'LSD.RID.0.AL.CALC'!BL32</f>
        <v>56250</v>
      </c>
      <c r="D31" s="29" t="n">
        <f aca="false">'LSD.RID.0.AL.CALC'!BM32</f>
        <v>11250</v>
      </c>
      <c r="E31" s="29" t="n">
        <f aca="false">'LSD.RID.0.AL.CALC'!BN32</f>
        <v>28125</v>
      </c>
      <c r="F31" s="29" t="n">
        <f aca="false">'LSD.RID.0.AL.CALC'!BO32</f>
        <v>84375</v>
      </c>
    </row>
    <row r="32" customFormat="false" ht="12.8" hidden="false" customHeight="false" outlineLevel="0" collapsed="false">
      <c r="A32" s="12" t="str">
        <f aca="false">_xlfn.CONCAT($A$1, ".", 'LSD.RID.0.AL.CALC'!A33)</f>
        <v>AL.AOTCREF.29</v>
      </c>
      <c r="B32" s="33" t="str">
        <f aca="false">_xlfn.CONCAT('LSD.RID.0.AL.CALC'!B33, ":", 'LSD.RID.0.AL.CALC'!C33)</f>
        <v>Government:Worker</v>
      </c>
      <c r="C32" s="29" t="n">
        <f aca="false">'LSD.RID.0.AL.CALC'!BL33</f>
        <v>1500000</v>
      </c>
      <c r="D32" s="29" t="n">
        <f aca="false">'LSD.RID.0.AL.CALC'!BM33</f>
        <v>300000</v>
      </c>
      <c r="E32" s="29" t="n">
        <f aca="false">'LSD.RID.0.AL.CALC'!BN33</f>
        <v>750000</v>
      </c>
      <c r="F32" s="29" t="n">
        <f aca="false">'LSD.RID.0.AL.CALC'!BO33</f>
        <v>2250000</v>
      </c>
    </row>
    <row r="33" customFormat="false" ht="12.8" hidden="false" customHeight="false" outlineLevel="0" collapsed="false">
      <c r="A33" s="12" t="str">
        <f aca="false">_xlfn.CONCAT($A$1, ".", 'LSD.RID.0.AL.CALC'!A34)</f>
        <v>AL.AOTCREF.30</v>
      </c>
      <c r="B33" s="33" t="str">
        <f aca="false">_xlfn.CONCAT('LSD.RID.0.AL.CALC'!B34, ":", 'LSD.RID.0.AL.CALC'!C34)</f>
        <v>Government:Support</v>
      </c>
      <c r="C33" s="29" t="n">
        <f aca="false">'LSD.RID.0.AL.CALC'!BL34</f>
        <v>750000</v>
      </c>
      <c r="D33" s="29" t="n">
        <f aca="false">'LSD.RID.0.AL.CALC'!BM34</f>
        <v>150000</v>
      </c>
      <c r="E33" s="29" t="n">
        <f aca="false">'LSD.RID.0.AL.CALC'!BN34</f>
        <v>375000</v>
      </c>
      <c r="F33" s="29" t="n">
        <f aca="false">'LSD.RID.0.AL.CALC'!BO34</f>
        <v>1125000</v>
      </c>
    </row>
    <row r="34" customFormat="false" ht="12.8" hidden="false" customHeight="false" outlineLevel="0" collapsed="false">
      <c r="A34" s="12" t="str">
        <f aca="false">_xlfn.CONCAT($A$1, ".", 'LSD.RID.0.AL.CALC'!A35)</f>
        <v>AL.AOTCREF.31</v>
      </c>
      <c r="B34" s="33" t="str">
        <f aca="false">_xlfn.CONCAT('LSD.RID.0.AL.CALC'!B35, ":", 'LSD.RID.0.AL.CALC'!C35)</f>
        <v>Self-Employed / Non-Employer:Worker</v>
      </c>
      <c r="C34" s="29" t="n">
        <f aca="false">'LSD.RID.0.AL.CALC'!BL35</f>
        <v>675000</v>
      </c>
      <c r="D34" s="29" t="n">
        <f aca="false">'LSD.RID.0.AL.CALC'!BM35</f>
        <v>135000</v>
      </c>
      <c r="E34" s="29" t="n">
        <f aca="false">'LSD.RID.0.AL.CALC'!BN35</f>
        <v>337500</v>
      </c>
      <c r="F34" s="29" t="n">
        <f aca="false">'LSD.RID.0.AL.CALC'!BO35</f>
        <v>1012500</v>
      </c>
    </row>
    <row r="35" customFormat="false" ht="12.8" hidden="false" customHeight="false" outlineLevel="0" collapsed="false">
      <c r="A35" s="12" t="str">
        <f aca="false">_xlfn.CONCAT($A$1, ".", 'LSD.RID.0.AL.CALC'!A36)</f>
        <v>AL.AOTCREF.32</v>
      </c>
      <c r="B35" s="33" t="str">
        <f aca="false">_xlfn.CONCAT('LSD.RID.0.AL.CALC'!B36, ":", 'LSD.RID.0.AL.CALC'!C36)</f>
        <v>Self-Employed / Non-Employer:Support</v>
      </c>
      <c r="C35" s="29" t="n">
        <f aca="false">'LSD.RID.0.AL.CALC'!BL36</f>
        <v>337500</v>
      </c>
      <c r="D35" s="29" t="n">
        <f aca="false">'LSD.RID.0.AL.CALC'!BM36</f>
        <v>67500</v>
      </c>
      <c r="E35" s="29" t="n">
        <f aca="false">'LSD.RID.0.AL.CALC'!BN36</f>
        <v>168750</v>
      </c>
      <c r="F35" s="29" t="n">
        <f aca="false">'LSD.RID.0.AL.CALC'!BO36</f>
        <v>506250</v>
      </c>
    </row>
    <row r="36" customFormat="false" ht="12.8" hidden="false" customHeight="false" outlineLevel="0" collapsed="false">
      <c r="A36" s="12" t="str">
        <f aca="false">_xlfn.CONCAT($A$1, ".", 'LSD.RID.0.AL.CALC'!A37)</f>
        <v>AL.AOTCREF.33</v>
      </c>
      <c r="B36" s="33" t="str">
        <f aca="false">_xlfn.CONCAT('LSD.RID.0.AL.CALC'!B37, ":", 'LSD.RID.0.AL.CALC'!C37)</f>
        <v>Other Services:Worker</v>
      </c>
      <c r="C36" s="29" t="n">
        <f aca="false">'LSD.RID.0.AL.CALC'!BL37</f>
        <v>412500</v>
      </c>
      <c r="D36" s="29" t="n">
        <f aca="false">'LSD.RID.0.AL.CALC'!BM37</f>
        <v>82500</v>
      </c>
      <c r="E36" s="29" t="n">
        <f aca="false">'LSD.RID.0.AL.CALC'!BN37</f>
        <v>206250</v>
      </c>
      <c r="F36" s="29" t="n">
        <f aca="false">'LSD.RID.0.AL.CALC'!BO37</f>
        <v>618750</v>
      </c>
    </row>
    <row r="37" customFormat="false" ht="12.8" hidden="false" customHeight="false" outlineLevel="0" collapsed="false">
      <c r="A37" s="12" t="str">
        <f aca="false">_xlfn.CONCAT($A$1, ".", 'LSD.RID.0.AL.CALC'!A38)</f>
        <v>AL.AOTCREF.34</v>
      </c>
      <c r="B37" s="33" t="str">
        <f aca="false">_xlfn.CONCAT('LSD.RID.0.AL.CALC'!B38, ":", 'LSD.RID.0.AL.CALC'!C38)</f>
        <v>Other Services:Support</v>
      </c>
      <c r="C37" s="29" t="n">
        <f aca="false">'LSD.RID.0.AL.CALC'!BL38</f>
        <v>206250</v>
      </c>
      <c r="D37" s="29" t="n">
        <f aca="false">'LSD.RID.0.AL.CALC'!BM38</f>
        <v>41250</v>
      </c>
      <c r="E37" s="29" t="n">
        <f aca="false">'LSD.RID.0.AL.CALC'!BN38</f>
        <v>103125</v>
      </c>
      <c r="F37" s="29" t="n">
        <f aca="false">'LSD.RID.0.AL.CALC'!BO38</f>
        <v>309375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3740</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2026-02-06T08:34:55Z</dcterms:modified>
  <cp:revision>514</cp:revision>
  <dc:subject/>
  <dc:title/>
</cp:coreProperties>
</file>

<file path=docProps/custom.xml><?xml version="1.0" encoding="utf-8"?>
<Properties xmlns="http://schemas.openxmlformats.org/officeDocument/2006/custom-properties" xmlns:vt="http://schemas.openxmlformats.org/officeDocument/2006/docPropsVTypes"/>
</file>