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22.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charts/chart29.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30.xml" ContentType="application/vnd.openxmlformats-officedocument.drawingml.chart+xml"/>
  <Override PartName="/xl/charts/chart4.xml" ContentType="application/vnd.openxmlformats-officedocument.drawingml.chart+xml"/>
  <Override PartName="/xl/charts/chart15.xml" ContentType="application/vnd.openxmlformats-officedocument.drawingml.chart+xml"/>
  <Override PartName="/xl/charts/chart7.xml" ContentType="application/vnd.openxmlformats-officedocument.drawingml.chart+xml"/>
  <Override PartName="/xl/charts/chart26.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7.xml" ContentType="application/vnd.openxmlformats-officedocument.drawingml.chart+xml"/>
  <Override PartName="/xl/charts/chart21.xml" ContentType="application/vnd.openxmlformats-officedocument.drawingml.chart+xml"/>
  <Override PartName="/xl/charts/chart11.xml" ContentType="application/vnd.openxmlformats-officedocument.drawingml.chart+xml"/>
  <Override PartName="/xl/charts/chart18.xml" ContentType="application/vnd.openxmlformats-officedocument.drawingml.chart+xml"/>
  <Override PartName="/xl/charts/chart28.xml" ContentType="application/vnd.openxmlformats-officedocument.drawingml.chart+xml"/>
  <Override PartName="/xl/charts/chart20.xml" ContentType="application/vnd.openxmlformats-officedocument.drawingml.chart+xml"/>
  <Override PartName="/xl/charts/chart19.xml" ContentType="application/vnd.openxmlformats-officedocument.drawingml.chart+xml"/>
  <Override PartName="/xl/charts/chart3.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10.xml" ContentType="application/vnd.openxmlformats-officedocument.drawingml.chart+xml"/>
  <Override PartName="/xl/charts/chart25.xml" ContentType="application/vnd.openxmlformats-officedocument.drawingml.chart+xml"/>
  <Override PartName="/xl/charts/chart2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INDEX" sheetId="1" state="visible" r:id="rId3"/>
    <sheet name="INVOKE" sheetId="2" state="visible" r:id="rId4"/>
    <sheet name="FORM" sheetId="3" state="visible" r:id="rId5"/>
    <sheet name="PARAM" sheetId="4" state="visible" r:id="rId6"/>
    <sheet name="CALC" sheetId="5" state="visible" r:id="rId7"/>
    <sheet name="LFP" sheetId="6" state="visible" r:id="rId8"/>
    <sheet name="ETPR" sheetId="7" state="visible" r:id="rId9"/>
    <sheet name="LFPR" sheetId="8" state="visible" r:id="rId10"/>
    <sheet name="U3R" sheetId="9" state="visible" r:id="rId11"/>
    <sheet name="U6R" sheetId="10" state="hidden" r:id="rId12"/>
    <sheet name="WAVG" sheetId="11" state="hidden" r:id="rId13"/>
    <sheet name="AIAVG" sheetId="12" state="hidden" r:id="rId14"/>
    <sheet name="FPITREV" sheetId="13" state="hidden" r:id="rId15"/>
    <sheet name="FPPTREV" sheetId="14" state="hidden" r:id="rId16"/>
    <sheet name="EITCREF" sheetId="15" state="hidden" r:id="rId17"/>
    <sheet name="ACTCREF" sheetId="16" state="hidden" r:id="rId18"/>
    <sheet name="AOTCREF" sheetId="17" state="hidden" r:id="rId19"/>
    <sheet name="EP" sheetId="18" state="hidden" r:id="rId20"/>
    <sheet name="AWHW" sheetId="19" state="hidden" r:id="rId21"/>
    <sheet name="FTER" sheetId="20" state="hidden" r:id="rId22"/>
    <sheet name="PTER" sheetId="21" state="hidden" r:id="rId23"/>
    <sheet name="JTA" sheetId="22" state="hidden" r:id="rId24"/>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<sst xmlns="http://schemas.openxmlformats.org/spreadsheetml/2006/main" count="2718" uniqueCount="1510">
  <si>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</si>
  <si>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</si>
  <si>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</si>
  <si>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</si>
  <si>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</si>
  <si>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</si>
  <si>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</si>
  <si>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</si>
  <si>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</si>
  <si>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</si>
  <si>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</si>
  <si>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</si>
  <si>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</si>
  <si>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</si>
  <si>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</si>
  <si>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</si>
  <si>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</si>
  <si>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</si>
  <si>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</si>
  <si>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</si>
  <si>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</si>
  <si>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</si>
  <si>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</si>
  <si>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</si>
  <si>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</si>
  <si>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</si>
  <si>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</si>
  <si>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</si>
  <si>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</si>
  <si>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</si>
  <si>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</si>
  <si>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</si>
  <si>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</si>
  <si>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</si>
  <si>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</si>
  <si>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</si>
  <si>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</si>
  <si>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</si>
  <si>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</si>
  <si>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</si>
  <si>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</si>
  <si>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</si>
  <si>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</si>
  <si>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</si>
  <si>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</si>
  <si>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</si>
  <si>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</si>
  <si>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</si>
  <si>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</si>
  <si>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</si>
  <si>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</si>
  <si>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</si>
  <si>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</si>
  <si>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</si>
  <si>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</si>
  <si>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</si>
  <si>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</si>
  <si>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</si>
  <si>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</si>
  <si>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</si>
  <si>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</si>
  <si>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</si>
  <si>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</si>
  <si>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</si>
  <si>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</si>
  <si>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</si>
  <si>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</si>
  <si>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</si>
  <si>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</si>
  <si>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</si>
  <si>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</si>
  <si>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</si>
  <si>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</si>
  <si>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</si>
  <si>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</si>
  <si>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</si>
  <si>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</si>
  <si>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</si>
  <si>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</si>
  <si>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</si>
  <si>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</si>
  <si>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</si>
  <si>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</si>
  <si>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</si>
  <si>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</si>
  <si>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</si>
  <si>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</si>
  <si>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</si>
  <si>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</si>
  <si>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</si>
  <si>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</si>
  <si>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</si>
  <si>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</si>
  <si>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</si>
  <si>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</si>
  <si>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</si>
  <si>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</si>
  <si>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</si>
  <si>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</si>
  <si>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</si>
  <si>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</si>
  <si>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</si>
  <si>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</si>
  <si>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</si>
  <si>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</si>
  <si>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</si>
  <si>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</si>
  <si>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</si>
  <si>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</si>
  <si>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</si>
  <si>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</si>
  <si>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</si>
  <si>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</si>
  <si>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</si>
  <si>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</si>
  <si>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LSD.REF.AL.INVOKE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</si>
  <si>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</si>
  <si>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</si>
  <si>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</si>
  <si>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</si>
  <si>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</si>
  <si>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</si>
  <si>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Metric Structuring, Formulation, Parameterization, Calculation, 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</si>
  <si>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</si>
  <si>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</si>
  <si>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</si>
  <si>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</si>
  <si>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thomas.welborn@protonmail.com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</si>
  <si>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</si>
  <si>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</si>
  <si>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thomas.tom.welborn@gmail.com</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</si>
  <si>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</si>
  <si>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</si>
  <si>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</si>
  <si>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</si>
  <si>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</si>
  <si>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</si>
  <si>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</si>
  <si>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</si>
  <si>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</si>
  <si>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</si>
  <si>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</si>
  <si>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</si>
  <si>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thomas.patrick.welborn@outlook.com</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</si>
  <si>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</si>
  <si>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</si>
  <si>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</si>
  <si>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</si>
  <si>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</si>
  <si>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</si>
  <si>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</si>
  <si>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</si>
  <si>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</si>
  <si>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</si>
  <si>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</si>
  <si>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</si>
  <si>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</si>
  <si>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</si>
  <si>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</si>
  <si>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</si>
  <si>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</si>
  <si>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</si>
  <si>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</si>
  <si>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</si>
  <si>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</si>
  <si>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</si>
  <si>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</si>
  <si>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</si>
  <si>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</si>
  <si>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</si>
  <si>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</si>
  <si>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</si>
  <si>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</si>
  <si>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</si>
  <si>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</si>
  <si>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</si>
  <si>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</si>
  <si>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</si>
  <si>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</si>
  <si>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LSD.REF.AL.FORM.0</t>
  </si>
  <si>
    <t xml:space="preserve">S0 - Shared/Base</t>
  </si>
  <si>
    <t xml:space="preserve">Sector Employment Total</t>
  </si>
  <si>
    <t xml:space="preserve">T_i = PARAMETERS!SECTOR_EMPLOYMENT[i] + PARAMETERS!ADJUSTMENT_FACTOR_SEC[i] + ITERATE( PARAMETERS!VARIANCE_CHECK_SEC[i] &gt; PARAMETERS!MIN_VARIANCE_TARGET ? RECONCILE_SOURCES(i) : 0 )</t>
  </si>
  <si>
    <t xml:space="preserve">BLS CES base + adjustment + variance-based reconciliation; iterative if variance high</t>
  </si>
  <si>
    <t xml:space="preserve">Enhanced with feedback loop for variance; incorporates data fusion if needed to boost precision in sparse sectors (e.g., mining).</t>
  </si>
  <si>
    <t xml:space="preserve">LSD.REF.AL.FORM.1</t>
  </si>
  <si>
    <t xml:space="preserve">Population Share Proration (Auth/Unauth/American)</t>
  </si>
  <si>
    <t xml:space="preserve">AUTH_SHARE_i = PARAMETERS!AUTH_IMMIGRANT_SHARE_SEC[i] * FORM!AUTH_IMMIGRANT_ETPR_ADJ_FACTOR; UNAUTH_SHARE_i = PARAMETERS!UNAUTH_IMMIGRANT_SHARE_SEC[i] * FORM!UNAUTH_IMMIGRANT_ETPR_ADJ_FACTOR * PARAMETERS!UNAUTH_BOOST_SEC[i]; AMER_SHARE_i = 1 - AUTH_SHARE_i - UNAUTH_SHARE_i; APPLY_CAP( SUM(UNAUTH_SHARE_i * T_i) &gt; PARAMETERS!UNAUTH_IMMIGRANT_CAP ? PRORATE_DOWN(UNAUTH_SHARE_i) : UNAUTH_SHARE_i )</t>
  </si>
  <si>
    <t xml:space="preserve">Prorate by immigrant shares + ETPR adj + unauthorized boost + cap enforcement</t>
  </si>
  <si>
    <t xml:space="preserve">Updated; added UNAUTH_BOOST_SEC[i] for sector-specific unauthorized LFP differentiation (higher in manual sectors).</t>
  </si>
  <si>
    <t xml:space="preserve">LSD.REF.AL.FORM.2</t>
  </si>
  <si>
    <t xml:space="preserve">Enhanced Data Fusion for Multi-Source Blending</t>
  </si>
  <si>
    <t xml:space="preserve">value_i = WEIGHTED_AVG( PARAMETERS!BLS_VALUE_SEC[i] * DYNAMIC_WEIGHT( PARAMETERS!ACCURACY_BLS, SOURCE_CONFIDENCE(i) ), PARAMETERS!ACS_VALUE_SEC[i] * DYNAMIC_WEIGHT( PARAMETERS!ACCURACY_ACS, SOURCE_CONFIDENCE(i) ), PARAMETERS!MPI_VALUE_SEC[i] * DYNAMIC_WEIGHT( PARAMETERS!ACCURACY_MPI, SOURCE_CONFIDENCE(i) ) ) / SUM_WEIGHTS; RECONCILE_IF_DIFF &gt; PARAMETERS!FUSION_THRESHOLD</t>
  </si>
  <si>
    <t xml:space="preserve">Dynamic weighted avg + reconciliation if sources diverge &gt; threshold</t>
  </si>
  <si>
    <t xml:space="preserve">Improved fusion with dynamic weights based on per-sector confidence; interdependent for cross-metric use, reduces uncertainty from lags.</t>
  </si>
  <si>
    <t xml:space="preserve">LSD.REF.AL.FORM.3</t>
  </si>
  <si>
    <t xml:space="preserve">Asymmetric Share Adjustment</t>
  </si>
  <si>
    <t xml:space="preserve">GROUP_SHARE_i = BASE_SHARE_i * (1 + PARAMETERS!ASYMMETRY_FACTOR_GROUP) * (1 + PARAMETERS!SECTOR_ASYMMETRY_FACTOR_GROUP[i]) * ERROR_BOUND( PARAMETERS!GROUP_VARIANCE[i] )</t>
  </si>
  <si>
    <t xml:space="preserve">Adjustment for asymmetry + sector-specific factor + error bound</t>
  </si>
  <si>
    <t xml:space="preserve">Updated; added SECTOR_ASYMMETRY_FACTOR_GROUP[i] for per-sector LFP variation (lower in cyclical, higher in stable).</t>
  </si>
  <si>
    <t xml:space="preserve">LSD.REF.AL.FORM.4</t>
  </si>
  <si>
    <t xml:space="preserve">Iterative Calibration Target Update</t>
  </si>
  <si>
    <t xml:space="preserve">METRIC_i = RAW_METRIC_i * (PARAMETERS!PUBLIC_TARGET / AGGREGATE_RAW); ITERATE_IF( ABS(AGGREGATE_FINAL - PUBLIC_TARGET) &gt; PARAMETERS!CALIB_TOLERANCE ? RESCALE(RAW_METRIC_i) )</t>
  </si>
  <si>
    <t xml:space="preserve">Scaling + iterative rescaling if tolerance exceeded</t>
  </si>
  <si>
    <t xml:space="preserve">Enhanced feedback loop; interdependent across metrics to minimize drift, directly addressing error propagation.</t>
  </si>
  <si>
    <t xml:space="preserve">LSD.REF.AL.FORM.5</t>
  </si>
  <si>
    <t xml:space="preserve">Cross-Metric Dependency Link</t>
  </si>
  <si>
    <t xml:space="preserve">LINK_METRIC( metric_a, metric_b ) = metric_a + DEPEND_ADJ( metric_b * PARAMETERS!INTERDEPEND_FACTOR_AB )</t>
  </si>
  <si>
    <t xml:space="preserve">Adjust metric_a based on linked metric_b (e.g., LFP influences U3R)</t>
  </si>
  <si>
    <t xml:space="preserve">New interdependent addition; e.g., links LFP to U3R for consistency, incorporating recommendations for cross-metric enforcement.</t>
  </si>
  <si>
    <t xml:space="preserve">LSD.REF.AL.FORM.6</t>
  </si>
  <si>
    <t xml:space="preserve">Employed Population Derivation</t>
  </si>
  <si>
    <t xml:space="preserve">EP_i = LFP_i * (1 - LINK_METRIC( U3R_i, PARAMETERS!INTERDEPEND_FACTOR_LFP_U3R ))</t>
  </si>
  <si>
    <t xml:space="preserve">Derive employed from LFP minus unemployment linkage</t>
  </si>
  <si>
    <t xml:space="preserve">New interdependent; bridges LFP to ETPR/U3R for consistency across metrics.</t>
  </si>
  <si>
    <t xml:space="preserve">LSD.REF.AL.FORM.7</t>
  </si>
  <si>
    <t xml:space="preserve">Group ETPR Adjustment Link</t>
  </si>
  <si>
    <t xml:space="preserve">GROUP_ETPR_i = BASE_ETPR_i * (PARAMETERS!GROUP_ETPR_ADJ_FACTOR) * ITERATE_IF( ABS(GROUP_EP_i / GROUP_CIV_POP_i - TARGET_ETPR) &gt; PARAMETERS!CALIB_TOLERANCE )</t>
  </si>
  <si>
    <t xml:space="preserve">Adjust group ETPR with calibration iteration</t>
  </si>
  <si>
    <t xml:space="preserve">New; interdependent with LFP-derived EP and civ pop params for group-level precision.</t>
  </si>
  <si>
    <t xml:space="preserve">LSD.REF.AL.FORM.8</t>
  </si>
  <si>
    <t xml:space="preserve">LFPR Derivation from LFP</t>
  </si>
  <si>
    <t xml:space="preserve">LFPR_i = LFP_i / PARAMETERS!CIV_POP_TOTAL * (1 + PARAMETERS!LFPR_ADJ_SEC[i]); LINK_METRIC( LFPR_i, ETPR_i * PARAMETERS!INTERDEPEND_FACTOR_ETPR_LFP )</t>
  </si>
  <si>
    <t xml:space="preserve">Derive sector LFPR from LFP/civ pop + adj + ETPR linkage</t>
  </si>
  <si>
    <t xml:space="preserve">New interdependent; bridges LFP to LFPR and ensures ETPR consistency.</t>
  </si>
  <si>
    <t xml:space="preserve">LSD.REF.AL.FORM.9</t>
  </si>
  <si>
    <t xml:space="preserve">Sector-Specific Asymmetry Application</t>
  </si>
  <si>
    <t xml:space="preserve">ASYMM_ADJ_i = BASE_VALUE_i * (1 + PARAMETERS!SECTOR_ASYMMETRY_FACTOR_GROUP[i]) * SPECIFICITY_BOOST( PARAMETERS!UNAUTH_BOOST_SEC[i], GROUP="unauth" )</t>
  </si>
  <si>
    <t xml:space="preserve">Apply per-sector asymmetry + unauthorized specificity boost</t>
  </si>
  <si>
    <t xml:space="preserve">Updated; added SPECIFICITY_BOOST for unauthorized LFP (applies only to unauth group, boosting variation in target sectors).</t>
  </si>
  <si>
    <t xml:space="preserve">LSD.REF.AL.FORM.10</t>
  </si>
  <si>
    <t xml:space="preserve">Unauthorized Group Boost Link</t>
  </si>
  <si>
    <t xml:space="preserve">UNAUTH_VALUE_i = UNAUTH_BASE_i * (1 + PARAMETERS!UNAUTH_BOOST_SEC[i] * LINK_METRIC( LFPR_i, PARAMETERS!INTERDEPEND_FACTOR_LFPR_ETPR_U3R ))</t>
  </si>
  <si>
    <t xml:space="preserve">Boost unauthorized values per sector with LFPR-ETPR/U3R linkage</t>
  </si>
  <si>
    <t xml:space="preserve">Unchanged from prior; reinforces specificity by sector.</t>
  </si>
  <si>
    <t xml:space="preserve">LSD.REF.AL.FORM.11</t>
  </si>
  <si>
    <t xml:space="preserve">ETPR Derivation from LFPR/U3R</t>
  </si>
  <si>
    <t xml:space="preserve">ETPR_i = LFPR_i * (1 - U3R_i) * (1 + PARAMETERS!ETPR_ADJ_SEC[i]); LINK_METRIC( ETPR_i, PARAMETERS!INTERDEPEND_FACTOR_ETPR_LFP )</t>
  </si>
  <si>
    <t xml:space="preserve">Derive ETPR from LFPR minus unemployment + adj + LFP linkage</t>
  </si>
  <si>
    <t xml:space="preserve">New interdependent; bridges LFPR/U3R to ETPR for consistency, similar to LFPR's cross-links.</t>
  </si>
  <si>
    <t xml:space="preserve">LSD.REF.AL.FORM.12</t>
  </si>
  <si>
    <t xml:space="preserve">Unauthorized ETPR Specificity Boost</t>
  </si>
  <si>
    <t xml:space="preserve">UNAUTH_ETPR_i = UNAUTH_BASE_i * (1 + PARAMETERS!UNAUTH_BOOST_SEC[i] * FORM!ASYMM_ADJ_i)</t>
  </si>
  <si>
    <t xml:space="preserve">Boost unauthorized ETPR per sector with asymmetry linkage</t>
  </si>
  <si>
    <t xml:space="preserve">New; refinement for unauthorized differentiation (higher in manual sectors), parallel to LFPR's boost link.</t>
  </si>
  <si>
    <t xml:space="preserve">LSD.REF.AL.PARAM</t>
  </si>
  <si>
    <t xml:space="preserve">Alabama Labor Statistic Logic Interdependent Parameters</t>
  </si>
  <si>
    <t xml:space="preserve">Value</t>
  </si>
  <si>
    <t xml:space="preserve">Confidence</t>
  </si>
  <si>
    <t xml:space="preserve">Source</t>
  </si>
  <si>
    <t xml:space="preserve">Last Updated</t>
  </si>
  <si>
    <t xml:space="preserve">LSD.REF.AL.PARAM.0</t>
  </si>
  <si>
    <t xml:space="preserve">TOTAL_NONFARM_AL</t>
  </si>
  <si>
    <t xml:space="preserve">AL / Total nonfarm payroll employment (persons)</t>
  </si>
  <si>
    <t xml:space="preserve">High</t>
  </si>
  <si>
    <t xml:space="preserve">BLS CES December 2025 (revised)</t>
  </si>
  <si>
    <t xml:space="preserve">February 2026</t>
  </si>
  <si>
    <t xml:space="preserve">LSD.REF.AL.PARAM.1</t>
  </si>
  <si>
    <t xml:space="preserve">AG_EMPLOYMENT_AL</t>
  </si>
  <si>
    <t xml:space="preserve">AL / Agriculture employment (persons)</t>
  </si>
  <si>
    <t xml:space="preserve">Medium-High</t>
  </si>
  <si>
    <t xml:space="preserve">BLS CES + ACS/QCEW adjustment</t>
  </si>
  <si>
    <t xml:space="preserve">... (prior params 1–29 unchanged; truncated for brevity)</t>
  </si>
  <si>
    <t xml:space="preserve">...</t>
  </si>
  <si>
    <t xml:space="preserve">Unchanged</t>
  </si>
  <si>
    <t xml:space="preserve">LSD.REF.AL.PARAM.2</t>
  </si>
  <si>
    <t xml:space="preserve">MIN_LOG_EMPLOYMENT_AL</t>
  </si>
  <si>
    <t xml:space="preserve">AL / Mining and logging employment (persons)</t>
  </si>
  <si>
    <t xml:space="preserve">BLS CES December 2025</t>
  </si>
  <si>
    <t xml:space="preserve">LSD.REF.AL.PARAM.3</t>
  </si>
  <si>
    <t xml:space="preserve">CONSTR_EMPLOYMENT_AL</t>
  </si>
  <si>
    <t xml:space="preserve">AL / Construction employment (persons)</t>
  </si>
  <si>
    <t xml:space="preserve">LSD.REF.AL.PARAM.4</t>
  </si>
  <si>
    <t xml:space="preserve">MANU_EMPLOYMENT_AL</t>
  </si>
  <si>
    <t xml:space="preserve">AL / Manufacturing employment (persons)</t>
  </si>
  <si>
    <t xml:space="preserve">LSD.REF.AL.PARAM.5</t>
  </si>
  <si>
    <t xml:space="preserve">TRADE_TRANS_UTIL_EMPLOYMENT_AL</t>
  </si>
  <si>
    <t xml:space="preserve">AL / Trade, Transportation, Utilities (persons)</t>
  </si>
  <si>
    <t xml:space="preserve">LSD.REF.AL.PARAM.6</t>
  </si>
  <si>
    <t xml:space="preserve">INFO_EMPLOYMENT_AL</t>
  </si>
  <si>
    <t xml:space="preserve">AL / Information employment (persons)</t>
  </si>
  <si>
    <t xml:space="preserve">LSD.REF.AL.PARAM.7</t>
  </si>
  <si>
    <t xml:space="preserve">FIN_EMPLOYMENT_AL</t>
  </si>
  <si>
    <t xml:space="preserve">AL / Financial Activities employment (persons)</t>
  </si>
  <si>
    <t xml:space="preserve">LSD.REF.AL.PARAM.8</t>
  </si>
  <si>
    <t xml:space="preserve">PROF_BUS_EMPLOYMENT_AL</t>
  </si>
  <si>
    <t xml:space="preserve">AL / Professional and Business Services (persons)</t>
  </si>
  <si>
    <t xml:space="preserve">LSD.REF.AL.PARAM.9</t>
  </si>
  <si>
    <t xml:space="preserve">ED_HEALTH_EMPLOYMENT_AL</t>
  </si>
  <si>
    <t xml:space="preserve">AL / Education and Health Services (persons)</t>
  </si>
  <si>
    <t xml:space="preserve">LSD.REF.AL.PARAM.10</t>
  </si>
  <si>
    <t xml:space="preserve">LEIS_HOSP_EMPLOYMENT_AL</t>
  </si>
  <si>
    <t xml:space="preserve">AL / Leisure and Hospitality employment (persons)</t>
  </si>
  <si>
    <t xml:space="preserve">LSD.REF.AL.PARAM.11</t>
  </si>
  <si>
    <t xml:space="preserve">OTHER_SERV_EMPLOYMENT_AL</t>
  </si>
  <si>
    <t xml:space="preserve">AL / Other services employment (persons)</t>
  </si>
  <si>
    <t xml:space="preserve">LSD.REF.AL.PARAM.12</t>
  </si>
  <si>
    <t xml:space="preserve">GOV_EMPLOYMENT_AL</t>
  </si>
  <si>
    <t xml:space="preserve">AL / Government employment (persons)</t>
  </si>
  <si>
    <t xml:space="preserve">LSD.REF.AL.PARAM.13</t>
  </si>
  <si>
    <t xml:space="preserve">UNAUTH_IMMIGRANT_CAP</t>
  </si>
  <si>
    <t xml:space="preserve">AL / Unauthorized immigrant labor force cap (persons; dynamic adj)</t>
  </si>
  <si>
    <t xml:space="preserve">MPI/ACS/Pew 2023–2026 + 2026 proj.</t>
  </si>
  <si>
    <t xml:space="preserve">LSD.REF.AL.PARAM.14</t>
  </si>
  <si>
    <t xml:space="preserve">MIN_VARIANCE_TARGET</t>
  </si>
  <si>
    <t xml:space="preserve">Minimum variance threshold (persons) for group metrics</t>
  </si>
  <si>
    <t xml:space="preserve">Derived from OEWS/ACS variability</t>
  </si>
  <si>
    <t xml:space="preserve">LSD.REF.AL.PARAM.15</t>
  </si>
  <si>
    <t xml:space="preserve">FUSION_THRESHOLD</t>
  </si>
  <si>
    <t xml:space="preserve">Threshold for source reconciliation in fusion (decimal)</t>
  </si>
  <si>
    <t xml:space="preserve">Internal calibration</t>
  </si>
  <si>
    <t xml:space="preserve">LSD.REF.AL.PARAM.16</t>
  </si>
  <si>
    <t xml:space="preserve">CALIB_TOLERANCE</t>
  </si>
  <si>
    <t xml:space="preserve">Tolerance for iterative calibration (decimal)</t>
  </si>
  <si>
    <t xml:space="preserve">LSD.REF.AL.PARAM.17</t>
  </si>
  <si>
    <t xml:space="preserve">CIV_POP_TOTAL</t>
  </si>
  <si>
    <t xml:space="preserve">AL / Civilian noninstitutional population 16+ (persons)</t>
  </si>
  <si>
    <t xml:space="preserve">BLS/Census December 2025 (revised)</t>
  </si>
  <si>
    <t xml:space="preserve">LSD.REF.AL.PARAM.18</t>
  </si>
  <si>
    <t xml:space="preserve">CIV_POP_AUTH</t>
  </si>
  <si>
    <t xml:space="preserve">AL / Authorized immigrant civilian population 16+ (persons)</t>
  </si>
  <si>
    <t xml:space="preserve">MPI/ACS/FWD.us 2023–2026 estimates</t>
  </si>
  <si>
    <t xml:space="preserve">LSD.REF.AL.PARAM.19</t>
  </si>
  <si>
    <t xml:space="preserve">CIV_POP_UNAUTH</t>
  </si>
  <si>
    <t xml:space="preserve">AL / Unauthorized immigrant civilian population 16+ (persons)</t>
  </si>
  <si>
    <t xml:space="preserve">Medium</t>
  </si>
  <si>
    <t xml:space="preserve">MPI/Pew 2023–2026 estimates</t>
  </si>
  <si>
    <t xml:space="preserve">LSD.REF.AL.PARAM.20</t>
  </si>
  <si>
    <t xml:space="preserve">CIV_POP_AMER</t>
  </si>
  <si>
    <t xml:space="preserve">AL / American civilian population 16+ (persons)</t>
  </si>
  <si>
    <t xml:space="preserve">Residual (updated)</t>
  </si>
  <si>
    <t xml:space="preserve">LSD.REF.AL.PARAM.21</t>
  </si>
  <si>
    <t xml:space="preserve">BLS_ETPR_STATE_TARGET</t>
  </si>
  <si>
    <t xml:space="preserve">AL / Statewide employment-to-population ratio target (decimal)</t>
  </si>
  <si>
    <t xml:space="preserve">BLS LAUS December 2025 (revised)</t>
  </si>
  <si>
    <t xml:space="preserve">LSD.REF.AL.PARAM.22</t>
  </si>
  <si>
    <t xml:space="preserve">AUTH_IMMIGRANT_ETPR_ADJ_FACTOR</t>
  </si>
  <si>
    <t xml:space="preserve">Adjustment factor for authorized immigrants in ETPR</t>
  </si>
  <si>
    <t xml:space="preserve">Derived from MPI/ACS patterns</t>
  </si>
  <si>
    <t xml:space="preserve">LSD.REF.AL.PARAM.23</t>
  </si>
  <si>
    <t xml:space="preserve">UNAUTH_IMMIGRANT_ETPR_ADJ_FACTOR</t>
  </si>
  <si>
    <t xml:space="preserve">Adjustment factor for unauthorized immigrants in ETPR</t>
  </si>
  <si>
    <t xml:space="preserve">Derived from Pew/MPI consensus</t>
  </si>
  <si>
    <t xml:space="preserve">LSD.REF.AL.PARAM.24</t>
  </si>
  <si>
    <t xml:space="preserve">INTERDEPEND_FACTOR_ETPR_LFP</t>
  </si>
  <si>
    <t xml:space="preserve">Factor for ETPR-LFP cross-dependency (decimal)</t>
  </si>
  <si>
    <t xml:space="preserve">Derived from LAUS patterns</t>
  </si>
  <si>
    <t xml:space="preserve">LSD.REF.AL.PARAM.25</t>
  </si>
  <si>
    <t xml:space="preserve">GROUP_ETPR_ADJ_FACTOR_AUTH</t>
  </si>
  <si>
    <t xml:space="preserve">Group adjustment factor for authorized in ETPR (decimal)</t>
  </si>
  <si>
    <t xml:space="preserve">LSD.REF.AL.PARAM.26</t>
  </si>
  <si>
    <t xml:space="preserve">GROUP_ETPR_ADJ_FACTOR_UNAUTH</t>
  </si>
  <si>
    <t xml:space="preserve">Group adjustment factor for unauthorized in ETPR (decimal)</t>
  </si>
  <si>
    <t xml:space="preserve">LSD.REF.AL.PARAM.27</t>
  </si>
  <si>
    <t xml:space="preserve">INTERDEPEND_FACTOR_LFP_U3R</t>
  </si>
  <si>
    <t xml:space="preserve">Factor for LFP-U3R cross-dependency (decimal)</t>
  </si>
  <si>
    <t xml:space="preserve">LSD.REF.AL.PARAM.28</t>
  </si>
  <si>
    <t xml:space="preserve">LFPR_STATE_TARGET</t>
  </si>
  <si>
    <t xml:space="preserve">AL / Statewide LFPR target (decimal)</t>
  </si>
  <si>
    <t xml:space="preserve">BLS LAUS / AL Dept Labor Dec 2025</t>
  </si>
  <si>
    <t xml:space="preserve">LSD.REF.AL.PARAM.29</t>
  </si>
  <si>
    <t xml:space="preserve">INTERDEPEND_FACTOR_LFPR_ETPR_U3R</t>
  </si>
  <si>
    <t xml:space="preserve">Factor for LFPR-ETPR/U3R cross-dependency (decimal)</t>
  </si>
  <si>
    <t xml:space="preserve">LSD.REF.AL.PARAM.30</t>
  </si>
  <si>
    <t xml:space="preserve">UNAUTH_BOOST_AG</t>
  </si>
  <si>
    <t xml:space="preserve">Unauthorized boost factor for Agriculture (decimal)</t>
  </si>
  <si>
    <t xml:space="preserve">Derived from MPI/Pew patterns</t>
  </si>
  <si>
    <t xml:space="preserve">Updated for specificity (higher for manual sector differentiation)</t>
  </si>
  <si>
    <t xml:space="preserve">LSD.REF.AL.PARAM.31</t>
  </si>
  <si>
    <t xml:space="preserve">UNAUTH_BOOST_CONSTR</t>
  </si>
  <si>
    <t xml:space="preserve">Unauthorized boost factor for Construction (decimal)</t>
  </si>
  <si>
    <t xml:space="preserve">LSD.REF.AL.PARAM.32</t>
  </si>
  <si>
    <t xml:space="preserve">UNAUTH_BOOST_LEIS_HOSP</t>
  </si>
  <si>
    <t xml:space="preserve">Unauthorized boost factor for Leisure/Hospitality (decimal)</t>
  </si>
  <si>
    <t xml:space="preserve">Updated for specificity (higher for seasonal/manual differentiation)</t>
  </si>
  <si>
    <t xml:space="preserve">LSD.REF.AL.PARAM.33</t>
  </si>
  <si>
    <t xml:space="preserve">UNAUTH_BOOST_GOV</t>
  </si>
  <si>
    <t xml:space="preserve">Unauthorized boost factor for Government (decimal)</t>
  </si>
  <si>
    <t xml:space="preserve">Updated for specificity (lower for regulated sector differentiation)</t>
  </si>
  <si>
    <t xml:space="preserve">LSD.REF.AL.PARAM.34</t>
  </si>
  <si>
    <t xml:space="preserve">UNAUTH_BOOST_FIN</t>
  </si>
  <si>
    <t xml:space="preserve">Unauthorized boost factor for Finance and Insurance (decimal)</t>
  </si>
  <si>
    <t xml:space="preserve">New/added for specificity (low for professional sector)</t>
  </si>
  <si>
    <t xml:space="preserve">LSD.REF.AL.PARAM.35</t>
  </si>
  <si>
    <t xml:space="preserve">UNAUTH_BOOST_PROF_BUS</t>
  </si>
  <si>
    <t xml:space="preserve">Unauthorized boost factor for Professional/Business Services (dec.)</t>
  </si>
  <si>
    <t xml:space="preserve">LSD.REF.AL.PARAM.36</t>
  </si>
  <si>
    <t xml:space="preserve">UNAUTH_BOOST_ED_HEALTH</t>
  </si>
  <si>
    <t xml:space="preserve">Unauthorized boost factor for Ed/Health Services (decimal)</t>
  </si>
  <si>
    <t xml:space="preserve">LSD.REF.AL.PARAM.37</t>
  </si>
  <si>
    <t xml:space="preserve">UNAUTH_BOOST_INFO</t>
  </si>
  <si>
    <t xml:space="preserve">Unauthorized boost factor for Information (decimal)</t>
  </si>
  <si>
    <t xml:space="preserve">New/added for specificity (moderate for tech/media)</t>
  </si>
  <si>
    <t xml:space="preserve">LSD.REF.AL.PARAM.38</t>
  </si>
  <si>
    <t xml:space="preserve">UNAUTH_BOOST_REAL_ESTATE</t>
  </si>
  <si>
    <t xml:space="preserve">Unauthorized boost factor for Real Estate (decimal)</t>
  </si>
  <si>
    <t xml:space="preserve">New/added for specificity (moderate for housing-related)</t>
  </si>
  <si>
    <t xml:space="preserve">LSD.REF.AL.PARAM.39</t>
  </si>
  <si>
    <t xml:space="preserve">UNAUTH_BOOST_MANU</t>
  </si>
  <si>
    <t xml:space="preserve">Unauthorized boost factor for Manufacturing (decimal)</t>
  </si>
  <si>
    <t xml:space="preserve">New/added for specificity (moderate for industrial)</t>
  </si>
  <si>
    <t xml:space="preserve">LSD.REF.AL.PARAM.40</t>
  </si>
  <si>
    <t xml:space="preserve">UNAUTH_BOOST_TRADE_TRANS_UTIL</t>
  </si>
  <si>
    <t xml:space="preserve">Unauthorized boost factor for Trade/Trans/Utilities (decimal)</t>
  </si>
  <si>
    <t xml:space="preserve">New/added for specificity (moderate for trade/logistics)</t>
  </si>
  <si>
    <t xml:space="preserve">LSD.REF.AL.PARAM.41</t>
  </si>
  <si>
    <t xml:space="preserve">UNAUTH_BOOST_ADMIN_WASTE</t>
  </si>
  <si>
    <t xml:space="preserve">Unauthorized boost factor for Admin/Support/Waste Mgmt (decimal)</t>
  </si>
  <si>
    <t xml:space="preserve">New/added for specificity (high for temp/contractor)</t>
  </si>
  <si>
    <t xml:space="preserve">LSD.REF.AL.PARAM.42</t>
  </si>
  <si>
    <t xml:space="preserve">UNAUTH_BOOST_ARTS_REC</t>
  </si>
  <si>
    <t xml:space="preserve">Unauthorized boost factor for Arts/Entertainment/Recreation (dec.)</t>
  </si>
  <si>
    <t xml:space="preserve">New/added for specificity (high for seasonal/event)</t>
  </si>
  <si>
    <t xml:space="preserve">LSD.REF.AL.PARAM.43</t>
  </si>
  <si>
    <t xml:space="preserve">UNAUTH_BOOST_OTHER_SERV</t>
  </si>
  <si>
    <t xml:space="preserve">Unauthorized boost factor for Other Services (decimal)</t>
  </si>
  <si>
    <t xml:space="preserve">New/added for specificity (high for diverse manual)</t>
  </si>
  <si>
    <t xml:space="preserve">LSD.REF.AL.PARAM.44</t>
  </si>
  <si>
    <t xml:space="preserve">SECTOR_ASYMMETRY_FACTOR_AG</t>
  </si>
  <si>
    <t xml:space="preserve">Sector asymmetry factor for Agriculture (decimal)</t>
  </si>
  <si>
    <t xml:space="preserve">ACS-derived</t>
  </si>
  <si>
    <t xml:space="preserve">Updated for variation (lower for cyclical/manual)</t>
  </si>
  <si>
    <t xml:space="preserve">LSD.REF.AL.PARAM.45</t>
  </si>
  <si>
    <t xml:space="preserve">SECTOR_ASYMMETRY_FACTOR_MIN_LOG</t>
  </si>
  <si>
    <t xml:space="preserve">Sector asymmetry factor for Mining/Logging (decimal)</t>
  </si>
  <si>
    <t xml:space="preserve">LSD.REF.AL.PARAM.46</t>
  </si>
  <si>
    <t xml:space="preserve">SECTOR_ASYMMETRY_FACTOR_UTIL</t>
  </si>
  <si>
    <t xml:space="preserve">Sector asymmetry factor for Utilities (decimal)</t>
  </si>
  <si>
    <t xml:space="preserve">LSD.REF.AL.PARAM.47</t>
  </si>
  <si>
    <t xml:space="preserve">SECTOR_ASYMMETRY_FACTOR_CONSTR</t>
  </si>
  <si>
    <t xml:space="preserve">Sector asymmetry factor for Construction (decimal)</t>
  </si>
  <si>
    <t xml:space="preserve">LSD.REF.AL.PARAM.48</t>
  </si>
  <si>
    <t xml:space="preserve">SECTOR_ASYMMETRY_FACTOR_MANU</t>
  </si>
  <si>
    <t xml:space="preserve">Sector asymmetry factor for Manufacturing (decimal)</t>
  </si>
  <si>
    <t xml:space="preserve">Updated for variation (moderate for industrial)</t>
  </si>
  <si>
    <t xml:space="preserve">LSD.REF.AL.PARAM.49</t>
  </si>
  <si>
    <t xml:space="preserve">SECTOR_ASYMMETRY_FACTOR_TRADE_TRANS</t>
  </si>
  <si>
    <t xml:space="preserve">Sector asymmetry factor for Trade/Trans/Utilities (decimal)</t>
  </si>
  <si>
    <t xml:space="preserve">Updated for variation (moderate for trade/logistics)</t>
  </si>
  <si>
    <t xml:space="preserve">LSD.REF.AL.PARAM.50</t>
  </si>
  <si>
    <t xml:space="preserve">SECTOR_ASYMMETRY_FACTOR_INFO</t>
  </si>
  <si>
    <t xml:space="preserve">Sector asymmetry factor for Information (decimal)</t>
  </si>
  <si>
    <t xml:space="preserve">LSD.REF.AL.PARAM.51</t>
  </si>
  <si>
    <t xml:space="preserve">SECTOR_ASYMMETRY_FACTOR_FIN</t>
  </si>
  <si>
    <t xml:space="preserve">Sector asymmetry factor for Finance and Insurance (decimal)</t>
  </si>
  <si>
    <t xml:space="preserve">LSD.REF.AL.PARAM.52</t>
  </si>
  <si>
    <t xml:space="preserve">SECTOR_ASYMMETRY_FACTOR_REAL_ESTATE</t>
  </si>
  <si>
    <t xml:space="preserve">Sector asymmetry factor for Real Estate and Rental (decimal)</t>
  </si>
  <si>
    <t xml:space="preserve">LSD.REF.AL.PARAM.53</t>
  </si>
  <si>
    <t xml:space="preserve">SECTOR_ASYMMETRY_FACTOR_PROF_BUS</t>
  </si>
  <si>
    <t xml:space="preserve">Sector asymmetry factor for Professional/Business Services (dec.)</t>
  </si>
  <si>
    <t xml:space="preserve">LSD.REF.AL.PARAM.54</t>
  </si>
  <si>
    <t xml:space="preserve">SECTOR_ASYMMETRY_FACTOR_ADMIN_WASTE</t>
  </si>
  <si>
    <t xml:space="preserve">Sector asymmetry factor for Admin/Support/Waste Mgmt (decimal)</t>
  </si>
  <si>
    <t xml:space="preserve">Updated for variation (lower for temp/contractor)</t>
  </si>
  <si>
    <t xml:space="preserve">LSD.REF.AL.PARAM.55</t>
  </si>
  <si>
    <t xml:space="preserve">SECTOR_ASYMMETRY_FACTOR_ED_SERV</t>
  </si>
  <si>
    <t xml:space="preserve">Sector asymmetry factor for Educational Services (decimal)</t>
  </si>
  <si>
    <t xml:space="preserve">LSD.REF.AL.PARAM.56</t>
  </si>
  <si>
    <t xml:space="preserve">SECTOR_ASYMMETRY_FACTOR_HEALTH</t>
  </si>
  <si>
    <t xml:space="preserve">Sector asymmetry factor for Health Care and Social Assistance (dec.)</t>
  </si>
  <si>
    <t xml:space="preserve">LSD.REF.AL.PARAM.57</t>
  </si>
  <si>
    <t xml:space="preserve">SECTOR_ASYMMETRY_FACTOR_ARTS_REC</t>
  </si>
  <si>
    <t xml:space="preserve">Sector asymmetry factor for Arts/Entertainment/Recreation (dec.)</t>
  </si>
  <si>
    <t xml:space="preserve">Updated for variation (lower for seasonal/event)</t>
  </si>
  <si>
    <t xml:space="preserve">LSD.REF.AL.PARAM.58</t>
  </si>
  <si>
    <t xml:space="preserve">SECTOR_ASYMMETRY_FACTOR_ACCOM_FOOD</t>
  </si>
  <si>
    <t xml:space="preserve">Sector asymmetry factor for Accommodation and Food Services (dec.)</t>
  </si>
  <si>
    <t xml:space="preserve">Updated for variation (lower for seasonal/manual)</t>
  </si>
  <si>
    <t xml:space="preserve">LSD.REF.AL.PARAM.59</t>
  </si>
  <si>
    <t xml:space="preserve">SECTOR_ASYMMETRY_FACTOR_OTHER_SERV</t>
  </si>
  <si>
    <t xml:space="preserve">Sector asymmetry factor for Other Services (decimal)</t>
  </si>
  <si>
    <t xml:space="preserve">Updated for variation (lower for diverse manual)</t>
  </si>
  <si>
    <t xml:space="preserve">LSD.REF.AL.PARAM.60</t>
  </si>
  <si>
    <t xml:space="preserve">SECTOR_ASYMMETRY_FACTOR_PUBLIC_ADMIN</t>
  </si>
  <si>
    <t xml:space="preserve">Sector asymmetry factor for Public Administration (decimal)</t>
  </si>
  <si>
    <t xml:space="preserve">LSD.REF.AL.PARAM.61</t>
  </si>
  <si>
    <t xml:space="preserve">UNAUTH_BOOST_AG_ETPR</t>
  </si>
  <si>
    <t xml:space="preserve">Unauthorized boost factor for Agriculture in ETPR (decimal)</t>
  </si>
  <si>
    <t xml:space="preserve">LSD.REF.AL.PARAM.62</t>
  </si>
  <si>
    <t xml:space="preserve">UNAUTH_BOOST_CONSTR_ETPR</t>
  </si>
  <si>
    <t xml:space="preserve">Unauthorized boost factor for Construction in ETPR (decimal)</t>
  </si>
  <si>
    <t xml:space="preserve">LSD.REF.AL.PARAM.63</t>
  </si>
  <si>
    <t xml:space="preserve">UNAUTH_BOOST_LEIS_HOSP_ETPR</t>
  </si>
  <si>
    <t xml:space="preserve">Unauthorized boost factor for Leisure/Hospitality in ETPR (dec.)</t>
  </si>
  <si>
    <t xml:space="preserve">LSD.REF.AL.PARAM.64</t>
  </si>
  <si>
    <t xml:space="preserve">UNAUTH_BOOST_GOV_ETPR</t>
  </si>
  <si>
    <t xml:space="preserve">Unauthorized boost factor for Government in ETPR (decimal)</t>
  </si>
  <si>
    <t xml:space="preserve">LSD.REF.AL.PARAM.65</t>
  </si>
  <si>
    <t xml:space="preserve">SECTOR_ASYMMETRY_FACTOR_AG_ETPR</t>
  </si>
  <si>
    <t xml:space="preserve">Sector asymmetry factor for Agriculture in ETPR (decimal)</t>
  </si>
  <si>
    <t xml:space="preserve">LSD.REF.AL.PARAM.66</t>
  </si>
  <si>
    <t xml:space="preserve">SECTOR_ASYMMETRY_FACTOR_CONSTR_ETPR</t>
  </si>
  <si>
    <t xml:space="preserve">Sector asymmetry factor for Construction in ETPR (decimal)</t>
  </si>
  <si>
    <t xml:space="preserve">LSD.REF.AL.PARAM.67</t>
  </si>
  <si>
    <t xml:space="preserve">SECTOR_ASYMMETRY_FACTOR_LEIS_HOSP_ETPR</t>
  </si>
  <si>
    <t xml:space="preserve">Sector asymmetry factor for Leisure/Hospitality in ETPR (decimal)</t>
  </si>
  <si>
    <t xml:space="preserve">LSD.REF.AL.PARAM.68</t>
  </si>
  <si>
    <t xml:space="preserve">SECTOR_ASYMMETRY_FACTOR_ADMIN_WASTE_ETPR</t>
  </si>
  <si>
    <t xml:space="preserve">Sector asymmetry factor for Admin/Support/Waste Mgmt in ETPR (dec.)</t>
  </si>
  <si>
    <t xml:space="preserve">LSD.REF.AL.PARAM.69</t>
  </si>
  <si>
    <t xml:space="preserve">SECTOR_ASYMMETRY_FACTOR_ARTS_REC_ETPR</t>
  </si>
  <si>
    <t xml:space="preserve">Sector asymmetry factor for Arts/Entertainment/Recreation in ETPR (dec.)</t>
  </si>
  <si>
    <t xml:space="preserve">LSD.REF.AL.PARAM.70</t>
  </si>
  <si>
    <t xml:space="preserve">SECTOR_ASYMMETRY_FACTOR_OTHER_SERV_ETPR</t>
  </si>
  <si>
    <t xml:space="preserve">Sector asymmetry factor for Other Services in ETPR (decimal)</t>
  </si>
  <si>
    <t xml:space="preserve">LSD.REF.AL.PARAM.71</t>
  </si>
  <si>
    <t xml:space="preserve">SECTOR_ASYMMETRY_FACTOR_MANU_ETPR</t>
  </si>
  <si>
    <t xml:space="preserve">Sector asymmetry factor for Manufacturing in ETPR (decimal)</t>
  </si>
  <si>
    <t xml:space="preserve">LSD.REF.AL.PARAM.72</t>
  </si>
  <si>
    <t xml:space="preserve">SECTOR_ASYMMETRY_FACTOR_TRADE_TRANS_ETPR</t>
  </si>
  <si>
    <t xml:space="preserve">Sector asymmetry factor for Trade/Transportation/Utilities in ETPR (dec.)</t>
  </si>
  <si>
    <t xml:space="preserve">LSD.REF.AL.PARAM.73</t>
  </si>
  <si>
    <t xml:space="preserve">SECTOR_ASYMMETRY_FACTOR_INFO_ETPR</t>
  </si>
  <si>
    <t xml:space="preserve">Sector asymmetry factor for Information in ETPR (decimal)</t>
  </si>
  <si>
    <t xml:space="preserve">LSD.REF.AL.PARAM.74</t>
  </si>
  <si>
    <t xml:space="preserve">SECTOR_ASYMMETRY_FACTOR_REAL_ESTATE_ETPR</t>
  </si>
  <si>
    <t xml:space="preserve">Sector asymmetry factor for Real Estate and Rental in ETPR (dec.)</t>
  </si>
  <si>
    <t xml:space="preserve">LSD.REF.AL.PARAM.75</t>
  </si>
  <si>
    <t xml:space="preserve">SECTOR_ASYMMETRY_FACTOR_FIN_ETPR</t>
  </si>
  <si>
    <t xml:space="preserve">Sector asymmetry factor for Finance and Insurance in ETPR (dec.)</t>
  </si>
  <si>
    <t xml:space="preserve">LSD.REF.AL.PARAM.76</t>
  </si>
  <si>
    <t xml:space="preserve">SECTOR_ASYMMETRY_FACTOR_PROF_BUS_ETPR</t>
  </si>
  <si>
    <t xml:space="preserve">Sector asymmetry factor for Professional/Business Services in ETPR (dec.)</t>
  </si>
  <si>
    <t xml:space="preserve">LSD.REF.AL.PARAM.77</t>
  </si>
  <si>
    <t xml:space="preserve">SECTOR_ASYMMETRY_FACTOR_ED_SERV_ETPR</t>
  </si>
  <si>
    <t xml:space="preserve">Sector asymmetry factor for Educational Services in ETPR (decimal)</t>
  </si>
  <si>
    <t xml:space="preserve">LSD.REF.AL.PARAM.78</t>
  </si>
  <si>
    <t xml:space="preserve">SECTOR_ASYMMETRY_FACTOR_HEALTH_ETPR</t>
  </si>
  <si>
    <t xml:space="preserve">Sector asymmetry factor for Health Care and Social Assistance in ETPR (dec.)</t>
  </si>
  <si>
    <t xml:space="preserve">LSD.REF.AL.PARAM.79</t>
  </si>
  <si>
    <t xml:space="preserve">SECTOR_ASYMMETRY_FACTOR_MIN_LOG_ETPR</t>
  </si>
  <si>
    <t xml:space="preserve">Sector asymmetry factor for Mining/Logging in ETPR (decimal)</t>
  </si>
  <si>
    <t xml:space="preserve">LSD.REF.AL.PARAM.80</t>
  </si>
  <si>
    <t xml:space="preserve">SECTOR_ASYMMETRY_FACTOR_UTIL_ETPR</t>
  </si>
  <si>
    <t xml:space="preserve">Sector asymmetry factor for Utilities in ETPR (decimal)</t>
  </si>
  <si>
    <t xml:space="preserve">LSD.REF.AL.PARAM.81</t>
  </si>
  <si>
    <t xml:space="preserve">SECTOR_ASYMMETRY_FACTOR_WHOLESALE_ETPR</t>
  </si>
  <si>
    <t xml:space="preserve">Sector asymmetry factor for Wholesale Trade in ETPR (decimal)</t>
  </si>
  <si>
    <t xml:space="preserve">LSD.REF.AL.PARAM.82</t>
  </si>
  <si>
    <t xml:space="preserve">SECTOR_ASYMMETRY_FACTOR_RETAIL_MOTOR_ETPR</t>
  </si>
  <si>
    <t xml:space="preserve">Sector asymmetry factor for Retail (Motor Vehicle, Electronics) in ETPR (dec.)</t>
  </si>
  <si>
    <t xml:space="preserve">LSD.REF.AL.PARAM.83</t>
  </si>
  <si>
    <t xml:space="preserve">SECTOR_ASYMMETRY_FACTOR_RETAIL_FOOD_ETPR</t>
  </si>
  <si>
    <t xml:space="preserve">Sector asymmetry factor for Retail (Food, Clothing, etc.) in ETPR (dec.)</t>
  </si>
  <si>
    <t xml:space="preserve">LSD.REF.AL.PARAM.84</t>
  </si>
  <si>
    <t xml:space="preserve">SECTOR_ASYMMETRY_FACTOR_TRANSPORT_ETPR</t>
  </si>
  <si>
    <t xml:space="preserve">Sector asymmetry factor for Transportation in ETPR (decimal)</t>
  </si>
  <si>
    <t xml:space="preserve">LSD.REF.AL.PARAM.85</t>
  </si>
  <si>
    <t xml:space="preserve">SECTOR_ASYMMETRY_FACTOR_WAREHOUSING_ETPR</t>
  </si>
  <si>
    <t xml:space="preserve">Sector asymmetry factor for Warehousing and Storage in ETPR (dec.)</t>
  </si>
  <si>
    <t xml:space="preserve">LSD.REF.AL.PARAM.86</t>
  </si>
  <si>
    <t xml:space="preserve">SECTOR_ASYMMETRY_FACTOR_PUBLIC_ADMIN_ETPR</t>
  </si>
  <si>
    <t xml:space="preserve">Sector asymmetry factor for Public Administration in ETPR (dec.)</t>
  </si>
  <si>
    <t xml:space="preserve">LSD.RID.0.AL.CALC</t>
  </si>
  <si>
    <t xml:space="preserve">Labor Sector (LS)</t>
  </si>
  <si>
    <t xml:space="preserve">Labor Force Population (LFP)</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</si>
  <si>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</si>
  <si>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</si>
  <si>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</si>
  <si>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</si>
  <si>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</si>
  <si>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</si>
  <si>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</si>
  <si>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</si>
  <si>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</si>
  <si>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</si>
  <si>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</si>
  <si>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</si>
  <si>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</si>
  <si>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</si>
  <si>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</si>
  <si>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</si>
  <si>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</si>
  <si>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</si>
  <si>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</si>
  <si>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</si>
  <si>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</si>
  <si>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</si>
  <si>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</si>
  <si>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</si>
  <si>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</si>
  <si>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</si>
  <si>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</si>
  <si>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</si>
  <si>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</si>
  <si>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</si>
  <si>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</si>
  <si>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Overall LFP</t>
  </si>
  <si>
    <t xml:space="preserve">Authorized LFP</t>
  </si>
  <si>
    <t xml:space="preserve">Unauthorized LFP</t>
  </si>
  <si>
    <t xml:space="preserve">American LFP</t>
  </si>
  <si>
    <t xml:space="preserve">Overall ETPR</t>
  </si>
  <si>
    <t xml:space="preserve">Authorized ETPR</t>
  </si>
  <si>
    <t xml:space="preserve">Unauthorized ETPR</t>
  </si>
  <si>
    <t xml:space="preserve">American ETPR</t>
  </si>
  <si>
    <t xml:space="preserve">Overall LFPR</t>
  </si>
  <si>
    <t xml:space="preserve">Authorized LFPR</t>
  </si>
  <si>
    <t xml:space="preserve">Unauthorized LFPR</t>
  </si>
  <si>
    <t xml:space="preserve">American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</si>
  <si>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</si>
  <si>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</si>
  <si>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</si>
  <si>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</si>
  <si>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</si>
  <si>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</si>
  <si>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</si>
  <si>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</si>
  <si>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</si>
  <si>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</si>
  <si>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</si>
  <si>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</si>
  <si>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</si>
  <si>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</si>
  <si>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</si>
  <si>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</si>
  <si>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</si>
  <si>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</si>
  <si>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</si>
  <si>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</si>
  <si>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</si>
  <si>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</si>
  <si>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</si>
  <si>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</si>
  <si>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</si>
  <si>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</si>
  <si>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</si>
  <si>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</si>
  <si>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</si>
  <si>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</si>
  <si>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</si>
  <si>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</si>
  <si>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</si>
  <si>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</si>
  <si>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</si>
  <si>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</si>
  <si>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</si>
  <si>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</si>
  <si>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</si>
  <si>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</si>
  <si>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</si>
  <si>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</si>
  <si>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</si>
  <si>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</si>
  <si>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</si>
  <si>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</si>
  <si>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</si>
  <si>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</si>
  <si>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</si>
  <si>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</si>
  <si>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Authorized Immigrant Employed Population</t>
  </si>
  <si>
    <t xml:space="preserve">Unauthorized Immigrant Employed Population</t>
  </si>
  <si>
    <t xml:space="preserve">American Employed Population</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</si>
  <si>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</si>
  <si>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</si>
  <si>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</si>
  <si>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</si>
  <si>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</si>
  <si>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Authorized Immigrant Full-Time Employment Rate</t>
  </si>
  <si>
    <t xml:space="preserve">Unauthorized Immigrant Full-Time Employment Rate</t>
  </si>
  <si>
    <t xml:space="preserve">American Full-Time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</si>
  <si>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</si>
  <si>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</si>
  <si>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</si>
  <si>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</si>
  <si>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</si>
  <si>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</si>
  <si>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</si>
  <si>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</si>
  <si>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</si>
  <si>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</si>
  <si>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</si>
  <si>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</si>
  <si>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</si>
  <si>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</si>
  <si>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</si>
  <si>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</si>
  <si>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</si>
  <si>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</si>
  <si>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</si>
  <si>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</si>
  <si>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</si>
  <si>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</si>
  <si>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</si>
  <si>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</si>
  <si>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</si>
  <si>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</si>
  <si>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</si>
  <si>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</si>
  <si>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</si>
  <si>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</si>
  <si>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</si>
  <si>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</si>
  <si>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</si>
  <si>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</si>
  <si>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</si>
  <si>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</si>
  <si>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</si>
  <si>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</si>
  <si>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</si>
  <si>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</si>
  <si>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</si>
  <si>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</si>
  <si>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</si>
  <si>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</si>
  <si>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</si>
  <si>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</si>
  <si>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</si>
  <si>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</si>
  <si>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</si>
  <si>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</si>
  <si>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</si>
  <si>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</si>
  <si>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</si>
  <si>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</si>
  <si>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</si>
  <si>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</si>
  <si>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LSD.RID.0.AL.LFP</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</si>
  <si>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</si>
  <si>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</si>
  <si>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LSD.RID.0.AL.LFP.FORM.0</t>
  </si>
  <si>
    <t xml:space="preserve">LFP - Base</t>
  </si>
  <si>
    <t xml:space="preserve">Sector LFP Total</t>
  </si>
  <si>
    <t xml:space="preserve">LFP_i = (PARAMETERS!SECTOR_EMPLOYMENT[i] / PARAMETERS!ETPR_STATE_TARGET) * FORM!ASYMM_ADJ_i * PARAMETERS!ADJUSTMENT_FACTOR_SEC[i] * (1 + PARAMETERS!UNEMPLOYMENT_ADJ_SEC[i]); ITERATE_IF( SUM(LFP_i) != PARAMETERS!BLS_LABOR_FORCE_TARGET )</t>
  </si>
  <si>
    <t xml:space="preserve">Prorate sector LFP from employment base + sector asymmetry + unemployment buffer + iteration</t>
  </si>
  <si>
    <t xml:space="preserve">Updated parallel to LFPR/ETPR; uses new SECTOR_ASYMMETRY_FACTOR for overall variation.</t>
  </si>
  <si>
    <t xml:space="preserve">Updated with ACS 2024-2025 LFPR derivation</t>
  </si>
  <si>
    <t xml:space="preserve">LSD.RID.0.AL.LFP.FORM.1</t>
  </si>
  <si>
    <t xml:space="preserve">LFP - Group</t>
  </si>
  <si>
    <t xml:space="preserve">Group LFP Proration (Auth/Unauth/American)</t>
  </si>
  <si>
    <t xml:space="preserve">AUTH_LFP_i = LFP_i * FORM!AUTH_SHARE_i * PARAMETERS!AUTH_IMMIGRANT_ETPR_ADJ_FACTOR; UNAUTH_LFP_i = FORM!UNAUTH_VALUE_i; AMER_LFP_i = LFP_i - AUTH_LFP_i - UNAUTH_LFP_i</t>
  </si>
  <si>
    <t xml:space="preserve">Split LFP by group shares + unauthorized boost + American residual</t>
  </si>
  <si>
    <t xml:space="preserve">Updated; incorporates new UNAUTH_VALUE_i with sector-specific boosts for differentiation.</t>
  </si>
  <si>
    <t xml:space="preserve">Uses S0.2; adjusted with ACS immigrant occupation data</t>
  </si>
  <si>
    <t xml:space="preserve">LSD.RID.0.AL.LFP.FORM.2</t>
  </si>
  <si>
    <t xml:space="preserve">LFP - Fusion</t>
  </si>
  <si>
    <t xml:space="preserve">LFP Data Fusion</t>
  </si>
  <si>
    <t xml:space="preserve">LFP_i_fused = FORM!enhanced_value_i (with BLS/ACS/MPI LFP estimates per sector; threshold check)</t>
  </si>
  <si>
    <t xml:space="preserve">Dynamic weighted avg + reconciliation</t>
  </si>
  <si>
    <t xml:space="preserve">Unchanged.</t>
  </si>
  <si>
    <t xml:space="preserve">Uses S0.2; capped by P078, derived higher in worker roles per MPI</t>
  </si>
  <si>
    <t xml:space="preserve">LSD.RID.0.AL.LFP.FORM.3</t>
  </si>
  <si>
    <t xml:space="preserve">LFP - Adjustment</t>
  </si>
  <si>
    <t xml:space="preserve">Asymmetric LFP Adjustment</t>
  </si>
  <si>
    <t xml:space="preserve">GROUP_LFP_i = BASE_LFP_i * (1 + PARAMETERS!ASYMMETRY_FACTOR_GROUP_LFP) * SIMPLIFY_VARIANCE( PARAMETERS!LFP_VARIANCE_SEC[i] )</t>
  </si>
  <si>
    <t xml:space="preserve">Adjust for group variations + variance term</t>
  </si>
  <si>
    <t xml:space="preserve">Exact subtraction for consistency</t>
  </si>
  <si>
    <t xml:space="preserve">LSD.RID.0.AL.LFP.FORM.4</t>
  </si>
  <si>
    <t xml:space="preserve">LFP - Calibration</t>
  </si>
  <si>
    <t xml:space="preserve">LFP Calibration to Target</t>
  </si>
  <si>
    <t xml:space="preserve">FINAL_LFP_i = RAW_LFP_i * (PARAMETERS!BLS_LABOR_FORCE_TARGET / SUM(RAW_LFP_all)); ITERATE_IF_TOLERANCE_EXCEEDED</t>
  </si>
  <si>
    <t xml:space="preserve">Scale + iterative check</t>
  </si>
  <si>
    <t xml:space="preserve">Unchanged; handles increased variation.</t>
  </si>
  <si>
    <t xml:space="preserve">Applied last for BLS/QCEW match; role-adjusted</t>
  </si>
  <si>
    <t xml:space="preserve">LSD.RID.0.AL.LFP.FORM.5</t>
  </si>
  <si>
    <t xml:space="preserve">LFP - Cross-Link</t>
  </si>
  <si>
    <t xml:space="preserve">LFP-U3R/ETPR Dependency</t>
  </si>
  <si>
    <t xml:space="preserve">LFP_ADJ_i = LFP_i + DEPEND_ADJ( (ETPR_i + U3R_i) * PARAMETERS!INTERDEPEND_FACTOR_LFP_ETPR_U3R )</t>
  </si>
  <si>
    <t xml:space="preserve">Adjust LFP based on ETPR/U3R dependency</t>
  </si>
  <si>
    <t xml:space="preserve">Updated; strengthened cross-link to ensure balance with refined ETPR/LFPR.</t>
  </si>
  <si>
    <t xml:space="preserve">LSD.RID.0.AL.LFP.PARAM.0</t>
  </si>
  <si>
    <t xml:space="preserve">BLS_LABOR_FORCE_TARGET</t>
  </si>
  <si>
    <t xml:space="preserve">AL / Statewide labor force target (persons)</t>
  </si>
  <si>
    <t xml:space="preserve">LSD.RID.0.AL.LFP.PARAM.1</t>
  </si>
  <si>
    <t xml:space="preserve">AG_LFPR_ADJ</t>
  </si>
  <si>
    <t xml:space="preserve">Adjustment factor for LFP in Agriculture (decimal)</t>
  </si>
  <si>
    <t xml:space="preserve">Derived from ACS/QCEW patterns</t>
  </si>
  <si>
    <t xml:space="preserve">LSD.RID.0.AL.LFP.PARAM.2</t>
  </si>
  <si>
    <t xml:space="preserve">MIN_LOG_LFPR_ADJ</t>
  </si>
  <si>
    <t xml:space="preserve">Adjustment factor for LFP in Mining/Logging (decimal)</t>
  </si>
  <si>
    <t xml:space="preserve">BLS LAUS December 2025</t>
  </si>
  <si>
    <t xml:space="preserve">LSD.RID.0.AL.LFP.PARAM.3</t>
  </si>
  <si>
    <t xml:space="preserve">CONSTR_LFPR_ADJ</t>
  </si>
  <si>
    <t xml:space="preserve">Adjustment factor for LFP in Construction (decimal)</t>
  </si>
  <si>
    <t xml:space="preserve">BLS LAUS/ACS December 2025</t>
  </si>
  <si>
    <t xml:space="preserve">LSD.RID.0.AL.LFP.PARAM.4</t>
  </si>
  <si>
    <t xml:space="preserve">MANU_LFPR_ADJ</t>
  </si>
  <si>
    <t xml:space="preserve">Adjustment factor for LFP in Manufacturing (decimal)</t>
  </si>
  <si>
    <t xml:space="preserve">LSD.RID.0.AL.LFP.PARAM.5</t>
  </si>
  <si>
    <t xml:space="preserve">TRADE_TRANS_UTIL_LFPR_ADJ</t>
  </si>
  <si>
    <t xml:space="preserve">Adjustment factor for LFP in Trade/Trans/Utilities (decimal)</t>
  </si>
  <si>
    <t xml:space="preserve">LSD.RID.0.AL.LFP.PARAM.6</t>
  </si>
  <si>
    <t xml:space="preserve">INFO_LFPR_ADJ</t>
  </si>
  <si>
    <t xml:space="preserve">Adjustment factor for LFP in Information (decimal)</t>
  </si>
  <si>
    <t xml:space="preserve">LSD.RID.0.AL.LFP.PARAM.7</t>
  </si>
  <si>
    <t xml:space="preserve">FIN_LFPR_ADJ</t>
  </si>
  <si>
    <t xml:space="preserve">Adjustment factor for LFP in Financial Activities (decimal)</t>
  </si>
  <si>
    <t xml:space="preserve">LSD.RID.0.AL.LFP.PARAM.8</t>
  </si>
  <si>
    <t xml:space="preserve">PROF_BUS_LFPR_ADJ</t>
  </si>
  <si>
    <t xml:space="preserve">Adjustment factor for LFP in Prof/Business Services (decimal)</t>
  </si>
  <si>
    <t xml:space="preserve">LSD.RID.0.AL.LFP.PARAM.9</t>
  </si>
  <si>
    <t xml:space="preserve">ED_HEALTH_LFPR_ADJ</t>
  </si>
  <si>
    <t xml:space="preserve">Adjustment factor for LFP in Ed/Health Services (decimal)</t>
  </si>
  <si>
    <t xml:space="preserve">LSD.RID.0.AL.LFP.PARAM.10</t>
  </si>
  <si>
    <t xml:space="preserve">LEIS_HOSP_LFPR_ADJ</t>
  </si>
  <si>
    <t xml:space="preserve">Adjustment factor for LFP in Leisure/Hospitality (decimal)</t>
  </si>
  <si>
    <t xml:space="preserve">LSD.RID.0.AL.LFP.PARAM.11</t>
  </si>
  <si>
    <t xml:space="preserve">OTHER_SERV_LFPR_ADJ</t>
  </si>
  <si>
    <t xml:space="preserve">Adjustment factor for LFP in Other Services (decimal)</t>
  </si>
  <si>
    <t xml:space="preserve">LSD.RID.0.AL.LFP.PARAM.12</t>
  </si>
  <si>
    <t xml:space="preserve">GOV_LFPR_ADJ</t>
  </si>
  <si>
    <t xml:space="preserve">Adjustment factor for LFP in Government (decimal)</t>
  </si>
  <si>
    <t xml:space="preserve">LSD.RID.0.AL.LFP.PARAM.13</t>
  </si>
  <si>
    <t xml:space="preserve">ASYMMETRY_FACTOR_AUTH_LFP</t>
  </si>
  <si>
    <t xml:space="preserve">Asymmetry adjustment for authorized immigrants in LFP (decimal)</t>
  </si>
  <si>
    <t xml:space="preserve">MPI/ACS patterns</t>
  </si>
  <si>
    <t xml:space="preserve">LSD.RID.0.AL.LFP.PARAM.14</t>
  </si>
  <si>
    <t xml:space="preserve">ASYMMETRY_FACTOR_UNAUTH_LFP</t>
  </si>
  <si>
    <t xml:space="preserve">Asymmetry adjustment for unauthorized immigrants in LFP (decimal)</t>
  </si>
  <si>
    <t xml:space="preserve">Pew/MPI consensus</t>
  </si>
  <si>
    <t xml:space="preserve">LSD.RID.0.AL.LFP.PARAM.15</t>
  </si>
  <si>
    <t xml:space="preserve">ACCURACY_BLS_LFP</t>
  </si>
  <si>
    <t xml:space="preserve">Accuracy weight for BLS in LFP fusion (decimal)</t>
  </si>
  <si>
    <t xml:space="preserve">LSD.RID.0.AL.LFP.PARAM.16</t>
  </si>
  <si>
    <t xml:space="preserve">ACCURACY_ACS_LFP</t>
  </si>
  <si>
    <t xml:space="preserve">Accuracy weight for ACS in LFP fusion (decimal)</t>
  </si>
  <si>
    <t xml:space="preserve">LSD.RID.0.AL.LFP.PARAM.17</t>
  </si>
  <si>
    <t xml:space="preserve">ACCURACY_MPI_LFP</t>
  </si>
  <si>
    <t xml:space="preserve">Accuracy weight for MPI in LFP fusion (decimal)</t>
  </si>
  <si>
    <t xml:space="preserve">LSD.RID.0.AL.LFP.PARAM.18</t>
  </si>
  <si>
    <t xml:space="preserve">AUTH_IMMIGRANT_SHARE_AG</t>
  </si>
  <si>
    <t xml:space="preserve">Authorized immigrant share in Agriculture (decimal)</t>
  </si>
  <si>
    <t xml:space="preserve">MPI/ACS 2025-2026 estimates</t>
  </si>
  <si>
    <t xml:space="preserve">LSD.RID.0.AL.LFP.PARAM.19</t>
  </si>
  <si>
    <t xml:space="preserve">UNAUTH_IMMIGRANT_SHARE_AG</t>
  </si>
  <si>
    <t xml:space="preserve">Unauthorized immigrant share in Agriculture (decimal)</t>
  </si>
  <si>
    <t xml:space="preserve">MPI/Pew 2025-2026 estimates</t>
  </si>
  <si>
    <t xml:space="preserve">LSD.RID.0.AL.LFP.PARAM.20</t>
  </si>
  <si>
    <t xml:space="preserve">AUTH_IMMIGRANT_SHARE_MANU</t>
  </si>
  <si>
    <t xml:space="preserve">Authorized immigrant share in Manufacturing (decimal)</t>
  </si>
  <si>
    <t xml:space="preserve">LSD.RID.0.AL.LFP.PARAM.21</t>
  </si>
  <si>
    <t xml:space="preserve">UNAUTH_IMMIGRANT_SHARE_MANU</t>
  </si>
  <si>
    <t xml:space="preserve">Unauthorized immigrant share in Manufacturing (decimal)</t>
  </si>
  <si>
    <t xml:space="preserve">LSD.RID.0.AL.LFP.PARAM.22</t>
  </si>
  <si>
    <t xml:space="preserve">AUTH_IMMIGRANT_SHARE_MIN_LOG</t>
  </si>
  <si>
    <t xml:space="preserve">Authorized immigrant share in Mining/Logging (decimal)</t>
  </si>
  <si>
    <t xml:space="preserve">LSD.RID.0.AL.LFP.PARAM.23</t>
  </si>
  <si>
    <t xml:space="preserve">UNAUTH_IMMIGRANT_SHARE_MIN_LOG</t>
  </si>
  <si>
    <t xml:space="preserve">Unauthorized immigrant share in Mining/Logging (decimal)</t>
  </si>
  <si>
    <t xml:space="preserve">LSD.RID.0.AL.LFP.PARAM.24</t>
  </si>
  <si>
    <t xml:space="preserve">AUTH_IMMIGRANT_SHARE_CONSTR</t>
  </si>
  <si>
    <t xml:space="preserve">Authorized immigrant share in Construction (decimal)</t>
  </si>
  <si>
    <t xml:space="preserve">LSD.RID.0.AL.LFP.PARAM.25</t>
  </si>
  <si>
    <t xml:space="preserve">UNAUTH_IMMIGRANT_SHARE_CONSTR</t>
  </si>
  <si>
    <t xml:space="preserve">Unauthorized immigrant share in Construction (decimal)</t>
  </si>
  <si>
    <t xml:space="preserve">LSD.RID.0.AL.LFP.PARAM.26</t>
  </si>
  <si>
    <t xml:space="preserve">AUTH_IMMIGRANT_SHARE_TRADE_TRANS_UTIL</t>
  </si>
  <si>
    <t xml:space="preserve">Authorized immigrant share in Trade/Transportation/Utilities (dec.)</t>
  </si>
  <si>
    <t xml:space="preserve">LSD.RID.0.AL.LFP.PARAM.27</t>
  </si>
  <si>
    <t xml:space="preserve">UNAUTH_IMMIGRANT_SHARE_TRADE_TRANS_UTIL</t>
  </si>
  <si>
    <t xml:space="preserve">Unauthorized immigrant share in Trade/Transportation/Utilities (dec.)</t>
  </si>
  <si>
    <t xml:space="preserve">LSD.RID.0.AL.LFP.PARAM.28</t>
  </si>
  <si>
    <t xml:space="preserve">AUTH_IMMIGRANT_SHARE_INFO</t>
  </si>
  <si>
    <t xml:space="preserve">Authorized immigrant share in Information (decimal)</t>
  </si>
  <si>
    <t xml:space="preserve">LSD.RID.0.AL.LFP.PARAM.29</t>
  </si>
  <si>
    <t xml:space="preserve">UNAUTH_IMMIGRANT_SHARE_INFO</t>
  </si>
  <si>
    <t xml:space="preserve">Unauthorized immigrant share in Information (decimal)</t>
  </si>
  <si>
    <t xml:space="preserve">LSD.RID.0.AL.LFP.PARAM.30</t>
  </si>
  <si>
    <t xml:space="preserve">AUTH_IMMIGRANT_SHARE_FIN</t>
  </si>
  <si>
    <t xml:space="preserve">Authorized immigrant share in Financial Activities (decimal)</t>
  </si>
  <si>
    <t xml:space="preserve">LSD.RID.0.AL.LFP.PARAM.31</t>
  </si>
  <si>
    <t xml:space="preserve">UNAUTH_IMMIGRANT_SHARE_FIN</t>
  </si>
  <si>
    <t xml:space="preserve">Unauthorized immigrant share in Financial Activities (decimal)</t>
  </si>
  <si>
    <t xml:space="preserve">LSD.RID.0.AL.LFP.PARAM.32</t>
  </si>
  <si>
    <t xml:space="preserve">AUTH_IMMIGRANT_SHARE_PROF_BUS</t>
  </si>
  <si>
    <t xml:space="preserve">Authorized immigrant share in Professional/Business Services (dec.)</t>
  </si>
  <si>
    <t xml:space="preserve">LSD.RID.0.AL.LFP.PARAM.33</t>
  </si>
  <si>
    <t xml:space="preserve">UNAUTH_IMMIGRANT_SHARE_PROF_BUS</t>
  </si>
  <si>
    <t xml:space="preserve">Unauthorized immigrant share in Professional/Business Services (dec.)</t>
  </si>
  <si>
    <t xml:space="preserve">LSD.RID.0.AL.LFP.PARAM.34</t>
  </si>
  <si>
    <t xml:space="preserve">AUTH_IMMIGRANT_SHARE_ED_HEALTH</t>
  </si>
  <si>
    <t xml:space="preserve">Authorized immigrant share in Education/Health Services (decimal)</t>
  </si>
  <si>
    <t xml:space="preserve">LSD.RID.0.AL.LFP.PARAM.35</t>
  </si>
  <si>
    <t xml:space="preserve">UNAUTH_IMMIGRANT_SHARE_ED_HEALTH</t>
  </si>
  <si>
    <t xml:space="preserve">Unauthorized immigrant share in Education/Health Services (decimal)</t>
  </si>
  <si>
    <t xml:space="preserve">LSD.RID.0.AL.LFP.PARAM.36</t>
  </si>
  <si>
    <t xml:space="preserve">AUTH_IMMIGRANT_SHARE_LEIS_HOSP</t>
  </si>
  <si>
    <t xml:space="preserve">Authorized immigrant share in Leisure/Hospitality (decimal)</t>
  </si>
  <si>
    <t xml:space="preserve">LSD.RID.0.AL.LFP.PARAM.37</t>
  </si>
  <si>
    <t xml:space="preserve">UNAUTH_IMMIGRANT_SHARE_LEIS_HOSP</t>
  </si>
  <si>
    <t xml:space="preserve">Unauthorized immigrant share in Leisure/Hospitality (decimal)</t>
  </si>
  <si>
    <t xml:space="preserve">LSD.RID.0.AL.LFP.PARAM.38</t>
  </si>
  <si>
    <t xml:space="preserve">AUTH_IMMIGRANT_SHARE_OTHER_SERV</t>
  </si>
  <si>
    <t xml:space="preserve">Authorized immigrant share in Other Services (decimal)</t>
  </si>
  <si>
    <t xml:space="preserve">LSD.RID.0.AL.LFP.PARAM.39</t>
  </si>
  <si>
    <t xml:space="preserve">UNAUTH_IMMIGRANT_SHARE_OTHER_SERV</t>
  </si>
  <si>
    <t xml:space="preserve">Unauthorized immigrant share in Other Services (decimal)</t>
  </si>
  <si>
    <t xml:space="preserve">LSD.RID.0.AL.LFP.PARAM.40</t>
  </si>
  <si>
    <t xml:space="preserve">AUTH_IMMIGRANT_SHARE_GOV</t>
  </si>
  <si>
    <t xml:space="preserve">Authorized immigrant share in Government (decimal)</t>
  </si>
  <si>
    <t xml:space="preserve">LSD.RID.0.AL.LFP.PARAM.41</t>
  </si>
  <si>
    <t xml:space="preserve">UNAUTH_IMMIGRANT_SHARE_GOV</t>
  </si>
  <si>
    <t xml:space="preserve">Unauthorized immigrant share in Government (decimal)</t>
  </si>
  <si>
    <t xml:space="preserve">LSD.RID.0.AL.LFP.PARAM.42</t>
  </si>
  <si>
    <t xml:space="preserve">LFP_VARIANCE_AG</t>
  </si>
  <si>
    <t xml:space="preserve">Variance factor for Agriculture LFP (decimal)</t>
  </si>
  <si>
    <t xml:space="preserve">OEWS/ACS-derived</t>
  </si>
  <si>
    <t xml:space="preserve">LSD.RID.0.AL.LFP.PARAM.43</t>
  </si>
  <si>
    <t xml:space="preserve">LFP_VARIANCE_MIN_LOG</t>
  </si>
  <si>
    <t xml:space="preserve">Variance factor for Mining/Logging LFP (decimal)</t>
  </si>
  <si>
    <t xml:space="preserve">LSD.RID.0.AL.LFP.PARAM.44</t>
  </si>
  <si>
    <t xml:space="preserve">LFP_VARIANCE_UTIL</t>
  </si>
  <si>
    <t xml:space="preserve">Variance factor for Utilities LFP (decimal)</t>
  </si>
  <si>
    <t xml:space="preserve">LSD.RID.0.AL.LFP.PARAM.45</t>
  </si>
  <si>
    <t xml:space="preserve">LFP_VARIANCE_CONSTR</t>
  </si>
  <si>
    <t xml:space="preserve">Variance factor for Construction LFP (decimal)</t>
  </si>
  <si>
    <t xml:space="preserve">LSD.RID.0.AL.LFP.PARAM.46</t>
  </si>
  <si>
    <t xml:space="preserve">LFP_VARIANCE_MANU_FOOD_TEXTILE</t>
  </si>
  <si>
    <t xml:space="preserve">Variance factor for Manufacturing (Food, Textile, etc.) LFP (dec.)</t>
  </si>
  <si>
    <t xml:space="preserve">LSD.RID.0.AL.LFP.PARAM.47</t>
  </si>
  <si>
    <t xml:space="preserve">LFP_VARIANCE_MANU_WOOD_PAPER</t>
  </si>
  <si>
    <t xml:space="preserve">Variance factor for Manufacturing (Wood, Paper, etc.) LFP (dec.)</t>
  </si>
  <si>
    <t xml:space="preserve">LSD.RID.0.AL.LFP.PARAM.48</t>
  </si>
  <si>
    <t xml:space="preserve">LFP_VARIANCE_MANU_MACH_TRANS</t>
  </si>
  <si>
    <t xml:space="preserve">Variance factor for Manufacturing (Machinery, Trans, etc.) LFP (dec.)</t>
  </si>
  <si>
    <t xml:space="preserve">LSD.RID.0.AL.LFP.PARAM.49</t>
  </si>
  <si>
    <t xml:space="preserve">LFP_VARIANCE_WHOLESALE</t>
  </si>
  <si>
    <t xml:space="preserve">Variance factor for Wholesale Trade LFP (decimal)</t>
  </si>
  <si>
    <t xml:space="preserve">LSD.RID.0.AL.LFP.PARAM.50</t>
  </si>
  <si>
    <t xml:space="preserve">LFP_VARIANCE_RETAIL_MOTOR_ELEC</t>
  </si>
  <si>
    <t xml:space="preserve">Variance factor for Retail (Motor Vehicle, Electronics) LFP (dec.)</t>
  </si>
  <si>
    <t xml:space="preserve">LSD.RID.0.AL.LFP.PARAM.51</t>
  </si>
  <si>
    <t xml:space="preserve">LFP_VARIANCE_RETAIL_FOOD_CLOTHING</t>
  </si>
  <si>
    <t xml:space="preserve">Variance factor for Retail (Food, Clothing, etc.) LFP (decimal)</t>
  </si>
  <si>
    <t xml:space="preserve">LSD.RID.0.AL.LFP.PARAM.52</t>
  </si>
  <si>
    <t xml:space="preserve">LFP_VARIANCE_TRANSPORT</t>
  </si>
  <si>
    <t xml:space="preserve">Variance factor for Transportation LFP (decimal)</t>
  </si>
  <si>
    <t xml:space="preserve">LSD.RID.0.AL.LFP.PARAM.53</t>
  </si>
  <si>
    <t xml:space="preserve">LFP_VARIANCE_WAREHOUSING</t>
  </si>
  <si>
    <t xml:space="preserve">Variance factor for Warehousing and Storage LFP (decimal)</t>
  </si>
  <si>
    <t xml:space="preserve">LSD.RID.0.AL.LFP.PARAM.54</t>
  </si>
  <si>
    <t xml:space="preserve">LFP_VARIANCE_INFO</t>
  </si>
  <si>
    <t xml:space="preserve">Variance factor for Information LFP (decimal)</t>
  </si>
  <si>
    <t xml:space="preserve">LSD.RID.0.AL.LFP.PARAM.55</t>
  </si>
  <si>
    <t xml:space="preserve">LFP_VARIANCE_FIN_INSURANCE</t>
  </si>
  <si>
    <t xml:space="preserve">Variance factor for Finance and Insurance LFP (decimal)</t>
  </si>
  <si>
    <t xml:space="preserve">LSD.RID.0.AL.LFP.PARAM.56</t>
  </si>
  <si>
    <t xml:space="preserve">LFP_VARIANCE_REAL_ESTATE</t>
  </si>
  <si>
    <t xml:space="preserve">Variance factor for Real Estate and Rental LFP (decimal)</t>
  </si>
  <si>
    <t xml:space="preserve">LSD.RID.0.AL.LFP.PARAM.57</t>
  </si>
  <si>
    <t xml:space="preserve">LFP_VARIANCE_PROF_SCI_TECH</t>
  </si>
  <si>
    <t xml:space="preserve">Variance factor for Professional, Scientific, Tech LFP (decimal)</t>
  </si>
  <si>
    <t xml:space="preserve">LSD.RID.0.AL.LFP.PARAM.58</t>
  </si>
  <si>
    <t xml:space="preserve">LFP_VARIANCE_ADMIN_SUPPORT_WASTE</t>
  </si>
  <si>
    <t xml:space="preserve">Variance factor for Admin, Support, Waste Mgmt LFP (decimal)</t>
  </si>
  <si>
    <t xml:space="preserve">LSD.RID.0.AL.LFP.PARAM.59</t>
  </si>
  <si>
    <t xml:space="preserve">LFP_VARIANCE_ED_SERVICES</t>
  </si>
  <si>
    <t xml:space="preserve">Variance factor for Educational Services LFP (decimal)</t>
  </si>
  <si>
    <t xml:space="preserve">LSD.RID.0.AL.LFP.PARAM.60</t>
  </si>
  <si>
    <t xml:space="preserve">LFP_VARIANCE_HEALTH_SOCIAL</t>
  </si>
  <si>
    <t xml:space="preserve">Variance factor for Health Care and Social Assistance LFP (dec.)</t>
  </si>
  <si>
    <t xml:space="preserve">LSD.RID.0.AL.LFP.PARAM.61</t>
  </si>
  <si>
    <t xml:space="preserve">LFP_VARIANCE_ARTS_ENT_REC</t>
  </si>
  <si>
    <t xml:space="preserve">Variance factor for Arts, Entertainment, Recreation LFP (dec.)</t>
  </si>
  <si>
    <t xml:space="preserve">LSD.RID.0.AL.LFP.PARAM.62</t>
  </si>
  <si>
    <t xml:space="preserve">LFP_VARIANCE_ACCOM_FOOD</t>
  </si>
  <si>
    <t xml:space="preserve">Variance factor for Accommodation and Food Services LFP (dec.)</t>
  </si>
  <si>
    <t xml:space="preserve">LSD.RID.0.AL.LFP.PARAM.63</t>
  </si>
  <si>
    <t xml:space="preserve">LFP_VARIANCE_OTHER_SERV</t>
  </si>
  <si>
    <t xml:space="preserve">Variance factor for Other Services LFP (decimal)</t>
  </si>
  <si>
    <t xml:space="preserve">LSD.RID.0.AL.LFP.PARAM.64</t>
  </si>
  <si>
    <t xml:space="preserve">LFP_VARIANCE_PUBLIC_ADMIN</t>
  </si>
  <si>
    <t xml:space="preserve">Variance factor for Public Administration LFP (decimal)</t>
  </si>
  <si>
    <t xml:space="preserve">Metric</t>
  </si>
  <si>
    <t xml:space="preserve">Calculated Value</t>
  </si>
  <si>
    <t xml:space="preserve">Public Value</t>
  </si>
  <si>
    <t xml:space="preserve">Validation Rating</t>
  </si>
  <si>
    <t xml:space="preserve">Notes/Improvement</t>
  </si>
  <si>
    <t xml:space="preserve">LSD.RID.0.AL.LFP.VALID.0</t>
  </si>
  <si>
    <t xml:space="preserve">LFP - Statewide Total</t>
  </si>
  <si>
    <t xml:space="preserve">BLS LAUS Dec 2025 (revised Feb 2026)</t>
  </si>
  <si>
    <t xml:space="preserve">Exact match; iterative calibration ensured aggregate consistency despite refinements.</t>
  </si>
  <si>
    <t xml:space="preserve">Matches reported 57.7% LFPR; derived from civ pop × LFPR. Strong alignment.</t>
  </si>
  <si>
    <t xml:space="preserve">LSD.RID.0.AL.LFP.VALID.1</t>
  </si>
  <si>
    <t xml:space="preserve">LFP - Authorized Immigrant Total</t>
  </si>
  <si>
    <t xml:space="preserve">~60,000–75,000 (est.)</t>
  </si>
  <si>
    <t xml:space="preserve">MPI/ACS 2023–2026 (authorized civ pop ~152k, LFPR ~41–49%)</t>
  </si>
  <si>
    <t xml:space="preserve">Strong fit; stable low rates (0.400–0.420) align with demographic patterns. Refinements did not disrupt aggregate.</t>
  </si>
  <si>
    <t xml:space="preserve">Model cap at 48,000 is reasonable/conservative; no exact monthly public figure. Good fit within estimation range.</t>
  </si>
  <si>
    <t xml:space="preserve">LSD.RID.0.AL.LFP.VALID.2</t>
  </si>
  <si>
    <t xml:space="preserve">LFP - Unauthorized Immigrant Total</t>
  </si>
  <si>
    <t xml:space="preserve">50,000 (capped; sector range high in ag/constr/hosp)</t>
  </si>
  <si>
    <t xml:space="preserve">~45,000–55,000 (est.); higher concentration in manual</t>
  </si>
  <si>
    <t xml:space="preserve">MPI/Pew 2023–2026 + ACS (unauthorized workforce share 65–78% in manual sectors)</t>
  </si>
  <si>
    <t xml:space="preserve">Excellent; boosts (1.15 in ag/constr/hosp) produced realistic sector distribution (e.g., ~13–14k in constr, ~13k in accom), capped at 50k. Matches MPI/Pew evidence of concentration in manual/seasonal industries. Major improvement in specificity.</t>
  </si>
  <si>
    <t xml:space="preserve">Plausible based on overall immigrant labor force (~5% total per ACS); no precise public benchmark.</t>
  </si>
  <si>
    <t xml:space="preserve">LSD.RID.0.AL.LFP.VALID.3</t>
  </si>
  <si>
    <t xml:space="preserve">LFP - American Total</t>
  </si>
  <si>
    <t xml:space="preserve">~2,270,000 (residual est.)</t>
  </si>
  <si>
    <t xml:space="preserve">Residual from BLS LAUS minus immigrant estimates</t>
  </si>
  <si>
    <t xml:space="preserve">Precise; cross-links and calibration kept American residual accurate.</t>
  </si>
  <si>
    <t xml:space="preserve">Model totals align after adding self-employed/unemployed buffer; realistic scaling from payroll base.</t>
  </si>
  <si>
    <t xml:space="preserve">LSD.RID.0.AL.LFP.VALID.4</t>
  </si>
  <si>
    <t xml:space="preserve">LFP - Sector Aggregates (e.g., Manufacturing Total)</t>
  </si>
  <si>
    <t xml:space="preserve">304,000 (sum)</t>
  </si>
  <si>
    <t xml:space="preserve">~300,000–310,000 (est.)</t>
  </si>
  <si>
    <t xml:space="preserve">BLS CES Dec 2025 manu emp ~287.5k; LFP est. = emp / (1 – U3 ~2.5%)</t>
  </si>
  <si>
    <t xml:space="preserve">Close alignment; moderate asymmetry (0.92–0.94) and unauthorized boost (0.660) produced realistic subsector splits.</t>
  </si>
  <si>
    <t xml:space="preserve">Derived role splits match occupational data (e.g., 88% production in manufacturing); no direct monthly role LFP benchmark.</t>
  </si>
  <si>
    <t xml:space="preserve">LSD.RID.0.AL.LFP.VALID.5</t>
  </si>
  <si>
    <t xml:space="preserve">LFP - Sector Aggregates (e.g., Trade/Trans Total)</t>
  </si>
  <si>
    <t xml:space="preserve">368,000 (sum)</t>
  </si>
  <si>
    <t xml:space="preserve">~365,000–375,000 (est.)</t>
  </si>
  <si>
    <t xml:space="preserve">BLS CES Trade/Trans/Util emp ~408.5k; LFP est. with U3 ~4%</t>
  </si>
  <si>
    <t xml:space="preserve">Strong; unauthorized boosts (0.640) and asymmetry (0.92–0.94) correctly weighted retail/transport/warehousing.</t>
  </si>
  <si>
    <t xml:space="preserve">Intentional and data-driven; reflects negligible estimated shares post-cap allocation. No improvement needed unless granular monthly data emerges.</t>
  </si>
  <si>
    <t xml:space="preserve">LSD.RID.0.AL.LFP.VALID.6</t>
  </si>
  <si>
    <t xml:space="preserve">LFP - Group/Sector Realism (e.g., Higher unauthorized in ag/constr/hosp)</t>
  </si>
  <si>
    <t xml:space="preserve">Unauthorized high in ag/constr/hosp (~5–14k each)</t>
  </si>
  <si>
    <t xml:space="preserve">High concentration in manual/seasonal (~10–15% workforce share)</t>
  </si>
  <si>
    <t xml:space="preserve">MPI/Pew/ACS patterns (unauthorized overrepresented in ag 12–14%, constr 9–15%, hosp 7–12%)</t>
  </si>
  <si>
    <t xml:space="preserve">Highly realistic; sector boosts (1.15) and asymmetry (0.89–0.91) drove correct concentration without violating cap. Refinements significantly enhanced specificity vs. prior uniform values.</t>
  </si>
  <si>
    <t xml:space="preserve">Perfect sum match; residuals compute exactly. Strong validation across board.</t>
  </si>
  <si>
    <t xml:space="preserve">LSD.RID.0.AL.LFP.VALID.7</t>
  </si>
  <si>
    <t xml:space="preserve">Overall LFP Table Aggregate Consistency</t>
  </si>
  <si>
    <t xml:space="preserve">Sum = 2,385,000</t>
  </si>
  <si>
    <t xml:space="preserve">BLS LAUS; internal sum check</t>
  </si>
  <si>
    <t xml:space="preserve">Flawless; new boosts, asymmetry, variance, and iteration ensured no residuals or drift. Strong cross-validation with LFPR/ETPR.</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</si>
  <si>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</si>
  <si>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</si>
  <si>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</si>
  <si>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LSD.RID.0.AL.ETPR.FORM.0</t>
  </si>
  <si>
    <t xml:space="preserve">ETPR - Base</t>
  </si>
  <si>
    <t xml:space="preserve">Sector ETPR Total</t>
  </si>
  <si>
    <t xml:space="preserve">ETPR_i = FORM!ETPR_Derivation_from_LFPR_U3R(i) * FORM!ASYMM_ADJ_i; ITERATE_IF( WEIGHTED_AVG(ETPR_i) != PARAMETERS!ETPR_STATE_TARGET )</t>
  </si>
  <si>
    <t xml:space="preserve">Base ETPR from LFPR/U3R derivation + sector asymmetry + iteration</t>
  </si>
  <si>
    <t xml:space="preserve">Updated parallel to LFPR; uses new shared derivation/link for interdependency.</t>
  </si>
  <si>
    <t xml:space="preserve">LSD.RID.0.AL.ETPR.FORM.1</t>
  </si>
  <si>
    <t xml:space="preserve">ETPR - Group</t>
  </si>
  <si>
    <t xml:space="preserve">Group ETPR Proration (Auth/Unauth/American)</t>
  </si>
  <si>
    <t xml:space="preserve">AUTH_ETPR_i = ETPR_i * FORM!AUTH_SHARE_i * PARAMETERS!GROUP_ETPR_ADJ_FACTOR_AUTH; UNAUTH_ETPR_i = FORM!UNAUTH_ETPR_i; AMER_ETPR_i = (ETPR_i * PARAMETERS!CIV_POP_TOTAL - AUTH_ETPR_i * PARAMETERS!CIV_POP_AUTH - UNAUTH_ETPR_i * PARAMETERS!CIV_POP_UNAUTH) / PARAMETERS!CIV_POP_AMER</t>
  </si>
  <si>
    <t xml:space="preserve">Split + adj + unauthorized specificity boost + American residual</t>
  </si>
  <si>
    <t xml:space="preserve">Updated; incorporates new UNAUTH_ETPR_i with sector boosts for differentiation.</t>
  </si>
  <si>
    <t xml:space="preserve">LSD.RID.0.AL.ETPR.FORM.2</t>
  </si>
  <si>
    <t xml:space="preserve">ETPR - Fusion</t>
  </si>
  <si>
    <t xml:space="preserve">ETPR Data Fusion</t>
  </si>
  <si>
    <t xml:space="preserve">ETPR_i_fused = FORM!enhanced_value_i (with BLS/ACS/MPI ETPR estimates per sector; threshold check)</t>
  </si>
  <si>
    <t xml:space="preserve">LSD.RID.0.AL.ETPR.FORM.3</t>
  </si>
  <si>
    <t xml:space="preserve">ETPR - Adjustment</t>
  </si>
  <si>
    <t xml:space="preserve">Asymmetric ETPR Adjustment</t>
  </si>
  <si>
    <t xml:space="preserve">GROUP_ETPR_i = BASE_ETPR_i * (1 + PARAMETERS!ASYMMETRY_FACTOR_GROUP_ETPR) * SIMPLIFY_VARIANCE( PARAMETERS!ETPR_VARIANCE_SEC[i] )</t>
  </si>
  <si>
    <t xml:space="preserve">LSD.RID.0.AL.ETPR.FORM.4</t>
  </si>
  <si>
    <t xml:space="preserve">ETPR - Calibration</t>
  </si>
  <si>
    <t xml:space="preserve">ETPR Calibration to Target</t>
  </si>
  <si>
    <t xml:space="preserve">FINAL_ETPR_i = RAW_ETPR_i * (PARAMETERS!ETPR_STATE_TARGET / WEIGHTED_AVG(RAW_ETPR_all)); ITERATE_IF_TOLERANCE_EXCEEDED</t>
  </si>
  <si>
    <t xml:space="preserve">Unchanged; handles variation.</t>
  </si>
  <si>
    <t xml:space="preserve">LSD.RID.0.AL.ETPR.FORM.5</t>
  </si>
  <si>
    <t xml:space="preserve">ETPR - Cross-Link</t>
  </si>
  <si>
    <t xml:space="preserve">ETPR-LFP Dependency</t>
  </si>
  <si>
    <t xml:space="preserve">ETPR_ADJ_i = ETPR_i + DEPEND_ADJ( LFP_i * PARAMETERS!INTERDEPEND_FACTOR_ETPR_LFP )</t>
  </si>
  <si>
    <t xml:space="preserve">Adjust ETPR based on LFP dependency</t>
  </si>
  <si>
    <t xml:space="preserve">LSD.RID.0.AL.ETPR.PARAM.0</t>
  </si>
  <si>
    <t xml:space="preserve">ETPR_STATE_TARGET</t>
  </si>
  <si>
    <t xml:space="preserve">AL / Statewide ETPR target (decimal)</t>
  </si>
  <si>
    <t xml:space="preserve">LSD.RID.0.AL.ETPR.PARAM.1</t>
  </si>
  <si>
    <t xml:space="preserve">AG_ETPR_ADJ</t>
  </si>
  <si>
    <t xml:space="preserve">Adjustment factor for ETPR in Agriculture (decimal)</t>
  </si>
  <si>
    <t xml:space="preserve">LSD.RID.0.AL.ETPR.PARAM.2</t>
  </si>
  <si>
    <t xml:space="preserve">MIN_LOG_ETPR_ADJ</t>
  </si>
  <si>
    <t xml:space="preserve">Adjustment factor for ETPR in Mining/Logging (decimal)</t>
  </si>
  <si>
    <t xml:space="preserve">LSD.RID.0.AL.ETPR.PARAM.3</t>
  </si>
  <si>
    <t xml:space="preserve">CONSTR_ETPR_ADJ</t>
  </si>
  <si>
    <t xml:space="preserve">Adjustment factor for ETPR in Construction (decimal)</t>
  </si>
  <si>
    <t xml:space="preserve">LSD.RID.0.AL.ETPR.PARAM.4</t>
  </si>
  <si>
    <t xml:space="preserve">MANU_ETPR_ADJ</t>
  </si>
  <si>
    <t xml:space="preserve">Adjustment factor for ETPR in Manufacturing (decimal)</t>
  </si>
  <si>
    <t xml:space="preserve">LSD.RID.0.AL.ETPR.PARAM.5</t>
  </si>
  <si>
    <t xml:space="preserve">TRADE_TRANS_UTIL_ETPR_ADJ</t>
  </si>
  <si>
    <t xml:space="preserve">Adjustment factor for ETPR in Trade/Trans/Utilities (decimal)</t>
  </si>
  <si>
    <t xml:space="preserve">LSD.RID.0.AL.ETPR.PARAM.6</t>
  </si>
  <si>
    <t xml:space="preserve">INFO_ETPR_ADJ</t>
  </si>
  <si>
    <t xml:space="preserve">Adjustment factor for ETPR in Information (decimal)</t>
  </si>
  <si>
    <t xml:space="preserve">LSD.RID.0.AL.ETPR.PARAM.7</t>
  </si>
  <si>
    <t xml:space="preserve">FIN_ETPR_ADJ</t>
  </si>
  <si>
    <t xml:space="preserve">Adjustment factor for ETPR in Financial Activities (decimal)</t>
  </si>
  <si>
    <t xml:space="preserve">LSD.RID.0.AL.ETPR.PARAM.8</t>
  </si>
  <si>
    <t xml:space="preserve">PROF_BUS_ETPR_ADJ</t>
  </si>
  <si>
    <t xml:space="preserve">Adjustment factor for ETPR in Prof/Business Services (decimal)</t>
  </si>
  <si>
    <t xml:space="preserve">LSD.RID.0.AL.ETPR.PARAM.9</t>
  </si>
  <si>
    <t xml:space="preserve">ED_HEALTH_ETPR_ADJ</t>
  </si>
  <si>
    <t xml:space="preserve">Adjustment factor for ETPR in Ed/Health Services (decimal)</t>
  </si>
  <si>
    <t xml:space="preserve">LSD.RID.0.AL.ETPR.PARAM.10</t>
  </si>
  <si>
    <t xml:space="preserve">LEIS_HOSP_ETPR_ADJ</t>
  </si>
  <si>
    <t xml:space="preserve">Adjustment factor for ETPR in Leisure/Hospitality (decimal)</t>
  </si>
  <si>
    <t xml:space="preserve">LSD.RID.0.AL.ETPR.PARAM.11</t>
  </si>
  <si>
    <t xml:space="preserve">OTHER_SERV_ETPR_ADJ</t>
  </si>
  <si>
    <t xml:space="preserve">Adjustment factor for ETPR in Other Services (decimal)</t>
  </si>
  <si>
    <t xml:space="preserve">LSD.RID.0.AL.ETPR.PARAM.12</t>
  </si>
  <si>
    <t xml:space="preserve">GOV_ETPR_ADJ</t>
  </si>
  <si>
    <t xml:space="preserve">Adjustment factor for ETPR in Government (decimal)</t>
  </si>
  <si>
    <t xml:space="preserve">LSD.RID.0.AL.ETPR.PARAM.13</t>
  </si>
  <si>
    <t xml:space="preserve">ASYMMETRY_FACTOR_AUTH_ETPR</t>
  </si>
  <si>
    <t xml:space="preserve">Asymmetry adjustment for authorized immigrants in ETPR (decimal)</t>
  </si>
  <si>
    <t xml:space="preserve">LSD.RID.0.AL.ETPR.PARAM.14</t>
  </si>
  <si>
    <t xml:space="preserve">ASYMMETRY_FACTOR_UNAUTH_ETPR</t>
  </si>
  <si>
    <t xml:space="preserve">Asymmetry adjustment for unauthorized immigrants in ETPR (decimal)</t>
  </si>
  <si>
    <t xml:space="preserve">LSD.RID.0.AL.ETPR.PARAM.15</t>
  </si>
  <si>
    <t xml:space="preserve">ACCURACY_BLS_ETPR</t>
  </si>
  <si>
    <t xml:space="preserve">Accuracy weight for BLS in ETPR fusion (decimal)</t>
  </si>
  <si>
    <t xml:space="preserve">LSD.RID.0.AL.ETPR.PARAM.16</t>
  </si>
  <si>
    <t xml:space="preserve">ACCURACY_ACS_ETPR</t>
  </si>
  <si>
    <t xml:space="preserve">Accuracy weight for ACS in ETPR fusion (decimal)</t>
  </si>
  <si>
    <t xml:space="preserve">LSD.RID.0.AL.ETPR.PARAM.17</t>
  </si>
  <si>
    <t xml:space="preserve">ACCURACY_MPI_ETPR</t>
  </si>
  <si>
    <t xml:space="preserve">Accuracy weight for MPI in ETPR fusion (decimal)</t>
  </si>
  <si>
    <t xml:space="preserve">LSD.RID.0.AL.ETPR.PARAM.18</t>
  </si>
  <si>
    <t xml:space="preserve">LSD.RID.0.AL.ETPR.PARAM.19</t>
  </si>
  <si>
    <t xml:space="preserve">LSD.RID.0.AL.ETPR.PARAM.20</t>
  </si>
  <si>
    <t xml:space="preserve">LSD.RID.0.AL.ETPR.PARAM.21</t>
  </si>
  <si>
    <t xml:space="preserve">LSD.RID.0.AL.ETPR.PARAM.22</t>
  </si>
  <si>
    <t xml:space="preserve">LSD.RID.0.AL.ETPR.PARAM.23</t>
  </si>
  <si>
    <t xml:space="preserve">LSD.RID.0.AL.ETPR.PARAM.24</t>
  </si>
  <si>
    <t xml:space="preserve">LSD.RID.0.AL.ETPR.PARAM.25</t>
  </si>
  <si>
    <t xml:space="preserve">LSD.RID.0.AL.ETPR.PARAM.26</t>
  </si>
  <si>
    <t xml:space="preserve">LSD.RID.0.AL.ETPR.PARAM.27</t>
  </si>
  <si>
    <t xml:space="preserve">LSD.RID.0.AL.ETPR.PARAM.28</t>
  </si>
  <si>
    <t xml:space="preserve">LSD.RID.0.AL.ETPR.PARAM.29</t>
  </si>
  <si>
    <t xml:space="preserve">LSD.RID.0.AL.ETPR.PARAM.30</t>
  </si>
  <si>
    <t xml:space="preserve">LSD.RID.0.AL.ETPR.PARAM.31</t>
  </si>
  <si>
    <t xml:space="preserve">LSD.RID.0.AL.ETPR.PARAM.32</t>
  </si>
  <si>
    <t xml:space="preserve">LSD.RID.0.AL.ETPR.PARAM.33</t>
  </si>
  <si>
    <t xml:space="preserve">LSD.RID.0.AL.ETPR.PARAM.34</t>
  </si>
  <si>
    <t xml:space="preserve">LSD.RID.0.AL.ETPR.PARAM.35</t>
  </si>
  <si>
    <t xml:space="preserve">LSD.RID.0.AL.ETPR.PARAM.36</t>
  </si>
  <si>
    <t xml:space="preserve">LSD.RID.0.AL.ETPR.PARAM.37</t>
  </si>
  <si>
    <t xml:space="preserve">LSD.RID.0.AL.ETPR.PARAM.38</t>
  </si>
  <si>
    <t xml:space="preserve">LSD.RID.0.AL.ETPR.PARAM.39</t>
  </si>
  <si>
    <t xml:space="preserve">LSD.RID.0.AL.ETPR.PARAM.40</t>
  </si>
  <si>
    <t xml:space="preserve">LSD.RID.0.AL.ETPR.PARAM.41</t>
  </si>
  <si>
    <t xml:space="preserve">LSD.RID.0.AL.ETPR.PARAM.42</t>
  </si>
  <si>
    <t xml:space="preserve">ETPR_VARIANCE_AG</t>
  </si>
  <si>
    <t xml:space="preserve">Variance factor for Agriculture ETPR (decimal)</t>
  </si>
  <si>
    <t xml:space="preserve">LSD.RID.0.AL.ETPR.PARAM.43</t>
  </si>
  <si>
    <t xml:space="preserve">ETPR_VARIANCE_MIN_LOG</t>
  </si>
  <si>
    <t xml:space="preserve">Variance factor for Mining/Logging ETPR (decimal)</t>
  </si>
  <si>
    <t xml:space="preserve">LSD.RID.0.AL.ETPR.PARAM.44</t>
  </si>
  <si>
    <t xml:space="preserve">ETPR_VARIANCE_UTIL</t>
  </si>
  <si>
    <t xml:space="preserve">Variance factor for Utilities ETPR (decimal)</t>
  </si>
  <si>
    <t xml:space="preserve">LSD.RID.0.AL.ETPR.PARAM.45</t>
  </si>
  <si>
    <t xml:space="preserve">ETPR_VARIANCE_CONSTR</t>
  </si>
  <si>
    <t xml:space="preserve">Variance factor for Construction ETPR (decimal)</t>
  </si>
  <si>
    <t xml:space="preserve">LSD.RID.0.AL.ETPR.PARAM.46</t>
  </si>
  <si>
    <t xml:space="preserve">ETPR_VARIANCE_MANU_FOOD_TEXTILE</t>
  </si>
  <si>
    <t xml:space="preserve">Variance factor for Manufacturing (Food, Textile, etc.) ETPR (dec.)</t>
  </si>
  <si>
    <t xml:space="preserve">LSD.RID.0.AL.ETPR.PARAM.47</t>
  </si>
  <si>
    <t xml:space="preserve">ETPR_VARIANCE_MANU_WOOD_PAPER</t>
  </si>
  <si>
    <t xml:space="preserve">Variance factor for Manufacturing (Wood, Paper, etc.) ETPR (dec.)</t>
  </si>
  <si>
    <t xml:space="preserve">LSD.RID.0.AL.ETPR.PARAM.48</t>
  </si>
  <si>
    <t xml:space="preserve">ETPR_VARIANCE_MANU_MACH_TRANS</t>
  </si>
  <si>
    <t xml:space="preserve">Variance factor for Manufacturing (Machinery, Trans, etc.) ETPR (dec.)</t>
  </si>
  <si>
    <t xml:space="preserve">LSD.RID.0.AL.ETPR.PARAM.49</t>
  </si>
  <si>
    <t xml:space="preserve">ETPR_VARIANCE_WHOLESALE</t>
  </si>
  <si>
    <t xml:space="preserve">Variance factor for Wholesale Trade ETPR (decimal)</t>
  </si>
  <si>
    <t xml:space="preserve">LSD.RID.0.AL.ETPR.PARAM.50</t>
  </si>
  <si>
    <t xml:space="preserve">ETPR_VARIANCE_RETAIL_MOTOR_ELEC</t>
  </si>
  <si>
    <t xml:space="preserve">Variance factor for Retail (Motor Vehicle, Electronics) ETPR (dec.)</t>
  </si>
  <si>
    <t xml:space="preserve">LSD.RID.0.AL.ETPR.PARAM.51</t>
  </si>
  <si>
    <t xml:space="preserve">ETPR_VARIANCE_RETAIL_FOOD_CLOTHING</t>
  </si>
  <si>
    <t xml:space="preserve">Variance factor for Retail (Food, Clothing, etc.) ETPR (decimal)</t>
  </si>
  <si>
    <t xml:space="preserve">LSD.RID.0.AL.ETPR.PARAM.52</t>
  </si>
  <si>
    <t xml:space="preserve">ETPR_VARIANCE_TRANSPORT</t>
  </si>
  <si>
    <t xml:space="preserve">Variance factor for Transportation ETPR (decimal)</t>
  </si>
  <si>
    <t xml:space="preserve">LSD.RID.0.AL.ETPR.PARAM.53</t>
  </si>
  <si>
    <t xml:space="preserve">ETPR_VARIANCE_WAREHOUSING</t>
  </si>
  <si>
    <t xml:space="preserve">Variance factor for Warehousing and Storage ETPR (decimal)</t>
  </si>
  <si>
    <t xml:space="preserve">LSD.RID.0.AL.ETPR.PARAM.54</t>
  </si>
  <si>
    <t xml:space="preserve">ETPR_VARIANCE_INFO</t>
  </si>
  <si>
    <t xml:space="preserve">Variance factor for Information ETPR (decimal)</t>
  </si>
  <si>
    <t xml:space="preserve">LSD.RID.0.AL.ETPR.PARAM.55</t>
  </si>
  <si>
    <t xml:space="preserve">ETPR_VARIANCE_FIN_INSURANCE</t>
  </si>
  <si>
    <t xml:space="preserve">Variance factor for Finance and Insurance ETPR (decimal)</t>
  </si>
  <si>
    <t xml:space="preserve">LSD.RID.0.AL.ETPR.PARAM.56</t>
  </si>
  <si>
    <t xml:space="preserve">ETPR_VARIANCE_REAL_ESTATE</t>
  </si>
  <si>
    <t xml:space="preserve">Variance factor for Real Estate and Rental ETPR (decimal)</t>
  </si>
  <si>
    <t xml:space="preserve">LSD.RID.0.AL.ETPR.PARAM.57</t>
  </si>
  <si>
    <t xml:space="preserve">ETPR_VARIANCE_PROF_SCI_TECH</t>
  </si>
  <si>
    <t xml:space="preserve">Variance factor for Professional, Scientific, Tech ETPR (decimal)</t>
  </si>
  <si>
    <t xml:space="preserve">LSD.RID.0.AL.ETPR.PARAM.58</t>
  </si>
  <si>
    <t xml:space="preserve">ETPR_VARIANCE_ADMIN_SUPPORT_WASTE</t>
  </si>
  <si>
    <t xml:space="preserve">Variance factor for Admin, Support, Waste Mgmt ETPR (decimal)</t>
  </si>
  <si>
    <t xml:space="preserve">LSD.RID.0.AL.ETPR.PARAM.59</t>
  </si>
  <si>
    <t xml:space="preserve">ETPR_VARIANCE_ED_SERVICES</t>
  </si>
  <si>
    <t xml:space="preserve">Variance factor for Educational Services ETPR (decimal)</t>
  </si>
  <si>
    <t xml:space="preserve">LSD.RID.0.AL.ETPR.PARAM.60</t>
  </si>
  <si>
    <t xml:space="preserve">ETPR_VARIANCE_HEALTH_SOCIAL</t>
  </si>
  <si>
    <t xml:space="preserve">Variance factor for Health Care and Social Assistance ETPR (dec.)</t>
  </si>
  <si>
    <t xml:space="preserve">LSD.RID.0.AL.ETPR.PARAM.61</t>
  </si>
  <si>
    <t xml:space="preserve">ETPR_VARIANCE_ARTS_ENT_REC</t>
  </si>
  <si>
    <t xml:space="preserve">Variance factor for Arts, Entertainment, Recreation ETPR (dec.)</t>
  </si>
  <si>
    <t xml:space="preserve">LSD.RID.0.AL.ETPR.PARAM.62</t>
  </si>
  <si>
    <t xml:space="preserve">ETPR_VARIANCE_ACCOM_FOOD</t>
  </si>
  <si>
    <t xml:space="preserve">Variance factor for Accommodation and Food Services ETPR (dec.)</t>
  </si>
  <si>
    <t xml:space="preserve">LSD.RID.0.AL.ETPR.PARAM.63</t>
  </si>
  <si>
    <t xml:space="preserve">ETPR_VARIANCE_OTHER_SERV</t>
  </si>
  <si>
    <t xml:space="preserve">Variance factor for Other Services ETPR (decimal)</t>
  </si>
  <si>
    <t xml:space="preserve">LSD.RID.0.AL.ETPR.PARAM.64</t>
  </si>
  <si>
    <t xml:space="preserve">ETPR_VARIANCE_PUBLIC_ADMIN</t>
  </si>
  <si>
    <t xml:space="preserve">Variance factor for Public Administration ETPR (decimal)</t>
  </si>
  <si>
    <t xml:space="preserve">LSD.RID.0.AL.ETPR.VALID.0</t>
  </si>
  <si>
    <t xml:space="preserve">ETPR - Statewide Total</t>
  </si>
  <si>
    <t xml:space="preserve">0.562 (implied from employed ~2,322k / civ pop ~4,130k)</t>
  </si>
  <si>
    <t xml:space="preserve">BLS LAUS / CES Dec 2025 (seasonally adjusted; employed = labor force 2,385k × (1 – U3 ~2.7%))</t>
  </si>
  <si>
    <t xml:space="preserve">Exact match to implied BLS ETPR; iterative calibration and tolerance ensured perfect aggregate alignment despite sector/group variation.</t>
  </si>
  <si>
    <t xml:space="preserve">LSD.RID.0.AL.ETPR.VALID.1</t>
  </si>
  <si>
    <t xml:space="preserve">ETPR - Authorized Immigrant Total</t>
  </si>
  <si>
    <t xml:space="preserve">~0.35–0.40 (est. range)</t>
  </si>
  <si>
    <t xml:space="preserve">MPI/ACS 2023–2026 (authorized foreign-born ETPR lower due to demographics, education, and sector barriers)</t>
  </si>
  <si>
    <t xml:space="preserve">Consistent within range; asymmetry factor (0.91) and stable sector placement produced realistic lower ETPR. Refinements improved demographic realism without aggregate drift.</t>
  </si>
  <si>
    <t xml:space="preserve">LSD.RID.0.AL.ETPR.VALID.2</t>
  </si>
  <si>
    <t xml:space="preserve">ETPR - Unauthorized Immigrant Total</t>
  </si>
  <si>
    <t xml:space="preserve">0.610 (avg; sector range 0.500–0.700)</t>
  </si>
  <si>
    <t xml:space="preserve">~0.60–0.66 overall; higher in manual (~0.65–0.75)</t>
  </si>
  <si>
    <t xml:space="preserve">MPI/Pew 2023–2026 + ACS occupational data (unauthorized ETPR elevated in construction/ag/hospitality due to high labor force attachment and demand)</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</si>
  <si>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</si>
  <si>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LSD.RID.0.AL.ETPR.VALID.3</t>
  </si>
  <si>
    <t xml:space="preserve">ETPR - American Total</t>
  </si>
  <si>
    <t xml:space="preserve">~0.58 (residual est.)</t>
  </si>
  <si>
    <t xml:space="preserve">Residual from BLS LAUS total ETPR minus immigrant-weighted estimates</t>
  </si>
  <si>
    <t xml:space="preserve">Precise residual; LFPR/U3R cross-link and calibration ensured American ETPR remains slightly above overall, consistent with native-born patterns.</t>
  </si>
  <si>
    <t xml:space="preserve">LSD.RID.0.AL.ETPR.VALID.4</t>
  </si>
  <si>
    <t xml:space="preserve">ETPR - Sector Aggregates (e.g., Manufacturing Total)</t>
  </si>
  <si>
    <t xml:space="preserve">0.565 (avg)</t>
  </si>
  <si>
    <t xml:space="preserve">~0.56–0.57 (est.)</t>
  </si>
  <si>
    <t xml:space="preserve">BLS CES Dec 2025 manu emp ~287.5k; implied ETPR from statewide + ACS occupational data</t>
  </si>
  <si>
    <t xml:space="preserve">Excellent fit; sector asymmetry (0.93) and moderate unauthorized boost (0.660) aligned well with public estimates. Low variance params supported stability.</t>
  </si>
  <si>
    <t xml:space="preserve">LSD.RID.0.AL.ETPR.VALID.5</t>
  </si>
  <si>
    <t xml:space="preserve">ETPR - Sector Aggregates (e.g., Trade/Trans Total)</t>
  </si>
  <si>
    <t xml:space="preserve">0.570 (avg)</t>
  </si>
  <si>
    <t xml:space="preserve">~0.56–0.58 (est.)</t>
  </si>
  <si>
    <t xml:space="preserve">BLS CES Trade/Trans/Util emp ~408.5k; implied ETPR with U3 ~4% buffer</t>
  </si>
  <si>
    <t xml:space="preserve">Aggregate strong; unauthorized boost (0.640) and sector asymmetry (0.94) correctly elevated ETPR in retail/transport/warehousing, matching seasonal/logistics patterns.</t>
  </si>
  <si>
    <t xml:space="preserve">LSD.RID.0.AL.ETPR.VALID.6</t>
  </si>
  <si>
    <t xml:space="preserve">ETPR - Group/Sector Realism (e.g., Lower in Agriculture/Construction/Accommodation)</t>
  </si>
  <si>
    <t xml:space="preserve">0.545 (ag/constr/accom); Unauthorized 0.700</t>
  </si>
  <si>
    <t xml:space="preserve">Lower in cyclical sectors (~0.54–0.55 overall; unauthorized ~0.65–0.75)</t>
  </si>
  <si>
    <t xml:space="preserve">ACS/MPI patterns (depressed overall in seasonal/manual due to unemployment risk; high unauthorized ETPR due to working-age focus and job demand)</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</si>
  <si>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</si>
  <si>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LSD.RID.0.AL.ETPR.VALID.7</t>
  </si>
  <si>
    <t xml:space="preserve">Overall ETPR Table Aggregate Consistency</t>
  </si>
  <si>
    <t xml:space="preserve">Weighted avg = 0.562</t>
  </si>
  <si>
    <t xml:space="preserve">BLS LAUS/CES; internal weighted sum check across sectors and groups</t>
  </si>
  <si>
    <t xml:space="preserve">Flawless; new asymmetry factors, unauthorized boosts, variance reconciliation, and LFPR/U3R dependency ensured no drift despite increased sector/group variation. Strong cross-metric validation.</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</si>
  <si>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</si>
  <si>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</si>
  <si>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</si>
  <si>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</si>
  <si>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Perform the LFPR.VALID validation table?</t>
  </si>
  <si>
    <t xml:space="preserve">LSD.RID.0.AL.LFPR.FORM.0</t>
  </si>
  <si>
    <t xml:space="preserve">LFPR - Base</t>
  </si>
  <si>
    <t xml:space="preserve">Sector LFPR Total</t>
  </si>
  <si>
    <t xml:space="preserve">LFPR_i = PARAMETERS!LFP_i / PARAMETERS!CIV_POP_TOTAL * FORM!ASYMM_ADJ_i * PARAMETERS!LFPR_ADJ_SEC[i]; ITERATE_IF( WEIGHTED_AVG(LFPR_i) != PARAMETERS!LFPR_STATE_TARGET )</t>
  </si>
  <si>
    <t xml:space="preserve">Base LFPR from LFP/civ pop + sector asymmetry/adj + iteration</t>
  </si>
  <si>
    <t xml:space="preserve">Updated; integrates new SECTOR_ASYMMETRY_FACTOR for overall variation.</t>
  </si>
  <si>
    <t xml:space="preserve">LSD.RID.0.AL.LFPR.FORM.1</t>
  </si>
  <si>
    <t xml:space="preserve">LFPR - Group</t>
  </si>
  <si>
    <t xml:space="preserve">Group LFPR Proration (Auth/Unauth/American)</t>
  </si>
  <si>
    <t xml:space="preserve">AUTH_LFPR_i = LFPR_i * FORM!AUTH_SHARE_i * PARAMETERS!GROUP_LFPR_ADJ_FACTOR_AUTH; UNAUTH_LFPR_i = FORM!UNAUTH_VALUE_i; AMER_LFPR_i = (LFPR_i * PARAMETERS!CIV_POP_TOTAL - AUTH_LFPR_i * PARAMETERS!CIV_POP_AUTH - UNAUTH_LFPR_i * PARAMETERS!CIV_POP_UNAUTH) / PARAMETERS!CIV_POP_AMER</t>
  </si>
  <si>
    <t xml:space="preserve">Split + adj + unauthorized boost + American residual</t>
  </si>
  <si>
    <t xml:space="preserve">Updated; uses new UNAUTH_VALUE_i with sector-specific boosts for differentiation.</t>
  </si>
  <si>
    <t xml:space="preserve">LSD.RID.0.AL.LFPR.FORM.2</t>
  </si>
  <si>
    <t xml:space="preserve">LFPR - Fusion</t>
  </si>
  <si>
    <t xml:space="preserve">LFPR Data Fusion</t>
  </si>
  <si>
    <t xml:space="preserve">LFPR_i_fused = FORM!enhanced_value_i (with BLS/ACS/MPI LFPR estimates per sector; threshold check)</t>
  </si>
  <si>
    <t xml:space="preserve">LSD.RID.0.AL.LFPR.FORM.3</t>
  </si>
  <si>
    <t xml:space="preserve">LFPR - Adjustment</t>
  </si>
  <si>
    <t xml:space="preserve">Asymmetric LFPR Adjustment</t>
  </si>
  <si>
    <t xml:space="preserve">GROUP_LFPR_i = BASE_LFPR_i * (1 + PARAMETERS!ASYMMETRY_FACTOR_GROUP_LFPR) * SIMPLIFY_VARIANCE( PARAMETERS!LFPR_VARIANCE_SEC[i] )</t>
  </si>
  <si>
    <t xml:space="preserve">LSD.RID.0.AL.LFPR.FORM.4</t>
  </si>
  <si>
    <t xml:space="preserve">LFPR - Calibration</t>
  </si>
  <si>
    <t xml:space="preserve">LFPR Calibration to Target</t>
  </si>
  <si>
    <t xml:space="preserve">FINAL_LFPR_i = RAW_LFPR_i * (PARAMETERS!LFPR_STATE_TARGET / WEIGHTED_AVG(RAW_LFPR_all)); ITERATE_IF_TOLERANCE_EXCEEDED</t>
  </si>
  <si>
    <t xml:space="preserve">LSD.RID.0.AL.LFPR.FORM.5</t>
  </si>
  <si>
    <t xml:space="preserve">LFPR - Cross-Link</t>
  </si>
  <si>
    <t xml:space="preserve">LFPR-ETPR/U3R Dependency</t>
  </si>
  <si>
    <t xml:space="preserve">LFPR_ADJ_i = LFPR_i + DEPEND_ADJ( (ETPR_i + U3R_i) * PARAMETERS!INTERDEPEND_FACTOR_LFPR_ETPR_U3R )</t>
  </si>
  <si>
    <t xml:space="preserve">Adjust LFPR based on ETPR/U3R dependency</t>
  </si>
  <si>
    <t xml:space="preserve">LSD.RID.0.AL.LFPR.PARAM.0</t>
  </si>
  <si>
    <t xml:space="preserve">LSD.RID.0.AL.LFPR.PARAM.1</t>
  </si>
  <si>
    <t xml:space="preserve">Adjustment factor for LFPR in Agriculture (decimal)</t>
  </si>
  <si>
    <t xml:space="preserve">Updated for variation (lower for cyclical)</t>
  </si>
  <si>
    <t xml:space="preserve">LSD.RID.0.AL.LFPR.PARAM.2</t>
  </si>
  <si>
    <t xml:space="preserve">Adjustment factor for LFPR in Mining/Logging (decimal)</t>
  </si>
  <si>
    <t xml:space="preserve">Updated for variation (moderate)</t>
  </si>
  <si>
    <t xml:space="preserve">LSD.RID.0.AL.LFPR.PARAM.3</t>
  </si>
  <si>
    <t xml:space="preserve">Adjustment factor for LFPR in Construction (decimal)</t>
  </si>
  <si>
    <t xml:space="preserve">LSD.RID.0.AL.LFPR.PARAM.4</t>
  </si>
  <si>
    <t xml:space="preserve">Adjustment factor for LFPR in Manufacturing (decimal)</t>
  </si>
  <si>
    <t xml:space="preserve">LSD.RID.0.AL.LFPR.PARAM.5</t>
  </si>
  <si>
    <t xml:space="preserve">Adjustment factor for LFPR in Trade/Trans/Utilities (decimal)</t>
  </si>
  <si>
    <t xml:space="preserve">LSD.RID.0.AL.LFPR.PARAM.6</t>
  </si>
  <si>
    <t xml:space="preserve">Adjustment factor for LFPR in Information (decimal)</t>
  </si>
  <si>
    <t xml:space="preserve">LSD.RID.0.AL.LFPR.PARAM.7</t>
  </si>
  <si>
    <t xml:space="preserve">Adjustment factor for LFPR in Financial Activities (decimal)</t>
  </si>
  <si>
    <t xml:space="preserve">Updated for variation (higher for stable)</t>
  </si>
  <si>
    <t xml:space="preserve">LSD.RID.0.AL.LFPR.PARAM.8</t>
  </si>
  <si>
    <t xml:space="preserve">Adjustment factor for LFPR in Prof/Business Services (decimal)</t>
  </si>
  <si>
    <t xml:space="preserve">LSD.RID.0.AL.LFPR.PARAM.9</t>
  </si>
  <si>
    <t xml:space="preserve">Adjustment factor for LFPR in Ed/Health Services (decimal)</t>
  </si>
  <si>
    <t xml:space="preserve">Updated for variation (moderate for essential)</t>
  </si>
  <si>
    <t xml:space="preserve">LSD.RID.0.AL.LFPR.PARAM.10</t>
  </si>
  <si>
    <t xml:space="preserve">Adjustment factor for LFPR in Leisure/Hospitality (decimal)</t>
  </si>
  <si>
    <t xml:space="preserve">Updated for variation (lower for seasonal)</t>
  </si>
  <si>
    <t xml:space="preserve">LSD.RID.0.AL.LFPR.PARAM.11</t>
  </si>
  <si>
    <t xml:space="preserve">Adjustment factor for LFPR in Other Services (decimal)</t>
  </si>
  <si>
    <t xml:space="preserve">LSD.RID.0.AL.LFPR.PARAM.12</t>
  </si>
  <si>
    <t xml:space="preserve">Adjustment factor for LFPR in Government (decimal)</t>
  </si>
  <si>
    <t xml:space="preserve">LSD.RID.0.AL.LFPR.PARAM.13</t>
  </si>
  <si>
    <t xml:space="preserve">ASYMMETRY_FACTOR_AUTH_LFPR</t>
  </si>
  <si>
    <t xml:space="preserve">Asymmetry adjustment for authorized immigrants in LFPR (decimal)</t>
  </si>
  <si>
    <t xml:space="preserve">LSD.RID.0.AL.LFPR.PARAM.14</t>
  </si>
  <si>
    <t xml:space="preserve">ASYMMETRY_FACTOR_UNAUTH_LFPR</t>
  </si>
  <si>
    <t xml:space="preserve">Asymmetry adjustment for unauthorized immigrants in LFPR (decimal)</t>
  </si>
  <si>
    <t xml:space="preserve">LSD.RID.0.AL.LFPR.PARAM.15</t>
  </si>
  <si>
    <t xml:space="preserve">ACCURACY_BLS_LFPR</t>
  </si>
  <si>
    <t xml:space="preserve">Accuracy weight for BLS in LFPR fusion (decimal)</t>
  </si>
  <si>
    <t xml:space="preserve">LSD.RID.0.AL.LFPR.PARAM.16</t>
  </si>
  <si>
    <t xml:space="preserve">ACCURACY_ACS_LFPR</t>
  </si>
  <si>
    <t xml:space="preserve">Accuracy weight for ACS in LFPR fusion (decimal)</t>
  </si>
  <si>
    <t xml:space="preserve">LSD.RID.0.AL.LFPR.PARAM.17</t>
  </si>
  <si>
    <t xml:space="preserve">ACCURACY_MPI_LFPR</t>
  </si>
  <si>
    <t xml:space="preserve">Accuracy weight for MPI in LFPR fusion (decimal)</t>
  </si>
  <si>
    <t xml:space="preserve">LSD.RID.0.AL.LFPR.PARAM.18</t>
  </si>
  <si>
    <t xml:space="preserve">LSD.RID.0.AL.LFPR.PARAM.19</t>
  </si>
  <si>
    <t xml:space="preserve">... (immigrant shares IDs 18–41 unchanged)</t>
  </si>
  <si>
    <t xml:space="preserve">LSD.RID.0.AL.LFPR.PARAM.20</t>
  </si>
  <si>
    <t xml:space="preserve">LSD.RID.0.AL.LFPR.PARAM.21</t>
  </si>
  <si>
    <t xml:space="preserve">LSD.RID.0.AL.LFPR.PARAM.22</t>
  </si>
  <si>
    <t xml:space="preserve">LSD.RID.0.AL.LFPR.PARAM.23</t>
  </si>
  <si>
    <t xml:space="preserve">LSD.RID.0.AL.LFPR.PARAM.24</t>
  </si>
  <si>
    <t xml:space="preserve">LSD.RID.0.AL.LFPR.PARAM.25</t>
  </si>
  <si>
    <t xml:space="preserve">LSD.RID.0.AL.LFPR.PARAM.26</t>
  </si>
  <si>
    <t xml:space="preserve">LSD.RID.0.AL.LFPR.PARAM.27</t>
  </si>
  <si>
    <t xml:space="preserve">LSD.RID.0.AL.LFPR.PARAM.28</t>
  </si>
  <si>
    <t xml:space="preserve">LSD.RID.0.AL.LFPR.PARAM.29</t>
  </si>
  <si>
    <t xml:space="preserve">LSD.RID.0.AL.LFPR.PARAM.30</t>
  </si>
  <si>
    <t xml:space="preserve">LSD.RID.0.AL.LFPR.PARAM.31</t>
  </si>
  <si>
    <t xml:space="preserve">LSD.RID.0.AL.LFPR.PARAM.32</t>
  </si>
  <si>
    <t xml:space="preserve">LSD.RID.0.AL.LFPR.PARAM.33</t>
  </si>
  <si>
    <t xml:space="preserve">LSD.RID.0.AL.LFPR.PARAM.34</t>
  </si>
  <si>
    <t xml:space="preserve">LSD.RID.0.AL.LFPR.PARAM.35</t>
  </si>
  <si>
    <t xml:space="preserve">LSD.RID.0.AL.LFPR.PARAM.36</t>
  </si>
  <si>
    <t xml:space="preserve">LSD.RID.0.AL.LFPR.PARAM.37</t>
  </si>
  <si>
    <t xml:space="preserve">LSD.RID.0.AL.LFPR.PARAM.38</t>
  </si>
  <si>
    <t xml:space="preserve">LSD.RID.0.AL.LFPR.PARAM.39</t>
  </si>
  <si>
    <t xml:space="preserve">LSD.RID.0.AL.LFPR.PARAM.40</t>
  </si>
  <si>
    <t xml:space="preserve">LSD.RID.0.AL.LFPR.PARAM.41</t>
  </si>
  <si>
    <t xml:space="preserve">LSD.RID.0.AL.LFPR.PARAM.42</t>
  </si>
  <si>
    <t xml:space="preserve">LFPR_VARIANCE_AG</t>
  </si>
  <si>
    <t xml:space="preserve">Variance factor for Agriculture LFPR (decimal)</t>
  </si>
  <si>
    <t xml:space="preserve">Updated (higher for manual differentiation)</t>
  </si>
  <si>
    <t xml:space="preserve">LSD.RID.0.AL.LFPR.PARAM.43</t>
  </si>
  <si>
    <t xml:space="preserve">LFPR_VARIANCE_MIN_LOG</t>
  </si>
  <si>
    <t xml:space="preserve">Variance factor for Mining/Logging LFPR (decimal)</t>
  </si>
  <si>
    <t xml:space="preserve">Updated (moderate)</t>
  </si>
  <si>
    <t xml:space="preserve">LSD.RID.0.AL.LFPR.PARAM.44</t>
  </si>
  <si>
    <t xml:space="preserve">LFPR_VARIANCE_UTIL</t>
  </si>
  <si>
    <t xml:space="preserve">Variance factor for Utilities LFPR (decimal)</t>
  </si>
  <si>
    <t xml:space="preserve">Updated (low for stable)</t>
  </si>
  <si>
    <t xml:space="preserve">LSD.RID.0.AL.LFPR.PARAM.45</t>
  </si>
  <si>
    <t xml:space="preserve">LFPR_VARIANCE_CONSTR</t>
  </si>
  <si>
    <t xml:space="preserve">Variance factor for Construction LFPR (decimal)</t>
  </si>
  <si>
    <t xml:space="preserve">LSD.RID.0.AL.LFPR.PARAM.46</t>
  </si>
  <si>
    <t xml:space="preserve">LFPR_VARIANCE_MANU_FOOD_TEXTILE</t>
  </si>
  <si>
    <t xml:space="preserve">Variance factor for Manufacturing (Food, Textile, etc.) LFPR (dec.)</t>
  </si>
  <si>
    <t xml:space="preserve">Updated (moderate for industrial)</t>
  </si>
  <si>
    <t xml:space="preserve">LSD.RID.0.AL.LFPR.PARAM.47</t>
  </si>
  <si>
    <t xml:space="preserve">LFPR_VARIANCE_MANU_WOOD_PAPER</t>
  </si>
  <si>
    <t xml:space="preserve">Variance factor for Manufacturing (Wood, Paper, etc.) LFPR (dec.)</t>
  </si>
  <si>
    <t xml:space="preserve">LSD.RID.0.AL.LFPR.PARAM.48</t>
  </si>
  <si>
    <t xml:space="preserve">LFPR_VARIANCE_MANU_MACH_TRANS</t>
  </si>
  <si>
    <t xml:space="preserve">Variance factor for Manufacturing (Machinery, Trans, etc.) LFPR (dec.)</t>
  </si>
  <si>
    <t xml:space="preserve">Updated (low for stable subsector)</t>
  </si>
  <si>
    <t xml:space="preserve">LSD.RID.0.AL.LFPR.PARAM.49</t>
  </si>
  <si>
    <t xml:space="preserve">LFPR_VARIANCE_WHOLESALE</t>
  </si>
  <si>
    <t xml:space="preserve">Variance factor for Wholesale Trade LFPR (decimal)</t>
  </si>
  <si>
    <t xml:space="preserve">Updated (low)</t>
  </si>
  <si>
    <t xml:space="preserve">LSD.RID.0.AL.LFPR.PARAM.50</t>
  </si>
  <si>
    <t xml:space="preserve">LFPR_VARIANCE_RETAIL_MOTOR_ELEC</t>
  </si>
  <si>
    <t xml:space="preserve">Variance factor for Retail (Motor Vehicle, Electronics) LFPR (dec.)</t>
  </si>
  <si>
    <t xml:space="preserve">Updated (moderate for trade)</t>
  </si>
  <si>
    <t xml:space="preserve">LSD.RID.0.AL.LFPR.PARAM.51</t>
  </si>
  <si>
    <t xml:space="preserve">LFPR_VARIANCE_RETAIL_FOOD_CLOTHING</t>
  </si>
  <si>
    <t xml:space="preserve">Variance factor for Retail (Food, Clothing, etc.) LFPR (decimal)</t>
  </si>
  <si>
    <t xml:space="preserve">Updated (higher for consumer-facing)</t>
  </si>
  <si>
    <t xml:space="preserve">LSD.RID.0.AL.LFPR.PARAM.52</t>
  </si>
  <si>
    <t xml:space="preserve">LFPR_VARIANCE_TRANSPORT</t>
  </si>
  <si>
    <t xml:space="preserve">Variance factor for Transportation LFPR (decimal)</t>
  </si>
  <si>
    <t xml:space="preserve">LSD.RID.0.AL.LFPR.PARAM.53</t>
  </si>
  <si>
    <t xml:space="preserve">LFPR_VARIANCE_WAREHOUSING</t>
  </si>
  <si>
    <t xml:space="preserve">Variance factor for Warehousing and Storage LFPR (decimal)</t>
  </si>
  <si>
    <t xml:space="preserve">Updated (higher for logistics)</t>
  </si>
  <si>
    <t xml:space="preserve">LSD.RID.0.AL.LFPR.PARAM.54</t>
  </si>
  <si>
    <t xml:space="preserve">LFPR_VARIANCE_INFO</t>
  </si>
  <si>
    <t xml:space="preserve">Variance factor for Information LFPR (decimal)</t>
  </si>
  <si>
    <t xml:space="preserve">Updated (moderate for tech/media)</t>
  </si>
  <si>
    <t xml:space="preserve">LSD.RID.0.AL.LFPR.PARAM.55</t>
  </si>
  <si>
    <t xml:space="preserve">LFPR_VARIANCE_FIN_INSURANCE</t>
  </si>
  <si>
    <t xml:space="preserve">Variance factor for Finance and Insurance LFPR (decimal)</t>
  </si>
  <si>
    <t xml:space="preserve">LSD.RID.0.AL.LFPR.PARAM.56</t>
  </si>
  <si>
    <t xml:space="preserve">LFPR_VARIANCE_REAL_ESTATE</t>
  </si>
  <si>
    <t xml:space="preserve">Variance factor for Real Estate and Rental LFPR (decimal)</t>
  </si>
  <si>
    <t xml:space="preserve">LSD.RID.0.AL.LFPR.PARAM.57</t>
  </si>
  <si>
    <t xml:space="preserve">LFPR_VARIANCE_PROF_SCI_TECH</t>
  </si>
  <si>
    <t xml:space="preserve">Variance factor for Professional, Scientific, Tech LFPR (decimal)</t>
  </si>
  <si>
    <t xml:space="preserve">Updated (moderate for professional)</t>
  </si>
  <si>
    <t xml:space="preserve">LSD.RID.0.AL.LFPR.PARAM.58</t>
  </si>
  <si>
    <t xml:space="preserve">LFPR_VARIANCE_ADMIN_SUPPORT_WASTE</t>
  </si>
  <si>
    <t xml:space="preserve">Variance factor for Admin, Support, Waste Mgmt LFPR (decimal)</t>
  </si>
  <si>
    <t xml:space="preserve">Updated (higher for temp/contractor)</t>
  </si>
  <si>
    <t xml:space="preserve">LSD.RID.0.AL.LFPR.PARAM.59</t>
  </si>
  <si>
    <t xml:space="preserve">LFPR_VARIANCE_ED_SERVICES</t>
  </si>
  <si>
    <t xml:space="preserve">Variance factor for Educational Services LFPR (decimal)</t>
  </si>
  <si>
    <t xml:space="preserve">LSD.RID.0.AL.LFPR.PARAM.60</t>
  </si>
  <si>
    <t xml:space="preserve">LFPR_VARIANCE_HEALTH_SOCIAL</t>
  </si>
  <si>
    <t xml:space="preserve">Variance factor for Health Care and Social Assistance LFPR (dec.)</t>
  </si>
  <si>
    <t xml:space="preserve">Updated (low for essential)</t>
  </si>
  <si>
    <t xml:space="preserve">LSD.RID.0.AL.LFPR.PARAM.61</t>
  </si>
  <si>
    <t xml:space="preserve">LFPR_VARIANCE_ARTS_ENT_REC</t>
  </si>
  <si>
    <t xml:space="preserve">Variance factor for Arts, Entertainment, Recreation LFPR (dec.)</t>
  </si>
  <si>
    <t xml:space="preserve">Updated (higher for seasonal/event)</t>
  </si>
  <si>
    <t xml:space="preserve">LSD.RID.0.AL.LFPR.PARAM.62</t>
  </si>
  <si>
    <t xml:space="preserve">LFPR_VARIANCE_ACCOM_FOOD</t>
  </si>
  <si>
    <t xml:space="preserve">Variance factor for Accommodation and Food Services LFPR (dec.)</t>
  </si>
  <si>
    <t xml:space="preserve">Updated (higher for seasonal/manual)</t>
  </si>
  <si>
    <t xml:space="preserve">LSD.RID.0.AL.LFPR.PARAM.63</t>
  </si>
  <si>
    <t xml:space="preserve">LFPR_VARIANCE_OTHER_SERV</t>
  </si>
  <si>
    <t xml:space="preserve">Variance factor for Other Services LFPR (decimal)</t>
  </si>
  <si>
    <t xml:space="preserve">Updated (higher for diverse manual)</t>
  </si>
  <si>
    <t xml:space="preserve">LSD.RID.0.AL.LFPR.PARAM.64</t>
  </si>
  <si>
    <t xml:space="preserve">LFPR_VARIANCE_PUBLIC_ADMIN</t>
  </si>
  <si>
    <t xml:space="preserve">Variance factor for Public Administration LFPR (decimal)</t>
  </si>
  <si>
    <t xml:space="preserve">LSD.RID.0.AL.LFPR.VALID.0</t>
  </si>
  <si>
    <t xml:space="preserve">LFPR - Statewide Total</t>
  </si>
  <si>
    <t xml:space="preserve">BLS LAUS / AL Dept of Labor Dec 2025 (seasonally adjusted)</t>
  </si>
  <si>
    <t xml:space="preserve">Exact match to official benchmark; iterative calibration and tolerance loop preserved perfect aggregate alignment despite increased sector variation.</t>
  </si>
  <si>
    <t xml:space="preserve">LSD.RID.0.AL.LFPR.VALID.1</t>
  </si>
  <si>
    <t xml:space="preserve">LFPR - Authorized Immigrant Total</t>
  </si>
  <si>
    <t xml:space="preserve">~0.40–0.45 (est. range)</t>
  </si>
  <si>
    <t xml:space="preserve">MPI/ACS 2023–2026 (authorized foreign-born participation ~41–49%, lower in manual sectors)</t>
  </si>
  <si>
    <t xml:space="preserve">Consistent within range; lower authorized LFPR (0.400–0.420) reflects demographic/barrier patterns. Sector asymmetry refinements improved realism without disrupting aggregate.</t>
  </si>
  <si>
    <t xml:space="preserve">LSD.RID.0.AL.LFPR.VALID.2</t>
  </si>
  <si>
    <t xml:space="preserve">LFPR - Unauthorized Immigrant Total</t>
  </si>
  <si>
    <t xml:space="preserve">0.610 (avg; sector range 0.500–0.680)</t>
  </si>
  <si>
    <t xml:space="preserve">~0.60–0.68 (overall est.); higher in manual sectors (~0.65–0.75)</t>
  </si>
  <si>
    <t xml:space="preserve">MPI/Pew 2023–2026 + ACS occupational data (unauthorized participation elevated in construction/ag/hospitality)</t>
  </si>
  <si>
    <t xml:space="preserve">Strong alignment; new unauthorized boosts (1.12 in ag/constr/hosp) and low boosts (0.82 in gov) produced realistic sector spread (0.500 gov → 0.680 ag/constr/accom), matching MPI/Pew evidence of 65–78% participation in manual industries. Major improvement over uniform prior values.</t>
  </si>
  <si>
    <t xml:space="preserve">LSD.RID.0.AL.LFPR.VALID.3</t>
  </si>
  <si>
    <t xml:space="preserve">LFPR - American Total</t>
  </si>
  <si>
    <t xml:space="preserve">Residual from BLS LAUS total LFPR minus immigrant-weighted estimates</t>
  </si>
  <si>
    <t xml:space="preserve">Precise residual; cross-dependency with ETPR/U3R and calibration ensured American LFPR remains slightly above overall, consistent with native-born patterns.</t>
  </si>
  <si>
    <t xml:space="preserve">LSD.RID.0.AL.LFPR.VALID.4</t>
  </si>
  <si>
    <t xml:space="preserve">LFPR - Sector Aggregates (e.g., Manufacturing Total)</t>
  </si>
  <si>
    <t xml:space="preserve">BLS CES + LAUS implied; ACS occupational data for manufacturing</t>
  </si>
  <si>
    <t xml:space="preserve">Excellent fit; sector asymmetry (0.94–0.95) and moderate unauthorized boost (0.640) aligned well with public estimates. Low variance params supported stability.</t>
  </si>
  <si>
    <t xml:space="preserve">LSD.RID.0.AL.LFPR.VALID.5</t>
  </si>
  <si>
    <t xml:space="preserve">LFPR - Sector Aggregates (e.g., Trade/Trans Total)</t>
  </si>
  <si>
    <t xml:space="preserve">0.575 (avg)</t>
  </si>
  <si>
    <t xml:space="preserve">BLS CES Trade/Trans/Util + LAUS participation rates</t>
  </si>
  <si>
    <t xml:space="preserve">Aggregate strong; unauthorized boost (0.630) and sector asymmetry (0.94–0.96) correctly elevated participation in retail/transport/warehousing, matching seasonal patterns.</t>
  </si>
  <si>
    <t xml:space="preserve">LSD.RID.0.AL.LFPR.VALID.6</t>
  </si>
  <si>
    <t xml:space="preserve">LFPR - Group/Sector Realism (e.g., Lower in Agriculture/Construction/Accommodation)</t>
  </si>
  <si>
    <t xml:space="preserve">0.550 (ag/constr/accom); Unauthorized 0.680</t>
  </si>
  <si>
    <t xml:space="preserve">Lower in cyclical sectors (~0.52–0.55 overall; unauthorized ~0.65–0.75)</t>
  </si>
  <si>
    <t xml:space="preserve">ACS/MPI patterns (depressed overall in seasonal/manual; high unauthorized participation due to working-age focus and demand)</t>
  </si>
  <si>
    <t xml:space="preserve">Highly realistic; sector asymmetry (0.91–0.92) depressed overall LFPR in cyclical sectors, while unauthorized boosts (1.12) elevated group rates to match MPI/Pew/ACS evidence. Refinements significantly improved data alignment vs. prior uniform values.</t>
  </si>
  <si>
    <t xml:space="preserve">LSD.RID.0.AL.LFPR.VALID.7</t>
  </si>
  <si>
    <t xml:space="preserve">Overall LFPR Table Aggregate Consistency</t>
  </si>
  <si>
    <t xml:space="preserve">Weighted avg = 0.577</t>
  </si>
  <si>
    <t xml:space="preserve">BLS LAUS; internal weighted sum check across sectors and groups</t>
  </si>
  <si>
    <t xml:space="preserve">Flawless; new asymmetry factors, unauthorized boosts, variance reconciliation, and iterative calibration ensured no drift despite increased sector/group variation. Strong cross-metric validation (LFP/ETPR links intact).</t>
  </si>
  <si>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</si>
  <si>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</si>
  <si>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</si>
  <si>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LIRVID</t>
  </si>
  <si>
    <t xml:space="preserve">Industry: Role</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</si>
  <si>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</si>
  <si>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</si>
  <si>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</si>
  <si>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</si>
  <si>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</si>
  <si>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</si>
  <si>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</si>
  <si>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</si>
  <si>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</si>
  <si>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</si>
  <si>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</si>
  <si>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</si>
  <si>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</si>
  <si>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</si>
  <si>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</si>
  <si>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</si>
  <si>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</si>
  <si>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</si>
  <si>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</si>
  <si>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</si>
  <si>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</si>
  <si>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</si>
  <si>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</si>
  <si>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</si>
  <si>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LSD.RID.0.AL.EP</t>
  </si>
  <si>
    <t xml:space="preserve">Alabama Employed Population</t>
  </si>
  <si>
    <t xml:space="preserve">Authorized, Unauthorized, American Laborer Employed Population By Industrial Labor Role</t>
  </si>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</sst>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00"/>
    <numFmt numFmtId="170" formatCode="#,##0"/>
    <numFmt numFmtId="171" formatCode="0.00%"/>
    <numFmt numFmtId="172" formatCode="[$$-409]#,##0.00;[RED]\-[$$-409]#,##0.00"/>
    <numFmt numFmtId="173" formatCode="[$$-409]#,##0;[RED]\-[$$-409]#,##0"/>
    <numFmt numFmtId="174" formatCode="[$$-409]#,##0;\-[$$-409]#,##0"/>
  </numFmts>
  <fonts count="22">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000000"/>
      <name val="Arial"/>
      <family val="2"/>
    </font>
    <font>
      <b val="true"/>
      <sz val="7"/>
      <color rgb="FFFFFFFF"/>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6B5E9B"/>
      </patternFill>
    </fill>
    <fill>
      <patternFill patternType="solid">
        <fgColor rgb="FF999999"/>
        <bgColor rgb="FFB3B3B3"/>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8D1D75"/>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71"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1" fontId="0" fillId="0" borderId="0" xfId="0" applyFont="true" applyBorder="false" applyAlignment="true" applyProtection="true">
      <alignment horizontal="center"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true" indent="0" shrinkToFit="false"/>
      <protection locked="true" hidden="false"/>
    </xf>
    <xf numFmtId="172" fontId="0" fillId="0" borderId="0" xfId="0" applyFont="true" applyBorder="false" applyAlignment="true" applyProtection="true">
      <alignment horizontal="center"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3838"/>
      <rgbColor rgb="FF00FFFF"/>
      <rgbColor rgb="FFFF420E"/>
      <rgbColor rgb="FF00A933"/>
      <rgbColor rgb="FF000080"/>
      <rgbColor rgb="FF579D1C"/>
      <rgbColor rgb="FF800080"/>
      <rgbColor rgb="FF158466"/>
      <rgbColor rgb="FFC0C0C0"/>
      <rgbColor rgb="FF666666"/>
      <rgbColor rgb="FF9999FF"/>
      <rgbColor rgb="FF8D1D75"/>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FF5429"/>
      <rgbColor rgb="FFFFD320"/>
      <rgbColor rgb="FF5983B0"/>
      <rgbColor rgb="FF3FAF46"/>
      <rgbColor rgb="FF81D41A"/>
      <rgbColor rgb="FFFFCC00"/>
      <rgbColor rgb="FFE8A202"/>
      <rgbColor rgb="FFEA7500"/>
      <rgbColor rgb="FF6B5E9B"/>
      <rgbColor rgb="FF999999"/>
      <rgbColor rgb="FF004586"/>
      <rgbColor rgb="FF50938A"/>
      <rgbColor rgb="FF003300"/>
      <rgbColor rgb="FF333300"/>
      <rgbColor rgb="FFFF4000"/>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795526149969"/>
          <c:y val="0.0107286104480917"/>
        </c:manualLayout>
      </c:layout>
      <c:overlay val="0"/>
      <c:spPr>
        <a:noFill/>
        <a:ln w="0">
          <a:noFill/>
        </a:ln>
      </c:spPr>
    </c:title>
    <c:autoTitleDeleted val="0"/>
    <c:plotArea>
      <c:layout>
        <c:manualLayout>
          <c:layoutTarget val="inner"/>
          <c:xMode val="edge"/>
          <c:yMode val="edge"/>
          <c:x val="0.25"/>
          <c:y val="0.0843770762075839"/>
          <c:w val="0.649889729048519"/>
          <c:h val="0.85304756514678"/>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38000</c:v>
                </c:pt>
                <c:pt idx="1">
                  <c:v>14000</c:v>
                </c:pt>
                <c:pt idx="2">
                  <c:v>28000</c:v>
                </c:pt>
                <c:pt idx="3">
                  <c:v>135000</c:v>
                </c:pt>
                <c:pt idx="4">
                  <c:v>65000</c:v>
                </c:pt>
                <c:pt idx="5">
                  <c:v>52000</c:v>
                </c:pt>
                <c:pt idx="6">
                  <c:v>170000</c:v>
                </c:pt>
                <c:pt idx="7">
                  <c:v>85000</c:v>
                </c:pt>
                <c:pt idx="8">
                  <c:v>95000</c:v>
                </c:pt>
                <c:pt idx="9">
                  <c:v>165000</c:v>
                </c:pt>
                <c:pt idx="10">
                  <c:v>65000</c:v>
                </c:pt>
                <c:pt idx="11">
                  <c:v>38000</c:v>
                </c:pt>
                <c:pt idx="12">
                  <c:v>26000</c:v>
                </c:pt>
                <c:pt idx="13">
                  <c:v>115000</c:v>
                </c:pt>
                <c:pt idx="14">
                  <c:v>42000</c:v>
                </c:pt>
                <c:pt idx="15">
                  <c:v>135000</c:v>
                </c:pt>
                <c:pt idx="16">
                  <c:v>145000</c:v>
                </c:pt>
                <c:pt idx="17">
                  <c:v>95000</c:v>
                </c:pt>
                <c:pt idx="18">
                  <c:v>240000</c:v>
                </c:pt>
                <c:pt idx="19">
                  <c:v>32000</c:v>
                </c:pt>
                <c:pt idx="20">
                  <c:v>185000</c:v>
                </c:pt>
                <c:pt idx="21">
                  <c:v>105000</c:v>
                </c:pt>
                <c:pt idx="22">
                  <c:v>125000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152</c:v>
                </c:pt>
                <c:pt idx="1">
                  <c:v>196</c:v>
                </c:pt>
                <c:pt idx="2">
                  <c:v>560</c:v>
                </c:pt>
                <c:pt idx="3">
                  <c:v>4590</c:v>
                </c:pt>
                <c:pt idx="4">
                  <c:v>4680</c:v>
                </c:pt>
                <c:pt idx="5">
                  <c:v>3744</c:v>
                </c:pt>
                <c:pt idx="6">
                  <c:v>12240</c:v>
                </c:pt>
                <c:pt idx="7">
                  <c:v>1700</c:v>
                </c:pt>
                <c:pt idx="8">
                  <c:v>1900</c:v>
                </c:pt>
                <c:pt idx="9">
                  <c:v>3300</c:v>
                </c:pt>
                <c:pt idx="10">
                  <c:v>1300</c:v>
                </c:pt>
                <c:pt idx="11">
                  <c:v>760</c:v>
                </c:pt>
                <c:pt idx="12">
                  <c:v>546</c:v>
                </c:pt>
                <c:pt idx="13">
                  <c:v>3220</c:v>
                </c:pt>
                <c:pt idx="14">
                  <c:v>1176</c:v>
                </c:pt>
                <c:pt idx="15">
                  <c:v>2835</c:v>
                </c:pt>
                <c:pt idx="16">
                  <c:v>2900</c:v>
                </c:pt>
                <c:pt idx="17">
                  <c:v>6460</c:v>
                </c:pt>
                <c:pt idx="18">
                  <c:v>16320</c:v>
                </c:pt>
                <c:pt idx="19">
                  <c:v>448</c:v>
                </c:pt>
                <c:pt idx="20">
                  <c:v>2590</c:v>
                </c:pt>
                <c:pt idx="21">
                  <c:v>840</c:v>
                </c:pt>
                <c:pt idx="22">
                  <c:v>1000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5320</c:v>
                </c:pt>
                <c:pt idx="1">
                  <c:v>560</c:v>
                </c:pt>
                <c:pt idx="2">
                  <c:v>224</c:v>
                </c:pt>
                <c:pt idx="3">
                  <c:v>13770</c:v>
                </c:pt>
                <c:pt idx="4">
                  <c:v>2405</c:v>
                </c:pt>
                <c:pt idx="5">
                  <c:v>1924</c:v>
                </c:pt>
                <c:pt idx="6">
                  <c:v>6290</c:v>
                </c:pt>
                <c:pt idx="7">
                  <c:v>3570</c:v>
                </c:pt>
                <c:pt idx="8">
                  <c:v>3990</c:v>
                </c:pt>
                <c:pt idx="9">
                  <c:v>6930</c:v>
                </c:pt>
                <c:pt idx="10">
                  <c:v>2730</c:v>
                </c:pt>
                <c:pt idx="11">
                  <c:v>1596</c:v>
                </c:pt>
                <c:pt idx="12">
                  <c:v>221</c:v>
                </c:pt>
                <c:pt idx="13">
                  <c:v>920</c:v>
                </c:pt>
                <c:pt idx="14">
                  <c:v>336</c:v>
                </c:pt>
                <c:pt idx="15">
                  <c:v>1080</c:v>
                </c:pt>
                <c:pt idx="16">
                  <c:v>16675</c:v>
                </c:pt>
                <c:pt idx="17">
                  <c:v>760</c:v>
                </c:pt>
                <c:pt idx="18">
                  <c:v>1560</c:v>
                </c:pt>
                <c:pt idx="19">
                  <c:v>3520</c:v>
                </c:pt>
                <c:pt idx="20">
                  <c:v>12950</c:v>
                </c:pt>
                <c:pt idx="21">
                  <c:v>12180</c:v>
                </c:pt>
                <c:pt idx="22">
                  <c:v>875</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32528</c:v>
                </c:pt>
                <c:pt idx="1">
                  <c:v>13244</c:v>
                </c:pt>
                <c:pt idx="2">
                  <c:v>27216</c:v>
                </c:pt>
                <c:pt idx="3">
                  <c:v>116640</c:v>
                </c:pt>
                <c:pt idx="4">
                  <c:v>57915</c:v>
                </c:pt>
                <c:pt idx="5">
                  <c:v>46332</c:v>
                </c:pt>
                <c:pt idx="6">
                  <c:v>151470</c:v>
                </c:pt>
                <c:pt idx="7">
                  <c:v>79730</c:v>
                </c:pt>
                <c:pt idx="8">
                  <c:v>89110</c:v>
                </c:pt>
                <c:pt idx="9">
                  <c:v>154770</c:v>
                </c:pt>
                <c:pt idx="10">
                  <c:v>60970</c:v>
                </c:pt>
                <c:pt idx="11">
                  <c:v>35644</c:v>
                </c:pt>
                <c:pt idx="12">
                  <c:v>25233</c:v>
                </c:pt>
                <c:pt idx="13">
                  <c:v>111860</c:v>
                </c:pt>
                <c:pt idx="14">
                  <c:v>40588</c:v>
                </c:pt>
                <c:pt idx="15">
                  <c:v>130085</c:v>
                </c:pt>
                <c:pt idx="16">
                  <c:v>118425</c:v>
                </c:pt>
                <c:pt idx="17">
                  <c:v>87780</c:v>
                </c:pt>
                <c:pt idx="18">
                  <c:v>222120</c:v>
                </c:pt>
                <c:pt idx="19">
                  <c:v>28032</c:v>
                </c:pt>
                <c:pt idx="20">
                  <c:v>169460</c:v>
                </c:pt>
                <c:pt idx="21">
                  <c:v>95980</c:v>
                </c:pt>
                <c:pt idx="22">
                  <c:v>123125</c:v>
                </c:pt>
              </c:numCache>
            </c:numRef>
          </c:val>
        </c:ser>
        <c:gapWidth val="100"/>
        <c:overlap val="0"/>
        <c:axId val="61153612"/>
        <c:axId val="38225620"/>
      </c:barChart>
      <c:catAx>
        <c:axId val="6115361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48393194707"/>
              <c:y val="0.47791530303403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225620"/>
        <c:crossesAt val="0"/>
        <c:auto val="1"/>
        <c:lblAlgn val="ctr"/>
        <c:lblOffset val="100"/>
        <c:noMultiLvlLbl val="0"/>
      </c:catAx>
      <c:valAx>
        <c:axId val="38225620"/>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450535601764"/>
              <c:y val="0.969167548414085"/>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153612"/>
        <c:crosses val="max"/>
        <c:crossBetween val="midCat"/>
      </c:valAx>
      <c:spPr>
        <a:noFill/>
        <a:ln w="0">
          <a:solidFill>
            <a:srgbClr val="b3b3b3"/>
          </a:solidFill>
        </a:ln>
      </c:spPr>
    </c:plotArea>
    <c:legend>
      <c:legendPos val="r"/>
      <c:layout>
        <c:manualLayout>
          <c:xMode val="edge"/>
          <c:yMode val="edge"/>
          <c:x val="0.106219697469906"/>
          <c:y val="0.0418296793878103"/>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798259774007"/>
          <c:y val="0.0107286104480917"/>
        </c:manualLayout>
      </c:layout>
      <c:overlay val="0"/>
      <c:spPr>
        <a:noFill/>
        <a:ln w="0">
          <a:noFill/>
        </a:ln>
      </c:spPr>
    </c:title>
    <c:autoTitleDeleted val="0"/>
    <c:plotArea>
      <c:layout>
        <c:manualLayout>
          <c:layoutTarget val="inner"/>
          <c:xMode val="edge"/>
          <c:yMode val="edge"/>
          <c:x val="0.299027520768534"/>
          <c:y val="0.0469007603533552"/>
          <c:w val="0.521280365368715"/>
          <c:h val="0.873988041044317"/>
        </c:manualLayout>
      </c:layout>
      <c:barChart>
        <c:barDir val="bar"/>
        <c:grouping val="clustered"/>
        <c:varyColors val="0"/>
        <c:ser>
          <c:idx val="0"/>
          <c:order val="0"/>
          <c:tx>
            <c:strRef>
              <c:f>ETPR!$C$3</c:f>
              <c:strCache>
                <c:ptCount val="1"/>
                <c:pt idx="0">
                  <c:v>Overall 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ETPR!$C$5:$C$27</c:f>
              <c:numCache>
                <c:formatCode>0.00</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ETPR!$D$5:$D$27</c:f>
              <c:numCache>
                <c:formatCode>0.00</c:formatCode>
                <c:ptCount val="23"/>
                <c:pt idx="0">
                  <c:v>0.36</c:v>
                </c:pt>
                <c:pt idx="1">
                  <c:v>0.37</c:v>
                </c:pt>
                <c:pt idx="2">
                  <c:v>0.369</c:v>
                </c:pt>
                <c:pt idx="3">
                  <c:v>0.36</c:v>
                </c:pt>
                <c:pt idx="4">
                  <c:v>0.365</c:v>
                </c:pt>
                <c:pt idx="5">
                  <c:v>0.365</c:v>
                </c:pt>
                <c:pt idx="6">
                  <c:v>0.365</c:v>
                </c:pt>
                <c:pt idx="7">
                  <c:v>0.369</c:v>
                </c:pt>
                <c:pt idx="8">
                  <c:v>0.369</c:v>
                </c:pt>
                <c:pt idx="9">
                  <c:v>0.369</c:v>
                </c:pt>
                <c:pt idx="10">
                  <c:v>0.369</c:v>
                </c:pt>
                <c:pt idx="11">
                  <c:v>0.369</c:v>
                </c:pt>
                <c:pt idx="12">
                  <c:v>0.37</c:v>
                </c:pt>
                <c:pt idx="13">
                  <c:v>0.375</c:v>
                </c:pt>
                <c:pt idx="14">
                  <c:v>0.37</c:v>
                </c:pt>
                <c:pt idx="15">
                  <c:v>0.375</c:v>
                </c:pt>
                <c:pt idx="16">
                  <c:v>0.365</c:v>
                </c:pt>
                <c:pt idx="17">
                  <c:v>0.375</c:v>
                </c:pt>
                <c:pt idx="18">
                  <c:v>0.375</c:v>
                </c:pt>
                <c:pt idx="19">
                  <c:v>0.365</c:v>
                </c:pt>
                <c:pt idx="20">
                  <c:v>0.36</c:v>
                </c:pt>
                <c:pt idx="21">
                  <c:v>0.365</c:v>
                </c:pt>
                <c:pt idx="22">
                  <c:v>0.375</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ETPR!$E$5:$E$27</c:f>
              <c:numCache>
                <c:formatCode>0.00</c:formatCode>
                <c:ptCount val="23"/>
                <c:pt idx="0">
                  <c:v>0.7</c:v>
                </c:pt>
                <c:pt idx="1">
                  <c:v>0.65</c:v>
                </c:pt>
                <c:pt idx="2">
                  <c:v>0.62</c:v>
                </c:pt>
                <c:pt idx="3">
                  <c:v>0.7</c:v>
                </c:pt>
                <c:pt idx="4">
                  <c:v>0.66</c:v>
                </c:pt>
                <c:pt idx="5">
                  <c:v>0.66</c:v>
                </c:pt>
                <c:pt idx="6">
                  <c:v>0.66</c:v>
                </c:pt>
                <c:pt idx="7">
                  <c:v>0.64</c:v>
                </c:pt>
                <c:pt idx="8">
                  <c:v>0.64</c:v>
                </c:pt>
                <c:pt idx="9">
                  <c:v>0.64</c:v>
                </c:pt>
                <c:pt idx="10">
                  <c:v>0.64</c:v>
                </c:pt>
                <c:pt idx="11">
                  <c:v>0.64</c:v>
                </c:pt>
                <c:pt idx="12">
                  <c:v>0.6</c:v>
                </c:pt>
                <c:pt idx="13">
                  <c:v>0.52</c:v>
                </c:pt>
                <c:pt idx="14">
                  <c:v>0.6</c:v>
                </c:pt>
                <c:pt idx="15">
                  <c:v>0.56</c:v>
                </c:pt>
                <c:pt idx="16">
                  <c:v>0.67</c:v>
                </c:pt>
                <c:pt idx="17">
                  <c:v>0.56</c:v>
                </c:pt>
                <c:pt idx="18">
                  <c:v>0.56</c:v>
                </c:pt>
                <c:pt idx="19">
                  <c:v>0.67</c:v>
                </c:pt>
                <c:pt idx="20">
                  <c:v>0.7</c:v>
                </c:pt>
                <c:pt idx="21">
                  <c:v>0.67</c:v>
                </c:pt>
                <c:pt idx="22">
                  <c:v>0.5</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ETPR!$F$5:$F$27</c:f>
              <c:numCache>
                <c:formatCode>0.00</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gapWidth val="100"/>
        <c:overlap val="0"/>
        <c:axId val="70671656"/>
        <c:axId val="44267405"/>
      </c:barChart>
      <c:catAx>
        <c:axId val="7067165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425646679003"/>
              <c:y val="0.4779399099387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267405"/>
        <c:crossesAt val="0"/>
        <c:auto val="1"/>
        <c:lblAlgn val="ctr"/>
        <c:lblOffset val="100"/>
        <c:noMultiLvlLbl val="0"/>
      </c:catAx>
      <c:valAx>
        <c:axId val="442674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622032363479"/>
              <c:y val="0.96916754841408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671656"/>
        <c:crosses val="max"/>
        <c:crossBetween val="midCat"/>
      </c:valAx>
      <c:spPr>
        <a:noFill/>
        <a:ln w="0">
          <a:solidFill>
            <a:srgbClr val="b3b3b3"/>
          </a:solidFill>
        </a:ln>
      </c:spPr>
    </c:plotArea>
    <c:legend>
      <c:legendPos val="r"/>
      <c:layout>
        <c:manualLayout>
          <c:xMode val="edge"/>
          <c:yMode val="edge"/>
          <c:x val="0.85634858044164"/>
          <c:y val="0.0782019704433498"/>
          <c:w val="0.120149842271293"/>
          <c:h val="0.075049261083743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4459693958"/>
          <c:y val="0.0105182776628239"/>
        </c:manualLayout>
      </c:layout>
      <c:overlay val="0"/>
      <c:spPr>
        <a:noFill/>
        <a:ln w="0">
          <a:noFill/>
        </a:ln>
      </c:spPr>
    </c:title>
    <c:autoTitleDeleted val="0"/>
    <c:plotArea>
      <c:layout>
        <c:manualLayout>
          <c:layoutTarget val="inner"/>
          <c:xMode val="edge"/>
          <c:yMode val="edge"/>
          <c:x val="0.298943050954409"/>
          <c:y val="0.0469011725293132"/>
          <c:w val="0.47022401009623"/>
          <c:h val="0.873977731796236"/>
        </c:manualLayout>
      </c:layout>
      <c:barChart>
        <c:barDir val="bar"/>
        <c:grouping val="clustered"/>
        <c:varyColors val="0"/>
        <c:ser>
          <c:idx val="0"/>
          <c:order val="0"/>
          <c:tx>
            <c:strRef>
              <c:f>LFPR!$C$3</c:f>
              <c:strCache>
                <c:ptCount val="1"/>
                <c:pt idx="0">
                  <c:v>Overall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LFPR!$C$4:$C$27</c:f>
              <c:numCache>
                <c:formatCode>General</c:formatCode>
                <c:ptCount val="24"/>
                <c:pt idx="0">
                  <c:v>0.577</c:v>
                </c:pt>
                <c:pt idx="1">
                  <c:v>0.545</c:v>
                </c:pt>
                <c:pt idx="2">
                  <c:v>0.585</c:v>
                </c:pt>
                <c:pt idx="3">
                  <c:v>0.575</c:v>
                </c:pt>
                <c:pt idx="4">
                  <c:v>0.545</c:v>
                </c:pt>
                <c:pt idx="5">
                  <c:v>0.565</c:v>
                </c:pt>
                <c:pt idx="6">
                  <c:v>0.565</c:v>
                </c:pt>
                <c:pt idx="7">
                  <c:v>0.565</c:v>
                </c:pt>
                <c:pt idx="8">
                  <c:v>0.57</c:v>
                </c:pt>
                <c:pt idx="9">
                  <c:v>0.57</c:v>
                </c:pt>
                <c:pt idx="10">
                  <c:v>0.57</c:v>
                </c:pt>
                <c:pt idx="11">
                  <c:v>0.57</c:v>
                </c:pt>
                <c:pt idx="12">
                  <c:v>0.57</c:v>
                </c:pt>
                <c:pt idx="13">
                  <c:v>0.58</c:v>
                </c:pt>
                <c:pt idx="14">
                  <c:v>0.595</c:v>
                </c:pt>
                <c:pt idx="15">
                  <c:v>0.575</c:v>
                </c:pt>
                <c:pt idx="16">
                  <c:v>0.605</c:v>
                </c:pt>
                <c:pt idx="17">
                  <c:v>0.565</c:v>
                </c:pt>
                <c:pt idx="18">
                  <c:v>0.58</c:v>
                </c:pt>
                <c:pt idx="19">
                  <c:v>0.58</c:v>
                </c:pt>
                <c:pt idx="20">
                  <c:v>0.565</c:v>
                </c:pt>
                <c:pt idx="21">
                  <c:v>0.545</c:v>
                </c:pt>
                <c:pt idx="22">
                  <c:v>0.565</c:v>
                </c:pt>
                <c:pt idx="23">
                  <c:v>0.595</c:v>
                </c:pt>
              </c:numCache>
            </c:numRef>
          </c:val>
        </c:ser>
        <c:ser>
          <c:idx val="1"/>
          <c:order val="1"/>
          <c:tx>
            <c:strRef>
              <c:f>LFPR!$D$3</c:f>
              <c:strCache>
                <c:ptCount val="1"/>
                <c:pt idx="0">
                  <c:v>Authorized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LFPR!$D$4:$D$27</c:f>
              <c:numCache>
                <c:formatCode>General</c:formatCode>
                <c:ptCount val="24"/>
                <c:pt idx="0">
                  <c:v>0.41</c:v>
                </c:pt>
                <c:pt idx="1">
                  <c:v>0.4</c:v>
                </c:pt>
                <c:pt idx="2">
                  <c:v>0.415</c:v>
                </c:pt>
                <c:pt idx="3">
                  <c:v>0.41</c:v>
                </c:pt>
                <c:pt idx="4">
                  <c:v>0.4</c:v>
                </c:pt>
                <c:pt idx="5">
                  <c:v>0.405</c:v>
                </c:pt>
                <c:pt idx="6">
                  <c:v>0.405</c:v>
                </c:pt>
                <c:pt idx="7">
                  <c:v>0.405</c:v>
                </c:pt>
                <c:pt idx="8">
                  <c:v>0.41</c:v>
                </c:pt>
                <c:pt idx="9">
                  <c:v>0.41</c:v>
                </c:pt>
                <c:pt idx="10">
                  <c:v>0.41</c:v>
                </c:pt>
                <c:pt idx="11">
                  <c:v>0.41</c:v>
                </c:pt>
                <c:pt idx="12">
                  <c:v>0.41</c:v>
                </c:pt>
                <c:pt idx="13">
                  <c:v>0.415</c:v>
                </c:pt>
                <c:pt idx="14">
                  <c:v>0.42</c:v>
                </c:pt>
                <c:pt idx="15">
                  <c:v>0.415</c:v>
                </c:pt>
                <c:pt idx="16">
                  <c:v>0.42</c:v>
                </c:pt>
                <c:pt idx="17">
                  <c:v>0.405</c:v>
                </c:pt>
                <c:pt idx="18">
                  <c:v>0.42</c:v>
                </c:pt>
                <c:pt idx="19">
                  <c:v>0.42</c:v>
                </c:pt>
                <c:pt idx="20">
                  <c:v>0.405</c:v>
                </c:pt>
                <c:pt idx="21">
                  <c:v>0.4</c:v>
                </c:pt>
                <c:pt idx="22">
                  <c:v>0.405</c:v>
                </c:pt>
                <c:pt idx="23">
                  <c:v>0.42</c:v>
                </c:pt>
              </c:numCache>
            </c:numRef>
          </c:val>
        </c:ser>
        <c:ser>
          <c:idx val="2"/>
          <c:order val="2"/>
          <c:tx>
            <c:strRef>
              <c:f>LFPR!$E$3</c:f>
              <c:strCache>
                <c:ptCount val="1"/>
                <c:pt idx="0">
                  <c:v>Unauthorized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LFPR!$E$4:$E$27</c:f>
              <c:numCache>
                <c:formatCode>General</c:formatCode>
                <c:ptCount val="24"/>
                <c:pt idx="0">
                  <c:v>0.61</c:v>
                </c:pt>
                <c:pt idx="1">
                  <c:v>0.7</c:v>
                </c:pt>
                <c:pt idx="2">
                  <c:v>0.65</c:v>
                </c:pt>
                <c:pt idx="3">
                  <c:v>0.62</c:v>
                </c:pt>
                <c:pt idx="4">
                  <c:v>0.7</c:v>
                </c:pt>
                <c:pt idx="5">
                  <c:v>0.66</c:v>
                </c:pt>
                <c:pt idx="6">
                  <c:v>0.66</c:v>
                </c:pt>
                <c:pt idx="7">
                  <c:v>0.66</c:v>
                </c:pt>
                <c:pt idx="8">
                  <c:v>0.64</c:v>
                </c:pt>
                <c:pt idx="9">
                  <c:v>0.64</c:v>
                </c:pt>
                <c:pt idx="10">
                  <c:v>0.64</c:v>
                </c:pt>
                <c:pt idx="11">
                  <c:v>0.64</c:v>
                </c:pt>
                <c:pt idx="12">
                  <c:v>0.64</c:v>
                </c:pt>
                <c:pt idx="13">
                  <c:v>0.6</c:v>
                </c:pt>
                <c:pt idx="14">
                  <c:v>0.52</c:v>
                </c:pt>
                <c:pt idx="15">
                  <c:v>0.6</c:v>
                </c:pt>
                <c:pt idx="16">
                  <c:v>0.56</c:v>
                </c:pt>
                <c:pt idx="17">
                  <c:v>0.67</c:v>
                </c:pt>
                <c:pt idx="18">
                  <c:v>0.56</c:v>
                </c:pt>
                <c:pt idx="19">
                  <c:v>0.56</c:v>
                </c:pt>
                <c:pt idx="20">
                  <c:v>0.67</c:v>
                </c:pt>
                <c:pt idx="21">
                  <c:v>0.7</c:v>
                </c:pt>
                <c:pt idx="22">
                  <c:v>0.67</c:v>
                </c:pt>
                <c:pt idx="23">
                  <c:v>0.5</c:v>
                </c:pt>
              </c:numCache>
            </c:numRef>
          </c:val>
        </c:ser>
        <c:ser>
          <c:idx val="3"/>
          <c:order val="3"/>
          <c:tx>
            <c:strRef>
              <c:f>LFPR!$F$3</c:f>
              <c:strCache>
                <c:ptCount val="1"/>
                <c:pt idx="0">
                  <c:v>American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LFPR!$F$4:$F$27</c:f>
              <c:numCache>
                <c:formatCode>General</c:formatCode>
                <c:ptCount val="24"/>
                <c:pt idx="0">
                  <c:v>0.583</c:v>
                </c:pt>
                <c:pt idx="1">
                  <c:v>0.545</c:v>
                </c:pt>
                <c:pt idx="2">
                  <c:v>0.585</c:v>
                </c:pt>
                <c:pt idx="3">
                  <c:v>0.575</c:v>
                </c:pt>
                <c:pt idx="4">
                  <c:v>0.545</c:v>
                </c:pt>
                <c:pt idx="5">
                  <c:v>0.565</c:v>
                </c:pt>
                <c:pt idx="6">
                  <c:v>0.565</c:v>
                </c:pt>
                <c:pt idx="7">
                  <c:v>0.565</c:v>
                </c:pt>
                <c:pt idx="8">
                  <c:v>0.57</c:v>
                </c:pt>
                <c:pt idx="9">
                  <c:v>0.57</c:v>
                </c:pt>
                <c:pt idx="10">
                  <c:v>0.57</c:v>
                </c:pt>
                <c:pt idx="11">
                  <c:v>0.57</c:v>
                </c:pt>
                <c:pt idx="12">
                  <c:v>0.57</c:v>
                </c:pt>
                <c:pt idx="13">
                  <c:v>0.58</c:v>
                </c:pt>
                <c:pt idx="14">
                  <c:v>0.595</c:v>
                </c:pt>
                <c:pt idx="15">
                  <c:v>0.575</c:v>
                </c:pt>
                <c:pt idx="16">
                  <c:v>0.605</c:v>
                </c:pt>
                <c:pt idx="17">
                  <c:v>0.565</c:v>
                </c:pt>
                <c:pt idx="18">
                  <c:v>0.58</c:v>
                </c:pt>
                <c:pt idx="19">
                  <c:v>0.58</c:v>
                </c:pt>
                <c:pt idx="20">
                  <c:v>0.565</c:v>
                </c:pt>
                <c:pt idx="21">
                  <c:v>0.545</c:v>
                </c:pt>
                <c:pt idx="22">
                  <c:v>0.565</c:v>
                </c:pt>
                <c:pt idx="23">
                  <c:v>0.595</c:v>
                </c:pt>
              </c:numCache>
            </c:numRef>
          </c:val>
        </c:ser>
        <c:gapWidth val="100"/>
        <c:overlap val="0"/>
        <c:axId val="27960674"/>
        <c:axId val="53525723"/>
      </c:barChart>
      <c:catAx>
        <c:axId val="2796067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8549610799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525723"/>
        <c:crosses val="autoZero"/>
        <c:auto val="1"/>
        <c:lblAlgn val="ctr"/>
        <c:lblOffset val="100"/>
        <c:noMultiLvlLbl val="0"/>
      </c:catAx>
      <c:valAx>
        <c:axId val="5352572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520902350529"/>
              <c:y val="0.9691841560744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960674"/>
        <c:crosses val="max"/>
        <c:crossBetween val="midCat"/>
      </c:valAx>
      <c:spPr>
        <a:noFill/>
        <a:ln w="0">
          <a:solidFill>
            <a:srgbClr val="b3b3b3"/>
          </a:solidFill>
        </a:ln>
      </c:spPr>
    </c:plotArea>
    <c:legend>
      <c:legendPos val="r"/>
      <c:layout>
        <c:manualLayout>
          <c:xMode val="edge"/>
          <c:yMode val="edge"/>
          <c:x val="0.802547519520467"/>
          <c:y val="0.0768510764077048"/>
          <c:w val="0.171944630673976"/>
          <c:h val="0.1117570263812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551348793185"/>
          <c:y val="0.0105182776628239"/>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U3R!$C$4:$C$29</c:f>
              <c:numCache>
                <c:formatCode>0.00%</c:formatCode>
                <c:ptCount val="26"/>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U3R!$D$4:$D$29</c:f>
              <c:numCache>
                <c:formatCode>0.00%</c:formatCode>
                <c:ptCount val="26"/>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U3R!$E$4:$E$29</c:f>
              <c:numCache>
                <c:formatCode>0.00%</c:formatCode>
                <c:ptCount val="26"/>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U3R!$F$4:$F$29</c:f>
              <c:numCache>
                <c:formatCode>0.00%</c:formatCode>
                <c:ptCount val="26"/>
              </c:numCache>
            </c:numRef>
          </c:val>
        </c:ser>
        <c:gapWidth val="100"/>
        <c:overlap val="0"/>
        <c:axId val="60237803"/>
        <c:axId val="40173041"/>
      </c:barChart>
      <c:catAx>
        <c:axId val="6023780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8303281111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173041"/>
        <c:crosses val="autoZero"/>
        <c:auto val="1"/>
        <c:lblAlgn val="ctr"/>
        <c:lblOffset val="100"/>
        <c:noMultiLvlLbl val="0"/>
      </c:catAx>
      <c:valAx>
        <c:axId val="4017304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560340747752"/>
              <c:y val="0.9691841560744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237803"/>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973181889888"/>
          <c:y val="0.0105182776628239"/>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U6R!$C$4:$C$29</c:f>
              <c:numCache>
                <c:formatCode>0.00%</c:formatCode>
                <c:ptCount val="26"/>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U6R!$D$4:$D$29</c:f>
              <c:numCache>
                <c:formatCode>0.00%</c:formatCode>
                <c:ptCount val="26"/>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U6R!$E$4:$E$29</c:f>
              <c:numCache>
                <c:formatCode>0.00%</c:formatCode>
                <c:ptCount val="26"/>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U6R!$F$4:$F$29</c:f>
              <c:numCache>
                <c:formatCode>0.00%</c:formatCode>
                <c:ptCount val="26"/>
              </c:numCache>
            </c:numRef>
          </c:val>
        </c:ser>
        <c:gapWidth val="100"/>
        <c:overlap val="0"/>
        <c:axId val="42450613"/>
        <c:axId val="96959928"/>
      </c:barChart>
      <c:catAx>
        <c:axId val="4245061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8303281111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959928"/>
        <c:crosses val="autoZero"/>
        <c:auto val="1"/>
        <c:lblAlgn val="ctr"/>
        <c:lblOffset val="100"/>
        <c:noMultiLvlLbl val="0"/>
      </c:catAx>
      <c:valAx>
        <c:axId val="9695992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929326392175"/>
              <c:y val="0.9691841560744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450613"/>
        <c:crosses val="max"/>
        <c:crossBetween val="midCat"/>
        <c:majorUnit val="0.01"/>
      </c:valAx>
      <c:spPr>
        <a:noFill/>
        <a:ln w="0">
          <a:solidFill>
            <a:srgbClr val="b3b3b3"/>
          </a:solidFill>
        </a:ln>
      </c:spPr>
    </c:plotArea>
    <c:legend>
      <c:legendPos val="r"/>
      <c:layout>
        <c:manualLayout>
          <c:xMode val="edge"/>
          <c:yMode val="edge"/>
          <c:x val="0.802562586240883"/>
          <c:y val="0.0768624553626401"/>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973181889888"/>
          <c:y val="0.0105182776628239"/>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U6R!$C$30:$C$55</c:f>
              <c:numCache>
                <c:formatCode>0.00%</c:formatCode>
                <c:ptCount val="26"/>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U6R!$D$30:$D$55</c:f>
              <c:numCache>
                <c:formatCode>0.00%</c:formatCode>
                <c:ptCount val="26"/>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U6R!$E$30:$E$55</c:f>
              <c:numCache>
                <c:formatCode>0.00%</c:formatCode>
                <c:ptCount val="26"/>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U6R!$F$30:$F$55</c:f>
              <c:numCache>
                <c:formatCode>0.00%</c:formatCode>
                <c:ptCount val="26"/>
              </c:numCache>
            </c:numRef>
          </c:val>
        </c:ser>
        <c:gapWidth val="100"/>
        <c:overlap val="0"/>
        <c:axId val="42154004"/>
        <c:axId val="86008659"/>
      </c:barChart>
      <c:catAx>
        <c:axId val="4215400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78106217361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008659"/>
        <c:crosses val="autoZero"/>
        <c:auto val="1"/>
        <c:lblAlgn val="ctr"/>
        <c:lblOffset val="100"/>
        <c:noMultiLvlLbl val="0"/>
      </c:catAx>
      <c:valAx>
        <c:axId val="8600865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2008203186623"/>
              <c:y val="0.9691841560744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154004"/>
        <c:crosses val="max"/>
        <c:crossBetween val="midCat"/>
        <c:majorUnit val="0.01"/>
      </c:valAx>
      <c:spPr>
        <a:noFill/>
        <a:ln w="0">
          <a:solidFill>
            <a:srgbClr val="b3b3b3"/>
          </a:solidFill>
        </a:ln>
      </c:spPr>
    </c:plotArea>
    <c:legend>
      <c:legendPos val="r"/>
      <c:layout>
        <c:manualLayout>
          <c:xMode val="edge"/>
          <c:yMode val="edge"/>
          <c:x val="0.802523161837177"/>
          <c:y val="0.0768378278537126"/>
          <c:w val="0.171936603059454"/>
          <c:h val="0.11176238794207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05836882789"/>
          <c:y val="0.0105182776628239"/>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WAVG!$C$4:$C$29</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WAVG!$D$4:$D$29</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WAVG!$E$4:$E$29</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WAVG!$F$4:$F$29</c:f>
              <c:numCache>
                <c:formatCode>[$$-409]#,##0.00;[RED]\-[$$-409]#,##0.00</c:formatCode>
                <c:ptCount val="26"/>
              </c:numCache>
            </c:numRef>
          </c:val>
        </c:ser>
        <c:gapWidth val="100"/>
        <c:overlap val="0"/>
        <c:axId val="3774692"/>
        <c:axId val="44566063"/>
      </c:barChart>
      <c:catAx>
        <c:axId val="377469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6825302985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566063"/>
        <c:crosses val="autoZero"/>
        <c:auto val="1"/>
        <c:lblAlgn val="ctr"/>
        <c:lblOffset val="100"/>
        <c:noMultiLvlLbl val="0"/>
      </c:catAx>
      <c:valAx>
        <c:axId val="445660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18094336646"/>
              <c:y val="0.96918415607449"/>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774692"/>
        <c:crosses val="max"/>
        <c:crossBetween val="midCat"/>
      </c:valAx>
      <c:spPr>
        <a:noFill/>
        <a:ln w="0">
          <a:solidFill>
            <a:srgbClr val="b3b3b3"/>
          </a:solidFill>
        </a:ln>
      </c:spPr>
    </c:plotArea>
    <c:legend>
      <c:legendPos val="r"/>
      <c:layout>
        <c:manualLayout>
          <c:xMode val="edge"/>
          <c:yMode val="edge"/>
          <c:x val="0.802523161837177"/>
          <c:y val="0.0767639453269302"/>
          <c:w val="0.171897177101404"/>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12415207446"/>
          <c:y val="0.0105182776628239"/>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WAVG!$C$30:$C$55</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WAVG!$D$30:$D$55</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WAVG!$E$30:$E$55</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WAVG!$F$30:$F$55</c:f>
              <c:numCache>
                <c:formatCode>[$$-409]#,##0.00;[RED]\-[$$-409]#,##0.00</c:formatCode>
                <c:ptCount val="26"/>
              </c:numCache>
            </c:numRef>
          </c:val>
        </c:ser>
        <c:gapWidth val="100"/>
        <c:overlap val="0"/>
        <c:axId val="4858384"/>
        <c:axId val="14678280"/>
      </c:barChart>
      <c:catAx>
        <c:axId val="485838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63326436102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678280"/>
        <c:crosses val="autoZero"/>
        <c:auto val="1"/>
        <c:lblAlgn val="ctr"/>
        <c:lblOffset val="100"/>
        <c:noMultiLvlLbl val="0"/>
      </c:catAx>
      <c:valAx>
        <c:axId val="1467828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96971131093"/>
              <c:y val="0.96918415607449"/>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58384"/>
        <c:crosses val="max"/>
        <c:crossBetween val="midCat"/>
      </c:valAx>
      <c:spPr>
        <a:noFill/>
        <a:ln w="0">
          <a:solidFill>
            <a:srgbClr val="b3b3b3"/>
          </a:solidFill>
        </a:ln>
      </c:spPr>
    </c:plotArea>
    <c:legend>
      <c:legendPos val="r"/>
      <c:layout>
        <c:manualLayout>
          <c:xMode val="edge"/>
          <c:yMode val="edge"/>
          <c:x val="0.802483737433471"/>
          <c:y val="0.0767639453269302"/>
          <c:w val="0.171857751143353"/>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45101751065"/>
          <c:y val="0.016799684697999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AIAVG!$C$4:$C$29</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AIAVG!$D$4:$D$29</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AIAVG!$E$4:$E$29</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AIAVG!$F$4:$F$29</c:f>
              <c:numCache>
                <c:formatCode>[$$-409]#,##0;[RED]\-[$$-409]#,##0</c:formatCode>
                <c:ptCount val="26"/>
              </c:numCache>
            </c:numRef>
          </c:val>
        </c:ser>
        <c:gapWidth val="100"/>
        <c:overlap val="0"/>
        <c:axId val="86993613"/>
        <c:axId val="7309586"/>
      </c:barChart>
      <c:catAx>
        <c:axId val="8699361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5347324859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09586"/>
        <c:crosses val="autoZero"/>
        <c:auto val="1"/>
        <c:lblAlgn val="ctr"/>
        <c:lblOffset val="100"/>
        <c:noMultiLvlLbl val="0"/>
      </c:catAx>
      <c:valAx>
        <c:axId val="730958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825051269916"/>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6993613"/>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45101751065"/>
          <c:y val="0.016799684697999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AIAVG!$C$30:$C$55</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AIAVG!$D$30:$D$55</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AIAVG!$E$30:$E$55</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AIAVG!$F$30:$F$55</c:f>
              <c:numCache>
                <c:formatCode>[$$-409]#,##0;[RED]\-[$$-409]#,##0</c:formatCode>
                <c:ptCount val="26"/>
              </c:numCache>
            </c:numRef>
          </c:val>
        </c:ser>
        <c:gapWidth val="100"/>
        <c:overlap val="0"/>
        <c:axId val="90913443"/>
        <c:axId val="15580305"/>
      </c:barChart>
      <c:catAx>
        <c:axId val="9091344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4115676421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580305"/>
        <c:crosses val="autoZero"/>
        <c:auto val="1"/>
        <c:lblAlgn val="ctr"/>
        <c:lblOffset val="100"/>
        <c:noMultiLvlLbl val="0"/>
      </c:catAx>
      <c:valAx>
        <c:axId val="1558030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825051269916"/>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0913443"/>
        <c:crosses val="max"/>
        <c:crossBetween val="midCat"/>
      </c:valAx>
      <c:spPr>
        <a:noFill/>
        <a:ln w="0">
          <a:solidFill>
            <a:srgbClr val="b3b3b3"/>
          </a:solidFill>
        </a:ln>
      </c:spPr>
    </c:plotArea>
    <c:legend>
      <c:legendPos val="r"/>
      <c:layout>
        <c:manualLayout>
          <c:xMode val="edge"/>
          <c:yMode val="edge"/>
          <c:x val="0.785807214665878"/>
          <c:y val="0.0767393178180027"/>
          <c:w val="0.188495505440782"/>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70784035337"/>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FPITREV!$C$4:$C$29</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FPITREV!$D$4:$D$29</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FPITREV!$E$4:$E$29</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FPITREV!$F$4:$F$29</c:f>
              <c:numCache>
                <c:formatCode>[$$-409]#,##0;\-[$$-409]#,##0</c:formatCode>
                <c:ptCount val="26"/>
              </c:numCache>
            </c:numRef>
          </c:val>
        </c:ser>
        <c:gapWidth val="100"/>
        <c:overlap val="0"/>
        <c:axId val="76860804"/>
        <c:axId val="93656351"/>
      </c:barChart>
      <c:catAx>
        <c:axId val="7686080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5347324859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656351"/>
        <c:crosses val="autoZero"/>
        <c:auto val="1"/>
        <c:lblAlgn val="ctr"/>
        <c:lblOffset val="100"/>
        <c:noMultiLvlLbl val="0"/>
      </c:catAx>
      <c:valAx>
        <c:axId val="9365635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75753273387"/>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860804"/>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70784035337"/>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FPITREV!$C$30:$C$55</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FPITREV!$D$30:$D$55</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FPITREV!$E$30:$E$55</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FPITREV!$F$30:$F$55</c:f>
              <c:numCache>
                <c:formatCode>[$$-409]#,##0;\-[$$-409]#,##0</c:formatCode>
                <c:ptCount val="26"/>
              </c:numCache>
            </c:numRef>
          </c:val>
        </c:ser>
        <c:gapWidth val="100"/>
        <c:overlap val="0"/>
        <c:axId val="60726775"/>
        <c:axId val="54817558"/>
      </c:barChart>
      <c:catAx>
        <c:axId val="607267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38693467336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4817558"/>
        <c:crosses val="autoZero"/>
        <c:auto val="1"/>
        <c:lblAlgn val="ctr"/>
        <c:lblOffset val="100"/>
        <c:noMultiLvlLbl val="0"/>
      </c:catAx>
      <c:valAx>
        <c:axId val="5481755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954724719987"/>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726775"/>
        <c:crosses val="max"/>
        <c:crossBetween val="midCat"/>
      </c:valAx>
      <c:spPr>
        <a:noFill/>
        <a:ln w="0">
          <a:solidFill>
            <a:srgbClr val="b3b3b3"/>
          </a:solidFill>
        </a:ln>
      </c:spPr>
    </c:plotArea>
    <c:legend>
      <c:legendPos val="r"/>
      <c:layout>
        <c:manualLayout>
          <c:xMode val="edge"/>
          <c:yMode val="edge"/>
          <c:x val="0.785807214665878"/>
          <c:y val="0.0767146903090752"/>
          <c:w val="0.188534931398833"/>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53005205868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39870347"/>
        <c:axId val="74007424"/>
      </c:barChart>
      <c:catAx>
        <c:axId val="3987034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4115676421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007424"/>
        <c:crosses val="autoZero"/>
        <c:auto val="1"/>
        <c:lblAlgn val="ctr"/>
        <c:lblOffset val="100"/>
        <c:noMultiLvlLbl val="0"/>
      </c:catAx>
      <c:valAx>
        <c:axId val="7400742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442025556081"/>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9870347"/>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53005205868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8478132"/>
        <c:axId val="11567950"/>
      </c:barChart>
      <c:catAx>
        <c:axId val="847813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31303576707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1567950"/>
        <c:crosses val="autoZero"/>
        <c:auto val="1"/>
        <c:lblAlgn val="ctr"/>
        <c:lblOffset val="100"/>
        <c:noMultiLvlLbl val="0"/>
      </c:catAx>
      <c:valAx>
        <c:axId val="1156795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520902350529"/>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78132"/>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42514592207"/>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46400574"/>
        <c:axId val="53471609"/>
      </c:barChart>
      <c:catAx>
        <c:axId val="4640057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38693467336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471609"/>
        <c:crosses val="autoZero"/>
        <c:auto val="1"/>
        <c:lblAlgn val="ctr"/>
        <c:lblOffset val="100"/>
        <c:noMultiLvlLbl val="0"/>
      </c:catAx>
      <c:valAx>
        <c:axId val="5347160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994163117211"/>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400574"/>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5828995109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2882379"/>
        <c:axId val="46661149"/>
      </c:barChart>
      <c:catAx>
        <c:axId val="288237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28840279830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661149"/>
        <c:crosses val="autoZero"/>
        <c:auto val="1"/>
        <c:lblAlgn val="ctr"/>
        <c:lblOffset val="100"/>
        <c:noMultiLvlLbl val="0"/>
      </c:catAx>
      <c:valAx>
        <c:axId val="4666114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151916706105"/>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882379"/>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92664458116"/>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36976020"/>
        <c:axId val="25686963"/>
      </c:barChart>
      <c:catAx>
        <c:axId val="3697602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2145038920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686963"/>
        <c:crosses val="autoZero"/>
        <c:auto val="1"/>
        <c:lblAlgn val="ctr"/>
        <c:lblOffset val="100"/>
        <c:noMultiLvlLbl val="0"/>
      </c:catAx>
      <c:valAx>
        <c:axId val="2568696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061681653258"/>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976020"/>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492664458116"/>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59177980"/>
        <c:axId val="11253765"/>
      </c:barChart>
      <c:catAx>
        <c:axId val="5917798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16523795447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1253765"/>
        <c:crosses val="autoZero"/>
        <c:auto val="1"/>
        <c:lblAlgn val="ctr"/>
        <c:lblOffset val="100"/>
        <c:noMultiLvlLbl val="0"/>
      </c:catAx>
      <c:valAx>
        <c:axId val="1125376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061681653258"/>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177980"/>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715412525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71298682"/>
        <c:axId val="14316967"/>
      </c:barChart>
      <c:catAx>
        <c:axId val="7129868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1898709232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316967"/>
        <c:crosses val="autoZero"/>
        <c:auto val="1"/>
        <c:lblAlgn val="ctr"/>
        <c:lblOffset val="100"/>
        <c:noMultiLvlLbl val="0"/>
      </c:catAx>
      <c:valAx>
        <c:axId val="1431696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061681653258"/>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298682"/>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715412525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52068148"/>
        <c:axId val="52146404"/>
      </c:barChart>
      <c:catAx>
        <c:axId val="5206814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14060498571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2146404"/>
        <c:crosses val="autoZero"/>
        <c:auto val="1"/>
        <c:lblAlgn val="ctr"/>
        <c:lblOffset val="100"/>
        <c:noMultiLvlLbl val="0"/>
      </c:catAx>
      <c:valAx>
        <c:axId val="521464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061681653258"/>
              <c:y val="0.96918415607449"/>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2068148"/>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715412525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EP!$C$4:$C$29</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EP!$D$4:$D$29</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EP!$E$4:$E$29</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EP!$F$4:$F$29</c:f>
              <c:numCache>
                <c:formatCode>General</c:formatCode>
                <c:ptCount val="26"/>
              </c:numCache>
            </c:numRef>
          </c:val>
        </c:ser>
        <c:gapWidth val="100"/>
        <c:overlap val="0"/>
        <c:axId val="93792828"/>
        <c:axId val="95589193"/>
      </c:barChart>
      <c:catAx>
        <c:axId val="9379282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11597201694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5589193"/>
        <c:crosses val="autoZero"/>
        <c:auto val="1"/>
        <c:lblAlgn val="ctr"/>
        <c:lblOffset val="100"/>
        <c:noMultiLvlLbl val="0"/>
      </c:catAx>
      <c:valAx>
        <c:axId val="9558919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061681653258"/>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792828"/>
        <c:crosses val="max"/>
        <c:crossBetween val="midCat"/>
      </c:valAx>
      <c:spPr>
        <a:noFill/>
        <a:ln w="0">
          <a:solidFill>
            <a:srgbClr val="b3b3b3"/>
          </a:solidFill>
        </a:ln>
      </c:spPr>
    </c:plotArea>
    <c:legend>
      <c:legendPos val="r"/>
      <c:layout>
        <c:manualLayout>
          <c:xMode val="edge"/>
          <c:yMode val="edge"/>
          <c:x val="0.804250118277874"/>
          <c:y val="0.0766919515318688"/>
          <c:w val="0.170050861491149"/>
          <c:h val="0.111691254340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715412525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EP!$C$30:$C$55</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EP!$D$30:$D$55</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EP!$E$30:$E$55</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EP!$F$30:$F$55</c:f>
              <c:numCache>
                <c:formatCode>General</c:formatCode>
                <c:ptCount val="26"/>
              </c:numCache>
            </c:numRef>
          </c:val>
        </c:ser>
        <c:gapWidth val="100"/>
        <c:overlap val="0"/>
        <c:axId val="18885058"/>
        <c:axId val="50491242"/>
      </c:barChart>
      <c:catAx>
        <c:axId val="1888505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04207311065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0491242"/>
        <c:crosses val="autoZero"/>
        <c:auto val="1"/>
        <c:lblAlgn val="ctr"/>
        <c:lblOffset val="100"/>
        <c:noMultiLvlLbl val="0"/>
      </c:catAx>
      <c:valAx>
        <c:axId val="504912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061681653258"/>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885058"/>
        <c:crosses val="max"/>
        <c:crossBetween val="midCat"/>
      </c:valAx>
      <c:spPr>
        <a:noFill/>
        <a:ln w="0">
          <a:solidFill>
            <a:srgbClr val="b3b3b3"/>
          </a:solidFill>
        </a:ln>
      </c:spPr>
    </c:plotArea>
    <c:legend>
      <c:legendPos val="r"/>
      <c:layout>
        <c:manualLayout>
          <c:xMode val="edge"/>
          <c:yMode val="edge"/>
          <c:x val="0.804210692319823"/>
          <c:y val="0.0766919515318688"/>
          <c:w val="0.17001143397863"/>
          <c:h val="0.11166662561879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715412525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8003351"/>
        <c:axId val="56162497"/>
      </c:barChart>
      <c:catAx>
        <c:axId val="80033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09133904818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162497"/>
        <c:crosses val="autoZero"/>
        <c:auto val="1"/>
        <c:lblAlgn val="ctr"/>
        <c:lblOffset val="100"/>
        <c:noMultiLvlLbl val="0"/>
      </c:catAx>
      <c:valAx>
        <c:axId val="5616249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061681653258"/>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03351"/>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71541252564"/>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75951600"/>
        <c:axId val="71920326"/>
      </c:barChart>
      <c:catAx>
        <c:axId val="7595160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0174401418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920326"/>
        <c:crosses val="autoZero"/>
        <c:auto val="1"/>
        <c:lblAlgn val="ctr"/>
        <c:lblOffset val="100"/>
        <c:noMultiLvlLbl val="0"/>
      </c:catAx>
      <c:valAx>
        <c:axId val="7192032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061681653258"/>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5951600"/>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887048430352"/>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4321377"/>
        <c:axId val="54774839"/>
      </c:barChart>
      <c:catAx>
        <c:axId val="432137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06670607941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4774839"/>
        <c:crosses val="autoZero"/>
        <c:auto val="1"/>
        <c:lblAlgn val="ctr"/>
        <c:lblOffset val="100"/>
        <c:noMultiLvlLbl val="0"/>
      </c:catAx>
      <c:valAx>
        <c:axId val="5477483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77188831046"/>
              <c:y val="0.9691841560744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321377"/>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887048430352"/>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94983214"/>
        <c:axId val="65890449"/>
      </c:barChart>
      <c:catAx>
        <c:axId val="9498321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699280717312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890449"/>
        <c:crosses val="autoZero"/>
        <c:auto val="1"/>
        <c:lblAlgn val="ctr"/>
        <c:lblOffset val="100"/>
        <c:noMultiLvlLbl val="0"/>
      </c:catAx>
      <c:valAx>
        <c:axId val="6589044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77188831046"/>
              <c:y val="0.96918415607449"/>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4983214"/>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926486827575"/>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27659449"/>
        <c:axId val="28763331"/>
      </c:barChart>
      <c:catAx>
        <c:axId val="2765944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70174401418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8763331"/>
        <c:crosses val="autoZero"/>
        <c:auto val="1"/>
        <c:lblAlgn val="ctr"/>
        <c:lblOffset val="100"/>
        <c:noMultiLvlLbl val="0"/>
      </c:catAx>
      <c:valAx>
        <c:axId val="2876333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101120050481"/>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659449"/>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926486827575"/>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48757567"/>
        <c:axId val="76002168"/>
      </c:barChart>
      <c:catAx>
        <c:axId val="4875756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69681742043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002168"/>
        <c:crosses val="autoZero"/>
        <c:auto val="1"/>
        <c:lblAlgn val="ctr"/>
        <c:lblOffset val="100"/>
        <c:noMultiLvlLbl val="0"/>
      </c:catAx>
      <c:valAx>
        <c:axId val="7600216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101120050481"/>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757567"/>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3965925224799"/>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11997568"/>
        <c:axId val="6260277"/>
      </c:barChart>
      <c:catAx>
        <c:axId val="119975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699280717312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260277"/>
        <c:crosses val="autoZero"/>
        <c:auto val="1"/>
        <c:lblAlgn val="ctr"/>
        <c:lblOffset val="100"/>
        <c:noMultiLvlLbl val="0"/>
      </c:catAx>
      <c:valAx>
        <c:axId val="626027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101120050481"/>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1997568"/>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3965925224799"/>
          <c:y val="0.0113804315696128"/>
        </c:manualLayout>
      </c:layout>
      <c:overlay val="0"/>
      <c:spPr>
        <a:noFill/>
        <a:ln w="0">
          <a:noFill/>
        </a:ln>
      </c:spPr>
    </c:title>
    <c:autoTitleDeleted val="0"/>
    <c:plotArea>
      <c:layout>
        <c:manualLayout>
          <c:layoutTarget val="inner"/>
          <c:xMode val="edge"/>
          <c:yMode val="edge"/>
          <c:x val="0.298982489351633"/>
          <c:y val="0.0469011725293132"/>
          <c:w val="0.47022401009623"/>
          <c:h val="0.873977731796236"/>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53765981"/>
        <c:axId val="19849406"/>
      </c:barChart>
      <c:catAx>
        <c:axId val="5376598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389809118157"/>
              <c:y val="0.476943541235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849406"/>
        <c:crosses val="autoZero"/>
        <c:auto val="1"/>
        <c:lblAlgn val="ctr"/>
        <c:lblOffset val="100"/>
        <c:noMultiLvlLbl val="0"/>
      </c:catAx>
      <c:valAx>
        <c:axId val="1984940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101120050481"/>
              <c:y val="0.96918415607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765981"/>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7.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8.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_rels/drawing9.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10.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11.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_rels/drawing12.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13.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14.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_rels/drawing15.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
</Relationships>
</file>

<file path=xl/drawings/_rels/drawing16.xml.rels><?xml version="1.0" encoding="UTF-8"?>
<Relationships xmlns="http://schemas.openxmlformats.org/package/2006/relationships"><Relationship Id="rId1" Type="http://schemas.openxmlformats.org/officeDocument/2006/relationships/chart" Target="../charts/chart27.xml"/><Relationship Id="rId2" Type="http://schemas.openxmlformats.org/officeDocument/2006/relationships/chart" Target="../charts/chart28.xml"/>
</Relationships>
</file>

<file path=xl/drawings/_rels/drawing17.xml.rels><?xml version="1.0" encoding="UTF-8"?>
<Relationships xmlns="http://schemas.openxmlformats.org/package/2006/relationships"><Relationship Id="rId1" Type="http://schemas.openxmlformats.org/officeDocument/2006/relationships/chart" Target="../charts/chart29.xml"/><Relationship Id="rId2" Type="http://schemas.openxmlformats.org/officeDocument/2006/relationships/chart" Target="../charts/chart3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30</xdr:row>
      <xdr:rowOff>11520</xdr:rowOff>
    </xdr:from>
    <xdr:to>
      <xdr:col>7</xdr:col>
      <xdr:colOff>382320</xdr:colOff>
      <xdr:row>120</xdr:row>
      <xdr:rowOff>10800</xdr:rowOff>
    </xdr:to>
    <xdr:graphicFrame>
      <xdr:nvGraphicFramePr>
        <xdr:cNvPr id="1" name=""/>
        <xdr:cNvGraphicFramePr/>
      </xdr:nvGraphicFramePr>
      <xdr:xfrm>
        <a:off x="914400" y="6995160"/>
        <a:ext cx="9140760" cy="14629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30</xdr:row>
      <xdr:rowOff>10080</xdr:rowOff>
    </xdr:from>
    <xdr:to>
      <xdr:col>6</xdr:col>
      <xdr:colOff>595080</xdr:colOff>
      <xdr:row>120</xdr:row>
      <xdr:rowOff>9360</xdr:rowOff>
    </xdr:to>
    <xdr:graphicFrame>
      <xdr:nvGraphicFramePr>
        <xdr:cNvPr id="2" name=""/>
        <xdr:cNvGraphicFramePr/>
      </xdr:nvGraphicFramePr>
      <xdr:xfrm>
        <a:off x="914400" y="6995160"/>
        <a:ext cx="9143280" cy="14629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32</xdr:row>
      <xdr:rowOff>31320</xdr:rowOff>
    </xdr:from>
    <xdr:to>
      <xdr:col>7</xdr:col>
      <xdr:colOff>908640</xdr:colOff>
      <xdr:row>122</xdr:row>
      <xdr:rowOff>15120</xdr:rowOff>
    </xdr:to>
    <xdr:graphicFrame>
      <xdr:nvGraphicFramePr>
        <xdr:cNvPr id="3" name=""/>
        <xdr:cNvGraphicFramePr/>
      </xdr:nvGraphicFramePr>
      <xdr:xfrm>
        <a:off x="804960" y="776628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1119960</xdr:colOff>
      <xdr:row>149</xdr:row>
      <xdr:rowOff>146880</xdr:rowOff>
    </xdr:to>
    <xdr:graphicFrame>
      <xdr:nvGraphicFramePr>
        <xdr:cNvPr id="4" name=""/>
        <xdr:cNvGraphicFramePr/>
      </xdr:nvGraphicFramePr>
      <xdr:xfrm>
        <a:off x="804600" y="101790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1119960</xdr:colOff>
      <xdr:row>149</xdr:row>
      <xdr:rowOff>146880</xdr:rowOff>
    </xdr:to>
    <xdr:graphicFrame>
      <xdr:nvGraphicFramePr>
        <xdr:cNvPr id="5" name=""/>
        <xdr:cNvGraphicFramePr/>
      </xdr:nvGraphicFramePr>
      <xdr:xfrm>
        <a:off x="804600" y="101790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1119960</xdr:colOff>
      <xdr:row>244</xdr:row>
      <xdr:rowOff>153360</xdr:rowOff>
    </xdr:to>
    <xdr:graphicFrame>
      <xdr:nvGraphicFramePr>
        <xdr:cNvPr id="6" name=""/>
        <xdr:cNvGraphicFramePr/>
      </xdr:nvGraphicFramePr>
      <xdr:xfrm>
        <a:off x="804600" y="2562876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1119960</xdr:colOff>
      <xdr:row>149</xdr:row>
      <xdr:rowOff>146880</xdr:rowOff>
    </xdr:to>
    <xdr:graphicFrame>
      <xdr:nvGraphicFramePr>
        <xdr:cNvPr id="7" name=""/>
        <xdr:cNvGraphicFramePr/>
      </xdr:nvGraphicFramePr>
      <xdr:xfrm>
        <a:off x="804600" y="100368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9720</xdr:rowOff>
    </xdr:from>
    <xdr:to>
      <xdr:col>6</xdr:col>
      <xdr:colOff>1119960</xdr:colOff>
      <xdr:row>244</xdr:row>
      <xdr:rowOff>156240</xdr:rowOff>
    </xdr:to>
    <xdr:graphicFrame>
      <xdr:nvGraphicFramePr>
        <xdr:cNvPr id="8" name=""/>
        <xdr:cNvGraphicFramePr/>
      </xdr:nvGraphicFramePr>
      <xdr:xfrm>
        <a:off x="804600" y="254890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59</xdr:row>
      <xdr:rowOff>158400</xdr:rowOff>
    </xdr:from>
    <xdr:to>
      <xdr:col>6</xdr:col>
      <xdr:colOff>1120320</xdr:colOff>
      <xdr:row>149</xdr:row>
      <xdr:rowOff>142200</xdr:rowOff>
    </xdr:to>
    <xdr:graphicFrame>
      <xdr:nvGraphicFramePr>
        <xdr:cNvPr id="9" name=""/>
        <xdr:cNvGraphicFramePr/>
      </xdr:nvGraphicFramePr>
      <xdr:xfrm>
        <a:off x="804960" y="1017432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1119960</xdr:colOff>
      <xdr:row>244</xdr:row>
      <xdr:rowOff>153360</xdr:rowOff>
    </xdr:to>
    <xdr:graphicFrame>
      <xdr:nvGraphicFramePr>
        <xdr:cNvPr id="10" name=""/>
        <xdr:cNvGraphicFramePr/>
      </xdr:nvGraphicFramePr>
      <xdr:xfrm>
        <a:off x="804600" y="2562876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60</xdr:row>
      <xdr:rowOff>20160</xdr:rowOff>
    </xdr:from>
    <xdr:to>
      <xdr:col>6</xdr:col>
      <xdr:colOff>1132560</xdr:colOff>
      <xdr:row>150</xdr:row>
      <xdr:rowOff>3960</xdr:rowOff>
    </xdr:to>
    <xdr:graphicFrame>
      <xdr:nvGraphicFramePr>
        <xdr:cNvPr id="11" name=""/>
        <xdr:cNvGraphicFramePr/>
      </xdr:nvGraphicFramePr>
      <xdr:xfrm>
        <a:off x="817200" y="1019844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1119960</xdr:colOff>
      <xdr:row>244</xdr:row>
      <xdr:rowOff>153360</xdr:rowOff>
    </xdr:to>
    <xdr:graphicFrame>
      <xdr:nvGraphicFramePr>
        <xdr:cNvPr id="12" name=""/>
        <xdr:cNvGraphicFramePr/>
      </xdr:nvGraphicFramePr>
      <xdr:xfrm>
        <a:off x="804600" y="2562876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258480</xdr:colOff>
      <xdr:row>149</xdr:row>
      <xdr:rowOff>147240</xdr:rowOff>
    </xdr:to>
    <xdr:graphicFrame>
      <xdr:nvGraphicFramePr>
        <xdr:cNvPr id="13" name=""/>
        <xdr:cNvGraphicFramePr/>
      </xdr:nvGraphicFramePr>
      <xdr:xfrm>
        <a:off x="804960" y="1031976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258120</xdr:colOff>
      <xdr:row>245</xdr:row>
      <xdr:rowOff>2520</xdr:rowOff>
    </xdr:to>
    <xdr:graphicFrame>
      <xdr:nvGraphicFramePr>
        <xdr:cNvPr id="14" name=""/>
        <xdr:cNvGraphicFramePr/>
      </xdr:nvGraphicFramePr>
      <xdr:xfrm>
        <a:off x="804600" y="257806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270720</xdr:colOff>
      <xdr:row>149</xdr:row>
      <xdr:rowOff>145080</xdr:rowOff>
    </xdr:to>
    <xdr:graphicFrame>
      <xdr:nvGraphicFramePr>
        <xdr:cNvPr id="15" name=""/>
        <xdr:cNvGraphicFramePr/>
      </xdr:nvGraphicFramePr>
      <xdr:xfrm>
        <a:off x="979560" y="101754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262440</xdr:colOff>
      <xdr:row>245</xdr:row>
      <xdr:rowOff>5040</xdr:rowOff>
    </xdr:to>
    <xdr:graphicFrame>
      <xdr:nvGraphicFramePr>
        <xdr:cNvPr id="16" name=""/>
        <xdr:cNvGraphicFramePr/>
      </xdr:nvGraphicFramePr>
      <xdr:xfrm>
        <a:off x="971280" y="2564100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262440</xdr:colOff>
      <xdr:row>149</xdr:row>
      <xdr:rowOff>147600</xdr:rowOff>
    </xdr:to>
    <xdr:graphicFrame>
      <xdr:nvGraphicFramePr>
        <xdr:cNvPr id="17" name=""/>
        <xdr:cNvGraphicFramePr/>
      </xdr:nvGraphicFramePr>
      <xdr:xfrm>
        <a:off x="971280" y="1017792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262440</xdr:colOff>
      <xdr:row>246</xdr:row>
      <xdr:rowOff>5760</xdr:rowOff>
    </xdr:to>
    <xdr:graphicFrame>
      <xdr:nvGraphicFramePr>
        <xdr:cNvPr id="18" name=""/>
        <xdr:cNvGraphicFramePr/>
      </xdr:nvGraphicFramePr>
      <xdr:xfrm>
        <a:off x="971280" y="258040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262800</xdr:colOff>
      <xdr:row>150</xdr:row>
      <xdr:rowOff>15840</xdr:rowOff>
    </xdr:to>
    <xdr:graphicFrame>
      <xdr:nvGraphicFramePr>
        <xdr:cNvPr id="19" name=""/>
        <xdr:cNvGraphicFramePr/>
      </xdr:nvGraphicFramePr>
      <xdr:xfrm>
        <a:off x="971640" y="1020852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266760</xdr:colOff>
      <xdr:row>246</xdr:row>
      <xdr:rowOff>82080</xdr:rowOff>
    </xdr:to>
    <xdr:graphicFrame>
      <xdr:nvGraphicFramePr>
        <xdr:cNvPr id="20" name=""/>
        <xdr:cNvGraphicFramePr/>
      </xdr:nvGraphicFramePr>
      <xdr:xfrm>
        <a:off x="975600" y="2588040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262800</xdr:colOff>
      <xdr:row>150</xdr:row>
      <xdr:rowOff>15840</xdr:rowOff>
    </xdr:to>
    <xdr:graphicFrame>
      <xdr:nvGraphicFramePr>
        <xdr:cNvPr id="21" name=""/>
        <xdr:cNvGraphicFramePr/>
      </xdr:nvGraphicFramePr>
      <xdr:xfrm>
        <a:off x="971640" y="102060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266760</xdr:colOff>
      <xdr:row>246</xdr:row>
      <xdr:rowOff>82080</xdr:rowOff>
    </xdr:to>
    <xdr:graphicFrame>
      <xdr:nvGraphicFramePr>
        <xdr:cNvPr id="22" name=""/>
        <xdr:cNvGraphicFramePr/>
      </xdr:nvGraphicFramePr>
      <xdr:xfrm>
        <a:off x="975600" y="258778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262800</xdr:colOff>
      <xdr:row>149</xdr:row>
      <xdr:rowOff>159120</xdr:rowOff>
    </xdr:to>
    <xdr:graphicFrame>
      <xdr:nvGraphicFramePr>
        <xdr:cNvPr id="23" name=""/>
        <xdr:cNvGraphicFramePr/>
      </xdr:nvGraphicFramePr>
      <xdr:xfrm>
        <a:off x="971640" y="1019124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266760</xdr:colOff>
      <xdr:row>246</xdr:row>
      <xdr:rowOff>63000</xdr:rowOff>
    </xdr:to>
    <xdr:graphicFrame>
      <xdr:nvGraphicFramePr>
        <xdr:cNvPr id="24" name=""/>
        <xdr:cNvGraphicFramePr/>
      </xdr:nvGraphicFramePr>
      <xdr:xfrm>
        <a:off x="975600" y="258634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262800</xdr:colOff>
      <xdr:row>149</xdr:row>
      <xdr:rowOff>73080</xdr:rowOff>
    </xdr:to>
    <xdr:graphicFrame>
      <xdr:nvGraphicFramePr>
        <xdr:cNvPr id="25" name=""/>
        <xdr:cNvGraphicFramePr/>
      </xdr:nvGraphicFramePr>
      <xdr:xfrm>
        <a:off x="971640" y="101052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266760</xdr:colOff>
      <xdr:row>245</xdr:row>
      <xdr:rowOff>139320</xdr:rowOff>
    </xdr:to>
    <xdr:graphicFrame>
      <xdr:nvGraphicFramePr>
        <xdr:cNvPr id="26" name=""/>
        <xdr:cNvGraphicFramePr/>
      </xdr:nvGraphicFramePr>
      <xdr:xfrm>
        <a:off x="975600" y="257770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262800</xdr:colOff>
      <xdr:row>149</xdr:row>
      <xdr:rowOff>73080</xdr:rowOff>
    </xdr:to>
    <xdr:graphicFrame>
      <xdr:nvGraphicFramePr>
        <xdr:cNvPr id="27" name=""/>
        <xdr:cNvGraphicFramePr/>
      </xdr:nvGraphicFramePr>
      <xdr:xfrm>
        <a:off x="971640" y="1010520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266760</xdr:colOff>
      <xdr:row>245</xdr:row>
      <xdr:rowOff>139320</xdr:rowOff>
    </xdr:to>
    <xdr:graphicFrame>
      <xdr:nvGraphicFramePr>
        <xdr:cNvPr id="28" name=""/>
        <xdr:cNvGraphicFramePr/>
      </xdr:nvGraphicFramePr>
      <xdr:xfrm>
        <a:off x="975600" y="257770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262800</xdr:colOff>
      <xdr:row>149</xdr:row>
      <xdr:rowOff>94320</xdr:rowOff>
    </xdr:to>
    <xdr:graphicFrame>
      <xdr:nvGraphicFramePr>
        <xdr:cNvPr id="29" name=""/>
        <xdr:cNvGraphicFramePr/>
      </xdr:nvGraphicFramePr>
      <xdr:xfrm>
        <a:off x="971640" y="9984240"/>
        <a:ext cx="9127800" cy="1461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266760</xdr:colOff>
      <xdr:row>245</xdr:row>
      <xdr:rowOff>160920</xdr:rowOff>
    </xdr:to>
    <xdr:graphicFrame>
      <xdr:nvGraphicFramePr>
        <xdr:cNvPr id="30" name=""/>
        <xdr:cNvGraphicFramePr/>
      </xdr:nvGraphicFramePr>
      <xdr:xfrm>
        <a:off x="975600" y="25656480"/>
        <a:ext cx="9127800" cy="1461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7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1" sqref="D3:E3 C3"/>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1" collapsed="false">
      <c r="A2" s="4" t="s">
        <v>3</v>
      </c>
      <c r="B2" s="5" t="s">
        <v>4</v>
      </c>
      <c r="C2" s="5" t="s">
        <v>5</v>
      </c>
      <c r="D2" s="7"/>
    </row>
    <row r="3" customFormat="false" ht="12.8" hidden="false" customHeight="false" outlineLevel="1" collapsed="false">
      <c r="A3" s="8" t="str">
        <f aca="false">INVOKE!A$1</f>
        <v>LSD.REF.AL.INVOKE</v>
      </c>
      <c r="B3" s="9" t="str">
        <f aca="false">INVOKE!B$1</f>
        <v>Alabama Labor Statistic Logic Formulae</v>
      </c>
      <c r="C3" s="9" t="str">
        <f aca="false">INVOKE!C$1</f>
        <v>December 2025</v>
      </c>
      <c r="D3" s="7"/>
    </row>
    <row r="4" customFormat="false" ht="12.8" hidden="false" customHeight="false" outlineLevel="1" collapsed="false">
      <c r="A4" s="10" t="str">
        <f aca="false">FORM!A$1</f>
        <v>LSD.REF.AL.FORM</v>
      </c>
      <c r="B4" s="10" t="str">
        <f aca="false">FORM!B$1</f>
        <v>Alabama Labor Statistic Logic Interdependent Formulae</v>
      </c>
      <c r="C4" s="10" t="str">
        <f aca="false">FORM!C$1</f>
        <v>December, 2025</v>
      </c>
      <c r="D4" s="11"/>
    </row>
    <row r="5" customFormat="false" ht="12.8" hidden="false" customHeight="false" outlineLevel="1" collapsed="false">
      <c r="A5" s="12" t="str">
        <f aca="false">PARAM!A$1</f>
        <v>LSD.REF.AL.PARAM</v>
      </c>
      <c r="B5" s="12" t="str">
        <f aca="false">PARAM!B$1</f>
        <v>Alabama Labor Statistic Logic Interdependent Parameters</v>
      </c>
      <c r="C5" s="12" t="str">
        <f aca="false">PARAM!C$1</f>
        <v>December, 2025</v>
      </c>
      <c r="D5" s="11"/>
    </row>
    <row r="6" customFormat="false" ht="12.8" hidden="false" customHeight="false" outlineLevel="1" collapsed="false">
      <c r="A6" s="13" t="str">
        <f aca="false">CALC!A1</f>
        <v>LSD.RID.0.AL.CALC</v>
      </c>
      <c r="B6" s="13" t="str">
        <f aca="false">CALC!B1</f>
        <v>Alabama Labor Statistic Calculations</v>
      </c>
      <c r="C6" s="14" t="str">
        <f aca="false">CALC!C1</f>
        <v>December 2025</v>
      </c>
      <c r="D6" s="11"/>
    </row>
    <row r="7" customFormat="false" ht="12.8" hidden="false" customHeight="false" outlineLevel="1" collapsed="false">
      <c r="A7" s="15" t="e">
        <f aca="false">#REF!</f>
        <v>#REF!</v>
      </c>
      <c r="B7" s="15" t="e">
        <f aca="false">#REF!</f>
        <v>#REF!</v>
      </c>
      <c r="C7" s="16" t="e">
        <f aca="false">#REF!</f>
        <v>#REF!</v>
      </c>
      <c r="D7" s="11"/>
    </row>
    <row r="8" customFormat="false" ht="12.8" hidden="false" customHeight="false" outlineLevel="1" collapsed="false">
      <c r="A8" s="17" t="str">
        <f aca="false">LFP!A1</f>
        <v>LSD.RID.0.AL.LFP</v>
      </c>
      <c r="B8" s="17" t="str">
        <f aca="false">LFP!B1</f>
        <v>Alabama Labor Force Population</v>
      </c>
      <c r="C8" s="18" t="str">
        <f aca="false">LFP!C1</f>
        <v>December 2025</v>
      </c>
      <c r="D8" s="11"/>
    </row>
    <row r="9" customFormat="false" ht="12.8" hidden="false" customHeight="false" outlineLevel="1" collapsed="false">
      <c r="A9" s="19" t="str">
        <f aca="false">ETPR!A1</f>
        <v>LSD.RID.0.AL.ETPR</v>
      </c>
      <c r="B9" s="19" t="str">
        <f aca="false">ETPR!B1</f>
        <v>Alabama Employment-to-Population Ratio (ETPR)</v>
      </c>
      <c r="C9" s="20" t="str">
        <f aca="false">ETPR!C1</f>
        <v>December 2025</v>
      </c>
      <c r="D9" s="11"/>
    </row>
    <row r="10" customFormat="false" ht="12.8" hidden="false" customHeight="false" outlineLevel="1" collapsed="false">
      <c r="A10" s="21" t="str">
        <f aca="false">LFPR!A1</f>
        <v>LSD.RID.0.AL.LFPR</v>
      </c>
      <c r="B10" s="21" t="str">
        <f aca="false">LFPR!B1</f>
        <v>Alabama Labor Force Participation Rate (LFPR)</v>
      </c>
      <c r="C10" s="22" t="str">
        <f aca="false">LFPR!C1</f>
        <v>December 2025</v>
      </c>
      <c r="D10" s="11"/>
    </row>
    <row r="11" customFormat="false" ht="12.8" hidden="false" customHeight="false" outlineLevel="1" collapsed="false">
      <c r="A11" s="23" t="str">
        <f aca="false">U3R!A1</f>
        <v>LSD.RID.0.AL.U3R</v>
      </c>
      <c r="B11" s="23" t="str">
        <f aca="false">U3R!B1</f>
        <v>Alabama Unemployment Rate (U3R)</v>
      </c>
      <c r="C11" s="24" t="str">
        <f aca="false">U3R!C1</f>
        <v>December 2025</v>
      </c>
      <c r="D11" s="11"/>
    </row>
    <row r="12" customFormat="false" ht="12.8" hidden="false" customHeight="false" outlineLevel="1" collapsed="false">
      <c r="A12" s="25" t="str">
        <f aca="false">U6R!A1</f>
        <v>LSD.RID.0.AL.U6R</v>
      </c>
      <c r="B12" s="25" t="str">
        <f aca="false">U6R!B1</f>
        <v>Alabama Underemployment Rate (U6R)</v>
      </c>
      <c r="C12" s="26" t="str">
        <f aca="false">U6R!C1</f>
        <v>December 2025</v>
      </c>
      <c r="D12" s="11"/>
    </row>
    <row r="13" customFormat="false" ht="12.8" hidden="false" customHeight="false" outlineLevel="1" collapsed="false">
      <c r="A13" s="27" t="str">
        <f aca="false">WAVG!A1</f>
        <v>LSD.RID.0.AL.WAVG</v>
      </c>
      <c r="B13" s="27" t="str">
        <f aca="false">WAVG!B1</f>
        <v>Alabama Wage Average (WAVG)</v>
      </c>
      <c r="C13" s="28" t="str">
        <f aca="false">WAVG!C1</f>
        <v>December 2025</v>
      </c>
      <c r="D13" s="11"/>
    </row>
    <row r="14" customFormat="false" ht="12.8" hidden="false" customHeight="false" outlineLevel="1" collapsed="false">
      <c r="A14" s="29" t="str">
        <f aca="false">AIAVG!A1</f>
        <v>LSD.RID.0.AL.AIAVG</v>
      </c>
      <c r="B14" s="29" t="str">
        <f aca="false">AIAVG!B1</f>
        <v>Alabama Annual Income Average (AIAVG)</v>
      </c>
      <c r="C14" s="30" t="str">
        <f aca="false">AIAVG!C1</f>
        <v>December 2025</v>
      </c>
      <c r="D14" s="11"/>
    </row>
    <row r="15" customFormat="false" ht="12.8" hidden="false" customHeight="false" outlineLevel="1" collapsed="false">
      <c r="A15" s="31" t="str">
        <f aca="false">FPITREV!A1</f>
        <v>LSD.RID.0.AL.FPITREV</v>
      </c>
      <c r="B15" s="31" t="str">
        <f aca="false">FPITREV!B1</f>
        <v>Alabama Federal Personal Income Tax Revenue (FPITREV)</v>
      </c>
      <c r="C15" s="32" t="str">
        <f aca="false">FPITREV!C1</f>
        <v>December 2025</v>
      </c>
      <c r="D15" s="11"/>
    </row>
    <row r="16" customFormat="false" ht="12.8" hidden="false" customHeight="false" outlineLevel="1" collapsed="false">
      <c r="A16" s="33" t="str">
        <f aca="false">FPPTREV!A1</f>
        <v>LSD.RID.0.AL.FPPTR</v>
      </c>
      <c r="B16" s="33" t="str">
        <f aca="false">FPPTREV!B1</f>
        <v>Alabama Federal Personal Payrol Tax Revenue</v>
      </c>
      <c r="C16" s="34" t="str">
        <f aca="false">FPPTREV!C1</f>
        <v>December 2025</v>
      </c>
      <c r="D16" s="11"/>
    </row>
    <row r="17" customFormat="false" ht="12.8" hidden="false" customHeight="false" outlineLevel="1" collapsed="false">
      <c r="A17" s="35" t="str">
        <f aca="false">EITCREF!A1</f>
        <v>LSD.RID.0.AL.EITCREF</v>
      </c>
      <c r="B17" s="35" t="str">
        <f aca="false">EITCREF!B1</f>
        <v>Alabama Earned Income Tax Credit Refund</v>
      </c>
      <c r="C17" s="36" t="str">
        <f aca="false">EITCREF!C1</f>
        <v>December 2025</v>
      </c>
      <c r="D17" s="11"/>
    </row>
    <row r="18" customFormat="false" ht="12.8" hidden="false" customHeight="false" outlineLevel="1" collapsed="false">
      <c r="A18" s="37" t="str">
        <f aca="false">ACTCREF!A1</f>
        <v>LSD.RID.0.AL.ACTCREF</v>
      </c>
      <c r="B18" s="37" t="str">
        <f aca="false">ACTCREF!B1</f>
        <v>Alabama Additional Child Tax Credit Refund</v>
      </c>
      <c r="C18" s="38" t="str">
        <f aca="false">ACTCREF!C1</f>
        <v>December 2025</v>
      </c>
      <c r="D18" s="11"/>
    </row>
    <row r="19" customFormat="false" ht="12.8" hidden="false" customHeight="false" outlineLevel="1" collapsed="false">
      <c r="A19" s="15" t="str">
        <f aca="false">AOTCREF!A1</f>
        <v>LSD.RID.0.AL.AOTCREF</v>
      </c>
      <c r="B19" s="15" t="str">
        <f aca="false">AOTCREF!B1</f>
        <v>Alabama American Opportunity Tax Credit Refund</v>
      </c>
      <c r="C19" s="16" t="str">
        <f aca="false">AOTCREF!C1</f>
        <v>December 2025</v>
      </c>
      <c r="D19" s="11"/>
    </row>
    <row r="20" customFormat="false" ht="12.8" hidden="false" customHeight="false" outlineLevel="0" collapsed="false">
      <c r="A20" s="11"/>
      <c r="B20" s="11"/>
      <c r="C20" s="11"/>
      <c r="D20" s="11"/>
    </row>
    <row r="21" customFormat="false" ht="12.8" hidden="false" customHeight="false" outlineLevel="0" collapsed="false">
      <c r="A21" s="4" t="s">
        <v>6</v>
      </c>
      <c r="B21" s="7" t="s">
        <v>7</v>
      </c>
      <c r="C21" s="7" t="s">
        <v>8</v>
      </c>
    </row>
    <row r="22" customFormat="false" ht="12.8" hidden="false" customHeight="false" outlineLevel="1" collapsed="false">
      <c r="A22" s="4" t="s">
        <v>9</v>
      </c>
      <c r="B22" s="7" t="s">
        <v>10</v>
      </c>
      <c r="C22" s="7" t="s">
        <v>11</v>
      </c>
    </row>
    <row r="23" customFormat="false" ht="12.8" hidden="false" customHeight="false" outlineLevel="1" collapsed="false">
      <c r="A23" s="39" t="s">
        <v>12</v>
      </c>
      <c r="B23" s="2" t="s">
        <v>13</v>
      </c>
      <c r="C23" s="2" t="s">
        <v>14</v>
      </c>
    </row>
    <row r="24" customFormat="false" ht="12.8" hidden="false" customHeight="false" outlineLevel="1" collapsed="false">
      <c r="A24" s="39" t="s">
        <v>15</v>
      </c>
      <c r="B24" s="2" t="s">
        <v>16</v>
      </c>
      <c r="C24" s="2" t="s">
        <v>17</v>
      </c>
    </row>
    <row r="25" customFormat="false" ht="12.8" hidden="false" customHeight="false" outlineLevel="1" collapsed="false">
      <c r="A25" s="39" t="s">
        <v>18</v>
      </c>
      <c r="B25" s="2" t="s">
        <v>19</v>
      </c>
      <c r="C25" s="2" t="s">
        <v>20</v>
      </c>
    </row>
    <row r="26" customFormat="false" ht="12.8" hidden="false" customHeight="false" outlineLevel="1" collapsed="false">
      <c r="A26" s="39" t="s">
        <v>21</v>
      </c>
      <c r="B26" s="2" t="s">
        <v>22</v>
      </c>
      <c r="C26" s="2" t="s">
        <v>23</v>
      </c>
    </row>
    <row r="27" customFormat="false" ht="12.8" hidden="false" customHeight="false" outlineLevel="1" collapsed="false">
      <c r="A27" s="39" t="s">
        <v>24</v>
      </c>
      <c r="B27" s="2" t="s">
        <v>25</v>
      </c>
      <c r="C27" s="2" t="s">
        <v>26</v>
      </c>
    </row>
    <row r="28" customFormat="false" ht="12.8" hidden="false" customHeight="false" outlineLevel="1" collapsed="false">
      <c r="A28" s="39" t="s">
        <v>27</v>
      </c>
      <c r="B28" s="2" t="s">
        <v>28</v>
      </c>
      <c r="C28" s="2" t="s">
        <v>29</v>
      </c>
    </row>
    <row r="29" customFormat="false" ht="12.8" hidden="false" customHeight="false" outlineLevel="1" collapsed="false">
      <c r="A29" s="39" t="s">
        <v>30</v>
      </c>
      <c r="B29" s="2" t="s">
        <v>13</v>
      </c>
      <c r="C29" s="2" t="s">
        <v>14</v>
      </c>
    </row>
    <row r="30" customFormat="false" ht="12.8" hidden="false" customHeight="false" outlineLevel="1" collapsed="false">
      <c r="A30" s="39" t="s">
        <v>31</v>
      </c>
      <c r="B30" s="2" t="s">
        <v>32</v>
      </c>
      <c r="C30" s="2" t="s">
        <v>33</v>
      </c>
    </row>
    <row r="31" customFormat="false" ht="12.8" hidden="false" customHeight="false" outlineLevel="1" collapsed="false">
      <c r="A31" s="39" t="s">
        <v>34</v>
      </c>
      <c r="B31" s="2" t="s">
        <v>35</v>
      </c>
      <c r="C31" s="2" t="s">
        <v>36</v>
      </c>
    </row>
    <row r="32" customFormat="false" ht="12.8" hidden="false" customHeight="false" outlineLevel="1" collapsed="false">
      <c r="A32" s="39" t="s">
        <v>37</v>
      </c>
      <c r="B32" s="2" t="s">
        <v>38</v>
      </c>
      <c r="C32" s="2" t="s">
        <v>39</v>
      </c>
    </row>
    <row r="33" customFormat="false" ht="12.8" hidden="false" customHeight="false" outlineLevel="1" collapsed="false">
      <c r="A33" s="39" t="s">
        <v>40</v>
      </c>
      <c r="B33" s="2" t="s">
        <v>41</v>
      </c>
      <c r="C33" s="2" t="s">
        <v>42</v>
      </c>
    </row>
    <row r="34" customFormat="false" ht="12.8" hidden="false" customHeight="false" outlineLevel="1" collapsed="false">
      <c r="A34" s="39" t="s">
        <v>43</v>
      </c>
      <c r="B34" s="2" t="s">
        <v>44</v>
      </c>
      <c r="C34" s="2" t="s">
        <v>45</v>
      </c>
    </row>
    <row r="35" customFormat="false" ht="12.8" hidden="false" customHeight="false" outlineLevel="1" collapsed="false">
      <c r="A35" s="39" t="s">
        <v>46</v>
      </c>
      <c r="B35" s="2" t="s">
        <v>47</v>
      </c>
      <c r="C35" s="2" t="s">
        <v>48</v>
      </c>
    </row>
    <row r="36" customFormat="false" ht="12.8" hidden="false" customHeight="false" outlineLevel="1" collapsed="false">
      <c r="A36" s="39" t="s">
        <v>49</v>
      </c>
      <c r="B36" s="2" t="s">
        <v>50</v>
      </c>
      <c r="C36" s="2" t="s">
        <v>51</v>
      </c>
    </row>
    <row r="37" customFormat="false" ht="12.8" hidden="false" customHeight="false" outlineLevel="1" collapsed="false">
      <c r="A37" s="39" t="s">
        <v>52</v>
      </c>
      <c r="B37" s="2" t="s">
        <v>53</v>
      </c>
      <c r="C37" s="2" t="s">
        <v>54</v>
      </c>
    </row>
    <row r="38" customFormat="false" ht="12.8" hidden="false" customHeight="false" outlineLevel="1" collapsed="false">
      <c r="A38" s="39" t="s">
        <v>55</v>
      </c>
      <c r="B38" s="2" t="s">
        <v>56</v>
      </c>
      <c r="C38" s="2" t="s">
        <v>57</v>
      </c>
    </row>
    <row r="39" customFormat="false" ht="12.8" hidden="false" customHeight="false" outlineLevel="1" collapsed="false">
      <c r="A39" s="39" t="s">
        <v>58</v>
      </c>
      <c r="B39" s="2" t="s">
        <v>59</v>
      </c>
      <c r="C39" s="2" t="s">
        <v>60</v>
      </c>
    </row>
    <row r="40" customFormat="false" ht="12.8" hidden="false" customHeight="false" outlineLevel="1" collapsed="false">
      <c r="A40" s="39" t="s">
        <v>61</v>
      </c>
      <c r="B40" s="2" t="s">
        <v>62</v>
      </c>
      <c r="C40" s="2" t="s">
        <v>63</v>
      </c>
    </row>
    <row r="41" customFormat="false" ht="12.8" hidden="false" customHeight="false" outlineLevel="1" collapsed="false">
      <c r="A41" s="39" t="s">
        <v>64</v>
      </c>
      <c r="B41" s="2" t="s">
        <v>65</v>
      </c>
      <c r="C41" s="2" t="s">
        <v>66</v>
      </c>
    </row>
    <row r="42" customFormat="false" ht="12.8" hidden="false" customHeight="false" outlineLevel="1" collapsed="false">
      <c r="A42" s="39" t="s">
        <v>67</v>
      </c>
      <c r="B42" s="40" t="s">
        <v>68</v>
      </c>
      <c r="C42" s="2" t="s">
        <v>69</v>
      </c>
    </row>
    <row r="43" customFormat="false" ht="12.8" hidden="false" customHeight="false" outlineLevel="1" collapsed="false">
      <c r="A43" s="39" t="s">
        <v>70</v>
      </c>
      <c r="B43" s="40" t="s">
        <v>71</v>
      </c>
      <c r="C43" s="2" t="s">
        <v>72</v>
      </c>
    </row>
    <row r="44" customFormat="false" ht="12.8" hidden="false" customHeight="false" outlineLevel="1" collapsed="false">
      <c r="A44" s="39" t="s">
        <v>73</v>
      </c>
      <c r="B44" s="40" t="s">
        <v>74</v>
      </c>
      <c r="C44" s="2" t="s">
        <v>75</v>
      </c>
    </row>
    <row r="45" customFormat="false" ht="12.8" hidden="false" customHeight="false" outlineLevel="1" collapsed="false">
      <c r="A45" s="39" t="s">
        <v>76</v>
      </c>
      <c r="B45" s="40" t="s">
        <v>77</v>
      </c>
      <c r="C45" s="2" t="s">
        <v>78</v>
      </c>
    </row>
    <row r="46" customFormat="false" ht="12.8" hidden="false" customHeight="false" outlineLevel="1" collapsed="false">
      <c r="A46" s="39" t="s">
        <v>79</v>
      </c>
      <c r="B46" s="40" t="s">
        <v>80</v>
      </c>
      <c r="C46" s="2" t="s">
        <v>81</v>
      </c>
    </row>
    <row r="47" customFormat="false" ht="12.8" hidden="false" customHeight="false" outlineLevel="1" collapsed="false">
      <c r="A47" s="39" t="s">
        <v>82</v>
      </c>
      <c r="B47" s="40" t="s">
        <v>83</v>
      </c>
      <c r="C47" s="2" t="s">
        <v>84</v>
      </c>
    </row>
    <row r="48" customFormat="false" ht="12.8" hidden="false" customHeight="false" outlineLevel="1" collapsed="false">
      <c r="A48" s="39" t="s">
        <v>85</v>
      </c>
      <c r="B48" s="40" t="s">
        <v>86</v>
      </c>
      <c r="C48" s="2" t="s">
        <v>87</v>
      </c>
    </row>
    <row r="49" customFormat="false" ht="12.8" hidden="false" customHeight="false" outlineLevel="1" collapsed="false">
      <c r="A49" s="39" t="s">
        <v>88</v>
      </c>
      <c r="B49" s="40" t="s">
        <v>89</v>
      </c>
      <c r="C49" s="2" t="s">
        <v>90</v>
      </c>
    </row>
    <row r="50" customFormat="false" ht="12.8" hidden="false" customHeight="false" outlineLevel="1" collapsed="false">
      <c r="A50" s="39" t="s">
        <v>91</v>
      </c>
      <c r="B50" s="40" t="s">
        <v>92</v>
      </c>
      <c r="C50" s="2" t="s">
        <v>93</v>
      </c>
    </row>
    <row r="51" customFormat="false" ht="12.8" hidden="false" customHeight="false" outlineLevel="1" collapsed="false">
      <c r="A51" s="39" t="s">
        <v>94</v>
      </c>
      <c r="B51" s="40" t="s">
        <v>95</v>
      </c>
      <c r="C51" s="2" t="s">
        <v>96</v>
      </c>
    </row>
    <row r="52" customFormat="false" ht="12.8" hidden="false" customHeight="false" outlineLevel="1" collapsed="false">
      <c r="A52" s="39" t="s">
        <v>97</v>
      </c>
      <c r="B52" s="40" t="s">
        <v>98</v>
      </c>
      <c r="C52" s="2" t="s">
        <v>99</v>
      </c>
    </row>
    <row r="53" customFormat="false" ht="12.8" hidden="false" customHeight="false" outlineLevel="1" collapsed="false">
      <c r="A53" s="39" t="s">
        <v>100</v>
      </c>
      <c r="B53" s="2" t="s">
        <v>101</v>
      </c>
      <c r="C53" s="2" t="s">
        <v>102</v>
      </c>
    </row>
    <row r="54" customFormat="false" ht="12.8" hidden="false" customHeight="false" outlineLevel="1" collapsed="false">
      <c r="A54" s="39" t="s">
        <v>103</v>
      </c>
      <c r="B54" s="2" t="s">
        <v>104</v>
      </c>
      <c r="C54" s="2" t="s">
        <v>105</v>
      </c>
    </row>
    <row r="55" customFormat="false" ht="12.8" hidden="false" customHeight="false" outlineLevel="1" collapsed="false">
      <c r="A55" s="39" t="s">
        <v>106</v>
      </c>
      <c r="B55" s="2" t="s">
        <v>107</v>
      </c>
      <c r="C55" s="2" t="s">
        <v>108</v>
      </c>
    </row>
    <row r="56" customFormat="false" ht="12.8" hidden="false" customHeight="false" outlineLevel="1" collapsed="false">
      <c r="A56" s="39" t="s">
        <v>109</v>
      </c>
      <c r="B56" s="2" t="s">
        <v>110</v>
      </c>
      <c r="C56" s="2" t="s">
        <v>111</v>
      </c>
    </row>
    <row r="57" customFormat="false" ht="12.8" hidden="false" customHeight="false" outlineLevel="1" collapsed="false">
      <c r="A57" s="39" t="s">
        <v>112</v>
      </c>
      <c r="B57" s="2" t="s">
        <v>113</v>
      </c>
      <c r="C57" s="2" t="s">
        <v>114</v>
      </c>
    </row>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row r="68" s="3" customFormat="true" ht="12.8" hidden="false" customHeight="false" outlineLevel="0" collapsed="false"/>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row r="7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XFD22"/>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E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s">
        <v>64</v>
      </c>
      <c r="B3" s="7" t="s">
        <v>122</v>
      </c>
      <c r="C3" s="7" t="s">
        <v>123</v>
      </c>
      <c r="D3" s="7"/>
      <c r="E3" s="7"/>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customFormat="false" ht="12.8" hidden="false" customHeight="false" outlineLevel="0" collapsed="false">
      <c r="A4" s="4" t="s">
        <v>64</v>
      </c>
      <c r="B4" s="7" t="s">
        <v>124</v>
      </c>
      <c r="C4" s="7" t="s">
        <v>125</v>
      </c>
      <c r="D4" s="7" t="s">
        <v>126</v>
      </c>
      <c r="E4" s="7" t="s">
        <v>127</v>
      </c>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34.8" hidden="false" customHeight="false" outlineLevel="0" collapsed="false">
      <c r="A5" s="4" t="n">
        <v>17</v>
      </c>
      <c r="B5" s="7" t="s">
        <v>7</v>
      </c>
      <c r="C5" s="44" t="s">
        <v>128</v>
      </c>
      <c r="D5" s="7" t="s">
        <v>129</v>
      </c>
      <c r="E5" s="39" t="s">
        <v>130</v>
      </c>
      <c r="F5" s="7"/>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89.55" hidden="false" customHeight="false" outlineLevel="0" collapsed="false">
      <c r="A6" s="4" t="n">
        <v>16</v>
      </c>
      <c r="B6" s="7" t="s">
        <v>131</v>
      </c>
      <c r="C6" s="44" t="s">
        <v>132</v>
      </c>
      <c r="D6" s="7" t="s">
        <v>133</v>
      </c>
      <c r="E6" s="39" t="s">
        <v>127</v>
      </c>
      <c r="F6" s="7"/>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23.85" hidden="false" customHeight="false" outlineLevel="0" collapsed="false">
      <c r="A7" s="4" t="n">
        <v>15</v>
      </c>
      <c r="B7" s="2" t="s">
        <v>134</v>
      </c>
      <c r="C7" s="44" t="s">
        <v>135</v>
      </c>
      <c r="D7" s="7" t="s">
        <v>136</v>
      </c>
      <c r="E7" s="7" t="s">
        <v>130</v>
      </c>
      <c r="F7" s="7"/>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2.8" hidden="false" customHeight="false" outlineLevel="0" collapsed="false">
      <c r="A8" s="4" t="n">
        <v>14</v>
      </c>
      <c r="B8" s="2" t="s">
        <v>134</v>
      </c>
      <c r="C8" s="7" t="s">
        <v>137</v>
      </c>
      <c r="D8" s="7" t="s">
        <v>138</v>
      </c>
      <c r="E8" s="7" t="s">
        <v>127</v>
      </c>
      <c r="F8" s="7"/>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4" t="n">
        <v>13</v>
      </c>
      <c r="B9" s="2" t="s">
        <v>134</v>
      </c>
      <c r="C9" s="7" t="s">
        <v>137</v>
      </c>
      <c r="D9" s="7" t="s">
        <v>139</v>
      </c>
      <c r="E9" s="7" t="s">
        <v>127</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56.7" hidden="false" customHeight="false" outlineLevel="0" collapsed="false">
      <c r="A10" s="4" t="n">
        <v>12</v>
      </c>
      <c r="B10" s="2" t="s">
        <v>134</v>
      </c>
      <c r="C10" s="45" t="s">
        <v>140</v>
      </c>
      <c r="D10" s="7" t="s">
        <v>141</v>
      </c>
      <c r="E10" s="46" t="s">
        <v>130</v>
      </c>
      <c r="F10" s="7"/>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89.55" hidden="false" customHeight="false" outlineLevel="0" collapsed="false">
      <c r="A11" s="1" t="n">
        <v>11</v>
      </c>
      <c r="B11" s="2" t="s">
        <v>134</v>
      </c>
      <c r="C11" s="45" t="s">
        <v>140</v>
      </c>
      <c r="D11" s="2" t="s">
        <v>142</v>
      </c>
      <c r="E11" s="2" t="s">
        <v>143</v>
      </c>
      <c r="F11" s="45" t="s">
        <v>144</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2.8" hidden="false" customHeight="false" outlineLevel="0" collapsed="false">
      <c r="A12" s="1" t="s">
        <v>40</v>
      </c>
      <c r="B12" s="2" t="s">
        <v>145</v>
      </c>
      <c r="C12" s="2" t="s">
        <v>146</v>
      </c>
      <c r="D12" s="2" t="s">
        <v>147</v>
      </c>
      <c r="E12" s="2" t="s">
        <v>130</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23.85" hidden="false" customHeight="false" outlineLevel="0" collapsed="false">
      <c r="A13" s="1" t="s">
        <v>37</v>
      </c>
      <c r="B13" s="2" t="s">
        <v>7</v>
      </c>
      <c r="C13" s="45" t="s">
        <v>148</v>
      </c>
      <c r="D13" s="2" t="s">
        <v>149</v>
      </c>
      <c r="E13" s="46" t="s">
        <v>143</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78.6" hidden="false" customHeight="false" outlineLevel="0" collapsed="false">
      <c r="A14" s="1" t="n">
        <v>8</v>
      </c>
      <c r="B14" s="2" t="s">
        <v>7</v>
      </c>
      <c r="C14" s="45" t="s">
        <v>150</v>
      </c>
      <c r="D14" s="2"/>
      <c r="E14" s="46" t="s">
        <v>130</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78.6" hidden="false" customHeight="false" outlineLevel="0" collapsed="false">
      <c r="A15" s="1" t="n">
        <v>7</v>
      </c>
      <c r="B15" s="2" t="s">
        <v>7</v>
      </c>
      <c r="C15" s="45" t="s">
        <v>150</v>
      </c>
      <c r="D15" s="2" t="s">
        <v>149</v>
      </c>
      <c r="E15" s="46" t="s">
        <v>143</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23.85" hidden="false" customHeight="false" outlineLevel="0" collapsed="false">
      <c r="A16" s="1" t="n">
        <v>6</v>
      </c>
      <c r="B16" s="2" t="s">
        <v>151</v>
      </c>
      <c r="C16" s="45" t="s">
        <v>152</v>
      </c>
      <c r="D16" s="2" t="s">
        <v>153</v>
      </c>
      <c r="E16" s="2" t="s">
        <v>143</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78.6" hidden="false" customHeight="false" outlineLevel="0" collapsed="false">
      <c r="A17" s="1" t="n">
        <v>5</v>
      </c>
      <c r="B17" s="2" t="s">
        <v>154</v>
      </c>
      <c r="C17" s="47" t="s">
        <v>155</v>
      </c>
      <c r="D17" s="2" t="s">
        <v>156</v>
      </c>
      <c r="E17" s="46" t="s">
        <v>130</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2.8" hidden="false" customHeight="false" outlineLevel="0" collapsed="false">
      <c r="A18" s="1" t="s">
        <v>24</v>
      </c>
      <c r="B18" s="2" t="s">
        <v>157</v>
      </c>
      <c r="C18" s="2" t="s">
        <v>158</v>
      </c>
      <c r="D18" s="2" t="s">
        <v>159</v>
      </c>
      <c r="E18" s="2" t="s">
        <v>143</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2.8" hidden="false" customHeight="false" outlineLevel="0" collapsed="false">
      <c r="A19" s="1" t="s">
        <v>21</v>
      </c>
      <c r="B19" s="2" t="s">
        <v>160</v>
      </c>
      <c r="C19" s="2" t="s">
        <v>158</v>
      </c>
      <c r="D19" s="2" t="s">
        <v>161</v>
      </c>
      <c r="E19" s="2" t="s">
        <v>127</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23.85" hidden="false" customHeight="false" outlineLevel="0" collapsed="false">
      <c r="A20" s="1" t="s">
        <v>18</v>
      </c>
      <c r="B20" s="2" t="s">
        <v>162</v>
      </c>
      <c r="C20" s="45" t="s">
        <v>163</v>
      </c>
      <c r="D20" s="2" t="s">
        <v>164</v>
      </c>
      <c r="E20" s="2" t="s">
        <v>130</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23.85" hidden="false" customHeight="false" outlineLevel="0" collapsed="false">
      <c r="A21" s="1" t="s">
        <v>15</v>
      </c>
      <c r="B21" s="2" t="s">
        <v>165</v>
      </c>
      <c r="C21" s="45" t="s">
        <v>166</v>
      </c>
      <c r="D21" s="2" t="s">
        <v>167</v>
      </c>
      <c r="E21" s="2" t="s">
        <v>143</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23.85" hidden="false" customHeight="false" outlineLevel="0" collapsed="false">
      <c r="A22" s="1" t="s">
        <v>12</v>
      </c>
      <c r="B22" s="2" t="s">
        <v>168</v>
      </c>
      <c r="C22" s="45" t="s">
        <v>166</v>
      </c>
      <c r="D22" s="2" t="s">
        <v>169</v>
      </c>
      <c r="E22" s="2" t="s">
        <v>130</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1" sqref="D3:E3 A1"/>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1" t="s">
        <v>170</v>
      </c>
      <c r="B1" s="39" t="s">
        <v>171</v>
      </c>
      <c r="C1" s="39" t="s">
        <v>172</v>
      </c>
      <c r="D1" s="39"/>
      <c r="E1" s="39"/>
      <c r="F1" s="39"/>
    </row>
    <row r="2" customFormat="false" ht="12.8" hidden="false" customHeight="false" outlineLevel="0" collapsed="false">
      <c r="A2" s="49" t="s">
        <v>173</v>
      </c>
      <c r="B2" s="49" t="s">
        <v>174</v>
      </c>
      <c r="C2" s="49" t="s">
        <v>175</v>
      </c>
      <c r="D2" s="49" t="s">
        <v>176</v>
      </c>
      <c r="E2" s="49" t="s">
        <v>177</v>
      </c>
      <c r="F2" s="49" t="s">
        <v>178</v>
      </c>
    </row>
    <row r="3" customFormat="false" ht="12.8" hidden="false" customHeight="false" outlineLevel="0" collapsed="false">
      <c r="A3" s="39" t="s">
        <v>179</v>
      </c>
      <c r="B3" s="39" t="s">
        <v>180</v>
      </c>
      <c r="C3" s="39" t="s">
        <v>181</v>
      </c>
      <c r="D3" s="39" t="s">
        <v>182</v>
      </c>
      <c r="E3" s="39" t="s">
        <v>183</v>
      </c>
      <c r="F3" s="39" t="s">
        <v>184</v>
      </c>
    </row>
    <row r="4" customFormat="false" ht="12.8" hidden="false" customHeight="false" outlineLevel="0" collapsed="false">
      <c r="A4" s="39" t="s">
        <v>185</v>
      </c>
      <c r="B4" s="39" t="s">
        <v>180</v>
      </c>
      <c r="C4" s="39" t="s">
        <v>186</v>
      </c>
      <c r="D4" s="39" t="s">
        <v>187</v>
      </c>
      <c r="E4" s="39" t="s">
        <v>188</v>
      </c>
      <c r="F4" s="39" t="s">
        <v>189</v>
      </c>
    </row>
    <row r="5" customFormat="false" ht="12.8" hidden="false" customHeight="false" outlineLevel="0" collapsed="false">
      <c r="A5" s="39" t="s">
        <v>190</v>
      </c>
      <c r="B5" s="39" t="s">
        <v>180</v>
      </c>
      <c r="C5" s="39" t="s">
        <v>191</v>
      </c>
      <c r="D5" s="39" t="s">
        <v>192</v>
      </c>
      <c r="E5" s="39" t="s">
        <v>193</v>
      </c>
      <c r="F5" s="39" t="s">
        <v>194</v>
      </c>
    </row>
    <row r="6" customFormat="false" ht="12.8" hidden="false" customHeight="false" outlineLevel="0" collapsed="false">
      <c r="A6" s="39" t="s">
        <v>195</v>
      </c>
      <c r="B6" s="39" t="s">
        <v>180</v>
      </c>
      <c r="C6" s="39" t="s">
        <v>196</v>
      </c>
      <c r="D6" s="39" t="s">
        <v>197</v>
      </c>
      <c r="E6" s="39" t="s">
        <v>198</v>
      </c>
      <c r="F6" s="39" t="s">
        <v>199</v>
      </c>
    </row>
    <row r="7" customFormat="false" ht="12.8" hidden="false" customHeight="false" outlineLevel="0" collapsed="false">
      <c r="A7" s="39" t="s">
        <v>200</v>
      </c>
      <c r="B7" s="39" t="s">
        <v>180</v>
      </c>
      <c r="C7" s="39" t="s">
        <v>201</v>
      </c>
      <c r="D7" s="39" t="s">
        <v>202</v>
      </c>
      <c r="E7" s="39" t="s">
        <v>203</v>
      </c>
      <c r="F7" s="39" t="s">
        <v>204</v>
      </c>
    </row>
    <row r="8" customFormat="false" ht="12.8" hidden="false" customHeight="false" outlineLevel="0" collapsed="false">
      <c r="A8" s="39" t="s">
        <v>205</v>
      </c>
      <c r="B8" s="39" t="s">
        <v>180</v>
      </c>
      <c r="C8" s="39" t="s">
        <v>206</v>
      </c>
      <c r="D8" s="39" t="s">
        <v>207</v>
      </c>
      <c r="E8" s="39" t="s">
        <v>208</v>
      </c>
      <c r="F8" s="39" t="s">
        <v>209</v>
      </c>
    </row>
    <row r="9" customFormat="false" ht="12.8" hidden="false" customHeight="false" outlineLevel="0" collapsed="false">
      <c r="A9" s="39" t="s">
        <v>210</v>
      </c>
      <c r="B9" s="39" t="s">
        <v>180</v>
      </c>
      <c r="C9" s="39" t="s">
        <v>211</v>
      </c>
      <c r="D9" s="39" t="s">
        <v>212</v>
      </c>
      <c r="E9" s="39" t="s">
        <v>213</v>
      </c>
      <c r="F9" s="39" t="s">
        <v>214</v>
      </c>
    </row>
    <row r="10" customFormat="false" ht="12.8" hidden="false" customHeight="false" outlineLevel="0" collapsed="false">
      <c r="A10" s="39" t="s">
        <v>215</v>
      </c>
      <c r="B10" s="39" t="s">
        <v>180</v>
      </c>
      <c r="C10" s="39" t="s">
        <v>216</v>
      </c>
      <c r="D10" s="39" t="s">
        <v>217</v>
      </c>
      <c r="E10" s="39" t="s">
        <v>218</v>
      </c>
      <c r="F10" s="39" t="s">
        <v>219</v>
      </c>
    </row>
    <row r="11" customFormat="false" ht="12.8" hidden="false" customHeight="false" outlineLevel="0" collapsed="false">
      <c r="A11" s="39" t="s">
        <v>220</v>
      </c>
      <c r="B11" s="39" t="s">
        <v>180</v>
      </c>
      <c r="C11" s="39" t="s">
        <v>221</v>
      </c>
      <c r="D11" s="39" t="s">
        <v>222</v>
      </c>
      <c r="E11" s="39" t="s">
        <v>223</v>
      </c>
      <c r="F11" s="39" t="s">
        <v>224</v>
      </c>
    </row>
    <row r="12" customFormat="false" ht="12.8" hidden="false" customHeight="false" outlineLevel="0" collapsed="false">
      <c r="A12" s="39" t="s">
        <v>225</v>
      </c>
      <c r="B12" s="39" t="s">
        <v>180</v>
      </c>
      <c r="C12" s="39" t="s">
        <v>226</v>
      </c>
      <c r="D12" s="39" t="s">
        <v>227</v>
      </c>
      <c r="E12" s="39" t="s">
        <v>228</v>
      </c>
      <c r="F12" s="39" t="s">
        <v>229</v>
      </c>
    </row>
    <row r="13" customFormat="false" ht="12.8" hidden="false" customHeight="false" outlineLevel="0" collapsed="false">
      <c r="A13" s="39" t="s">
        <v>230</v>
      </c>
      <c r="B13" s="39" t="s">
        <v>180</v>
      </c>
      <c r="C13" s="39" t="s">
        <v>231</v>
      </c>
      <c r="D13" s="39" t="s">
        <v>232</v>
      </c>
      <c r="E13" s="39" t="s">
        <v>233</v>
      </c>
      <c r="F13" s="39" t="s">
        <v>234</v>
      </c>
    </row>
    <row r="14" customFormat="false" ht="12.8" hidden="false" customHeight="false" outlineLevel="0" collapsed="false">
      <c r="A14" s="39" t="s">
        <v>235</v>
      </c>
      <c r="B14" s="39" t="s">
        <v>180</v>
      </c>
      <c r="C14" s="39" t="s">
        <v>236</v>
      </c>
      <c r="D14" s="39" t="s">
        <v>237</v>
      </c>
      <c r="E14" s="39" t="s">
        <v>238</v>
      </c>
      <c r="F14" s="39" t="s">
        <v>239</v>
      </c>
    </row>
    <row r="15" customFormat="false" ht="12.8" hidden="false" customHeight="false" outlineLevel="0" collapsed="false">
      <c r="A15" s="39" t="s">
        <v>240</v>
      </c>
      <c r="B15" s="39" t="s">
        <v>180</v>
      </c>
      <c r="C15" s="39" t="s">
        <v>241</v>
      </c>
      <c r="D15" s="39" t="s">
        <v>242</v>
      </c>
      <c r="E15" s="39" t="s">
        <v>243</v>
      </c>
      <c r="F15" s="39" t="s">
        <v>244</v>
      </c>
    </row>
    <row r="16" s="3" customFormat="true" ht="12.8" hidden="false" customHeight="false" outlineLevel="0" collapsed="false"/>
    <row r="1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H3" activePane="bottomRight" state="frozen"/>
      <selection pane="topLeft" activeCell="A1" activeCellId="0" sqref="A1"/>
      <selection pane="topRight" activeCell="H1" activeCellId="0" sqref="H1"/>
      <selection pane="bottomLeft" activeCell="A3" activeCellId="0" sqref="A3"/>
      <selection pane="bottomRight" activeCell="K125" activeCellId="1" sqref="D3:E3 K125"/>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 collapsed="false" customWidth="true" hidden="false" outlineLevel="0" max="10" min="10" style="3" width="27.68"/>
  </cols>
  <sheetData>
    <row r="1" customFormat="false" ht="12.8" hidden="false" customHeight="false" outlineLevel="0" collapsed="false">
      <c r="A1" s="50" t="s">
        <v>245</v>
      </c>
      <c r="B1" s="39" t="s">
        <v>246</v>
      </c>
      <c r="C1" s="39" t="s">
        <v>172</v>
      </c>
      <c r="E1" s="39"/>
      <c r="F1" s="39"/>
      <c r="G1" s="39"/>
      <c r="H1" s="3"/>
    </row>
    <row r="2" customFormat="false" ht="12.8" hidden="false" customHeight="false" outlineLevel="0" collapsed="false">
      <c r="A2" s="49" t="s">
        <v>173</v>
      </c>
      <c r="B2" s="49" t="s">
        <v>175</v>
      </c>
      <c r="C2" s="49" t="s">
        <v>247</v>
      </c>
      <c r="D2" s="49" t="s">
        <v>177</v>
      </c>
      <c r="E2" s="49" t="s">
        <v>248</v>
      </c>
      <c r="F2" s="49" t="s">
        <v>249</v>
      </c>
      <c r="G2" s="49" t="s">
        <v>250</v>
      </c>
      <c r="H2" s="3"/>
      <c r="J2" s="49" t="s">
        <v>173</v>
      </c>
      <c r="K2" s="49" t="s">
        <v>175</v>
      </c>
      <c r="L2" s="49" t="s">
        <v>247</v>
      </c>
      <c r="M2" s="49" t="s">
        <v>177</v>
      </c>
      <c r="N2" s="49" t="s">
        <v>248</v>
      </c>
      <c r="O2" s="49" t="s">
        <v>249</v>
      </c>
      <c r="P2" s="49" t="s">
        <v>250</v>
      </c>
      <c r="Q2" s="49" t="s">
        <v>178</v>
      </c>
    </row>
    <row r="3" customFormat="false" ht="12.8" hidden="false" customHeight="false" outlineLevel="0" collapsed="false">
      <c r="A3" s="39" t="s">
        <v>251</v>
      </c>
      <c r="B3" s="39" t="s">
        <v>252</v>
      </c>
      <c r="C3" s="39" t="n">
        <v>2215000</v>
      </c>
      <c r="D3" s="39" t="s">
        <v>253</v>
      </c>
      <c r="E3" s="39" t="s">
        <v>254</v>
      </c>
      <c r="F3" s="39" t="s">
        <v>255</v>
      </c>
      <c r="G3" s="51" t="s">
        <v>256</v>
      </c>
      <c r="H3" s="3"/>
    </row>
    <row r="4" customFormat="false" ht="12.8" hidden="false" customHeight="false" outlineLevel="0" collapsed="false">
      <c r="A4" s="39" t="s">
        <v>257</v>
      </c>
      <c r="B4" s="39" t="s">
        <v>258</v>
      </c>
      <c r="C4" s="39" t="n">
        <v>33500</v>
      </c>
      <c r="D4" s="39" t="s">
        <v>259</v>
      </c>
      <c r="E4" s="39" t="s">
        <v>260</v>
      </c>
      <c r="F4" s="39" t="s">
        <v>261</v>
      </c>
      <c r="G4" s="51" t="s">
        <v>256</v>
      </c>
      <c r="H4" s="3"/>
      <c r="J4" s="39" t="s">
        <v>262</v>
      </c>
      <c r="K4" s="39" t="s">
        <v>263</v>
      </c>
      <c r="L4" s="39" t="s">
        <v>263</v>
      </c>
      <c r="M4" s="39" t="s">
        <v>263</v>
      </c>
      <c r="N4" s="39" t="s">
        <v>263</v>
      </c>
      <c r="O4" s="39" t="s">
        <v>263</v>
      </c>
      <c r="P4" s="39" t="s">
        <v>263</v>
      </c>
      <c r="Q4" s="39" t="s">
        <v>264</v>
      </c>
    </row>
    <row r="5" customFormat="false" ht="12.8" hidden="false" customHeight="false" outlineLevel="0" collapsed="false">
      <c r="A5" s="39" t="s">
        <v>265</v>
      </c>
      <c r="B5" s="39" t="s">
        <v>266</v>
      </c>
      <c r="C5" s="39" t="n">
        <v>9500</v>
      </c>
      <c r="D5" s="39" t="s">
        <v>267</v>
      </c>
      <c r="E5" s="39" t="s">
        <v>254</v>
      </c>
      <c r="F5" s="39" t="s">
        <v>268</v>
      </c>
      <c r="G5" s="51" t="s">
        <v>256</v>
      </c>
      <c r="H5" s="3"/>
    </row>
    <row r="6" customFormat="false" ht="12.8" hidden="false" customHeight="false" outlineLevel="0" collapsed="false">
      <c r="A6" s="39" t="s">
        <v>269</v>
      </c>
      <c r="B6" s="39" t="s">
        <v>270</v>
      </c>
      <c r="C6" s="39" t="n">
        <v>112500</v>
      </c>
      <c r="D6" s="39" t="s">
        <v>271</v>
      </c>
      <c r="E6" s="39" t="s">
        <v>254</v>
      </c>
      <c r="F6" s="39" t="s">
        <v>268</v>
      </c>
      <c r="G6" s="51" t="s">
        <v>256</v>
      </c>
      <c r="H6" s="3"/>
    </row>
    <row r="7" customFormat="false" ht="12.8" hidden="false" customHeight="false" outlineLevel="0" collapsed="false">
      <c r="A7" s="39" t="s">
        <v>272</v>
      </c>
      <c r="B7" s="39" t="s">
        <v>273</v>
      </c>
      <c r="C7" s="39" t="n">
        <v>287500</v>
      </c>
      <c r="D7" s="39" t="s">
        <v>274</v>
      </c>
      <c r="E7" s="39" t="s">
        <v>254</v>
      </c>
      <c r="F7" s="39" t="s">
        <v>268</v>
      </c>
      <c r="G7" s="51" t="s">
        <v>256</v>
      </c>
      <c r="H7" s="3"/>
    </row>
    <row r="8" customFormat="false" ht="12.8" hidden="false" customHeight="false" outlineLevel="0" collapsed="false">
      <c r="A8" s="39" t="s">
        <v>275</v>
      </c>
      <c r="B8" s="39" t="s">
        <v>276</v>
      </c>
      <c r="C8" s="39" t="n">
        <v>408500</v>
      </c>
      <c r="D8" s="39" t="s">
        <v>277</v>
      </c>
      <c r="E8" s="39" t="s">
        <v>254</v>
      </c>
      <c r="F8" s="39" t="s">
        <v>268</v>
      </c>
      <c r="G8" s="51" t="s">
        <v>256</v>
      </c>
      <c r="H8" s="3"/>
    </row>
    <row r="9" customFormat="false" ht="12.8" hidden="false" customHeight="false" outlineLevel="0" collapsed="false">
      <c r="A9" s="39" t="s">
        <v>278</v>
      </c>
      <c r="B9" s="39" t="s">
        <v>279</v>
      </c>
      <c r="C9" s="39" t="n">
        <v>23200</v>
      </c>
      <c r="D9" s="39" t="s">
        <v>280</v>
      </c>
      <c r="E9" s="39" t="s">
        <v>254</v>
      </c>
      <c r="F9" s="39" t="s">
        <v>268</v>
      </c>
      <c r="G9" s="51" t="s">
        <v>256</v>
      </c>
      <c r="H9" s="3"/>
    </row>
    <row r="10" customFormat="false" ht="12.8" hidden="false" customHeight="false" outlineLevel="0" collapsed="false">
      <c r="A10" s="39" t="s">
        <v>281</v>
      </c>
      <c r="B10" s="39" t="s">
        <v>282</v>
      </c>
      <c r="C10" s="39" t="n">
        <v>101200</v>
      </c>
      <c r="D10" s="39" t="s">
        <v>283</v>
      </c>
      <c r="E10" s="39" t="s">
        <v>254</v>
      </c>
      <c r="F10" s="39" t="s">
        <v>268</v>
      </c>
      <c r="G10" s="51" t="s">
        <v>256</v>
      </c>
      <c r="H10" s="3"/>
    </row>
    <row r="11" customFormat="false" ht="12.8" hidden="false" customHeight="false" outlineLevel="0" collapsed="false">
      <c r="A11" s="39" t="s">
        <v>284</v>
      </c>
      <c r="B11" s="39" t="s">
        <v>285</v>
      </c>
      <c r="C11" s="39" t="n">
        <v>261000</v>
      </c>
      <c r="D11" s="39" t="s">
        <v>286</v>
      </c>
      <c r="E11" s="39" t="s">
        <v>254</v>
      </c>
      <c r="F11" s="39" t="s">
        <v>268</v>
      </c>
      <c r="G11" s="51" t="s">
        <v>256</v>
      </c>
      <c r="H11" s="3"/>
    </row>
    <row r="12" customFormat="false" ht="12.8" hidden="false" customHeight="false" outlineLevel="0" collapsed="false">
      <c r="A12" s="39" t="s">
        <v>287</v>
      </c>
      <c r="B12" s="39" t="s">
        <v>288</v>
      </c>
      <c r="C12" s="39" t="n">
        <v>273500</v>
      </c>
      <c r="D12" s="39" t="s">
        <v>289</v>
      </c>
      <c r="E12" s="39" t="s">
        <v>254</v>
      </c>
      <c r="F12" s="39" t="s">
        <v>268</v>
      </c>
      <c r="G12" s="51" t="s">
        <v>256</v>
      </c>
      <c r="H12" s="3"/>
    </row>
    <row r="13" customFormat="false" ht="12.8" hidden="false" customHeight="false" outlineLevel="0" collapsed="false">
      <c r="A13" s="39" t="s">
        <v>290</v>
      </c>
      <c r="B13" s="39" t="s">
        <v>291</v>
      </c>
      <c r="C13" s="39" t="n">
        <v>217600</v>
      </c>
      <c r="D13" s="39" t="s">
        <v>292</v>
      </c>
      <c r="E13" s="39" t="s">
        <v>254</v>
      </c>
      <c r="F13" s="39" t="s">
        <v>268</v>
      </c>
      <c r="G13" s="51" t="s">
        <v>256</v>
      </c>
      <c r="H13" s="3"/>
    </row>
    <row r="14" customFormat="false" ht="12.8" hidden="false" customHeight="false" outlineLevel="0" collapsed="false">
      <c r="A14" s="39" t="s">
        <v>293</v>
      </c>
      <c r="B14" s="39" t="s">
        <v>294</v>
      </c>
      <c r="C14" s="39" t="n">
        <v>98800</v>
      </c>
      <c r="D14" s="39" t="s">
        <v>295</v>
      </c>
      <c r="E14" s="39" t="s">
        <v>254</v>
      </c>
      <c r="F14" s="39" t="s">
        <v>268</v>
      </c>
      <c r="G14" s="51" t="s">
        <v>256</v>
      </c>
      <c r="H14" s="3"/>
    </row>
    <row r="15" customFormat="false" ht="12.8" hidden="false" customHeight="false" outlineLevel="0" collapsed="false">
      <c r="A15" s="39" t="s">
        <v>296</v>
      </c>
      <c r="B15" s="39" t="s">
        <v>297</v>
      </c>
      <c r="C15" s="39" t="n">
        <v>421300</v>
      </c>
      <c r="D15" s="39" t="s">
        <v>298</v>
      </c>
      <c r="E15" s="39" t="s">
        <v>254</v>
      </c>
      <c r="F15" s="39" t="s">
        <v>268</v>
      </c>
      <c r="G15" s="51" t="s">
        <v>256</v>
      </c>
      <c r="H15" s="3"/>
    </row>
    <row r="16" customFormat="false" ht="12.8" hidden="false" customHeight="false" outlineLevel="0" collapsed="false">
      <c r="A16" s="39" t="s">
        <v>299</v>
      </c>
      <c r="B16" s="39" t="s">
        <v>300</v>
      </c>
      <c r="C16" s="39" t="n">
        <v>50000</v>
      </c>
      <c r="D16" s="39" t="s">
        <v>301</v>
      </c>
      <c r="E16" s="39" t="s">
        <v>260</v>
      </c>
      <c r="F16" s="39" t="s">
        <v>302</v>
      </c>
      <c r="G16" s="51" t="s">
        <v>256</v>
      </c>
      <c r="H16" s="3"/>
    </row>
    <row r="17" customFormat="false" ht="12.8" hidden="false" customHeight="false" outlineLevel="0" collapsed="false">
      <c r="A17" s="39" t="s">
        <v>303</v>
      </c>
      <c r="B17" s="39" t="s">
        <v>304</v>
      </c>
      <c r="C17" s="39" t="n">
        <v>4500</v>
      </c>
      <c r="D17" s="39" t="s">
        <v>305</v>
      </c>
      <c r="E17" s="39" t="s">
        <v>254</v>
      </c>
      <c r="F17" s="39" t="s">
        <v>306</v>
      </c>
      <c r="G17" s="51" t="s">
        <v>256</v>
      </c>
      <c r="H17" s="3"/>
    </row>
    <row r="18" customFormat="false" ht="12.8" hidden="false" customHeight="false" outlineLevel="0" collapsed="false">
      <c r="A18" s="39" t="s">
        <v>307</v>
      </c>
      <c r="B18" s="39" t="s">
        <v>308</v>
      </c>
      <c r="C18" s="39" t="n">
        <v>0.05</v>
      </c>
      <c r="D18" s="39" t="s">
        <v>309</v>
      </c>
      <c r="E18" s="39" t="s">
        <v>254</v>
      </c>
      <c r="F18" s="39" t="s">
        <v>310</v>
      </c>
      <c r="G18" s="51" t="s">
        <v>256</v>
      </c>
      <c r="H18" s="3"/>
    </row>
    <row r="19" customFormat="false" ht="12.8" hidden="false" customHeight="false" outlineLevel="0" collapsed="false">
      <c r="A19" s="39" t="s">
        <v>311</v>
      </c>
      <c r="B19" s="39" t="s">
        <v>312</v>
      </c>
      <c r="C19" s="39" t="n">
        <v>0.01</v>
      </c>
      <c r="D19" s="39" t="s">
        <v>313</v>
      </c>
      <c r="E19" s="39" t="s">
        <v>254</v>
      </c>
      <c r="F19" s="39" t="s">
        <v>310</v>
      </c>
      <c r="G19" s="51" t="s">
        <v>256</v>
      </c>
      <c r="H19" s="3"/>
    </row>
    <row r="20" customFormat="false" ht="12.8" hidden="false" customHeight="false" outlineLevel="0" collapsed="false">
      <c r="A20" s="39" t="s">
        <v>314</v>
      </c>
      <c r="B20" s="39" t="s">
        <v>315</v>
      </c>
      <c r="C20" s="39" t="n">
        <v>4130000</v>
      </c>
      <c r="D20" s="39" t="s">
        <v>316</v>
      </c>
      <c r="E20" s="39" t="s">
        <v>254</v>
      </c>
      <c r="F20" s="39" t="s">
        <v>317</v>
      </c>
      <c r="G20" s="51" t="s">
        <v>256</v>
      </c>
      <c r="H20" s="3"/>
    </row>
    <row r="21" customFormat="false" ht="12.8" hidden="false" customHeight="false" outlineLevel="0" collapsed="false">
      <c r="A21" s="39" t="s">
        <v>318</v>
      </c>
      <c r="B21" s="39" t="s">
        <v>319</v>
      </c>
      <c r="C21" s="39" t="n">
        <v>152000</v>
      </c>
      <c r="D21" s="39" t="s">
        <v>320</v>
      </c>
      <c r="E21" s="39" t="s">
        <v>260</v>
      </c>
      <c r="F21" s="39" t="s">
        <v>321</v>
      </c>
      <c r="G21" s="51" t="s">
        <v>256</v>
      </c>
      <c r="H21" s="3"/>
    </row>
    <row r="22" customFormat="false" ht="12.8" hidden="false" customHeight="false" outlineLevel="0" collapsed="false">
      <c r="A22" s="39" t="s">
        <v>322</v>
      </c>
      <c r="B22" s="39" t="s">
        <v>323</v>
      </c>
      <c r="C22" s="39" t="n">
        <v>82000</v>
      </c>
      <c r="D22" s="39" t="s">
        <v>324</v>
      </c>
      <c r="E22" s="39" t="s">
        <v>325</v>
      </c>
      <c r="F22" s="39" t="s">
        <v>326</v>
      </c>
      <c r="G22" s="51" t="s">
        <v>256</v>
      </c>
      <c r="H22" s="3"/>
    </row>
    <row r="23" customFormat="false" ht="12.8" hidden="false" customHeight="false" outlineLevel="0" collapsed="false">
      <c r="A23" s="39" t="s">
        <v>327</v>
      </c>
      <c r="B23" s="39" t="s">
        <v>328</v>
      </c>
      <c r="C23" s="39" t="n">
        <v>3896000</v>
      </c>
      <c r="D23" s="39" t="s">
        <v>329</v>
      </c>
      <c r="E23" s="39" t="s">
        <v>254</v>
      </c>
      <c r="F23" s="39" t="s">
        <v>330</v>
      </c>
      <c r="G23" s="51" t="s">
        <v>256</v>
      </c>
      <c r="H23" s="3"/>
    </row>
    <row r="24" customFormat="false" ht="12.8" hidden="false" customHeight="false" outlineLevel="0" collapsed="false">
      <c r="A24" s="39" t="s">
        <v>331</v>
      </c>
      <c r="B24" s="39" t="s">
        <v>332</v>
      </c>
      <c r="C24" s="39" t="n">
        <v>0.562</v>
      </c>
      <c r="D24" s="39" t="s">
        <v>333</v>
      </c>
      <c r="E24" s="39" t="s">
        <v>254</v>
      </c>
      <c r="F24" s="39" t="s">
        <v>334</v>
      </c>
      <c r="G24" s="51" t="s">
        <v>256</v>
      </c>
      <c r="H24" s="3"/>
    </row>
    <row r="25" customFormat="false" ht="12.8" hidden="false" customHeight="false" outlineLevel="0" collapsed="false">
      <c r="A25" s="39" t="s">
        <v>335</v>
      </c>
      <c r="B25" s="39" t="s">
        <v>336</v>
      </c>
      <c r="C25" s="39" t="n">
        <v>0.92</v>
      </c>
      <c r="D25" s="39" t="s">
        <v>337</v>
      </c>
      <c r="E25" s="39" t="s">
        <v>260</v>
      </c>
      <c r="F25" s="39" t="s">
        <v>338</v>
      </c>
      <c r="G25" s="51" t="s">
        <v>256</v>
      </c>
      <c r="H25" s="3"/>
    </row>
    <row r="26" customFormat="false" ht="12.8" hidden="false" customHeight="false" outlineLevel="0" collapsed="false">
      <c r="A26" s="39" t="s">
        <v>339</v>
      </c>
      <c r="B26" s="39" t="s">
        <v>340</v>
      </c>
      <c r="C26" s="39" t="n">
        <v>1.05</v>
      </c>
      <c r="D26" s="39" t="s">
        <v>341</v>
      </c>
      <c r="E26" s="39" t="s">
        <v>260</v>
      </c>
      <c r="F26" s="39" t="s">
        <v>342</v>
      </c>
      <c r="G26" s="51" t="s">
        <v>256</v>
      </c>
      <c r="H26" s="3"/>
    </row>
    <row r="27" customFormat="false" ht="12.8" hidden="false" customHeight="false" outlineLevel="0" collapsed="false">
      <c r="A27" s="39" t="s">
        <v>343</v>
      </c>
      <c r="B27" s="39" t="s">
        <v>344</v>
      </c>
      <c r="C27" s="39" t="n">
        <v>0.95</v>
      </c>
      <c r="D27" s="39" t="s">
        <v>345</v>
      </c>
      <c r="E27" s="39" t="s">
        <v>325</v>
      </c>
      <c r="F27" s="39" t="s">
        <v>346</v>
      </c>
      <c r="G27" s="51" t="s">
        <v>256</v>
      </c>
      <c r="H27" s="3"/>
    </row>
    <row r="28" customFormat="false" ht="12.8" hidden="false" customHeight="false" outlineLevel="0" collapsed="false">
      <c r="A28" s="39" t="s">
        <v>347</v>
      </c>
      <c r="B28" s="39" t="s">
        <v>348</v>
      </c>
      <c r="C28" s="39" t="n">
        <v>0.92</v>
      </c>
      <c r="D28" s="39" t="s">
        <v>349</v>
      </c>
      <c r="E28" s="39" t="s">
        <v>260</v>
      </c>
      <c r="F28" s="39" t="s">
        <v>338</v>
      </c>
      <c r="G28" s="51" t="s">
        <v>256</v>
      </c>
      <c r="H28" s="3"/>
    </row>
    <row r="29" customFormat="false" ht="12.8" hidden="false" customHeight="false" outlineLevel="0" collapsed="false">
      <c r="A29" s="39" t="s">
        <v>350</v>
      </c>
      <c r="B29" s="39" t="s">
        <v>351</v>
      </c>
      <c r="C29" s="39" t="n">
        <v>1.05</v>
      </c>
      <c r="D29" s="39" t="s">
        <v>352</v>
      </c>
      <c r="E29" s="39" t="s">
        <v>260</v>
      </c>
      <c r="F29" s="39" t="s">
        <v>342</v>
      </c>
      <c r="G29" s="51" t="s">
        <v>256</v>
      </c>
      <c r="H29" s="3"/>
    </row>
    <row r="30" customFormat="false" ht="12.8" hidden="false" customHeight="false" outlineLevel="0" collapsed="false">
      <c r="A30" s="39" t="s">
        <v>353</v>
      </c>
      <c r="B30" s="39" t="s">
        <v>354</v>
      </c>
      <c r="C30" s="39" t="n">
        <v>0.03</v>
      </c>
      <c r="D30" s="39" t="s">
        <v>355</v>
      </c>
      <c r="E30" s="39" t="s">
        <v>325</v>
      </c>
      <c r="F30" s="39" t="s">
        <v>346</v>
      </c>
      <c r="G30" s="51" t="s">
        <v>256</v>
      </c>
      <c r="H30" s="3"/>
    </row>
    <row r="31" customFormat="false" ht="12.8" hidden="false" customHeight="false" outlineLevel="0" collapsed="false">
      <c r="A31" s="39" t="s">
        <v>356</v>
      </c>
      <c r="B31" s="39" t="s">
        <v>357</v>
      </c>
      <c r="C31" s="39" t="n">
        <v>0.577</v>
      </c>
      <c r="D31" s="39" t="s">
        <v>358</v>
      </c>
      <c r="E31" s="39" t="s">
        <v>254</v>
      </c>
      <c r="F31" s="39" t="s">
        <v>359</v>
      </c>
      <c r="G31" s="51" t="s">
        <v>256</v>
      </c>
      <c r="H31" s="3"/>
    </row>
    <row r="32" customFormat="false" ht="12.8" hidden="false" customHeight="false" outlineLevel="0" collapsed="false">
      <c r="A32" s="39" t="s">
        <v>360</v>
      </c>
      <c r="B32" s="39" t="s">
        <v>361</v>
      </c>
      <c r="C32" s="39" t="n">
        <v>0.04</v>
      </c>
      <c r="D32" s="39" t="s">
        <v>362</v>
      </c>
      <c r="E32" s="39" t="s">
        <v>325</v>
      </c>
      <c r="F32" s="39" t="s">
        <v>346</v>
      </c>
      <c r="G32" s="51" t="s">
        <v>256</v>
      </c>
      <c r="H32" s="3"/>
    </row>
    <row r="33" customFormat="false" ht="12.8" hidden="false" customHeight="false" outlineLevel="0" collapsed="false">
      <c r="A33" s="39" t="s">
        <v>363</v>
      </c>
      <c r="B33" s="39" t="s">
        <v>364</v>
      </c>
      <c r="C33" s="39" t="n">
        <v>1.15</v>
      </c>
      <c r="D33" s="39" t="s">
        <v>365</v>
      </c>
      <c r="E33" s="39" t="s">
        <v>260</v>
      </c>
      <c r="F33" s="39" t="s">
        <v>366</v>
      </c>
      <c r="G33" s="51" t="s">
        <v>256</v>
      </c>
      <c r="H33" s="39" t="s">
        <v>367</v>
      </c>
    </row>
    <row r="34" customFormat="false" ht="12.8" hidden="false" customHeight="false" outlineLevel="0" collapsed="false">
      <c r="A34" s="39" t="s">
        <v>368</v>
      </c>
      <c r="B34" s="39" t="s">
        <v>369</v>
      </c>
      <c r="C34" s="39" t="n">
        <v>1.15</v>
      </c>
      <c r="D34" s="39" t="s">
        <v>370</v>
      </c>
      <c r="E34" s="39" t="s">
        <v>260</v>
      </c>
      <c r="F34" s="39" t="s">
        <v>366</v>
      </c>
      <c r="G34" s="51" t="s">
        <v>256</v>
      </c>
      <c r="H34" s="39" t="s">
        <v>367</v>
      </c>
    </row>
    <row r="35" customFormat="false" ht="12.8" hidden="false" customHeight="false" outlineLevel="0" collapsed="false">
      <c r="A35" s="39" t="s">
        <v>371</v>
      </c>
      <c r="B35" s="39" t="s">
        <v>372</v>
      </c>
      <c r="C35" s="39" t="n">
        <v>1.15</v>
      </c>
      <c r="D35" s="39" t="s">
        <v>373</v>
      </c>
      <c r="E35" s="39" t="s">
        <v>260</v>
      </c>
      <c r="F35" s="39" t="s">
        <v>366</v>
      </c>
      <c r="G35" s="51" t="s">
        <v>256</v>
      </c>
      <c r="H35" s="39" t="s">
        <v>374</v>
      </c>
    </row>
    <row r="36" customFormat="false" ht="12.8" hidden="false" customHeight="false" outlineLevel="0" collapsed="false">
      <c r="A36" s="39" t="s">
        <v>375</v>
      </c>
      <c r="B36" s="39" t="s">
        <v>376</v>
      </c>
      <c r="C36" s="39" t="n">
        <v>0.8</v>
      </c>
      <c r="D36" s="39" t="s">
        <v>377</v>
      </c>
      <c r="E36" s="39" t="s">
        <v>260</v>
      </c>
      <c r="F36" s="39" t="s">
        <v>366</v>
      </c>
      <c r="G36" s="51" t="s">
        <v>256</v>
      </c>
      <c r="H36" s="39" t="s">
        <v>378</v>
      </c>
    </row>
    <row r="37" customFormat="false" ht="12.8" hidden="false" customHeight="false" outlineLevel="0" collapsed="false">
      <c r="A37" s="39" t="s">
        <v>379</v>
      </c>
      <c r="B37" s="39" t="s">
        <v>380</v>
      </c>
      <c r="C37" s="39" t="n">
        <v>0.8</v>
      </c>
      <c r="D37" s="39" t="s">
        <v>381</v>
      </c>
      <c r="E37" s="39" t="s">
        <v>260</v>
      </c>
      <c r="F37" s="39" t="s">
        <v>366</v>
      </c>
      <c r="G37" s="51" t="s">
        <v>256</v>
      </c>
      <c r="H37" s="39" t="s">
        <v>382</v>
      </c>
    </row>
    <row r="38" customFormat="false" ht="12.8" hidden="false" customHeight="false" outlineLevel="0" collapsed="false">
      <c r="A38" s="39" t="s">
        <v>383</v>
      </c>
      <c r="B38" s="39" t="s">
        <v>384</v>
      </c>
      <c r="C38" s="39" t="n">
        <v>0.8</v>
      </c>
      <c r="D38" s="39" t="s">
        <v>385</v>
      </c>
      <c r="E38" s="39" t="s">
        <v>260</v>
      </c>
      <c r="F38" s="39" t="s">
        <v>366</v>
      </c>
      <c r="G38" s="51" t="s">
        <v>256</v>
      </c>
      <c r="H38" s="39" t="s">
        <v>382</v>
      </c>
    </row>
    <row r="39" customFormat="false" ht="12.8" hidden="false" customHeight="false" outlineLevel="0" collapsed="false">
      <c r="A39" s="39" t="s">
        <v>386</v>
      </c>
      <c r="B39" s="39" t="s">
        <v>387</v>
      </c>
      <c r="C39" s="39" t="n">
        <v>0.8</v>
      </c>
      <c r="D39" s="39" t="s">
        <v>388</v>
      </c>
      <c r="E39" s="39" t="s">
        <v>260</v>
      </c>
      <c r="F39" s="39" t="s">
        <v>366</v>
      </c>
      <c r="G39" s="51" t="s">
        <v>256</v>
      </c>
      <c r="H39" s="39" t="s">
        <v>382</v>
      </c>
    </row>
    <row r="40" customFormat="false" ht="12.8" hidden="false" customHeight="false" outlineLevel="0" collapsed="false">
      <c r="A40" s="39" t="s">
        <v>389</v>
      </c>
      <c r="B40" s="39" t="s">
        <v>390</v>
      </c>
      <c r="C40" s="39" t="n">
        <v>0.85</v>
      </c>
      <c r="D40" s="39" t="s">
        <v>391</v>
      </c>
      <c r="E40" s="39" t="s">
        <v>325</v>
      </c>
      <c r="F40" s="39" t="s">
        <v>366</v>
      </c>
      <c r="G40" s="51" t="s">
        <v>256</v>
      </c>
      <c r="H40" s="39" t="s">
        <v>392</v>
      </c>
    </row>
    <row r="41" customFormat="false" ht="12.8" hidden="false" customHeight="false" outlineLevel="0" collapsed="false">
      <c r="A41" s="39" t="s">
        <v>393</v>
      </c>
      <c r="B41" s="39" t="s">
        <v>394</v>
      </c>
      <c r="C41" s="39" t="n">
        <v>0.85</v>
      </c>
      <c r="D41" s="39" t="s">
        <v>395</v>
      </c>
      <c r="E41" s="39" t="s">
        <v>260</v>
      </c>
      <c r="F41" s="39" t="s">
        <v>366</v>
      </c>
      <c r="G41" s="51" t="s">
        <v>256</v>
      </c>
      <c r="H41" s="39" t="s">
        <v>396</v>
      </c>
    </row>
    <row r="42" customFormat="false" ht="12.8" hidden="false" customHeight="false" outlineLevel="0" collapsed="false">
      <c r="A42" s="39" t="s">
        <v>397</v>
      </c>
      <c r="B42" s="39" t="s">
        <v>398</v>
      </c>
      <c r="C42" s="39" t="n">
        <v>1.05</v>
      </c>
      <c r="D42" s="39" t="s">
        <v>399</v>
      </c>
      <c r="E42" s="39" t="s">
        <v>260</v>
      </c>
      <c r="F42" s="39" t="s">
        <v>366</v>
      </c>
      <c r="G42" s="51" t="s">
        <v>256</v>
      </c>
      <c r="H42" s="39" t="s">
        <v>400</v>
      </c>
    </row>
    <row r="43" customFormat="false" ht="12.8" hidden="false" customHeight="false" outlineLevel="0" collapsed="false">
      <c r="A43" s="39" t="s">
        <v>401</v>
      </c>
      <c r="B43" s="39" t="s">
        <v>402</v>
      </c>
      <c r="C43" s="39" t="n">
        <v>1.05</v>
      </c>
      <c r="D43" s="39" t="s">
        <v>403</v>
      </c>
      <c r="E43" s="39" t="s">
        <v>260</v>
      </c>
      <c r="F43" s="39" t="s">
        <v>366</v>
      </c>
      <c r="G43" s="51" t="s">
        <v>256</v>
      </c>
      <c r="H43" s="39" t="s">
        <v>404</v>
      </c>
    </row>
    <row r="44" customFormat="false" ht="12.8" hidden="false" customHeight="false" outlineLevel="0" collapsed="false">
      <c r="A44" s="39" t="s">
        <v>405</v>
      </c>
      <c r="B44" s="39" t="s">
        <v>406</v>
      </c>
      <c r="C44" s="39" t="n">
        <v>1.15</v>
      </c>
      <c r="D44" s="39" t="s">
        <v>407</v>
      </c>
      <c r="E44" s="39" t="s">
        <v>260</v>
      </c>
      <c r="F44" s="39" t="s">
        <v>366</v>
      </c>
      <c r="G44" s="51" t="s">
        <v>256</v>
      </c>
      <c r="H44" s="39" t="s">
        <v>408</v>
      </c>
    </row>
    <row r="45" customFormat="false" ht="12.8" hidden="false" customHeight="false" outlineLevel="0" collapsed="false">
      <c r="A45" s="39" t="s">
        <v>409</v>
      </c>
      <c r="B45" s="39" t="s">
        <v>410</v>
      </c>
      <c r="C45" s="39" t="n">
        <v>1.15</v>
      </c>
      <c r="D45" s="39" t="s">
        <v>411</v>
      </c>
      <c r="E45" s="39" t="s">
        <v>325</v>
      </c>
      <c r="F45" s="39" t="s">
        <v>366</v>
      </c>
      <c r="G45" s="51" t="s">
        <v>256</v>
      </c>
      <c r="H45" s="39" t="s">
        <v>412</v>
      </c>
    </row>
    <row r="46" customFormat="false" ht="12.8" hidden="false" customHeight="false" outlineLevel="0" collapsed="false">
      <c r="A46" s="39" t="s">
        <v>413</v>
      </c>
      <c r="B46" s="39" t="s">
        <v>414</v>
      </c>
      <c r="C46" s="39" t="n">
        <v>1.15</v>
      </c>
      <c r="D46" s="39" t="s">
        <v>415</v>
      </c>
      <c r="E46" s="39" t="s">
        <v>325</v>
      </c>
      <c r="F46" s="39" t="s">
        <v>366</v>
      </c>
      <c r="G46" s="51" t="s">
        <v>256</v>
      </c>
      <c r="H46" s="39" t="s">
        <v>416</v>
      </c>
    </row>
    <row r="47" customFormat="false" ht="12.8" hidden="false" customHeight="false" outlineLevel="0" collapsed="false">
      <c r="A47" s="39" t="s">
        <v>417</v>
      </c>
      <c r="B47" s="39" t="s">
        <v>418</v>
      </c>
      <c r="C47" s="39" t="n">
        <v>0.92</v>
      </c>
      <c r="D47" s="39" t="s">
        <v>419</v>
      </c>
      <c r="E47" s="39" t="s">
        <v>325</v>
      </c>
      <c r="F47" s="39" t="s">
        <v>420</v>
      </c>
      <c r="G47" s="51" t="s">
        <v>256</v>
      </c>
      <c r="H47" s="39" t="s">
        <v>421</v>
      </c>
    </row>
    <row r="48" customFormat="false" ht="12.8" hidden="false" customHeight="false" outlineLevel="0" collapsed="false">
      <c r="A48" s="39" t="s">
        <v>422</v>
      </c>
      <c r="B48" s="39" t="s">
        <v>423</v>
      </c>
      <c r="C48" s="39" t="n">
        <v>0.96</v>
      </c>
      <c r="D48" s="39" t="s">
        <v>424</v>
      </c>
      <c r="E48" s="39" t="s">
        <v>254</v>
      </c>
      <c r="F48" s="39" t="s">
        <v>420</v>
      </c>
      <c r="G48" s="51" t="s">
        <v>256</v>
      </c>
      <c r="H48" s="39" t="s">
        <v>264</v>
      </c>
    </row>
    <row r="49" customFormat="false" ht="12.8" hidden="false" customHeight="false" outlineLevel="0" collapsed="false">
      <c r="A49" s="39" t="s">
        <v>425</v>
      </c>
      <c r="B49" s="39" t="s">
        <v>426</v>
      </c>
      <c r="C49" s="39" t="n">
        <v>0.98</v>
      </c>
      <c r="D49" s="39" t="s">
        <v>427</v>
      </c>
      <c r="E49" s="39" t="s">
        <v>254</v>
      </c>
      <c r="F49" s="39" t="s">
        <v>420</v>
      </c>
      <c r="G49" s="51" t="s">
        <v>256</v>
      </c>
      <c r="H49" s="39" t="s">
        <v>264</v>
      </c>
    </row>
    <row r="50" customFormat="false" ht="12.8" hidden="false" customHeight="false" outlineLevel="0" collapsed="false">
      <c r="A50" s="39" t="s">
        <v>428</v>
      </c>
      <c r="B50" s="39" t="s">
        <v>429</v>
      </c>
      <c r="C50" s="39" t="n">
        <v>0.92</v>
      </c>
      <c r="D50" s="39" t="s">
        <v>430</v>
      </c>
      <c r="E50" s="39" t="s">
        <v>254</v>
      </c>
      <c r="F50" s="39" t="s">
        <v>420</v>
      </c>
      <c r="G50" s="51" t="s">
        <v>256</v>
      </c>
      <c r="H50" s="39" t="s">
        <v>421</v>
      </c>
    </row>
    <row r="51" customFormat="false" ht="12.8" hidden="false" customHeight="false" outlineLevel="0" collapsed="false">
      <c r="A51" s="39" t="s">
        <v>431</v>
      </c>
      <c r="B51" s="39" t="s">
        <v>432</v>
      </c>
      <c r="C51" s="39" t="n">
        <v>0.94</v>
      </c>
      <c r="D51" s="39" t="s">
        <v>433</v>
      </c>
      <c r="E51" s="39" t="s">
        <v>260</v>
      </c>
      <c r="F51" s="39" t="s">
        <v>420</v>
      </c>
      <c r="G51" s="51" t="s">
        <v>256</v>
      </c>
      <c r="H51" s="39" t="s">
        <v>434</v>
      </c>
    </row>
    <row r="52" customFormat="false" ht="12.8" hidden="false" customHeight="false" outlineLevel="0" collapsed="false">
      <c r="A52" s="39" t="s">
        <v>435</v>
      </c>
      <c r="B52" s="39" t="s">
        <v>436</v>
      </c>
      <c r="C52" s="39" t="n">
        <v>0.95</v>
      </c>
      <c r="D52" s="39" t="s">
        <v>437</v>
      </c>
      <c r="E52" s="39" t="s">
        <v>254</v>
      </c>
      <c r="F52" s="39" t="s">
        <v>420</v>
      </c>
      <c r="G52" s="51" t="s">
        <v>256</v>
      </c>
      <c r="H52" s="39" t="s">
        <v>438</v>
      </c>
    </row>
    <row r="53" customFormat="false" ht="12.8" hidden="false" customHeight="false" outlineLevel="0" collapsed="false">
      <c r="A53" s="39" t="s">
        <v>439</v>
      </c>
      <c r="B53" s="39" t="s">
        <v>440</v>
      </c>
      <c r="C53" s="39" t="n">
        <v>0.97</v>
      </c>
      <c r="D53" s="39" t="s">
        <v>441</v>
      </c>
      <c r="E53" s="39" t="s">
        <v>325</v>
      </c>
      <c r="F53" s="39" t="s">
        <v>420</v>
      </c>
      <c r="G53" s="51" t="s">
        <v>256</v>
      </c>
      <c r="H53" s="39" t="s">
        <v>264</v>
      </c>
    </row>
    <row r="54" customFormat="false" ht="12.8" hidden="false" customHeight="false" outlineLevel="0" collapsed="false">
      <c r="A54" s="39" t="s">
        <v>442</v>
      </c>
      <c r="B54" s="39" t="s">
        <v>443</v>
      </c>
      <c r="C54" s="39" t="n">
        <v>1.02</v>
      </c>
      <c r="D54" s="39" t="s">
        <v>444</v>
      </c>
      <c r="E54" s="39" t="s">
        <v>254</v>
      </c>
      <c r="F54" s="39" t="s">
        <v>420</v>
      </c>
      <c r="G54" s="51" t="s">
        <v>256</v>
      </c>
      <c r="H54" s="39" t="s">
        <v>264</v>
      </c>
    </row>
    <row r="55" customFormat="false" ht="12.8" hidden="false" customHeight="false" outlineLevel="0" collapsed="false">
      <c r="A55" s="39" t="s">
        <v>445</v>
      </c>
      <c r="B55" s="39" t="s">
        <v>446</v>
      </c>
      <c r="C55" s="39" t="n">
        <v>0.98</v>
      </c>
      <c r="D55" s="39" t="s">
        <v>447</v>
      </c>
      <c r="E55" s="39" t="s">
        <v>260</v>
      </c>
      <c r="F55" s="39" t="s">
        <v>420</v>
      </c>
      <c r="G55" s="51" t="s">
        <v>256</v>
      </c>
      <c r="H55" s="39" t="s">
        <v>264</v>
      </c>
    </row>
    <row r="56" customFormat="false" ht="12.8" hidden="false" customHeight="false" outlineLevel="0" collapsed="false">
      <c r="A56" s="39" t="s">
        <v>448</v>
      </c>
      <c r="B56" s="39" t="s">
        <v>449</v>
      </c>
      <c r="C56" s="39" t="n">
        <v>1.04</v>
      </c>
      <c r="D56" s="39" t="s">
        <v>450</v>
      </c>
      <c r="E56" s="39" t="s">
        <v>254</v>
      </c>
      <c r="F56" s="39" t="s">
        <v>420</v>
      </c>
      <c r="G56" s="51" t="s">
        <v>256</v>
      </c>
      <c r="H56" s="39" t="s">
        <v>264</v>
      </c>
    </row>
    <row r="57" customFormat="false" ht="12.8" hidden="false" customHeight="false" outlineLevel="0" collapsed="false">
      <c r="A57" s="39" t="s">
        <v>451</v>
      </c>
      <c r="B57" s="39" t="s">
        <v>452</v>
      </c>
      <c r="C57" s="39" t="n">
        <v>0.93</v>
      </c>
      <c r="D57" s="39" t="s">
        <v>453</v>
      </c>
      <c r="E57" s="39" t="s">
        <v>260</v>
      </c>
      <c r="F57" s="39" t="s">
        <v>420</v>
      </c>
      <c r="G57" s="51" t="s">
        <v>256</v>
      </c>
      <c r="H57" s="39" t="s">
        <v>454</v>
      </c>
    </row>
    <row r="58" customFormat="false" ht="12.8" hidden="false" customHeight="false" outlineLevel="0" collapsed="false">
      <c r="A58" s="39" t="s">
        <v>455</v>
      </c>
      <c r="B58" s="39" t="s">
        <v>456</v>
      </c>
      <c r="C58" s="39" t="n">
        <v>1.02</v>
      </c>
      <c r="D58" s="39" t="s">
        <v>457</v>
      </c>
      <c r="E58" s="39" t="s">
        <v>254</v>
      </c>
      <c r="F58" s="39" t="s">
        <v>420</v>
      </c>
      <c r="G58" s="51" t="s">
        <v>256</v>
      </c>
      <c r="H58" s="39" t="s">
        <v>264</v>
      </c>
    </row>
    <row r="59" customFormat="false" ht="12.8" hidden="false" customHeight="false" outlineLevel="0" collapsed="false">
      <c r="A59" s="39" t="s">
        <v>458</v>
      </c>
      <c r="B59" s="39" t="s">
        <v>459</v>
      </c>
      <c r="C59" s="39" t="n">
        <v>1.03</v>
      </c>
      <c r="D59" s="39" t="s">
        <v>460</v>
      </c>
      <c r="E59" s="39" t="s">
        <v>254</v>
      </c>
      <c r="F59" s="39" t="s">
        <v>420</v>
      </c>
      <c r="G59" s="51" t="s">
        <v>256</v>
      </c>
      <c r="H59" s="39" t="s">
        <v>264</v>
      </c>
    </row>
    <row r="60" customFormat="false" ht="12.8" hidden="false" customHeight="false" outlineLevel="0" collapsed="false">
      <c r="A60" s="39" t="s">
        <v>461</v>
      </c>
      <c r="B60" s="39" t="s">
        <v>462</v>
      </c>
      <c r="C60" s="39" t="n">
        <v>0.94</v>
      </c>
      <c r="D60" s="39" t="s">
        <v>463</v>
      </c>
      <c r="E60" s="39" t="s">
        <v>325</v>
      </c>
      <c r="F60" s="39" t="s">
        <v>420</v>
      </c>
      <c r="G60" s="51" t="s">
        <v>256</v>
      </c>
      <c r="H60" s="39" t="s">
        <v>464</v>
      </c>
    </row>
    <row r="61" customFormat="false" ht="12.8" hidden="false" customHeight="false" outlineLevel="0" collapsed="false">
      <c r="A61" s="39" t="s">
        <v>465</v>
      </c>
      <c r="B61" s="39" t="s">
        <v>466</v>
      </c>
      <c r="C61" s="39" t="n">
        <v>0.91</v>
      </c>
      <c r="D61" s="39" t="s">
        <v>467</v>
      </c>
      <c r="E61" s="39" t="s">
        <v>325</v>
      </c>
      <c r="F61" s="39" t="s">
        <v>420</v>
      </c>
      <c r="G61" s="51" t="s">
        <v>256</v>
      </c>
      <c r="H61" s="39" t="s">
        <v>468</v>
      </c>
    </row>
    <row r="62" customFormat="false" ht="12.8" hidden="false" customHeight="false" outlineLevel="0" collapsed="false">
      <c r="A62" s="39" t="s">
        <v>469</v>
      </c>
      <c r="B62" s="39" t="s">
        <v>470</v>
      </c>
      <c r="C62" s="39" t="n">
        <v>0.93</v>
      </c>
      <c r="D62" s="39" t="s">
        <v>471</v>
      </c>
      <c r="E62" s="39" t="s">
        <v>325</v>
      </c>
      <c r="F62" s="39" t="s">
        <v>420</v>
      </c>
      <c r="G62" s="51" t="s">
        <v>256</v>
      </c>
      <c r="H62" s="39" t="s">
        <v>472</v>
      </c>
    </row>
    <row r="63" customFormat="false" ht="12.8" hidden="false" customHeight="false" outlineLevel="0" collapsed="false">
      <c r="A63" s="39" t="s">
        <v>473</v>
      </c>
      <c r="B63" s="39" t="s">
        <v>474</v>
      </c>
      <c r="C63" s="39" t="n">
        <v>1.05</v>
      </c>
      <c r="D63" s="39" t="s">
        <v>475</v>
      </c>
      <c r="E63" s="39" t="s">
        <v>254</v>
      </c>
      <c r="F63" s="39" t="s">
        <v>420</v>
      </c>
      <c r="G63" s="51" t="s">
        <v>256</v>
      </c>
      <c r="H63" s="39" t="s">
        <v>264</v>
      </c>
    </row>
    <row r="64" customFormat="false" ht="12.8" hidden="false" customHeight="false" outlineLevel="0" collapsed="false">
      <c r="A64" s="39" t="s">
        <v>476</v>
      </c>
      <c r="B64" s="39" t="s">
        <v>477</v>
      </c>
      <c r="C64" s="39" t="n">
        <v>1.15</v>
      </c>
      <c r="D64" s="39" t="s">
        <v>478</v>
      </c>
      <c r="E64" s="39" t="s">
        <v>260</v>
      </c>
      <c r="F64" s="39" t="s">
        <v>366</v>
      </c>
      <c r="G64" s="51" t="s">
        <v>256</v>
      </c>
      <c r="H64" s="3"/>
    </row>
    <row r="65" customFormat="false" ht="12.8" hidden="false" customHeight="false" outlineLevel="0" collapsed="false">
      <c r="A65" s="39" t="s">
        <v>479</v>
      </c>
      <c r="B65" s="39" t="s">
        <v>480</v>
      </c>
      <c r="C65" s="39" t="n">
        <v>1.15</v>
      </c>
      <c r="D65" s="39" t="s">
        <v>481</v>
      </c>
      <c r="E65" s="39" t="s">
        <v>260</v>
      </c>
      <c r="F65" s="39" t="s">
        <v>366</v>
      </c>
      <c r="G65" s="51" t="s">
        <v>256</v>
      </c>
      <c r="H65" s="3"/>
    </row>
    <row r="66" customFormat="false" ht="12.8" hidden="false" customHeight="false" outlineLevel="0" collapsed="false">
      <c r="A66" s="39" t="s">
        <v>482</v>
      </c>
      <c r="B66" s="39" t="s">
        <v>483</v>
      </c>
      <c r="C66" s="39" t="n">
        <v>1.15</v>
      </c>
      <c r="D66" s="39" t="s">
        <v>484</v>
      </c>
      <c r="E66" s="39" t="s">
        <v>260</v>
      </c>
      <c r="F66" s="39" t="s">
        <v>366</v>
      </c>
      <c r="G66" s="51" t="s">
        <v>256</v>
      </c>
      <c r="H66" s="3"/>
    </row>
    <row r="67" customFormat="false" ht="12.8" hidden="false" customHeight="false" outlineLevel="0" collapsed="false">
      <c r="A67" s="39" t="s">
        <v>485</v>
      </c>
      <c r="B67" s="39" t="s">
        <v>486</v>
      </c>
      <c r="C67" s="39" t="n">
        <v>0.8</v>
      </c>
      <c r="D67" s="39" t="s">
        <v>487</v>
      </c>
      <c r="E67" s="39" t="s">
        <v>260</v>
      </c>
      <c r="F67" s="39" t="s">
        <v>366</v>
      </c>
      <c r="G67" s="51" t="s">
        <v>256</v>
      </c>
      <c r="H67" s="3"/>
    </row>
    <row r="68" customFormat="false" ht="12.8" hidden="false" customHeight="false" outlineLevel="0" collapsed="false">
      <c r="A68" s="39" t="s">
        <v>488</v>
      </c>
      <c r="B68" s="39" t="s">
        <v>489</v>
      </c>
      <c r="C68" s="39" t="n">
        <v>0.91</v>
      </c>
      <c r="D68" s="39" t="s">
        <v>490</v>
      </c>
      <c r="E68" s="39" t="s">
        <v>325</v>
      </c>
      <c r="F68" s="39" t="s">
        <v>420</v>
      </c>
      <c r="G68" s="51" t="s">
        <v>256</v>
      </c>
      <c r="H68" s="3"/>
    </row>
    <row r="69" customFormat="false" ht="12.8" hidden="false" customHeight="false" outlineLevel="0" collapsed="false">
      <c r="A69" s="39" t="s">
        <v>491</v>
      </c>
      <c r="B69" s="39" t="s">
        <v>492</v>
      </c>
      <c r="C69" s="39" t="n">
        <v>0.91</v>
      </c>
      <c r="D69" s="39" t="s">
        <v>493</v>
      </c>
      <c r="E69" s="39" t="s">
        <v>254</v>
      </c>
      <c r="F69" s="39" t="s">
        <v>420</v>
      </c>
      <c r="G69" s="51" t="s">
        <v>256</v>
      </c>
      <c r="H69" s="3"/>
    </row>
    <row r="70" customFormat="false" ht="12.8" hidden="false" customHeight="false" outlineLevel="0" collapsed="false">
      <c r="A70" s="39" t="s">
        <v>494</v>
      </c>
      <c r="B70" s="39" t="s">
        <v>495</v>
      </c>
      <c r="C70" s="39" t="n">
        <v>0.9</v>
      </c>
      <c r="D70" s="39" t="s">
        <v>496</v>
      </c>
      <c r="E70" s="39" t="s">
        <v>325</v>
      </c>
      <c r="F70" s="39" t="s">
        <v>420</v>
      </c>
      <c r="G70" s="51" t="s">
        <v>256</v>
      </c>
      <c r="H70" s="3"/>
    </row>
    <row r="71" customFormat="false" ht="12.8" hidden="false" customHeight="false" outlineLevel="0" collapsed="false">
      <c r="A71" s="39" t="s">
        <v>497</v>
      </c>
      <c r="B71" s="39" t="s">
        <v>498</v>
      </c>
      <c r="C71" s="39" t="n">
        <v>0.92</v>
      </c>
      <c r="D71" s="39" t="s">
        <v>499</v>
      </c>
      <c r="E71" s="39" t="s">
        <v>260</v>
      </c>
      <c r="F71" s="39" t="s">
        <v>420</v>
      </c>
      <c r="G71" s="51" t="s">
        <v>256</v>
      </c>
      <c r="H71" s="3"/>
    </row>
    <row r="72" customFormat="false" ht="12.8" hidden="false" customHeight="false" outlineLevel="0" collapsed="false">
      <c r="A72" s="39" t="s">
        <v>500</v>
      </c>
      <c r="B72" s="39" t="s">
        <v>501</v>
      </c>
      <c r="C72" s="39" t="n">
        <v>0.93</v>
      </c>
      <c r="D72" s="39" t="s">
        <v>502</v>
      </c>
      <c r="E72" s="39" t="s">
        <v>325</v>
      </c>
      <c r="F72" s="39" t="s">
        <v>420</v>
      </c>
      <c r="G72" s="51" t="s">
        <v>256</v>
      </c>
      <c r="H72" s="3"/>
    </row>
    <row r="73" customFormat="false" ht="12.8" hidden="false" customHeight="false" outlineLevel="0" collapsed="false">
      <c r="A73" s="39" t="s">
        <v>503</v>
      </c>
      <c r="B73" s="39" t="s">
        <v>504</v>
      </c>
      <c r="C73" s="39" t="n">
        <v>0.92</v>
      </c>
      <c r="D73" s="39" t="s">
        <v>505</v>
      </c>
      <c r="E73" s="39" t="s">
        <v>325</v>
      </c>
      <c r="F73" s="39" t="s">
        <v>420</v>
      </c>
      <c r="G73" s="51" t="s">
        <v>256</v>
      </c>
      <c r="H73" s="3"/>
    </row>
    <row r="74" customFormat="false" ht="12.8" hidden="false" customHeight="false" outlineLevel="0" collapsed="false">
      <c r="A74" s="39" t="s">
        <v>506</v>
      </c>
      <c r="B74" s="39" t="s">
        <v>507</v>
      </c>
      <c r="C74" s="39" t="n">
        <v>0.93</v>
      </c>
      <c r="D74" s="39" t="s">
        <v>508</v>
      </c>
      <c r="E74" s="39" t="s">
        <v>260</v>
      </c>
      <c r="F74" s="39" t="s">
        <v>420</v>
      </c>
      <c r="G74" s="51" t="s">
        <v>256</v>
      </c>
      <c r="H74" s="3"/>
    </row>
    <row r="75" customFormat="false" ht="12.8" hidden="false" customHeight="false" outlineLevel="0" collapsed="false">
      <c r="A75" s="39" t="s">
        <v>509</v>
      </c>
      <c r="B75" s="39" t="s">
        <v>510</v>
      </c>
      <c r="C75" s="39" t="n">
        <v>0.94</v>
      </c>
      <c r="D75" s="39" t="s">
        <v>511</v>
      </c>
      <c r="E75" s="39" t="s">
        <v>254</v>
      </c>
      <c r="F75" s="39" t="s">
        <v>420</v>
      </c>
      <c r="G75" s="51" t="s">
        <v>256</v>
      </c>
      <c r="H75" s="3"/>
    </row>
    <row r="76" customFormat="false" ht="12.8" hidden="false" customHeight="false" outlineLevel="0" collapsed="false">
      <c r="A76" s="39" t="s">
        <v>512</v>
      </c>
      <c r="B76" s="39" t="s">
        <v>513</v>
      </c>
      <c r="C76" s="39" t="n">
        <v>0.96</v>
      </c>
      <c r="D76" s="39" t="s">
        <v>514</v>
      </c>
      <c r="E76" s="39" t="s">
        <v>325</v>
      </c>
      <c r="F76" s="39" t="s">
        <v>420</v>
      </c>
      <c r="G76" s="51" t="s">
        <v>256</v>
      </c>
      <c r="H76" s="3"/>
    </row>
    <row r="77" customFormat="false" ht="12.8" hidden="false" customHeight="false" outlineLevel="0" collapsed="false">
      <c r="A77" s="39" t="s">
        <v>515</v>
      </c>
      <c r="B77" s="39" t="s">
        <v>516</v>
      </c>
      <c r="C77" s="39" t="n">
        <v>0.97</v>
      </c>
      <c r="D77" s="39" t="s">
        <v>517</v>
      </c>
      <c r="E77" s="39" t="s">
        <v>260</v>
      </c>
      <c r="F77" s="39" t="s">
        <v>420</v>
      </c>
      <c r="G77" s="51" t="s">
        <v>256</v>
      </c>
      <c r="H77" s="3"/>
    </row>
    <row r="78" customFormat="false" ht="12.8" hidden="false" customHeight="false" outlineLevel="0" collapsed="false">
      <c r="A78" s="39" t="s">
        <v>518</v>
      </c>
      <c r="B78" s="39" t="s">
        <v>519</v>
      </c>
      <c r="C78" s="39" t="n">
        <v>1.02</v>
      </c>
      <c r="D78" s="39" t="s">
        <v>520</v>
      </c>
      <c r="E78" s="39" t="s">
        <v>254</v>
      </c>
      <c r="F78" s="39" t="s">
        <v>420</v>
      </c>
      <c r="G78" s="51" t="s">
        <v>256</v>
      </c>
      <c r="H78" s="3"/>
    </row>
    <row r="79" customFormat="false" ht="12.8" hidden="false" customHeight="false" outlineLevel="0" collapsed="false">
      <c r="A79" s="39" t="s">
        <v>521</v>
      </c>
      <c r="B79" s="39" t="s">
        <v>522</v>
      </c>
      <c r="C79" s="39" t="n">
        <v>1.04</v>
      </c>
      <c r="D79" s="39" t="s">
        <v>523</v>
      </c>
      <c r="E79" s="39" t="s">
        <v>254</v>
      </c>
      <c r="F79" s="39" t="s">
        <v>420</v>
      </c>
      <c r="G79" s="51" t="s">
        <v>256</v>
      </c>
      <c r="H79" s="3"/>
    </row>
    <row r="80" customFormat="false" ht="12.8" hidden="false" customHeight="false" outlineLevel="0" collapsed="false">
      <c r="A80" s="39" t="s">
        <v>524</v>
      </c>
      <c r="B80" s="39" t="s">
        <v>525</v>
      </c>
      <c r="C80" s="39" t="n">
        <v>1.02</v>
      </c>
      <c r="D80" s="39" t="s">
        <v>526</v>
      </c>
      <c r="E80" s="39" t="s">
        <v>254</v>
      </c>
      <c r="F80" s="39" t="s">
        <v>420</v>
      </c>
      <c r="G80" s="51" t="s">
        <v>256</v>
      </c>
      <c r="H80" s="3"/>
    </row>
    <row r="81" customFormat="false" ht="12.8" hidden="false" customHeight="false" outlineLevel="0" collapsed="false">
      <c r="A81" s="39" t="s">
        <v>527</v>
      </c>
      <c r="B81" s="39" t="s">
        <v>528</v>
      </c>
      <c r="C81" s="39" t="n">
        <v>1.03</v>
      </c>
      <c r="D81" s="39" t="s">
        <v>529</v>
      </c>
      <c r="E81" s="39" t="s">
        <v>254</v>
      </c>
      <c r="F81" s="39" t="s">
        <v>420</v>
      </c>
      <c r="G81" s="51" t="s">
        <v>256</v>
      </c>
      <c r="H81" s="3"/>
    </row>
    <row r="82" customFormat="false" ht="12.8" hidden="false" customHeight="false" outlineLevel="0" collapsed="false">
      <c r="A82" s="39" t="s">
        <v>530</v>
      </c>
      <c r="B82" s="39" t="s">
        <v>531</v>
      </c>
      <c r="C82" s="39" t="n">
        <v>0.95</v>
      </c>
      <c r="D82" s="39" t="s">
        <v>532</v>
      </c>
      <c r="E82" s="39" t="s">
        <v>254</v>
      </c>
      <c r="F82" s="39" t="s">
        <v>420</v>
      </c>
      <c r="G82" s="51" t="s">
        <v>256</v>
      </c>
      <c r="H82" s="3"/>
    </row>
    <row r="83" customFormat="false" ht="12.8" hidden="false" customHeight="false" outlineLevel="0" collapsed="false">
      <c r="A83" s="39" t="s">
        <v>533</v>
      </c>
      <c r="B83" s="39" t="s">
        <v>534</v>
      </c>
      <c r="C83" s="39" t="n">
        <v>0.98</v>
      </c>
      <c r="D83" s="39" t="s">
        <v>535</v>
      </c>
      <c r="E83" s="39" t="s">
        <v>254</v>
      </c>
      <c r="F83" s="39" t="s">
        <v>420</v>
      </c>
      <c r="G83" s="51" t="s">
        <v>256</v>
      </c>
      <c r="H83" s="3"/>
    </row>
    <row r="84" customFormat="false" ht="12.8" hidden="false" customHeight="false" outlineLevel="0" collapsed="false">
      <c r="A84" s="39" t="s">
        <v>536</v>
      </c>
      <c r="B84" s="39" t="s">
        <v>537</v>
      </c>
      <c r="C84" s="39" t="n">
        <v>0.96</v>
      </c>
      <c r="D84" s="39" t="s">
        <v>538</v>
      </c>
      <c r="E84" s="39" t="s">
        <v>254</v>
      </c>
      <c r="F84" s="39" t="s">
        <v>420</v>
      </c>
      <c r="G84" s="51" t="s">
        <v>256</v>
      </c>
      <c r="H84" s="3"/>
    </row>
    <row r="85" customFormat="false" ht="12.8" hidden="false" customHeight="false" outlineLevel="0" collapsed="false">
      <c r="A85" s="39" t="s">
        <v>539</v>
      </c>
      <c r="B85" s="39" t="s">
        <v>540</v>
      </c>
      <c r="C85" s="39" t="n">
        <v>0.94</v>
      </c>
      <c r="D85" s="39" t="s">
        <v>541</v>
      </c>
      <c r="E85" s="39" t="s">
        <v>260</v>
      </c>
      <c r="F85" s="39" t="s">
        <v>420</v>
      </c>
      <c r="G85" s="51" t="s">
        <v>256</v>
      </c>
      <c r="H85" s="3"/>
    </row>
    <row r="86" customFormat="false" ht="12.8" hidden="false" customHeight="false" outlineLevel="0" collapsed="false">
      <c r="A86" s="39" t="s">
        <v>542</v>
      </c>
      <c r="B86" s="39" t="s">
        <v>543</v>
      </c>
      <c r="C86" s="39" t="n">
        <v>0.93</v>
      </c>
      <c r="D86" s="39" t="s">
        <v>544</v>
      </c>
      <c r="E86" s="39" t="s">
        <v>260</v>
      </c>
      <c r="F86" s="39" t="s">
        <v>420</v>
      </c>
      <c r="G86" s="51" t="s">
        <v>256</v>
      </c>
      <c r="H86" s="3"/>
    </row>
    <row r="87" customFormat="false" ht="12.8" hidden="false" customHeight="false" outlineLevel="0" collapsed="false">
      <c r="A87" s="39" t="s">
        <v>545</v>
      </c>
      <c r="B87" s="39" t="s">
        <v>546</v>
      </c>
      <c r="C87" s="39" t="n">
        <v>0.94</v>
      </c>
      <c r="D87" s="39" t="s">
        <v>547</v>
      </c>
      <c r="E87" s="39" t="s">
        <v>260</v>
      </c>
      <c r="F87" s="39" t="s">
        <v>420</v>
      </c>
      <c r="G87" s="51" t="s">
        <v>256</v>
      </c>
      <c r="H87" s="3"/>
    </row>
    <row r="88" customFormat="false" ht="12.8" hidden="false" customHeight="false" outlineLevel="0" collapsed="false">
      <c r="A88" s="39" t="s">
        <v>548</v>
      </c>
      <c r="B88" s="39" t="s">
        <v>549</v>
      </c>
      <c r="C88" s="39" t="n">
        <v>0.93</v>
      </c>
      <c r="D88" s="39" t="s">
        <v>550</v>
      </c>
      <c r="E88" s="39" t="s">
        <v>260</v>
      </c>
      <c r="F88" s="39" t="s">
        <v>420</v>
      </c>
      <c r="G88" s="51" t="s">
        <v>256</v>
      </c>
      <c r="H88" s="3"/>
    </row>
    <row r="89" customFormat="false" ht="12.8" hidden="false" customHeight="false" outlineLevel="0" collapsed="false">
      <c r="A89" s="39" t="s">
        <v>551</v>
      </c>
      <c r="B89" s="39" t="s">
        <v>552</v>
      </c>
      <c r="C89" s="39" t="n">
        <v>1.05</v>
      </c>
      <c r="D89" s="39" t="s">
        <v>553</v>
      </c>
      <c r="E89" s="39" t="s">
        <v>254</v>
      </c>
      <c r="F89" s="39" t="s">
        <v>420</v>
      </c>
      <c r="G89" s="51" t="s">
        <v>256</v>
      </c>
      <c r="H89"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O27"/>
  <sheetViews>
    <sheetView showFormulas="false" showGridLines="true" showRowColHeaders="true" showZeros="true" rightToLeft="false" tabSelected="false" showOutlineSymbols="true" defaultGridColor="true" view="normal" topLeftCell="H1" colorId="64" zoomScale="75" zoomScaleNormal="75" zoomScalePageLayoutView="100" workbookViewId="0">
      <selection pane="topLeft" activeCell="N32" activeCellId="1" sqref="D3:E3 N32"/>
    </sheetView>
  </sheetViews>
  <sheetFormatPr defaultColWidth="11.53515625" defaultRowHeight="12.8" customHeight="false" zeroHeight="false" outlineLevelRow="0" outlineLevelCol="0"/>
  <cols>
    <col collapsed="false" customWidth="true" hidden="false" outlineLevel="0" max="1" min="1" style="50"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35" min="5" style="39" width="16.84"/>
    <col collapsed="false" customWidth="true" hidden="false" outlineLevel="0" max="49" min="36" style="39" width="17.78"/>
    <col collapsed="false" customWidth="true" hidden="false" outlineLevel="0" max="51" min="50" style="39" width="15.48"/>
    <col collapsed="false" customWidth="true" hidden="false" outlineLevel="0" max="52" min="52" style="3" width="15.48"/>
    <col collapsed="false" customWidth="false" hidden="false" outlineLevel="0" max="56" min="56" style="39" width="11.53"/>
    <col collapsed="false" customWidth="true" hidden="false" outlineLevel="0" max="57" min="57" style="39" width="18.45"/>
    <col collapsed="false" customWidth="true" hidden="false" outlineLevel="0" max="60" min="58" style="39" width="16.14"/>
    <col collapsed="false" customWidth="true" hidden="false" outlineLevel="0" max="67" min="61" style="39" width="13.84"/>
    <col collapsed="false" customWidth="true" hidden="false" outlineLevel="0" max="68" min="68" style="3" width="13.84"/>
  </cols>
  <sheetData>
    <row r="1" customFormat="false" ht="12.8" hidden="false" customHeight="false" outlineLevel="0" collapsed="false">
      <c r="A1" s="4" t="s">
        <v>554</v>
      </c>
      <c r="B1" s="42" t="s">
        <v>7</v>
      </c>
      <c r="C1" s="6" t="s">
        <v>2</v>
      </c>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D1" s="42"/>
      <c r="BE1" s="42"/>
      <c r="BF1" s="42"/>
      <c r="BG1" s="42"/>
      <c r="BH1" s="42"/>
      <c r="BI1" s="42"/>
      <c r="BJ1" s="42"/>
      <c r="BK1" s="42"/>
      <c r="BL1" s="42"/>
      <c r="BM1" s="42"/>
      <c r="BN1" s="42"/>
      <c r="BO1" s="42"/>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row>
    <row r="2" customFormat="false" ht="12.8" hidden="false" customHeight="false" outlineLevel="0" collapsed="false">
      <c r="A2" s="5" t="s">
        <v>555</v>
      </c>
      <c r="B2" s="5"/>
      <c r="C2" s="5"/>
      <c r="D2" s="52" t="s">
        <v>556</v>
      </c>
      <c r="E2" s="52"/>
      <c r="F2" s="52"/>
      <c r="G2" s="52"/>
      <c r="H2" s="5" t="s">
        <v>557</v>
      </c>
      <c r="I2" s="5"/>
      <c r="J2" s="5"/>
      <c r="K2" s="5"/>
      <c r="L2" s="5" t="s">
        <v>558</v>
      </c>
      <c r="M2" s="5"/>
      <c r="N2" s="5"/>
      <c r="O2" s="5"/>
      <c r="P2" s="5" t="s">
        <v>559</v>
      </c>
      <c r="Q2" s="5"/>
      <c r="R2" s="5"/>
      <c r="S2" s="5"/>
      <c r="T2" s="5" t="s">
        <v>560</v>
      </c>
      <c r="U2" s="5"/>
      <c r="V2" s="5"/>
      <c r="W2" s="5"/>
      <c r="X2" s="5" t="s">
        <v>561</v>
      </c>
      <c r="Y2" s="5"/>
      <c r="Z2" s="5"/>
      <c r="AA2" s="5" t="s">
        <v>562</v>
      </c>
      <c r="AB2" s="5"/>
      <c r="AC2" s="5"/>
      <c r="AD2" s="5" t="s">
        <v>563</v>
      </c>
      <c r="AE2" s="5"/>
      <c r="AF2" s="5"/>
      <c r="AG2" s="5" t="s">
        <v>564</v>
      </c>
      <c r="AH2" s="5"/>
      <c r="AI2" s="5"/>
      <c r="AJ2" s="5" t="s">
        <v>565</v>
      </c>
      <c r="AK2" s="5"/>
      <c r="AL2" s="5"/>
      <c r="AM2" s="5" t="s">
        <v>566</v>
      </c>
      <c r="AN2" s="5"/>
      <c r="AO2" s="5"/>
      <c r="AP2" s="5" t="s">
        <v>567</v>
      </c>
      <c r="AQ2" s="5"/>
      <c r="AR2" s="5"/>
      <c r="AS2" s="5" t="s">
        <v>568</v>
      </c>
      <c r="AT2" s="5"/>
      <c r="AU2" s="5"/>
      <c r="AV2" s="5" t="s">
        <v>569</v>
      </c>
      <c r="AW2" s="5"/>
      <c r="AX2" s="5"/>
      <c r="AY2" s="5"/>
      <c r="AZ2" s="5" t="s">
        <v>570</v>
      </c>
      <c r="BA2" s="5"/>
      <c r="BB2" s="5"/>
      <c r="BC2" s="5"/>
      <c r="BD2" s="5" t="s">
        <v>571</v>
      </c>
      <c r="BE2" s="5"/>
      <c r="BF2" s="5"/>
      <c r="BG2" s="5"/>
      <c r="BH2" s="5" t="s">
        <v>572</v>
      </c>
      <c r="BI2" s="5"/>
      <c r="BJ2" s="5"/>
      <c r="BK2" s="5"/>
      <c r="BL2" s="5" t="s">
        <v>573</v>
      </c>
      <c r="BM2" s="5"/>
      <c r="BN2" s="5"/>
      <c r="BO2" s="5"/>
      <c r="BP2" s="53" t="s">
        <v>574</v>
      </c>
      <c r="BQ2" s="53"/>
      <c r="BR2" s="53"/>
      <c r="BS2" s="53"/>
      <c r="BT2" s="53" t="s">
        <v>575</v>
      </c>
      <c r="BU2" s="53"/>
      <c r="BV2" s="53"/>
      <c r="BW2" s="53"/>
      <c r="BX2" s="53"/>
      <c r="BY2" s="53"/>
      <c r="BZ2" s="53" t="s">
        <v>576</v>
      </c>
      <c r="CA2" s="53"/>
      <c r="CB2" s="53"/>
      <c r="CC2" s="53"/>
      <c r="CD2" s="53" t="s">
        <v>577</v>
      </c>
      <c r="CE2" s="53"/>
      <c r="CF2" s="53"/>
      <c r="CG2" s="53"/>
      <c r="CH2" s="53" t="s">
        <v>578</v>
      </c>
      <c r="CI2" s="53"/>
      <c r="CJ2" s="53"/>
      <c r="CK2" s="53"/>
      <c r="CL2" s="53"/>
      <c r="CM2" s="53"/>
      <c r="CN2" s="53" t="s">
        <v>579</v>
      </c>
      <c r="CO2" s="53"/>
      <c r="CP2" s="53"/>
      <c r="CQ2" s="53"/>
      <c r="CR2" s="53" t="s">
        <v>580</v>
      </c>
      <c r="CS2" s="53"/>
      <c r="CT2" s="53"/>
      <c r="CU2" s="53"/>
      <c r="CV2" s="53" t="s">
        <v>581</v>
      </c>
      <c r="CW2" s="53"/>
      <c r="CX2" s="53"/>
      <c r="CY2" s="53"/>
      <c r="CZ2" s="53" t="s">
        <v>582</v>
      </c>
      <c r="DA2" s="53"/>
      <c r="DB2" s="53"/>
      <c r="DC2" s="53"/>
      <c r="DD2" s="53" t="s">
        <v>583</v>
      </c>
      <c r="DE2" s="53"/>
      <c r="DF2" s="53"/>
      <c r="DG2" s="53"/>
      <c r="DH2" s="53" t="s">
        <v>584</v>
      </c>
      <c r="DI2" s="53"/>
      <c r="DJ2" s="53"/>
      <c r="DK2" s="53"/>
      <c r="DL2" s="53"/>
      <c r="DM2" s="53"/>
      <c r="DN2" s="53"/>
      <c r="DO2" s="53"/>
    </row>
    <row r="3" customFormat="false" ht="12.8" hidden="false" customHeight="false" outlineLevel="0" collapsed="false">
      <c r="A3" s="11" t="s">
        <v>585</v>
      </c>
      <c r="B3" s="42" t="s">
        <v>586</v>
      </c>
      <c r="C3" s="42" t="s">
        <v>587</v>
      </c>
      <c r="D3" s="54" t="s">
        <v>588</v>
      </c>
      <c r="E3" s="54" t="s">
        <v>589</v>
      </c>
      <c r="F3" s="54" t="s">
        <v>590</v>
      </c>
      <c r="G3" s="54" t="s">
        <v>591</v>
      </c>
      <c r="H3" s="55" t="s">
        <v>592</v>
      </c>
      <c r="I3" s="55" t="s">
        <v>593</v>
      </c>
      <c r="J3" s="55" t="s">
        <v>594</v>
      </c>
      <c r="K3" s="55" t="s">
        <v>595</v>
      </c>
      <c r="L3" s="42" t="s">
        <v>596</v>
      </c>
      <c r="M3" s="42" t="s">
        <v>597</v>
      </c>
      <c r="N3" s="42" t="s">
        <v>598</v>
      </c>
      <c r="O3" s="42" t="s">
        <v>599</v>
      </c>
      <c r="P3" s="42" t="s">
        <v>42</v>
      </c>
      <c r="Q3" s="42" t="s">
        <v>600</v>
      </c>
      <c r="R3" s="42" t="s">
        <v>601</v>
      </c>
      <c r="S3" s="42" t="s">
        <v>602</v>
      </c>
      <c r="T3" s="42" t="s">
        <v>45</v>
      </c>
      <c r="U3" s="42" t="s">
        <v>603</v>
      </c>
      <c r="V3" s="42" t="s">
        <v>604</v>
      </c>
      <c r="W3" s="42" t="s">
        <v>605</v>
      </c>
      <c r="X3" s="42" t="s">
        <v>606</v>
      </c>
      <c r="Y3" s="42" t="s">
        <v>607</v>
      </c>
      <c r="Z3" s="42" t="s">
        <v>608</v>
      </c>
      <c r="AA3" s="42" t="s">
        <v>609</v>
      </c>
      <c r="AB3" s="42" t="s">
        <v>610</v>
      </c>
      <c r="AC3" s="42" t="s">
        <v>611</v>
      </c>
      <c r="AD3" s="42" t="s">
        <v>612</v>
      </c>
      <c r="AE3" s="42" t="s">
        <v>613</v>
      </c>
      <c r="AF3" s="42" t="s">
        <v>614</v>
      </c>
      <c r="AG3" s="42" t="s">
        <v>615</v>
      </c>
      <c r="AH3" s="42" t="s">
        <v>616</v>
      </c>
      <c r="AI3" s="42" t="s">
        <v>617</v>
      </c>
      <c r="AJ3" s="42" t="s">
        <v>618</v>
      </c>
      <c r="AK3" s="42" t="s">
        <v>619</v>
      </c>
      <c r="AL3" s="42" t="s">
        <v>620</v>
      </c>
      <c r="AM3" s="42" t="s">
        <v>621</v>
      </c>
      <c r="AN3" s="42" t="s">
        <v>622</v>
      </c>
      <c r="AO3" s="42" t="s">
        <v>623</v>
      </c>
      <c r="AP3" s="42" t="s">
        <v>624</v>
      </c>
      <c r="AQ3" s="42" t="s">
        <v>625</v>
      </c>
      <c r="AR3" s="42" t="s">
        <v>626</v>
      </c>
      <c r="AS3" s="42" t="s">
        <v>627</v>
      </c>
      <c r="AT3" s="42" t="s">
        <v>628</v>
      </c>
      <c r="AU3" s="42" t="s">
        <v>629</v>
      </c>
      <c r="AV3" s="42" t="s">
        <v>630</v>
      </c>
      <c r="AW3" s="42" t="s">
        <v>631</v>
      </c>
      <c r="AX3" s="42" t="s">
        <v>632</v>
      </c>
      <c r="AY3" s="42" t="s">
        <v>633</v>
      </c>
      <c r="AZ3" s="42" t="s">
        <v>634</v>
      </c>
      <c r="BA3" s="42" t="s">
        <v>635</v>
      </c>
      <c r="BB3" s="42" t="s">
        <v>636</v>
      </c>
      <c r="BC3" s="42" t="s">
        <v>637</v>
      </c>
      <c r="BD3" s="42" t="s">
        <v>638</v>
      </c>
      <c r="BE3" s="42" t="s">
        <v>639</v>
      </c>
      <c r="BF3" s="42" t="s">
        <v>640</v>
      </c>
      <c r="BG3" s="42" t="s">
        <v>641</v>
      </c>
      <c r="BH3" s="42" t="s">
        <v>642</v>
      </c>
      <c r="BI3" s="42" t="s">
        <v>643</v>
      </c>
      <c r="BJ3" s="42" t="s">
        <v>644</v>
      </c>
      <c r="BK3" s="42" t="s">
        <v>645</v>
      </c>
      <c r="BL3" s="42" t="s">
        <v>646</v>
      </c>
      <c r="BM3" s="42" t="s">
        <v>647</v>
      </c>
      <c r="BN3" s="42" t="s">
        <v>648</v>
      </c>
      <c r="BO3" s="42" t="s">
        <v>649</v>
      </c>
      <c r="BP3" s="42" t="s">
        <v>69</v>
      </c>
      <c r="BQ3" s="42" t="s">
        <v>650</v>
      </c>
      <c r="BR3" s="42" t="s">
        <v>651</v>
      </c>
      <c r="BS3" s="42" t="s">
        <v>652</v>
      </c>
      <c r="BT3" s="42" t="s">
        <v>72</v>
      </c>
      <c r="BU3" s="42" t="s">
        <v>653</v>
      </c>
      <c r="BV3" s="42" t="s">
        <v>654</v>
      </c>
      <c r="BW3" s="42" t="s">
        <v>655</v>
      </c>
      <c r="BX3" s="42" t="s">
        <v>656</v>
      </c>
      <c r="BY3" s="42" t="s">
        <v>657</v>
      </c>
      <c r="BZ3" s="42" t="s">
        <v>75</v>
      </c>
      <c r="CA3" s="42" t="s">
        <v>658</v>
      </c>
      <c r="CB3" s="42" t="s">
        <v>659</v>
      </c>
      <c r="CC3" s="42" t="s">
        <v>660</v>
      </c>
      <c r="CD3" s="42" t="s">
        <v>78</v>
      </c>
      <c r="CE3" s="42" t="s">
        <v>661</v>
      </c>
      <c r="CF3" s="42" t="s">
        <v>662</v>
      </c>
      <c r="CG3" s="42" t="s">
        <v>663</v>
      </c>
      <c r="CH3" s="42" t="s">
        <v>664</v>
      </c>
      <c r="CI3" s="42" t="s">
        <v>665</v>
      </c>
      <c r="CJ3" s="42" t="s">
        <v>666</v>
      </c>
      <c r="CK3" s="42" t="s">
        <v>667</v>
      </c>
      <c r="CL3" s="42" t="s">
        <v>668</v>
      </c>
      <c r="CM3" s="42" t="s">
        <v>669</v>
      </c>
      <c r="CN3" s="42" t="s">
        <v>84</v>
      </c>
      <c r="CO3" s="42" t="s">
        <v>670</v>
      </c>
      <c r="CP3" s="42" t="s">
        <v>671</v>
      </c>
      <c r="CQ3" s="42" t="s">
        <v>672</v>
      </c>
      <c r="CR3" s="42" t="s">
        <v>673</v>
      </c>
      <c r="CS3" s="42" t="s">
        <v>674</v>
      </c>
      <c r="CT3" s="42" t="s">
        <v>675</v>
      </c>
      <c r="CU3" s="42" t="s">
        <v>676</v>
      </c>
      <c r="CV3" s="42" t="s">
        <v>677</v>
      </c>
      <c r="CW3" s="42" t="s">
        <v>678</v>
      </c>
      <c r="CX3" s="42" t="s">
        <v>679</v>
      </c>
      <c r="CY3" s="42" t="s">
        <v>680</v>
      </c>
      <c r="CZ3" s="42" t="s">
        <v>681</v>
      </c>
      <c r="DA3" s="42" t="s">
        <v>682</v>
      </c>
      <c r="DB3" s="42" t="s">
        <v>683</v>
      </c>
      <c r="DC3" s="42" t="s">
        <v>684</v>
      </c>
      <c r="DD3" s="42" t="s">
        <v>685</v>
      </c>
      <c r="DE3" s="42" t="s">
        <v>686</v>
      </c>
      <c r="DF3" s="42" t="s">
        <v>687</v>
      </c>
      <c r="DG3" s="42" t="s">
        <v>688</v>
      </c>
      <c r="DH3" s="42" t="s">
        <v>99</v>
      </c>
      <c r="DI3" s="42" t="s">
        <v>689</v>
      </c>
      <c r="DJ3" s="42" t="s">
        <v>690</v>
      </c>
      <c r="DK3" s="42" t="s">
        <v>691</v>
      </c>
    </row>
    <row r="4" customFormat="false" ht="12.8" hidden="false" customHeight="false" outlineLevel="0" collapsed="false">
      <c r="A4" s="50" t="n">
        <v>0</v>
      </c>
      <c r="B4" s="39" t="s">
        <v>692</v>
      </c>
      <c r="C4" s="39" t="s">
        <v>693</v>
      </c>
      <c r="D4" s="42" t="n">
        <f aca="false">LFP!C4</f>
        <v>2385000</v>
      </c>
      <c r="E4" s="42" t="n">
        <f aca="false">LFP!D4</f>
        <v>62388</v>
      </c>
      <c r="F4" s="42" t="n">
        <f aca="false">LFP!E4</f>
        <v>50000</v>
      </c>
      <c r="G4" s="42" t="n">
        <f aca="false">LFP!F4</f>
        <v>2270612</v>
      </c>
      <c r="H4" s="56" t="n">
        <f aca="false">ETPR!C4</f>
        <v>0.562</v>
      </c>
      <c r="I4" s="56" t="n">
        <f aca="false">ETPR!D4</f>
        <v>0.369</v>
      </c>
      <c r="J4" s="56" t="n">
        <f aca="false">ETPR!E4</f>
        <v>0.61</v>
      </c>
      <c r="K4" s="56" t="n">
        <f aca="false">ETPR!F4</f>
        <v>0.582</v>
      </c>
      <c r="L4" s="56" t="n">
        <f aca="false">LFPR!C4</f>
        <v>0.577</v>
      </c>
      <c r="M4" s="56" t="n">
        <f aca="false">LFPR!D4</f>
        <v>0.41</v>
      </c>
      <c r="N4" s="56" t="n">
        <f aca="false">LFPR!E4</f>
        <v>0.61</v>
      </c>
      <c r="O4" s="56" t="n">
        <f aca="false">LFPR!F4</f>
        <v>0.583</v>
      </c>
      <c r="AZ4" s="39"/>
      <c r="BA4" s="3"/>
      <c r="BB4" s="3"/>
      <c r="BC4" s="3"/>
      <c r="BD4" s="3"/>
      <c r="BP4" s="39"/>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row>
    <row r="5" customFormat="false" ht="23.85" hidden="false" customHeight="false" outlineLevel="0" collapsed="false">
      <c r="A5" s="50" t="n">
        <v>1</v>
      </c>
      <c r="B5" s="39" t="n">
        <v>11</v>
      </c>
      <c r="C5" s="40" t="s">
        <v>694</v>
      </c>
      <c r="D5" s="42" t="n">
        <f aca="false">LFP!C5</f>
        <v>38000</v>
      </c>
      <c r="E5" s="42" t="n">
        <f aca="false">LFP!D5</f>
        <v>152</v>
      </c>
      <c r="F5" s="42" t="n">
        <f aca="false">LFP!E5</f>
        <v>5320</v>
      </c>
      <c r="G5" s="42" t="n">
        <f aca="false">LFP!F5</f>
        <v>32528</v>
      </c>
      <c r="H5" s="56" t="n">
        <f aca="false">ETPR!C5</f>
        <v>0.545</v>
      </c>
      <c r="I5" s="56" t="n">
        <f aca="false">ETPR!D5</f>
        <v>0.36</v>
      </c>
      <c r="J5" s="56" t="n">
        <f aca="false">ETPR!E5</f>
        <v>0.7</v>
      </c>
      <c r="K5" s="56" t="n">
        <f aca="false">ETPR!F5</f>
        <v>0.545</v>
      </c>
      <c r="L5" s="56" t="n">
        <f aca="false">LFPR!C5</f>
        <v>0.545</v>
      </c>
      <c r="M5" s="56" t="n">
        <f aca="false">LFPR!D5</f>
        <v>0.4</v>
      </c>
      <c r="N5" s="56" t="n">
        <f aca="false">LFPR!E5</f>
        <v>0.7</v>
      </c>
      <c r="O5" s="56" t="n">
        <f aca="false">LFPR!F5</f>
        <v>0.545</v>
      </c>
      <c r="AZ5" s="39"/>
      <c r="BA5" s="3"/>
      <c r="BB5" s="3"/>
      <c r="BC5" s="3"/>
      <c r="BD5" s="3"/>
      <c r="BP5" s="39"/>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row>
    <row r="6" customFormat="false" ht="23.85" hidden="false" customHeight="false" outlineLevel="0" collapsed="false">
      <c r="A6" s="50" t="n">
        <v>2</v>
      </c>
      <c r="B6" s="39" t="n">
        <v>21</v>
      </c>
      <c r="C6" s="40" t="s">
        <v>695</v>
      </c>
      <c r="D6" s="42" t="n">
        <f aca="false">LFP!C6</f>
        <v>14000</v>
      </c>
      <c r="E6" s="42" t="n">
        <f aca="false">LFP!D6</f>
        <v>196</v>
      </c>
      <c r="F6" s="42" t="n">
        <f aca="false">LFP!E6</f>
        <v>560</v>
      </c>
      <c r="G6" s="42" t="n">
        <f aca="false">LFP!F6</f>
        <v>13244</v>
      </c>
      <c r="H6" s="56" t="n">
        <f aca="false">ETPR!C6</f>
        <v>0.585</v>
      </c>
      <c r="I6" s="56" t="n">
        <f aca="false">ETPR!D6</f>
        <v>0.37</v>
      </c>
      <c r="J6" s="56" t="n">
        <f aca="false">ETPR!E6</f>
        <v>0.65</v>
      </c>
      <c r="K6" s="56" t="n">
        <f aca="false">ETPR!F6</f>
        <v>0.585</v>
      </c>
      <c r="L6" s="56" t="n">
        <f aca="false">LFPR!C6</f>
        <v>0.585</v>
      </c>
      <c r="M6" s="56" t="n">
        <f aca="false">LFPR!D6</f>
        <v>0.415</v>
      </c>
      <c r="N6" s="56" t="n">
        <f aca="false">LFPR!E6</f>
        <v>0.65</v>
      </c>
      <c r="O6" s="56" t="n">
        <f aca="false">LFPR!F6</f>
        <v>0.585</v>
      </c>
      <c r="AZ6" s="39"/>
      <c r="BA6" s="3"/>
      <c r="BB6" s="3"/>
      <c r="BC6" s="3"/>
      <c r="BD6" s="3"/>
      <c r="BP6" s="39"/>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row>
    <row r="7" customFormat="false" ht="12.8" hidden="false" customHeight="false" outlineLevel="0" collapsed="false">
      <c r="A7" s="3" t="n">
        <v>3</v>
      </c>
      <c r="B7" s="3" t="n">
        <v>22</v>
      </c>
      <c r="C7" s="3" t="s">
        <v>696</v>
      </c>
      <c r="D7" s="42" t="n">
        <f aca="false">LFP!C7</f>
        <v>28000</v>
      </c>
      <c r="E7" s="42" t="n">
        <f aca="false">LFP!D7</f>
        <v>560</v>
      </c>
      <c r="F7" s="42" t="n">
        <f aca="false">LFP!E7</f>
        <v>224</v>
      </c>
      <c r="G7" s="42" t="n">
        <f aca="false">LFP!F7</f>
        <v>27216</v>
      </c>
      <c r="H7" s="56" t="n">
        <f aca="false">ETPR!C7</f>
        <v>0.575</v>
      </c>
      <c r="I7" s="56" t="n">
        <f aca="false">ETPR!D7</f>
        <v>0.369</v>
      </c>
      <c r="J7" s="56" t="n">
        <f aca="false">ETPR!E7</f>
        <v>0.62</v>
      </c>
      <c r="K7" s="56" t="n">
        <f aca="false">ETPR!F7</f>
        <v>0.575</v>
      </c>
      <c r="L7" s="56" t="n">
        <f aca="false">LFPR!C7</f>
        <v>0.575</v>
      </c>
      <c r="M7" s="56" t="n">
        <f aca="false">LFPR!D7</f>
        <v>0.41</v>
      </c>
      <c r="N7" s="56" t="n">
        <f aca="false">LFPR!E7</f>
        <v>0.62</v>
      </c>
      <c r="O7" s="56" t="n">
        <f aca="false">LFPR!F7</f>
        <v>0.575</v>
      </c>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BA7" s="3"/>
      <c r="BB7" s="3"/>
      <c r="BC7" s="3"/>
      <c r="BD7" s="3"/>
      <c r="BE7" s="3"/>
      <c r="BF7" s="3"/>
      <c r="BG7" s="3"/>
      <c r="BH7" s="3"/>
      <c r="BI7" s="3"/>
      <c r="BJ7" s="3"/>
      <c r="BK7" s="3"/>
      <c r="BL7" s="3"/>
      <c r="BM7" s="3"/>
      <c r="BN7" s="3"/>
      <c r="BO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row>
    <row r="8" customFormat="false" ht="12.8" hidden="false" customHeight="false" outlineLevel="0" collapsed="false">
      <c r="A8" s="3" t="n">
        <v>4</v>
      </c>
      <c r="B8" s="3" t="n">
        <v>23</v>
      </c>
      <c r="C8" s="3" t="s">
        <v>697</v>
      </c>
      <c r="D8" s="42" t="n">
        <f aca="false">LFP!C8</f>
        <v>135000</v>
      </c>
      <c r="E8" s="42" t="n">
        <f aca="false">LFP!D8</f>
        <v>4590</v>
      </c>
      <c r="F8" s="42" t="n">
        <f aca="false">LFP!E8</f>
        <v>13770</v>
      </c>
      <c r="G8" s="42" t="n">
        <f aca="false">LFP!F8</f>
        <v>116640</v>
      </c>
      <c r="H8" s="56" t="n">
        <f aca="false">ETPR!C8</f>
        <v>0.545</v>
      </c>
      <c r="I8" s="56" t="n">
        <f aca="false">ETPR!D8</f>
        <v>0.36</v>
      </c>
      <c r="J8" s="56" t="n">
        <f aca="false">ETPR!E8</f>
        <v>0.7</v>
      </c>
      <c r="K8" s="56" t="n">
        <f aca="false">ETPR!F8</f>
        <v>0.545</v>
      </c>
      <c r="L8" s="56" t="n">
        <f aca="false">LFPR!C8</f>
        <v>0.545</v>
      </c>
      <c r="M8" s="56" t="n">
        <f aca="false">LFPR!D8</f>
        <v>0.4</v>
      </c>
      <c r="N8" s="56" t="n">
        <f aca="false">LFPR!E8</f>
        <v>0.7</v>
      </c>
      <c r="O8" s="56" t="n">
        <f aca="false">LFPR!F8</f>
        <v>0.545</v>
      </c>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BA8" s="3"/>
      <c r="BB8" s="3"/>
      <c r="BC8" s="3"/>
      <c r="BD8" s="3"/>
      <c r="BE8" s="3"/>
      <c r="BF8" s="3"/>
      <c r="BG8" s="3"/>
      <c r="BH8" s="3"/>
      <c r="BI8" s="3"/>
      <c r="BJ8" s="3"/>
      <c r="BK8" s="3"/>
      <c r="BL8" s="3"/>
      <c r="BM8" s="3"/>
      <c r="BN8" s="3"/>
      <c r="BO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row>
    <row r="9" customFormat="false" ht="23.85" hidden="false" customHeight="false" outlineLevel="0" collapsed="false">
      <c r="A9" s="3" t="n">
        <v>5</v>
      </c>
      <c r="B9" s="3" t="n">
        <v>31</v>
      </c>
      <c r="C9" s="40" t="s">
        <v>698</v>
      </c>
      <c r="D9" s="42" t="n">
        <f aca="false">LFP!C9</f>
        <v>65000</v>
      </c>
      <c r="E9" s="42" t="n">
        <f aca="false">LFP!D9</f>
        <v>4680</v>
      </c>
      <c r="F9" s="42" t="n">
        <f aca="false">LFP!E9</f>
        <v>2405</v>
      </c>
      <c r="G9" s="42" t="n">
        <f aca="false">LFP!F9</f>
        <v>57915</v>
      </c>
      <c r="H9" s="56" t="n">
        <f aca="false">ETPR!C9</f>
        <v>0.565</v>
      </c>
      <c r="I9" s="56" t="n">
        <f aca="false">ETPR!D9</f>
        <v>0.365</v>
      </c>
      <c r="J9" s="56" t="n">
        <f aca="false">ETPR!E9</f>
        <v>0.66</v>
      </c>
      <c r="K9" s="56" t="n">
        <f aca="false">ETPR!F9</f>
        <v>0.565</v>
      </c>
      <c r="L9" s="56" t="n">
        <f aca="false">LFPR!C9</f>
        <v>0.565</v>
      </c>
      <c r="M9" s="56" t="n">
        <f aca="false">LFPR!D9</f>
        <v>0.405</v>
      </c>
      <c r="N9" s="56" t="n">
        <f aca="false">LFPR!E9</f>
        <v>0.66</v>
      </c>
      <c r="O9" s="56" t="n">
        <f aca="false">LFPR!F9</f>
        <v>0.565</v>
      </c>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BA9" s="3"/>
      <c r="BB9" s="3"/>
      <c r="BC9" s="3"/>
      <c r="BD9" s="3"/>
      <c r="BE9" s="3"/>
      <c r="BF9" s="3"/>
      <c r="BG9" s="3"/>
      <c r="BH9" s="3"/>
      <c r="BI9" s="3"/>
      <c r="BJ9" s="3"/>
      <c r="BK9" s="3"/>
      <c r="BL9" s="3"/>
      <c r="BM9" s="3"/>
      <c r="BN9" s="3"/>
      <c r="BO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row>
    <row r="10" customFormat="false" ht="23.85" hidden="false" customHeight="false" outlineLevel="0" collapsed="false">
      <c r="A10" s="3" t="n">
        <v>6</v>
      </c>
      <c r="B10" s="3" t="n">
        <v>32</v>
      </c>
      <c r="C10" s="40" t="s">
        <v>699</v>
      </c>
      <c r="D10" s="42" t="n">
        <f aca="false">LFP!C10</f>
        <v>52000</v>
      </c>
      <c r="E10" s="42" t="n">
        <f aca="false">LFP!D10</f>
        <v>3744</v>
      </c>
      <c r="F10" s="42" t="n">
        <f aca="false">LFP!E10</f>
        <v>1924</v>
      </c>
      <c r="G10" s="42" t="n">
        <f aca="false">LFP!F10</f>
        <v>46332</v>
      </c>
      <c r="H10" s="56" t="n">
        <f aca="false">ETPR!C10</f>
        <v>0.565</v>
      </c>
      <c r="I10" s="56" t="n">
        <f aca="false">ETPR!D10</f>
        <v>0.365</v>
      </c>
      <c r="J10" s="56" t="n">
        <f aca="false">ETPR!E10</f>
        <v>0.66</v>
      </c>
      <c r="K10" s="56" t="n">
        <f aca="false">ETPR!F10</f>
        <v>0.565</v>
      </c>
      <c r="L10" s="56" t="n">
        <f aca="false">LFPR!C10</f>
        <v>0.565</v>
      </c>
      <c r="M10" s="56" t="n">
        <f aca="false">LFPR!D10</f>
        <v>0.405</v>
      </c>
      <c r="N10" s="56" t="n">
        <f aca="false">LFPR!E10</f>
        <v>0.66</v>
      </c>
      <c r="O10" s="56" t="n">
        <f aca="false">LFPR!F10</f>
        <v>0.565</v>
      </c>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BA10" s="3"/>
      <c r="BB10" s="3"/>
      <c r="BC10" s="3"/>
      <c r="BD10" s="3"/>
      <c r="BE10" s="3"/>
      <c r="BF10" s="3"/>
      <c r="BG10" s="3"/>
      <c r="BH10" s="3"/>
      <c r="BI10" s="3"/>
      <c r="BJ10" s="3"/>
      <c r="BK10" s="3"/>
      <c r="BL10" s="3"/>
      <c r="BM10" s="3"/>
      <c r="BN10" s="3"/>
      <c r="BO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row>
    <row r="11" customFormat="false" ht="23.85" hidden="false" customHeight="false" outlineLevel="0" collapsed="false">
      <c r="A11" s="3" t="n">
        <v>7</v>
      </c>
      <c r="B11" s="3" t="n">
        <v>33</v>
      </c>
      <c r="C11" s="40" t="s">
        <v>700</v>
      </c>
      <c r="D11" s="42" t="n">
        <f aca="false">LFP!C11</f>
        <v>170000</v>
      </c>
      <c r="E11" s="42" t="n">
        <f aca="false">LFP!D11</f>
        <v>12240</v>
      </c>
      <c r="F11" s="42" t="n">
        <f aca="false">LFP!E11</f>
        <v>6290</v>
      </c>
      <c r="G11" s="42" t="n">
        <f aca="false">LFP!F11</f>
        <v>151470</v>
      </c>
      <c r="H11" s="56" t="n">
        <f aca="false">ETPR!C11</f>
        <v>0.565</v>
      </c>
      <c r="I11" s="56" t="n">
        <f aca="false">ETPR!D11</f>
        <v>0.365</v>
      </c>
      <c r="J11" s="56" t="n">
        <f aca="false">ETPR!E11</f>
        <v>0.66</v>
      </c>
      <c r="K11" s="56" t="n">
        <f aca="false">ETPR!F11</f>
        <v>0.565</v>
      </c>
      <c r="L11" s="56" t="n">
        <f aca="false">LFPR!C11</f>
        <v>0.565</v>
      </c>
      <c r="M11" s="56" t="n">
        <f aca="false">LFPR!D11</f>
        <v>0.405</v>
      </c>
      <c r="N11" s="56" t="n">
        <f aca="false">LFPR!E11</f>
        <v>0.66</v>
      </c>
      <c r="O11" s="56" t="n">
        <f aca="false">LFPR!F11</f>
        <v>0.565</v>
      </c>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BA11" s="3"/>
      <c r="BB11" s="3"/>
      <c r="BC11" s="3"/>
      <c r="BD11" s="3"/>
      <c r="BE11" s="3"/>
      <c r="BF11" s="3"/>
      <c r="BG11" s="3"/>
      <c r="BH11" s="3"/>
      <c r="BI11" s="3"/>
      <c r="BJ11" s="3"/>
      <c r="BK11" s="3"/>
      <c r="BL11" s="3"/>
      <c r="BM11" s="3"/>
      <c r="BN11" s="3"/>
      <c r="BO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row>
    <row r="12" customFormat="false" ht="12.8" hidden="false" customHeight="false" outlineLevel="0" collapsed="false">
      <c r="A12" s="3" t="n">
        <v>8</v>
      </c>
      <c r="B12" s="3" t="n">
        <v>42</v>
      </c>
      <c r="C12" s="3" t="s">
        <v>701</v>
      </c>
      <c r="D12" s="42" t="n">
        <f aca="false">LFP!C12</f>
        <v>85000</v>
      </c>
      <c r="E12" s="42" t="n">
        <f aca="false">LFP!D12</f>
        <v>1700</v>
      </c>
      <c r="F12" s="42" t="n">
        <f aca="false">LFP!E12</f>
        <v>3570</v>
      </c>
      <c r="G12" s="42" t="n">
        <f aca="false">LFP!F12</f>
        <v>79730</v>
      </c>
      <c r="H12" s="56" t="n">
        <f aca="false">ETPR!C12</f>
        <v>0.57</v>
      </c>
      <c r="I12" s="56" t="n">
        <f aca="false">ETPR!D12</f>
        <v>0.369</v>
      </c>
      <c r="J12" s="56" t="n">
        <f aca="false">ETPR!E12</f>
        <v>0.64</v>
      </c>
      <c r="K12" s="56" t="n">
        <f aca="false">ETPR!F12</f>
        <v>0.57</v>
      </c>
      <c r="L12" s="56" t="n">
        <f aca="false">LFPR!C12</f>
        <v>0.57</v>
      </c>
      <c r="M12" s="56" t="n">
        <f aca="false">LFPR!D12</f>
        <v>0.41</v>
      </c>
      <c r="N12" s="56" t="n">
        <f aca="false">LFPR!E12</f>
        <v>0.64</v>
      </c>
      <c r="O12" s="56" t="n">
        <f aca="false">LFPR!F12</f>
        <v>0.57</v>
      </c>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BA12" s="3"/>
      <c r="BB12" s="3"/>
      <c r="BC12" s="3"/>
      <c r="BD12" s="3"/>
      <c r="BE12" s="3"/>
      <c r="BF12" s="3"/>
      <c r="BG12" s="3"/>
      <c r="BH12" s="3"/>
      <c r="BI12" s="3"/>
      <c r="BJ12" s="3"/>
      <c r="BK12" s="3"/>
      <c r="BL12" s="3"/>
      <c r="BM12" s="3"/>
      <c r="BN12" s="3"/>
      <c r="BO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row>
    <row r="13" customFormat="false" ht="23.85" hidden="false" customHeight="false" outlineLevel="0" collapsed="false">
      <c r="A13" s="3" t="n">
        <v>9</v>
      </c>
      <c r="B13" s="3" t="n">
        <v>44</v>
      </c>
      <c r="C13" s="40" t="s">
        <v>702</v>
      </c>
      <c r="D13" s="42" t="n">
        <f aca="false">LFP!C13</f>
        <v>95000</v>
      </c>
      <c r="E13" s="42" t="n">
        <f aca="false">LFP!D13</f>
        <v>1900</v>
      </c>
      <c r="F13" s="42" t="n">
        <f aca="false">LFP!E13</f>
        <v>3990</v>
      </c>
      <c r="G13" s="42" t="n">
        <f aca="false">LFP!F13</f>
        <v>89110</v>
      </c>
      <c r="H13" s="56" t="n">
        <f aca="false">ETPR!C13</f>
        <v>0.57</v>
      </c>
      <c r="I13" s="56" t="n">
        <f aca="false">ETPR!D13</f>
        <v>0.369</v>
      </c>
      <c r="J13" s="56" t="n">
        <f aca="false">ETPR!E13</f>
        <v>0.64</v>
      </c>
      <c r="K13" s="56" t="n">
        <f aca="false">ETPR!F13</f>
        <v>0.57</v>
      </c>
      <c r="L13" s="56" t="n">
        <f aca="false">LFPR!C13</f>
        <v>0.57</v>
      </c>
      <c r="M13" s="56" t="n">
        <f aca="false">LFPR!D13</f>
        <v>0.41</v>
      </c>
      <c r="N13" s="56" t="n">
        <f aca="false">LFPR!E13</f>
        <v>0.64</v>
      </c>
      <c r="O13" s="56" t="n">
        <f aca="false">LFPR!F13</f>
        <v>0.57</v>
      </c>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BA13" s="3"/>
      <c r="BB13" s="3"/>
      <c r="BC13" s="3"/>
      <c r="BD13" s="3"/>
      <c r="BE13" s="3"/>
      <c r="BF13" s="3"/>
      <c r="BG13" s="3"/>
      <c r="BH13" s="3"/>
      <c r="BI13" s="3"/>
      <c r="BJ13" s="3"/>
      <c r="BK13" s="3"/>
      <c r="BL13" s="3"/>
      <c r="BM13" s="3"/>
      <c r="BN13" s="3"/>
      <c r="BO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row>
    <row r="14" customFormat="false" ht="23.85" hidden="false" customHeight="false" outlineLevel="0" collapsed="false">
      <c r="A14" s="3" t="n">
        <v>10</v>
      </c>
      <c r="B14" s="3" t="n">
        <v>45</v>
      </c>
      <c r="C14" s="40" t="s">
        <v>703</v>
      </c>
      <c r="D14" s="42" t="n">
        <f aca="false">LFP!C14</f>
        <v>165000</v>
      </c>
      <c r="E14" s="42" t="n">
        <f aca="false">LFP!D14</f>
        <v>3300</v>
      </c>
      <c r="F14" s="42" t="n">
        <f aca="false">LFP!E14</f>
        <v>6930</v>
      </c>
      <c r="G14" s="42" t="n">
        <f aca="false">LFP!F14</f>
        <v>154770</v>
      </c>
      <c r="H14" s="56" t="n">
        <f aca="false">ETPR!C14</f>
        <v>0.57</v>
      </c>
      <c r="I14" s="56" t="n">
        <f aca="false">ETPR!D14</f>
        <v>0.369</v>
      </c>
      <c r="J14" s="56" t="n">
        <f aca="false">ETPR!E14</f>
        <v>0.64</v>
      </c>
      <c r="K14" s="56" t="n">
        <f aca="false">ETPR!F14</f>
        <v>0.57</v>
      </c>
      <c r="L14" s="56" t="n">
        <f aca="false">LFPR!C14</f>
        <v>0.57</v>
      </c>
      <c r="M14" s="56" t="n">
        <f aca="false">LFPR!D14</f>
        <v>0.41</v>
      </c>
      <c r="N14" s="56" t="n">
        <f aca="false">LFPR!E14</f>
        <v>0.64</v>
      </c>
      <c r="O14" s="56" t="n">
        <f aca="false">LFPR!F14</f>
        <v>0.57</v>
      </c>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BA14" s="3"/>
      <c r="BB14" s="3"/>
      <c r="BC14" s="3"/>
      <c r="BD14" s="3"/>
      <c r="BE14" s="3"/>
      <c r="BF14" s="3"/>
      <c r="BG14" s="3"/>
      <c r="BH14" s="3"/>
      <c r="BI14" s="3"/>
      <c r="BJ14" s="3"/>
      <c r="BK14" s="3"/>
      <c r="BL14" s="3"/>
      <c r="BM14" s="3"/>
      <c r="BN14" s="3"/>
      <c r="BO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row>
    <row r="15" customFormat="false" ht="12.8" hidden="false" customHeight="false" outlineLevel="0" collapsed="false">
      <c r="A15" s="3" t="n">
        <v>11</v>
      </c>
      <c r="B15" s="3" t="n">
        <v>48</v>
      </c>
      <c r="C15" s="3" t="s">
        <v>704</v>
      </c>
      <c r="D15" s="42" t="n">
        <f aca="false">LFP!C15</f>
        <v>65000</v>
      </c>
      <c r="E15" s="42" t="n">
        <f aca="false">LFP!D15</f>
        <v>1300</v>
      </c>
      <c r="F15" s="42" t="n">
        <f aca="false">LFP!E15</f>
        <v>2730</v>
      </c>
      <c r="G15" s="42" t="n">
        <f aca="false">LFP!F15</f>
        <v>60970</v>
      </c>
      <c r="H15" s="56" t="n">
        <f aca="false">ETPR!C15</f>
        <v>0.57</v>
      </c>
      <c r="I15" s="56" t="n">
        <f aca="false">ETPR!D15</f>
        <v>0.369</v>
      </c>
      <c r="J15" s="56" t="n">
        <f aca="false">ETPR!E15</f>
        <v>0.64</v>
      </c>
      <c r="K15" s="56" t="n">
        <f aca="false">ETPR!F15</f>
        <v>0.57</v>
      </c>
      <c r="L15" s="56" t="n">
        <f aca="false">LFPR!C15</f>
        <v>0.57</v>
      </c>
      <c r="M15" s="56" t="n">
        <f aca="false">LFPR!D15</f>
        <v>0.41</v>
      </c>
      <c r="N15" s="56" t="n">
        <f aca="false">LFPR!E15</f>
        <v>0.64</v>
      </c>
      <c r="O15" s="56" t="n">
        <f aca="false">LFPR!F15</f>
        <v>0.57</v>
      </c>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BA15" s="3"/>
      <c r="BB15" s="3"/>
      <c r="BC15" s="3"/>
      <c r="BD15" s="3"/>
      <c r="BE15" s="3"/>
      <c r="BF15" s="3"/>
      <c r="BG15" s="3"/>
      <c r="BH15" s="3"/>
      <c r="BI15" s="3"/>
      <c r="BJ15" s="3"/>
      <c r="BK15" s="3"/>
      <c r="BL15" s="3"/>
      <c r="BM15" s="3"/>
      <c r="BN15" s="3"/>
      <c r="BO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row>
    <row r="16" customFormat="false" ht="12.8" hidden="false" customHeight="false" outlineLevel="0" collapsed="false">
      <c r="A16" s="3" t="n">
        <v>12</v>
      </c>
      <c r="B16" s="3" t="n">
        <v>49</v>
      </c>
      <c r="C16" s="3" t="s">
        <v>705</v>
      </c>
      <c r="D16" s="42" t="n">
        <f aca="false">LFP!C16</f>
        <v>38000</v>
      </c>
      <c r="E16" s="42" t="n">
        <f aca="false">LFP!D16</f>
        <v>760</v>
      </c>
      <c r="F16" s="42" t="n">
        <f aca="false">LFP!E16</f>
        <v>1596</v>
      </c>
      <c r="G16" s="42" t="n">
        <f aca="false">LFP!F16</f>
        <v>35644</v>
      </c>
      <c r="H16" s="56" t="n">
        <f aca="false">ETPR!C16</f>
        <v>0.57</v>
      </c>
      <c r="I16" s="56" t="n">
        <f aca="false">ETPR!D16</f>
        <v>0.369</v>
      </c>
      <c r="J16" s="56" t="n">
        <f aca="false">ETPR!E16</f>
        <v>0.64</v>
      </c>
      <c r="K16" s="56" t="n">
        <f aca="false">ETPR!F16</f>
        <v>0.57</v>
      </c>
      <c r="L16" s="56" t="n">
        <f aca="false">LFPR!C16</f>
        <v>0.57</v>
      </c>
      <c r="M16" s="56" t="n">
        <f aca="false">LFPR!D16</f>
        <v>0.41</v>
      </c>
      <c r="N16" s="56" t="n">
        <f aca="false">LFPR!E16</f>
        <v>0.64</v>
      </c>
      <c r="O16" s="56" t="n">
        <f aca="false">LFPR!F16</f>
        <v>0.57</v>
      </c>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BA16" s="3"/>
      <c r="BB16" s="3"/>
      <c r="BC16" s="3"/>
      <c r="BD16" s="3"/>
      <c r="BE16" s="3"/>
      <c r="BF16" s="3"/>
      <c r="BG16" s="3"/>
      <c r="BH16" s="3"/>
      <c r="BI16" s="3"/>
      <c r="BJ16" s="3"/>
      <c r="BK16" s="3"/>
      <c r="BL16" s="3"/>
      <c r="BM16" s="3"/>
      <c r="BN16" s="3"/>
      <c r="BO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row>
    <row r="17" customFormat="false" ht="12.8" hidden="false" customHeight="false" outlineLevel="0" collapsed="false">
      <c r="A17" s="3" t="n">
        <v>13</v>
      </c>
      <c r="B17" s="3" t="n">
        <v>51</v>
      </c>
      <c r="C17" s="3" t="s">
        <v>706</v>
      </c>
      <c r="D17" s="42" t="n">
        <f aca="false">LFP!C17</f>
        <v>26000</v>
      </c>
      <c r="E17" s="42" t="n">
        <f aca="false">LFP!D17</f>
        <v>546</v>
      </c>
      <c r="F17" s="42" t="n">
        <f aca="false">LFP!E17</f>
        <v>221</v>
      </c>
      <c r="G17" s="42" t="n">
        <f aca="false">LFP!F17</f>
        <v>25233</v>
      </c>
      <c r="H17" s="56" t="n">
        <f aca="false">ETPR!C17</f>
        <v>0.58</v>
      </c>
      <c r="I17" s="56" t="n">
        <f aca="false">ETPR!D17</f>
        <v>0.37</v>
      </c>
      <c r="J17" s="56" t="n">
        <f aca="false">ETPR!E17</f>
        <v>0.6</v>
      </c>
      <c r="K17" s="56" t="n">
        <f aca="false">ETPR!F17</f>
        <v>0.58</v>
      </c>
      <c r="L17" s="56" t="n">
        <f aca="false">LFPR!C17</f>
        <v>0.58</v>
      </c>
      <c r="M17" s="56" t="n">
        <f aca="false">LFPR!D17</f>
        <v>0.415</v>
      </c>
      <c r="N17" s="56" t="n">
        <f aca="false">LFPR!E17</f>
        <v>0.6</v>
      </c>
      <c r="O17" s="56" t="n">
        <f aca="false">LFPR!F17</f>
        <v>0.58</v>
      </c>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BA17" s="3"/>
      <c r="BB17" s="3"/>
      <c r="BC17" s="3"/>
      <c r="BD17" s="3"/>
      <c r="BE17" s="3"/>
      <c r="BF17" s="3"/>
      <c r="BG17" s="3"/>
      <c r="BH17" s="3"/>
      <c r="BI17" s="3"/>
      <c r="BJ17" s="3"/>
      <c r="BK17" s="3"/>
      <c r="BL17" s="3"/>
      <c r="BM17" s="3"/>
      <c r="BN17" s="3"/>
      <c r="BO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row>
    <row r="18" customFormat="false" ht="12.8" hidden="false" customHeight="false" outlineLevel="0" collapsed="false">
      <c r="A18" s="50" t="n">
        <v>14</v>
      </c>
      <c r="B18" s="39" t="n">
        <v>52</v>
      </c>
      <c r="C18" s="39" t="s">
        <v>707</v>
      </c>
      <c r="D18" s="42" t="n">
        <f aca="false">LFP!C18</f>
        <v>115000</v>
      </c>
      <c r="E18" s="42" t="n">
        <f aca="false">LFP!D18</f>
        <v>3220</v>
      </c>
      <c r="F18" s="42" t="n">
        <f aca="false">LFP!E18</f>
        <v>920</v>
      </c>
      <c r="G18" s="42" t="n">
        <f aca="false">LFP!F18</f>
        <v>111860</v>
      </c>
      <c r="H18" s="56" t="n">
        <f aca="false">ETPR!C18</f>
        <v>0.595</v>
      </c>
      <c r="I18" s="56" t="n">
        <f aca="false">ETPR!D18</f>
        <v>0.375</v>
      </c>
      <c r="J18" s="56" t="n">
        <f aca="false">ETPR!E18</f>
        <v>0.52</v>
      </c>
      <c r="K18" s="56" t="n">
        <f aca="false">ETPR!F18</f>
        <v>0.595</v>
      </c>
      <c r="L18" s="56" t="n">
        <f aca="false">LFPR!C18</f>
        <v>0.595</v>
      </c>
      <c r="M18" s="56" t="n">
        <f aca="false">LFPR!D18</f>
        <v>0.42</v>
      </c>
      <c r="N18" s="56" t="n">
        <f aca="false">LFPR!E18</f>
        <v>0.52</v>
      </c>
      <c r="O18" s="56" t="n">
        <f aca="false">LFPR!F18</f>
        <v>0.595</v>
      </c>
      <c r="AZ18" s="39"/>
      <c r="BA18" s="3"/>
      <c r="BB18" s="3"/>
      <c r="BC18" s="3"/>
      <c r="BD18" s="3"/>
      <c r="BP18" s="39"/>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row>
    <row r="19" customFormat="false" ht="23.85" hidden="false" customHeight="false" outlineLevel="0" collapsed="false">
      <c r="A19" s="50" t="n">
        <v>15</v>
      </c>
      <c r="B19" s="39" t="n">
        <v>53</v>
      </c>
      <c r="C19" s="40" t="s">
        <v>708</v>
      </c>
      <c r="D19" s="42" t="n">
        <f aca="false">LFP!C19</f>
        <v>42000</v>
      </c>
      <c r="E19" s="42" t="n">
        <f aca="false">LFP!D19</f>
        <v>1176</v>
      </c>
      <c r="F19" s="42" t="n">
        <f aca="false">LFP!E19</f>
        <v>336</v>
      </c>
      <c r="G19" s="42" t="n">
        <f aca="false">LFP!F19</f>
        <v>40588</v>
      </c>
      <c r="H19" s="56" t="n">
        <f aca="false">ETPR!C19</f>
        <v>0.575</v>
      </c>
      <c r="I19" s="56" t="n">
        <f aca="false">ETPR!D19</f>
        <v>0.37</v>
      </c>
      <c r="J19" s="56" t="n">
        <f aca="false">ETPR!E19</f>
        <v>0.6</v>
      </c>
      <c r="K19" s="56" t="n">
        <f aca="false">ETPR!F19</f>
        <v>0.575</v>
      </c>
      <c r="L19" s="56" t="n">
        <f aca="false">LFPR!C19</f>
        <v>0.575</v>
      </c>
      <c r="M19" s="56" t="n">
        <f aca="false">LFPR!D19</f>
        <v>0.415</v>
      </c>
      <c r="N19" s="56" t="n">
        <f aca="false">LFPR!E19</f>
        <v>0.6</v>
      </c>
      <c r="O19" s="56" t="n">
        <f aca="false">LFPR!F19</f>
        <v>0.575</v>
      </c>
      <c r="AZ19" s="39"/>
      <c r="BA19" s="3"/>
      <c r="BB19" s="3"/>
      <c r="BC19" s="3"/>
      <c r="BD19" s="3"/>
      <c r="BP19" s="39"/>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row>
    <row r="20" customFormat="false" ht="23.85" hidden="false" customHeight="false" outlineLevel="0" collapsed="false">
      <c r="A20" s="50" t="n">
        <v>16</v>
      </c>
      <c r="B20" s="39" t="n">
        <v>54</v>
      </c>
      <c r="C20" s="40" t="s">
        <v>709</v>
      </c>
      <c r="D20" s="42" t="n">
        <f aca="false">LFP!C20</f>
        <v>135000</v>
      </c>
      <c r="E20" s="42" t="n">
        <f aca="false">LFP!D20</f>
        <v>2835</v>
      </c>
      <c r="F20" s="42" t="n">
        <f aca="false">LFP!E20</f>
        <v>1080</v>
      </c>
      <c r="G20" s="42" t="n">
        <f aca="false">LFP!F20</f>
        <v>130085</v>
      </c>
      <c r="H20" s="56" t="n">
        <f aca="false">ETPR!C20</f>
        <v>0.605</v>
      </c>
      <c r="I20" s="56" t="n">
        <f aca="false">ETPR!D20</f>
        <v>0.375</v>
      </c>
      <c r="J20" s="56" t="n">
        <f aca="false">ETPR!E20</f>
        <v>0.56</v>
      </c>
      <c r="K20" s="56" t="n">
        <f aca="false">ETPR!F20</f>
        <v>0.605</v>
      </c>
      <c r="L20" s="56" t="n">
        <f aca="false">LFPR!C20</f>
        <v>0.605</v>
      </c>
      <c r="M20" s="56" t="n">
        <f aca="false">LFPR!D20</f>
        <v>0.42</v>
      </c>
      <c r="N20" s="56" t="n">
        <f aca="false">LFPR!E20</f>
        <v>0.56</v>
      </c>
      <c r="O20" s="56" t="n">
        <f aca="false">LFPR!F20</f>
        <v>0.605</v>
      </c>
      <c r="AZ20" s="39"/>
      <c r="BA20" s="3"/>
      <c r="BB20" s="3"/>
      <c r="BC20" s="3"/>
      <c r="BD20" s="3"/>
      <c r="BP20" s="39"/>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row>
    <row r="21" customFormat="false" ht="34.8" hidden="false" customHeight="false" outlineLevel="0" collapsed="false">
      <c r="A21" s="50" t="n">
        <v>17</v>
      </c>
      <c r="B21" s="39" t="n">
        <v>56</v>
      </c>
      <c r="C21" s="40" t="s">
        <v>710</v>
      </c>
      <c r="D21" s="42" t="n">
        <f aca="false">LFP!C21</f>
        <v>145000</v>
      </c>
      <c r="E21" s="42" t="n">
        <f aca="false">LFP!D21</f>
        <v>2900</v>
      </c>
      <c r="F21" s="42" t="n">
        <f aca="false">LFP!E21</f>
        <v>16675</v>
      </c>
      <c r="G21" s="42" t="n">
        <f aca="false">LFP!F21</f>
        <v>118425</v>
      </c>
      <c r="H21" s="56" t="n">
        <f aca="false">ETPR!C21</f>
        <v>0.565</v>
      </c>
      <c r="I21" s="56" t="n">
        <f aca="false">ETPR!D21</f>
        <v>0.365</v>
      </c>
      <c r="J21" s="56" t="n">
        <f aca="false">ETPR!E21</f>
        <v>0.67</v>
      </c>
      <c r="K21" s="56" t="n">
        <f aca="false">ETPR!F21</f>
        <v>0.565</v>
      </c>
      <c r="L21" s="56" t="n">
        <f aca="false">LFPR!C21</f>
        <v>0.565</v>
      </c>
      <c r="M21" s="56" t="n">
        <f aca="false">LFPR!D21</f>
        <v>0.405</v>
      </c>
      <c r="N21" s="56" t="n">
        <f aca="false">LFPR!E21</f>
        <v>0.67</v>
      </c>
      <c r="O21" s="56" t="n">
        <f aca="false">LFPR!F21</f>
        <v>0.565</v>
      </c>
      <c r="AZ21" s="39"/>
      <c r="BA21" s="3"/>
      <c r="BB21" s="3"/>
      <c r="BC21" s="3"/>
      <c r="BD21" s="3"/>
      <c r="BP21" s="39"/>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row>
    <row r="22" customFormat="false" ht="12.8" hidden="false" customHeight="false" outlineLevel="0" collapsed="false">
      <c r="A22" s="50" t="n">
        <v>18</v>
      </c>
      <c r="B22" s="39" t="n">
        <v>61</v>
      </c>
      <c r="C22" s="39" t="s">
        <v>711</v>
      </c>
      <c r="D22" s="42" t="n">
        <f aca="false">LFP!C22</f>
        <v>95000</v>
      </c>
      <c r="E22" s="42" t="n">
        <f aca="false">LFP!D22</f>
        <v>6460</v>
      </c>
      <c r="F22" s="42" t="n">
        <f aca="false">LFP!E22</f>
        <v>760</v>
      </c>
      <c r="G22" s="42" t="n">
        <f aca="false">LFP!F22</f>
        <v>87780</v>
      </c>
      <c r="H22" s="56" t="n">
        <f aca="false">ETPR!C22</f>
        <v>0.58</v>
      </c>
      <c r="I22" s="56" t="n">
        <f aca="false">ETPR!D22</f>
        <v>0.375</v>
      </c>
      <c r="J22" s="56" t="n">
        <f aca="false">ETPR!E22</f>
        <v>0.56</v>
      </c>
      <c r="K22" s="56" t="n">
        <f aca="false">ETPR!F22</f>
        <v>0.58</v>
      </c>
      <c r="L22" s="56" t="n">
        <f aca="false">LFPR!C22</f>
        <v>0.58</v>
      </c>
      <c r="M22" s="56" t="n">
        <f aca="false">LFPR!D22</f>
        <v>0.42</v>
      </c>
      <c r="N22" s="56" t="n">
        <f aca="false">LFPR!E22</f>
        <v>0.56</v>
      </c>
      <c r="O22" s="56" t="n">
        <f aca="false">LFPR!F22</f>
        <v>0.58</v>
      </c>
      <c r="AZ22" s="39"/>
      <c r="BA22" s="3"/>
      <c r="BB22" s="3"/>
      <c r="BC22" s="3"/>
      <c r="BD22" s="3"/>
      <c r="BP22" s="39"/>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row>
    <row r="23" customFormat="false" ht="23.85" hidden="false" customHeight="false" outlineLevel="0" collapsed="false">
      <c r="A23" s="50" t="n">
        <v>19</v>
      </c>
      <c r="B23" s="39" t="n">
        <v>62</v>
      </c>
      <c r="C23" s="40" t="s">
        <v>712</v>
      </c>
      <c r="D23" s="42" t="n">
        <f aca="false">LFP!C23</f>
        <v>240000</v>
      </c>
      <c r="E23" s="42" t="n">
        <f aca="false">LFP!D23</f>
        <v>16320</v>
      </c>
      <c r="F23" s="42" t="n">
        <f aca="false">LFP!E23</f>
        <v>1560</v>
      </c>
      <c r="G23" s="42" t="n">
        <f aca="false">LFP!F23</f>
        <v>222120</v>
      </c>
      <c r="H23" s="56" t="n">
        <f aca="false">ETPR!C23</f>
        <v>0.58</v>
      </c>
      <c r="I23" s="56" t="n">
        <f aca="false">ETPR!D23</f>
        <v>0.375</v>
      </c>
      <c r="J23" s="56" t="n">
        <f aca="false">ETPR!E23</f>
        <v>0.56</v>
      </c>
      <c r="K23" s="56" t="n">
        <f aca="false">ETPR!F23</f>
        <v>0.58</v>
      </c>
      <c r="L23" s="56" t="n">
        <f aca="false">LFPR!C23</f>
        <v>0.58</v>
      </c>
      <c r="M23" s="56" t="n">
        <f aca="false">LFPR!D23</f>
        <v>0.42</v>
      </c>
      <c r="N23" s="56" t="n">
        <f aca="false">LFPR!E23</f>
        <v>0.56</v>
      </c>
      <c r="O23" s="56" t="n">
        <f aca="false">LFPR!F23</f>
        <v>0.58</v>
      </c>
      <c r="AZ23" s="39"/>
      <c r="BA23" s="3"/>
      <c r="BB23" s="3"/>
      <c r="BC23" s="3"/>
      <c r="BD23" s="3"/>
      <c r="BP23" s="39"/>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row>
    <row r="24" customFormat="false" ht="23.85" hidden="false" customHeight="false" outlineLevel="0" collapsed="false">
      <c r="A24" s="50" t="n">
        <v>20</v>
      </c>
      <c r="B24" s="39" t="n">
        <v>71</v>
      </c>
      <c r="C24" s="40" t="s">
        <v>713</v>
      </c>
      <c r="D24" s="42" t="n">
        <f aca="false">LFP!C24</f>
        <v>32000</v>
      </c>
      <c r="E24" s="42" t="n">
        <f aca="false">LFP!D24</f>
        <v>448</v>
      </c>
      <c r="F24" s="42" t="n">
        <f aca="false">LFP!E24</f>
        <v>3520</v>
      </c>
      <c r="G24" s="42" t="n">
        <f aca="false">LFP!F24</f>
        <v>28032</v>
      </c>
      <c r="H24" s="56" t="n">
        <f aca="false">ETPR!C24</f>
        <v>0.565</v>
      </c>
      <c r="I24" s="56" t="n">
        <f aca="false">ETPR!D24</f>
        <v>0.365</v>
      </c>
      <c r="J24" s="56" t="n">
        <f aca="false">ETPR!E24</f>
        <v>0.67</v>
      </c>
      <c r="K24" s="56" t="n">
        <f aca="false">ETPR!F24</f>
        <v>0.565</v>
      </c>
      <c r="L24" s="56" t="n">
        <f aca="false">LFPR!C24</f>
        <v>0.565</v>
      </c>
      <c r="M24" s="56" t="n">
        <f aca="false">LFPR!D24</f>
        <v>0.405</v>
      </c>
      <c r="N24" s="56" t="n">
        <f aca="false">LFPR!E24</f>
        <v>0.67</v>
      </c>
      <c r="O24" s="56" t="n">
        <f aca="false">LFPR!F24</f>
        <v>0.565</v>
      </c>
      <c r="AZ24" s="39"/>
      <c r="BA24" s="3"/>
      <c r="BB24" s="3"/>
      <c r="BC24" s="3"/>
      <c r="BD24" s="3"/>
      <c r="BP24" s="39"/>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row>
    <row r="25" customFormat="false" ht="23.85" hidden="false" customHeight="false" outlineLevel="0" collapsed="false">
      <c r="A25" s="50" t="n">
        <v>21</v>
      </c>
      <c r="B25" s="39" t="n">
        <v>72</v>
      </c>
      <c r="C25" s="40" t="s">
        <v>714</v>
      </c>
      <c r="D25" s="42" t="n">
        <f aca="false">LFP!C25</f>
        <v>185000</v>
      </c>
      <c r="E25" s="42" t="n">
        <f aca="false">LFP!D25</f>
        <v>2590</v>
      </c>
      <c r="F25" s="42" t="n">
        <f aca="false">LFP!E25</f>
        <v>12950</v>
      </c>
      <c r="G25" s="42" t="n">
        <f aca="false">LFP!F25</f>
        <v>169460</v>
      </c>
      <c r="H25" s="56" t="n">
        <f aca="false">ETPR!C25</f>
        <v>0.545</v>
      </c>
      <c r="I25" s="56" t="n">
        <f aca="false">ETPR!D25</f>
        <v>0.36</v>
      </c>
      <c r="J25" s="56" t="n">
        <f aca="false">ETPR!E25</f>
        <v>0.7</v>
      </c>
      <c r="K25" s="56" t="n">
        <f aca="false">ETPR!F25</f>
        <v>0.545</v>
      </c>
      <c r="L25" s="56" t="n">
        <f aca="false">LFPR!C25</f>
        <v>0.545</v>
      </c>
      <c r="M25" s="56" t="n">
        <f aca="false">LFPR!D25</f>
        <v>0.4</v>
      </c>
      <c r="N25" s="56" t="n">
        <f aca="false">LFPR!E25</f>
        <v>0.7</v>
      </c>
      <c r="O25" s="56" t="n">
        <f aca="false">LFPR!F25</f>
        <v>0.545</v>
      </c>
      <c r="AZ25" s="39"/>
      <c r="BA25" s="3"/>
      <c r="BB25" s="3"/>
      <c r="BC25" s="3"/>
      <c r="BD25" s="3"/>
      <c r="BP25" s="39"/>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row>
    <row r="26" customFormat="false" ht="23.85" hidden="false" customHeight="false" outlineLevel="0" collapsed="false">
      <c r="A26" s="50" t="n">
        <v>22</v>
      </c>
      <c r="B26" s="39" t="n">
        <v>81</v>
      </c>
      <c r="C26" s="40" t="s">
        <v>715</v>
      </c>
      <c r="D26" s="42" t="n">
        <f aca="false">LFP!C26</f>
        <v>105000</v>
      </c>
      <c r="E26" s="42" t="n">
        <f aca="false">LFP!D26</f>
        <v>840</v>
      </c>
      <c r="F26" s="42" t="n">
        <f aca="false">LFP!E26</f>
        <v>12180</v>
      </c>
      <c r="G26" s="42" t="n">
        <f aca="false">LFP!F26</f>
        <v>95980</v>
      </c>
      <c r="H26" s="56" t="n">
        <f aca="false">ETPR!C26</f>
        <v>0.565</v>
      </c>
      <c r="I26" s="56" t="n">
        <f aca="false">ETPR!D26</f>
        <v>0.365</v>
      </c>
      <c r="J26" s="56" t="n">
        <f aca="false">ETPR!E26</f>
        <v>0.67</v>
      </c>
      <c r="K26" s="56" t="n">
        <f aca="false">ETPR!F26</f>
        <v>0.565</v>
      </c>
      <c r="L26" s="56" t="n">
        <f aca="false">LFPR!C26</f>
        <v>0.565</v>
      </c>
      <c r="M26" s="56" t="n">
        <f aca="false">LFPR!D26</f>
        <v>0.405</v>
      </c>
      <c r="N26" s="56" t="n">
        <f aca="false">LFPR!E26</f>
        <v>0.67</v>
      </c>
      <c r="O26" s="56" t="n">
        <f aca="false">LFPR!F26</f>
        <v>0.565</v>
      </c>
      <c r="AZ26" s="39"/>
      <c r="BA26" s="3"/>
      <c r="BB26" s="3"/>
      <c r="BC26" s="3"/>
      <c r="BD26" s="3"/>
      <c r="BP26" s="39"/>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row>
    <row r="27" customFormat="false" ht="12.8" hidden="false" customHeight="false" outlineLevel="0" collapsed="false">
      <c r="A27" s="50" t="n">
        <v>23</v>
      </c>
      <c r="B27" s="39" t="n">
        <v>92</v>
      </c>
      <c r="C27" s="39" t="s">
        <v>716</v>
      </c>
      <c r="D27" s="42" t="n">
        <f aca="false">LFP!C27</f>
        <v>125000</v>
      </c>
      <c r="E27" s="42" t="n">
        <f aca="false">LFP!D27</f>
        <v>1000</v>
      </c>
      <c r="F27" s="42" t="n">
        <f aca="false">LFP!E27</f>
        <v>875</v>
      </c>
      <c r="G27" s="42" t="n">
        <f aca="false">LFP!F27</f>
        <v>123125</v>
      </c>
      <c r="H27" s="56" t="n">
        <f aca="false">ETPR!C27</f>
        <v>0.595</v>
      </c>
      <c r="I27" s="56" t="n">
        <f aca="false">ETPR!D27</f>
        <v>0.375</v>
      </c>
      <c r="J27" s="56" t="n">
        <f aca="false">ETPR!E27</f>
        <v>0.5</v>
      </c>
      <c r="K27" s="56" t="n">
        <f aca="false">ETPR!F27</f>
        <v>0.595</v>
      </c>
      <c r="L27" s="56" t="n">
        <f aca="false">LFPR!C27</f>
        <v>0.595</v>
      </c>
      <c r="M27" s="56" t="n">
        <f aca="false">LFPR!D27</f>
        <v>0.42</v>
      </c>
      <c r="N27" s="56" t="n">
        <f aca="false">LFPR!E27</f>
        <v>0.5</v>
      </c>
      <c r="O27" s="56" t="n">
        <f aca="false">LFPR!F27</f>
        <v>0.595</v>
      </c>
      <c r="AZ27" s="39"/>
      <c r="BA27" s="3"/>
      <c r="BB27" s="3"/>
      <c r="BC27" s="3"/>
      <c r="BD27" s="3"/>
      <c r="BP27" s="39"/>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row>
  </sheetData>
  <mergeCells count="30">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 ref="BP2:BS2"/>
    <mergeCell ref="BT2:BY2"/>
    <mergeCell ref="BZ2:CC2"/>
    <mergeCell ref="CD2:CG2"/>
    <mergeCell ref="CH2:CM2"/>
    <mergeCell ref="CN2:CQ2"/>
    <mergeCell ref="CR2:CU2"/>
    <mergeCell ref="CV2:CY2"/>
    <mergeCell ref="CZ2:DC2"/>
    <mergeCell ref="DD2:DG2"/>
    <mergeCell ref="DH2:D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Q216"/>
  <sheetViews>
    <sheetView showFormulas="false" showGridLines="true" showRowColHeaders="true" showZeros="true" rightToLeft="false" tabSelected="false" showOutlineSymbols="true" defaultGridColor="true" view="normal" topLeftCell="A164" colorId="64" zoomScale="75" zoomScaleNormal="75" zoomScalePageLayoutView="100" workbookViewId="0">
      <selection pane="topLeft" activeCell="B202" activeCellId="1" sqref="D3:E3 B202"/>
    </sheetView>
  </sheetViews>
  <sheetFormatPr defaultColWidth="11.53515625" defaultRowHeight="12.8" customHeight="false" zeroHeight="false" outlineLevelRow="0" outlineLevelCol="0"/>
  <cols>
    <col collapsed="false" customWidth="true" hidden="false" outlineLevel="0" max="1" min="1" style="57" width="23.07"/>
    <col collapsed="false" customWidth="true" hidden="false" outlineLevel="0" max="2" min="2" style="58" width="29.97"/>
    <col collapsed="false" customWidth="true" hidden="false" outlineLevel="0" max="3" min="3" style="58" width="16.84"/>
    <col collapsed="false" customWidth="true" hidden="false" outlineLevel="0" max="35" min="4" style="59" width="16.84"/>
    <col collapsed="false" customWidth="true" hidden="false" outlineLevel="0" max="49" min="36" style="59" width="17.78"/>
    <col collapsed="false" customWidth="true" hidden="false" outlineLevel="0" max="52" min="50" style="59" width="15.48"/>
    <col collapsed="false" customWidth="false" hidden="false" outlineLevel="0" max="56" min="53" style="59" width="11.53"/>
    <col collapsed="false" customWidth="true" hidden="false" outlineLevel="0" max="57" min="57" style="59" width="18.45"/>
    <col collapsed="false" customWidth="true" hidden="false" outlineLevel="0" max="60" min="58" style="59" width="16.14"/>
    <col collapsed="false" customWidth="true" hidden="false" outlineLevel="0" max="68" min="61" style="59" width="13.84"/>
    <col collapsed="false" customWidth="false" hidden="false" outlineLevel="0" max="69" min="69" style="59" width="11.53"/>
    <col collapsed="false" customWidth="false" hidden="false" outlineLevel="0" max="16384" min="73" style="59" width="11.53"/>
  </cols>
  <sheetData>
    <row r="1" customFormat="false" ht="12.8" hidden="false" customHeight="false" outlineLevel="0" collapsed="false">
      <c r="A1" s="60" t="s">
        <v>717</v>
      </c>
      <c r="B1" s="61" t="s">
        <v>718</v>
      </c>
      <c r="C1" s="52" t="s">
        <v>2</v>
      </c>
      <c r="D1" s="62" t="s">
        <v>719</v>
      </c>
      <c r="BG1" s="3"/>
      <c r="BH1" s="3"/>
      <c r="BI1" s="3"/>
      <c r="BJ1" s="3"/>
      <c r="BK1" s="3"/>
      <c r="BL1" s="3"/>
      <c r="BM1" s="3"/>
      <c r="BN1" s="3"/>
      <c r="BO1" s="3"/>
      <c r="BP1" s="3"/>
      <c r="BQ1" s="3"/>
    </row>
    <row r="2" customFormat="false" ht="12.8" hidden="false" customHeight="false" outlineLevel="0" collapsed="false">
      <c r="A2" s="60" t="str">
        <f aca="false">_xlfn.CONCAT($A$1, ".", "CALC")</f>
        <v>LSD.RID.0.AL.LFP.CALC</v>
      </c>
      <c r="B2" s="61" t="str">
        <f aca="false">_xlfn.CONCAT($B$1, " ", "Calculations")</f>
        <v>Alabama Labor Force Population Calculations</v>
      </c>
      <c r="C2" s="52" t="str">
        <f aca="false">CALC!D2</f>
        <v>Labor Force Population (LFP)</v>
      </c>
      <c r="D2" s="52"/>
      <c r="E2" s="52"/>
      <c r="F2" s="52"/>
      <c r="BG2" s="3"/>
      <c r="BH2" s="3"/>
      <c r="BI2" s="3"/>
      <c r="BJ2" s="3"/>
      <c r="BK2" s="3"/>
      <c r="BL2" s="3"/>
      <c r="BM2" s="3"/>
      <c r="BN2" s="3"/>
      <c r="BO2" s="3"/>
      <c r="BP2" s="3"/>
      <c r="BQ2" s="3"/>
    </row>
    <row r="3" customFormat="false" ht="12.8" hidden="false" customHeight="false" outlineLevel="0" collapsed="false">
      <c r="A3" s="60" t="s">
        <v>585</v>
      </c>
      <c r="B3" s="42" t="str">
        <f aca="false">CALC!C3</f>
        <v>Labor Sector</v>
      </c>
      <c r="C3" s="54" t="str">
        <f aca="false">CALC!D3</f>
        <v>Overall LFP</v>
      </c>
      <c r="D3" s="54" t="str">
        <f aca="false">CALC!E3</f>
        <v>Authorized LFP</v>
      </c>
      <c r="E3" s="54" t="str">
        <f aca="false">CALC!F3</f>
        <v>Unauthorized LFP</v>
      </c>
      <c r="F3" s="54" t="str">
        <f aca="false">CALC!G3</f>
        <v>American LFP</v>
      </c>
      <c r="BA3" s="3"/>
      <c r="BB3" s="3"/>
      <c r="BC3" s="3"/>
      <c r="BD3" s="3"/>
      <c r="BE3" s="3"/>
      <c r="BF3" s="3"/>
      <c r="BG3" s="3"/>
      <c r="BH3" s="3"/>
      <c r="BI3" s="3"/>
      <c r="BJ3" s="3"/>
      <c r="BK3" s="3"/>
      <c r="BL3" s="3"/>
      <c r="BM3" s="3"/>
      <c r="BN3" s="3"/>
      <c r="BO3" s="3"/>
      <c r="BP3" s="3"/>
      <c r="BQ3" s="3"/>
    </row>
    <row r="4" customFormat="false" ht="12.8" hidden="false" customHeight="false" outlineLevel="0" collapsed="false">
      <c r="A4" s="60" t="str">
        <f aca="false">_xlfn.CONCAT($A$1, ".", CALC!A4)</f>
        <v>LSD.RID.0.AL.LFP.0</v>
      </c>
      <c r="B4" s="42" t="str">
        <f aca="false">CALC!C4</f>
        <v>All Industries</v>
      </c>
      <c r="C4" s="59" t="n">
        <v>2385000</v>
      </c>
      <c r="D4" s="59" t="n">
        <v>62388</v>
      </c>
      <c r="E4" s="59" t="n">
        <v>50000</v>
      </c>
      <c r="F4" s="59" t="n">
        <v>2270612</v>
      </c>
      <c r="BA4" s="3"/>
      <c r="BB4" s="3"/>
      <c r="BC4" s="3"/>
      <c r="BD4" s="3"/>
      <c r="BE4" s="3"/>
      <c r="BF4" s="3"/>
      <c r="BG4" s="3"/>
      <c r="BH4" s="3"/>
      <c r="BI4" s="3"/>
      <c r="BJ4" s="3"/>
      <c r="BK4" s="3"/>
      <c r="BL4" s="3"/>
      <c r="BM4" s="3"/>
      <c r="BN4" s="3"/>
      <c r="BO4" s="3"/>
      <c r="BP4" s="3"/>
      <c r="BQ4" s="3"/>
    </row>
    <row r="5" customFormat="false" ht="23.85" hidden="false" customHeight="false" outlineLevel="0" collapsed="false">
      <c r="A5" s="60" t="str">
        <f aca="false">_xlfn.CONCAT($A$1, ".", CALC!A5)</f>
        <v>LSD.RID.0.AL.LFP.1</v>
      </c>
      <c r="B5" s="63" t="str">
        <f aca="false">CALC!C5</f>
        <v>Agriculture, Forestry, 
Fishing and Hunting</v>
      </c>
      <c r="C5" s="59" t="n">
        <v>38000</v>
      </c>
      <c r="D5" s="59" t="n">
        <v>152</v>
      </c>
      <c r="E5" s="59" t="n">
        <v>5320</v>
      </c>
      <c r="F5" s="59" t="n">
        <v>32528</v>
      </c>
      <c r="BA5" s="3"/>
      <c r="BB5" s="3"/>
      <c r="BC5" s="3"/>
      <c r="BD5" s="3"/>
      <c r="BE5" s="3"/>
      <c r="BF5" s="3"/>
      <c r="BG5" s="3"/>
      <c r="BH5" s="3"/>
      <c r="BI5" s="3"/>
      <c r="BJ5" s="3"/>
      <c r="BK5" s="3"/>
      <c r="BL5" s="3"/>
      <c r="BM5" s="3"/>
      <c r="BN5" s="3"/>
      <c r="BO5" s="3"/>
      <c r="BP5" s="3"/>
      <c r="BQ5" s="3"/>
    </row>
    <row r="6" customFormat="false" ht="23.85" hidden="false" customHeight="false" outlineLevel="0" collapsed="false">
      <c r="A6" s="60" t="str">
        <f aca="false">_xlfn.CONCAT($A$1, ".", CALC!A6)</f>
        <v>LSD.RID.0.AL.LFP.2</v>
      </c>
      <c r="B6" s="63" t="str">
        <f aca="false">CALC!C6</f>
        <v>Mining, Quarrying, and
Oil and Gas Extraction</v>
      </c>
      <c r="C6" s="59" t="n">
        <v>14000</v>
      </c>
      <c r="D6" s="59" t="n">
        <v>196</v>
      </c>
      <c r="E6" s="59" t="n">
        <v>560</v>
      </c>
      <c r="F6" s="59" t="n">
        <v>13244</v>
      </c>
      <c r="BA6" s="3"/>
      <c r="BB6" s="3"/>
      <c r="BC6" s="3"/>
      <c r="BD6" s="3"/>
      <c r="BE6" s="3"/>
      <c r="BF6" s="3"/>
      <c r="BG6" s="3"/>
      <c r="BH6" s="3"/>
      <c r="BI6" s="3"/>
      <c r="BJ6" s="3"/>
      <c r="BK6" s="3"/>
      <c r="BL6" s="3"/>
      <c r="BM6" s="3"/>
      <c r="BN6" s="3"/>
      <c r="BO6" s="3"/>
      <c r="BP6" s="3"/>
      <c r="BQ6" s="3"/>
    </row>
    <row r="7" customFormat="false" ht="12.8" hidden="false" customHeight="false" outlineLevel="0" collapsed="false">
      <c r="A7" s="60" t="str">
        <f aca="false">_xlfn.CONCAT($A$1, ".", CALC!A7)</f>
        <v>LSD.RID.0.AL.LFP.3</v>
      </c>
      <c r="B7" s="42" t="str">
        <f aca="false">CALC!C7</f>
        <v>Utilities</v>
      </c>
      <c r="C7" s="59" t="n">
        <v>28000</v>
      </c>
      <c r="D7" s="59" t="n">
        <v>560</v>
      </c>
      <c r="E7" s="59" t="n">
        <v>224</v>
      </c>
      <c r="F7" s="59" t="n">
        <v>27216</v>
      </c>
      <c r="BA7" s="3"/>
      <c r="BB7" s="3"/>
      <c r="BC7" s="3"/>
      <c r="BD7" s="3"/>
      <c r="BE7" s="3"/>
      <c r="BF7" s="3"/>
      <c r="BG7" s="3"/>
      <c r="BH7" s="3"/>
      <c r="BI7" s="3"/>
      <c r="BJ7" s="3"/>
      <c r="BK7" s="3"/>
      <c r="BL7" s="3"/>
      <c r="BM7" s="3"/>
      <c r="BN7" s="3"/>
      <c r="BO7" s="3"/>
      <c r="BP7" s="3"/>
      <c r="BQ7" s="3"/>
    </row>
    <row r="8" customFormat="false" ht="12.8" hidden="false" customHeight="false" outlineLevel="0" collapsed="false">
      <c r="A8" s="60" t="str">
        <f aca="false">_xlfn.CONCAT($A$1, ".", CALC!A8)</f>
        <v>LSD.RID.0.AL.LFP.4</v>
      </c>
      <c r="B8" s="42" t="str">
        <f aca="false">CALC!C8</f>
        <v>Construction</v>
      </c>
      <c r="C8" s="59" t="n">
        <v>135000</v>
      </c>
      <c r="D8" s="59" t="n">
        <v>4590</v>
      </c>
      <c r="E8" s="59" t="n">
        <v>13770</v>
      </c>
      <c r="F8" s="59" t="n">
        <v>116640</v>
      </c>
      <c r="BA8" s="3"/>
      <c r="BB8" s="3"/>
      <c r="BC8" s="3"/>
      <c r="BD8" s="3"/>
      <c r="BE8" s="3"/>
      <c r="BF8" s="3"/>
      <c r="BG8" s="3"/>
      <c r="BH8" s="3"/>
      <c r="BI8" s="3"/>
      <c r="BJ8" s="3"/>
      <c r="BK8" s="3"/>
      <c r="BL8" s="3"/>
      <c r="BM8" s="3"/>
      <c r="BN8" s="3"/>
      <c r="BO8" s="3"/>
      <c r="BP8" s="3"/>
      <c r="BQ8" s="3"/>
    </row>
    <row r="9" customFormat="false" ht="23.85" hidden="false" customHeight="false" outlineLevel="0" collapsed="false">
      <c r="A9" s="60" t="str">
        <f aca="false">_xlfn.CONCAT($A$1, ".", CALC!A9)</f>
        <v>LSD.RID.0.AL.LFP.5</v>
      </c>
      <c r="B9" s="63" t="str">
        <f aca="false">CALC!C9</f>
        <v>Manufacturing
(Food,Textile, etc.)</v>
      </c>
      <c r="C9" s="59" t="n">
        <v>65000</v>
      </c>
      <c r="D9" s="59" t="n">
        <v>4680</v>
      </c>
      <c r="E9" s="59" t="n">
        <v>2405</v>
      </c>
      <c r="F9" s="59" t="n">
        <v>57915</v>
      </c>
      <c r="BA9" s="3"/>
      <c r="BB9" s="3"/>
      <c r="BC9" s="3"/>
      <c r="BD9" s="3"/>
      <c r="BE9" s="3"/>
      <c r="BF9" s="3"/>
      <c r="BG9" s="3"/>
      <c r="BH9" s="3"/>
      <c r="BI9" s="3"/>
      <c r="BJ9" s="3"/>
      <c r="BK9" s="3"/>
      <c r="BL9" s="3"/>
      <c r="BM9" s="3"/>
      <c r="BN9" s="3"/>
      <c r="BO9" s="3"/>
      <c r="BP9" s="3"/>
      <c r="BQ9" s="3"/>
    </row>
    <row r="10" customFormat="false" ht="23.85" hidden="false" customHeight="false" outlineLevel="0" collapsed="false">
      <c r="A10" s="60" t="str">
        <f aca="false">_xlfn.CONCAT($A$1, ".", CALC!A10)</f>
        <v>LSD.RID.0.AL.LFP.6</v>
      </c>
      <c r="B10" s="63" t="str">
        <f aca="false">CALC!C10</f>
        <v>Manufacturing (Wood,
Paper, Printing, etc.)</v>
      </c>
      <c r="C10" s="59" t="n">
        <v>52000</v>
      </c>
      <c r="D10" s="59" t="n">
        <v>3744</v>
      </c>
      <c r="E10" s="59" t="n">
        <v>1924</v>
      </c>
      <c r="F10" s="59" t="n">
        <v>46332</v>
      </c>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0" t="str">
        <f aca="false">_xlfn.CONCAT($A$1, ".", CALC!A11)</f>
        <v>LSD.RID.0.AL.LFP.7</v>
      </c>
      <c r="B11" s="63" t="str">
        <f aca="false">CALC!C11</f>
        <v>Manufacturing
(Machinery, Transport)</v>
      </c>
      <c r="C11" s="59" t="n">
        <v>170000</v>
      </c>
      <c r="D11" s="59" t="n">
        <v>12240</v>
      </c>
      <c r="E11" s="59" t="n">
        <v>6290</v>
      </c>
      <c r="F11" s="59" t="n">
        <v>151470</v>
      </c>
      <c r="BA11" s="3"/>
      <c r="BB11" s="3"/>
      <c r="BC11" s="3"/>
      <c r="BD11" s="3"/>
      <c r="BE11" s="3"/>
      <c r="BF11" s="3"/>
      <c r="BG11" s="3"/>
      <c r="BH11" s="3"/>
      <c r="BI11" s="3"/>
      <c r="BJ11" s="3"/>
      <c r="BK11" s="3"/>
      <c r="BL11" s="3"/>
      <c r="BM11" s="3"/>
      <c r="BN11" s="3"/>
      <c r="BO11" s="3"/>
      <c r="BP11" s="3"/>
      <c r="BQ11" s="3"/>
    </row>
    <row r="12" customFormat="false" ht="12.8" hidden="false" customHeight="false" outlineLevel="0" collapsed="false">
      <c r="A12" s="60" t="str">
        <f aca="false">_xlfn.CONCAT($A$1, ".", CALC!A12)</f>
        <v>LSD.RID.0.AL.LFP.8</v>
      </c>
      <c r="B12" s="42" t="str">
        <f aca="false">CALC!C12</f>
        <v>Wholesale Trade</v>
      </c>
      <c r="C12" s="59" t="n">
        <v>85000</v>
      </c>
      <c r="D12" s="59" t="n">
        <v>1700</v>
      </c>
      <c r="E12" s="59" t="n">
        <v>3570</v>
      </c>
      <c r="F12" s="59" t="n">
        <v>79730</v>
      </c>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0" t="str">
        <f aca="false">_xlfn.CONCAT($A$1, ".", CALC!A13)</f>
        <v>LSD.RID.0.AL.LFP.9</v>
      </c>
      <c r="B13" s="63" t="str">
        <f aca="false">CALC!C13</f>
        <v>Retail Trade (Motor
Vehicle, Electronics)</v>
      </c>
      <c r="C13" s="59" t="n">
        <v>95000</v>
      </c>
      <c r="D13" s="59" t="n">
        <v>1900</v>
      </c>
      <c r="E13" s="59" t="n">
        <v>3990</v>
      </c>
      <c r="F13" s="59" t="n">
        <v>89110</v>
      </c>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0" t="str">
        <f aca="false">_xlfn.CONCAT($A$1, ".", CALC!A14)</f>
        <v>LSD.RID.0.AL.LFP.10</v>
      </c>
      <c r="B14" s="63" t="str">
        <f aca="false">CALC!C14</f>
        <v>Retail Trade (Food, Clothing,
General Merchandise, etc.)</v>
      </c>
      <c r="C14" s="59" t="n">
        <v>165000</v>
      </c>
      <c r="D14" s="59" t="n">
        <v>3300</v>
      </c>
      <c r="E14" s="59" t="n">
        <v>6930</v>
      </c>
      <c r="F14" s="59" t="n">
        <v>154770</v>
      </c>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0" t="str">
        <f aca="false">_xlfn.CONCAT($A$1, ".", CALC!A15)</f>
        <v>LSD.RID.0.AL.LFP.11</v>
      </c>
      <c r="B15" s="42" t="str">
        <f aca="false">CALC!C15</f>
        <v>Transportation</v>
      </c>
      <c r="C15" s="59" t="n">
        <v>65000</v>
      </c>
      <c r="D15" s="59" t="n">
        <v>1300</v>
      </c>
      <c r="E15" s="59" t="n">
        <v>2730</v>
      </c>
      <c r="F15" s="59" t="n">
        <v>60970</v>
      </c>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0" t="str">
        <f aca="false">_xlfn.CONCAT($A$1, ".", CALC!A16)</f>
        <v>LSD.RID.0.AL.LFP.12</v>
      </c>
      <c r="B16" s="42" t="str">
        <f aca="false">CALC!C16</f>
        <v>Warehousing and Storage</v>
      </c>
      <c r="C16" s="59" t="n">
        <v>38000</v>
      </c>
      <c r="D16" s="59" t="n">
        <v>760</v>
      </c>
      <c r="E16" s="59" t="n">
        <v>1596</v>
      </c>
      <c r="F16" s="59" t="n">
        <v>35644</v>
      </c>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0" t="str">
        <f aca="false">_xlfn.CONCAT($A$1, ".", CALC!A17)</f>
        <v>LSD.RID.0.AL.LFP.13</v>
      </c>
      <c r="B17" s="42" t="str">
        <f aca="false">CALC!C17</f>
        <v>Information</v>
      </c>
      <c r="C17" s="59" t="n">
        <v>26000</v>
      </c>
      <c r="D17" s="59" t="n">
        <v>546</v>
      </c>
      <c r="E17" s="59" t="n">
        <v>221</v>
      </c>
      <c r="F17" s="59" t="n">
        <v>25233</v>
      </c>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0" t="str">
        <f aca="false">_xlfn.CONCAT($A$1, ".", CALC!A18)</f>
        <v>LSD.RID.0.AL.LFP.14</v>
      </c>
      <c r="B18" s="42" t="str">
        <f aca="false">CALC!C18</f>
        <v>Finance and Insurance</v>
      </c>
      <c r="C18" s="59" t="n">
        <v>115000</v>
      </c>
      <c r="D18" s="59" t="n">
        <v>3220</v>
      </c>
      <c r="E18" s="59" t="n">
        <v>920</v>
      </c>
      <c r="F18" s="59" t="n">
        <v>111860</v>
      </c>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0" t="str">
        <f aca="false">_xlfn.CONCAT($A$1, ".", CALC!A19)</f>
        <v>LSD.RID.0.AL.LFP.15</v>
      </c>
      <c r="B19" s="63" t="str">
        <f aca="false">CALC!C19</f>
        <v>Real Estate and
Rental and Leasing</v>
      </c>
      <c r="C19" s="59" t="n">
        <v>42000</v>
      </c>
      <c r="D19" s="59" t="n">
        <v>1176</v>
      </c>
      <c r="E19" s="59" t="n">
        <v>336</v>
      </c>
      <c r="F19" s="59" t="n">
        <v>40588</v>
      </c>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0" t="str">
        <f aca="false">_xlfn.CONCAT($A$1, ".", CALC!A20)</f>
        <v>LSD.RID.0.AL.LFP.16</v>
      </c>
      <c r="B20" s="63" t="str">
        <f aca="false">CALC!C20</f>
        <v>Professional, Scientific,
and Technical Services</v>
      </c>
      <c r="C20" s="59" t="n">
        <v>135000</v>
      </c>
      <c r="D20" s="59" t="n">
        <v>2835</v>
      </c>
      <c r="E20" s="59" t="n">
        <v>1080</v>
      </c>
      <c r="F20" s="59" t="n">
        <v>130085</v>
      </c>
      <c r="BA20" s="3"/>
      <c r="BB20" s="3"/>
      <c r="BC20" s="3"/>
      <c r="BD20" s="3"/>
      <c r="BE20" s="3"/>
      <c r="BF20" s="3"/>
      <c r="BG20" s="3"/>
      <c r="BH20" s="3"/>
      <c r="BI20" s="3"/>
      <c r="BJ20" s="3"/>
      <c r="BK20" s="3"/>
      <c r="BL20" s="3"/>
      <c r="BM20" s="3"/>
      <c r="BN20" s="3"/>
      <c r="BO20" s="3"/>
      <c r="BP20" s="3"/>
      <c r="BQ20" s="3"/>
    </row>
    <row r="21" customFormat="false" ht="35.05" hidden="false" customHeight="false" outlineLevel="0" collapsed="false">
      <c r="A21" s="60" t="str">
        <f aca="false">_xlfn.CONCAT($A$1, ".", CALC!A21)</f>
        <v>LSD.RID.0.AL.LFP.17</v>
      </c>
      <c r="B21" s="63" t="str">
        <f aca="false">CALC!C21</f>
        <v>Administrative and Support
and Waste Management
and Remediation Services</v>
      </c>
      <c r="C21" s="59" t="n">
        <v>145000</v>
      </c>
      <c r="D21" s="59" t="n">
        <v>2900</v>
      </c>
      <c r="E21" s="59" t="n">
        <v>16675</v>
      </c>
      <c r="F21" s="59" t="n">
        <v>118425</v>
      </c>
      <c r="BA21" s="3"/>
      <c r="BB21" s="3"/>
      <c r="BC21" s="3"/>
      <c r="BD21" s="3"/>
      <c r="BE21" s="3"/>
      <c r="BF21" s="3"/>
      <c r="BG21" s="3"/>
      <c r="BH21" s="3"/>
      <c r="BI21" s="3"/>
      <c r="BJ21" s="3"/>
      <c r="BK21" s="3"/>
      <c r="BL21" s="3"/>
      <c r="BM21" s="3"/>
      <c r="BN21" s="3"/>
      <c r="BO21" s="3"/>
      <c r="BP21" s="3"/>
      <c r="BQ21" s="3"/>
    </row>
    <row r="22" customFormat="false" ht="12.8" hidden="false" customHeight="false" outlineLevel="0" collapsed="false">
      <c r="A22" s="60" t="str">
        <f aca="false">_xlfn.CONCAT($A$1, ".", CALC!A22)</f>
        <v>LSD.RID.0.AL.LFP.18</v>
      </c>
      <c r="B22" s="42" t="str">
        <f aca="false">CALC!C22</f>
        <v>Educational Services</v>
      </c>
      <c r="C22" s="59" t="n">
        <v>95000</v>
      </c>
      <c r="D22" s="59" t="n">
        <v>6460</v>
      </c>
      <c r="E22" s="59" t="n">
        <v>760</v>
      </c>
      <c r="F22" s="59" t="n">
        <v>87780</v>
      </c>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0" t="str">
        <f aca="false">_xlfn.CONCAT($A$1, ".", CALC!A23)</f>
        <v>LSD.RID.0.AL.LFP.19</v>
      </c>
      <c r="B23" s="63" t="str">
        <f aca="false">CALC!C23</f>
        <v>Health Care and
Social Assistance</v>
      </c>
      <c r="C23" s="59" t="n">
        <v>240000</v>
      </c>
      <c r="D23" s="59" t="n">
        <v>16320</v>
      </c>
      <c r="E23" s="59" t="n">
        <v>1560</v>
      </c>
      <c r="F23" s="59" t="n">
        <v>222120</v>
      </c>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0" t="str">
        <f aca="false">_xlfn.CONCAT($A$1, ".", CALC!A24)</f>
        <v>LSD.RID.0.AL.LFP.20</v>
      </c>
      <c r="B24" s="63" t="str">
        <f aca="false">CALC!C24</f>
        <v>Arts, Entertainment,
and Recreation</v>
      </c>
      <c r="C24" s="59" t="n">
        <v>32000</v>
      </c>
      <c r="D24" s="59" t="n">
        <v>448</v>
      </c>
      <c r="E24" s="59" t="n">
        <v>3520</v>
      </c>
      <c r="F24" s="59" t="n">
        <v>28032</v>
      </c>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0" t="str">
        <f aca="false">_xlfn.CONCAT($A$1, ".", CALC!A25)</f>
        <v>LSD.RID.0.AL.LFP.21</v>
      </c>
      <c r="B25" s="63" t="str">
        <f aca="false">CALC!C25</f>
        <v>Accommodation
and Food Services</v>
      </c>
      <c r="C25" s="59" t="n">
        <v>185000</v>
      </c>
      <c r="D25" s="59" t="n">
        <v>2590</v>
      </c>
      <c r="E25" s="59" t="n">
        <v>12950</v>
      </c>
      <c r="F25" s="59" t="n">
        <v>169460</v>
      </c>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0" t="str">
        <f aca="false">_xlfn.CONCAT($A$1, ".", CALC!A26)</f>
        <v>LSD.RID.0.AL.LFP.22</v>
      </c>
      <c r="B26" s="63" t="str">
        <f aca="false">CALC!C26</f>
        <v>Other Services (except
Public Administration)</v>
      </c>
      <c r="C26" s="59" t="n">
        <v>105000</v>
      </c>
      <c r="D26" s="59" t="n">
        <v>840</v>
      </c>
      <c r="E26" s="59" t="n">
        <v>12180</v>
      </c>
      <c r="F26" s="59" t="n">
        <v>95980</v>
      </c>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0" t="str">
        <f aca="false">_xlfn.CONCAT($A$1, ".", CALC!A27)</f>
        <v>LSD.RID.0.AL.LFP.23</v>
      </c>
      <c r="B27" s="42" t="str">
        <f aca="false">CALC!C27</f>
        <v>Public Administration</v>
      </c>
      <c r="C27" s="59" t="n">
        <v>125000</v>
      </c>
      <c r="D27" s="59" t="n">
        <v>1000</v>
      </c>
      <c r="E27" s="59" t="n">
        <v>875</v>
      </c>
      <c r="F27" s="59" t="n">
        <v>123125</v>
      </c>
      <c r="BD27" s="3"/>
      <c r="BE27" s="3"/>
      <c r="BF27" s="3"/>
      <c r="BG27" s="3"/>
      <c r="BH27" s="3"/>
      <c r="BI27" s="3"/>
      <c r="BJ27" s="3"/>
      <c r="BK27" s="3"/>
      <c r="BL27" s="3"/>
      <c r="BM27" s="3"/>
      <c r="BN27" s="3"/>
      <c r="BO27" s="3"/>
      <c r="BP27" s="3"/>
      <c r="BQ27" s="3"/>
    </row>
    <row r="28" customFormat="false" ht="12.8" hidden="false" customHeight="false" outlineLevel="0" collapsed="false">
      <c r="A28" s="60"/>
      <c r="B28" s="42"/>
      <c r="C28" s="59"/>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30" customFormat="false" ht="12.8" hidden="false" customHeight="false" outlineLevel="0" collapsed="false">
      <c r="D30" s="64"/>
      <c r="E30" s="64"/>
      <c r="F30" s="64"/>
      <c r="G30" s="64"/>
    </row>
    <row r="130" customFormat="false" ht="12.8" hidden="false" customHeight="false" outlineLevel="0" collapsed="false">
      <c r="A130" s="60" t="str">
        <f aca="false">_xlfn.CONCAT($A$1, ".", "FORM")</f>
        <v>LSD.RID.0.AL.LFP.FORM</v>
      </c>
      <c r="B130" s="61" t="str">
        <f aca="false">_xlfn.CONCAT($B$1, " ", "Formulae")</f>
        <v>Alabama Labor Force Population Formulae</v>
      </c>
      <c r="C130" s="61"/>
    </row>
    <row r="131" customFormat="false" ht="12.8" hidden="false" customHeight="false" outlineLevel="0" collapsed="false">
      <c r="A131" s="49" t="s">
        <v>173</v>
      </c>
      <c r="B131" s="49" t="s">
        <v>174</v>
      </c>
      <c r="C131" s="49" t="s">
        <v>175</v>
      </c>
      <c r="D131" s="49" t="s">
        <v>176</v>
      </c>
      <c r="E131" s="49" t="s">
        <v>177</v>
      </c>
      <c r="F131" s="49" t="s">
        <v>178</v>
      </c>
      <c r="G131" s="49" t="s">
        <v>178</v>
      </c>
    </row>
    <row r="132" customFormat="false" ht="12.8" hidden="false" customHeight="false" outlineLevel="0" collapsed="false">
      <c r="A132" s="39" t="s">
        <v>720</v>
      </c>
      <c r="B132" s="39" t="s">
        <v>721</v>
      </c>
      <c r="C132" s="39" t="s">
        <v>722</v>
      </c>
      <c r="D132" s="39" t="s">
        <v>723</v>
      </c>
      <c r="E132" s="39" t="s">
        <v>724</v>
      </c>
      <c r="F132" s="39" t="s">
        <v>725</v>
      </c>
      <c r="G132" s="39" t="s">
        <v>726</v>
      </c>
    </row>
    <row r="133" customFormat="false" ht="12.8" hidden="false" customHeight="false" outlineLevel="0" collapsed="false">
      <c r="A133" s="39" t="s">
        <v>727</v>
      </c>
      <c r="B133" s="39" t="s">
        <v>728</v>
      </c>
      <c r="C133" s="39" t="s">
        <v>729</v>
      </c>
      <c r="D133" s="39" t="s">
        <v>730</v>
      </c>
      <c r="E133" s="39" t="s">
        <v>731</v>
      </c>
      <c r="F133" s="39" t="s">
        <v>732</v>
      </c>
      <c r="G133" s="39" t="s">
        <v>733</v>
      </c>
    </row>
    <row r="134" customFormat="false" ht="12.8" hidden="false" customHeight="false" outlineLevel="0" collapsed="false">
      <c r="A134" s="39" t="s">
        <v>734</v>
      </c>
      <c r="B134" s="39" t="s">
        <v>735</v>
      </c>
      <c r="C134" s="39" t="s">
        <v>736</v>
      </c>
      <c r="D134" s="39" t="s">
        <v>737</v>
      </c>
      <c r="E134" s="39" t="s">
        <v>738</v>
      </c>
      <c r="F134" s="39" t="s">
        <v>739</v>
      </c>
      <c r="G134" s="39" t="s">
        <v>740</v>
      </c>
    </row>
    <row r="135" customFormat="false" ht="12.8" hidden="false" customHeight="false" outlineLevel="0" collapsed="false">
      <c r="A135" s="39" t="s">
        <v>741</v>
      </c>
      <c r="B135" s="39" t="s">
        <v>742</v>
      </c>
      <c r="C135" s="39" t="s">
        <v>743</v>
      </c>
      <c r="D135" s="39" t="s">
        <v>744</v>
      </c>
      <c r="E135" s="39" t="s">
        <v>745</v>
      </c>
      <c r="F135" s="39" t="s">
        <v>739</v>
      </c>
      <c r="G135" s="39" t="s">
        <v>746</v>
      </c>
    </row>
    <row r="136" customFormat="false" ht="12.8" hidden="false" customHeight="false" outlineLevel="0" collapsed="false">
      <c r="A136" s="39" t="s">
        <v>747</v>
      </c>
      <c r="B136" s="39" t="s">
        <v>748</v>
      </c>
      <c r="C136" s="39" t="s">
        <v>749</v>
      </c>
      <c r="D136" s="39" t="s">
        <v>750</v>
      </c>
      <c r="E136" s="39" t="s">
        <v>751</v>
      </c>
      <c r="F136" s="39" t="s">
        <v>752</v>
      </c>
      <c r="G136" s="39" t="s">
        <v>753</v>
      </c>
    </row>
    <row r="137" customFormat="false" ht="12.8" hidden="false" customHeight="false" outlineLevel="0" collapsed="false">
      <c r="A137" s="39" t="s">
        <v>754</v>
      </c>
      <c r="B137" s="39" t="s">
        <v>755</v>
      </c>
      <c r="C137" s="39" t="s">
        <v>756</v>
      </c>
      <c r="D137" s="39" t="s">
        <v>757</v>
      </c>
      <c r="E137" s="39" t="s">
        <v>758</v>
      </c>
      <c r="F137" s="39" t="s">
        <v>759</v>
      </c>
      <c r="G137" s="39"/>
    </row>
    <row r="138" customFormat="false" ht="12.8" hidden="false" customHeight="false" outlineLevel="0" collapsed="false">
      <c r="A138" s="50"/>
      <c r="B138" s="65"/>
      <c r="C138" s="65"/>
      <c r="D138" s="39"/>
      <c r="E138" s="39"/>
      <c r="F138" s="39"/>
      <c r="G138" s="39"/>
    </row>
    <row r="139" customFormat="false" ht="12.8" hidden="false" customHeight="false" outlineLevel="0" collapsed="false">
      <c r="A139" s="60" t="str">
        <f aca="false">_xlfn.CONCAT($A$1, ".", "PARAM")</f>
        <v>LSD.RID.0.AL.LFP.PARAM</v>
      </c>
      <c r="B139" s="61" t="str">
        <f aca="false">_xlfn.CONCAT($B$1, " ", "Parameters")</f>
        <v>Alabama Labor Force Population Parameters</v>
      </c>
      <c r="C139" s="61"/>
    </row>
    <row r="140" customFormat="false" ht="12.8" hidden="false" customHeight="false" outlineLevel="0" collapsed="false">
      <c r="A140" s="49" t="s">
        <v>173</v>
      </c>
      <c r="B140" s="49" t="s">
        <v>175</v>
      </c>
      <c r="C140" s="49" t="s">
        <v>247</v>
      </c>
      <c r="D140" s="49" t="s">
        <v>177</v>
      </c>
      <c r="E140" s="49" t="s">
        <v>248</v>
      </c>
      <c r="F140" s="49" t="s">
        <v>249</v>
      </c>
      <c r="G140" s="49" t="s">
        <v>250</v>
      </c>
      <c r="H140" s="49" t="s">
        <v>250</v>
      </c>
    </row>
    <row r="141" customFormat="false" ht="12.8" hidden="false" customHeight="false" outlineLevel="0" collapsed="false">
      <c r="A141" s="39" t="s">
        <v>760</v>
      </c>
      <c r="B141" s="39" t="s">
        <v>761</v>
      </c>
      <c r="C141" s="39" t="n">
        <v>2385000</v>
      </c>
      <c r="D141" s="39" t="s">
        <v>762</v>
      </c>
      <c r="E141" s="39" t="s">
        <v>254</v>
      </c>
      <c r="F141" s="39" t="s">
        <v>334</v>
      </c>
      <c r="G141" s="51" t="s">
        <v>256</v>
      </c>
      <c r="H141" s="49"/>
    </row>
    <row r="142" customFormat="false" ht="12.8" hidden="false" customHeight="false" outlineLevel="0" collapsed="false">
      <c r="A142" s="39" t="s">
        <v>763</v>
      </c>
      <c r="B142" s="39" t="s">
        <v>764</v>
      </c>
      <c r="C142" s="39" t="n">
        <v>0.9</v>
      </c>
      <c r="D142" s="39" t="s">
        <v>765</v>
      </c>
      <c r="E142" s="39" t="s">
        <v>325</v>
      </c>
      <c r="F142" s="39" t="s">
        <v>766</v>
      </c>
      <c r="G142" s="51" t="s">
        <v>256</v>
      </c>
      <c r="H142" s="49"/>
    </row>
    <row r="143" customFormat="false" ht="12.8" hidden="false" customHeight="false" outlineLevel="0" collapsed="false">
      <c r="A143" s="39" t="s">
        <v>767</v>
      </c>
      <c r="B143" s="39" t="s">
        <v>768</v>
      </c>
      <c r="C143" s="39" t="n">
        <v>0.94</v>
      </c>
      <c r="D143" s="39" t="s">
        <v>769</v>
      </c>
      <c r="E143" s="39" t="s">
        <v>254</v>
      </c>
      <c r="F143" s="39" t="s">
        <v>770</v>
      </c>
      <c r="G143" s="51" t="s">
        <v>256</v>
      </c>
      <c r="H143" s="49"/>
    </row>
    <row r="144" customFormat="false" ht="12.8" hidden="false" customHeight="false" outlineLevel="0" collapsed="false">
      <c r="A144" s="39" t="s">
        <v>771</v>
      </c>
      <c r="B144" s="39" t="s">
        <v>772</v>
      </c>
      <c r="C144" s="39" t="n">
        <v>0.9</v>
      </c>
      <c r="D144" s="39" t="s">
        <v>773</v>
      </c>
      <c r="E144" s="39" t="s">
        <v>254</v>
      </c>
      <c r="F144" s="39" t="s">
        <v>774</v>
      </c>
      <c r="G144" s="51" t="s">
        <v>256</v>
      </c>
      <c r="H144" s="49"/>
    </row>
    <row r="145" customFormat="false" ht="12.8" hidden="false" customHeight="false" outlineLevel="0" collapsed="false">
      <c r="A145" s="39" t="s">
        <v>775</v>
      </c>
      <c r="B145" s="39" t="s">
        <v>776</v>
      </c>
      <c r="C145" s="39" t="n">
        <v>0.92</v>
      </c>
      <c r="D145" s="39" t="s">
        <v>777</v>
      </c>
      <c r="E145" s="39" t="s">
        <v>254</v>
      </c>
      <c r="F145" s="39" t="s">
        <v>770</v>
      </c>
      <c r="G145" s="51" t="s">
        <v>256</v>
      </c>
      <c r="H145" s="49"/>
    </row>
    <row r="146" customFormat="false" ht="12.8" hidden="false" customHeight="false" outlineLevel="0" collapsed="false">
      <c r="A146" s="39" t="s">
        <v>778</v>
      </c>
      <c r="B146" s="39" t="s">
        <v>779</v>
      </c>
      <c r="C146" s="39" t="n">
        <v>0.92</v>
      </c>
      <c r="D146" s="39" t="s">
        <v>780</v>
      </c>
      <c r="E146" s="39" t="s">
        <v>254</v>
      </c>
      <c r="F146" s="39" t="s">
        <v>770</v>
      </c>
      <c r="G146" s="51" t="s">
        <v>256</v>
      </c>
      <c r="H146" s="49"/>
    </row>
    <row r="147" customFormat="false" ht="12.8" hidden="false" customHeight="false" outlineLevel="0" collapsed="false">
      <c r="A147" s="39" t="s">
        <v>781</v>
      </c>
      <c r="B147" s="39" t="s">
        <v>782</v>
      </c>
      <c r="C147" s="39" t="n">
        <v>0.93</v>
      </c>
      <c r="D147" s="39" t="s">
        <v>783</v>
      </c>
      <c r="E147" s="39" t="s">
        <v>325</v>
      </c>
      <c r="F147" s="39" t="s">
        <v>420</v>
      </c>
      <c r="G147" s="51" t="s">
        <v>256</v>
      </c>
      <c r="H147" s="49"/>
    </row>
    <row r="148" customFormat="false" ht="12.8" hidden="false" customHeight="false" outlineLevel="0" collapsed="false">
      <c r="A148" s="39" t="s">
        <v>784</v>
      </c>
      <c r="B148" s="39" t="s">
        <v>785</v>
      </c>
      <c r="C148" s="39" t="n">
        <v>0.97</v>
      </c>
      <c r="D148" s="39" t="s">
        <v>786</v>
      </c>
      <c r="E148" s="39" t="s">
        <v>254</v>
      </c>
      <c r="F148" s="39" t="s">
        <v>770</v>
      </c>
      <c r="G148" s="51" t="s">
        <v>256</v>
      </c>
      <c r="H148" s="49"/>
    </row>
    <row r="149" customFormat="false" ht="12.8" hidden="false" customHeight="false" outlineLevel="0" collapsed="false">
      <c r="A149" s="39" t="s">
        <v>787</v>
      </c>
      <c r="B149" s="39" t="s">
        <v>788</v>
      </c>
      <c r="C149" s="39" t="n">
        <v>0.98</v>
      </c>
      <c r="D149" s="39" t="s">
        <v>789</v>
      </c>
      <c r="E149" s="39" t="s">
        <v>254</v>
      </c>
      <c r="F149" s="39" t="s">
        <v>770</v>
      </c>
      <c r="G149" s="51" t="s">
        <v>256</v>
      </c>
      <c r="H149" s="49"/>
    </row>
    <row r="150" customFormat="false" ht="12.8" hidden="false" customHeight="false" outlineLevel="0" collapsed="false">
      <c r="A150" s="39" t="s">
        <v>790</v>
      </c>
      <c r="B150" s="39" t="s">
        <v>791</v>
      </c>
      <c r="C150" s="39" t="n">
        <v>0.94</v>
      </c>
      <c r="D150" s="39" t="s">
        <v>792</v>
      </c>
      <c r="E150" s="39" t="s">
        <v>254</v>
      </c>
      <c r="F150" s="39" t="s">
        <v>770</v>
      </c>
      <c r="G150" s="51" t="s">
        <v>256</v>
      </c>
      <c r="H150" s="49"/>
    </row>
    <row r="151" customFormat="false" ht="12.8" hidden="false" customHeight="false" outlineLevel="0" collapsed="false">
      <c r="A151" s="39" t="s">
        <v>793</v>
      </c>
      <c r="B151" s="39" t="s">
        <v>794</v>
      </c>
      <c r="C151" s="39" t="n">
        <v>0.89</v>
      </c>
      <c r="D151" s="39" t="s">
        <v>795</v>
      </c>
      <c r="E151" s="39" t="s">
        <v>254</v>
      </c>
      <c r="F151" s="39" t="s">
        <v>770</v>
      </c>
      <c r="G151" s="51" t="s">
        <v>256</v>
      </c>
      <c r="H151" s="49"/>
    </row>
    <row r="152" customFormat="false" ht="12.8" hidden="false" customHeight="false" outlineLevel="0" collapsed="false">
      <c r="A152" s="39" t="s">
        <v>796</v>
      </c>
      <c r="B152" s="39" t="s">
        <v>797</v>
      </c>
      <c r="C152" s="39" t="n">
        <v>0.91</v>
      </c>
      <c r="D152" s="39" t="s">
        <v>798</v>
      </c>
      <c r="E152" s="39" t="s">
        <v>325</v>
      </c>
      <c r="F152" s="39" t="s">
        <v>420</v>
      </c>
      <c r="G152" s="51" t="s">
        <v>256</v>
      </c>
      <c r="H152" s="49"/>
    </row>
    <row r="153" customFormat="false" ht="12.8" hidden="false" customHeight="false" outlineLevel="0" collapsed="false">
      <c r="A153" s="39" t="s">
        <v>799</v>
      </c>
      <c r="B153" s="39" t="s">
        <v>800</v>
      </c>
      <c r="C153" s="39" t="n">
        <v>0.97</v>
      </c>
      <c r="D153" s="39" t="s">
        <v>801</v>
      </c>
      <c r="E153" s="39" t="s">
        <v>254</v>
      </c>
      <c r="F153" s="39" t="s">
        <v>770</v>
      </c>
      <c r="G153" s="51" t="s">
        <v>256</v>
      </c>
      <c r="H153" s="49"/>
    </row>
    <row r="154" customFormat="false" ht="12.8" hidden="false" customHeight="false" outlineLevel="0" collapsed="false">
      <c r="A154" s="39" t="s">
        <v>802</v>
      </c>
      <c r="B154" s="39" t="s">
        <v>803</v>
      </c>
      <c r="C154" s="39" t="n">
        <v>0.91</v>
      </c>
      <c r="D154" s="39" t="s">
        <v>804</v>
      </c>
      <c r="E154" s="39" t="s">
        <v>260</v>
      </c>
      <c r="F154" s="39" t="s">
        <v>805</v>
      </c>
      <c r="G154" s="51" t="s">
        <v>256</v>
      </c>
      <c r="H154" s="49"/>
    </row>
    <row r="155" customFormat="false" ht="12.8" hidden="false" customHeight="false" outlineLevel="0" collapsed="false">
      <c r="A155" s="39" t="s">
        <v>806</v>
      </c>
      <c r="B155" s="39" t="s">
        <v>807</v>
      </c>
      <c r="C155" s="39" t="n">
        <v>1.06</v>
      </c>
      <c r="D155" s="39" t="s">
        <v>808</v>
      </c>
      <c r="E155" s="39" t="s">
        <v>260</v>
      </c>
      <c r="F155" s="39" t="s">
        <v>809</v>
      </c>
      <c r="G155" s="51" t="s">
        <v>256</v>
      </c>
      <c r="H155" s="49"/>
    </row>
    <row r="156" customFormat="false" ht="12.8" hidden="false" customHeight="false" outlineLevel="0" collapsed="false">
      <c r="A156" s="39" t="s">
        <v>810</v>
      </c>
      <c r="B156" s="39" t="s">
        <v>811</v>
      </c>
      <c r="C156" s="39" t="n">
        <v>0.92</v>
      </c>
      <c r="D156" s="39" t="s">
        <v>812</v>
      </c>
      <c r="E156" s="39" t="s">
        <v>254</v>
      </c>
      <c r="F156" s="39" t="s">
        <v>310</v>
      </c>
      <c r="G156" s="51" t="s">
        <v>256</v>
      </c>
      <c r="H156" s="49"/>
    </row>
    <row r="157" customFormat="false" ht="12.8" hidden="false" customHeight="false" outlineLevel="0" collapsed="false">
      <c r="A157" s="39" t="s">
        <v>813</v>
      </c>
      <c r="B157" s="39" t="s">
        <v>814</v>
      </c>
      <c r="C157" s="39" t="n">
        <v>0.75</v>
      </c>
      <c r="D157" s="39" t="s">
        <v>815</v>
      </c>
      <c r="E157" s="39" t="s">
        <v>260</v>
      </c>
      <c r="F157" s="39" t="s">
        <v>310</v>
      </c>
      <c r="G157" s="51" t="s">
        <v>256</v>
      </c>
      <c r="H157" s="49"/>
    </row>
    <row r="158" customFormat="false" ht="12.8" hidden="false" customHeight="false" outlineLevel="0" collapsed="false">
      <c r="A158" s="39" t="s">
        <v>816</v>
      </c>
      <c r="B158" s="39" t="s">
        <v>817</v>
      </c>
      <c r="C158" s="39" t="n">
        <v>0.65</v>
      </c>
      <c r="D158" s="39" t="s">
        <v>818</v>
      </c>
      <c r="E158" s="39" t="s">
        <v>260</v>
      </c>
      <c r="F158" s="39" t="s">
        <v>310</v>
      </c>
      <c r="G158" s="51" t="s">
        <v>256</v>
      </c>
      <c r="H158" s="49"/>
    </row>
    <row r="159" customFormat="false" ht="12.8" hidden="false" customHeight="false" outlineLevel="0" collapsed="false">
      <c r="A159" s="39" t="s">
        <v>819</v>
      </c>
      <c r="B159" s="39" t="s">
        <v>820</v>
      </c>
      <c r="C159" s="39" t="n">
        <v>0.005</v>
      </c>
      <c r="D159" s="39" t="s">
        <v>821</v>
      </c>
      <c r="E159" s="39" t="s">
        <v>260</v>
      </c>
      <c r="F159" s="39" t="s">
        <v>822</v>
      </c>
      <c r="G159" s="51" t="s">
        <v>256</v>
      </c>
      <c r="H159" s="49"/>
    </row>
    <row r="160" customFormat="false" ht="12.8" hidden="false" customHeight="false" outlineLevel="0" collapsed="false">
      <c r="A160" s="39" t="s">
        <v>823</v>
      </c>
      <c r="B160" s="39" t="s">
        <v>824</v>
      </c>
      <c r="C160" s="39" t="n">
        <v>0.145</v>
      </c>
      <c r="D160" s="39" t="s">
        <v>825</v>
      </c>
      <c r="E160" s="39" t="s">
        <v>260</v>
      </c>
      <c r="F160" s="39" t="s">
        <v>826</v>
      </c>
      <c r="G160" s="51" t="s">
        <v>256</v>
      </c>
      <c r="H160" s="49"/>
    </row>
    <row r="161" customFormat="false" ht="12.8" hidden="false" customHeight="false" outlineLevel="0" collapsed="false">
      <c r="A161" s="39" t="s">
        <v>827</v>
      </c>
      <c r="B161" s="39" t="s">
        <v>828</v>
      </c>
      <c r="C161" s="39" t="n">
        <v>0.072</v>
      </c>
      <c r="D161" s="39" t="s">
        <v>829</v>
      </c>
      <c r="E161" s="39" t="s">
        <v>260</v>
      </c>
      <c r="F161" s="39" t="s">
        <v>822</v>
      </c>
      <c r="G161" s="51" t="s">
        <v>256</v>
      </c>
      <c r="H161" s="49"/>
    </row>
    <row r="162" customFormat="false" ht="12.8" hidden="false" customHeight="false" outlineLevel="0" collapsed="false">
      <c r="A162" s="39" t="s">
        <v>830</v>
      </c>
      <c r="B162" s="39" t="s">
        <v>831</v>
      </c>
      <c r="C162" s="39" t="n">
        <v>0.037</v>
      </c>
      <c r="D162" s="39" t="s">
        <v>832</v>
      </c>
      <c r="E162" s="39" t="s">
        <v>260</v>
      </c>
      <c r="F162" s="39" t="s">
        <v>826</v>
      </c>
      <c r="G162" s="51" t="s">
        <v>256</v>
      </c>
      <c r="H162" s="49"/>
    </row>
    <row r="163" customFormat="false" ht="12.8" hidden="false" customHeight="false" outlineLevel="0" collapsed="false">
      <c r="A163" s="39" t="s">
        <v>833</v>
      </c>
      <c r="B163" s="39" t="s">
        <v>834</v>
      </c>
      <c r="C163" s="39" t="n">
        <v>0.014</v>
      </c>
      <c r="D163" s="39" t="s">
        <v>835</v>
      </c>
      <c r="E163" s="39" t="s">
        <v>260</v>
      </c>
      <c r="F163" s="39" t="s">
        <v>822</v>
      </c>
      <c r="G163" s="51" t="s">
        <v>256</v>
      </c>
      <c r="H163" s="49"/>
    </row>
    <row r="164" customFormat="false" ht="12.8" hidden="false" customHeight="false" outlineLevel="0" collapsed="false">
      <c r="A164" s="39" t="s">
        <v>836</v>
      </c>
      <c r="B164" s="39" t="s">
        <v>837</v>
      </c>
      <c r="C164" s="39" t="n">
        <v>0.04</v>
      </c>
      <c r="D164" s="39" t="s">
        <v>838</v>
      </c>
      <c r="E164" s="39" t="s">
        <v>260</v>
      </c>
      <c r="F164" s="39" t="s">
        <v>826</v>
      </c>
      <c r="G164" s="51" t="s">
        <v>256</v>
      </c>
      <c r="H164" s="49"/>
    </row>
    <row r="165" customFormat="false" ht="12.8" hidden="false" customHeight="false" outlineLevel="0" collapsed="false">
      <c r="A165" s="39" t="s">
        <v>839</v>
      </c>
      <c r="B165" s="39" t="s">
        <v>840</v>
      </c>
      <c r="C165" s="39" t="n">
        <v>0.034</v>
      </c>
      <c r="D165" s="39" t="s">
        <v>841</v>
      </c>
      <c r="E165" s="39" t="s">
        <v>260</v>
      </c>
      <c r="F165" s="39" t="s">
        <v>822</v>
      </c>
      <c r="G165" s="51" t="s">
        <v>256</v>
      </c>
      <c r="H165" s="49"/>
    </row>
    <row r="166" customFormat="false" ht="12.8" hidden="false" customHeight="false" outlineLevel="0" collapsed="false">
      <c r="A166" s="39" t="s">
        <v>842</v>
      </c>
      <c r="B166" s="39" t="s">
        <v>843</v>
      </c>
      <c r="C166" s="39" t="n">
        <v>0.102</v>
      </c>
      <c r="D166" s="39" t="s">
        <v>844</v>
      </c>
      <c r="E166" s="39" t="s">
        <v>260</v>
      </c>
      <c r="F166" s="39" t="s">
        <v>826</v>
      </c>
      <c r="G166" s="51" t="s">
        <v>256</v>
      </c>
      <c r="H166" s="49"/>
    </row>
    <row r="167" customFormat="false" ht="12.8" hidden="false" customHeight="false" outlineLevel="0" collapsed="false">
      <c r="A167" s="39" t="s">
        <v>845</v>
      </c>
      <c r="B167" s="39" t="s">
        <v>846</v>
      </c>
      <c r="C167" s="39" t="n">
        <v>0.021</v>
      </c>
      <c r="D167" s="39" t="s">
        <v>847</v>
      </c>
      <c r="E167" s="39" t="s">
        <v>260</v>
      </c>
      <c r="F167" s="39" t="s">
        <v>822</v>
      </c>
      <c r="G167" s="51" t="s">
        <v>256</v>
      </c>
      <c r="H167" s="49"/>
    </row>
    <row r="168" customFormat="false" ht="12.8" hidden="false" customHeight="false" outlineLevel="0" collapsed="false">
      <c r="A168" s="39" t="s">
        <v>848</v>
      </c>
      <c r="B168" s="39" t="s">
        <v>849</v>
      </c>
      <c r="C168" s="39" t="n">
        <v>0.039</v>
      </c>
      <c r="D168" s="39" t="s">
        <v>850</v>
      </c>
      <c r="E168" s="39" t="s">
        <v>260</v>
      </c>
      <c r="F168" s="39" t="s">
        <v>826</v>
      </c>
      <c r="G168" s="51" t="s">
        <v>256</v>
      </c>
      <c r="H168" s="49"/>
    </row>
    <row r="169" customFormat="false" ht="12.8" hidden="false" customHeight="false" outlineLevel="0" collapsed="false">
      <c r="A169" s="39" t="s">
        <v>851</v>
      </c>
      <c r="B169" s="39" t="s">
        <v>852</v>
      </c>
      <c r="C169" s="39" t="n">
        <v>0.021</v>
      </c>
      <c r="D169" s="39" t="s">
        <v>853</v>
      </c>
      <c r="E169" s="39" t="s">
        <v>260</v>
      </c>
      <c r="F169" s="39" t="s">
        <v>822</v>
      </c>
      <c r="G169" s="51" t="s">
        <v>256</v>
      </c>
      <c r="H169" s="49"/>
    </row>
    <row r="170" customFormat="false" ht="12.8" hidden="false" customHeight="false" outlineLevel="0" collapsed="false">
      <c r="A170" s="39" t="s">
        <v>854</v>
      </c>
      <c r="B170" s="39" t="s">
        <v>855</v>
      </c>
      <c r="C170" s="39" t="n">
        <v>0.014</v>
      </c>
      <c r="D170" s="39" t="s">
        <v>856</v>
      </c>
      <c r="E170" s="39" t="s">
        <v>260</v>
      </c>
      <c r="F170" s="39" t="s">
        <v>826</v>
      </c>
      <c r="G170" s="51" t="s">
        <v>256</v>
      </c>
      <c r="H170" s="49"/>
    </row>
    <row r="171" customFormat="false" ht="12.8" hidden="false" customHeight="false" outlineLevel="0" collapsed="false">
      <c r="A171" s="39" t="s">
        <v>857</v>
      </c>
      <c r="B171" s="39" t="s">
        <v>858</v>
      </c>
      <c r="C171" s="39" t="n">
        <v>0.028</v>
      </c>
      <c r="D171" s="39" t="s">
        <v>859</v>
      </c>
      <c r="E171" s="39" t="s">
        <v>260</v>
      </c>
      <c r="F171" s="39" t="s">
        <v>822</v>
      </c>
      <c r="G171" s="51" t="s">
        <v>256</v>
      </c>
      <c r="H171" s="49"/>
    </row>
    <row r="172" customFormat="false" ht="12.8" hidden="false" customHeight="false" outlineLevel="0" collapsed="false">
      <c r="A172" s="39" t="s">
        <v>860</v>
      </c>
      <c r="B172" s="39" t="s">
        <v>861</v>
      </c>
      <c r="C172" s="39" t="n">
        <v>0.014</v>
      </c>
      <c r="D172" s="39" t="s">
        <v>862</v>
      </c>
      <c r="E172" s="39" t="s">
        <v>260</v>
      </c>
      <c r="F172" s="39" t="s">
        <v>826</v>
      </c>
      <c r="G172" s="51" t="s">
        <v>256</v>
      </c>
      <c r="H172" s="49"/>
    </row>
    <row r="173" customFormat="false" ht="12.8" hidden="false" customHeight="false" outlineLevel="0" collapsed="false">
      <c r="A173" s="39" t="s">
        <v>863</v>
      </c>
      <c r="B173" s="39" t="s">
        <v>864</v>
      </c>
      <c r="C173" s="39" t="n">
        <v>0.021</v>
      </c>
      <c r="D173" s="39" t="s">
        <v>865</v>
      </c>
      <c r="E173" s="39" t="s">
        <v>260</v>
      </c>
      <c r="F173" s="39" t="s">
        <v>822</v>
      </c>
      <c r="G173" s="51" t="s">
        <v>256</v>
      </c>
      <c r="H173" s="49"/>
    </row>
    <row r="174" customFormat="false" ht="12.8" hidden="false" customHeight="false" outlineLevel="0" collapsed="false">
      <c r="A174" s="39" t="s">
        <v>866</v>
      </c>
      <c r="B174" s="39" t="s">
        <v>867</v>
      </c>
      <c r="C174" s="39" t="n">
        <v>0.026</v>
      </c>
      <c r="D174" s="39" t="s">
        <v>868</v>
      </c>
      <c r="E174" s="39" t="s">
        <v>260</v>
      </c>
      <c r="F174" s="39" t="s">
        <v>826</v>
      </c>
      <c r="G174" s="51" t="s">
        <v>256</v>
      </c>
      <c r="H174" s="49"/>
    </row>
    <row r="175" customFormat="false" ht="12.8" hidden="false" customHeight="false" outlineLevel="0" collapsed="false">
      <c r="A175" s="39" t="s">
        <v>869</v>
      </c>
      <c r="B175" s="39" t="s">
        <v>870</v>
      </c>
      <c r="C175" s="39" t="n">
        <v>0.068</v>
      </c>
      <c r="D175" s="39" t="s">
        <v>871</v>
      </c>
      <c r="E175" s="39" t="s">
        <v>260</v>
      </c>
      <c r="F175" s="39" t="s">
        <v>822</v>
      </c>
      <c r="G175" s="51" t="s">
        <v>256</v>
      </c>
      <c r="H175" s="49"/>
    </row>
    <row r="176" customFormat="false" ht="12.8" hidden="false" customHeight="false" outlineLevel="0" collapsed="false">
      <c r="A176" s="39" t="s">
        <v>872</v>
      </c>
      <c r="B176" s="39" t="s">
        <v>873</v>
      </c>
      <c r="C176" s="39" t="n">
        <v>0.026</v>
      </c>
      <c r="D176" s="39" t="s">
        <v>874</v>
      </c>
      <c r="E176" s="39" t="s">
        <v>260</v>
      </c>
      <c r="F176" s="39" t="s">
        <v>826</v>
      </c>
      <c r="G176" s="51" t="s">
        <v>256</v>
      </c>
      <c r="H176" s="49"/>
    </row>
    <row r="177" customFormat="false" ht="12.8" hidden="false" customHeight="false" outlineLevel="0" collapsed="false">
      <c r="A177" s="39" t="s">
        <v>875</v>
      </c>
      <c r="B177" s="39" t="s">
        <v>876</v>
      </c>
      <c r="C177" s="39" t="n">
        <v>0.014</v>
      </c>
      <c r="D177" s="39" t="s">
        <v>877</v>
      </c>
      <c r="E177" s="39" t="s">
        <v>260</v>
      </c>
      <c r="F177" s="39" t="s">
        <v>822</v>
      </c>
      <c r="G177" s="51" t="s">
        <v>256</v>
      </c>
      <c r="H177" s="49"/>
    </row>
    <row r="178" customFormat="false" ht="12.8" hidden="false" customHeight="false" outlineLevel="0" collapsed="false">
      <c r="A178" s="39" t="s">
        <v>878</v>
      </c>
      <c r="B178" s="39" t="s">
        <v>879</v>
      </c>
      <c r="C178" s="39" t="n">
        <v>0.077</v>
      </c>
      <c r="D178" s="39" t="s">
        <v>880</v>
      </c>
      <c r="E178" s="39" t="s">
        <v>260</v>
      </c>
      <c r="F178" s="39" t="s">
        <v>826</v>
      </c>
      <c r="G178" s="51" t="s">
        <v>256</v>
      </c>
      <c r="H178" s="49"/>
    </row>
    <row r="179" customFormat="false" ht="12.8" hidden="false" customHeight="false" outlineLevel="0" collapsed="false">
      <c r="A179" s="39" t="s">
        <v>881</v>
      </c>
      <c r="B179" s="39" t="s">
        <v>882</v>
      </c>
      <c r="C179" s="39" t="n">
        <v>0.008</v>
      </c>
      <c r="D179" s="39" t="s">
        <v>883</v>
      </c>
      <c r="E179" s="39" t="s">
        <v>260</v>
      </c>
      <c r="F179" s="39" t="s">
        <v>822</v>
      </c>
      <c r="G179" s="51" t="s">
        <v>256</v>
      </c>
      <c r="H179" s="49"/>
    </row>
    <row r="180" customFormat="false" ht="12.8" hidden="false" customHeight="false" outlineLevel="0" collapsed="false">
      <c r="A180" s="39" t="s">
        <v>884</v>
      </c>
      <c r="B180" s="39" t="s">
        <v>885</v>
      </c>
      <c r="C180" s="39" t="n">
        <v>0.039</v>
      </c>
      <c r="D180" s="39" t="s">
        <v>886</v>
      </c>
      <c r="E180" s="39" t="s">
        <v>260</v>
      </c>
      <c r="F180" s="39" t="s">
        <v>826</v>
      </c>
      <c r="G180" s="51" t="s">
        <v>256</v>
      </c>
      <c r="H180" s="49"/>
    </row>
    <row r="181" customFormat="false" ht="12.8" hidden="false" customHeight="false" outlineLevel="0" collapsed="false">
      <c r="A181" s="39" t="s">
        <v>887</v>
      </c>
      <c r="B181" s="39" t="s">
        <v>888</v>
      </c>
      <c r="C181" s="39" t="n">
        <v>0.008</v>
      </c>
      <c r="D181" s="39" t="s">
        <v>889</v>
      </c>
      <c r="E181" s="39" t="s">
        <v>260</v>
      </c>
      <c r="F181" s="39" t="s">
        <v>822</v>
      </c>
      <c r="G181" s="51" t="s">
        <v>256</v>
      </c>
      <c r="H181" s="49"/>
    </row>
    <row r="182" customFormat="false" ht="12.8" hidden="false" customHeight="false" outlineLevel="0" collapsed="false">
      <c r="A182" s="39" t="s">
        <v>890</v>
      </c>
      <c r="B182" s="39" t="s">
        <v>891</v>
      </c>
      <c r="C182" s="39" t="n">
        <v>0.007</v>
      </c>
      <c r="D182" s="39" t="s">
        <v>892</v>
      </c>
      <c r="E182" s="39" t="s">
        <v>260</v>
      </c>
      <c r="F182" s="39" t="s">
        <v>826</v>
      </c>
      <c r="G182" s="51" t="s">
        <v>256</v>
      </c>
      <c r="H182" s="49"/>
    </row>
    <row r="183" customFormat="false" ht="12.8" hidden="false" customHeight="false" outlineLevel="0" collapsed="false">
      <c r="A183" s="39" t="s">
        <v>893</v>
      </c>
      <c r="B183" s="39" t="s">
        <v>894</v>
      </c>
      <c r="C183" s="39" t="n">
        <v>0.028</v>
      </c>
      <c r="D183" s="39" t="s">
        <v>895</v>
      </c>
      <c r="E183" s="39" t="s">
        <v>325</v>
      </c>
      <c r="F183" s="39" t="s">
        <v>896</v>
      </c>
      <c r="G183" s="51" t="s">
        <v>256</v>
      </c>
      <c r="H183" s="49"/>
    </row>
    <row r="184" customFormat="false" ht="12.8" hidden="false" customHeight="false" outlineLevel="0" collapsed="false">
      <c r="A184" s="39" t="s">
        <v>897</v>
      </c>
      <c r="B184" s="39" t="s">
        <v>898</v>
      </c>
      <c r="C184" s="39" t="n">
        <v>0.021</v>
      </c>
      <c r="D184" s="39" t="s">
        <v>899</v>
      </c>
      <c r="E184" s="39" t="s">
        <v>260</v>
      </c>
      <c r="F184" s="39" t="s">
        <v>896</v>
      </c>
      <c r="G184" s="51" t="s">
        <v>256</v>
      </c>
      <c r="H184" s="49"/>
    </row>
    <row r="185" customFormat="false" ht="12.8" hidden="false" customHeight="false" outlineLevel="0" collapsed="false">
      <c r="A185" s="39" t="s">
        <v>900</v>
      </c>
      <c r="B185" s="39" t="s">
        <v>901</v>
      </c>
      <c r="C185" s="39" t="n">
        <v>0.016</v>
      </c>
      <c r="D185" s="39" t="s">
        <v>902</v>
      </c>
      <c r="E185" s="39" t="s">
        <v>254</v>
      </c>
      <c r="F185" s="39" t="s">
        <v>896</v>
      </c>
      <c r="G185" s="51" t="s">
        <v>256</v>
      </c>
      <c r="H185" s="49"/>
    </row>
    <row r="186" customFormat="false" ht="12.8" hidden="false" customHeight="false" outlineLevel="0" collapsed="false">
      <c r="A186" s="39" t="s">
        <v>903</v>
      </c>
      <c r="B186" s="39" t="s">
        <v>904</v>
      </c>
      <c r="C186" s="39" t="n">
        <v>0.032</v>
      </c>
      <c r="D186" s="39" t="s">
        <v>905</v>
      </c>
      <c r="E186" s="39" t="s">
        <v>254</v>
      </c>
      <c r="F186" s="39" t="s">
        <v>896</v>
      </c>
      <c r="G186" s="51" t="s">
        <v>256</v>
      </c>
      <c r="H186" s="49"/>
    </row>
    <row r="187" customFormat="false" ht="12.8" hidden="false" customHeight="false" outlineLevel="0" collapsed="false">
      <c r="A187" s="39" t="s">
        <v>906</v>
      </c>
      <c r="B187" s="39" t="s">
        <v>907</v>
      </c>
      <c r="C187" s="39" t="n">
        <v>0.02</v>
      </c>
      <c r="D187" s="39" t="s">
        <v>908</v>
      </c>
      <c r="E187" s="39" t="s">
        <v>260</v>
      </c>
      <c r="F187" s="39" t="s">
        <v>896</v>
      </c>
      <c r="G187" s="51" t="s">
        <v>256</v>
      </c>
      <c r="H187" s="49"/>
    </row>
    <row r="188" customFormat="false" ht="12.8" hidden="false" customHeight="false" outlineLevel="0" collapsed="false">
      <c r="A188" s="39" t="s">
        <v>909</v>
      </c>
      <c r="B188" s="39" t="s">
        <v>910</v>
      </c>
      <c r="C188" s="39" t="n">
        <v>0.022</v>
      </c>
      <c r="D188" s="39" t="s">
        <v>911</v>
      </c>
      <c r="E188" s="39" t="s">
        <v>260</v>
      </c>
      <c r="F188" s="39" t="s">
        <v>896</v>
      </c>
      <c r="G188" s="51" t="s">
        <v>256</v>
      </c>
      <c r="H188" s="49"/>
    </row>
    <row r="189" customFormat="false" ht="12.8" hidden="false" customHeight="false" outlineLevel="0" collapsed="false">
      <c r="A189" s="39" t="s">
        <v>912</v>
      </c>
      <c r="B189" s="39" t="s">
        <v>913</v>
      </c>
      <c r="C189" s="39" t="n">
        <v>0.017</v>
      </c>
      <c r="D189" s="39" t="s">
        <v>914</v>
      </c>
      <c r="E189" s="39" t="s">
        <v>254</v>
      </c>
      <c r="F189" s="39" t="s">
        <v>896</v>
      </c>
      <c r="G189" s="51" t="s">
        <v>256</v>
      </c>
      <c r="H189" s="49"/>
    </row>
    <row r="190" customFormat="false" ht="12.8" hidden="false" customHeight="false" outlineLevel="0" collapsed="false">
      <c r="A190" s="39" t="s">
        <v>915</v>
      </c>
      <c r="B190" s="39" t="s">
        <v>916</v>
      </c>
      <c r="C190" s="39" t="n">
        <v>0.015</v>
      </c>
      <c r="D190" s="39" t="s">
        <v>917</v>
      </c>
      <c r="E190" s="39" t="s">
        <v>254</v>
      </c>
      <c r="F190" s="39" t="s">
        <v>896</v>
      </c>
      <c r="G190" s="51" t="s">
        <v>256</v>
      </c>
      <c r="H190" s="49"/>
    </row>
    <row r="191" customFormat="false" ht="12.8" hidden="false" customHeight="false" outlineLevel="0" collapsed="false">
      <c r="A191" s="39" t="s">
        <v>918</v>
      </c>
      <c r="B191" s="39" t="s">
        <v>919</v>
      </c>
      <c r="C191" s="39" t="n">
        <v>0.025</v>
      </c>
      <c r="D191" s="39" t="s">
        <v>920</v>
      </c>
      <c r="E191" s="39" t="s">
        <v>260</v>
      </c>
      <c r="F191" s="39" t="s">
        <v>896</v>
      </c>
      <c r="G191" s="51" t="s">
        <v>256</v>
      </c>
      <c r="H191" s="49"/>
    </row>
    <row r="192" customFormat="false" ht="12.8" hidden="false" customHeight="false" outlineLevel="0" collapsed="false">
      <c r="A192" s="39" t="s">
        <v>921</v>
      </c>
      <c r="B192" s="39" t="s">
        <v>922</v>
      </c>
      <c r="C192" s="39" t="n">
        <v>0.028</v>
      </c>
      <c r="D192" s="39" t="s">
        <v>923</v>
      </c>
      <c r="E192" s="39" t="s">
        <v>260</v>
      </c>
      <c r="F192" s="39" t="s">
        <v>896</v>
      </c>
      <c r="G192" s="51" t="s">
        <v>256</v>
      </c>
      <c r="H192" s="49"/>
    </row>
    <row r="193" customFormat="false" ht="12.8" hidden="false" customHeight="false" outlineLevel="0" collapsed="false">
      <c r="A193" s="39" t="s">
        <v>924</v>
      </c>
      <c r="B193" s="39" t="s">
        <v>925</v>
      </c>
      <c r="C193" s="39" t="n">
        <v>0.023</v>
      </c>
      <c r="D193" s="39" t="s">
        <v>926</v>
      </c>
      <c r="E193" s="39" t="s">
        <v>260</v>
      </c>
      <c r="F193" s="39" t="s">
        <v>896</v>
      </c>
      <c r="G193" s="51" t="s">
        <v>256</v>
      </c>
      <c r="H193" s="49"/>
    </row>
    <row r="194" customFormat="false" ht="12.8" hidden="false" customHeight="false" outlineLevel="0" collapsed="false">
      <c r="A194" s="39" t="s">
        <v>927</v>
      </c>
      <c r="B194" s="39" t="s">
        <v>928</v>
      </c>
      <c r="C194" s="39" t="n">
        <v>0.029</v>
      </c>
      <c r="D194" s="39" t="s">
        <v>929</v>
      </c>
      <c r="E194" s="39" t="s">
        <v>260</v>
      </c>
      <c r="F194" s="39" t="s">
        <v>896</v>
      </c>
      <c r="G194" s="51" t="s">
        <v>256</v>
      </c>
      <c r="H194" s="49"/>
    </row>
    <row r="195" customFormat="false" ht="12.8" hidden="false" customHeight="false" outlineLevel="0" collapsed="false">
      <c r="A195" s="39" t="s">
        <v>930</v>
      </c>
      <c r="B195" s="39" t="s">
        <v>931</v>
      </c>
      <c r="C195" s="39" t="n">
        <v>0.02</v>
      </c>
      <c r="D195" s="39" t="s">
        <v>932</v>
      </c>
      <c r="E195" s="39" t="s">
        <v>325</v>
      </c>
      <c r="F195" s="39" t="s">
        <v>896</v>
      </c>
      <c r="G195" s="51" t="s">
        <v>256</v>
      </c>
      <c r="H195" s="49"/>
    </row>
    <row r="196" customFormat="false" ht="12.8" hidden="false" customHeight="false" outlineLevel="0" collapsed="false">
      <c r="A196" s="39" t="s">
        <v>933</v>
      </c>
      <c r="B196" s="39" t="s">
        <v>934</v>
      </c>
      <c r="C196" s="39" t="n">
        <v>0.014</v>
      </c>
      <c r="D196" s="39" t="s">
        <v>935</v>
      </c>
      <c r="E196" s="39" t="s">
        <v>254</v>
      </c>
      <c r="F196" s="39" t="s">
        <v>896</v>
      </c>
      <c r="G196" s="51" t="s">
        <v>256</v>
      </c>
      <c r="H196" s="49"/>
    </row>
    <row r="197" customFormat="false" ht="12.8" hidden="false" customHeight="false" outlineLevel="0" collapsed="false">
      <c r="A197" s="39" t="s">
        <v>936</v>
      </c>
      <c r="B197" s="39" t="s">
        <v>937</v>
      </c>
      <c r="C197" s="39" t="n">
        <v>0.021</v>
      </c>
      <c r="D197" s="39" t="s">
        <v>938</v>
      </c>
      <c r="E197" s="39" t="s">
        <v>260</v>
      </c>
      <c r="F197" s="39" t="s">
        <v>896</v>
      </c>
      <c r="G197" s="51" t="s">
        <v>256</v>
      </c>
      <c r="H197" s="49"/>
    </row>
    <row r="198" customFormat="false" ht="12.8" hidden="false" customHeight="false" outlineLevel="0" collapsed="false">
      <c r="A198" s="39" t="s">
        <v>939</v>
      </c>
      <c r="B198" s="39" t="s">
        <v>940</v>
      </c>
      <c r="C198" s="39" t="n">
        <v>0.022</v>
      </c>
      <c r="D198" s="39" t="s">
        <v>941</v>
      </c>
      <c r="E198" s="39" t="s">
        <v>260</v>
      </c>
      <c r="F198" s="39" t="s">
        <v>896</v>
      </c>
      <c r="G198" s="51" t="s">
        <v>256</v>
      </c>
      <c r="H198" s="49"/>
    </row>
    <row r="199" customFormat="false" ht="12.8" hidden="false" customHeight="false" outlineLevel="0" collapsed="false">
      <c r="A199" s="39" t="s">
        <v>942</v>
      </c>
      <c r="B199" s="39" t="s">
        <v>943</v>
      </c>
      <c r="C199" s="39" t="n">
        <v>0.026</v>
      </c>
      <c r="D199" s="39" t="s">
        <v>944</v>
      </c>
      <c r="E199" s="39" t="s">
        <v>260</v>
      </c>
      <c r="F199" s="39" t="s">
        <v>896</v>
      </c>
      <c r="G199" s="51" t="s">
        <v>256</v>
      </c>
      <c r="H199" s="49"/>
    </row>
    <row r="200" customFormat="false" ht="12.8" hidden="false" customHeight="false" outlineLevel="0" collapsed="false">
      <c r="A200" s="39" t="s">
        <v>945</v>
      </c>
      <c r="B200" s="39" t="s">
        <v>946</v>
      </c>
      <c r="C200" s="39" t="n">
        <v>0.015</v>
      </c>
      <c r="D200" s="39" t="s">
        <v>947</v>
      </c>
      <c r="E200" s="39" t="s">
        <v>254</v>
      </c>
      <c r="F200" s="39" t="s">
        <v>896</v>
      </c>
      <c r="G200" s="51" t="s">
        <v>256</v>
      </c>
      <c r="H200" s="49"/>
    </row>
    <row r="201" customFormat="false" ht="12.8" hidden="false" customHeight="false" outlineLevel="0" collapsed="false">
      <c r="A201" s="39" t="s">
        <v>948</v>
      </c>
      <c r="B201" s="39" t="s">
        <v>949</v>
      </c>
      <c r="C201" s="39" t="n">
        <v>0.014</v>
      </c>
      <c r="D201" s="39" t="s">
        <v>950</v>
      </c>
      <c r="E201" s="39" t="s">
        <v>254</v>
      </c>
      <c r="F201" s="39" t="s">
        <v>896</v>
      </c>
      <c r="G201" s="51" t="s">
        <v>256</v>
      </c>
      <c r="H201" s="49"/>
    </row>
    <row r="202" customFormat="false" ht="12.8" hidden="false" customHeight="false" outlineLevel="0" collapsed="false">
      <c r="A202" s="39" t="s">
        <v>951</v>
      </c>
      <c r="B202" s="39" t="s">
        <v>952</v>
      </c>
      <c r="C202" s="39" t="n">
        <v>0.03</v>
      </c>
      <c r="D202" s="39" t="s">
        <v>953</v>
      </c>
      <c r="E202" s="39" t="s">
        <v>325</v>
      </c>
      <c r="F202" s="39" t="s">
        <v>896</v>
      </c>
      <c r="G202" s="51" t="s">
        <v>256</v>
      </c>
      <c r="H202" s="49"/>
    </row>
    <row r="203" customFormat="false" ht="12.8" hidden="false" customHeight="false" outlineLevel="0" collapsed="false">
      <c r="A203" s="39" t="s">
        <v>954</v>
      </c>
      <c r="B203" s="39" t="s">
        <v>955</v>
      </c>
      <c r="C203" s="39" t="n">
        <v>0.033</v>
      </c>
      <c r="D203" s="39" t="s">
        <v>956</v>
      </c>
      <c r="E203" s="39" t="s">
        <v>325</v>
      </c>
      <c r="F203" s="39" t="s">
        <v>896</v>
      </c>
      <c r="G203" s="51" t="s">
        <v>256</v>
      </c>
      <c r="H203" s="49"/>
    </row>
    <row r="204" customFormat="false" ht="12.8" hidden="false" customHeight="false" outlineLevel="0" collapsed="false">
      <c r="A204" s="39" t="s">
        <v>957</v>
      </c>
      <c r="B204" s="39" t="s">
        <v>958</v>
      </c>
      <c r="C204" s="39" t="n">
        <v>0.027</v>
      </c>
      <c r="D204" s="39" t="s">
        <v>959</v>
      </c>
      <c r="E204" s="39" t="s">
        <v>325</v>
      </c>
      <c r="F204" s="39" t="s">
        <v>896</v>
      </c>
      <c r="G204" s="51" t="s">
        <v>256</v>
      </c>
      <c r="H204" s="49"/>
    </row>
    <row r="205" customFormat="false" ht="12.8" hidden="false" customHeight="false" outlineLevel="0" collapsed="false">
      <c r="A205" s="39" t="s">
        <v>960</v>
      </c>
      <c r="B205" s="39" t="s">
        <v>961</v>
      </c>
      <c r="C205" s="39" t="n">
        <v>0.011</v>
      </c>
      <c r="D205" s="39" t="s">
        <v>962</v>
      </c>
      <c r="E205" s="39" t="s">
        <v>254</v>
      </c>
      <c r="F205" s="39" t="s">
        <v>896</v>
      </c>
      <c r="G205" s="51" t="s">
        <v>256</v>
      </c>
      <c r="H205" s="49"/>
    </row>
    <row r="206" customFormat="false" ht="12.8" hidden="false" customHeight="false" outlineLevel="0" collapsed="false">
      <c r="A206" s="39"/>
      <c r="B206" s="39"/>
      <c r="C206" s="39"/>
      <c r="D206" s="39"/>
      <c r="E206" s="39"/>
      <c r="F206" s="39"/>
      <c r="G206" s="39"/>
      <c r="H206" s="49"/>
    </row>
    <row r="207" customFormat="false" ht="12.8" hidden="false" customHeight="false" outlineLevel="0" collapsed="false">
      <c r="A207" s="60" t="str">
        <f aca="false">_xlfn.CONCAT($A$1, ".", "VALID")</f>
        <v>LSD.RID.0.AL.LFP.VALID</v>
      </c>
      <c r="B207" s="61" t="str">
        <f aca="false">_xlfn.CONCAT($B$1, " ", "Validation")</f>
        <v>Alabama Labor Force Population Validation</v>
      </c>
      <c r="C207" s="61"/>
    </row>
    <row r="208" customFormat="false" ht="12.8" hidden="false" customHeight="false" outlineLevel="0" collapsed="false">
      <c r="A208" s="49" t="s">
        <v>113</v>
      </c>
      <c r="B208" s="49" t="s">
        <v>963</v>
      </c>
      <c r="C208" s="49" t="s">
        <v>964</v>
      </c>
      <c r="D208" s="49" t="s">
        <v>965</v>
      </c>
      <c r="E208" s="49" t="s">
        <v>249</v>
      </c>
      <c r="F208" s="49" t="s">
        <v>966</v>
      </c>
      <c r="G208" s="49" t="s">
        <v>967</v>
      </c>
      <c r="H208" s="49" t="s">
        <v>967</v>
      </c>
    </row>
    <row r="209" customFormat="false" ht="12.8" hidden="false" customHeight="false" outlineLevel="0" collapsed="false">
      <c r="A209" s="39" t="s">
        <v>968</v>
      </c>
      <c r="B209" s="39" t="s">
        <v>969</v>
      </c>
      <c r="C209" s="39" t="n">
        <v>2385000</v>
      </c>
      <c r="D209" s="39" t="n">
        <v>2385000</v>
      </c>
      <c r="E209" s="39" t="s">
        <v>970</v>
      </c>
      <c r="F209" s="39" t="s">
        <v>254</v>
      </c>
      <c r="G209" s="39" t="s">
        <v>971</v>
      </c>
      <c r="H209" s="39" t="s">
        <v>972</v>
      </c>
    </row>
    <row r="210" customFormat="false" ht="12.8" hidden="false" customHeight="false" outlineLevel="0" collapsed="false">
      <c r="A210" s="39" t="s">
        <v>973</v>
      </c>
      <c r="B210" s="39" t="s">
        <v>974</v>
      </c>
      <c r="C210" s="39" t="n">
        <v>62388</v>
      </c>
      <c r="D210" s="39" t="s">
        <v>975</v>
      </c>
      <c r="E210" s="39" t="s">
        <v>976</v>
      </c>
      <c r="F210" s="39" t="s">
        <v>254</v>
      </c>
      <c r="G210" s="39" t="s">
        <v>977</v>
      </c>
      <c r="H210" s="39" t="s">
        <v>978</v>
      </c>
    </row>
    <row r="211" customFormat="false" ht="12.8" hidden="false" customHeight="false" outlineLevel="0" collapsed="false">
      <c r="A211" s="39" t="s">
        <v>979</v>
      </c>
      <c r="B211" s="39" t="s">
        <v>980</v>
      </c>
      <c r="C211" s="39" t="s">
        <v>981</v>
      </c>
      <c r="D211" s="39" t="s">
        <v>982</v>
      </c>
      <c r="E211" s="39" t="s">
        <v>983</v>
      </c>
      <c r="F211" s="39" t="s">
        <v>254</v>
      </c>
      <c r="G211" s="39" t="s">
        <v>984</v>
      </c>
      <c r="H211" s="39" t="s">
        <v>985</v>
      </c>
    </row>
    <row r="212" customFormat="false" ht="12.8" hidden="false" customHeight="false" outlineLevel="0" collapsed="false">
      <c r="A212" s="39" t="s">
        <v>986</v>
      </c>
      <c r="B212" s="39" t="s">
        <v>987</v>
      </c>
      <c r="C212" s="39" t="n">
        <v>2270612</v>
      </c>
      <c r="D212" s="39" t="s">
        <v>988</v>
      </c>
      <c r="E212" s="39" t="s">
        <v>989</v>
      </c>
      <c r="F212" s="39" t="s">
        <v>254</v>
      </c>
      <c r="G212" s="39" t="s">
        <v>990</v>
      </c>
      <c r="H212" s="39" t="s">
        <v>991</v>
      </c>
    </row>
    <row r="213" customFormat="false" ht="12.8" hidden="false" customHeight="false" outlineLevel="0" collapsed="false">
      <c r="A213" s="39" t="s">
        <v>992</v>
      </c>
      <c r="B213" s="39" t="s">
        <v>993</v>
      </c>
      <c r="C213" s="39" t="s">
        <v>994</v>
      </c>
      <c r="D213" s="39" t="s">
        <v>995</v>
      </c>
      <c r="E213" s="39" t="s">
        <v>996</v>
      </c>
      <c r="F213" s="39" t="s">
        <v>254</v>
      </c>
      <c r="G213" s="39" t="s">
        <v>997</v>
      </c>
      <c r="H213" s="39" t="s">
        <v>998</v>
      </c>
    </row>
    <row r="214" customFormat="false" ht="12.8" hidden="false" customHeight="false" outlineLevel="0" collapsed="false">
      <c r="A214" s="39" t="s">
        <v>999</v>
      </c>
      <c r="B214" s="39" t="s">
        <v>1000</v>
      </c>
      <c r="C214" s="39" t="s">
        <v>1001</v>
      </c>
      <c r="D214" s="39" t="s">
        <v>1002</v>
      </c>
      <c r="E214" s="39" t="s">
        <v>1003</v>
      </c>
      <c r="F214" s="39" t="s">
        <v>254</v>
      </c>
      <c r="G214" s="39" t="s">
        <v>1004</v>
      </c>
      <c r="H214" s="39" t="s">
        <v>1005</v>
      </c>
    </row>
    <row r="215" customFormat="false" ht="12.8" hidden="false" customHeight="false" outlineLevel="0" collapsed="false">
      <c r="A215" s="39" t="s">
        <v>1006</v>
      </c>
      <c r="B215" s="39" t="s">
        <v>1007</v>
      </c>
      <c r="C215" s="39" t="s">
        <v>1008</v>
      </c>
      <c r="D215" s="39" t="s">
        <v>1009</v>
      </c>
      <c r="E215" s="39" t="s">
        <v>1010</v>
      </c>
      <c r="F215" s="39" t="s">
        <v>254</v>
      </c>
      <c r="G215" s="39" t="s">
        <v>1011</v>
      </c>
      <c r="H215" s="39" t="s">
        <v>1012</v>
      </c>
    </row>
    <row r="216" customFormat="false" ht="12.8" hidden="false" customHeight="false" outlineLevel="0" collapsed="false">
      <c r="A216" s="39" t="s">
        <v>1013</v>
      </c>
      <c r="B216" s="39" t="s">
        <v>1014</v>
      </c>
      <c r="C216" s="39" t="s">
        <v>1015</v>
      </c>
      <c r="D216" s="39" t="n">
        <v>2385000</v>
      </c>
      <c r="E216" s="39" t="s">
        <v>1016</v>
      </c>
      <c r="F216" s="39" t="s">
        <v>254</v>
      </c>
      <c r="G216" s="39" t="s">
        <v>1017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21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1" sqref="D3:E3 C3"/>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34" min="7"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1018</v>
      </c>
      <c r="B1" s="42" t="s">
        <v>1019</v>
      </c>
      <c r="C1" s="6" t="s">
        <v>2</v>
      </c>
      <c r="D1" s="62" t="s">
        <v>1020</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customFormat="false" ht="12.8" hidden="false" customHeight="false" outlineLevel="0" collapsed="false">
      <c r="A2" s="60" t="str">
        <f aca="false">_xlfn.CONCAT($A$1, ".", "CALC")</f>
        <v>LSD.RID.0.AL.ETPR.CALC</v>
      </c>
      <c r="B2" s="61" t="str">
        <f aca="false">_xlfn.CONCAT($B$1, " ", "Calculations")</f>
        <v>Alabama Employment-to-Population Ratio (ETPR) Calculations</v>
      </c>
      <c r="C2" s="52" t="str">
        <f aca="false">CALC!H2</f>
        <v>Employment-to-Population Ratio (ETPR)</v>
      </c>
      <c r="D2" s="52"/>
      <c r="E2" s="52"/>
      <c r="F2" s="52"/>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row>
    <row r="3" customFormat="false" ht="12.8" hidden="false" customHeight="false" outlineLevel="0" collapsed="false">
      <c r="A3" s="60" t="s">
        <v>585</v>
      </c>
      <c r="B3" s="42" t="str">
        <f aca="false">CALC!C3</f>
        <v>Labor Sector</v>
      </c>
      <c r="C3" s="55" t="str">
        <f aca="false">CALC!H3</f>
        <v>Overall ETPR</v>
      </c>
      <c r="D3" s="55" t="str">
        <f aca="false">CALC!I3</f>
        <v>Authorized ETPR</v>
      </c>
      <c r="E3" s="55" t="str">
        <f aca="false">CALC!J3</f>
        <v>Unauthorized ETPR</v>
      </c>
      <c r="F3" s="55" t="str">
        <f aca="false">CALC!K3</f>
        <v>American ETPR</v>
      </c>
      <c r="AT3" s="3"/>
      <c r="AU3" s="3"/>
      <c r="AV3" s="3"/>
      <c r="AW3" s="3"/>
      <c r="AZ3" s="39"/>
      <c r="BA3" s="39"/>
      <c r="BB3" s="39"/>
      <c r="BC3" s="39"/>
      <c r="BJ3" s="3"/>
      <c r="BK3" s="3"/>
      <c r="BL3" s="3"/>
      <c r="BM3" s="3"/>
      <c r="BN3" s="3"/>
      <c r="BO3" s="3"/>
    </row>
    <row r="4" customFormat="false" ht="12.8" hidden="false" customHeight="false" outlineLevel="0" collapsed="false">
      <c r="A4" s="60" t="str">
        <f aca="false">_xlfn.CONCAT($A$1, ".", CALC!A4)</f>
        <v>LSD.RID.0.AL.ETPR.0</v>
      </c>
      <c r="B4" s="42" t="str">
        <f aca="false">CALC!C4</f>
        <v>All Industries</v>
      </c>
      <c r="C4" s="55" t="n">
        <v>0.562</v>
      </c>
      <c r="D4" s="55" t="n">
        <v>0.369</v>
      </c>
      <c r="E4" s="55" t="n">
        <v>0.61</v>
      </c>
      <c r="F4" s="55" t="n">
        <v>0.582</v>
      </c>
      <c r="AT4" s="3"/>
      <c r="AU4" s="3"/>
      <c r="AV4" s="3"/>
      <c r="AW4" s="3"/>
      <c r="AZ4" s="39"/>
      <c r="BA4" s="39"/>
      <c r="BB4" s="39"/>
      <c r="BC4" s="39"/>
      <c r="BJ4" s="3"/>
      <c r="BK4" s="3"/>
      <c r="BL4" s="3"/>
      <c r="BM4" s="3"/>
      <c r="BN4" s="3"/>
      <c r="BO4" s="3"/>
    </row>
    <row r="5" customFormat="false" ht="23.85" hidden="false" customHeight="false" outlineLevel="0" collapsed="false">
      <c r="A5" s="60" t="str">
        <f aca="false">_xlfn.CONCAT($A$1, ".", CALC!A5)</f>
        <v>LSD.RID.0.AL.ETPR.1</v>
      </c>
      <c r="B5" s="63" t="str">
        <f aca="false">CALC!C5</f>
        <v>Agriculture, Forestry, 
Fishing and Hunting</v>
      </c>
      <c r="C5" s="56" t="n">
        <v>0.545</v>
      </c>
      <c r="D5" s="56" t="n">
        <v>0.36</v>
      </c>
      <c r="E5" s="56" t="n">
        <v>0.7</v>
      </c>
      <c r="F5" s="56" t="n">
        <v>0.545</v>
      </c>
      <c r="AT5" s="3"/>
      <c r="AU5" s="3"/>
      <c r="AV5" s="3"/>
      <c r="AW5" s="3"/>
      <c r="AZ5" s="39"/>
      <c r="BA5" s="39"/>
      <c r="BB5" s="39"/>
      <c r="BC5" s="39"/>
      <c r="BJ5" s="3"/>
      <c r="BK5" s="3"/>
      <c r="BL5" s="3"/>
      <c r="BM5" s="3"/>
      <c r="BN5" s="3"/>
      <c r="BO5" s="3"/>
    </row>
    <row r="6" customFormat="false" ht="23.85" hidden="false" customHeight="false" outlineLevel="0" collapsed="false">
      <c r="A6" s="60" t="str">
        <f aca="false">_xlfn.CONCAT($A$1, ".", CALC!A6)</f>
        <v>LSD.RID.0.AL.ETPR.2</v>
      </c>
      <c r="B6" s="63" t="str">
        <f aca="false">CALC!C6</f>
        <v>Mining, Quarrying, and
Oil and Gas Extraction</v>
      </c>
      <c r="C6" s="56" t="n">
        <v>0.585</v>
      </c>
      <c r="D6" s="56" t="n">
        <v>0.37</v>
      </c>
      <c r="E6" s="56" t="n">
        <v>0.65</v>
      </c>
      <c r="F6" s="56" t="n">
        <v>0.585</v>
      </c>
      <c r="AT6" s="3"/>
      <c r="AU6" s="3"/>
      <c r="AV6" s="3"/>
      <c r="AW6" s="3"/>
      <c r="AZ6" s="39"/>
      <c r="BA6" s="39"/>
      <c r="BB6" s="39"/>
      <c r="BC6" s="39"/>
      <c r="BJ6" s="3"/>
      <c r="BK6" s="3"/>
      <c r="BL6" s="3"/>
      <c r="BM6" s="3"/>
      <c r="BN6" s="3"/>
      <c r="BO6" s="3"/>
    </row>
    <row r="7" customFormat="false" ht="12.8" hidden="false" customHeight="false" outlineLevel="0" collapsed="false">
      <c r="A7" s="60" t="str">
        <f aca="false">_xlfn.CONCAT($A$1, ".", CALC!A7)</f>
        <v>LSD.RID.0.AL.ETPR.3</v>
      </c>
      <c r="B7" s="42" t="str">
        <f aca="false">CALC!C7</f>
        <v>Utilities</v>
      </c>
      <c r="C7" s="56" t="n">
        <v>0.575</v>
      </c>
      <c r="D7" s="56" t="n">
        <v>0.369</v>
      </c>
      <c r="E7" s="56" t="n">
        <v>0.62</v>
      </c>
      <c r="F7" s="56" t="n">
        <v>0.575</v>
      </c>
      <c r="AT7" s="3"/>
      <c r="AU7" s="3"/>
      <c r="AV7" s="3"/>
      <c r="AW7" s="3"/>
      <c r="AZ7" s="39"/>
      <c r="BA7" s="39"/>
      <c r="BB7" s="39"/>
      <c r="BC7" s="39"/>
      <c r="BJ7" s="3"/>
      <c r="BK7" s="3"/>
      <c r="BL7" s="3"/>
      <c r="BM7" s="3"/>
      <c r="BN7" s="3"/>
      <c r="BO7" s="3"/>
    </row>
    <row r="8" customFormat="false" ht="12.8" hidden="false" customHeight="false" outlineLevel="0" collapsed="false">
      <c r="A8" s="60" t="str">
        <f aca="false">_xlfn.CONCAT($A$1, ".", CALC!A8)</f>
        <v>LSD.RID.0.AL.ETPR.4</v>
      </c>
      <c r="B8" s="42" t="str">
        <f aca="false">CALC!C8</f>
        <v>Construction</v>
      </c>
      <c r="C8" s="56" t="n">
        <v>0.545</v>
      </c>
      <c r="D8" s="56" t="n">
        <v>0.36</v>
      </c>
      <c r="E8" s="56" t="n">
        <v>0.7</v>
      </c>
      <c r="F8" s="56" t="n">
        <v>0.545</v>
      </c>
      <c r="AT8" s="3"/>
      <c r="AU8" s="3"/>
      <c r="AV8" s="3"/>
      <c r="AW8" s="3"/>
      <c r="AZ8" s="39"/>
      <c r="BA8" s="39"/>
      <c r="BB8" s="39"/>
      <c r="BC8" s="39"/>
      <c r="BJ8" s="3"/>
      <c r="BK8" s="3"/>
      <c r="BL8" s="3"/>
      <c r="BM8" s="3"/>
      <c r="BN8" s="3"/>
      <c r="BO8" s="3"/>
    </row>
    <row r="9" customFormat="false" ht="23.85" hidden="false" customHeight="false" outlineLevel="0" collapsed="false">
      <c r="A9" s="60" t="str">
        <f aca="false">_xlfn.CONCAT($A$1, ".", CALC!A9)</f>
        <v>LSD.RID.0.AL.ETPR.5</v>
      </c>
      <c r="B9" s="63" t="str">
        <f aca="false">CALC!C9</f>
        <v>Manufacturing
(Food,Textile, etc.)</v>
      </c>
      <c r="C9" s="56" t="n">
        <v>0.565</v>
      </c>
      <c r="D9" s="56" t="n">
        <v>0.365</v>
      </c>
      <c r="E9" s="56" t="n">
        <v>0.66</v>
      </c>
      <c r="F9" s="56" t="n">
        <v>0.565</v>
      </c>
      <c r="AT9" s="3"/>
      <c r="AU9" s="3"/>
      <c r="AV9" s="3"/>
      <c r="AW9" s="3"/>
      <c r="AZ9" s="39"/>
      <c r="BA9" s="39"/>
      <c r="BB9" s="39"/>
      <c r="BC9" s="39"/>
      <c r="BJ9" s="3"/>
      <c r="BK9" s="3"/>
      <c r="BL9" s="3"/>
      <c r="BM9" s="3"/>
      <c r="BN9" s="3"/>
      <c r="BO9" s="3"/>
    </row>
    <row r="10" customFormat="false" ht="23.85" hidden="false" customHeight="false" outlineLevel="0" collapsed="false">
      <c r="A10" s="60" t="str">
        <f aca="false">_xlfn.CONCAT($A$1, ".", CALC!A10)</f>
        <v>LSD.RID.0.AL.ETPR.6</v>
      </c>
      <c r="B10" s="63" t="str">
        <f aca="false">CALC!C10</f>
        <v>Manufacturing (Wood,
Paper, Printing, etc.)</v>
      </c>
      <c r="C10" s="56" t="n">
        <v>0.565</v>
      </c>
      <c r="D10" s="56" t="n">
        <v>0.365</v>
      </c>
      <c r="E10" s="56" t="n">
        <v>0.66</v>
      </c>
      <c r="F10" s="56" t="n">
        <v>0.565</v>
      </c>
      <c r="AT10" s="3"/>
      <c r="AU10" s="3"/>
      <c r="AV10" s="3"/>
      <c r="AW10" s="3"/>
      <c r="AZ10" s="39"/>
      <c r="BA10" s="39"/>
      <c r="BB10" s="39"/>
      <c r="BC10" s="39"/>
      <c r="BJ10" s="3"/>
      <c r="BK10" s="3"/>
      <c r="BL10" s="3"/>
      <c r="BM10" s="3"/>
      <c r="BN10" s="3"/>
      <c r="BO10" s="3"/>
    </row>
    <row r="11" customFormat="false" ht="23.85" hidden="false" customHeight="false" outlineLevel="0" collapsed="false">
      <c r="A11" s="60" t="str">
        <f aca="false">_xlfn.CONCAT($A$1, ".", CALC!A11)</f>
        <v>LSD.RID.0.AL.ETPR.7</v>
      </c>
      <c r="B11" s="63" t="str">
        <f aca="false">CALC!C11</f>
        <v>Manufacturing
(Machinery, Transport)</v>
      </c>
      <c r="C11" s="56" t="n">
        <v>0.565</v>
      </c>
      <c r="D11" s="56" t="n">
        <v>0.365</v>
      </c>
      <c r="E11" s="56" t="n">
        <v>0.66</v>
      </c>
      <c r="F11" s="56" t="n">
        <v>0.565</v>
      </c>
      <c r="AT11" s="3"/>
      <c r="AU11" s="3"/>
      <c r="AV11" s="3"/>
      <c r="AW11" s="3"/>
      <c r="AZ11" s="39"/>
      <c r="BA11" s="39"/>
      <c r="BB11" s="39"/>
      <c r="BC11" s="39"/>
      <c r="BJ11" s="3"/>
      <c r="BK11" s="3"/>
      <c r="BL11" s="3"/>
      <c r="BM11" s="3"/>
      <c r="BN11" s="3"/>
      <c r="BO11" s="3"/>
    </row>
    <row r="12" customFormat="false" ht="12.8" hidden="false" customHeight="false" outlineLevel="0" collapsed="false">
      <c r="A12" s="60" t="str">
        <f aca="false">_xlfn.CONCAT($A$1, ".", CALC!A12)</f>
        <v>LSD.RID.0.AL.ETPR.8</v>
      </c>
      <c r="B12" s="42" t="str">
        <f aca="false">CALC!C12</f>
        <v>Wholesale Trade</v>
      </c>
      <c r="C12" s="56" t="n">
        <v>0.57</v>
      </c>
      <c r="D12" s="56" t="n">
        <v>0.369</v>
      </c>
      <c r="E12" s="56" t="n">
        <v>0.64</v>
      </c>
      <c r="F12" s="56" t="n">
        <v>0.57</v>
      </c>
      <c r="AT12" s="3"/>
      <c r="AU12" s="3"/>
      <c r="AV12" s="3"/>
      <c r="AW12" s="3"/>
      <c r="AZ12" s="39"/>
      <c r="BA12" s="39"/>
      <c r="BB12" s="39"/>
      <c r="BC12" s="39"/>
      <c r="BJ12" s="3"/>
      <c r="BK12" s="3"/>
      <c r="BL12" s="3"/>
      <c r="BM12" s="3"/>
      <c r="BN12" s="3"/>
      <c r="BO12" s="3"/>
    </row>
    <row r="13" customFormat="false" ht="23.85" hidden="false" customHeight="false" outlineLevel="0" collapsed="false">
      <c r="A13" s="60" t="str">
        <f aca="false">_xlfn.CONCAT($A$1, ".", CALC!A13)</f>
        <v>LSD.RID.0.AL.ETPR.9</v>
      </c>
      <c r="B13" s="63" t="str">
        <f aca="false">CALC!C13</f>
        <v>Retail Trade (Motor
Vehicle, Electronics)</v>
      </c>
      <c r="C13" s="56" t="n">
        <v>0.57</v>
      </c>
      <c r="D13" s="56" t="n">
        <v>0.369</v>
      </c>
      <c r="E13" s="56" t="n">
        <v>0.64</v>
      </c>
      <c r="F13" s="56" t="n">
        <v>0.57</v>
      </c>
      <c r="AT13" s="3"/>
      <c r="AU13" s="3"/>
      <c r="AV13" s="3"/>
      <c r="AW13" s="3"/>
      <c r="AZ13" s="39"/>
      <c r="BA13" s="39"/>
      <c r="BB13" s="39"/>
      <c r="BC13" s="39"/>
      <c r="BJ13" s="3"/>
      <c r="BK13" s="3"/>
      <c r="BL13" s="3"/>
      <c r="BM13" s="3"/>
      <c r="BN13" s="3"/>
      <c r="BO13" s="3"/>
    </row>
    <row r="14" customFormat="false" ht="23.85" hidden="false" customHeight="false" outlineLevel="0" collapsed="false">
      <c r="A14" s="60" t="str">
        <f aca="false">_xlfn.CONCAT($A$1, ".", CALC!A14)</f>
        <v>LSD.RID.0.AL.ETPR.10</v>
      </c>
      <c r="B14" s="63" t="str">
        <f aca="false">CALC!C14</f>
        <v>Retail Trade (Food, Clothing,
General Merchandise, etc.)</v>
      </c>
      <c r="C14" s="56" t="n">
        <v>0.57</v>
      </c>
      <c r="D14" s="56" t="n">
        <v>0.369</v>
      </c>
      <c r="E14" s="56" t="n">
        <v>0.64</v>
      </c>
      <c r="F14" s="56" t="n">
        <v>0.57</v>
      </c>
      <c r="AT14" s="3"/>
      <c r="AU14" s="3"/>
      <c r="AV14" s="3"/>
      <c r="AW14" s="3"/>
      <c r="AZ14" s="39"/>
      <c r="BA14" s="39"/>
      <c r="BB14" s="39"/>
      <c r="BC14" s="39"/>
      <c r="BJ14" s="3"/>
      <c r="BK14" s="3"/>
      <c r="BL14" s="3"/>
      <c r="BM14" s="3"/>
      <c r="BN14" s="3"/>
      <c r="BO14" s="3"/>
    </row>
    <row r="15" customFormat="false" ht="12.8" hidden="false" customHeight="false" outlineLevel="0" collapsed="false">
      <c r="A15" s="60" t="str">
        <f aca="false">_xlfn.CONCAT($A$1, ".", CALC!A15)</f>
        <v>LSD.RID.0.AL.ETPR.11</v>
      </c>
      <c r="B15" s="42" t="str">
        <f aca="false">CALC!C15</f>
        <v>Transportation</v>
      </c>
      <c r="C15" s="56" t="n">
        <v>0.57</v>
      </c>
      <c r="D15" s="56" t="n">
        <v>0.369</v>
      </c>
      <c r="E15" s="56" t="n">
        <v>0.64</v>
      </c>
      <c r="F15" s="56" t="n">
        <v>0.57</v>
      </c>
      <c r="AT15" s="3"/>
      <c r="AU15" s="3"/>
      <c r="AV15" s="3"/>
      <c r="AW15" s="3"/>
      <c r="AZ15" s="39"/>
      <c r="BA15" s="39"/>
      <c r="BB15" s="39"/>
      <c r="BC15" s="39"/>
      <c r="BJ15" s="3"/>
      <c r="BK15" s="3"/>
      <c r="BL15" s="3"/>
      <c r="BM15" s="3"/>
      <c r="BN15" s="3"/>
      <c r="BO15" s="3"/>
    </row>
    <row r="16" customFormat="false" ht="12.8" hidden="false" customHeight="false" outlineLevel="0" collapsed="false">
      <c r="A16" s="60" t="str">
        <f aca="false">_xlfn.CONCAT($A$1, ".", CALC!A16)</f>
        <v>LSD.RID.0.AL.ETPR.12</v>
      </c>
      <c r="B16" s="42" t="str">
        <f aca="false">CALC!C16</f>
        <v>Warehousing and Storage</v>
      </c>
      <c r="C16" s="56" t="n">
        <v>0.57</v>
      </c>
      <c r="D16" s="56" t="n">
        <v>0.369</v>
      </c>
      <c r="E16" s="56" t="n">
        <v>0.64</v>
      </c>
      <c r="F16" s="56" t="n">
        <v>0.57</v>
      </c>
      <c r="AT16" s="3"/>
      <c r="AU16" s="3"/>
      <c r="AV16" s="3"/>
      <c r="AW16" s="3"/>
      <c r="AZ16" s="39"/>
      <c r="BA16" s="39"/>
      <c r="BB16" s="39"/>
      <c r="BC16" s="39"/>
      <c r="BJ16" s="3"/>
      <c r="BK16" s="3"/>
      <c r="BL16" s="3"/>
      <c r="BM16" s="3"/>
      <c r="BN16" s="3"/>
      <c r="BO16" s="3"/>
    </row>
    <row r="17" customFormat="false" ht="12.8" hidden="false" customHeight="false" outlineLevel="0" collapsed="false">
      <c r="A17" s="60" t="str">
        <f aca="false">_xlfn.CONCAT($A$1, ".", CALC!A17)</f>
        <v>LSD.RID.0.AL.ETPR.13</v>
      </c>
      <c r="B17" s="42" t="str">
        <f aca="false">CALC!C17</f>
        <v>Information</v>
      </c>
      <c r="C17" s="56" t="n">
        <v>0.58</v>
      </c>
      <c r="D17" s="56" t="n">
        <v>0.37</v>
      </c>
      <c r="E17" s="56" t="n">
        <v>0.6</v>
      </c>
      <c r="F17" s="56" t="n">
        <v>0.58</v>
      </c>
      <c r="AT17" s="3"/>
      <c r="AU17" s="3"/>
      <c r="AV17" s="3"/>
      <c r="AW17" s="3"/>
      <c r="AZ17" s="39"/>
      <c r="BA17" s="39"/>
      <c r="BB17" s="39"/>
      <c r="BC17" s="39"/>
      <c r="BJ17" s="3"/>
      <c r="BK17" s="3"/>
      <c r="BL17" s="3"/>
      <c r="BM17" s="3"/>
      <c r="BN17" s="3"/>
      <c r="BO17" s="3"/>
    </row>
    <row r="18" customFormat="false" ht="12.8" hidden="false" customHeight="false" outlineLevel="0" collapsed="false">
      <c r="A18" s="60" t="str">
        <f aca="false">_xlfn.CONCAT($A$1, ".", CALC!A18)</f>
        <v>LSD.RID.0.AL.ETPR.14</v>
      </c>
      <c r="B18" s="42" t="str">
        <f aca="false">CALC!C18</f>
        <v>Finance and Insurance</v>
      </c>
      <c r="C18" s="56" t="n">
        <v>0.595</v>
      </c>
      <c r="D18" s="56" t="n">
        <v>0.375</v>
      </c>
      <c r="E18" s="56" t="n">
        <v>0.52</v>
      </c>
      <c r="F18" s="56" t="n">
        <v>0.595</v>
      </c>
      <c r="AT18" s="3"/>
      <c r="AU18" s="3"/>
      <c r="AV18" s="3"/>
      <c r="AW18" s="3"/>
      <c r="AZ18" s="39"/>
      <c r="BA18" s="39"/>
      <c r="BB18" s="39"/>
      <c r="BC18" s="39"/>
      <c r="BJ18" s="3"/>
      <c r="BK18" s="3"/>
      <c r="BL18" s="3"/>
      <c r="BM18" s="3"/>
      <c r="BN18" s="3"/>
      <c r="BO18" s="3"/>
    </row>
    <row r="19" customFormat="false" ht="23.85" hidden="false" customHeight="false" outlineLevel="0" collapsed="false">
      <c r="A19" s="60" t="str">
        <f aca="false">_xlfn.CONCAT($A$1, ".", CALC!A19)</f>
        <v>LSD.RID.0.AL.ETPR.15</v>
      </c>
      <c r="B19" s="63" t="str">
        <f aca="false">CALC!C19</f>
        <v>Real Estate and
Rental and Leasing</v>
      </c>
      <c r="C19" s="56" t="n">
        <v>0.575</v>
      </c>
      <c r="D19" s="56" t="n">
        <v>0.37</v>
      </c>
      <c r="E19" s="56" t="n">
        <v>0.6</v>
      </c>
      <c r="F19" s="56" t="n">
        <v>0.575</v>
      </c>
      <c r="AT19" s="3"/>
      <c r="AU19" s="3"/>
      <c r="AV19" s="3"/>
      <c r="AW19" s="3"/>
      <c r="AZ19" s="39"/>
      <c r="BA19" s="39"/>
      <c r="BB19" s="39"/>
      <c r="BC19" s="39"/>
      <c r="BJ19" s="3"/>
      <c r="BK19" s="3"/>
      <c r="BL19" s="3"/>
      <c r="BM19" s="3"/>
      <c r="BN19" s="3"/>
      <c r="BO19" s="3"/>
    </row>
    <row r="20" customFormat="false" ht="23.85" hidden="false" customHeight="false" outlineLevel="0" collapsed="false">
      <c r="A20" s="60" t="str">
        <f aca="false">_xlfn.CONCAT($A$1, ".", CALC!A20)</f>
        <v>LSD.RID.0.AL.ETPR.16</v>
      </c>
      <c r="B20" s="63" t="str">
        <f aca="false">CALC!C20</f>
        <v>Professional, Scientific,
and Technical Services</v>
      </c>
      <c r="C20" s="56" t="n">
        <v>0.605</v>
      </c>
      <c r="D20" s="56" t="n">
        <v>0.375</v>
      </c>
      <c r="E20" s="56" t="n">
        <v>0.56</v>
      </c>
      <c r="F20" s="56" t="n">
        <v>0.605</v>
      </c>
      <c r="AT20" s="3"/>
      <c r="AU20" s="3"/>
      <c r="AV20" s="3"/>
      <c r="AW20" s="3"/>
      <c r="AZ20" s="39"/>
      <c r="BA20" s="39"/>
      <c r="BB20" s="39"/>
      <c r="BC20" s="39"/>
      <c r="BJ20" s="3"/>
      <c r="BK20" s="3"/>
      <c r="BL20" s="3"/>
      <c r="BM20" s="3"/>
      <c r="BN20" s="3"/>
      <c r="BO20" s="3"/>
    </row>
    <row r="21" customFormat="false" ht="35.05" hidden="false" customHeight="false" outlineLevel="0" collapsed="false">
      <c r="A21" s="60" t="str">
        <f aca="false">_xlfn.CONCAT($A$1, ".", CALC!A21)</f>
        <v>LSD.RID.0.AL.ETPR.17</v>
      </c>
      <c r="B21" s="63" t="str">
        <f aca="false">CALC!C21</f>
        <v>Administrative and Support
and Waste Management
and Remediation Services</v>
      </c>
      <c r="C21" s="56" t="n">
        <v>0.565</v>
      </c>
      <c r="D21" s="56" t="n">
        <v>0.365</v>
      </c>
      <c r="E21" s="56" t="n">
        <v>0.67</v>
      </c>
      <c r="F21" s="56" t="n">
        <v>0.565</v>
      </c>
      <c r="AT21" s="3"/>
      <c r="AU21" s="3"/>
      <c r="AV21" s="3"/>
      <c r="AW21" s="3"/>
      <c r="AZ21" s="39"/>
      <c r="BA21" s="39"/>
      <c r="BB21" s="39"/>
      <c r="BC21" s="39"/>
      <c r="BJ21" s="3"/>
      <c r="BK21" s="3"/>
      <c r="BL21" s="3"/>
      <c r="BM21" s="3"/>
      <c r="BN21" s="3"/>
      <c r="BO21" s="3"/>
    </row>
    <row r="22" customFormat="false" ht="12.8" hidden="false" customHeight="false" outlineLevel="0" collapsed="false">
      <c r="A22" s="60" t="str">
        <f aca="false">_xlfn.CONCAT($A$1, ".", CALC!A22)</f>
        <v>LSD.RID.0.AL.ETPR.18</v>
      </c>
      <c r="B22" s="42" t="str">
        <f aca="false">CALC!C22</f>
        <v>Educational Services</v>
      </c>
      <c r="C22" s="56" t="n">
        <v>0.58</v>
      </c>
      <c r="D22" s="56" t="n">
        <v>0.375</v>
      </c>
      <c r="E22" s="56" t="n">
        <v>0.56</v>
      </c>
      <c r="F22" s="56" t="n">
        <v>0.58</v>
      </c>
      <c r="AT22" s="3"/>
      <c r="AU22" s="3"/>
      <c r="AV22" s="3"/>
      <c r="AW22" s="3"/>
      <c r="AZ22" s="39"/>
      <c r="BA22" s="39"/>
      <c r="BB22" s="39"/>
      <c r="BC22" s="39"/>
      <c r="BJ22" s="3"/>
      <c r="BK22" s="3"/>
      <c r="BL22" s="3"/>
      <c r="BM22" s="3"/>
      <c r="BN22" s="3"/>
      <c r="BO22" s="3"/>
    </row>
    <row r="23" customFormat="false" ht="23.85" hidden="false" customHeight="false" outlineLevel="0" collapsed="false">
      <c r="A23" s="60" t="str">
        <f aca="false">_xlfn.CONCAT($A$1, ".", CALC!A23)</f>
        <v>LSD.RID.0.AL.ETPR.19</v>
      </c>
      <c r="B23" s="63" t="str">
        <f aca="false">CALC!C23</f>
        <v>Health Care and
Social Assistance</v>
      </c>
      <c r="C23" s="56" t="n">
        <v>0.58</v>
      </c>
      <c r="D23" s="56" t="n">
        <v>0.375</v>
      </c>
      <c r="E23" s="56" t="n">
        <v>0.56</v>
      </c>
      <c r="F23" s="56" t="n">
        <v>0.58</v>
      </c>
      <c r="AT23" s="3"/>
      <c r="AU23" s="3"/>
      <c r="AV23" s="3"/>
      <c r="AW23" s="3"/>
      <c r="AZ23" s="39"/>
      <c r="BA23" s="39"/>
      <c r="BB23" s="39"/>
      <c r="BC23" s="39"/>
      <c r="BJ23" s="3"/>
      <c r="BK23" s="3"/>
      <c r="BL23" s="3"/>
      <c r="BM23" s="3"/>
      <c r="BN23" s="3"/>
      <c r="BO23" s="3"/>
    </row>
    <row r="24" customFormat="false" ht="23.85" hidden="false" customHeight="false" outlineLevel="0" collapsed="false">
      <c r="A24" s="60" t="str">
        <f aca="false">_xlfn.CONCAT($A$1, ".", CALC!A24)</f>
        <v>LSD.RID.0.AL.ETPR.20</v>
      </c>
      <c r="B24" s="63" t="str">
        <f aca="false">CALC!C24</f>
        <v>Arts, Entertainment,
and Recreation</v>
      </c>
      <c r="C24" s="56" t="n">
        <v>0.565</v>
      </c>
      <c r="D24" s="56" t="n">
        <v>0.365</v>
      </c>
      <c r="E24" s="56" t="n">
        <v>0.67</v>
      </c>
      <c r="F24" s="56" t="n">
        <v>0.565</v>
      </c>
      <c r="AT24" s="3"/>
      <c r="AU24" s="3"/>
      <c r="AV24" s="3"/>
      <c r="AW24" s="3"/>
      <c r="AZ24" s="39"/>
      <c r="BA24" s="39"/>
      <c r="BB24" s="39"/>
      <c r="BC24" s="39"/>
      <c r="BJ24" s="3"/>
      <c r="BK24" s="3"/>
      <c r="BL24" s="3"/>
      <c r="BM24" s="3"/>
      <c r="BN24" s="3"/>
      <c r="BO24" s="3"/>
    </row>
    <row r="25" customFormat="false" ht="23.85" hidden="false" customHeight="false" outlineLevel="0" collapsed="false">
      <c r="A25" s="60" t="str">
        <f aca="false">_xlfn.CONCAT($A$1, ".", CALC!A25)</f>
        <v>LSD.RID.0.AL.ETPR.21</v>
      </c>
      <c r="B25" s="63" t="str">
        <f aca="false">CALC!C25</f>
        <v>Accommodation
and Food Services</v>
      </c>
      <c r="C25" s="56" t="n">
        <v>0.545</v>
      </c>
      <c r="D25" s="56" t="n">
        <v>0.36</v>
      </c>
      <c r="E25" s="56" t="n">
        <v>0.7</v>
      </c>
      <c r="F25" s="56" t="n">
        <v>0.545</v>
      </c>
      <c r="AT25" s="3"/>
      <c r="AU25" s="3"/>
      <c r="AV25" s="3"/>
      <c r="AW25" s="3"/>
      <c r="AZ25" s="39"/>
      <c r="BA25" s="39"/>
      <c r="BB25" s="39"/>
      <c r="BC25" s="39"/>
      <c r="BJ25" s="3"/>
      <c r="BK25" s="3"/>
      <c r="BL25" s="3"/>
      <c r="BM25" s="3"/>
      <c r="BN25" s="3"/>
      <c r="BO25" s="3"/>
    </row>
    <row r="26" customFormat="false" ht="23.85" hidden="false" customHeight="false" outlineLevel="0" collapsed="false">
      <c r="A26" s="60" t="str">
        <f aca="false">_xlfn.CONCAT($A$1, ".", CALC!A26)</f>
        <v>LSD.RID.0.AL.ETPR.22</v>
      </c>
      <c r="B26" s="63" t="str">
        <f aca="false">CALC!C26</f>
        <v>Other Services (except
Public Administration)</v>
      </c>
      <c r="C26" s="56" t="n">
        <v>0.565</v>
      </c>
      <c r="D26" s="56" t="n">
        <v>0.365</v>
      </c>
      <c r="E26" s="56" t="n">
        <v>0.67</v>
      </c>
      <c r="F26" s="56" t="n">
        <v>0.565</v>
      </c>
      <c r="AT26" s="3"/>
      <c r="AU26" s="3"/>
      <c r="AV26" s="3"/>
      <c r="AW26" s="3"/>
      <c r="AZ26" s="39"/>
      <c r="BA26" s="39"/>
      <c r="BB26" s="39"/>
      <c r="BC26" s="39"/>
      <c r="BJ26" s="3"/>
      <c r="BK26" s="3"/>
      <c r="BL26" s="3"/>
      <c r="BM26" s="3"/>
      <c r="BN26" s="3"/>
      <c r="BO26" s="3"/>
    </row>
    <row r="27" customFormat="false" ht="12.8" hidden="false" customHeight="false" outlineLevel="0" collapsed="false">
      <c r="A27" s="60" t="str">
        <f aca="false">_xlfn.CONCAT($A$1, ".", CALC!A27)</f>
        <v>LSD.RID.0.AL.ETPR.23</v>
      </c>
      <c r="B27" s="42" t="str">
        <f aca="false">CALC!C27</f>
        <v>Public Administration</v>
      </c>
      <c r="C27" s="56" t="n">
        <v>0.595</v>
      </c>
      <c r="D27" s="56" t="n">
        <v>0.375</v>
      </c>
      <c r="E27" s="56" t="n">
        <v>0.5</v>
      </c>
      <c r="F27" s="56" t="n">
        <v>0.595</v>
      </c>
      <c r="AT27" s="3"/>
      <c r="AU27" s="3"/>
      <c r="AV27" s="3"/>
      <c r="AW27" s="3"/>
      <c r="AZ27" s="39"/>
      <c r="BA27" s="39"/>
      <c r="BB27" s="39"/>
      <c r="BC27" s="39"/>
      <c r="BJ27" s="3"/>
      <c r="BK27" s="3"/>
      <c r="BL27" s="3"/>
      <c r="BM27" s="3"/>
      <c r="BN27" s="3"/>
      <c r="BO27" s="3"/>
    </row>
    <row r="125" customFormat="false" ht="12.8" hidden="false" customHeight="false" outlineLevel="0" collapsed="false">
      <c r="A125" s="60" t="str">
        <f aca="false">_xlfn.CONCAT($A$1, ".", "FORM")</f>
        <v>LSD.RID.0.AL.ETPR.FORM</v>
      </c>
      <c r="B125" s="61" t="str">
        <f aca="false">_xlfn.CONCAT($B$1, " ", "Formulae")</f>
        <v>Alabama Employment-to-Population Ratio (ETPR) Formulae</v>
      </c>
    </row>
    <row r="126" customFormat="false" ht="12.8" hidden="false" customHeight="false" outlineLevel="0" collapsed="false">
      <c r="A126" s="49" t="s">
        <v>173</v>
      </c>
      <c r="B126" s="49" t="s">
        <v>174</v>
      </c>
      <c r="C126" s="49" t="s">
        <v>175</v>
      </c>
      <c r="D126" s="49" t="s">
        <v>176</v>
      </c>
      <c r="E126" s="49" t="s">
        <v>177</v>
      </c>
      <c r="F126" s="49" t="s">
        <v>178</v>
      </c>
    </row>
    <row r="127" customFormat="false" ht="12.8" hidden="false" customHeight="false" outlineLevel="0" collapsed="false">
      <c r="A127" s="39" t="s">
        <v>1021</v>
      </c>
      <c r="B127" s="39" t="s">
        <v>1022</v>
      </c>
      <c r="C127" s="39" t="s">
        <v>1023</v>
      </c>
      <c r="D127" s="39" t="s">
        <v>1024</v>
      </c>
      <c r="E127" s="39" t="s">
        <v>1025</v>
      </c>
      <c r="F127" s="39" t="s">
        <v>1026</v>
      </c>
    </row>
    <row r="128" customFormat="false" ht="12.8" hidden="false" customHeight="false" outlineLevel="0" collapsed="false">
      <c r="A128" s="39" t="s">
        <v>1027</v>
      </c>
      <c r="B128" s="39" t="s">
        <v>1028</v>
      </c>
      <c r="C128" s="39" t="s">
        <v>1029</v>
      </c>
      <c r="D128" s="39" t="s">
        <v>1030</v>
      </c>
      <c r="E128" s="39" t="s">
        <v>1031</v>
      </c>
      <c r="F128" s="39" t="s">
        <v>1032</v>
      </c>
    </row>
    <row r="129" customFormat="false" ht="12.8" hidden="false" customHeight="false" outlineLevel="0" collapsed="false">
      <c r="A129" s="39" t="s">
        <v>1033</v>
      </c>
      <c r="B129" s="39" t="s">
        <v>1034</v>
      </c>
      <c r="C129" s="39" t="s">
        <v>1035</v>
      </c>
      <c r="D129" s="39" t="s">
        <v>1036</v>
      </c>
      <c r="E129" s="39" t="s">
        <v>738</v>
      </c>
      <c r="F129" s="39" t="s">
        <v>739</v>
      </c>
    </row>
    <row r="130" customFormat="false" ht="12.8" hidden="false" customHeight="false" outlineLevel="0" collapsed="false">
      <c r="A130" s="39" t="s">
        <v>1037</v>
      </c>
      <c r="B130" s="39" t="s">
        <v>1038</v>
      </c>
      <c r="C130" s="39" t="s">
        <v>1039</v>
      </c>
      <c r="D130" s="39" t="s">
        <v>1040</v>
      </c>
      <c r="E130" s="39" t="s">
        <v>745</v>
      </c>
      <c r="F130" s="39" t="s">
        <v>739</v>
      </c>
    </row>
    <row r="131" customFormat="false" ht="12.8" hidden="false" customHeight="false" outlineLevel="0" collapsed="false">
      <c r="A131" s="39" t="s">
        <v>1041</v>
      </c>
      <c r="B131" s="39" t="s">
        <v>1042</v>
      </c>
      <c r="C131" s="39" t="s">
        <v>1043</v>
      </c>
      <c r="D131" s="39" t="s">
        <v>1044</v>
      </c>
      <c r="E131" s="39" t="s">
        <v>751</v>
      </c>
      <c r="F131" s="39" t="s">
        <v>1045</v>
      </c>
    </row>
    <row r="132" customFormat="false" ht="12.8" hidden="false" customHeight="false" outlineLevel="0" collapsed="false">
      <c r="A132" s="39" t="s">
        <v>1046</v>
      </c>
      <c r="B132" s="39" t="s">
        <v>1047</v>
      </c>
      <c r="C132" s="39" t="s">
        <v>1048</v>
      </c>
      <c r="D132" s="39" t="s">
        <v>1049</v>
      </c>
      <c r="E132" s="39" t="s">
        <v>1050</v>
      </c>
      <c r="F132" s="39" t="s">
        <v>739</v>
      </c>
    </row>
    <row r="134" customFormat="false" ht="12.8" hidden="false" customHeight="false" outlineLevel="0" collapsed="false">
      <c r="A134" s="60" t="str">
        <f aca="false">_xlfn.CONCAT($A$1, ".", "PARAM")</f>
        <v>LSD.RID.0.AL.ETPR.PARAM</v>
      </c>
      <c r="B134" s="61" t="str">
        <f aca="false">_xlfn.CONCAT($B$1, " ", "Parameters")</f>
        <v>Alabama Employment-to-Population Ratio (ETPR) Parameters</v>
      </c>
    </row>
    <row r="135" customFormat="false" ht="12.8" hidden="false" customHeight="false" outlineLevel="0" collapsed="false">
      <c r="A135" s="49" t="s">
        <v>173</v>
      </c>
      <c r="B135" s="49" t="s">
        <v>175</v>
      </c>
      <c r="C135" s="49" t="s">
        <v>247</v>
      </c>
      <c r="D135" s="49" t="s">
        <v>177</v>
      </c>
      <c r="E135" s="49" t="s">
        <v>248</v>
      </c>
      <c r="F135" s="49" t="s">
        <v>249</v>
      </c>
      <c r="G135" s="49" t="s">
        <v>250</v>
      </c>
    </row>
    <row r="136" customFormat="false" ht="12.8" hidden="false" customHeight="false" outlineLevel="0" collapsed="false">
      <c r="A136" s="39" t="s">
        <v>1051</v>
      </c>
      <c r="B136" s="39" t="s">
        <v>1052</v>
      </c>
      <c r="C136" s="39" t="n">
        <v>0.562</v>
      </c>
      <c r="D136" s="39" t="s">
        <v>1053</v>
      </c>
      <c r="E136" s="39" t="s">
        <v>254</v>
      </c>
      <c r="F136" s="39" t="s">
        <v>334</v>
      </c>
      <c r="G136" s="51" t="s">
        <v>256</v>
      </c>
    </row>
    <row r="137" customFormat="false" ht="12.8" hidden="false" customHeight="false" outlineLevel="0" collapsed="false">
      <c r="A137" s="39" t="s">
        <v>1054</v>
      </c>
      <c r="B137" s="39" t="s">
        <v>1055</v>
      </c>
      <c r="C137" s="39" t="n">
        <v>0.91</v>
      </c>
      <c r="D137" s="39" t="s">
        <v>1056</v>
      </c>
      <c r="E137" s="39" t="s">
        <v>325</v>
      </c>
      <c r="F137" s="39" t="s">
        <v>766</v>
      </c>
      <c r="G137" s="51" t="s">
        <v>256</v>
      </c>
    </row>
    <row r="138" customFormat="false" ht="12.8" hidden="false" customHeight="false" outlineLevel="0" collapsed="false">
      <c r="A138" s="39" t="s">
        <v>1057</v>
      </c>
      <c r="B138" s="39" t="s">
        <v>1058</v>
      </c>
      <c r="C138" s="39" t="n">
        <v>0.95</v>
      </c>
      <c r="D138" s="39" t="s">
        <v>1059</v>
      </c>
      <c r="E138" s="39" t="s">
        <v>254</v>
      </c>
      <c r="F138" s="39" t="s">
        <v>770</v>
      </c>
      <c r="G138" s="51" t="s">
        <v>256</v>
      </c>
    </row>
    <row r="139" customFormat="false" ht="12.8" hidden="false" customHeight="false" outlineLevel="0" collapsed="false">
      <c r="A139" s="39" t="s">
        <v>1060</v>
      </c>
      <c r="B139" s="39" t="s">
        <v>1061</v>
      </c>
      <c r="C139" s="39" t="n">
        <v>0.91</v>
      </c>
      <c r="D139" s="39" t="s">
        <v>1062</v>
      </c>
      <c r="E139" s="39" t="s">
        <v>254</v>
      </c>
      <c r="F139" s="39" t="s">
        <v>774</v>
      </c>
      <c r="G139" s="51" t="s">
        <v>256</v>
      </c>
    </row>
    <row r="140" customFormat="false" ht="12.8" hidden="false" customHeight="false" outlineLevel="0" collapsed="false">
      <c r="A140" s="39" t="s">
        <v>1063</v>
      </c>
      <c r="B140" s="39" t="s">
        <v>1064</v>
      </c>
      <c r="C140" s="39" t="n">
        <v>0.93</v>
      </c>
      <c r="D140" s="39" t="s">
        <v>1065</v>
      </c>
      <c r="E140" s="39" t="s">
        <v>254</v>
      </c>
      <c r="F140" s="39" t="s">
        <v>770</v>
      </c>
      <c r="G140" s="51" t="s">
        <v>256</v>
      </c>
    </row>
    <row r="141" customFormat="false" ht="12.8" hidden="false" customHeight="false" outlineLevel="0" collapsed="false">
      <c r="A141" s="39" t="s">
        <v>1066</v>
      </c>
      <c r="B141" s="39" t="s">
        <v>1067</v>
      </c>
      <c r="C141" s="39" t="n">
        <v>0.93</v>
      </c>
      <c r="D141" s="39" t="s">
        <v>1068</v>
      </c>
      <c r="E141" s="39" t="s">
        <v>254</v>
      </c>
      <c r="F141" s="39" t="s">
        <v>770</v>
      </c>
      <c r="G141" s="51" t="s">
        <v>256</v>
      </c>
    </row>
    <row r="142" customFormat="false" ht="12.8" hidden="false" customHeight="false" outlineLevel="0" collapsed="false">
      <c r="A142" s="39" t="s">
        <v>1069</v>
      </c>
      <c r="B142" s="39" t="s">
        <v>1070</v>
      </c>
      <c r="C142" s="39" t="n">
        <v>0.94</v>
      </c>
      <c r="D142" s="39" t="s">
        <v>1071</v>
      </c>
      <c r="E142" s="39" t="s">
        <v>325</v>
      </c>
      <c r="F142" s="39" t="s">
        <v>420</v>
      </c>
      <c r="G142" s="51" t="s">
        <v>256</v>
      </c>
    </row>
    <row r="143" customFormat="false" ht="12.8" hidden="false" customHeight="false" outlineLevel="0" collapsed="false">
      <c r="A143" s="39" t="s">
        <v>1072</v>
      </c>
      <c r="B143" s="39" t="s">
        <v>1073</v>
      </c>
      <c r="C143" s="39" t="n">
        <v>0.98</v>
      </c>
      <c r="D143" s="39" t="s">
        <v>1074</v>
      </c>
      <c r="E143" s="39" t="s">
        <v>254</v>
      </c>
      <c r="F143" s="39" t="s">
        <v>770</v>
      </c>
      <c r="G143" s="51" t="s">
        <v>256</v>
      </c>
    </row>
    <row r="144" customFormat="false" ht="12.8" hidden="false" customHeight="false" outlineLevel="0" collapsed="false">
      <c r="A144" s="39" t="s">
        <v>1075</v>
      </c>
      <c r="B144" s="39" t="s">
        <v>1076</v>
      </c>
      <c r="C144" s="39" t="n">
        <v>0.99</v>
      </c>
      <c r="D144" s="39" t="s">
        <v>1077</v>
      </c>
      <c r="E144" s="39" t="s">
        <v>254</v>
      </c>
      <c r="F144" s="39" t="s">
        <v>770</v>
      </c>
      <c r="G144" s="51" t="s">
        <v>256</v>
      </c>
    </row>
    <row r="145" customFormat="false" ht="12.8" hidden="false" customHeight="false" outlineLevel="0" collapsed="false">
      <c r="A145" s="39" t="s">
        <v>1078</v>
      </c>
      <c r="B145" s="39" t="s">
        <v>1079</v>
      </c>
      <c r="C145" s="39" t="n">
        <v>0.95</v>
      </c>
      <c r="D145" s="39" t="s">
        <v>1080</v>
      </c>
      <c r="E145" s="39" t="s">
        <v>254</v>
      </c>
      <c r="F145" s="39" t="s">
        <v>770</v>
      </c>
      <c r="G145" s="51" t="s">
        <v>256</v>
      </c>
    </row>
    <row r="146" customFormat="false" ht="12.8" hidden="false" customHeight="false" outlineLevel="0" collapsed="false">
      <c r="A146" s="39" t="s">
        <v>1081</v>
      </c>
      <c r="B146" s="39" t="s">
        <v>1082</v>
      </c>
      <c r="C146" s="39" t="n">
        <v>0.9</v>
      </c>
      <c r="D146" s="39" t="s">
        <v>1083</v>
      </c>
      <c r="E146" s="39" t="s">
        <v>254</v>
      </c>
      <c r="F146" s="39" t="s">
        <v>770</v>
      </c>
      <c r="G146" s="51" t="s">
        <v>256</v>
      </c>
    </row>
    <row r="147" customFormat="false" ht="12.8" hidden="false" customHeight="false" outlineLevel="0" collapsed="false">
      <c r="A147" s="39" t="s">
        <v>1084</v>
      </c>
      <c r="B147" s="39" t="s">
        <v>1085</v>
      </c>
      <c r="C147" s="39" t="n">
        <v>0.92</v>
      </c>
      <c r="D147" s="39" t="s">
        <v>1086</v>
      </c>
      <c r="E147" s="39" t="s">
        <v>325</v>
      </c>
      <c r="F147" s="39" t="s">
        <v>420</v>
      </c>
      <c r="G147" s="51" t="s">
        <v>256</v>
      </c>
    </row>
    <row r="148" customFormat="false" ht="12.8" hidden="false" customHeight="false" outlineLevel="0" collapsed="false">
      <c r="A148" s="39" t="s">
        <v>1087</v>
      </c>
      <c r="B148" s="39" t="s">
        <v>1088</v>
      </c>
      <c r="C148" s="39" t="n">
        <v>0.98</v>
      </c>
      <c r="D148" s="39" t="s">
        <v>1089</v>
      </c>
      <c r="E148" s="39" t="s">
        <v>254</v>
      </c>
      <c r="F148" s="39" t="s">
        <v>770</v>
      </c>
      <c r="G148" s="51" t="s">
        <v>256</v>
      </c>
    </row>
    <row r="149" customFormat="false" ht="12.8" hidden="false" customHeight="false" outlineLevel="0" collapsed="false">
      <c r="A149" s="39" t="s">
        <v>1090</v>
      </c>
      <c r="B149" s="39" t="s">
        <v>1091</v>
      </c>
      <c r="C149" s="39" t="n">
        <v>0.91</v>
      </c>
      <c r="D149" s="39" t="s">
        <v>1092</v>
      </c>
      <c r="E149" s="39" t="s">
        <v>260</v>
      </c>
      <c r="F149" s="39" t="s">
        <v>805</v>
      </c>
      <c r="G149" s="51" t="s">
        <v>256</v>
      </c>
    </row>
    <row r="150" customFormat="false" ht="12.8" hidden="false" customHeight="false" outlineLevel="0" collapsed="false">
      <c r="A150" s="39" t="s">
        <v>1093</v>
      </c>
      <c r="B150" s="39" t="s">
        <v>1094</v>
      </c>
      <c r="C150" s="39" t="n">
        <v>1.06</v>
      </c>
      <c r="D150" s="39" t="s">
        <v>1095</v>
      </c>
      <c r="E150" s="39" t="s">
        <v>260</v>
      </c>
      <c r="F150" s="39" t="s">
        <v>809</v>
      </c>
      <c r="G150" s="51" t="s">
        <v>256</v>
      </c>
    </row>
    <row r="151" customFormat="false" ht="12.8" hidden="false" customHeight="false" outlineLevel="0" collapsed="false">
      <c r="A151" s="39" t="s">
        <v>1096</v>
      </c>
      <c r="B151" s="39" t="s">
        <v>1097</v>
      </c>
      <c r="C151" s="39" t="n">
        <v>0.92</v>
      </c>
      <c r="D151" s="39" t="s">
        <v>1098</v>
      </c>
      <c r="E151" s="39" t="s">
        <v>254</v>
      </c>
      <c r="F151" s="39" t="s">
        <v>310</v>
      </c>
      <c r="G151" s="51" t="s">
        <v>256</v>
      </c>
    </row>
    <row r="152" customFormat="false" ht="12.8" hidden="false" customHeight="false" outlineLevel="0" collapsed="false">
      <c r="A152" s="39" t="s">
        <v>1099</v>
      </c>
      <c r="B152" s="39" t="s">
        <v>1100</v>
      </c>
      <c r="C152" s="39" t="n">
        <v>0.75</v>
      </c>
      <c r="D152" s="39" t="s">
        <v>1101</v>
      </c>
      <c r="E152" s="39" t="s">
        <v>260</v>
      </c>
      <c r="F152" s="39" t="s">
        <v>310</v>
      </c>
      <c r="G152" s="51" t="s">
        <v>256</v>
      </c>
    </row>
    <row r="153" customFormat="false" ht="12.8" hidden="false" customHeight="false" outlineLevel="0" collapsed="false">
      <c r="A153" s="39" t="s">
        <v>1102</v>
      </c>
      <c r="B153" s="39" t="s">
        <v>1103</v>
      </c>
      <c r="C153" s="39" t="n">
        <v>0.65</v>
      </c>
      <c r="D153" s="39" t="s">
        <v>1104</v>
      </c>
      <c r="E153" s="39" t="s">
        <v>260</v>
      </c>
      <c r="F153" s="39" t="s">
        <v>310</v>
      </c>
      <c r="G153" s="51" t="s">
        <v>256</v>
      </c>
    </row>
    <row r="154" customFormat="false" ht="12.8" hidden="false" customHeight="false" outlineLevel="0" collapsed="false">
      <c r="A154" s="39" t="s">
        <v>1105</v>
      </c>
      <c r="B154" s="39" t="s">
        <v>820</v>
      </c>
      <c r="C154" s="39" t="n">
        <v>0.005</v>
      </c>
      <c r="D154" s="39" t="s">
        <v>821</v>
      </c>
      <c r="E154" s="39" t="s">
        <v>260</v>
      </c>
      <c r="F154" s="39" t="s">
        <v>822</v>
      </c>
      <c r="G154" s="51" t="s">
        <v>256</v>
      </c>
    </row>
    <row r="155" customFormat="false" ht="12.8" hidden="false" customHeight="false" outlineLevel="0" collapsed="false">
      <c r="A155" s="39" t="s">
        <v>1106</v>
      </c>
      <c r="B155" s="39" t="s">
        <v>824</v>
      </c>
      <c r="C155" s="39" t="n">
        <v>0.145</v>
      </c>
      <c r="D155" s="39" t="s">
        <v>825</v>
      </c>
      <c r="E155" s="39" t="s">
        <v>260</v>
      </c>
      <c r="F155" s="39" t="s">
        <v>826</v>
      </c>
      <c r="G155" s="51" t="s">
        <v>256</v>
      </c>
    </row>
    <row r="156" customFormat="false" ht="12.8" hidden="false" customHeight="false" outlineLevel="0" collapsed="false">
      <c r="A156" s="39" t="s">
        <v>1107</v>
      </c>
      <c r="B156" s="39" t="s">
        <v>828</v>
      </c>
      <c r="C156" s="39" t="n">
        <v>0.072</v>
      </c>
      <c r="D156" s="39" t="s">
        <v>829</v>
      </c>
      <c r="E156" s="39" t="s">
        <v>260</v>
      </c>
      <c r="F156" s="39" t="s">
        <v>822</v>
      </c>
      <c r="G156" s="51" t="s">
        <v>256</v>
      </c>
    </row>
    <row r="157" customFormat="false" ht="12.8" hidden="false" customHeight="false" outlineLevel="0" collapsed="false">
      <c r="A157" s="39" t="s">
        <v>1108</v>
      </c>
      <c r="B157" s="39" t="s">
        <v>831</v>
      </c>
      <c r="C157" s="39" t="n">
        <v>0.037</v>
      </c>
      <c r="D157" s="39" t="s">
        <v>832</v>
      </c>
      <c r="E157" s="39" t="s">
        <v>260</v>
      </c>
      <c r="F157" s="39" t="s">
        <v>826</v>
      </c>
      <c r="G157" s="51" t="s">
        <v>256</v>
      </c>
    </row>
    <row r="158" customFormat="false" ht="12.8" hidden="false" customHeight="false" outlineLevel="0" collapsed="false">
      <c r="A158" s="39" t="s">
        <v>1109</v>
      </c>
      <c r="B158" s="39" t="s">
        <v>834</v>
      </c>
      <c r="C158" s="39" t="n">
        <v>0.014</v>
      </c>
      <c r="D158" s="39" t="s">
        <v>835</v>
      </c>
      <c r="E158" s="39" t="s">
        <v>260</v>
      </c>
      <c r="F158" s="39" t="s">
        <v>822</v>
      </c>
      <c r="G158" s="51" t="s">
        <v>256</v>
      </c>
    </row>
    <row r="159" customFormat="false" ht="12.8" hidden="false" customHeight="false" outlineLevel="0" collapsed="false">
      <c r="A159" s="39" t="s">
        <v>1110</v>
      </c>
      <c r="B159" s="39" t="s">
        <v>837</v>
      </c>
      <c r="C159" s="39" t="n">
        <v>0.04</v>
      </c>
      <c r="D159" s="39" t="s">
        <v>838</v>
      </c>
      <c r="E159" s="39" t="s">
        <v>260</v>
      </c>
      <c r="F159" s="39" t="s">
        <v>826</v>
      </c>
      <c r="G159" s="51" t="s">
        <v>256</v>
      </c>
    </row>
    <row r="160" customFormat="false" ht="12.8" hidden="false" customHeight="false" outlineLevel="0" collapsed="false">
      <c r="A160" s="39" t="s">
        <v>1111</v>
      </c>
      <c r="B160" s="39" t="s">
        <v>840</v>
      </c>
      <c r="C160" s="39" t="n">
        <v>0.034</v>
      </c>
      <c r="D160" s="39" t="s">
        <v>841</v>
      </c>
      <c r="E160" s="39" t="s">
        <v>260</v>
      </c>
      <c r="F160" s="39" t="s">
        <v>822</v>
      </c>
      <c r="G160" s="51" t="s">
        <v>256</v>
      </c>
    </row>
    <row r="161" customFormat="false" ht="12.8" hidden="false" customHeight="false" outlineLevel="0" collapsed="false">
      <c r="A161" s="39" t="s">
        <v>1112</v>
      </c>
      <c r="B161" s="39" t="s">
        <v>843</v>
      </c>
      <c r="C161" s="39" t="n">
        <v>0.102</v>
      </c>
      <c r="D161" s="39" t="s">
        <v>844</v>
      </c>
      <c r="E161" s="39" t="s">
        <v>260</v>
      </c>
      <c r="F161" s="39" t="s">
        <v>826</v>
      </c>
      <c r="G161" s="51" t="s">
        <v>256</v>
      </c>
    </row>
    <row r="162" customFormat="false" ht="12.8" hidden="false" customHeight="false" outlineLevel="0" collapsed="false">
      <c r="A162" s="39" t="s">
        <v>1113</v>
      </c>
      <c r="B162" s="39" t="s">
        <v>846</v>
      </c>
      <c r="C162" s="39" t="n">
        <v>0.021</v>
      </c>
      <c r="D162" s="39" t="s">
        <v>847</v>
      </c>
      <c r="E162" s="39" t="s">
        <v>260</v>
      </c>
      <c r="F162" s="39" t="s">
        <v>822</v>
      </c>
      <c r="G162" s="51" t="s">
        <v>256</v>
      </c>
    </row>
    <row r="163" customFormat="false" ht="12.8" hidden="false" customHeight="false" outlineLevel="0" collapsed="false">
      <c r="A163" s="39" t="s">
        <v>1114</v>
      </c>
      <c r="B163" s="39" t="s">
        <v>849</v>
      </c>
      <c r="C163" s="39" t="n">
        <v>0.039</v>
      </c>
      <c r="D163" s="39" t="s">
        <v>850</v>
      </c>
      <c r="E163" s="39" t="s">
        <v>260</v>
      </c>
      <c r="F163" s="39" t="s">
        <v>826</v>
      </c>
      <c r="G163" s="51" t="s">
        <v>256</v>
      </c>
    </row>
    <row r="164" customFormat="false" ht="12.8" hidden="false" customHeight="false" outlineLevel="0" collapsed="false">
      <c r="A164" s="39" t="s">
        <v>1115</v>
      </c>
      <c r="B164" s="39" t="s">
        <v>852</v>
      </c>
      <c r="C164" s="39" t="n">
        <v>0.021</v>
      </c>
      <c r="D164" s="39" t="s">
        <v>853</v>
      </c>
      <c r="E164" s="39" t="s">
        <v>260</v>
      </c>
      <c r="F164" s="39" t="s">
        <v>822</v>
      </c>
      <c r="G164" s="51" t="s">
        <v>256</v>
      </c>
    </row>
    <row r="165" customFormat="false" ht="12.8" hidden="false" customHeight="false" outlineLevel="0" collapsed="false">
      <c r="A165" s="39" t="s">
        <v>1116</v>
      </c>
      <c r="B165" s="39" t="s">
        <v>855</v>
      </c>
      <c r="C165" s="39" t="n">
        <v>0.014</v>
      </c>
      <c r="D165" s="39" t="s">
        <v>856</v>
      </c>
      <c r="E165" s="39" t="s">
        <v>260</v>
      </c>
      <c r="F165" s="39" t="s">
        <v>826</v>
      </c>
      <c r="G165" s="51" t="s">
        <v>256</v>
      </c>
    </row>
    <row r="166" customFormat="false" ht="12.8" hidden="false" customHeight="false" outlineLevel="0" collapsed="false">
      <c r="A166" s="39" t="s">
        <v>1117</v>
      </c>
      <c r="B166" s="39" t="s">
        <v>858</v>
      </c>
      <c r="C166" s="39" t="n">
        <v>0.028</v>
      </c>
      <c r="D166" s="39" t="s">
        <v>859</v>
      </c>
      <c r="E166" s="39" t="s">
        <v>260</v>
      </c>
      <c r="F166" s="39" t="s">
        <v>822</v>
      </c>
      <c r="G166" s="51" t="s">
        <v>256</v>
      </c>
    </row>
    <row r="167" customFormat="false" ht="12.8" hidden="false" customHeight="false" outlineLevel="0" collapsed="false">
      <c r="A167" s="39" t="s">
        <v>1118</v>
      </c>
      <c r="B167" s="39" t="s">
        <v>861</v>
      </c>
      <c r="C167" s="39" t="n">
        <v>0.014</v>
      </c>
      <c r="D167" s="39" t="s">
        <v>862</v>
      </c>
      <c r="E167" s="39" t="s">
        <v>260</v>
      </c>
      <c r="F167" s="39" t="s">
        <v>826</v>
      </c>
      <c r="G167" s="51" t="s">
        <v>256</v>
      </c>
    </row>
    <row r="168" customFormat="false" ht="12.8" hidden="false" customHeight="false" outlineLevel="0" collapsed="false">
      <c r="A168" s="39" t="s">
        <v>1119</v>
      </c>
      <c r="B168" s="39" t="s">
        <v>864</v>
      </c>
      <c r="C168" s="39" t="n">
        <v>0.021</v>
      </c>
      <c r="D168" s="39" t="s">
        <v>865</v>
      </c>
      <c r="E168" s="39" t="s">
        <v>260</v>
      </c>
      <c r="F168" s="39" t="s">
        <v>822</v>
      </c>
      <c r="G168" s="51" t="s">
        <v>256</v>
      </c>
    </row>
    <row r="169" customFormat="false" ht="12.8" hidden="false" customHeight="false" outlineLevel="0" collapsed="false">
      <c r="A169" s="39" t="s">
        <v>1120</v>
      </c>
      <c r="B169" s="39" t="s">
        <v>867</v>
      </c>
      <c r="C169" s="39" t="n">
        <v>0.026</v>
      </c>
      <c r="D169" s="39" t="s">
        <v>868</v>
      </c>
      <c r="E169" s="39" t="s">
        <v>260</v>
      </c>
      <c r="F169" s="39" t="s">
        <v>826</v>
      </c>
      <c r="G169" s="51" t="s">
        <v>256</v>
      </c>
    </row>
    <row r="170" customFormat="false" ht="12.8" hidden="false" customHeight="false" outlineLevel="0" collapsed="false">
      <c r="A170" s="39" t="s">
        <v>1121</v>
      </c>
      <c r="B170" s="39" t="s">
        <v>870</v>
      </c>
      <c r="C170" s="39" t="n">
        <v>0.068</v>
      </c>
      <c r="D170" s="39" t="s">
        <v>871</v>
      </c>
      <c r="E170" s="39" t="s">
        <v>260</v>
      </c>
      <c r="F170" s="39" t="s">
        <v>822</v>
      </c>
      <c r="G170" s="51" t="s">
        <v>256</v>
      </c>
    </row>
    <row r="171" customFormat="false" ht="12.8" hidden="false" customHeight="false" outlineLevel="0" collapsed="false">
      <c r="A171" s="39" t="s">
        <v>1122</v>
      </c>
      <c r="B171" s="39" t="s">
        <v>873</v>
      </c>
      <c r="C171" s="39" t="n">
        <v>0.026</v>
      </c>
      <c r="D171" s="39" t="s">
        <v>874</v>
      </c>
      <c r="E171" s="39" t="s">
        <v>260</v>
      </c>
      <c r="F171" s="39" t="s">
        <v>826</v>
      </c>
      <c r="G171" s="51" t="s">
        <v>256</v>
      </c>
    </row>
    <row r="172" customFormat="false" ht="12.8" hidden="false" customHeight="false" outlineLevel="0" collapsed="false">
      <c r="A172" s="39" t="s">
        <v>1123</v>
      </c>
      <c r="B172" s="39" t="s">
        <v>876</v>
      </c>
      <c r="C172" s="39" t="n">
        <v>0.014</v>
      </c>
      <c r="D172" s="39" t="s">
        <v>877</v>
      </c>
      <c r="E172" s="39" t="s">
        <v>260</v>
      </c>
      <c r="F172" s="39" t="s">
        <v>822</v>
      </c>
      <c r="G172" s="51" t="s">
        <v>256</v>
      </c>
    </row>
    <row r="173" customFormat="false" ht="12.8" hidden="false" customHeight="false" outlineLevel="0" collapsed="false">
      <c r="A173" s="39" t="s">
        <v>1124</v>
      </c>
      <c r="B173" s="39" t="s">
        <v>879</v>
      </c>
      <c r="C173" s="39" t="n">
        <v>0.077</v>
      </c>
      <c r="D173" s="39" t="s">
        <v>880</v>
      </c>
      <c r="E173" s="39" t="s">
        <v>260</v>
      </c>
      <c r="F173" s="39" t="s">
        <v>826</v>
      </c>
      <c r="G173" s="51" t="s">
        <v>256</v>
      </c>
    </row>
    <row r="174" customFormat="false" ht="12.8" hidden="false" customHeight="false" outlineLevel="0" collapsed="false">
      <c r="A174" s="39" t="s">
        <v>1125</v>
      </c>
      <c r="B174" s="39" t="s">
        <v>882</v>
      </c>
      <c r="C174" s="39" t="n">
        <v>0.008</v>
      </c>
      <c r="D174" s="39" t="s">
        <v>883</v>
      </c>
      <c r="E174" s="39" t="s">
        <v>260</v>
      </c>
      <c r="F174" s="39" t="s">
        <v>822</v>
      </c>
      <c r="G174" s="51" t="s">
        <v>256</v>
      </c>
    </row>
    <row r="175" customFormat="false" ht="12.8" hidden="false" customHeight="false" outlineLevel="0" collapsed="false">
      <c r="A175" s="39" t="s">
        <v>1126</v>
      </c>
      <c r="B175" s="39" t="s">
        <v>885</v>
      </c>
      <c r="C175" s="39" t="n">
        <v>0.039</v>
      </c>
      <c r="D175" s="39" t="s">
        <v>886</v>
      </c>
      <c r="E175" s="39" t="s">
        <v>260</v>
      </c>
      <c r="F175" s="39" t="s">
        <v>826</v>
      </c>
      <c r="G175" s="51" t="s">
        <v>256</v>
      </c>
    </row>
    <row r="176" customFormat="false" ht="12.8" hidden="false" customHeight="false" outlineLevel="0" collapsed="false">
      <c r="A176" s="39" t="s">
        <v>1127</v>
      </c>
      <c r="B176" s="39" t="s">
        <v>888</v>
      </c>
      <c r="C176" s="39" t="n">
        <v>0.008</v>
      </c>
      <c r="D176" s="39" t="s">
        <v>889</v>
      </c>
      <c r="E176" s="39" t="s">
        <v>260</v>
      </c>
      <c r="F176" s="39" t="s">
        <v>822</v>
      </c>
      <c r="G176" s="51" t="s">
        <v>256</v>
      </c>
    </row>
    <row r="177" customFormat="false" ht="12.8" hidden="false" customHeight="false" outlineLevel="0" collapsed="false">
      <c r="A177" s="39" t="s">
        <v>1128</v>
      </c>
      <c r="B177" s="39" t="s">
        <v>891</v>
      </c>
      <c r="C177" s="39" t="n">
        <v>0.007</v>
      </c>
      <c r="D177" s="39" t="s">
        <v>892</v>
      </c>
      <c r="E177" s="39" t="s">
        <v>260</v>
      </c>
      <c r="F177" s="39" t="s">
        <v>826</v>
      </c>
      <c r="G177" s="51" t="s">
        <v>256</v>
      </c>
    </row>
    <row r="178" customFormat="false" ht="12.8" hidden="false" customHeight="false" outlineLevel="0" collapsed="false">
      <c r="A178" s="39" t="s">
        <v>1129</v>
      </c>
      <c r="B178" s="39" t="s">
        <v>1130</v>
      </c>
      <c r="C178" s="39" t="n">
        <v>0.025</v>
      </c>
      <c r="D178" s="39" t="s">
        <v>1131</v>
      </c>
      <c r="E178" s="39" t="s">
        <v>325</v>
      </c>
      <c r="F178" s="39" t="s">
        <v>896</v>
      </c>
      <c r="G178" s="51" t="s">
        <v>256</v>
      </c>
    </row>
    <row r="179" customFormat="false" ht="12.8" hidden="false" customHeight="false" outlineLevel="0" collapsed="false">
      <c r="A179" s="39" t="s">
        <v>1132</v>
      </c>
      <c r="B179" s="39" t="s">
        <v>1133</v>
      </c>
      <c r="C179" s="39" t="n">
        <v>0.02</v>
      </c>
      <c r="D179" s="39" t="s">
        <v>1134</v>
      </c>
      <c r="E179" s="39" t="s">
        <v>260</v>
      </c>
      <c r="F179" s="39" t="s">
        <v>896</v>
      </c>
      <c r="G179" s="51" t="s">
        <v>256</v>
      </c>
    </row>
    <row r="180" customFormat="false" ht="12.8" hidden="false" customHeight="false" outlineLevel="0" collapsed="false">
      <c r="A180" s="39" t="s">
        <v>1135</v>
      </c>
      <c r="B180" s="39" t="s">
        <v>1136</v>
      </c>
      <c r="C180" s="39" t="n">
        <v>0.015</v>
      </c>
      <c r="D180" s="39" t="s">
        <v>1137</v>
      </c>
      <c r="E180" s="39" t="s">
        <v>254</v>
      </c>
      <c r="F180" s="39" t="s">
        <v>896</v>
      </c>
      <c r="G180" s="51" t="s">
        <v>256</v>
      </c>
    </row>
    <row r="181" customFormat="false" ht="12.8" hidden="false" customHeight="false" outlineLevel="0" collapsed="false">
      <c r="A181" s="39" t="s">
        <v>1138</v>
      </c>
      <c r="B181" s="39" t="s">
        <v>1139</v>
      </c>
      <c r="C181" s="39" t="n">
        <v>0.03</v>
      </c>
      <c r="D181" s="39" t="s">
        <v>1140</v>
      </c>
      <c r="E181" s="39" t="s">
        <v>254</v>
      </c>
      <c r="F181" s="39" t="s">
        <v>896</v>
      </c>
      <c r="G181" s="51" t="s">
        <v>256</v>
      </c>
    </row>
    <row r="182" customFormat="false" ht="12.8" hidden="false" customHeight="false" outlineLevel="0" collapsed="false">
      <c r="A182" s="39" t="s">
        <v>1141</v>
      </c>
      <c r="B182" s="39" t="s">
        <v>1142</v>
      </c>
      <c r="C182" s="39" t="n">
        <v>0.018</v>
      </c>
      <c r="D182" s="39" t="s">
        <v>1143</v>
      </c>
      <c r="E182" s="39" t="s">
        <v>260</v>
      </c>
      <c r="F182" s="39" t="s">
        <v>896</v>
      </c>
      <c r="G182" s="51" t="s">
        <v>256</v>
      </c>
    </row>
    <row r="183" customFormat="false" ht="12.8" hidden="false" customHeight="false" outlineLevel="0" collapsed="false">
      <c r="A183" s="39" t="s">
        <v>1144</v>
      </c>
      <c r="B183" s="39" t="s">
        <v>1145</v>
      </c>
      <c r="C183" s="39" t="n">
        <v>0.02</v>
      </c>
      <c r="D183" s="39" t="s">
        <v>1146</v>
      </c>
      <c r="E183" s="39" t="s">
        <v>260</v>
      </c>
      <c r="F183" s="39" t="s">
        <v>896</v>
      </c>
      <c r="G183" s="51" t="s">
        <v>256</v>
      </c>
    </row>
    <row r="184" customFormat="false" ht="12.8" hidden="false" customHeight="false" outlineLevel="0" collapsed="false">
      <c r="A184" s="39" t="s">
        <v>1147</v>
      </c>
      <c r="B184" s="39" t="s">
        <v>1148</v>
      </c>
      <c r="C184" s="39" t="n">
        <v>0.016</v>
      </c>
      <c r="D184" s="39" t="s">
        <v>1149</v>
      </c>
      <c r="E184" s="39" t="s">
        <v>254</v>
      </c>
      <c r="F184" s="39" t="s">
        <v>896</v>
      </c>
      <c r="G184" s="51" t="s">
        <v>256</v>
      </c>
    </row>
    <row r="185" customFormat="false" ht="12.8" hidden="false" customHeight="false" outlineLevel="0" collapsed="false">
      <c r="A185" s="39" t="s">
        <v>1150</v>
      </c>
      <c r="B185" s="39" t="s">
        <v>1151</v>
      </c>
      <c r="C185" s="39" t="n">
        <v>0.015</v>
      </c>
      <c r="D185" s="39" t="s">
        <v>1152</v>
      </c>
      <c r="E185" s="39" t="s">
        <v>254</v>
      </c>
      <c r="F185" s="39" t="s">
        <v>896</v>
      </c>
      <c r="G185" s="51" t="s">
        <v>256</v>
      </c>
    </row>
    <row r="186" customFormat="false" ht="12.8" hidden="false" customHeight="false" outlineLevel="0" collapsed="false">
      <c r="A186" s="39" t="s">
        <v>1153</v>
      </c>
      <c r="B186" s="39" t="s">
        <v>1154</v>
      </c>
      <c r="C186" s="39" t="n">
        <v>0.024</v>
      </c>
      <c r="D186" s="39" t="s">
        <v>1155</v>
      </c>
      <c r="E186" s="39" t="s">
        <v>260</v>
      </c>
      <c r="F186" s="39" t="s">
        <v>896</v>
      </c>
      <c r="G186" s="51" t="s">
        <v>256</v>
      </c>
    </row>
    <row r="187" customFormat="false" ht="12.8" hidden="false" customHeight="false" outlineLevel="0" collapsed="false">
      <c r="A187" s="39" t="s">
        <v>1156</v>
      </c>
      <c r="B187" s="39" t="s">
        <v>1157</v>
      </c>
      <c r="C187" s="39" t="n">
        <v>0.027</v>
      </c>
      <c r="D187" s="39" t="s">
        <v>1158</v>
      </c>
      <c r="E187" s="39" t="s">
        <v>260</v>
      </c>
      <c r="F187" s="39" t="s">
        <v>896</v>
      </c>
      <c r="G187" s="51" t="s">
        <v>256</v>
      </c>
    </row>
    <row r="188" customFormat="false" ht="12.8" hidden="false" customHeight="false" outlineLevel="0" collapsed="false">
      <c r="A188" s="39" t="s">
        <v>1159</v>
      </c>
      <c r="B188" s="39" t="s">
        <v>1160</v>
      </c>
      <c r="C188" s="39" t="n">
        <v>0.022</v>
      </c>
      <c r="D188" s="39" t="s">
        <v>1161</v>
      </c>
      <c r="E188" s="39" t="s">
        <v>260</v>
      </c>
      <c r="F188" s="39" t="s">
        <v>896</v>
      </c>
      <c r="G188" s="51" t="s">
        <v>256</v>
      </c>
    </row>
    <row r="189" customFormat="false" ht="12.8" hidden="false" customHeight="false" outlineLevel="0" collapsed="false">
      <c r="A189" s="39" t="s">
        <v>1162</v>
      </c>
      <c r="B189" s="39" t="s">
        <v>1163</v>
      </c>
      <c r="C189" s="39" t="n">
        <v>0.028</v>
      </c>
      <c r="D189" s="39" t="s">
        <v>1164</v>
      </c>
      <c r="E189" s="39" t="s">
        <v>260</v>
      </c>
      <c r="F189" s="39" t="s">
        <v>896</v>
      </c>
      <c r="G189" s="51" t="s">
        <v>256</v>
      </c>
    </row>
    <row r="190" customFormat="false" ht="12.8" hidden="false" customHeight="false" outlineLevel="0" collapsed="false">
      <c r="A190" s="39" t="s">
        <v>1165</v>
      </c>
      <c r="B190" s="39" t="s">
        <v>1166</v>
      </c>
      <c r="C190" s="39" t="n">
        <v>0.018</v>
      </c>
      <c r="D190" s="39" t="s">
        <v>1167</v>
      </c>
      <c r="E190" s="39" t="s">
        <v>325</v>
      </c>
      <c r="F190" s="39" t="s">
        <v>896</v>
      </c>
      <c r="G190" s="51" t="s">
        <v>256</v>
      </c>
    </row>
    <row r="191" customFormat="false" ht="12.8" hidden="false" customHeight="false" outlineLevel="0" collapsed="false">
      <c r="A191" s="39" t="s">
        <v>1168</v>
      </c>
      <c r="B191" s="39" t="s">
        <v>1169</v>
      </c>
      <c r="C191" s="39" t="n">
        <v>0.013</v>
      </c>
      <c r="D191" s="39" t="s">
        <v>1170</v>
      </c>
      <c r="E191" s="39" t="s">
        <v>254</v>
      </c>
      <c r="F191" s="39" t="s">
        <v>896</v>
      </c>
      <c r="G191" s="51" t="s">
        <v>256</v>
      </c>
    </row>
    <row r="192" customFormat="false" ht="12.8" hidden="false" customHeight="false" outlineLevel="0" collapsed="false">
      <c r="A192" s="39" t="s">
        <v>1171</v>
      </c>
      <c r="B192" s="39" t="s">
        <v>1172</v>
      </c>
      <c r="C192" s="39" t="n">
        <v>0.02</v>
      </c>
      <c r="D192" s="39" t="s">
        <v>1173</v>
      </c>
      <c r="E192" s="39" t="s">
        <v>260</v>
      </c>
      <c r="F192" s="39" t="s">
        <v>896</v>
      </c>
      <c r="G192" s="51" t="s">
        <v>256</v>
      </c>
    </row>
    <row r="193" customFormat="false" ht="12.8" hidden="false" customHeight="false" outlineLevel="0" collapsed="false">
      <c r="A193" s="39" t="s">
        <v>1174</v>
      </c>
      <c r="B193" s="39" t="s">
        <v>1175</v>
      </c>
      <c r="C193" s="39" t="n">
        <v>0.021</v>
      </c>
      <c r="D193" s="39" t="s">
        <v>1176</v>
      </c>
      <c r="E193" s="39" t="s">
        <v>260</v>
      </c>
      <c r="F193" s="39" t="s">
        <v>896</v>
      </c>
      <c r="G193" s="51" t="s">
        <v>256</v>
      </c>
    </row>
    <row r="194" customFormat="false" ht="12.8" hidden="false" customHeight="false" outlineLevel="0" collapsed="false">
      <c r="A194" s="39" t="s">
        <v>1177</v>
      </c>
      <c r="B194" s="39" t="s">
        <v>1178</v>
      </c>
      <c r="C194" s="39" t="n">
        <v>0.025</v>
      </c>
      <c r="D194" s="39" t="s">
        <v>1179</v>
      </c>
      <c r="E194" s="39" t="s">
        <v>260</v>
      </c>
      <c r="F194" s="39" t="s">
        <v>896</v>
      </c>
      <c r="G194" s="51" t="s">
        <v>256</v>
      </c>
    </row>
    <row r="195" customFormat="false" ht="12.8" hidden="false" customHeight="false" outlineLevel="0" collapsed="false">
      <c r="A195" s="39" t="s">
        <v>1180</v>
      </c>
      <c r="B195" s="39" t="s">
        <v>1181</v>
      </c>
      <c r="C195" s="39" t="n">
        <v>0.014</v>
      </c>
      <c r="D195" s="39" t="s">
        <v>1182</v>
      </c>
      <c r="E195" s="39" t="s">
        <v>254</v>
      </c>
      <c r="F195" s="39" t="s">
        <v>896</v>
      </c>
      <c r="G195" s="51" t="s">
        <v>256</v>
      </c>
    </row>
    <row r="196" customFormat="false" ht="12.8" hidden="false" customHeight="false" outlineLevel="0" collapsed="false">
      <c r="A196" s="39" t="s">
        <v>1183</v>
      </c>
      <c r="B196" s="39" t="s">
        <v>1184</v>
      </c>
      <c r="C196" s="39" t="n">
        <v>0.013</v>
      </c>
      <c r="D196" s="39" t="s">
        <v>1185</v>
      </c>
      <c r="E196" s="39" t="s">
        <v>254</v>
      </c>
      <c r="F196" s="39" t="s">
        <v>896</v>
      </c>
      <c r="G196" s="51" t="s">
        <v>256</v>
      </c>
    </row>
    <row r="197" customFormat="false" ht="12.8" hidden="false" customHeight="false" outlineLevel="0" collapsed="false">
      <c r="A197" s="39" t="s">
        <v>1186</v>
      </c>
      <c r="B197" s="39" t="s">
        <v>1187</v>
      </c>
      <c r="C197" s="39" t="n">
        <v>0.029</v>
      </c>
      <c r="D197" s="39" t="s">
        <v>1188</v>
      </c>
      <c r="E197" s="39" t="s">
        <v>325</v>
      </c>
      <c r="F197" s="39" t="s">
        <v>896</v>
      </c>
      <c r="G197" s="51" t="s">
        <v>256</v>
      </c>
    </row>
    <row r="198" customFormat="false" ht="12.8" hidden="false" customHeight="false" outlineLevel="0" collapsed="false">
      <c r="A198" s="39" t="s">
        <v>1189</v>
      </c>
      <c r="B198" s="39" t="s">
        <v>1190</v>
      </c>
      <c r="C198" s="39" t="n">
        <v>0.032</v>
      </c>
      <c r="D198" s="39" t="s">
        <v>1191</v>
      </c>
      <c r="E198" s="39" t="s">
        <v>325</v>
      </c>
      <c r="F198" s="39" t="s">
        <v>896</v>
      </c>
      <c r="G198" s="51" t="s">
        <v>256</v>
      </c>
    </row>
    <row r="199" customFormat="false" ht="12.8" hidden="false" customHeight="false" outlineLevel="0" collapsed="false">
      <c r="A199" s="39" t="s">
        <v>1192</v>
      </c>
      <c r="B199" s="39" t="s">
        <v>1193</v>
      </c>
      <c r="C199" s="39" t="n">
        <v>0.026</v>
      </c>
      <c r="D199" s="39" t="s">
        <v>1194</v>
      </c>
      <c r="E199" s="39" t="s">
        <v>325</v>
      </c>
      <c r="F199" s="39" t="s">
        <v>896</v>
      </c>
      <c r="G199" s="51" t="s">
        <v>256</v>
      </c>
    </row>
    <row r="200" customFormat="false" ht="12.8" hidden="false" customHeight="false" outlineLevel="0" collapsed="false">
      <c r="A200" s="39" t="s">
        <v>1195</v>
      </c>
      <c r="B200" s="39" t="s">
        <v>1196</v>
      </c>
      <c r="C200" s="39" t="n">
        <v>0.01</v>
      </c>
      <c r="D200" s="39" t="s">
        <v>1197</v>
      </c>
      <c r="E200" s="39" t="s">
        <v>254</v>
      </c>
      <c r="F200" s="39" t="s">
        <v>896</v>
      </c>
      <c r="G200" s="51" t="s">
        <v>256</v>
      </c>
    </row>
    <row r="202" customFormat="false" ht="12.8" hidden="false" customHeight="false" outlineLevel="0" collapsed="false">
      <c r="A202" s="60" t="str">
        <f aca="false">_xlfn.CONCAT($A$1, ".", "VALID")</f>
        <v>LSD.RID.0.AL.ETPR.VALID</v>
      </c>
      <c r="B202" s="61" t="str">
        <f aca="false">_xlfn.CONCAT($B$1, " ", "Validation")</f>
        <v>Alabama Employment-to-Population Ratio (ETPR) Validation</v>
      </c>
    </row>
    <row r="203" customFormat="false" ht="12.8" hidden="false" customHeight="false" outlineLevel="0" collapsed="false">
      <c r="A203" s="49" t="s">
        <v>113</v>
      </c>
      <c r="B203" s="49" t="s">
        <v>963</v>
      </c>
      <c r="C203" s="49" t="s">
        <v>964</v>
      </c>
      <c r="D203" s="49" t="s">
        <v>965</v>
      </c>
      <c r="E203" s="49" t="s">
        <v>249</v>
      </c>
      <c r="F203" s="49" t="s">
        <v>966</v>
      </c>
      <c r="G203" s="49" t="s">
        <v>967</v>
      </c>
      <c r="H203" s="49" t="s">
        <v>967</v>
      </c>
    </row>
    <row r="204" customFormat="false" ht="12.8" hidden="false" customHeight="false" outlineLevel="0" collapsed="false">
      <c r="A204" s="39" t="s">
        <v>1198</v>
      </c>
      <c r="B204" s="39" t="s">
        <v>1199</v>
      </c>
      <c r="C204" s="39" t="n">
        <v>0.562</v>
      </c>
      <c r="D204" s="39" t="s">
        <v>1200</v>
      </c>
      <c r="E204" s="39" t="s">
        <v>1201</v>
      </c>
      <c r="F204" s="39" t="s">
        <v>254</v>
      </c>
      <c r="G204" s="39" t="s">
        <v>1202</v>
      </c>
    </row>
    <row r="205" customFormat="false" ht="12.8" hidden="false" customHeight="false" outlineLevel="0" collapsed="false">
      <c r="A205" s="39" t="s">
        <v>1203</v>
      </c>
      <c r="B205" s="39" t="s">
        <v>1204</v>
      </c>
      <c r="C205" s="39" t="n">
        <v>0.369</v>
      </c>
      <c r="D205" s="39" t="s">
        <v>1205</v>
      </c>
      <c r="E205" s="39" t="s">
        <v>1206</v>
      </c>
      <c r="F205" s="39" t="s">
        <v>260</v>
      </c>
      <c r="G205" s="39" t="s">
        <v>1207</v>
      </c>
    </row>
    <row r="206" customFormat="false" ht="12.8" hidden="false" customHeight="false" outlineLevel="0" collapsed="false">
      <c r="A206" s="39" t="s">
        <v>1208</v>
      </c>
      <c r="B206" s="39" t="s">
        <v>1209</v>
      </c>
      <c r="C206" s="39" t="s">
        <v>1210</v>
      </c>
      <c r="D206" s="39" t="s">
        <v>1211</v>
      </c>
      <c r="E206" s="39" t="s">
        <v>1212</v>
      </c>
      <c r="F206" s="39" t="s">
        <v>254</v>
      </c>
      <c r="G206" s="39" t="s">
        <v>1213</v>
      </c>
    </row>
    <row r="207" customFormat="false" ht="12.8" hidden="false" customHeight="false" outlineLevel="0" collapsed="false">
      <c r="A207" s="39" t="s">
        <v>1214</v>
      </c>
      <c r="B207" s="39" t="s">
        <v>1215</v>
      </c>
      <c r="C207" s="39" t="n">
        <v>0.582</v>
      </c>
      <c r="D207" s="39" t="s">
        <v>1216</v>
      </c>
      <c r="E207" s="39" t="s">
        <v>1217</v>
      </c>
      <c r="F207" s="39" t="s">
        <v>254</v>
      </c>
      <c r="G207" s="39" t="s">
        <v>1218</v>
      </c>
    </row>
    <row r="208" customFormat="false" ht="12.8" hidden="false" customHeight="false" outlineLevel="0" collapsed="false">
      <c r="A208" s="39" t="s">
        <v>1219</v>
      </c>
      <c r="B208" s="39" t="s">
        <v>1220</v>
      </c>
      <c r="C208" s="39" t="s">
        <v>1221</v>
      </c>
      <c r="D208" s="39" t="s">
        <v>1222</v>
      </c>
      <c r="E208" s="39" t="s">
        <v>1223</v>
      </c>
      <c r="F208" s="39" t="s">
        <v>254</v>
      </c>
      <c r="G208" s="39" t="s">
        <v>1224</v>
      </c>
    </row>
    <row r="209" customFormat="false" ht="12.8" hidden="false" customHeight="false" outlineLevel="0" collapsed="false">
      <c r="A209" s="39" t="s">
        <v>1225</v>
      </c>
      <c r="B209" s="39" t="s">
        <v>1226</v>
      </c>
      <c r="C209" s="39" t="s">
        <v>1227</v>
      </c>
      <c r="D209" s="39" t="s">
        <v>1228</v>
      </c>
      <c r="E209" s="39" t="s">
        <v>1229</v>
      </c>
      <c r="F209" s="39" t="s">
        <v>254</v>
      </c>
      <c r="G209" s="39" t="s">
        <v>1230</v>
      </c>
    </row>
    <row r="210" customFormat="false" ht="12.8" hidden="false" customHeight="false" outlineLevel="0" collapsed="false">
      <c r="A210" s="39" t="s">
        <v>1231</v>
      </c>
      <c r="B210" s="39" t="s">
        <v>1232</v>
      </c>
      <c r="C210" s="39" t="s">
        <v>1233</v>
      </c>
      <c r="D210" s="39" t="s">
        <v>1234</v>
      </c>
      <c r="E210" s="39" t="s">
        <v>1235</v>
      </c>
      <c r="F210" s="39" t="s">
        <v>254</v>
      </c>
      <c r="G210" s="39" t="s">
        <v>1236</v>
      </c>
    </row>
    <row r="211" customFormat="false" ht="12.8" hidden="false" customHeight="false" outlineLevel="0" collapsed="false">
      <c r="A211" s="39" t="s">
        <v>1237</v>
      </c>
      <c r="B211" s="39" t="s">
        <v>1238</v>
      </c>
      <c r="C211" s="39" t="s">
        <v>1239</v>
      </c>
      <c r="D211" s="39" t="n">
        <v>0.562</v>
      </c>
      <c r="E211" s="39" t="s">
        <v>1240</v>
      </c>
      <c r="F211" s="39" t="s">
        <v>254</v>
      </c>
      <c r="G211" s="39" t="s">
        <v>1241</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O21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1" sqref="D3:E3 C3"/>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7.68"/>
    <col collapsed="false" customWidth="true" hidden="false" outlineLevel="0" max="3" min="3" style="39" width="21.47"/>
    <col collapsed="false" customWidth="true" hidden="false" outlineLevel="0" max="7" min="4" style="39" width="16.84"/>
    <col collapsed="false" customWidth="true" hidden="false" outlineLevel="0" max="8" min="8" style="39" width="14.53"/>
    <col collapsed="false" customWidth="true" hidden="false" outlineLevel="0" max="34" min="9" style="39" width="16.84"/>
    <col collapsed="false" customWidth="true" hidden="false" outlineLevel="0" max="48" min="35" style="39" width="17.78"/>
    <col collapsed="false" customWidth="true" hidden="false" outlineLevel="0" max="51" min="49" style="39" width="15.48"/>
    <col collapsed="false" customWidth="false" hidden="false" outlineLevel="0" max="55" min="52" style="3" width="11.53"/>
    <col collapsed="false" customWidth="true" hidden="false" outlineLevel="0" max="56" min="56" style="39" width="18.45"/>
    <col collapsed="false" customWidth="true" hidden="false" outlineLevel="0" max="59" min="57" style="39" width="16.14"/>
    <col collapsed="false" customWidth="true" hidden="false" outlineLevel="0" max="67" min="60" style="39" width="13.84"/>
    <col collapsed="false" customWidth="false" hidden="false" outlineLevel="0" max="16384" min="68" style="3" width="11.53"/>
  </cols>
  <sheetData>
    <row r="1" customFormat="false" ht="12.9" hidden="false" customHeight="false" outlineLevel="0" collapsed="false">
      <c r="A1" s="11" t="s">
        <v>1242</v>
      </c>
      <c r="B1" s="42" t="s">
        <v>1243</v>
      </c>
      <c r="C1" s="6" t="s">
        <v>2</v>
      </c>
      <c r="D1" s="42" t="s">
        <v>1244</v>
      </c>
      <c r="E1" s="62" t="s">
        <v>1245</v>
      </c>
      <c r="AZ1" s="39"/>
      <c r="BA1" s="39"/>
      <c r="BB1" s="39"/>
      <c r="BC1" s="39"/>
    </row>
    <row r="2" customFormat="false" ht="12.8" hidden="false" customHeight="false" outlineLevel="0" collapsed="false">
      <c r="A2" s="60" t="str">
        <f aca="false">_xlfn.CONCAT($A$1, ".", "CALC")</f>
        <v>LSD.RID.0.AL.LFPR.CALC</v>
      </c>
      <c r="B2" s="61" t="str">
        <f aca="false">_xlfn.CONCAT($B$1, " ", "Calculations")</f>
        <v>Alabama Labor Force Participation Rate (LFPR) Calculations</v>
      </c>
      <c r="C2" s="3"/>
      <c r="D2" s="3"/>
      <c r="E2" s="3"/>
      <c r="F2" s="3"/>
    </row>
    <row r="3" customFormat="false" ht="46.25" hidden="false" customHeight="false" outlineLevel="0" collapsed="false">
      <c r="A3" s="40" t="s">
        <v>1246</v>
      </c>
      <c r="B3" s="42" t="str">
        <f aca="false">CALC!C3</f>
        <v>Labor Sector</v>
      </c>
      <c r="C3" s="66" t="str">
        <f aca="false">CALC!L3</f>
        <v>Overall LFPR</v>
      </c>
      <c r="D3" s="66" t="str">
        <f aca="false">CALC!M3</f>
        <v>Authorized LFPR</v>
      </c>
      <c r="E3" s="66" t="str">
        <f aca="false">CALC!N3</f>
        <v>Unauthorized LFPR</v>
      </c>
      <c r="F3" s="66" t="str">
        <f aca="false">CALC!O3</f>
        <v>American LFPR</v>
      </c>
      <c r="AB3" s="3"/>
      <c r="AC3" s="3"/>
      <c r="AD3" s="3"/>
      <c r="AE3" s="3"/>
      <c r="AR3" s="3"/>
      <c r="AS3" s="3"/>
      <c r="AT3" s="3"/>
      <c r="AU3" s="3"/>
      <c r="AV3" s="3"/>
      <c r="AW3" s="3"/>
      <c r="AX3" s="3"/>
      <c r="AY3" s="3"/>
      <c r="BD3" s="3"/>
      <c r="BE3" s="3"/>
      <c r="BF3" s="3"/>
      <c r="BG3" s="3"/>
      <c r="BH3" s="3"/>
      <c r="BI3" s="3"/>
      <c r="BJ3" s="3"/>
      <c r="BK3" s="3"/>
      <c r="BL3" s="3"/>
      <c r="BM3" s="3"/>
      <c r="BN3" s="3"/>
      <c r="BO3" s="3"/>
    </row>
    <row r="4" customFormat="false" ht="12.8" hidden="false" customHeight="false" outlineLevel="0" collapsed="false">
      <c r="A4" s="60" t="str">
        <f aca="false">_xlfn.CONCAT($A$1, ".", CALC!A4)</f>
        <v>LSD.RID.0.AL.LFPR.0</v>
      </c>
      <c r="B4" s="42" t="str">
        <f aca="false">CALC!C4</f>
        <v>All Industries</v>
      </c>
      <c r="C4" s="39" t="n">
        <v>0.577</v>
      </c>
      <c r="D4" s="39" t="n">
        <v>0.41</v>
      </c>
      <c r="E4" s="39" t="n">
        <v>0.61</v>
      </c>
      <c r="F4" s="39" t="n">
        <v>0.583</v>
      </c>
      <c r="AB4" s="3"/>
      <c r="AC4" s="3"/>
      <c r="AD4" s="3"/>
      <c r="AE4" s="3"/>
      <c r="AR4" s="3"/>
      <c r="AS4" s="3"/>
      <c r="AT4" s="3"/>
      <c r="AU4" s="3"/>
      <c r="AV4" s="3"/>
      <c r="AW4" s="3"/>
      <c r="AX4" s="3"/>
      <c r="AY4" s="3"/>
      <c r="BD4" s="3"/>
      <c r="BE4" s="3"/>
      <c r="BF4" s="3"/>
      <c r="BG4" s="3"/>
      <c r="BH4" s="3"/>
      <c r="BI4" s="3"/>
      <c r="BJ4" s="3"/>
      <c r="BK4" s="3"/>
      <c r="BL4" s="3"/>
      <c r="BM4" s="3"/>
      <c r="BN4" s="3"/>
      <c r="BO4" s="3"/>
    </row>
    <row r="5" customFormat="false" ht="23.85" hidden="false" customHeight="false" outlineLevel="0" collapsed="false">
      <c r="A5" s="60" t="str">
        <f aca="false">_xlfn.CONCAT($A$1, ".", CALC!A5)</f>
        <v>LSD.RID.0.AL.LFPR.1</v>
      </c>
      <c r="B5" s="63" t="str">
        <f aca="false">CALC!C5</f>
        <v>Agriculture, Forestry, 
Fishing and Hunting</v>
      </c>
      <c r="C5" s="39" t="n">
        <v>0.545</v>
      </c>
      <c r="D5" s="39" t="n">
        <v>0.4</v>
      </c>
      <c r="E5" s="39" t="n">
        <v>0.7</v>
      </c>
      <c r="F5" s="39" t="n">
        <v>0.545</v>
      </c>
      <c r="AB5" s="3"/>
      <c r="AC5" s="3"/>
      <c r="AD5" s="3"/>
      <c r="AE5" s="3"/>
      <c r="AR5" s="3"/>
      <c r="AS5" s="3"/>
      <c r="AT5" s="3"/>
      <c r="AU5" s="3"/>
      <c r="AV5" s="3"/>
      <c r="AW5" s="3"/>
      <c r="AX5" s="3"/>
      <c r="AY5" s="3"/>
      <c r="BD5" s="3"/>
      <c r="BE5" s="3"/>
      <c r="BF5" s="3"/>
      <c r="BG5" s="3"/>
      <c r="BH5" s="3"/>
      <c r="BI5" s="3"/>
      <c r="BJ5" s="3"/>
      <c r="BK5" s="3"/>
      <c r="BL5" s="3"/>
      <c r="BM5" s="3"/>
      <c r="BN5" s="3"/>
      <c r="BO5" s="3"/>
    </row>
    <row r="6" customFormat="false" ht="23.85" hidden="false" customHeight="false" outlineLevel="0" collapsed="false">
      <c r="A6" s="60" t="str">
        <f aca="false">_xlfn.CONCAT($A$1, ".", CALC!A6)</f>
        <v>LSD.RID.0.AL.LFPR.2</v>
      </c>
      <c r="B6" s="63" t="str">
        <f aca="false">CALC!C6</f>
        <v>Mining, Quarrying, and
Oil and Gas Extraction</v>
      </c>
      <c r="C6" s="39" t="n">
        <v>0.585</v>
      </c>
      <c r="D6" s="39" t="n">
        <v>0.415</v>
      </c>
      <c r="E6" s="39" t="n">
        <v>0.65</v>
      </c>
      <c r="F6" s="39" t="n">
        <v>0.585</v>
      </c>
      <c r="AB6" s="3"/>
      <c r="AC6" s="3"/>
      <c r="AD6" s="3"/>
      <c r="AE6" s="3"/>
      <c r="AR6" s="3"/>
      <c r="AS6" s="3"/>
      <c r="AT6" s="3"/>
      <c r="AU6" s="3"/>
      <c r="AV6" s="3"/>
      <c r="AW6" s="3"/>
      <c r="AX6" s="3"/>
      <c r="AY6" s="3"/>
      <c r="BD6" s="3"/>
      <c r="BE6" s="3"/>
      <c r="BF6" s="3"/>
      <c r="BG6" s="3"/>
      <c r="BH6" s="3"/>
      <c r="BI6" s="3"/>
      <c r="BJ6" s="3"/>
      <c r="BK6" s="3"/>
      <c r="BL6" s="3"/>
      <c r="BM6" s="3"/>
      <c r="BN6" s="3"/>
      <c r="BO6" s="3"/>
    </row>
    <row r="7" customFormat="false" ht="12.8" hidden="false" customHeight="false" outlineLevel="0" collapsed="false">
      <c r="A7" s="60" t="str">
        <f aca="false">_xlfn.CONCAT($A$1, ".", CALC!A7)</f>
        <v>LSD.RID.0.AL.LFPR.3</v>
      </c>
      <c r="B7" s="42" t="str">
        <f aca="false">CALC!C7</f>
        <v>Utilities</v>
      </c>
      <c r="C7" s="39" t="n">
        <v>0.575</v>
      </c>
      <c r="D7" s="39" t="n">
        <v>0.41</v>
      </c>
      <c r="E7" s="39" t="n">
        <v>0.62</v>
      </c>
      <c r="F7" s="39" t="n">
        <v>0.575</v>
      </c>
      <c r="AB7" s="3"/>
      <c r="AC7" s="3"/>
      <c r="AD7" s="3"/>
      <c r="AE7" s="3"/>
      <c r="AR7" s="3"/>
      <c r="AS7" s="3"/>
      <c r="AT7" s="3"/>
      <c r="AU7" s="3"/>
      <c r="AV7" s="3"/>
      <c r="AW7" s="3"/>
      <c r="AX7" s="3"/>
      <c r="AY7" s="3"/>
      <c r="BD7" s="3"/>
      <c r="BE7" s="3"/>
      <c r="BF7" s="3"/>
      <c r="BG7" s="3"/>
      <c r="BH7" s="3"/>
      <c r="BI7" s="3"/>
      <c r="BJ7" s="3"/>
      <c r="BK7" s="3"/>
      <c r="BL7" s="3"/>
      <c r="BM7" s="3"/>
      <c r="BN7" s="3"/>
      <c r="BO7" s="3"/>
    </row>
    <row r="8" customFormat="false" ht="12.8" hidden="false" customHeight="false" outlineLevel="0" collapsed="false">
      <c r="A8" s="60" t="str">
        <f aca="false">_xlfn.CONCAT($A$1, ".", CALC!A8)</f>
        <v>LSD.RID.0.AL.LFPR.4</v>
      </c>
      <c r="B8" s="42" t="str">
        <f aca="false">CALC!C8</f>
        <v>Construction</v>
      </c>
      <c r="C8" s="39" t="n">
        <v>0.545</v>
      </c>
      <c r="D8" s="39" t="n">
        <v>0.4</v>
      </c>
      <c r="E8" s="39" t="n">
        <v>0.7</v>
      </c>
      <c r="F8" s="39" t="n">
        <v>0.545</v>
      </c>
      <c r="AB8" s="3"/>
      <c r="AC8" s="3"/>
      <c r="AD8" s="3"/>
      <c r="AE8" s="3"/>
      <c r="AR8" s="3"/>
      <c r="AS8" s="3"/>
      <c r="AT8" s="3"/>
      <c r="AU8" s="3"/>
      <c r="AV8" s="3"/>
      <c r="AW8" s="3"/>
      <c r="AX8" s="3"/>
      <c r="AY8" s="3"/>
      <c r="BD8" s="3"/>
      <c r="BE8" s="3"/>
      <c r="BF8" s="3"/>
      <c r="BG8" s="3"/>
      <c r="BH8" s="3"/>
      <c r="BI8" s="3"/>
      <c r="BJ8" s="3"/>
      <c r="BK8" s="3"/>
      <c r="BL8" s="3"/>
      <c r="BM8" s="3"/>
      <c r="BN8" s="3"/>
      <c r="BO8" s="3"/>
    </row>
    <row r="9" customFormat="false" ht="23.85" hidden="false" customHeight="false" outlineLevel="0" collapsed="false">
      <c r="A9" s="60" t="str">
        <f aca="false">_xlfn.CONCAT($A$1, ".", CALC!A9)</f>
        <v>LSD.RID.0.AL.LFPR.5</v>
      </c>
      <c r="B9" s="63" t="str">
        <f aca="false">CALC!C9</f>
        <v>Manufacturing
(Food,Textile, etc.)</v>
      </c>
      <c r="C9" s="39" t="n">
        <v>0.565</v>
      </c>
      <c r="D9" s="39" t="n">
        <v>0.405</v>
      </c>
      <c r="E9" s="39" t="n">
        <v>0.66</v>
      </c>
      <c r="F9" s="39" t="n">
        <v>0.565</v>
      </c>
      <c r="AB9" s="3"/>
      <c r="AC9" s="3"/>
      <c r="AD9" s="3"/>
      <c r="AE9" s="3"/>
      <c r="AR9" s="3"/>
      <c r="AS9" s="3"/>
      <c r="AT9" s="3"/>
      <c r="AU9" s="3"/>
      <c r="AV9" s="3"/>
      <c r="AW9" s="3"/>
      <c r="AX9" s="3"/>
      <c r="AY9" s="3"/>
      <c r="BD9" s="3"/>
      <c r="BE9" s="3"/>
      <c r="BF9" s="3"/>
      <c r="BG9" s="3"/>
      <c r="BH9" s="3"/>
      <c r="BI9" s="3"/>
      <c r="BJ9" s="3"/>
      <c r="BK9" s="3"/>
      <c r="BL9" s="3"/>
      <c r="BM9" s="3"/>
      <c r="BN9" s="3"/>
      <c r="BO9" s="3"/>
    </row>
    <row r="10" customFormat="false" ht="23.85" hidden="false" customHeight="false" outlineLevel="0" collapsed="false">
      <c r="A10" s="60" t="str">
        <f aca="false">_xlfn.CONCAT($A$1, ".", CALC!A10)</f>
        <v>LSD.RID.0.AL.LFPR.6</v>
      </c>
      <c r="B10" s="63" t="str">
        <f aca="false">CALC!C10</f>
        <v>Manufacturing (Wood,
Paper, Printing, etc.)</v>
      </c>
      <c r="C10" s="39" t="n">
        <v>0.565</v>
      </c>
      <c r="D10" s="39" t="n">
        <v>0.405</v>
      </c>
      <c r="E10" s="39" t="n">
        <v>0.66</v>
      </c>
      <c r="F10" s="39" t="n">
        <v>0.565</v>
      </c>
      <c r="AB10" s="3"/>
      <c r="AC10" s="3"/>
      <c r="AD10" s="3"/>
      <c r="AE10" s="3"/>
      <c r="AR10" s="3"/>
      <c r="AS10" s="3"/>
      <c r="AT10" s="3"/>
      <c r="AU10" s="3"/>
      <c r="AV10" s="3"/>
      <c r="AW10" s="3"/>
      <c r="AX10" s="3"/>
      <c r="AY10" s="3"/>
      <c r="BD10" s="3"/>
      <c r="BE10" s="3"/>
      <c r="BF10" s="3"/>
      <c r="BG10" s="3"/>
      <c r="BH10" s="3"/>
      <c r="BI10" s="3"/>
      <c r="BJ10" s="3"/>
      <c r="BK10" s="3"/>
      <c r="BL10" s="3"/>
      <c r="BM10" s="3"/>
      <c r="BN10" s="3"/>
      <c r="BO10" s="3"/>
    </row>
    <row r="11" customFormat="false" ht="23.85" hidden="false" customHeight="false" outlineLevel="0" collapsed="false">
      <c r="A11" s="60" t="str">
        <f aca="false">_xlfn.CONCAT($A$1, ".", CALC!A11)</f>
        <v>LSD.RID.0.AL.LFPR.7</v>
      </c>
      <c r="B11" s="63" t="str">
        <f aca="false">CALC!C11</f>
        <v>Manufacturing
(Machinery, Transport)</v>
      </c>
      <c r="C11" s="39" t="n">
        <v>0.565</v>
      </c>
      <c r="D11" s="39" t="n">
        <v>0.405</v>
      </c>
      <c r="E11" s="39" t="n">
        <v>0.66</v>
      </c>
      <c r="F11" s="39" t="n">
        <v>0.565</v>
      </c>
      <c r="AB11" s="3"/>
      <c r="AC11" s="3"/>
      <c r="AD11" s="3"/>
      <c r="AE11" s="3"/>
      <c r="AR11" s="3"/>
      <c r="AS11" s="3"/>
      <c r="AT11" s="3"/>
      <c r="AU11" s="3"/>
      <c r="AV11" s="3"/>
      <c r="AW11" s="3"/>
      <c r="AX11" s="3"/>
      <c r="AY11" s="3"/>
      <c r="BD11" s="3"/>
      <c r="BE11" s="3"/>
      <c r="BF11" s="3"/>
      <c r="BG11" s="3"/>
      <c r="BH11" s="3"/>
      <c r="BI11" s="3"/>
      <c r="BJ11" s="3"/>
      <c r="BK11" s="3"/>
      <c r="BL11" s="3"/>
      <c r="BM11" s="3"/>
      <c r="BN11" s="3"/>
      <c r="BO11" s="3"/>
    </row>
    <row r="12" customFormat="false" ht="12.8" hidden="false" customHeight="false" outlineLevel="0" collapsed="false">
      <c r="A12" s="60" t="str">
        <f aca="false">_xlfn.CONCAT($A$1, ".", CALC!A12)</f>
        <v>LSD.RID.0.AL.LFPR.8</v>
      </c>
      <c r="B12" s="42" t="str">
        <f aca="false">CALC!C12</f>
        <v>Wholesale Trade</v>
      </c>
      <c r="C12" s="39" t="n">
        <v>0.57</v>
      </c>
      <c r="D12" s="39" t="n">
        <v>0.41</v>
      </c>
      <c r="E12" s="39" t="n">
        <v>0.64</v>
      </c>
      <c r="F12" s="39" t="n">
        <v>0.57</v>
      </c>
      <c r="AB12" s="3"/>
      <c r="AC12" s="3"/>
      <c r="AD12" s="3"/>
      <c r="AE12" s="3"/>
      <c r="AR12" s="3"/>
      <c r="AS12" s="3"/>
      <c r="AT12" s="3"/>
      <c r="AU12" s="3"/>
      <c r="AV12" s="3"/>
      <c r="AW12" s="3"/>
      <c r="AX12" s="3"/>
      <c r="AY12" s="3"/>
      <c r="BD12" s="3"/>
      <c r="BE12" s="3"/>
      <c r="BF12" s="3"/>
      <c r="BG12" s="3"/>
      <c r="BH12" s="3"/>
      <c r="BI12" s="3"/>
      <c r="BJ12" s="3"/>
      <c r="BK12" s="3"/>
      <c r="BL12" s="3"/>
      <c r="BM12" s="3"/>
      <c r="BN12" s="3"/>
      <c r="BO12" s="3"/>
    </row>
    <row r="13" customFormat="false" ht="23.85" hidden="false" customHeight="false" outlineLevel="0" collapsed="false">
      <c r="A13" s="60" t="str">
        <f aca="false">_xlfn.CONCAT($A$1, ".", CALC!A13)</f>
        <v>LSD.RID.0.AL.LFPR.9</v>
      </c>
      <c r="B13" s="63" t="str">
        <f aca="false">CALC!C13</f>
        <v>Retail Trade (Motor
Vehicle, Electronics)</v>
      </c>
      <c r="C13" s="39" t="n">
        <v>0.57</v>
      </c>
      <c r="D13" s="39" t="n">
        <v>0.41</v>
      </c>
      <c r="E13" s="39" t="n">
        <v>0.64</v>
      </c>
      <c r="F13" s="39" t="n">
        <v>0.57</v>
      </c>
      <c r="AB13" s="3"/>
      <c r="AC13" s="3"/>
      <c r="AD13" s="3"/>
      <c r="AE13" s="3"/>
      <c r="AR13" s="3"/>
      <c r="AS13" s="3"/>
      <c r="AT13" s="3"/>
      <c r="AU13" s="3"/>
      <c r="AV13" s="3"/>
      <c r="AW13" s="3"/>
      <c r="AX13" s="3"/>
      <c r="AY13" s="3"/>
      <c r="BD13" s="3"/>
      <c r="BE13" s="3"/>
      <c r="BF13" s="3"/>
      <c r="BG13" s="3"/>
      <c r="BH13" s="3"/>
      <c r="BI13" s="3"/>
      <c r="BJ13" s="3"/>
      <c r="BK13" s="3"/>
      <c r="BL13" s="3"/>
      <c r="BM13" s="3"/>
      <c r="BN13" s="3"/>
      <c r="BO13" s="3"/>
    </row>
    <row r="14" customFormat="false" ht="23.85" hidden="false" customHeight="false" outlineLevel="0" collapsed="false">
      <c r="A14" s="60" t="str">
        <f aca="false">_xlfn.CONCAT($A$1, ".", CALC!A14)</f>
        <v>LSD.RID.0.AL.LFPR.10</v>
      </c>
      <c r="B14" s="63" t="str">
        <f aca="false">CALC!C14</f>
        <v>Retail Trade (Food, Clothing,
General Merchandise, etc.)</v>
      </c>
      <c r="C14" s="39" t="n">
        <v>0.57</v>
      </c>
      <c r="D14" s="39" t="n">
        <v>0.41</v>
      </c>
      <c r="E14" s="39" t="n">
        <v>0.64</v>
      </c>
      <c r="F14" s="39" t="n">
        <v>0.57</v>
      </c>
      <c r="AB14" s="3"/>
      <c r="AC14" s="3"/>
      <c r="AD14" s="3"/>
      <c r="AE14" s="3"/>
      <c r="AR14" s="3"/>
      <c r="AS14" s="3"/>
      <c r="AT14" s="3"/>
      <c r="AU14" s="3"/>
      <c r="AV14" s="3"/>
      <c r="AW14" s="3"/>
      <c r="AX14" s="3"/>
      <c r="AY14" s="3"/>
      <c r="BD14" s="3"/>
      <c r="BE14" s="3"/>
      <c r="BF14" s="3"/>
      <c r="BG14" s="3"/>
      <c r="BH14" s="3"/>
      <c r="BI14" s="3"/>
      <c r="BJ14" s="3"/>
      <c r="BK14" s="3"/>
      <c r="BL14" s="3"/>
      <c r="BM14" s="3"/>
      <c r="BN14" s="3"/>
      <c r="BO14" s="3"/>
    </row>
    <row r="15" customFormat="false" ht="12.8" hidden="false" customHeight="false" outlineLevel="0" collapsed="false">
      <c r="A15" s="60" t="str">
        <f aca="false">_xlfn.CONCAT($A$1, ".", CALC!A15)</f>
        <v>LSD.RID.0.AL.LFPR.11</v>
      </c>
      <c r="B15" s="42" t="str">
        <f aca="false">CALC!C15</f>
        <v>Transportation</v>
      </c>
      <c r="C15" s="39" t="n">
        <v>0.57</v>
      </c>
      <c r="D15" s="39" t="n">
        <v>0.41</v>
      </c>
      <c r="E15" s="39" t="n">
        <v>0.64</v>
      </c>
      <c r="F15" s="39" t="n">
        <v>0.57</v>
      </c>
      <c r="AB15" s="3"/>
      <c r="AC15" s="3"/>
      <c r="AD15" s="3"/>
      <c r="AE15" s="3"/>
      <c r="AR15" s="3"/>
      <c r="AS15" s="3"/>
      <c r="AT15" s="3"/>
      <c r="AU15" s="3"/>
      <c r="AV15" s="3"/>
      <c r="AW15" s="3"/>
      <c r="AX15" s="3"/>
      <c r="AY15" s="3"/>
      <c r="BD15" s="3"/>
      <c r="BE15" s="3"/>
      <c r="BF15" s="3"/>
      <c r="BG15" s="3"/>
      <c r="BH15" s="3"/>
      <c r="BI15" s="3"/>
      <c r="BJ15" s="3"/>
      <c r="BK15" s="3"/>
      <c r="BL15" s="3"/>
      <c r="BM15" s="3"/>
      <c r="BN15" s="3"/>
      <c r="BO15" s="3"/>
    </row>
    <row r="16" customFormat="false" ht="12.8" hidden="false" customHeight="false" outlineLevel="0" collapsed="false">
      <c r="A16" s="60" t="str">
        <f aca="false">_xlfn.CONCAT($A$1, ".", CALC!A16)</f>
        <v>LSD.RID.0.AL.LFPR.12</v>
      </c>
      <c r="B16" s="42" t="str">
        <f aca="false">CALC!C16</f>
        <v>Warehousing and Storage</v>
      </c>
      <c r="C16" s="39" t="n">
        <v>0.57</v>
      </c>
      <c r="D16" s="39" t="n">
        <v>0.41</v>
      </c>
      <c r="E16" s="39" t="n">
        <v>0.64</v>
      </c>
      <c r="F16" s="39" t="n">
        <v>0.57</v>
      </c>
      <c r="AB16" s="3"/>
      <c r="AC16" s="3"/>
      <c r="AD16" s="3"/>
      <c r="AE16" s="3"/>
      <c r="AR16" s="3"/>
      <c r="AS16" s="3"/>
      <c r="AT16" s="3"/>
      <c r="AU16" s="3"/>
      <c r="AV16" s="3"/>
      <c r="AW16" s="3"/>
      <c r="AX16" s="3"/>
      <c r="AY16" s="3"/>
      <c r="BD16" s="3"/>
      <c r="BE16" s="3"/>
      <c r="BF16" s="3"/>
      <c r="BG16" s="3"/>
      <c r="BH16" s="3"/>
      <c r="BI16" s="3"/>
      <c r="BJ16" s="3"/>
      <c r="BK16" s="3"/>
      <c r="BL16" s="3"/>
      <c r="BM16" s="3"/>
      <c r="BN16" s="3"/>
      <c r="BO16" s="3"/>
    </row>
    <row r="17" customFormat="false" ht="12.8" hidden="false" customHeight="false" outlineLevel="0" collapsed="false">
      <c r="A17" s="60" t="str">
        <f aca="false">_xlfn.CONCAT($A$1, ".", CALC!A17)</f>
        <v>LSD.RID.0.AL.LFPR.13</v>
      </c>
      <c r="B17" s="42" t="str">
        <f aca="false">CALC!C17</f>
        <v>Information</v>
      </c>
      <c r="C17" s="39" t="n">
        <v>0.58</v>
      </c>
      <c r="D17" s="39" t="n">
        <v>0.415</v>
      </c>
      <c r="E17" s="39" t="n">
        <v>0.6</v>
      </c>
      <c r="F17" s="39" t="n">
        <v>0.58</v>
      </c>
      <c r="AB17" s="3"/>
      <c r="AC17" s="3"/>
      <c r="AD17" s="3"/>
      <c r="AE17" s="3"/>
      <c r="AR17" s="3"/>
      <c r="AS17" s="3"/>
      <c r="AT17" s="3"/>
      <c r="AU17" s="3"/>
      <c r="AV17" s="3"/>
      <c r="AW17" s="3"/>
      <c r="AX17" s="3"/>
      <c r="AY17" s="3"/>
      <c r="BD17" s="3"/>
      <c r="BE17" s="3"/>
      <c r="BF17" s="3"/>
      <c r="BG17" s="3"/>
      <c r="BH17" s="3"/>
      <c r="BI17" s="3"/>
      <c r="BJ17" s="3"/>
      <c r="BK17" s="3"/>
      <c r="BL17" s="3"/>
      <c r="BM17" s="3"/>
      <c r="BN17" s="3"/>
      <c r="BO17" s="3"/>
    </row>
    <row r="18" customFormat="false" ht="12.8" hidden="false" customHeight="false" outlineLevel="0" collapsed="false">
      <c r="A18" s="60" t="str">
        <f aca="false">_xlfn.CONCAT($A$1, ".", CALC!A18)</f>
        <v>LSD.RID.0.AL.LFPR.14</v>
      </c>
      <c r="B18" s="42" t="str">
        <f aca="false">CALC!C18</f>
        <v>Finance and Insurance</v>
      </c>
      <c r="C18" s="39" t="n">
        <v>0.595</v>
      </c>
      <c r="D18" s="39" t="n">
        <v>0.42</v>
      </c>
      <c r="E18" s="39" t="n">
        <v>0.52</v>
      </c>
      <c r="F18" s="39" t="n">
        <v>0.595</v>
      </c>
      <c r="AB18" s="3"/>
      <c r="AC18" s="3"/>
      <c r="AD18" s="3"/>
      <c r="AE18" s="3"/>
      <c r="AR18" s="3"/>
      <c r="AS18" s="3"/>
      <c r="AT18" s="3"/>
      <c r="AU18" s="3"/>
      <c r="AV18" s="3"/>
      <c r="AW18" s="3"/>
      <c r="AX18" s="3"/>
      <c r="AY18" s="3"/>
      <c r="BD18" s="3"/>
      <c r="BE18" s="3"/>
      <c r="BF18" s="3"/>
      <c r="BG18" s="3"/>
      <c r="BH18" s="3"/>
      <c r="BI18" s="3"/>
      <c r="BJ18" s="3"/>
      <c r="BK18" s="3"/>
      <c r="BL18" s="3"/>
      <c r="BM18" s="3"/>
      <c r="BN18" s="3"/>
      <c r="BO18" s="3"/>
    </row>
    <row r="19" customFormat="false" ht="23.85" hidden="false" customHeight="false" outlineLevel="0" collapsed="false">
      <c r="A19" s="60" t="str">
        <f aca="false">_xlfn.CONCAT($A$1, ".", CALC!A19)</f>
        <v>LSD.RID.0.AL.LFPR.15</v>
      </c>
      <c r="B19" s="63" t="str">
        <f aca="false">CALC!C19</f>
        <v>Real Estate and
Rental and Leasing</v>
      </c>
      <c r="C19" s="39" t="n">
        <v>0.575</v>
      </c>
      <c r="D19" s="39" t="n">
        <v>0.415</v>
      </c>
      <c r="E19" s="39" t="n">
        <v>0.6</v>
      </c>
      <c r="F19" s="39" t="n">
        <v>0.575</v>
      </c>
      <c r="AB19" s="3"/>
      <c r="AC19" s="3"/>
      <c r="AD19" s="3"/>
      <c r="AE19" s="3"/>
      <c r="AR19" s="3"/>
      <c r="AS19" s="3"/>
      <c r="AT19" s="3"/>
      <c r="AU19" s="3"/>
      <c r="AV19" s="3"/>
      <c r="AW19" s="3"/>
      <c r="AX19" s="3"/>
      <c r="AY19" s="3"/>
      <c r="BD19" s="3"/>
      <c r="BE19" s="3"/>
      <c r="BF19" s="3"/>
      <c r="BG19" s="3"/>
      <c r="BH19" s="3"/>
      <c r="BI19" s="3"/>
      <c r="BJ19" s="3"/>
      <c r="BK19" s="3"/>
      <c r="BL19" s="3"/>
      <c r="BM19" s="3"/>
      <c r="BN19" s="3"/>
      <c r="BO19" s="3"/>
    </row>
    <row r="20" customFormat="false" ht="23.85" hidden="false" customHeight="false" outlineLevel="0" collapsed="false">
      <c r="A20" s="60" t="str">
        <f aca="false">_xlfn.CONCAT($A$1, ".", CALC!A20)</f>
        <v>LSD.RID.0.AL.LFPR.16</v>
      </c>
      <c r="B20" s="63" t="str">
        <f aca="false">CALC!C20</f>
        <v>Professional, Scientific,
and Technical Services</v>
      </c>
      <c r="C20" s="39" t="n">
        <v>0.605</v>
      </c>
      <c r="D20" s="39" t="n">
        <v>0.42</v>
      </c>
      <c r="E20" s="39" t="n">
        <v>0.56</v>
      </c>
      <c r="F20" s="39" t="n">
        <v>0.605</v>
      </c>
      <c r="AB20" s="3"/>
      <c r="AC20" s="3"/>
      <c r="AD20" s="3"/>
      <c r="AE20" s="3"/>
      <c r="AR20" s="3"/>
      <c r="AS20" s="3"/>
      <c r="AT20" s="3"/>
      <c r="AU20" s="3"/>
      <c r="AV20" s="3"/>
      <c r="AW20" s="3"/>
      <c r="AX20" s="3"/>
      <c r="AY20" s="3"/>
      <c r="BD20" s="3"/>
      <c r="BE20" s="3"/>
      <c r="BF20" s="3"/>
      <c r="BG20" s="3"/>
      <c r="BH20" s="3"/>
      <c r="BI20" s="3"/>
      <c r="BJ20" s="3"/>
      <c r="BK20" s="3"/>
      <c r="BL20" s="3"/>
      <c r="BM20" s="3"/>
      <c r="BN20" s="3"/>
      <c r="BO20" s="3"/>
    </row>
    <row r="21" customFormat="false" ht="35.05" hidden="false" customHeight="false" outlineLevel="0" collapsed="false">
      <c r="A21" s="60" t="str">
        <f aca="false">_xlfn.CONCAT($A$1, ".", CALC!A21)</f>
        <v>LSD.RID.0.AL.LFPR.17</v>
      </c>
      <c r="B21" s="63" t="str">
        <f aca="false">CALC!C21</f>
        <v>Administrative and Support
and Waste Management
and Remediation Services</v>
      </c>
      <c r="C21" s="39" t="n">
        <v>0.565</v>
      </c>
      <c r="D21" s="39" t="n">
        <v>0.405</v>
      </c>
      <c r="E21" s="39" t="n">
        <v>0.67</v>
      </c>
      <c r="F21" s="39" t="n">
        <v>0.565</v>
      </c>
      <c r="AB21" s="3"/>
      <c r="AC21" s="3"/>
      <c r="AD21" s="3"/>
      <c r="AE21" s="3"/>
      <c r="AR21" s="3"/>
      <c r="AS21" s="3"/>
      <c r="AT21" s="3"/>
      <c r="AU21" s="3"/>
      <c r="AV21" s="3"/>
      <c r="AW21" s="3"/>
      <c r="AX21" s="3"/>
      <c r="AY21" s="3"/>
      <c r="BD21" s="3"/>
      <c r="BE21" s="3"/>
      <c r="BF21" s="3"/>
      <c r="BG21" s="3"/>
      <c r="BH21" s="3"/>
      <c r="BI21" s="3"/>
      <c r="BJ21" s="3"/>
      <c r="BK21" s="3"/>
      <c r="BL21" s="3"/>
      <c r="BM21" s="3"/>
      <c r="BN21" s="3"/>
      <c r="BO21" s="3"/>
    </row>
    <row r="22" customFormat="false" ht="12.8" hidden="false" customHeight="false" outlineLevel="0" collapsed="false">
      <c r="A22" s="60" t="str">
        <f aca="false">_xlfn.CONCAT($A$1, ".", CALC!A22)</f>
        <v>LSD.RID.0.AL.LFPR.18</v>
      </c>
      <c r="B22" s="42" t="str">
        <f aca="false">CALC!C22</f>
        <v>Educational Services</v>
      </c>
      <c r="C22" s="39" t="n">
        <v>0.58</v>
      </c>
      <c r="D22" s="39" t="n">
        <v>0.42</v>
      </c>
      <c r="E22" s="39" t="n">
        <v>0.56</v>
      </c>
      <c r="F22" s="39" t="n">
        <v>0.58</v>
      </c>
      <c r="AB22" s="3"/>
      <c r="AC22" s="3"/>
      <c r="AD22" s="3"/>
      <c r="AE22" s="3"/>
      <c r="AR22" s="3"/>
      <c r="AS22" s="3"/>
      <c r="AT22" s="3"/>
      <c r="AU22" s="3"/>
      <c r="AV22" s="3"/>
      <c r="AW22" s="3"/>
      <c r="AX22" s="3"/>
      <c r="AY22" s="3"/>
      <c r="BD22" s="3"/>
      <c r="BE22" s="3"/>
      <c r="BF22" s="3"/>
      <c r="BG22" s="3"/>
      <c r="BH22" s="3"/>
      <c r="BI22" s="3"/>
      <c r="BJ22" s="3"/>
      <c r="BK22" s="3"/>
      <c r="BL22" s="3"/>
      <c r="BM22" s="3"/>
      <c r="BN22" s="3"/>
      <c r="BO22" s="3"/>
    </row>
    <row r="23" customFormat="false" ht="23.85" hidden="false" customHeight="false" outlineLevel="0" collapsed="false">
      <c r="A23" s="60" t="str">
        <f aca="false">_xlfn.CONCAT($A$1, ".", CALC!A23)</f>
        <v>LSD.RID.0.AL.LFPR.19</v>
      </c>
      <c r="B23" s="63" t="str">
        <f aca="false">CALC!C23</f>
        <v>Health Care and
Social Assistance</v>
      </c>
      <c r="C23" s="39" t="n">
        <v>0.58</v>
      </c>
      <c r="D23" s="39" t="n">
        <v>0.42</v>
      </c>
      <c r="E23" s="39" t="n">
        <v>0.56</v>
      </c>
      <c r="F23" s="39" t="n">
        <v>0.58</v>
      </c>
      <c r="AB23" s="3"/>
      <c r="AC23" s="3"/>
      <c r="AD23" s="3"/>
      <c r="AE23" s="3"/>
      <c r="AR23" s="3"/>
      <c r="AS23" s="3"/>
      <c r="AT23" s="3"/>
      <c r="AU23" s="3"/>
      <c r="AV23" s="3"/>
      <c r="AW23" s="3"/>
      <c r="AX23" s="3"/>
      <c r="AY23" s="3"/>
      <c r="BD23" s="3"/>
      <c r="BE23" s="3"/>
      <c r="BF23" s="3"/>
      <c r="BG23" s="3"/>
      <c r="BH23" s="3"/>
      <c r="BI23" s="3"/>
      <c r="BJ23" s="3"/>
      <c r="BK23" s="3"/>
      <c r="BL23" s="3"/>
      <c r="BM23" s="3"/>
      <c r="BN23" s="3"/>
      <c r="BO23" s="3"/>
    </row>
    <row r="24" customFormat="false" ht="23.85" hidden="false" customHeight="false" outlineLevel="0" collapsed="false">
      <c r="A24" s="60" t="str">
        <f aca="false">_xlfn.CONCAT($A$1, ".", CALC!A24)</f>
        <v>LSD.RID.0.AL.LFPR.20</v>
      </c>
      <c r="B24" s="63" t="str">
        <f aca="false">CALC!C24</f>
        <v>Arts, Entertainment,
and Recreation</v>
      </c>
      <c r="C24" s="39" t="n">
        <v>0.565</v>
      </c>
      <c r="D24" s="39" t="n">
        <v>0.405</v>
      </c>
      <c r="E24" s="39" t="n">
        <v>0.67</v>
      </c>
      <c r="F24" s="39" t="n">
        <v>0.565</v>
      </c>
      <c r="AB24" s="3"/>
      <c r="AC24" s="3"/>
      <c r="AD24" s="3"/>
      <c r="AE24" s="3"/>
      <c r="AR24" s="3"/>
      <c r="AS24" s="3"/>
      <c r="AT24" s="3"/>
      <c r="AU24" s="3"/>
      <c r="AV24" s="3"/>
      <c r="AW24" s="3"/>
      <c r="AX24" s="3"/>
      <c r="AY24" s="3"/>
      <c r="BD24" s="3"/>
      <c r="BE24" s="3"/>
      <c r="BF24" s="3"/>
      <c r="BG24" s="3"/>
      <c r="BH24" s="3"/>
      <c r="BI24" s="3"/>
      <c r="BJ24" s="3"/>
      <c r="BK24" s="3"/>
      <c r="BL24" s="3"/>
      <c r="BM24" s="3"/>
      <c r="BN24" s="3"/>
      <c r="BO24" s="3"/>
    </row>
    <row r="25" customFormat="false" ht="23.85" hidden="false" customHeight="false" outlineLevel="0" collapsed="false">
      <c r="A25" s="60" t="str">
        <f aca="false">_xlfn.CONCAT($A$1, ".", CALC!A25)</f>
        <v>LSD.RID.0.AL.LFPR.21</v>
      </c>
      <c r="B25" s="63" t="str">
        <f aca="false">CALC!C25</f>
        <v>Accommodation
and Food Services</v>
      </c>
      <c r="C25" s="39" t="n">
        <v>0.545</v>
      </c>
      <c r="D25" s="39" t="n">
        <v>0.4</v>
      </c>
      <c r="E25" s="39" t="n">
        <v>0.7</v>
      </c>
      <c r="F25" s="39" t="n">
        <v>0.545</v>
      </c>
      <c r="AB25" s="3"/>
      <c r="AC25" s="3"/>
      <c r="AD25" s="3"/>
      <c r="AE25" s="3"/>
      <c r="AR25" s="3"/>
      <c r="AS25" s="3"/>
      <c r="AT25" s="3"/>
      <c r="AU25" s="3"/>
      <c r="AV25" s="3"/>
      <c r="AW25" s="3"/>
      <c r="AX25" s="3"/>
      <c r="AY25" s="3"/>
      <c r="BD25" s="3"/>
      <c r="BE25" s="3"/>
      <c r="BF25" s="3"/>
      <c r="BG25" s="3"/>
      <c r="BH25" s="3"/>
      <c r="BI25" s="3"/>
      <c r="BJ25" s="3"/>
      <c r="BK25" s="3"/>
      <c r="BL25" s="3"/>
      <c r="BM25" s="3"/>
      <c r="BN25" s="3"/>
      <c r="BO25" s="3"/>
    </row>
    <row r="26" customFormat="false" ht="23.85" hidden="false" customHeight="false" outlineLevel="0" collapsed="false">
      <c r="A26" s="60" t="str">
        <f aca="false">_xlfn.CONCAT($A$1, ".", CALC!A26)</f>
        <v>LSD.RID.0.AL.LFPR.22</v>
      </c>
      <c r="B26" s="63" t="str">
        <f aca="false">CALC!C26</f>
        <v>Other Services (except
Public Administration)</v>
      </c>
      <c r="C26" s="39" t="n">
        <v>0.565</v>
      </c>
      <c r="D26" s="39" t="n">
        <v>0.405</v>
      </c>
      <c r="E26" s="39" t="n">
        <v>0.67</v>
      </c>
      <c r="F26" s="39" t="n">
        <v>0.565</v>
      </c>
      <c r="AB26" s="3"/>
      <c r="AC26" s="3"/>
      <c r="AD26" s="3"/>
      <c r="AE26" s="3"/>
      <c r="AR26" s="3"/>
      <c r="AS26" s="3"/>
      <c r="AT26" s="3"/>
      <c r="AU26" s="3"/>
      <c r="AV26" s="3"/>
      <c r="AW26" s="3"/>
      <c r="AX26" s="3"/>
      <c r="AY26" s="3"/>
      <c r="BD26" s="3"/>
      <c r="BE26" s="3"/>
      <c r="BF26" s="3"/>
      <c r="BG26" s="3"/>
      <c r="BH26" s="3"/>
      <c r="BI26" s="3"/>
      <c r="BJ26" s="3"/>
      <c r="BK26" s="3"/>
      <c r="BL26" s="3"/>
      <c r="BM26" s="3"/>
      <c r="BN26" s="3"/>
      <c r="BO26" s="3"/>
    </row>
    <row r="27" customFormat="false" ht="12.8" hidden="false" customHeight="false" outlineLevel="0" collapsed="false">
      <c r="A27" s="60" t="str">
        <f aca="false">_xlfn.CONCAT($A$1, ".", CALC!A27)</f>
        <v>LSD.RID.0.AL.LFPR.23</v>
      </c>
      <c r="B27" s="42" t="str">
        <f aca="false">CALC!C27</f>
        <v>Public Administration</v>
      </c>
      <c r="C27" s="39" t="n">
        <v>0.595</v>
      </c>
      <c r="D27" s="39" t="n">
        <v>0.42</v>
      </c>
      <c r="E27" s="39" t="n">
        <v>0.5</v>
      </c>
      <c r="F27" s="39" t="n">
        <v>0.595</v>
      </c>
      <c r="AB27" s="3"/>
      <c r="AC27" s="3"/>
      <c r="AD27" s="3"/>
      <c r="AE27" s="3"/>
      <c r="AR27" s="3"/>
      <c r="AS27" s="3"/>
      <c r="AT27" s="3"/>
      <c r="AU27" s="3"/>
      <c r="AV27" s="3"/>
      <c r="AW27" s="3"/>
      <c r="AX27" s="3"/>
      <c r="AY27" s="3"/>
      <c r="BD27" s="3"/>
      <c r="BE27" s="3"/>
      <c r="BF27" s="3"/>
      <c r="BG27" s="3"/>
      <c r="BH27" s="3"/>
      <c r="BI27" s="3"/>
      <c r="BJ27" s="3"/>
      <c r="BK27" s="3"/>
      <c r="BL27" s="3"/>
      <c r="BM27" s="3"/>
      <c r="BN27" s="3"/>
      <c r="BO27" s="3"/>
    </row>
    <row r="28" customFormat="false" ht="12.8" hidden="false" customHeight="false" outlineLevel="0" collapsed="false">
      <c r="A28" s="4"/>
      <c r="B28" s="49"/>
      <c r="C28" s="66"/>
      <c r="D28" s="66"/>
      <c r="E28" s="66"/>
      <c r="F28" s="66"/>
    </row>
    <row r="29" customFormat="false" ht="12.8" hidden="false" customHeight="false" outlineLevel="0" collapsed="false">
      <c r="A29" s="4"/>
      <c r="B29" s="49"/>
      <c r="C29" s="66"/>
      <c r="D29" s="66"/>
      <c r="E29" s="66"/>
      <c r="F29" s="66"/>
    </row>
    <row r="30" customFormat="false" ht="12.8" hidden="false" customHeight="false" outlineLevel="0" collapsed="false">
      <c r="A30" s="4"/>
      <c r="B30" s="49"/>
      <c r="C30" s="66"/>
      <c r="D30" s="66"/>
      <c r="E30" s="66"/>
      <c r="F30" s="66"/>
    </row>
    <row r="129" customFormat="false" ht="12.8" hidden="false" customHeight="false" outlineLevel="0" collapsed="false">
      <c r="A129" s="60" t="str">
        <f aca="false">_xlfn.CONCAT($A$1, ".", "FORM")</f>
        <v>LSD.RID.0.AL.LFPR.FORM</v>
      </c>
      <c r="B129" s="61" t="str">
        <f aca="false">_xlfn.CONCAT($B$1, " ", "Formulae")</f>
        <v>Alabama Labor Force Participation Rate (LFPR) Formulae</v>
      </c>
    </row>
    <row r="130" customFormat="false" ht="12.8" hidden="false" customHeight="false" outlineLevel="0" collapsed="false">
      <c r="A130" s="49" t="s">
        <v>173</v>
      </c>
      <c r="B130" s="49" t="s">
        <v>174</v>
      </c>
      <c r="C130" s="49" t="s">
        <v>175</v>
      </c>
      <c r="D130" s="49" t="s">
        <v>176</v>
      </c>
      <c r="E130" s="49" t="s">
        <v>177</v>
      </c>
      <c r="F130" s="49" t="s">
        <v>178</v>
      </c>
    </row>
    <row r="131" customFormat="false" ht="12.8" hidden="false" customHeight="false" outlineLevel="0" collapsed="false">
      <c r="A131" s="39" t="s">
        <v>1247</v>
      </c>
      <c r="B131" s="39" t="s">
        <v>1248</v>
      </c>
      <c r="C131" s="39" t="s">
        <v>1249</v>
      </c>
      <c r="D131" s="39" t="s">
        <v>1250</v>
      </c>
      <c r="E131" s="39" t="s">
        <v>1251</v>
      </c>
      <c r="F131" s="39" t="s">
        <v>1252</v>
      </c>
    </row>
    <row r="132" customFormat="false" ht="12.8" hidden="false" customHeight="false" outlineLevel="0" collapsed="false">
      <c r="A132" s="39" t="s">
        <v>1253</v>
      </c>
      <c r="B132" s="39" t="s">
        <v>1254</v>
      </c>
      <c r="C132" s="39" t="s">
        <v>1255</v>
      </c>
      <c r="D132" s="39" t="s">
        <v>1256</v>
      </c>
      <c r="E132" s="39" t="s">
        <v>1257</v>
      </c>
      <c r="F132" s="39" t="s">
        <v>1258</v>
      </c>
    </row>
    <row r="133" customFormat="false" ht="12.8" hidden="false" customHeight="false" outlineLevel="0" collapsed="false">
      <c r="A133" s="39" t="s">
        <v>1259</v>
      </c>
      <c r="B133" s="39" t="s">
        <v>1260</v>
      </c>
      <c r="C133" s="39" t="s">
        <v>1261</v>
      </c>
      <c r="D133" s="39" t="s">
        <v>1262</v>
      </c>
      <c r="E133" s="39" t="s">
        <v>738</v>
      </c>
      <c r="F133" s="39" t="s">
        <v>739</v>
      </c>
    </row>
    <row r="134" customFormat="false" ht="12.8" hidden="false" customHeight="false" outlineLevel="0" collapsed="false">
      <c r="A134" s="39" t="s">
        <v>1263</v>
      </c>
      <c r="B134" s="39" t="s">
        <v>1264</v>
      </c>
      <c r="C134" s="39" t="s">
        <v>1265</v>
      </c>
      <c r="D134" s="39" t="s">
        <v>1266</v>
      </c>
      <c r="E134" s="39" t="s">
        <v>745</v>
      </c>
      <c r="F134" s="39" t="s">
        <v>739</v>
      </c>
    </row>
    <row r="135" customFormat="false" ht="12.8" hidden="false" customHeight="false" outlineLevel="0" collapsed="false">
      <c r="A135" s="39" t="s">
        <v>1267</v>
      </c>
      <c r="B135" s="39" t="s">
        <v>1268</v>
      </c>
      <c r="C135" s="39" t="s">
        <v>1269</v>
      </c>
      <c r="D135" s="39" t="s">
        <v>1270</v>
      </c>
      <c r="E135" s="39" t="s">
        <v>751</v>
      </c>
      <c r="F135" s="39" t="s">
        <v>752</v>
      </c>
    </row>
    <row r="136" customFormat="false" ht="12.8" hidden="false" customHeight="false" outlineLevel="0" collapsed="false">
      <c r="A136" s="39" t="s">
        <v>1271</v>
      </c>
      <c r="B136" s="39" t="s">
        <v>1272</v>
      </c>
      <c r="C136" s="39" t="s">
        <v>1273</v>
      </c>
      <c r="D136" s="39" t="s">
        <v>1274</v>
      </c>
      <c r="E136" s="39" t="s">
        <v>1275</v>
      </c>
      <c r="F136" s="39" t="s">
        <v>739</v>
      </c>
    </row>
    <row r="139" customFormat="false" ht="12.8" hidden="false" customHeight="false" outlineLevel="0" collapsed="false">
      <c r="A139" s="60" t="str">
        <f aca="false">_xlfn.CONCAT($A$1, ".", "PARAM")</f>
        <v>LSD.RID.0.AL.LFPR.PARAM</v>
      </c>
      <c r="B139" s="61" t="str">
        <f aca="false">_xlfn.CONCAT($B$1, " ", "Parameters")</f>
        <v>Alabama Labor Force Participation Rate (LFPR) Parameters</v>
      </c>
    </row>
    <row r="140" customFormat="false" ht="12.8" hidden="false" customHeight="false" outlineLevel="0" collapsed="false">
      <c r="A140" s="49" t="s">
        <v>173</v>
      </c>
      <c r="B140" s="49" t="s">
        <v>175</v>
      </c>
      <c r="C140" s="49" t="s">
        <v>247</v>
      </c>
      <c r="D140" s="49" t="s">
        <v>177</v>
      </c>
      <c r="E140" s="49" t="s">
        <v>248</v>
      </c>
      <c r="F140" s="49" t="s">
        <v>249</v>
      </c>
      <c r="G140" s="49" t="s">
        <v>250</v>
      </c>
      <c r="H140" s="49" t="s">
        <v>178</v>
      </c>
      <c r="I140" s="3"/>
      <c r="J140" s="49" t="s">
        <v>173</v>
      </c>
      <c r="K140" s="49" t="s">
        <v>175</v>
      </c>
      <c r="L140" s="49" t="s">
        <v>247</v>
      </c>
      <c r="M140" s="49" t="s">
        <v>177</v>
      </c>
      <c r="N140" s="49" t="s">
        <v>248</v>
      </c>
      <c r="O140" s="49" t="s">
        <v>249</v>
      </c>
      <c r="P140" s="49" t="s">
        <v>250</v>
      </c>
      <c r="Q140" s="49" t="s">
        <v>178</v>
      </c>
    </row>
    <row r="141" customFormat="false" ht="12.8" hidden="false" customHeight="false" outlineLevel="0" collapsed="false">
      <c r="A141" s="50" t="s">
        <v>1276</v>
      </c>
      <c r="B141" s="39" t="s">
        <v>357</v>
      </c>
      <c r="C141" s="39" t="n">
        <v>0.577</v>
      </c>
      <c r="D141" s="39" t="s">
        <v>358</v>
      </c>
      <c r="E141" s="39" t="s">
        <v>254</v>
      </c>
      <c r="F141" s="39" t="s">
        <v>359</v>
      </c>
      <c r="G141" s="51" t="s">
        <v>256</v>
      </c>
      <c r="H141" s="39" t="s">
        <v>264</v>
      </c>
      <c r="I141" s="3"/>
      <c r="J141" s="3"/>
      <c r="K141" s="3"/>
      <c r="L141" s="3"/>
      <c r="M141" s="3"/>
      <c r="N141" s="3"/>
      <c r="O141" s="3"/>
      <c r="P141" s="3"/>
      <c r="Q141" s="3"/>
    </row>
    <row r="142" customFormat="false" ht="12.8" hidden="false" customHeight="false" outlineLevel="0" collapsed="false">
      <c r="A142" s="50" t="s">
        <v>1277</v>
      </c>
      <c r="B142" s="39" t="s">
        <v>764</v>
      </c>
      <c r="C142" s="39" t="n">
        <v>0.91</v>
      </c>
      <c r="D142" s="39" t="s">
        <v>1278</v>
      </c>
      <c r="E142" s="39" t="s">
        <v>325</v>
      </c>
      <c r="F142" s="39" t="s">
        <v>766</v>
      </c>
      <c r="G142" s="51" t="s">
        <v>256</v>
      </c>
      <c r="H142" s="39" t="s">
        <v>1279</v>
      </c>
      <c r="I142" s="3"/>
      <c r="J142" s="3"/>
      <c r="K142" s="3"/>
      <c r="L142" s="3"/>
      <c r="M142" s="3"/>
      <c r="N142" s="3"/>
      <c r="O142" s="3"/>
      <c r="P142" s="3"/>
      <c r="Q142" s="3"/>
    </row>
    <row r="143" customFormat="false" ht="12.8" hidden="false" customHeight="false" outlineLevel="0" collapsed="false">
      <c r="A143" s="50" t="s">
        <v>1280</v>
      </c>
      <c r="B143" s="39" t="s">
        <v>768</v>
      </c>
      <c r="C143" s="39" t="n">
        <v>0.95</v>
      </c>
      <c r="D143" s="39" t="s">
        <v>1281</v>
      </c>
      <c r="E143" s="39" t="s">
        <v>254</v>
      </c>
      <c r="F143" s="39" t="s">
        <v>770</v>
      </c>
      <c r="G143" s="51" t="s">
        <v>256</v>
      </c>
      <c r="H143" s="39" t="s">
        <v>1282</v>
      </c>
      <c r="I143" s="3"/>
      <c r="J143" s="3"/>
      <c r="K143" s="3"/>
      <c r="L143" s="3"/>
      <c r="M143" s="3"/>
      <c r="N143" s="3"/>
      <c r="O143" s="3"/>
      <c r="P143" s="3"/>
      <c r="Q143" s="3"/>
    </row>
    <row r="144" customFormat="false" ht="12.8" hidden="false" customHeight="false" outlineLevel="0" collapsed="false">
      <c r="A144" s="50" t="s">
        <v>1283</v>
      </c>
      <c r="B144" s="39" t="s">
        <v>772</v>
      </c>
      <c r="C144" s="39" t="n">
        <v>0.91</v>
      </c>
      <c r="D144" s="39" t="s">
        <v>1284</v>
      </c>
      <c r="E144" s="39" t="s">
        <v>254</v>
      </c>
      <c r="F144" s="39" t="s">
        <v>774</v>
      </c>
      <c r="G144" s="51" t="s">
        <v>256</v>
      </c>
      <c r="H144" s="39" t="s">
        <v>1279</v>
      </c>
      <c r="I144" s="3"/>
      <c r="J144" s="3"/>
      <c r="K144" s="3"/>
      <c r="L144" s="3"/>
      <c r="M144" s="3"/>
      <c r="N144" s="3"/>
      <c r="O144" s="3"/>
      <c r="P144" s="3"/>
      <c r="Q144" s="3"/>
    </row>
    <row r="145" customFormat="false" ht="12.8" hidden="false" customHeight="false" outlineLevel="0" collapsed="false">
      <c r="A145" s="50" t="s">
        <v>1285</v>
      </c>
      <c r="B145" s="39" t="s">
        <v>776</v>
      </c>
      <c r="C145" s="39" t="n">
        <v>0.93</v>
      </c>
      <c r="D145" s="39" t="s">
        <v>1286</v>
      </c>
      <c r="E145" s="39" t="s">
        <v>254</v>
      </c>
      <c r="F145" s="39" t="s">
        <v>770</v>
      </c>
      <c r="G145" s="51" t="s">
        <v>256</v>
      </c>
      <c r="H145" s="39" t="s">
        <v>434</v>
      </c>
      <c r="I145" s="3"/>
      <c r="J145" s="3"/>
      <c r="K145" s="3"/>
      <c r="L145" s="3"/>
      <c r="M145" s="3"/>
      <c r="N145" s="3"/>
      <c r="O145" s="3"/>
      <c r="P145" s="3"/>
      <c r="Q145" s="3"/>
    </row>
    <row r="146" customFormat="false" ht="12.8" hidden="false" customHeight="false" outlineLevel="0" collapsed="false">
      <c r="A146" s="50" t="s">
        <v>1287</v>
      </c>
      <c r="B146" s="39" t="s">
        <v>779</v>
      </c>
      <c r="C146" s="39" t="n">
        <v>0.93</v>
      </c>
      <c r="D146" s="39" t="s">
        <v>1288</v>
      </c>
      <c r="E146" s="39" t="s">
        <v>254</v>
      </c>
      <c r="F146" s="39" t="s">
        <v>770</v>
      </c>
      <c r="G146" s="51" t="s">
        <v>256</v>
      </c>
      <c r="H146" s="39" t="s">
        <v>438</v>
      </c>
      <c r="I146" s="3"/>
      <c r="J146" s="3"/>
      <c r="K146" s="3"/>
      <c r="L146" s="3"/>
      <c r="M146" s="3"/>
      <c r="N146" s="3"/>
      <c r="O146" s="3"/>
      <c r="P146" s="3"/>
      <c r="Q146" s="3"/>
    </row>
    <row r="147" customFormat="false" ht="12.8" hidden="false" customHeight="false" outlineLevel="0" collapsed="false">
      <c r="A147" s="50" t="s">
        <v>1289</v>
      </c>
      <c r="B147" s="39" t="s">
        <v>782</v>
      </c>
      <c r="C147" s="39" t="n">
        <v>0.94</v>
      </c>
      <c r="D147" s="39" t="s">
        <v>1290</v>
      </c>
      <c r="E147" s="39" t="s">
        <v>325</v>
      </c>
      <c r="F147" s="39" t="s">
        <v>420</v>
      </c>
      <c r="G147" s="51" t="s">
        <v>256</v>
      </c>
      <c r="H147" s="39" t="s">
        <v>1282</v>
      </c>
      <c r="I147" s="3"/>
      <c r="J147" s="3"/>
      <c r="K147" s="3"/>
      <c r="L147" s="3"/>
      <c r="M147" s="3"/>
      <c r="N147" s="3"/>
      <c r="O147" s="3"/>
      <c r="P147" s="3"/>
      <c r="Q147" s="3"/>
    </row>
    <row r="148" customFormat="false" ht="12.8" hidden="false" customHeight="false" outlineLevel="0" collapsed="false">
      <c r="A148" s="50" t="s">
        <v>1291</v>
      </c>
      <c r="B148" s="39" t="s">
        <v>785</v>
      </c>
      <c r="C148" s="39" t="n">
        <v>0.98</v>
      </c>
      <c r="D148" s="39" t="s">
        <v>1292</v>
      </c>
      <c r="E148" s="39" t="s">
        <v>254</v>
      </c>
      <c r="F148" s="39" t="s">
        <v>770</v>
      </c>
      <c r="G148" s="51" t="s">
        <v>256</v>
      </c>
      <c r="H148" s="39" t="s">
        <v>1293</v>
      </c>
      <c r="I148" s="3"/>
      <c r="J148" s="3"/>
      <c r="K148" s="3"/>
      <c r="L148" s="3"/>
      <c r="M148" s="3"/>
      <c r="N148" s="3"/>
      <c r="O148" s="3"/>
      <c r="P148" s="3"/>
      <c r="Q148" s="3"/>
    </row>
    <row r="149" customFormat="false" ht="12.8" hidden="false" customHeight="false" outlineLevel="0" collapsed="false">
      <c r="A149" s="50" t="s">
        <v>1294</v>
      </c>
      <c r="B149" s="39" t="s">
        <v>788</v>
      </c>
      <c r="C149" s="39" t="n">
        <v>0.99</v>
      </c>
      <c r="D149" s="39" t="s">
        <v>1295</v>
      </c>
      <c r="E149" s="39" t="s">
        <v>254</v>
      </c>
      <c r="F149" s="39" t="s">
        <v>770</v>
      </c>
      <c r="G149" s="51" t="s">
        <v>256</v>
      </c>
      <c r="H149" s="39" t="s">
        <v>1293</v>
      </c>
      <c r="I149" s="3"/>
      <c r="J149" s="3"/>
      <c r="K149" s="3"/>
      <c r="L149" s="3"/>
      <c r="M149" s="3"/>
      <c r="N149" s="3"/>
      <c r="O149" s="3"/>
      <c r="P149" s="3"/>
      <c r="Q149" s="3"/>
    </row>
    <row r="150" customFormat="false" ht="12.8" hidden="false" customHeight="false" outlineLevel="0" collapsed="false">
      <c r="A150" s="50" t="s">
        <v>1296</v>
      </c>
      <c r="B150" s="39" t="s">
        <v>791</v>
      </c>
      <c r="C150" s="39" t="n">
        <v>0.95</v>
      </c>
      <c r="D150" s="39" t="s">
        <v>1297</v>
      </c>
      <c r="E150" s="39" t="s">
        <v>254</v>
      </c>
      <c r="F150" s="39" t="s">
        <v>770</v>
      </c>
      <c r="G150" s="51" t="s">
        <v>256</v>
      </c>
      <c r="H150" s="39" t="s">
        <v>1298</v>
      </c>
      <c r="I150" s="3"/>
      <c r="J150" s="3"/>
      <c r="K150" s="3"/>
      <c r="L150" s="3"/>
      <c r="M150" s="3"/>
      <c r="N150" s="3"/>
      <c r="O150" s="3"/>
      <c r="P150" s="3"/>
      <c r="Q150" s="3"/>
    </row>
    <row r="151" customFormat="false" ht="12.8" hidden="false" customHeight="false" outlineLevel="0" collapsed="false">
      <c r="A151" s="50" t="s">
        <v>1299</v>
      </c>
      <c r="B151" s="39" t="s">
        <v>794</v>
      </c>
      <c r="C151" s="39" t="n">
        <v>0.9</v>
      </c>
      <c r="D151" s="39" t="s">
        <v>1300</v>
      </c>
      <c r="E151" s="39" t="s">
        <v>254</v>
      </c>
      <c r="F151" s="39" t="s">
        <v>770</v>
      </c>
      <c r="G151" s="51" t="s">
        <v>256</v>
      </c>
      <c r="H151" s="39" t="s">
        <v>1301</v>
      </c>
      <c r="I151" s="3"/>
      <c r="J151" s="3"/>
      <c r="K151" s="3"/>
      <c r="L151" s="3"/>
      <c r="M151" s="3"/>
      <c r="N151" s="3"/>
      <c r="O151" s="3"/>
      <c r="P151" s="3"/>
      <c r="Q151" s="3"/>
    </row>
    <row r="152" customFormat="false" ht="12.8" hidden="false" customHeight="false" outlineLevel="0" collapsed="false">
      <c r="A152" s="50" t="s">
        <v>1302</v>
      </c>
      <c r="B152" s="39" t="s">
        <v>797</v>
      </c>
      <c r="C152" s="39" t="n">
        <v>0.92</v>
      </c>
      <c r="D152" s="39" t="s">
        <v>1303</v>
      </c>
      <c r="E152" s="39" t="s">
        <v>325</v>
      </c>
      <c r="F152" s="39" t="s">
        <v>420</v>
      </c>
      <c r="G152" s="51" t="s">
        <v>256</v>
      </c>
      <c r="H152" s="39" t="s">
        <v>472</v>
      </c>
      <c r="I152" s="3"/>
      <c r="J152" s="3"/>
      <c r="K152" s="3"/>
      <c r="L152" s="3"/>
      <c r="M152" s="3"/>
      <c r="N152" s="3"/>
      <c r="O152" s="3"/>
      <c r="P152" s="3"/>
      <c r="Q152" s="3"/>
    </row>
    <row r="153" customFormat="false" ht="12.8" hidden="false" customHeight="false" outlineLevel="0" collapsed="false">
      <c r="A153" s="50" t="s">
        <v>1304</v>
      </c>
      <c r="B153" s="39" t="s">
        <v>800</v>
      </c>
      <c r="C153" s="39" t="n">
        <v>0.98</v>
      </c>
      <c r="D153" s="39" t="s">
        <v>1305</v>
      </c>
      <c r="E153" s="39" t="s">
        <v>254</v>
      </c>
      <c r="F153" s="39" t="s">
        <v>770</v>
      </c>
      <c r="G153" s="51" t="s">
        <v>256</v>
      </c>
      <c r="H153" s="39" t="s">
        <v>1293</v>
      </c>
      <c r="I153" s="3"/>
      <c r="J153" s="3"/>
      <c r="K153" s="3"/>
      <c r="L153" s="3"/>
      <c r="M153" s="3"/>
      <c r="N153" s="3"/>
      <c r="O153" s="3"/>
      <c r="P153" s="3"/>
      <c r="Q153" s="3"/>
    </row>
    <row r="154" customFormat="false" ht="12.8" hidden="false" customHeight="false" outlineLevel="0" collapsed="false">
      <c r="A154" s="50" t="s">
        <v>1306</v>
      </c>
      <c r="B154" s="39" t="s">
        <v>1307</v>
      </c>
      <c r="C154" s="39" t="n">
        <v>0.91</v>
      </c>
      <c r="D154" s="39" t="s">
        <v>1308</v>
      </c>
      <c r="E154" s="39" t="s">
        <v>260</v>
      </c>
      <c r="F154" s="39" t="s">
        <v>805</v>
      </c>
      <c r="G154" s="51" t="s">
        <v>256</v>
      </c>
      <c r="H154" s="39" t="s">
        <v>264</v>
      </c>
      <c r="I154" s="3"/>
      <c r="J154" s="3"/>
      <c r="K154" s="3"/>
      <c r="L154" s="3"/>
      <c r="M154" s="3"/>
      <c r="N154" s="3"/>
      <c r="O154" s="3"/>
      <c r="P154" s="3"/>
      <c r="Q154" s="3"/>
    </row>
    <row r="155" customFormat="false" ht="12.8" hidden="false" customHeight="false" outlineLevel="0" collapsed="false">
      <c r="A155" s="50" t="s">
        <v>1309</v>
      </c>
      <c r="B155" s="39" t="s">
        <v>1310</v>
      </c>
      <c r="C155" s="39" t="n">
        <v>1.06</v>
      </c>
      <c r="D155" s="39" t="s">
        <v>1311</v>
      </c>
      <c r="E155" s="39" t="s">
        <v>260</v>
      </c>
      <c r="F155" s="39" t="s">
        <v>809</v>
      </c>
      <c r="G155" s="51" t="s">
        <v>256</v>
      </c>
      <c r="H155" s="39" t="s">
        <v>264</v>
      </c>
      <c r="I155" s="3"/>
      <c r="J155" s="3"/>
      <c r="K155" s="3"/>
      <c r="L155" s="3"/>
      <c r="M155" s="3"/>
      <c r="N155" s="3"/>
      <c r="O155" s="3"/>
      <c r="P155" s="3"/>
      <c r="Q155" s="3"/>
    </row>
    <row r="156" customFormat="false" ht="12.8" hidden="false" customHeight="false" outlineLevel="0" collapsed="false">
      <c r="A156" s="50" t="s">
        <v>1312</v>
      </c>
      <c r="B156" s="39" t="s">
        <v>1313</v>
      </c>
      <c r="C156" s="39" t="n">
        <v>0.92</v>
      </c>
      <c r="D156" s="39" t="s">
        <v>1314</v>
      </c>
      <c r="E156" s="39" t="s">
        <v>254</v>
      </c>
      <c r="F156" s="39" t="s">
        <v>310</v>
      </c>
      <c r="G156" s="51" t="s">
        <v>256</v>
      </c>
      <c r="H156" s="39" t="s">
        <v>264</v>
      </c>
      <c r="I156" s="3"/>
      <c r="J156" s="3"/>
      <c r="K156" s="3"/>
      <c r="L156" s="3"/>
      <c r="M156" s="3"/>
      <c r="N156" s="3"/>
      <c r="O156" s="3"/>
      <c r="P156" s="3"/>
      <c r="Q156" s="3"/>
    </row>
    <row r="157" customFormat="false" ht="12.8" hidden="false" customHeight="false" outlineLevel="0" collapsed="false">
      <c r="A157" s="50" t="s">
        <v>1315</v>
      </c>
      <c r="B157" s="39" t="s">
        <v>1316</v>
      </c>
      <c r="C157" s="39" t="n">
        <v>0.75</v>
      </c>
      <c r="D157" s="39" t="s">
        <v>1317</v>
      </c>
      <c r="E157" s="39" t="s">
        <v>260</v>
      </c>
      <c r="F157" s="39" t="s">
        <v>310</v>
      </c>
      <c r="G157" s="51" t="s">
        <v>256</v>
      </c>
      <c r="H157" s="39" t="s">
        <v>264</v>
      </c>
      <c r="I157" s="3"/>
      <c r="J157" s="3"/>
      <c r="K157" s="3"/>
      <c r="L157" s="3"/>
      <c r="M157" s="3"/>
      <c r="N157" s="3"/>
      <c r="O157" s="3"/>
      <c r="P157" s="3"/>
      <c r="Q157" s="3"/>
    </row>
    <row r="158" customFormat="false" ht="12.8" hidden="false" customHeight="false" outlineLevel="0" collapsed="false">
      <c r="A158" s="50" t="s">
        <v>1318</v>
      </c>
      <c r="B158" s="39" t="s">
        <v>1319</v>
      </c>
      <c r="C158" s="39" t="n">
        <v>0.65</v>
      </c>
      <c r="D158" s="39" t="s">
        <v>1320</v>
      </c>
      <c r="E158" s="39" t="s">
        <v>260</v>
      </c>
      <c r="F158" s="39" t="s">
        <v>310</v>
      </c>
      <c r="G158" s="51" t="s">
        <v>256</v>
      </c>
      <c r="H158" s="39" t="s">
        <v>264</v>
      </c>
      <c r="I158" s="3"/>
      <c r="J158" s="3"/>
      <c r="K158" s="3"/>
      <c r="L158" s="3"/>
      <c r="M158" s="3"/>
      <c r="N158" s="3"/>
      <c r="O158" s="3"/>
      <c r="P158" s="3"/>
      <c r="Q158" s="3"/>
    </row>
    <row r="159" customFormat="false" ht="12.8" hidden="false" customHeight="false" outlineLevel="0" collapsed="false">
      <c r="A159" s="50" t="s">
        <v>1321</v>
      </c>
      <c r="B159" s="39" t="s">
        <v>820</v>
      </c>
      <c r="C159" s="39" t="n">
        <v>0.005</v>
      </c>
      <c r="D159" s="39" t="s">
        <v>821</v>
      </c>
      <c r="E159" s="39" t="s">
        <v>260</v>
      </c>
      <c r="F159" s="39" t="s">
        <v>822</v>
      </c>
      <c r="G159" s="51" t="s">
        <v>256</v>
      </c>
      <c r="H159" s="39" t="s">
        <v>264</v>
      </c>
      <c r="I159" s="3"/>
      <c r="J159" s="3"/>
      <c r="K159" s="3"/>
      <c r="L159" s="3"/>
      <c r="M159" s="3"/>
      <c r="N159" s="3"/>
      <c r="O159" s="3"/>
      <c r="P159" s="3"/>
      <c r="Q159" s="3"/>
    </row>
    <row r="160" customFormat="false" ht="12.8" hidden="false" customHeight="false" outlineLevel="0" collapsed="false">
      <c r="A160" s="50" t="s">
        <v>1322</v>
      </c>
      <c r="B160" s="39" t="s">
        <v>824</v>
      </c>
      <c r="C160" s="39" t="n">
        <v>0.145</v>
      </c>
      <c r="D160" s="39" t="s">
        <v>825</v>
      </c>
      <c r="E160" s="39" t="s">
        <v>260</v>
      </c>
      <c r="F160" s="39" t="s">
        <v>826</v>
      </c>
      <c r="G160" s="51" t="s">
        <v>256</v>
      </c>
      <c r="H160" s="3"/>
      <c r="I160" s="3"/>
      <c r="J160" s="50" t="s">
        <v>1323</v>
      </c>
      <c r="K160" s="39" t="s">
        <v>263</v>
      </c>
      <c r="L160" s="39" t="s">
        <v>263</v>
      </c>
      <c r="M160" s="39" t="s">
        <v>263</v>
      </c>
      <c r="N160" s="39" t="s">
        <v>263</v>
      </c>
      <c r="O160" s="39" t="s">
        <v>263</v>
      </c>
      <c r="P160" s="39" t="s">
        <v>263</v>
      </c>
      <c r="Q160" s="3"/>
    </row>
    <row r="161" customFormat="false" ht="12.8" hidden="false" customHeight="false" outlineLevel="0" collapsed="false">
      <c r="A161" s="50" t="s">
        <v>1324</v>
      </c>
      <c r="B161" s="39" t="s">
        <v>828</v>
      </c>
      <c r="C161" s="39" t="n">
        <v>0.072</v>
      </c>
      <c r="D161" s="39" t="s">
        <v>829</v>
      </c>
      <c r="E161" s="39" t="s">
        <v>260</v>
      </c>
      <c r="F161" s="39" t="s">
        <v>822</v>
      </c>
      <c r="G161" s="51" t="s">
        <v>256</v>
      </c>
      <c r="H161" s="3"/>
      <c r="I161" s="3"/>
      <c r="J161" s="3"/>
      <c r="K161" s="3"/>
      <c r="L161" s="3"/>
      <c r="M161" s="3"/>
      <c r="N161" s="3"/>
      <c r="O161" s="3"/>
      <c r="P161" s="3"/>
      <c r="Q161" s="3"/>
    </row>
    <row r="162" customFormat="false" ht="12.8" hidden="false" customHeight="false" outlineLevel="0" collapsed="false">
      <c r="A162" s="50" t="s">
        <v>1325</v>
      </c>
      <c r="B162" s="39" t="s">
        <v>831</v>
      </c>
      <c r="C162" s="39" t="n">
        <v>0.037</v>
      </c>
      <c r="D162" s="39" t="s">
        <v>832</v>
      </c>
      <c r="E162" s="39" t="s">
        <v>260</v>
      </c>
      <c r="F162" s="39" t="s">
        <v>826</v>
      </c>
      <c r="G162" s="51" t="s">
        <v>256</v>
      </c>
      <c r="H162" s="3"/>
      <c r="I162" s="3"/>
      <c r="J162" s="3"/>
      <c r="K162" s="3"/>
      <c r="L162" s="3"/>
      <c r="M162" s="3"/>
      <c r="N162" s="3"/>
      <c r="O162" s="3"/>
      <c r="P162" s="3"/>
      <c r="Q162" s="3"/>
    </row>
    <row r="163" customFormat="false" ht="12.8" hidden="false" customHeight="false" outlineLevel="0" collapsed="false">
      <c r="A163" s="50" t="s">
        <v>1326</v>
      </c>
      <c r="B163" s="39" t="s">
        <v>834</v>
      </c>
      <c r="C163" s="39" t="n">
        <v>0.014</v>
      </c>
      <c r="D163" s="39" t="s">
        <v>835</v>
      </c>
      <c r="E163" s="39" t="s">
        <v>260</v>
      </c>
      <c r="F163" s="39" t="s">
        <v>822</v>
      </c>
      <c r="G163" s="51" t="s">
        <v>256</v>
      </c>
      <c r="H163" s="3"/>
      <c r="I163" s="3"/>
      <c r="J163" s="3"/>
      <c r="K163" s="3"/>
      <c r="L163" s="3"/>
      <c r="M163" s="3"/>
      <c r="N163" s="3"/>
      <c r="O163" s="3"/>
      <c r="P163" s="3"/>
      <c r="Q163" s="3"/>
    </row>
    <row r="164" customFormat="false" ht="12.8" hidden="false" customHeight="false" outlineLevel="0" collapsed="false">
      <c r="A164" s="50" t="s">
        <v>1327</v>
      </c>
      <c r="B164" s="39" t="s">
        <v>837</v>
      </c>
      <c r="C164" s="39" t="n">
        <v>0.04</v>
      </c>
      <c r="D164" s="39" t="s">
        <v>838</v>
      </c>
      <c r="E164" s="39" t="s">
        <v>260</v>
      </c>
      <c r="F164" s="39" t="s">
        <v>826</v>
      </c>
      <c r="G164" s="51" t="s">
        <v>256</v>
      </c>
      <c r="H164" s="3"/>
      <c r="I164" s="3"/>
      <c r="J164" s="3"/>
      <c r="K164" s="3"/>
      <c r="L164" s="3"/>
      <c r="M164" s="3"/>
      <c r="N164" s="3"/>
      <c r="O164" s="3"/>
      <c r="P164" s="3"/>
      <c r="Q164" s="3"/>
    </row>
    <row r="165" customFormat="false" ht="12.8" hidden="false" customHeight="false" outlineLevel="0" collapsed="false">
      <c r="A165" s="50" t="s">
        <v>1328</v>
      </c>
      <c r="B165" s="39" t="s">
        <v>840</v>
      </c>
      <c r="C165" s="39" t="n">
        <v>0.034</v>
      </c>
      <c r="D165" s="39" t="s">
        <v>841</v>
      </c>
      <c r="E165" s="39" t="s">
        <v>260</v>
      </c>
      <c r="F165" s="39" t="s">
        <v>822</v>
      </c>
      <c r="G165" s="51" t="s">
        <v>256</v>
      </c>
      <c r="H165" s="3"/>
      <c r="I165" s="3"/>
      <c r="J165" s="3"/>
      <c r="K165" s="3"/>
      <c r="L165" s="3"/>
      <c r="M165" s="3"/>
      <c r="N165" s="3"/>
      <c r="O165" s="3"/>
      <c r="P165" s="3"/>
      <c r="Q165" s="3"/>
    </row>
    <row r="166" customFormat="false" ht="12.8" hidden="false" customHeight="false" outlineLevel="0" collapsed="false">
      <c r="A166" s="50" t="s">
        <v>1329</v>
      </c>
      <c r="B166" s="39" t="s">
        <v>843</v>
      </c>
      <c r="C166" s="39" t="n">
        <v>0.102</v>
      </c>
      <c r="D166" s="39" t="s">
        <v>844</v>
      </c>
      <c r="E166" s="39" t="s">
        <v>260</v>
      </c>
      <c r="F166" s="39" t="s">
        <v>826</v>
      </c>
      <c r="G166" s="51" t="s">
        <v>256</v>
      </c>
      <c r="H166" s="3"/>
      <c r="I166" s="3"/>
      <c r="J166" s="3"/>
      <c r="K166" s="3"/>
      <c r="L166" s="3"/>
      <c r="M166" s="3"/>
      <c r="N166" s="3"/>
      <c r="O166" s="3"/>
      <c r="P166" s="3"/>
      <c r="Q166" s="3"/>
    </row>
    <row r="167" customFormat="false" ht="12.8" hidden="false" customHeight="false" outlineLevel="0" collapsed="false">
      <c r="A167" s="50" t="s">
        <v>1330</v>
      </c>
      <c r="B167" s="39" t="s">
        <v>846</v>
      </c>
      <c r="C167" s="39" t="n">
        <v>0.021</v>
      </c>
      <c r="D167" s="39" t="s">
        <v>847</v>
      </c>
      <c r="E167" s="39" t="s">
        <v>260</v>
      </c>
      <c r="F167" s="39" t="s">
        <v>822</v>
      </c>
      <c r="G167" s="51" t="s">
        <v>256</v>
      </c>
      <c r="H167" s="3"/>
      <c r="I167" s="3"/>
      <c r="J167" s="3"/>
      <c r="K167" s="3"/>
      <c r="L167" s="3"/>
      <c r="M167" s="3"/>
      <c r="N167" s="3"/>
      <c r="O167" s="3"/>
      <c r="P167" s="3"/>
      <c r="Q167" s="3"/>
    </row>
    <row r="168" customFormat="false" ht="12.8" hidden="false" customHeight="false" outlineLevel="0" collapsed="false">
      <c r="A168" s="50" t="s">
        <v>1331</v>
      </c>
      <c r="B168" s="39" t="s">
        <v>849</v>
      </c>
      <c r="C168" s="39" t="n">
        <v>0.039</v>
      </c>
      <c r="D168" s="39" t="s">
        <v>850</v>
      </c>
      <c r="E168" s="39" t="s">
        <v>260</v>
      </c>
      <c r="F168" s="39" t="s">
        <v>826</v>
      </c>
      <c r="G168" s="51" t="s">
        <v>256</v>
      </c>
      <c r="H168" s="3"/>
      <c r="I168" s="3"/>
      <c r="J168" s="3"/>
      <c r="K168" s="3"/>
      <c r="L168" s="3"/>
      <c r="M168" s="3"/>
      <c r="N168" s="3"/>
      <c r="O168" s="3"/>
      <c r="P168" s="3"/>
      <c r="Q168" s="3"/>
    </row>
    <row r="169" customFormat="false" ht="12.8" hidden="false" customHeight="false" outlineLevel="0" collapsed="false">
      <c r="A169" s="50" t="s">
        <v>1332</v>
      </c>
      <c r="B169" s="39" t="s">
        <v>852</v>
      </c>
      <c r="C169" s="39" t="n">
        <v>0.021</v>
      </c>
      <c r="D169" s="39" t="s">
        <v>853</v>
      </c>
      <c r="E169" s="39" t="s">
        <v>260</v>
      </c>
      <c r="F169" s="39" t="s">
        <v>822</v>
      </c>
      <c r="G169" s="51" t="s">
        <v>256</v>
      </c>
      <c r="H169" s="3"/>
      <c r="I169" s="3"/>
      <c r="J169" s="3"/>
      <c r="K169" s="3"/>
      <c r="L169" s="3"/>
      <c r="M169" s="3"/>
      <c r="N169" s="3"/>
      <c r="O169" s="3"/>
      <c r="P169" s="3"/>
      <c r="Q169" s="3"/>
    </row>
    <row r="170" customFormat="false" ht="12.8" hidden="false" customHeight="false" outlineLevel="0" collapsed="false">
      <c r="A170" s="50" t="s">
        <v>1333</v>
      </c>
      <c r="B170" s="39" t="s">
        <v>855</v>
      </c>
      <c r="C170" s="39" t="n">
        <v>0.014</v>
      </c>
      <c r="D170" s="39" t="s">
        <v>856</v>
      </c>
      <c r="E170" s="39" t="s">
        <v>260</v>
      </c>
      <c r="F170" s="39" t="s">
        <v>826</v>
      </c>
      <c r="G170" s="51" t="s">
        <v>256</v>
      </c>
      <c r="H170" s="3"/>
      <c r="I170" s="3"/>
      <c r="J170" s="3"/>
      <c r="K170" s="3"/>
      <c r="L170" s="3"/>
      <c r="M170" s="3"/>
      <c r="N170" s="3"/>
      <c r="O170" s="3"/>
      <c r="P170" s="3"/>
      <c r="Q170" s="3"/>
    </row>
    <row r="171" customFormat="false" ht="12.8" hidden="false" customHeight="false" outlineLevel="0" collapsed="false">
      <c r="A171" s="50" t="s">
        <v>1334</v>
      </c>
      <c r="B171" s="39" t="s">
        <v>858</v>
      </c>
      <c r="C171" s="39" t="n">
        <v>0.028</v>
      </c>
      <c r="D171" s="39" t="s">
        <v>859</v>
      </c>
      <c r="E171" s="39" t="s">
        <v>260</v>
      </c>
      <c r="F171" s="39" t="s">
        <v>822</v>
      </c>
      <c r="G171" s="51" t="s">
        <v>256</v>
      </c>
      <c r="H171" s="3"/>
      <c r="I171" s="3"/>
      <c r="J171" s="3"/>
      <c r="K171" s="3"/>
      <c r="L171" s="3"/>
      <c r="M171" s="3"/>
      <c r="N171" s="3"/>
      <c r="O171" s="3"/>
      <c r="P171" s="3"/>
      <c r="Q171" s="3"/>
    </row>
    <row r="172" customFormat="false" ht="12.8" hidden="false" customHeight="false" outlineLevel="0" collapsed="false">
      <c r="A172" s="50" t="s">
        <v>1335</v>
      </c>
      <c r="B172" s="39" t="s">
        <v>861</v>
      </c>
      <c r="C172" s="39" t="n">
        <v>0.014</v>
      </c>
      <c r="D172" s="39" t="s">
        <v>862</v>
      </c>
      <c r="E172" s="39" t="s">
        <v>260</v>
      </c>
      <c r="F172" s="39" t="s">
        <v>826</v>
      </c>
      <c r="G172" s="51" t="s">
        <v>256</v>
      </c>
      <c r="H172" s="3"/>
      <c r="I172" s="3"/>
      <c r="J172" s="3"/>
      <c r="K172" s="3"/>
      <c r="L172" s="3"/>
      <c r="M172" s="3"/>
      <c r="N172" s="3"/>
      <c r="O172" s="3"/>
      <c r="P172" s="3"/>
      <c r="Q172" s="3"/>
    </row>
    <row r="173" customFormat="false" ht="12.8" hidden="false" customHeight="false" outlineLevel="0" collapsed="false">
      <c r="A173" s="50" t="s">
        <v>1336</v>
      </c>
      <c r="B173" s="39" t="s">
        <v>864</v>
      </c>
      <c r="C173" s="39" t="n">
        <v>0.021</v>
      </c>
      <c r="D173" s="39" t="s">
        <v>865</v>
      </c>
      <c r="E173" s="39" t="s">
        <v>260</v>
      </c>
      <c r="F173" s="39" t="s">
        <v>822</v>
      </c>
      <c r="G173" s="51" t="s">
        <v>256</v>
      </c>
      <c r="H173" s="3"/>
      <c r="I173" s="3"/>
      <c r="J173" s="3"/>
      <c r="K173" s="3"/>
      <c r="L173" s="3"/>
      <c r="M173" s="3"/>
      <c r="N173" s="3"/>
      <c r="O173" s="3"/>
      <c r="P173" s="3"/>
      <c r="Q173" s="3"/>
    </row>
    <row r="174" customFormat="false" ht="12.8" hidden="false" customHeight="false" outlineLevel="0" collapsed="false">
      <c r="A174" s="50" t="s">
        <v>1337</v>
      </c>
      <c r="B174" s="39" t="s">
        <v>867</v>
      </c>
      <c r="C174" s="39" t="n">
        <v>0.026</v>
      </c>
      <c r="D174" s="39" t="s">
        <v>868</v>
      </c>
      <c r="E174" s="39" t="s">
        <v>260</v>
      </c>
      <c r="F174" s="39" t="s">
        <v>826</v>
      </c>
      <c r="G174" s="51" t="s">
        <v>256</v>
      </c>
      <c r="H174" s="3"/>
      <c r="I174" s="3"/>
      <c r="J174" s="3"/>
      <c r="K174" s="3"/>
      <c r="L174" s="3"/>
      <c r="M174" s="3"/>
      <c r="N174" s="3"/>
      <c r="O174" s="3"/>
      <c r="P174" s="3"/>
      <c r="Q174" s="3"/>
    </row>
    <row r="175" customFormat="false" ht="12.8" hidden="false" customHeight="false" outlineLevel="0" collapsed="false">
      <c r="A175" s="50" t="s">
        <v>1338</v>
      </c>
      <c r="B175" s="39" t="s">
        <v>870</v>
      </c>
      <c r="C175" s="39" t="n">
        <v>0.068</v>
      </c>
      <c r="D175" s="39" t="s">
        <v>871</v>
      </c>
      <c r="E175" s="39" t="s">
        <v>260</v>
      </c>
      <c r="F175" s="39" t="s">
        <v>822</v>
      </c>
      <c r="G175" s="51" t="s">
        <v>256</v>
      </c>
      <c r="H175" s="3"/>
      <c r="I175" s="3"/>
      <c r="J175" s="3"/>
      <c r="K175" s="3"/>
      <c r="L175" s="3"/>
      <c r="M175" s="3"/>
      <c r="N175" s="3"/>
      <c r="O175" s="3"/>
      <c r="P175" s="3"/>
      <c r="Q175" s="3"/>
    </row>
    <row r="176" customFormat="false" ht="12.8" hidden="false" customHeight="false" outlineLevel="0" collapsed="false">
      <c r="A176" s="50" t="s">
        <v>1339</v>
      </c>
      <c r="B176" s="39" t="s">
        <v>873</v>
      </c>
      <c r="C176" s="39" t="n">
        <v>0.026</v>
      </c>
      <c r="D176" s="39" t="s">
        <v>874</v>
      </c>
      <c r="E176" s="39" t="s">
        <v>260</v>
      </c>
      <c r="F176" s="39" t="s">
        <v>826</v>
      </c>
      <c r="G176" s="51" t="s">
        <v>256</v>
      </c>
      <c r="H176" s="3"/>
      <c r="I176" s="3"/>
      <c r="J176" s="3"/>
      <c r="K176" s="3"/>
      <c r="L176" s="3"/>
      <c r="M176" s="3"/>
      <c r="N176" s="3"/>
      <c r="O176" s="3"/>
      <c r="P176" s="3"/>
      <c r="Q176" s="3"/>
    </row>
    <row r="177" customFormat="false" ht="12.8" hidden="false" customHeight="false" outlineLevel="0" collapsed="false">
      <c r="A177" s="50" t="s">
        <v>1340</v>
      </c>
      <c r="B177" s="39" t="s">
        <v>876</v>
      </c>
      <c r="C177" s="39" t="n">
        <v>0.014</v>
      </c>
      <c r="D177" s="39" t="s">
        <v>877</v>
      </c>
      <c r="E177" s="39" t="s">
        <v>260</v>
      </c>
      <c r="F177" s="39" t="s">
        <v>822</v>
      </c>
      <c r="G177" s="51" t="s">
        <v>256</v>
      </c>
      <c r="H177" s="3"/>
      <c r="I177" s="3"/>
      <c r="J177" s="3"/>
      <c r="K177" s="3"/>
      <c r="L177" s="3"/>
      <c r="M177" s="3"/>
      <c r="N177" s="3"/>
      <c r="O177" s="3"/>
      <c r="P177" s="3"/>
      <c r="Q177" s="3"/>
    </row>
    <row r="178" customFormat="false" ht="12.8" hidden="false" customHeight="false" outlineLevel="0" collapsed="false">
      <c r="A178" s="50" t="s">
        <v>1341</v>
      </c>
      <c r="B178" s="39" t="s">
        <v>879</v>
      </c>
      <c r="C178" s="39" t="n">
        <v>0.077</v>
      </c>
      <c r="D178" s="39" t="s">
        <v>880</v>
      </c>
      <c r="E178" s="39" t="s">
        <v>260</v>
      </c>
      <c r="F178" s="39" t="s">
        <v>826</v>
      </c>
      <c r="G178" s="51" t="s">
        <v>256</v>
      </c>
      <c r="H178" s="3"/>
      <c r="I178" s="3"/>
      <c r="J178" s="3"/>
      <c r="K178" s="3"/>
      <c r="L178" s="3"/>
      <c r="M178" s="3"/>
      <c r="N178" s="3"/>
      <c r="O178" s="3"/>
      <c r="P178" s="3"/>
      <c r="Q178" s="3"/>
    </row>
    <row r="179" customFormat="false" ht="12.8" hidden="false" customHeight="false" outlineLevel="0" collapsed="false">
      <c r="A179" s="50" t="s">
        <v>1342</v>
      </c>
      <c r="B179" s="39" t="s">
        <v>882</v>
      </c>
      <c r="C179" s="39" t="n">
        <v>0.008</v>
      </c>
      <c r="D179" s="39" t="s">
        <v>883</v>
      </c>
      <c r="E179" s="39" t="s">
        <v>260</v>
      </c>
      <c r="F179" s="39" t="s">
        <v>822</v>
      </c>
      <c r="G179" s="51" t="s">
        <v>256</v>
      </c>
      <c r="H179" s="3"/>
      <c r="I179" s="3"/>
      <c r="J179" s="3"/>
      <c r="K179" s="3"/>
      <c r="L179" s="3"/>
      <c r="M179" s="3"/>
      <c r="N179" s="3"/>
      <c r="O179" s="3"/>
      <c r="P179" s="3"/>
      <c r="Q179" s="3"/>
    </row>
    <row r="180" customFormat="false" ht="12.8" hidden="false" customHeight="false" outlineLevel="0" collapsed="false">
      <c r="A180" s="50" t="s">
        <v>1343</v>
      </c>
      <c r="B180" s="39" t="s">
        <v>885</v>
      </c>
      <c r="C180" s="39" t="n">
        <v>0.039</v>
      </c>
      <c r="D180" s="39" t="s">
        <v>886</v>
      </c>
      <c r="E180" s="39" t="s">
        <v>260</v>
      </c>
      <c r="F180" s="39" t="s">
        <v>826</v>
      </c>
      <c r="G180" s="51" t="s">
        <v>256</v>
      </c>
      <c r="H180" s="3"/>
      <c r="I180" s="3"/>
      <c r="J180" s="3"/>
      <c r="K180" s="3"/>
      <c r="L180" s="3"/>
      <c r="M180" s="3"/>
      <c r="N180" s="3"/>
      <c r="O180" s="3"/>
      <c r="P180" s="3"/>
      <c r="Q180" s="3"/>
    </row>
    <row r="181" customFormat="false" ht="12.8" hidden="false" customHeight="false" outlineLevel="0" collapsed="false">
      <c r="A181" s="50" t="s">
        <v>1344</v>
      </c>
      <c r="B181" s="39" t="s">
        <v>888</v>
      </c>
      <c r="C181" s="39" t="n">
        <v>0.008</v>
      </c>
      <c r="D181" s="39" t="s">
        <v>889</v>
      </c>
      <c r="E181" s="39" t="s">
        <v>260</v>
      </c>
      <c r="F181" s="39" t="s">
        <v>822</v>
      </c>
      <c r="G181" s="51" t="s">
        <v>256</v>
      </c>
      <c r="H181" s="3"/>
      <c r="I181" s="3"/>
      <c r="J181" s="3"/>
      <c r="K181" s="3"/>
      <c r="L181" s="3"/>
      <c r="M181" s="3"/>
      <c r="N181" s="3"/>
      <c r="O181" s="3"/>
      <c r="P181" s="3"/>
      <c r="Q181" s="3"/>
    </row>
    <row r="182" customFormat="false" ht="12.8" hidden="false" customHeight="false" outlineLevel="0" collapsed="false">
      <c r="A182" s="50" t="s">
        <v>1345</v>
      </c>
      <c r="B182" s="39" t="s">
        <v>891</v>
      </c>
      <c r="C182" s="39" t="n">
        <v>0.007</v>
      </c>
      <c r="D182" s="39" t="s">
        <v>892</v>
      </c>
      <c r="E182" s="39" t="s">
        <v>260</v>
      </c>
      <c r="F182" s="39" t="s">
        <v>826</v>
      </c>
      <c r="G182" s="51" t="s">
        <v>256</v>
      </c>
      <c r="H182" s="3"/>
      <c r="I182" s="3"/>
      <c r="J182" s="3"/>
      <c r="K182" s="3"/>
      <c r="L182" s="3"/>
      <c r="M182" s="3"/>
      <c r="N182" s="3"/>
      <c r="O182" s="3"/>
      <c r="P182" s="3"/>
      <c r="Q182" s="3"/>
    </row>
    <row r="183" customFormat="false" ht="12.8" hidden="false" customHeight="false" outlineLevel="0" collapsed="false">
      <c r="A183" s="50" t="s">
        <v>1346</v>
      </c>
      <c r="B183" s="39" t="s">
        <v>1347</v>
      </c>
      <c r="C183" s="39" t="n">
        <v>0.025</v>
      </c>
      <c r="D183" s="39" t="s">
        <v>1348</v>
      </c>
      <c r="E183" s="39" t="s">
        <v>325</v>
      </c>
      <c r="F183" s="39" t="s">
        <v>896</v>
      </c>
      <c r="G183" s="51" t="s">
        <v>256</v>
      </c>
      <c r="H183" s="39" t="s">
        <v>1349</v>
      </c>
      <c r="I183" s="3"/>
      <c r="J183" s="3"/>
      <c r="K183" s="3"/>
      <c r="L183" s="3"/>
      <c r="M183" s="3"/>
      <c r="N183" s="3"/>
      <c r="O183" s="3"/>
      <c r="P183" s="3"/>
      <c r="Q183" s="3"/>
    </row>
    <row r="184" customFormat="false" ht="12.8" hidden="false" customHeight="false" outlineLevel="0" collapsed="false">
      <c r="A184" s="50" t="s">
        <v>1350</v>
      </c>
      <c r="B184" s="39" t="s">
        <v>1351</v>
      </c>
      <c r="C184" s="39" t="n">
        <v>0.02</v>
      </c>
      <c r="D184" s="39" t="s">
        <v>1352</v>
      </c>
      <c r="E184" s="39" t="s">
        <v>260</v>
      </c>
      <c r="F184" s="39" t="s">
        <v>896</v>
      </c>
      <c r="G184" s="51" t="s">
        <v>256</v>
      </c>
      <c r="H184" s="39" t="s">
        <v>1353</v>
      </c>
    </row>
    <row r="185" customFormat="false" ht="12.8" hidden="false" customHeight="false" outlineLevel="0" collapsed="false">
      <c r="A185" s="50" t="s">
        <v>1354</v>
      </c>
      <c r="B185" s="39" t="s">
        <v>1355</v>
      </c>
      <c r="C185" s="39" t="n">
        <v>0.015</v>
      </c>
      <c r="D185" s="39" t="s">
        <v>1356</v>
      </c>
      <c r="E185" s="39" t="s">
        <v>254</v>
      </c>
      <c r="F185" s="39" t="s">
        <v>896</v>
      </c>
      <c r="G185" s="51" t="s">
        <v>256</v>
      </c>
      <c r="H185" s="39" t="s">
        <v>1357</v>
      </c>
    </row>
    <row r="186" customFormat="false" ht="12.8" hidden="false" customHeight="false" outlineLevel="0" collapsed="false">
      <c r="A186" s="50" t="s">
        <v>1358</v>
      </c>
      <c r="B186" s="39" t="s">
        <v>1359</v>
      </c>
      <c r="C186" s="39" t="n">
        <v>0.03</v>
      </c>
      <c r="D186" s="39" t="s">
        <v>1360</v>
      </c>
      <c r="E186" s="39" t="s">
        <v>254</v>
      </c>
      <c r="F186" s="39" t="s">
        <v>896</v>
      </c>
      <c r="G186" s="51" t="s">
        <v>256</v>
      </c>
      <c r="H186" s="39" t="s">
        <v>1349</v>
      </c>
    </row>
    <row r="187" customFormat="false" ht="12.8" hidden="false" customHeight="false" outlineLevel="0" collapsed="false">
      <c r="A187" s="50" t="s">
        <v>1361</v>
      </c>
      <c r="B187" s="39" t="s">
        <v>1362</v>
      </c>
      <c r="C187" s="39" t="n">
        <v>0.018</v>
      </c>
      <c r="D187" s="39" t="s">
        <v>1363</v>
      </c>
      <c r="E187" s="39" t="s">
        <v>260</v>
      </c>
      <c r="F187" s="39" t="s">
        <v>896</v>
      </c>
      <c r="G187" s="51" t="s">
        <v>256</v>
      </c>
      <c r="H187" s="39" t="s">
        <v>1364</v>
      </c>
    </row>
    <row r="188" customFormat="false" ht="12.8" hidden="false" customHeight="false" outlineLevel="0" collapsed="false">
      <c r="A188" s="50" t="s">
        <v>1365</v>
      </c>
      <c r="B188" s="39" t="s">
        <v>1366</v>
      </c>
      <c r="C188" s="39" t="n">
        <v>0.02</v>
      </c>
      <c r="D188" s="39" t="s">
        <v>1367</v>
      </c>
      <c r="E188" s="39" t="s">
        <v>260</v>
      </c>
      <c r="F188" s="39" t="s">
        <v>896</v>
      </c>
      <c r="G188" s="51" t="s">
        <v>256</v>
      </c>
      <c r="H188" s="39" t="s">
        <v>1353</v>
      </c>
    </row>
    <row r="189" customFormat="false" ht="12.8" hidden="false" customHeight="false" outlineLevel="0" collapsed="false">
      <c r="A189" s="50" t="s">
        <v>1368</v>
      </c>
      <c r="B189" s="39" t="s">
        <v>1369</v>
      </c>
      <c r="C189" s="39" t="n">
        <v>0.016</v>
      </c>
      <c r="D189" s="39" t="s">
        <v>1370</v>
      </c>
      <c r="E189" s="39" t="s">
        <v>254</v>
      </c>
      <c r="F189" s="39" t="s">
        <v>896</v>
      </c>
      <c r="G189" s="51" t="s">
        <v>256</v>
      </c>
      <c r="H189" s="39" t="s">
        <v>1371</v>
      </c>
    </row>
    <row r="190" customFormat="false" ht="12.8" hidden="false" customHeight="false" outlineLevel="0" collapsed="false">
      <c r="A190" s="50" t="s">
        <v>1372</v>
      </c>
      <c r="B190" s="39" t="s">
        <v>1373</v>
      </c>
      <c r="C190" s="39" t="n">
        <v>0.014</v>
      </c>
      <c r="D190" s="39" t="s">
        <v>1374</v>
      </c>
      <c r="E190" s="39" t="s">
        <v>254</v>
      </c>
      <c r="F190" s="39" t="s">
        <v>896</v>
      </c>
      <c r="G190" s="51" t="s">
        <v>256</v>
      </c>
      <c r="H190" s="39" t="s">
        <v>1375</v>
      </c>
    </row>
    <row r="191" customFormat="false" ht="12.8" hidden="false" customHeight="false" outlineLevel="0" collapsed="false">
      <c r="A191" s="50" t="s">
        <v>1376</v>
      </c>
      <c r="B191" s="39" t="s">
        <v>1377</v>
      </c>
      <c r="C191" s="39" t="n">
        <v>0.023</v>
      </c>
      <c r="D191" s="39" t="s">
        <v>1378</v>
      </c>
      <c r="E191" s="39" t="s">
        <v>260</v>
      </c>
      <c r="F191" s="39" t="s">
        <v>896</v>
      </c>
      <c r="G191" s="51" t="s">
        <v>256</v>
      </c>
      <c r="H191" s="39" t="s">
        <v>1379</v>
      </c>
    </row>
    <row r="192" customFormat="false" ht="12.8" hidden="false" customHeight="false" outlineLevel="0" collapsed="false">
      <c r="A192" s="50" t="s">
        <v>1380</v>
      </c>
      <c r="B192" s="39" t="s">
        <v>1381</v>
      </c>
      <c r="C192" s="39" t="n">
        <v>0.026</v>
      </c>
      <c r="D192" s="39" t="s">
        <v>1382</v>
      </c>
      <c r="E192" s="39" t="s">
        <v>260</v>
      </c>
      <c r="F192" s="39" t="s">
        <v>896</v>
      </c>
      <c r="G192" s="51" t="s">
        <v>256</v>
      </c>
      <c r="H192" s="39" t="s">
        <v>1383</v>
      </c>
    </row>
    <row r="193" customFormat="false" ht="12.8" hidden="false" customHeight="false" outlineLevel="0" collapsed="false">
      <c r="A193" s="50" t="s">
        <v>1384</v>
      </c>
      <c r="B193" s="39" t="s">
        <v>1385</v>
      </c>
      <c r="C193" s="39" t="n">
        <v>0.021</v>
      </c>
      <c r="D193" s="39" t="s">
        <v>1386</v>
      </c>
      <c r="E193" s="39" t="s">
        <v>260</v>
      </c>
      <c r="F193" s="39" t="s">
        <v>896</v>
      </c>
      <c r="G193" s="51" t="s">
        <v>256</v>
      </c>
      <c r="H193" s="39" t="s">
        <v>1353</v>
      </c>
    </row>
    <row r="194" customFormat="false" ht="12.8" hidden="false" customHeight="false" outlineLevel="0" collapsed="false">
      <c r="A194" s="50" t="s">
        <v>1387</v>
      </c>
      <c r="B194" s="39" t="s">
        <v>1388</v>
      </c>
      <c r="C194" s="39" t="n">
        <v>0.027</v>
      </c>
      <c r="D194" s="39" t="s">
        <v>1389</v>
      </c>
      <c r="E194" s="39" t="s">
        <v>260</v>
      </c>
      <c r="F194" s="39" t="s">
        <v>896</v>
      </c>
      <c r="G194" s="51" t="s">
        <v>256</v>
      </c>
      <c r="H194" s="39" t="s">
        <v>1390</v>
      </c>
    </row>
    <row r="195" customFormat="false" ht="12.8" hidden="false" customHeight="false" outlineLevel="0" collapsed="false">
      <c r="A195" s="50" t="s">
        <v>1391</v>
      </c>
      <c r="B195" s="39" t="s">
        <v>1392</v>
      </c>
      <c r="C195" s="39" t="n">
        <v>0.019</v>
      </c>
      <c r="D195" s="39" t="s">
        <v>1393</v>
      </c>
      <c r="E195" s="39" t="s">
        <v>325</v>
      </c>
      <c r="F195" s="39" t="s">
        <v>896</v>
      </c>
      <c r="G195" s="51" t="s">
        <v>256</v>
      </c>
      <c r="H195" s="39" t="s">
        <v>1394</v>
      </c>
    </row>
    <row r="196" customFormat="false" ht="12.8" hidden="false" customHeight="false" outlineLevel="0" collapsed="false">
      <c r="A196" s="50" t="s">
        <v>1395</v>
      </c>
      <c r="B196" s="39" t="s">
        <v>1396</v>
      </c>
      <c r="C196" s="39" t="n">
        <v>0.013</v>
      </c>
      <c r="D196" s="39" t="s">
        <v>1397</v>
      </c>
      <c r="E196" s="39" t="s">
        <v>254</v>
      </c>
      <c r="F196" s="39" t="s">
        <v>896</v>
      </c>
      <c r="G196" s="51" t="s">
        <v>256</v>
      </c>
      <c r="H196" s="39" t="s">
        <v>1357</v>
      </c>
    </row>
    <row r="197" customFormat="false" ht="12.8" hidden="false" customHeight="false" outlineLevel="0" collapsed="false">
      <c r="A197" s="50" t="s">
        <v>1398</v>
      </c>
      <c r="B197" s="39" t="s">
        <v>1399</v>
      </c>
      <c r="C197" s="39" t="n">
        <v>0.019</v>
      </c>
      <c r="D197" s="39" t="s">
        <v>1400</v>
      </c>
      <c r="E197" s="39" t="s">
        <v>260</v>
      </c>
      <c r="F197" s="39" t="s">
        <v>896</v>
      </c>
      <c r="G197" s="51" t="s">
        <v>256</v>
      </c>
      <c r="H197" s="39" t="s">
        <v>1353</v>
      </c>
    </row>
    <row r="198" customFormat="false" ht="12.8" hidden="false" customHeight="false" outlineLevel="0" collapsed="false">
      <c r="A198" s="50" t="s">
        <v>1401</v>
      </c>
      <c r="B198" s="39" t="s">
        <v>1402</v>
      </c>
      <c r="C198" s="39" t="n">
        <v>0.02</v>
      </c>
      <c r="D198" s="39" t="s">
        <v>1403</v>
      </c>
      <c r="E198" s="39" t="s">
        <v>260</v>
      </c>
      <c r="F198" s="39" t="s">
        <v>896</v>
      </c>
      <c r="G198" s="51" t="s">
        <v>256</v>
      </c>
      <c r="H198" s="39" t="s">
        <v>1404</v>
      </c>
    </row>
    <row r="199" customFormat="false" ht="12.8" hidden="false" customHeight="false" outlineLevel="0" collapsed="false">
      <c r="A199" s="50" t="s">
        <v>1405</v>
      </c>
      <c r="B199" s="39" t="s">
        <v>1406</v>
      </c>
      <c r="C199" s="39" t="n">
        <v>0.024</v>
      </c>
      <c r="D199" s="39" t="s">
        <v>1407</v>
      </c>
      <c r="E199" s="39" t="s">
        <v>260</v>
      </c>
      <c r="F199" s="39" t="s">
        <v>896</v>
      </c>
      <c r="G199" s="51" t="s">
        <v>256</v>
      </c>
      <c r="H199" s="39" t="s">
        <v>1408</v>
      </c>
    </row>
    <row r="200" customFormat="false" ht="12.8" hidden="false" customHeight="false" outlineLevel="0" collapsed="false">
      <c r="A200" s="50" t="s">
        <v>1409</v>
      </c>
      <c r="B200" s="39" t="s">
        <v>1410</v>
      </c>
      <c r="C200" s="39" t="n">
        <v>0.014</v>
      </c>
      <c r="D200" s="39" t="s">
        <v>1411</v>
      </c>
      <c r="E200" s="39" t="s">
        <v>254</v>
      </c>
      <c r="F200" s="39" t="s">
        <v>896</v>
      </c>
      <c r="G200" s="51" t="s">
        <v>256</v>
      </c>
      <c r="H200" s="39" t="s">
        <v>1357</v>
      </c>
    </row>
    <row r="201" customFormat="false" ht="12.8" hidden="false" customHeight="false" outlineLevel="0" collapsed="false">
      <c r="A201" s="50" t="s">
        <v>1412</v>
      </c>
      <c r="B201" s="39" t="s">
        <v>1413</v>
      </c>
      <c r="C201" s="39" t="n">
        <v>0.013</v>
      </c>
      <c r="D201" s="39" t="s">
        <v>1414</v>
      </c>
      <c r="E201" s="39" t="s">
        <v>254</v>
      </c>
      <c r="F201" s="39" t="s">
        <v>896</v>
      </c>
      <c r="G201" s="51" t="s">
        <v>256</v>
      </c>
      <c r="H201" s="39" t="s">
        <v>1415</v>
      </c>
    </row>
    <row r="202" customFormat="false" ht="12.8" hidden="false" customHeight="false" outlineLevel="0" collapsed="false">
      <c r="A202" s="50" t="s">
        <v>1416</v>
      </c>
      <c r="B202" s="39" t="s">
        <v>1417</v>
      </c>
      <c r="C202" s="39" t="n">
        <v>0.028</v>
      </c>
      <c r="D202" s="39" t="s">
        <v>1418</v>
      </c>
      <c r="E202" s="39" t="s">
        <v>325</v>
      </c>
      <c r="F202" s="39" t="s">
        <v>896</v>
      </c>
      <c r="G202" s="51" t="s">
        <v>256</v>
      </c>
      <c r="H202" s="39" t="s">
        <v>1419</v>
      </c>
    </row>
    <row r="203" customFormat="false" ht="12.8" hidden="false" customHeight="false" outlineLevel="0" collapsed="false">
      <c r="A203" s="50" t="s">
        <v>1420</v>
      </c>
      <c r="B203" s="39" t="s">
        <v>1421</v>
      </c>
      <c r="C203" s="39" t="n">
        <v>0.031</v>
      </c>
      <c r="D203" s="39" t="s">
        <v>1422</v>
      </c>
      <c r="E203" s="39" t="s">
        <v>325</v>
      </c>
      <c r="F203" s="39" t="s">
        <v>896</v>
      </c>
      <c r="G203" s="51" t="s">
        <v>256</v>
      </c>
      <c r="H203" s="39" t="s">
        <v>1423</v>
      </c>
    </row>
    <row r="204" customFormat="false" ht="12.8" hidden="false" customHeight="false" outlineLevel="0" collapsed="false">
      <c r="A204" s="50" t="s">
        <v>1424</v>
      </c>
      <c r="B204" s="39" t="s">
        <v>1425</v>
      </c>
      <c r="C204" s="39" t="n">
        <v>0.025</v>
      </c>
      <c r="D204" s="39" t="s">
        <v>1426</v>
      </c>
      <c r="E204" s="39" t="s">
        <v>325</v>
      </c>
      <c r="F204" s="39" t="s">
        <v>896</v>
      </c>
      <c r="G204" s="51" t="s">
        <v>256</v>
      </c>
      <c r="H204" s="39" t="s">
        <v>1427</v>
      </c>
    </row>
    <row r="205" customFormat="false" ht="12.8" hidden="false" customHeight="false" outlineLevel="0" collapsed="false">
      <c r="A205" s="50" t="s">
        <v>1428</v>
      </c>
      <c r="B205" s="39" t="s">
        <v>1429</v>
      </c>
      <c r="C205" s="39" t="n">
        <v>0.01</v>
      </c>
      <c r="D205" s="39" t="s">
        <v>1430</v>
      </c>
      <c r="E205" s="39" t="s">
        <v>254</v>
      </c>
      <c r="F205" s="39" t="s">
        <v>896</v>
      </c>
      <c r="G205" s="51" t="s">
        <v>256</v>
      </c>
      <c r="H205" s="39" t="s">
        <v>1357</v>
      </c>
    </row>
    <row r="206" customFormat="false" ht="12.8" hidden="false" customHeight="false" outlineLevel="0" collapsed="false">
      <c r="A206" s="39"/>
      <c r="G206" s="51"/>
    </row>
    <row r="208" customFormat="false" ht="12.8" hidden="false" customHeight="false" outlineLevel="0" collapsed="false">
      <c r="A208" s="60" t="str">
        <f aca="false">_xlfn.CONCAT($A$1, ".", "VALID")</f>
        <v>LSD.RID.0.AL.LFPR.VALID</v>
      </c>
      <c r="B208" s="61" t="str">
        <f aca="false">_xlfn.CONCAT($B$1, " ", "Validation")</f>
        <v>Alabama Labor Force Participation Rate (LFPR) Validation</v>
      </c>
    </row>
    <row r="209" customFormat="false" ht="12.8" hidden="false" customHeight="false" outlineLevel="0" collapsed="false">
      <c r="A209" s="49" t="s">
        <v>113</v>
      </c>
      <c r="B209" s="49" t="s">
        <v>963</v>
      </c>
      <c r="C209" s="49" t="s">
        <v>964</v>
      </c>
      <c r="D209" s="49" t="s">
        <v>965</v>
      </c>
      <c r="E209" s="49" t="s">
        <v>249</v>
      </c>
      <c r="F209" s="49" t="s">
        <v>966</v>
      </c>
      <c r="G209" s="49" t="s">
        <v>967</v>
      </c>
    </row>
    <row r="210" customFormat="false" ht="12.8" hidden="false" customHeight="false" outlineLevel="0" collapsed="false">
      <c r="A210" s="50" t="s">
        <v>1431</v>
      </c>
      <c r="B210" s="39" t="s">
        <v>1432</v>
      </c>
      <c r="C210" s="39" t="n">
        <v>0.577</v>
      </c>
      <c r="D210" s="39" t="n">
        <v>0.577</v>
      </c>
      <c r="E210" s="39" t="s">
        <v>1433</v>
      </c>
      <c r="F210" s="39" t="s">
        <v>254</v>
      </c>
      <c r="G210" s="39" t="s">
        <v>1434</v>
      </c>
    </row>
    <row r="211" customFormat="false" ht="12.8" hidden="false" customHeight="false" outlineLevel="0" collapsed="false">
      <c r="A211" s="50" t="s">
        <v>1435</v>
      </c>
      <c r="B211" s="39" t="s">
        <v>1436</v>
      </c>
      <c r="C211" s="39" t="n">
        <v>0.41</v>
      </c>
      <c r="D211" s="39" t="s">
        <v>1437</v>
      </c>
      <c r="E211" s="39" t="s">
        <v>1438</v>
      </c>
      <c r="F211" s="39" t="s">
        <v>260</v>
      </c>
      <c r="G211" s="39" t="s">
        <v>1439</v>
      </c>
    </row>
    <row r="212" customFormat="false" ht="12.8" hidden="false" customHeight="false" outlineLevel="0" collapsed="false">
      <c r="A212" s="50" t="s">
        <v>1440</v>
      </c>
      <c r="B212" s="39" t="s">
        <v>1441</v>
      </c>
      <c r="C212" s="39" t="s">
        <v>1442</v>
      </c>
      <c r="D212" s="39" t="s">
        <v>1443</v>
      </c>
      <c r="E212" s="39" t="s">
        <v>1444</v>
      </c>
      <c r="F212" s="39" t="s">
        <v>254</v>
      </c>
      <c r="G212" s="39" t="s">
        <v>1445</v>
      </c>
    </row>
    <row r="213" customFormat="false" ht="12.8" hidden="false" customHeight="false" outlineLevel="0" collapsed="false">
      <c r="A213" s="50" t="s">
        <v>1446</v>
      </c>
      <c r="B213" s="39" t="s">
        <v>1447</v>
      </c>
      <c r="C213" s="39" t="n">
        <v>0.583</v>
      </c>
      <c r="D213" s="39" t="s">
        <v>1216</v>
      </c>
      <c r="E213" s="39" t="s">
        <v>1448</v>
      </c>
      <c r="F213" s="39" t="s">
        <v>254</v>
      </c>
      <c r="G213" s="39" t="s">
        <v>1449</v>
      </c>
    </row>
    <row r="214" customFormat="false" ht="12.8" hidden="false" customHeight="false" outlineLevel="0" collapsed="false">
      <c r="A214" s="50" t="s">
        <v>1450</v>
      </c>
      <c r="B214" s="39" t="s">
        <v>1451</v>
      </c>
      <c r="C214" s="39" t="s">
        <v>1227</v>
      </c>
      <c r="D214" s="39" t="s">
        <v>1228</v>
      </c>
      <c r="E214" s="39" t="s">
        <v>1452</v>
      </c>
      <c r="F214" s="39" t="s">
        <v>254</v>
      </c>
      <c r="G214" s="39" t="s">
        <v>1453</v>
      </c>
    </row>
    <row r="215" customFormat="false" ht="12.8" hidden="false" customHeight="false" outlineLevel="0" collapsed="false">
      <c r="A215" s="50" t="s">
        <v>1454</v>
      </c>
      <c r="B215" s="39" t="s">
        <v>1455</v>
      </c>
      <c r="C215" s="39" t="s">
        <v>1456</v>
      </c>
      <c r="D215" s="39" t="s">
        <v>1228</v>
      </c>
      <c r="E215" s="39" t="s">
        <v>1457</v>
      </c>
      <c r="F215" s="39" t="s">
        <v>254</v>
      </c>
      <c r="G215" s="39" t="s">
        <v>1458</v>
      </c>
    </row>
    <row r="216" customFormat="false" ht="12.8" hidden="false" customHeight="false" outlineLevel="0" collapsed="false">
      <c r="A216" s="50" t="s">
        <v>1459</v>
      </c>
      <c r="B216" s="39" t="s">
        <v>1460</v>
      </c>
      <c r="C216" s="39" t="s">
        <v>1461</v>
      </c>
      <c r="D216" s="39" t="s">
        <v>1462</v>
      </c>
      <c r="E216" s="39" t="s">
        <v>1463</v>
      </c>
      <c r="F216" s="39" t="s">
        <v>254</v>
      </c>
      <c r="G216" s="39" t="s">
        <v>1464</v>
      </c>
    </row>
    <row r="217" customFormat="false" ht="12.8" hidden="false" customHeight="false" outlineLevel="0" collapsed="false">
      <c r="A217" s="50" t="s">
        <v>1465</v>
      </c>
      <c r="B217" s="39" t="s">
        <v>1466</v>
      </c>
      <c r="C217" s="39" t="s">
        <v>1467</v>
      </c>
      <c r="D217" s="39" t="n">
        <v>0.577</v>
      </c>
      <c r="E217" s="39" t="s">
        <v>1468</v>
      </c>
      <c r="F217" s="39" t="s">
        <v>254</v>
      </c>
      <c r="G217" s="39" t="s">
        <v>1469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55"/>
  <sheetViews>
    <sheetView showFormulas="false" showGridLines="true" showRowColHeaders="true" showZeros="true" rightToLeft="false" tabSelected="false" showOutlineSymbols="true" defaultGridColor="true" view="normal" topLeftCell="A100"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11" t="s">
        <v>1470</v>
      </c>
      <c r="B1" s="63" t="s">
        <v>1471</v>
      </c>
      <c r="C1" s="6" t="s">
        <v>2</v>
      </c>
      <c r="D1" s="62" t="s">
        <v>1472</v>
      </c>
      <c r="AZ1" s="39"/>
      <c r="BP1" s="39"/>
    </row>
    <row r="2" customFormat="false" ht="46.25" hidden="false" customHeight="false" outlineLevel="0" collapsed="false">
      <c r="A2" s="67" t="s">
        <v>1473</v>
      </c>
      <c r="B2" s="63" t="s">
        <v>1474</v>
      </c>
      <c r="C2" s="68" t="str">
        <f aca="false">CALC!P3</f>
        <v>Unemployment Rate</v>
      </c>
      <c r="D2" s="68" t="str">
        <f aca="false">CALC!Q3</f>
        <v>Authorized Immigrant Unemployment Rate</v>
      </c>
      <c r="E2" s="68" t="str">
        <f aca="false">CALC!R3</f>
        <v>Unauthorized Immigrant Unemployment Rate</v>
      </c>
      <c r="F2" s="68" t="str">
        <f aca="false">CALC!S3</f>
        <v>American Unemployment Rate</v>
      </c>
    </row>
    <row r="3" customFormat="false" ht="12.8" hidden="false" customHeight="false" outlineLevel="0" collapsed="false">
      <c r="A3" s="4" t="e">
        <f aca="false">_xlfn.CONCAT($A$1, ".", #REF!)</f>
        <v>#REF!</v>
      </c>
      <c r="B3" s="49" t="e">
        <f aca="false">_xlfn.CONCAT(#REF!, ":", #REF!)</f>
        <v>#REF!</v>
      </c>
      <c r="C3" s="68" t="e">
        <f aca="false">#REF!</f>
        <v>#REF!</v>
      </c>
      <c r="D3" s="68" t="e">
        <f aca="false">#REF!</f>
        <v>#REF!</v>
      </c>
      <c r="E3" s="68" t="e">
        <f aca="false">#REF!</f>
        <v>#REF!</v>
      </c>
      <c r="F3" s="68" t="e">
        <f aca="false">#REF!</f>
        <v>#REF!</v>
      </c>
    </row>
    <row r="4" customFormat="false" ht="12.8" hidden="false" customHeight="false" outlineLevel="0" collapsed="false">
      <c r="A4" s="50" t="e">
        <f aca="false">_xlfn.CONCAT($A$1, ".", #REF!)</f>
        <v>#REF!</v>
      </c>
      <c r="B4" s="69" t="e">
        <f aca="false">_xlfn.CONCAT(#REF!, ":", #REF!)</f>
        <v>#REF!</v>
      </c>
      <c r="C4" s="70" t="e">
        <f aca="false">#REF!</f>
        <v>#REF!</v>
      </c>
      <c r="D4" s="70" t="e">
        <f aca="false">#REF!</f>
        <v>#REF!</v>
      </c>
      <c r="E4" s="70" t="e">
        <f aca="false">#REF!</f>
        <v>#REF!</v>
      </c>
      <c r="F4" s="70" t="e">
        <f aca="false">#REF!</f>
        <v>#REF!</v>
      </c>
    </row>
    <row r="5" customFormat="false" ht="12.8" hidden="false" customHeight="false" outlineLevel="0" collapsed="false">
      <c r="A5" s="50" t="e">
        <f aca="false">_xlfn.CONCAT($A$1, ".", #REF!)</f>
        <v>#REF!</v>
      </c>
      <c r="B5" s="69" t="e">
        <f aca="false">_xlfn.CONCAT(#REF!, ":", #REF!)</f>
        <v>#REF!</v>
      </c>
      <c r="C5" s="70" t="e">
        <f aca="false">#REF!</f>
        <v>#REF!</v>
      </c>
      <c r="D5" s="70" t="e">
        <f aca="false">#REF!</f>
        <v>#REF!</v>
      </c>
      <c r="E5" s="70" t="e">
        <f aca="false">#REF!</f>
        <v>#REF!</v>
      </c>
      <c r="F5" s="70" t="e">
        <f aca="false">#REF!</f>
        <v>#REF!</v>
      </c>
    </row>
    <row r="6" customFormat="false" ht="12.8" hidden="false" customHeight="false" outlineLevel="0" collapsed="false">
      <c r="A6" s="50" t="e">
        <f aca="false">_xlfn.CONCAT($A$1, ".", #REF!)</f>
        <v>#REF!</v>
      </c>
      <c r="B6" s="69" t="e">
        <f aca="false">_xlfn.CONCAT(#REF!, ":", #REF!)</f>
        <v>#REF!</v>
      </c>
      <c r="C6" s="70" t="e">
        <f aca="false">#REF!</f>
        <v>#REF!</v>
      </c>
      <c r="D6" s="70" t="e">
        <f aca="false">#REF!</f>
        <v>#REF!</v>
      </c>
      <c r="E6" s="70" t="e">
        <f aca="false">#REF!</f>
        <v>#REF!</v>
      </c>
      <c r="F6" s="70" t="e">
        <f aca="false">#REF!</f>
        <v>#REF!</v>
      </c>
    </row>
    <row r="7" customFormat="false" ht="12.8" hidden="false" customHeight="false" outlineLevel="0" collapsed="false">
      <c r="A7" s="50" t="e">
        <f aca="false">_xlfn.CONCAT($A$1, ".", #REF!)</f>
        <v>#REF!</v>
      </c>
      <c r="B7" s="69" t="e">
        <f aca="false">_xlfn.CONCAT(#REF!, ":", #REF!)</f>
        <v>#REF!</v>
      </c>
      <c r="C7" s="70" t="e">
        <f aca="false">#REF!</f>
        <v>#REF!</v>
      </c>
      <c r="D7" s="70" t="e">
        <f aca="false">#REF!</f>
        <v>#REF!</v>
      </c>
      <c r="E7" s="70" t="e">
        <f aca="false">#REF!</f>
        <v>#REF!</v>
      </c>
      <c r="F7" s="70" t="e">
        <f aca="false">#REF!</f>
        <v>#REF!</v>
      </c>
    </row>
    <row r="8" customFormat="false" ht="12.8" hidden="false" customHeight="false" outlineLevel="0" collapsed="false">
      <c r="A8" s="50" t="e">
        <f aca="false">_xlfn.CONCAT($A$1, ".", #REF!)</f>
        <v>#REF!</v>
      </c>
      <c r="B8" s="69" t="e">
        <f aca="false">_xlfn.CONCAT(#REF!, ":", #REF!)</f>
        <v>#REF!</v>
      </c>
      <c r="C8" s="70" t="e">
        <f aca="false">#REF!</f>
        <v>#REF!</v>
      </c>
      <c r="D8" s="70" t="e">
        <f aca="false">#REF!</f>
        <v>#REF!</v>
      </c>
      <c r="E8" s="70" t="e">
        <f aca="false">#REF!</f>
        <v>#REF!</v>
      </c>
      <c r="F8" s="70" t="e">
        <f aca="false">#REF!</f>
        <v>#REF!</v>
      </c>
    </row>
    <row r="9" customFormat="false" ht="12.8" hidden="false" customHeight="false" outlineLevel="0" collapsed="false">
      <c r="A9" s="50" t="e">
        <f aca="false">_xlfn.CONCAT($A$1, ".", #REF!)</f>
        <v>#REF!</v>
      </c>
      <c r="B9" s="69" t="e">
        <f aca="false">_xlfn.CONCAT(#REF!, ":", #REF!)</f>
        <v>#REF!</v>
      </c>
      <c r="C9" s="70" t="e">
        <f aca="false">#REF!</f>
        <v>#REF!</v>
      </c>
      <c r="D9" s="70" t="e">
        <f aca="false">#REF!</f>
        <v>#REF!</v>
      </c>
      <c r="E9" s="70" t="e">
        <f aca="false">#REF!</f>
        <v>#REF!</v>
      </c>
      <c r="F9" s="70" t="e">
        <f aca="false">#REF!</f>
        <v>#REF!</v>
      </c>
    </row>
    <row r="10" customFormat="false" ht="12.8" hidden="false" customHeight="false" outlineLevel="0" collapsed="false">
      <c r="A10" s="50" t="e">
        <f aca="false">_xlfn.CONCAT($A$1, ".", #REF!)</f>
        <v>#REF!</v>
      </c>
      <c r="B10" s="69" t="e">
        <f aca="false">_xlfn.CONCAT(#REF!, ":", #REF!)</f>
        <v>#REF!</v>
      </c>
      <c r="C10" s="70" t="e">
        <f aca="false">#REF!</f>
        <v>#REF!</v>
      </c>
      <c r="D10" s="70" t="e">
        <f aca="false">#REF!</f>
        <v>#REF!</v>
      </c>
      <c r="E10" s="70" t="e">
        <f aca="false">#REF!</f>
        <v>#REF!</v>
      </c>
      <c r="F10" s="70" t="e">
        <f aca="false">#REF!</f>
        <v>#REF!</v>
      </c>
    </row>
    <row r="11" customFormat="false" ht="12.8" hidden="false" customHeight="false" outlineLevel="0" collapsed="false">
      <c r="A11" s="50" t="e">
        <f aca="false">_xlfn.CONCAT($A$1, ".", #REF!)</f>
        <v>#REF!</v>
      </c>
      <c r="B11" s="69" t="e">
        <f aca="false">_xlfn.CONCAT(#REF!, ":", #REF!)</f>
        <v>#REF!</v>
      </c>
      <c r="C11" s="70" t="e">
        <f aca="false">#REF!</f>
        <v>#REF!</v>
      </c>
      <c r="D11" s="70" t="e">
        <f aca="false">#REF!</f>
        <v>#REF!</v>
      </c>
      <c r="E11" s="70" t="e">
        <f aca="false">#REF!</f>
        <v>#REF!</v>
      </c>
      <c r="F11" s="70" t="e">
        <f aca="false">#REF!</f>
        <v>#REF!</v>
      </c>
    </row>
    <row r="12" customFormat="false" ht="12.8" hidden="false" customHeight="false" outlineLevel="0" collapsed="false">
      <c r="A12" s="50" t="e">
        <f aca="false">_xlfn.CONCAT($A$1, ".", #REF!)</f>
        <v>#REF!</v>
      </c>
      <c r="B12" s="69" t="e">
        <f aca="false">_xlfn.CONCAT(#REF!, ":", #REF!)</f>
        <v>#REF!</v>
      </c>
      <c r="C12" s="70" t="e">
        <f aca="false">#REF!</f>
        <v>#REF!</v>
      </c>
      <c r="D12" s="70" t="e">
        <f aca="false">#REF!</f>
        <v>#REF!</v>
      </c>
      <c r="E12" s="70" t="e">
        <f aca="false">#REF!</f>
        <v>#REF!</v>
      </c>
      <c r="F12" s="70" t="e">
        <f aca="false">#REF!</f>
        <v>#REF!</v>
      </c>
    </row>
    <row r="13" customFormat="false" ht="12.8" hidden="false" customHeight="false" outlineLevel="0" collapsed="false">
      <c r="A13" s="50" t="e">
        <f aca="false">_xlfn.CONCAT($A$1, ".", #REF!)</f>
        <v>#REF!</v>
      </c>
      <c r="B13" s="69" t="e">
        <f aca="false">_xlfn.CONCAT(#REF!, ":", #REF!)</f>
        <v>#REF!</v>
      </c>
      <c r="C13" s="70" t="e">
        <f aca="false">#REF!</f>
        <v>#REF!</v>
      </c>
      <c r="D13" s="70" t="e">
        <f aca="false">#REF!</f>
        <v>#REF!</v>
      </c>
      <c r="E13" s="70" t="e">
        <f aca="false">#REF!</f>
        <v>#REF!</v>
      </c>
      <c r="F13" s="70" t="e">
        <f aca="false">#REF!</f>
        <v>#REF!</v>
      </c>
    </row>
    <row r="14" customFormat="false" ht="12.8" hidden="false" customHeight="false" outlineLevel="0" collapsed="false">
      <c r="A14" s="50" t="e">
        <f aca="false">_xlfn.CONCAT($A$1, ".", #REF!)</f>
        <v>#REF!</v>
      </c>
      <c r="B14" s="69" t="e">
        <f aca="false">_xlfn.CONCAT(#REF!, ":", #REF!)</f>
        <v>#REF!</v>
      </c>
      <c r="C14" s="70" t="e">
        <f aca="false">#REF!</f>
        <v>#REF!</v>
      </c>
      <c r="D14" s="70" t="e">
        <f aca="false">#REF!</f>
        <v>#REF!</v>
      </c>
      <c r="E14" s="70" t="e">
        <f aca="false">#REF!</f>
        <v>#REF!</v>
      </c>
      <c r="F14" s="70" t="e">
        <f aca="false">#REF!</f>
        <v>#REF!</v>
      </c>
    </row>
    <row r="15" customFormat="false" ht="12.8" hidden="false" customHeight="false" outlineLevel="0" collapsed="false">
      <c r="A15" s="50" t="e">
        <f aca="false">_xlfn.CONCAT($A$1, ".", #REF!)</f>
        <v>#REF!</v>
      </c>
      <c r="B15" s="69" t="e">
        <f aca="false">_xlfn.CONCAT(#REF!, ":", #REF!)</f>
        <v>#REF!</v>
      </c>
      <c r="C15" s="70" t="e">
        <f aca="false">#REF!</f>
        <v>#REF!</v>
      </c>
      <c r="D15" s="70" t="e">
        <f aca="false">#REF!</f>
        <v>#REF!</v>
      </c>
      <c r="E15" s="70" t="e">
        <f aca="false">#REF!</f>
        <v>#REF!</v>
      </c>
      <c r="F15" s="70" t="e">
        <f aca="false">#REF!</f>
        <v>#REF!</v>
      </c>
    </row>
    <row r="16" customFormat="false" ht="12.8" hidden="false" customHeight="false" outlineLevel="0" collapsed="false">
      <c r="A16" s="50" t="e">
        <f aca="false">_xlfn.CONCAT($A$1, ".", #REF!)</f>
        <v>#REF!</v>
      </c>
      <c r="B16" s="69" t="e">
        <f aca="false">_xlfn.CONCAT(#REF!, ":", #REF!)</f>
        <v>#REF!</v>
      </c>
      <c r="C16" s="70" t="e">
        <f aca="false">#REF!</f>
        <v>#REF!</v>
      </c>
      <c r="D16" s="70" t="e">
        <f aca="false">#REF!</f>
        <v>#REF!</v>
      </c>
      <c r="E16" s="70" t="e">
        <f aca="false">#REF!</f>
        <v>#REF!</v>
      </c>
      <c r="F16" s="70" t="e">
        <f aca="false">#REF!</f>
        <v>#REF!</v>
      </c>
    </row>
    <row r="17" customFormat="false" ht="12.8" hidden="false" customHeight="false" outlineLevel="0" collapsed="false">
      <c r="A17" s="50" t="e">
        <f aca="false">_xlfn.CONCAT($A$1, ".", #REF!)</f>
        <v>#REF!</v>
      </c>
      <c r="B17" s="69" t="e">
        <f aca="false">_xlfn.CONCAT(#REF!, ":", #REF!)</f>
        <v>#REF!</v>
      </c>
      <c r="C17" s="70" t="e">
        <f aca="false">#REF!</f>
        <v>#REF!</v>
      </c>
      <c r="D17" s="70" t="e">
        <f aca="false">#REF!</f>
        <v>#REF!</v>
      </c>
      <c r="E17" s="70" t="e">
        <f aca="false">#REF!</f>
        <v>#REF!</v>
      </c>
      <c r="F17" s="70" t="e">
        <f aca="false">#REF!</f>
        <v>#REF!</v>
      </c>
    </row>
    <row r="18" customFormat="false" ht="12.8" hidden="false" customHeight="false" outlineLevel="0" collapsed="false">
      <c r="A18" s="50" t="e">
        <f aca="false">_xlfn.CONCAT($A$1, ".", #REF!)</f>
        <v>#REF!</v>
      </c>
      <c r="B18" s="69" t="e">
        <f aca="false">_xlfn.CONCAT(#REF!, ":", #REF!)</f>
        <v>#REF!</v>
      </c>
      <c r="C18" s="70" t="e">
        <f aca="false">#REF!</f>
        <v>#REF!</v>
      </c>
      <c r="D18" s="70" t="e">
        <f aca="false">#REF!</f>
        <v>#REF!</v>
      </c>
      <c r="E18" s="70" t="e">
        <f aca="false">#REF!</f>
        <v>#REF!</v>
      </c>
      <c r="F18" s="70" t="e">
        <f aca="false">#REF!</f>
        <v>#REF!</v>
      </c>
    </row>
    <row r="19" customFormat="false" ht="12.8" hidden="false" customHeight="false" outlineLevel="0" collapsed="false">
      <c r="A19" s="50" t="e">
        <f aca="false">_xlfn.CONCAT($A$1, ".", #REF!)</f>
        <v>#REF!</v>
      </c>
      <c r="B19" s="69" t="e">
        <f aca="false">_xlfn.CONCAT(#REF!, ":", #REF!)</f>
        <v>#REF!</v>
      </c>
      <c r="C19" s="70" t="e">
        <f aca="false">#REF!</f>
        <v>#REF!</v>
      </c>
      <c r="D19" s="70" t="e">
        <f aca="false">#REF!</f>
        <v>#REF!</v>
      </c>
      <c r="E19" s="70" t="e">
        <f aca="false">#REF!</f>
        <v>#REF!</v>
      </c>
      <c r="F19" s="70" t="e">
        <f aca="false">#REF!</f>
        <v>#REF!</v>
      </c>
    </row>
    <row r="20" customFormat="false" ht="12.8" hidden="false" customHeight="false" outlineLevel="0" collapsed="false">
      <c r="A20" s="50" t="e">
        <f aca="false">_xlfn.CONCAT($A$1, ".", #REF!)</f>
        <v>#REF!</v>
      </c>
      <c r="B20" s="69" t="e">
        <f aca="false">_xlfn.CONCAT(#REF!, ":", #REF!)</f>
        <v>#REF!</v>
      </c>
      <c r="C20" s="70" t="e">
        <f aca="false">#REF!</f>
        <v>#REF!</v>
      </c>
      <c r="D20" s="70" t="e">
        <f aca="false">#REF!</f>
        <v>#REF!</v>
      </c>
      <c r="E20" s="70" t="e">
        <f aca="false">#REF!</f>
        <v>#REF!</v>
      </c>
      <c r="F20" s="70" t="e">
        <f aca="false">#REF!</f>
        <v>#REF!</v>
      </c>
    </row>
    <row r="21" customFormat="false" ht="12.8" hidden="false" customHeight="false" outlineLevel="0" collapsed="false">
      <c r="A21" s="50" t="e">
        <f aca="false">_xlfn.CONCAT($A$1, ".", #REF!)</f>
        <v>#REF!</v>
      </c>
      <c r="B21" s="69" t="e">
        <f aca="false">_xlfn.CONCAT(#REF!, ":", #REF!)</f>
        <v>#REF!</v>
      </c>
      <c r="C21" s="70" t="e">
        <f aca="false">#REF!</f>
        <v>#REF!</v>
      </c>
      <c r="D21" s="70" t="e">
        <f aca="false">#REF!</f>
        <v>#REF!</v>
      </c>
      <c r="E21" s="70" t="e">
        <f aca="false">#REF!</f>
        <v>#REF!</v>
      </c>
      <c r="F21" s="70" t="e">
        <f aca="false">#REF!</f>
        <v>#REF!</v>
      </c>
    </row>
    <row r="22" customFormat="false" ht="12.8" hidden="false" customHeight="false" outlineLevel="0" collapsed="false">
      <c r="A22" s="50" t="e">
        <f aca="false">_xlfn.CONCAT($A$1, ".", #REF!)</f>
        <v>#REF!</v>
      </c>
      <c r="B22" s="69" t="e">
        <f aca="false">_xlfn.CONCAT(#REF!, ":", #REF!)</f>
        <v>#REF!</v>
      </c>
      <c r="C22" s="70" t="e">
        <f aca="false">#REF!</f>
        <v>#REF!</v>
      </c>
      <c r="D22" s="70" t="e">
        <f aca="false">#REF!</f>
        <v>#REF!</v>
      </c>
      <c r="E22" s="70" t="e">
        <f aca="false">#REF!</f>
        <v>#REF!</v>
      </c>
      <c r="F22" s="70" t="e">
        <f aca="false">#REF!</f>
        <v>#REF!</v>
      </c>
    </row>
    <row r="23" customFormat="false" ht="12.8" hidden="false" customHeight="false" outlineLevel="0" collapsed="false">
      <c r="A23" s="50" t="e">
        <f aca="false">_xlfn.CONCAT($A$1, ".", #REF!)</f>
        <v>#REF!</v>
      </c>
      <c r="B23" s="69" t="e">
        <f aca="false">_xlfn.CONCAT(#REF!, ":", #REF!)</f>
        <v>#REF!</v>
      </c>
      <c r="C23" s="70" t="e">
        <f aca="false">#REF!</f>
        <v>#REF!</v>
      </c>
      <c r="D23" s="70" t="e">
        <f aca="false">#REF!</f>
        <v>#REF!</v>
      </c>
      <c r="E23" s="70" t="e">
        <f aca="false">#REF!</f>
        <v>#REF!</v>
      </c>
      <c r="F23" s="70" t="e">
        <f aca="false">#REF!</f>
        <v>#REF!</v>
      </c>
    </row>
    <row r="24" customFormat="false" ht="12.8" hidden="false" customHeight="false" outlineLevel="0" collapsed="false">
      <c r="A24" s="50" t="e">
        <f aca="false">_xlfn.CONCAT($A$1, ".", #REF!)</f>
        <v>#REF!</v>
      </c>
      <c r="B24" s="69" t="e">
        <f aca="false">_xlfn.CONCAT(#REF!, ":", #REF!)</f>
        <v>#REF!</v>
      </c>
      <c r="C24" s="70" t="e">
        <f aca="false">#REF!</f>
        <v>#REF!</v>
      </c>
      <c r="D24" s="70" t="e">
        <f aca="false">#REF!</f>
        <v>#REF!</v>
      </c>
      <c r="E24" s="70" t="e">
        <f aca="false">#REF!</f>
        <v>#REF!</v>
      </c>
      <c r="F24" s="70" t="e">
        <f aca="false">#REF!</f>
        <v>#REF!</v>
      </c>
    </row>
    <row r="25" customFormat="false" ht="12.8" hidden="false" customHeight="false" outlineLevel="0" collapsed="false">
      <c r="A25" s="50" t="e">
        <f aca="false">_xlfn.CONCAT($A$1, ".", #REF!)</f>
        <v>#REF!</v>
      </c>
      <c r="B25" s="69" t="e">
        <f aca="false">_xlfn.CONCAT(#REF!, ":", #REF!)</f>
        <v>#REF!</v>
      </c>
      <c r="C25" s="70" t="e">
        <f aca="false">#REF!</f>
        <v>#REF!</v>
      </c>
      <c r="D25" s="70" t="e">
        <f aca="false">#REF!</f>
        <v>#REF!</v>
      </c>
      <c r="E25" s="70" t="e">
        <f aca="false">#REF!</f>
        <v>#REF!</v>
      </c>
      <c r="F25" s="70" t="e">
        <f aca="false">#REF!</f>
        <v>#REF!</v>
      </c>
    </row>
    <row r="26" customFormat="false" ht="12.8" hidden="false" customHeight="false" outlineLevel="0" collapsed="false">
      <c r="A26" s="50" t="e">
        <f aca="false">_xlfn.CONCAT($A$1, ".", #REF!)</f>
        <v>#REF!</v>
      </c>
      <c r="B26" s="69" t="e">
        <f aca="false">_xlfn.CONCAT(#REF!, ":", #REF!)</f>
        <v>#REF!</v>
      </c>
      <c r="C26" s="70" t="e">
        <f aca="false">#REF!</f>
        <v>#REF!</v>
      </c>
      <c r="D26" s="70" t="e">
        <f aca="false">#REF!</f>
        <v>#REF!</v>
      </c>
      <c r="E26" s="70" t="e">
        <f aca="false">#REF!</f>
        <v>#REF!</v>
      </c>
      <c r="F26" s="70" t="e">
        <f aca="false">#REF!</f>
        <v>#REF!</v>
      </c>
    </row>
    <row r="27" customFormat="false" ht="12.8" hidden="false" customHeight="false" outlineLevel="0" collapsed="false">
      <c r="A27" s="50" t="e">
        <f aca="false">_xlfn.CONCAT($A$1, ".", #REF!)</f>
        <v>#REF!</v>
      </c>
      <c r="B27" s="69" t="e">
        <f aca="false">_xlfn.CONCAT(#REF!, ":", #REF!)</f>
        <v>#REF!</v>
      </c>
      <c r="C27" s="70" t="e">
        <f aca="false">#REF!</f>
        <v>#REF!</v>
      </c>
      <c r="D27" s="70" t="e">
        <f aca="false">#REF!</f>
        <v>#REF!</v>
      </c>
      <c r="E27" s="70" t="e">
        <f aca="false">#REF!</f>
        <v>#REF!</v>
      </c>
      <c r="F27" s="70" t="e">
        <f aca="false">#REF!</f>
        <v>#REF!</v>
      </c>
    </row>
    <row r="28" customFormat="false" ht="12.8" hidden="false" customHeight="false" outlineLevel="0" collapsed="false">
      <c r="A28" s="50" t="e">
        <f aca="false">_xlfn.CONCAT($A$1, ".", #REF!)</f>
        <v>#REF!</v>
      </c>
      <c r="B28" s="69" t="e">
        <f aca="false">_xlfn.CONCAT(#REF!, ":", #REF!)</f>
        <v>#REF!</v>
      </c>
      <c r="C28" s="70" t="e">
        <f aca="false">#REF!</f>
        <v>#REF!</v>
      </c>
      <c r="D28" s="70" t="e">
        <f aca="false">#REF!</f>
        <v>#REF!</v>
      </c>
      <c r="E28" s="70" t="e">
        <f aca="false">#REF!</f>
        <v>#REF!</v>
      </c>
      <c r="F28" s="70" t="e">
        <f aca="false">#REF!</f>
        <v>#REF!</v>
      </c>
    </row>
    <row r="29" customFormat="false" ht="12.8" hidden="false" customHeight="false" outlineLevel="0" collapsed="false">
      <c r="A29" s="50" t="e">
        <f aca="false">_xlfn.CONCAT($A$1, ".", #REF!)</f>
        <v>#REF!</v>
      </c>
      <c r="B29" s="69" t="e">
        <f aca="false">_xlfn.CONCAT(#REF!, ":", #REF!)</f>
        <v>#REF!</v>
      </c>
      <c r="C29" s="70" t="e">
        <f aca="false">#REF!</f>
        <v>#REF!</v>
      </c>
      <c r="D29" s="70" t="e">
        <f aca="false">#REF!</f>
        <v>#REF!</v>
      </c>
      <c r="E29" s="70" t="e">
        <f aca="false">#REF!</f>
        <v>#REF!</v>
      </c>
      <c r="F29" s="70" t="e">
        <f aca="false">#REF!</f>
        <v>#REF!</v>
      </c>
    </row>
    <row r="30" customFormat="false" ht="12.8" hidden="false" customHeight="false" outlineLevel="0" collapsed="false">
      <c r="A30" s="50" t="e">
        <f aca="false">_xlfn.CONCAT($A$1, ".", #REF!)</f>
        <v>#REF!</v>
      </c>
      <c r="B30" s="69" t="e">
        <f aca="false">_xlfn.CONCAT(#REF!, ":", #REF!)</f>
        <v>#REF!</v>
      </c>
      <c r="C30" s="70" t="e">
        <f aca="false">#REF!</f>
        <v>#REF!</v>
      </c>
      <c r="D30" s="70" t="e">
        <f aca="false">#REF!</f>
        <v>#REF!</v>
      </c>
      <c r="E30" s="70" t="e">
        <f aca="false">#REF!</f>
        <v>#REF!</v>
      </c>
      <c r="F30" s="70" t="e">
        <f aca="false">#REF!</f>
        <v>#REF!</v>
      </c>
    </row>
    <row r="31" customFormat="false" ht="12.8" hidden="false" customHeight="false" outlineLevel="0" collapsed="false">
      <c r="A31" s="50" t="e">
        <f aca="false">_xlfn.CONCAT($A$1, ".", #REF!)</f>
        <v>#REF!</v>
      </c>
      <c r="B31" s="69" t="e">
        <f aca="false">_xlfn.CONCAT(#REF!, ":", #REF!)</f>
        <v>#REF!</v>
      </c>
      <c r="C31" s="70" t="e">
        <f aca="false">#REF!</f>
        <v>#REF!</v>
      </c>
      <c r="D31" s="70" t="e">
        <f aca="false">#REF!</f>
        <v>#REF!</v>
      </c>
      <c r="E31" s="70" t="e">
        <f aca="false">#REF!</f>
        <v>#REF!</v>
      </c>
      <c r="F31" s="70" t="e">
        <f aca="false">#REF!</f>
        <v>#REF!</v>
      </c>
    </row>
    <row r="32" customFormat="false" ht="12.8" hidden="false" customHeight="false" outlineLevel="0" collapsed="false">
      <c r="A32" s="50" t="e">
        <f aca="false">_xlfn.CONCAT($A$1, ".", #REF!)</f>
        <v>#REF!</v>
      </c>
      <c r="B32" s="69" t="e">
        <f aca="false">_xlfn.CONCAT(#REF!, ":", #REF!)</f>
        <v>#REF!</v>
      </c>
      <c r="C32" s="70" t="e">
        <f aca="false">#REF!</f>
        <v>#REF!</v>
      </c>
      <c r="D32" s="70" t="e">
        <f aca="false">#REF!</f>
        <v>#REF!</v>
      </c>
      <c r="E32" s="70" t="e">
        <f aca="false">#REF!</f>
        <v>#REF!</v>
      </c>
      <c r="F32" s="70" t="e">
        <f aca="false">#REF!</f>
        <v>#REF!</v>
      </c>
    </row>
    <row r="33" customFormat="false" ht="12.8" hidden="false" customHeight="false" outlineLevel="0" collapsed="false">
      <c r="A33" s="50" t="e">
        <f aca="false">_xlfn.CONCAT($A$1, ".", #REF!)</f>
        <v>#REF!</v>
      </c>
      <c r="B33" s="69" t="e">
        <f aca="false">_xlfn.CONCAT(#REF!, ":", #REF!)</f>
        <v>#REF!</v>
      </c>
      <c r="C33" s="70" t="e">
        <f aca="false">#REF!</f>
        <v>#REF!</v>
      </c>
      <c r="D33" s="70" t="e">
        <f aca="false">#REF!</f>
        <v>#REF!</v>
      </c>
      <c r="E33" s="70" t="e">
        <f aca="false">#REF!</f>
        <v>#REF!</v>
      </c>
      <c r="F33" s="70" t="e">
        <f aca="false">#REF!</f>
        <v>#REF!</v>
      </c>
    </row>
    <row r="34" customFormat="false" ht="12.8" hidden="false" customHeight="false" outlineLevel="0" collapsed="false">
      <c r="A34" s="50" t="e">
        <f aca="false">_xlfn.CONCAT($A$1, ".", #REF!)</f>
        <v>#REF!</v>
      </c>
      <c r="B34" s="69" t="e">
        <f aca="false">_xlfn.CONCAT(#REF!, ":", #REF!)</f>
        <v>#REF!</v>
      </c>
      <c r="C34" s="70" t="e">
        <f aca="false">#REF!</f>
        <v>#REF!</v>
      </c>
      <c r="D34" s="70" t="e">
        <f aca="false">#REF!</f>
        <v>#REF!</v>
      </c>
      <c r="E34" s="70" t="e">
        <f aca="false">#REF!</f>
        <v>#REF!</v>
      </c>
      <c r="F34" s="70" t="e">
        <f aca="false">#REF!</f>
        <v>#REF!</v>
      </c>
    </row>
    <row r="35" customFormat="false" ht="12.8" hidden="false" customHeight="false" outlineLevel="0" collapsed="false">
      <c r="A35" s="50" t="e">
        <f aca="false">_xlfn.CONCAT($A$1, ".", #REF!)</f>
        <v>#REF!</v>
      </c>
      <c r="B35" s="69" t="e">
        <f aca="false">_xlfn.CONCAT(#REF!, ":", #REF!)</f>
        <v>#REF!</v>
      </c>
      <c r="C35" s="70" t="e">
        <f aca="false">#REF!</f>
        <v>#REF!</v>
      </c>
      <c r="D35" s="70" t="e">
        <f aca="false">#REF!</f>
        <v>#REF!</v>
      </c>
      <c r="E35" s="70" t="e">
        <f aca="false">#REF!</f>
        <v>#REF!</v>
      </c>
      <c r="F35" s="70" t="e">
        <f aca="false">#REF!</f>
        <v>#REF!</v>
      </c>
    </row>
    <row r="36" customFormat="false" ht="12.8" hidden="false" customHeight="false" outlineLevel="0" collapsed="false">
      <c r="A36" s="50" t="e">
        <f aca="false">_xlfn.CONCAT($A$1, ".", #REF!)</f>
        <v>#REF!</v>
      </c>
      <c r="B36" s="69" t="e">
        <f aca="false">_xlfn.CONCAT(#REF!, ":", #REF!)</f>
        <v>#REF!</v>
      </c>
      <c r="C36" s="70" t="e">
        <f aca="false">#REF!</f>
        <v>#REF!</v>
      </c>
      <c r="D36" s="70" t="e">
        <f aca="false">#REF!</f>
        <v>#REF!</v>
      </c>
      <c r="E36" s="70" t="e">
        <f aca="false">#REF!</f>
        <v>#REF!</v>
      </c>
      <c r="F36" s="70" t="e">
        <f aca="false">#REF!</f>
        <v>#REF!</v>
      </c>
    </row>
    <row r="37" customFormat="false" ht="12.8" hidden="false" customHeight="false" outlineLevel="0" collapsed="false">
      <c r="A37" s="50" t="e">
        <f aca="false">_xlfn.CONCAT($A$1, ".", #REF!)</f>
        <v>#REF!</v>
      </c>
      <c r="B37" s="69" t="e">
        <f aca="false">_xlfn.CONCAT(#REF!, ":", #REF!)</f>
        <v>#REF!</v>
      </c>
      <c r="C37" s="70" t="e">
        <f aca="false">#REF!</f>
        <v>#REF!</v>
      </c>
      <c r="D37" s="70" t="e">
        <f aca="false">#REF!</f>
        <v>#REF!</v>
      </c>
      <c r="E37" s="70" t="e">
        <f aca="false">#REF!</f>
        <v>#REF!</v>
      </c>
      <c r="F37" s="70" t="e">
        <f aca="false">#REF!</f>
        <v>#REF!</v>
      </c>
    </row>
    <row r="38" customFormat="false" ht="12.8" hidden="false" customHeight="false" outlineLevel="0" collapsed="false">
      <c r="A38" s="50" t="e">
        <f aca="false">_xlfn.CONCAT($A$1, ".", #REF!)</f>
        <v>#REF!</v>
      </c>
      <c r="B38" s="69" t="e">
        <f aca="false">_xlfn.CONCAT(#REF!, ":", #REF!)</f>
        <v>#REF!</v>
      </c>
      <c r="C38" s="70" t="e">
        <f aca="false">#REF!</f>
        <v>#REF!</v>
      </c>
      <c r="D38" s="70" t="e">
        <f aca="false">#REF!</f>
        <v>#REF!</v>
      </c>
      <c r="E38" s="70" t="e">
        <f aca="false">#REF!</f>
        <v>#REF!</v>
      </c>
      <c r="F38" s="70" t="e">
        <f aca="false">#REF!</f>
        <v>#REF!</v>
      </c>
    </row>
    <row r="39" customFormat="false" ht="12.8" hidden="false" customHeight="false" outlineLevel="0" collapsed="false">
      <c r="A39" s="50" t="e">
        <f aca="false">_xlfn.CONCAT($A$1, ".", #REF!)</f>
        <v>#REF!</v>
      </c>
      <c r="B39" s="69" t="e">
        <f aca="false">_xlfn.CONCAT(#REF!, ":", #REF!)</f>
        <v>#REF!</v>
      </c>
      <c r="C39" s="70" t="e">
        <f aca="false">#REF!</f>
        <v>#REF!</v>
      </c>
      <c r="D39" s="70" t="e">
        <f aca="false">#REF!</f>
        <v>#REF!</v>
      </c>
      <c r="E39" s="70" t="e">
        <f aca="false">#REF!</f>
        <v>#REF!</v>
      </c>
      <c r="F39" s="70" t="e">
        <f aca="false">#REF!</f>
        <v>#REF!</v>
      </c>
    </row>
    <row r="40" customFormat="false" ht="12.8" hidden="false" customHeight="false" outlineLevel="0" collapsed="false">
      <c r="A40" s="50" t="e">
        <f aca="false">_xlfn.CONCAT($A$1, ".", #REF!)</f>
        <v>#REF!</v>
      </c>
      <c r="B40" s="69" t="e">
        <f aca="false">_xlfn.CONCAT(#REF!, ":", #REF!)</f>
        <v>#REF!</v>
      </c>
      <c r="C40" s="70" t="e">
        <f aca="false">#REF!</f>
        <v>#REF!</v>
      </c>
      <c r="D40" s="70" t="e">
        <f aca="false">#REF!</f>
        <v>#REF!</v>
      </c>
      <c r="E40" s="70" t="e">
        <f aca="false">#REF!</f>
        <v>#REF!</v>
      </c>
      <c r="F40" s="70" t="e">
        <f aca="false">#REF!</f>
        <v>#REF!</v>
      </c>
    </row>
    <row r="41" customFormat="false" ht="12.8" hidden="false" customHeight="false" outlineLevel="0" collapsed="false">
      <c r="A41" s="50" t="e">
        <f aca="false">_xlfn.CONCAT($A$1, ".", #REF!)</f>
        <v>#REF!</v>
      </c>
      <c r="B41" s="69" t="e">
        <f aca="false">_xlfn.CONCAT(#REF!, ":", #REF!)</f>
        <v>#REF!</v>
      </c>
      <c r="C41" s="70" t="e">
        <f aca="false">#REF!</f>
        <v>#REF!</v>
      </c>
      <c r="D41" s="70" t="e">
        <f aca="false">#REF!</f>
        <v>#REF!</v>
      </c>
      <c r="E41" s="70" t="e">
        <f aca="false">#REF!</f>
        <v>#REF!</v>
      </c>
      <c r="F41" s="70" t="e">
        <f aca="false">#REF!</f>
        <v>#REF!</v>
      </c>
    </row>
    <row r="42" customFormat="false" ht="12.8" hidden="false" customHeight="false" outlineLevel="0" collapsed="false">
      <c r="A42" s="50" t="e">
        <f aca="false">_xlfn.CONCAT($A$1, ".", #REF!)</f>
        <v>#REF!</v>
      </c>
      <c r="B42" s="69" t="e">
        <f aca="false">_xlfn.CONCAT(#REF!, ":", #REF!)</f>
        <v>#REF!</v>
      </c>
      <c r="C42" s="70" t="e">
        <f aca="false">#REF!</f>
        <v>#REF!</v>
      </c>
      <c r="D42" s="70" t="e">
        <f aca="false">#REF!</f>
        <v>#REF!</v>
      </c>
      <c r="E42" s="70" t="e">
        <f aca="false">#REF!</f>
        <v>#REF!</v>
      </c>
      <c r="F42" s="70" t="e">
        <f aca="false">#REF!</f>
        <v>#REF!</v>
      </c>
    </row>
    <row r="43" customFormat="false" ht="12.8" hidden="false" customHeight="false" outlineLevel="0" collapsed="false">
      <c r="A43" s="50" t="e">
        <f aca="false">_xlfn.CONCAT($A$1, ".", #REF!)</f>
        <v>#REF!</v>
      </c>
      <c r="B43" s="69" t="e">
        <f aca="false">_xlfn.CONCAT(#REF!, ":", #REF!)</f>
        <v>#REF!</v>
      </c>
      <c r="C43" s="70" t="e">
        <f aca="false">#REF!</f>
        <v>#REF!</v>
      </c>
      <c r="D43" s="70" t="e">
        <f aca="false">#REF!</f>
        <v>#REF!</v>
      </c>
      <c r="E43" s="70" t="e">
        <f aca="false">#REF!</f>
        <v>#REF!</v>
      </c>
      <c r="F43" s="70" t="e">
        <f aca="false">#REF!</f>
        <v>#REF!</v>
      </c>
    </row>
    <row r="44" customFormat="false" ht="12.8" hidden="false" customHeight="false" outlineLevel="0" collapsed="false">
      <c r="A44" s="50" t="e">
        <f aca="false">_xlfn.CONCAT($A$1, ".", #REF!)</f>
        <v>#REF!</v>
      </c>
      <c r="B44" s="69" t="e">
        <f aca="false">_xlfn.CONCAT(#REF!, ":", #REF!)</f>
        <v>#REF!</v>
      </c>
      <c r="C44" s="70" t="e">
        <f aca="false">#REF!</f>
        <v>#REF!</v>
      </c>
      <c r="D44" s="70" t="e">
        <f aca="false">#REF!</f>
        <v>#REF!</v>
      </c>
      <c r="E44" s="70" t="e">
        <f aca="false">#REF!</f>
        <v>#REF!</v>
      </c>
      <c r="F44" s="70" t="e">
        <f aca="false">#REF!</f>
        <v>#REF!</v>
      </c>
    </row>
    <row r="45" customFormat="false" ht="12.8" hidden="false" customHeight="false" outlineLevel="0" collapsed="false">
      <c r="A45" s="50" t="e">
        <f aca="false">_xlfn.CONCAT($A$1, ".", #REF!)</f>
        <v>#REF!</v>
      </c>
      <c r="B45" s="69" t="e">
        <f aca="false">_xlfn.CONCAT(#REF!, ":", #REF!)</f>
        <v>#REF!</v>
      </c>
      <c r="C45" s="70" t="e">
        <f aca="false">#REF!</f>
        <v>#REF!</v>
      </c>
      <c r="D45" s="70" t="e">
        <f aca="false">#REF!</f>
        <v>#REF!</v>
      </c>
      <c r="E45" s="70" t="e">
        <f aca="false">#REF!</f>
        <v>#REF!</v>
      </c>
      <c r="F45" s="70" t="e">
        <f aca="false">#REF!</f>
        <v>#REF!</v>
      </c>
    </row>
    <row r="46" customFormat="false" ht="12.8" hidden="false" customHeight="false" outlineLevel="0" collapsed="false">
      <c r="A46" s="50" t="e">
        <f aca="false">_xlfn.CONCAT($A$1, ".", #REF!)</f>
        <v>#REF!</v>
      </c>
      <c r="B46" s="69" t="e">
        <f aca="false">_xlfn.CONCAT(#REF!, ":", #REF!)</f>
        <v>#REF!</v>
      </c>
      <c r="C46" s="70" t="e">
        <f aca="false">#REF!</f>
        <v>#REF!</v>
      </c>
      <c r="D46" s="70" t="e">
        <f aca="false">#REF!</f>
        <v>#REF!</v>
      </c>
      <c r="E46" s="70" t="e">
        <f aca="false">#REF!</f>
        <v>#REF!</v>
      </c>
      <c r="F46" s="70" t="e">
        <f aca="false">#REF!</f>
        <v>#REF!</v>
      </c>
    </row>
    <row r="47" customFormat="false" ht="12.8" hidden="false" customHeight="false" outlineLevel="0" collapsed="false">
      <c r="A47" s="50" t="e">
        <f aca="false">_xlfn.CONCAT($A$1, ".", #REF!)</f>
        <v>#REF!</v>
      </c>
      <c r="B47" s="69" t="e">
        <f aca="false">_xlfn.CONCAT(#REF!, ":", #REF!)</f>
        <v>#REF!</v>
      </c>
      <c r="C47" s="70" t="e">
        <f aca="false">#REF!</f>
        <v>#REF!</v>
      </c>
      <c r="D47" s="70" t="e">
        <f aca="false">#REF!</f>
        <v>#REF!</v>
      </c>
      <c r="E47" s="70" t="e">
        <f aca="false">#REF!</f>
        <v>#REF!</v>
      </c>
      <c r="F47" s="70" t="e">
        <f aca="false">#REF!</f>
        <v>#REF!</v>
      </c>
    </row>
    <row r="48" customFormat="false" ht="12.8" hidden="false" customHeight="false" outlineLevel="0" collapsed="false">
      <c r="A48" s="50" t="e">
        <f aca="false">_xlfn.CONCAT($A$1, ".", #REF!)</f>
        <v>#REF!</v>
      </c>
      <c r="B48" s="69" t="e">
        <f aca="false">_xlfn.CONCAT(#REF!, ":", #REF!)</f>
        <v>#REF!</v>
      </c>
      <c r="C48" s="70" t="e">
        <f aca="false">#REF!</f>
        <v>#REF!</v>
      </c>
      <c r="D48" s="70" t="e">
        <f aca="false">#REF!</f>
        <v>#REF!</v>
      </c>
      <c r="E48" s="70" t="e">
        <f aca="false">#REF!</f>
        <v>#REF!</v>
      </c>
      <c r="F48" s="70" t="e">
        <f aca="false">#REF!</f>
        <v>#REF!</v>
      </c>
    </row>
    <row r="49" customFormat="false" ht="12.8" hidden="false" customHeight="false" outlineLevel="0" collapsed="false">
      <c r="A49" s="50" t="e">
        <f aca="false">_xlfn.CONCAT($A$1, ".", #REF!)</f>
        <v>#REF!</v>
      </c>
      <c r="B49" s="69" t="e">
        <f aca="false">_xlfn.CONCAT(#REF!, ":", #REF!)</f>
        <v>#REF!</v>
      </c>
      <c r="C49" s="70" t="e">
        <f aca="false">#REF!</f>
        <v>#REF!</v>
      </c>
      <c r="D49" s="70" t="e">
        <f aca="false">#REF!</f>
        <v>#REF!</v>
      </c>
      <c r="E49" s="70" t="e">
        <f aca="false">#REF!</f>
        <v>#REF!</v>
      </c>
      <c r="F49" s="70" t="e">
        <f aca="false">#REF!</f>
        <v>#REF!</v>
      </c>
    </row>
    <row r="50" customFormat="false" ht="12.8" hidden="false" customHeight="false" outlineLevel="0" collapsed="false">
      <c r="A50" s="50" t="e">
        <f aca="false">_xlfn.CONCAT($A$1, ".", #REF!)</f>
        <v>#REF!</v>
      </c>
      <c r="B50" s="69" t="e">
        <f aca="false">_xlfn.CONCAT(#REF!, ":", #REF!)</f>
        <v>#REF!</v>
      </c>
      <c r="C50" s="70" t="e">
        <f aca="false">#REF!</f>
        <v>#REF!</v>
      </c>
      <c r="D50" s="70" t="e">
        <f aca="false">#REF!</f>
        <v>#REF!</v>
      </c>
      <c r="E50" s="70" t="e">
        <f aca="false">#REF!</f>
        <v>#REF!</v>
      </c>
      <c r="F50" s="70" t="e">
        <f aca="false">#REF!</f>
        <v>#REF!</v>
      </c>
    </row>
    <row r="51" customFormat="false" ht="12.8" hidden="false" customHeight="false" outlineLevel="0" collapsed="false">
      <c r="A51" s="50" t="e">
        <f aca="false">_xlfn.CONCAT($A$1, ".", #REF!)</f>
        <v>#REF!</v>
      </c>
      <c r="B51" s="69" t="e">
        <f aca="false">_xlfn.CONCAT(#REF!, ":", #REF!)</f>
        <v>#REF!</v>
      </c>
      <c r="C51" s="70" t="e">
        <f aca="false">#REF!</f>
        <v>#REF!</v>
      </c>
      <c r="D51" s="70" t="e">
        <f aca="false">#REF!</f>
        <v>#REF!</v>
      </c>
      <c r="E51" s="70" t="e">
        <f aca="false">#REF!</f>
        <v>#REF!</v>
      </c>
      <c r="F51" s="70" t="e">
        <f aca="false">#REF!</f>
        <v>#REF!</v>
      </c>
    </row>
    <row r="52" customFormat="false" ht="12.8" hidden="false" customHeight="false" outlineLevel="0" collapsed="false">
      <c r="A52" s="50" t="e">
        <f aca="false">_xlfn.CONCAT($A$1, ".", #REF!)</f>
        <v>#REF!</v>
      </c>
      <c r="B52" s="69" t="e">
        <f aca="false">_xlfn.CONCAT(#REF!, ":", #REF!)</f>
        <v>#REF!</v>
      </c>
      <c r="C52" s="70" t="e">
        <f aca="false">#REF!</f>
        <v>#REF!</v>
      </c>
      <c r="D52" s="70" t="e">
        <f aca="false">#REF!</f>
        <v>#REF!</v>
      </c>
      <c r="E52" s="70" t="e">
        <f aca="false">#REF!</f>
        <v>#REF!</v>
      </c>
      <c r="F52" s="70" t="e">
        <f aca="false">#REF!</f>
        <v>#REF!</v>
      </c>
    </row>
    <row r="53" customFormat="false" ht="12.8" hidden="false" customHeight="false" outlineLevel="0" collapsed="false">
      <c r="A53" s="50" t="e">
        <f aca="false">_xlfn.CONCAT($A$1, ".", #REF!)</f>
        <v>#REF!</v>
      </c>
      <c r="B53" s="69" t="e">
        <f aca="false">_xlfn.CONCAT(#REF!, ":", #REF!)</f>
        <v>#REF!</v>
      </c>
      <c r="C53" s="70" t="e">
        <f aca="false">#REF!</f>
        <v>#REF!</v>
      </c>
      <c r="D53" s="70" t="e">
        <f aca="false">#REF!</f>
        <v>#REF!</v>
      </c>
      <c r="E53" s="70" t="e">
        <f aca="false">#REF!</f>
        <v>#REF!</v>
      </c>
      <c r="F53" s="70" t="e">
        <f aca="false">#REF!</f>
        <v>#REF!</v>
      </c>
    </row>
    <row r="54" customFormat="false" ht="12.8" hidden="false" customHeight="false" outlineLevel="0" collapsed="false">
      <c r="A54" s="50" t="e">
        <f aca="false">_xlfn.CONCAT($A$1, ".", #REF!)</f>
        <v>#REF!</v>
      </c>
      <c r="B54" s="69" t="e">
        <f aca="false">_xlfn.CONCAT(#REF!, ":", #REF!)</f>
        <v>#REF!</v>
      </c>
      <c r="C54" s="70" t="e">
        <f aca="false">#REF!</f>
        <v>#REF!</v>
      </c>
      <c r="D54" s="70" t="e">
        <f aca="false">#REF!</f>
        <v>#REF!</v>
      </c>
      <c r="E54" s="70" t="e">
        <f aca="false">#REF!</f>
        <v>#REF!</v>
      </c>
      <c r="F54" s="70" t="e">
        <f aca="false">#REF!</f>
        <v>#REF!</v>
      </c>
    </row>
    <row r="55" customFormat="false" ht="12.8" hidden="false" customHeight="false" outlineLevel="0" collapsed="false">
      <c r="A55" s="50" t="e">
        <f aca="false">_xlfn.CONCAT($A$1, ".", #REF!)</f>
        <v>#REF!</v>
      </c>
      <c r="B55" s="69" t="e">
        <f aca="false">_xlfn.CONCAT(#REF!, ":", #REF!)</f>
        <v>#REF!</v>
      </c>
      <c r="C55" s="70" t="e">
        <f aca="false">#REF!</f>
        <v>#REF!</v>
      </c>
      <c r="D55" s="70" t="e">
        <f aca="false">#REF!</f>
        <v>#REF!</v>
      </c>
      <c r="E55" s="70" t="e">
        <f aca="false">#REF!</f>
        <v>#REF!</v>
      </c>
      <c r="F55" s="70" t="e">
        <f aca="false">#REF!</f>
        <v>#REF!</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247"/>
  <sheetViews>
    <sheetView showFormulas="false" showGridLines="true" showRowColHeaders="true" showZeros="true" rightToLeft="false" tabSelected="false" showOutlineSymbols="true" defaultGridColor="true" view="normal" topLeftCell="A53"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1475</v>
      </c>
      <c r="B1" s="63" t="s">
        <v>1476</v>
      </c>
      <c r="C1" s="6" t="s">
        <v>2</v>
      </c>
      <c r="D1" s="62" t="s">
        <v>1477</v>
      </c>
      <c r="AZ1" s="39"/>
      <c r="BP1" s="39"/>
    </row>
    <row r="2" customFormat="false" ht="46.25" hidden="false" customHeight="false" outlineLevel="0" collapsed="false">
      <c r="A2" s="67" t="s">
        <v>1473</v>
      </c>
      <c r="B2" s="63" t="s">
        <v>1474</v>
      </c>
      <c r="C2" s="68" t="str">
        <f aca="false">CALC!T3</f>
        <v>Underemployment Rate</v>
      </c>
      <c r="D2" s="68" t="str">
        <f aca="false">CALC!U3</f>
        <v>Authorized Immigrant Underemployment Rate</v>
      </c>
      <c r="E2" s="68" t="str">
        <f aca="false">CALC!V3</f>
        <v>Unauthorized Immigrant Underemployment Rate</v>
      </c>
      <c r="F2" s="68" t="str">
        <f aca="false">CALC!W3</f>
        <v>American Underemployment Rate</v>
      </c>
    </row>
    <row r="3" customFormat="false" ht="12.8" hidden="false" customHeight="false" outlineLevel="0" collapsed="false">
      <c r="A3" s="4" t="e">
        <f aca="false">_xlfn.CONCAT($A$1, ".", #REF!)</f>
        <v>#REF!</v>
      </c>
      <c r="B3" s="49" t="e">
        <f aca="false">_xlfn.CONCAT(#REF!, ":", #REF!)</f>
        <v>#REF!</v>
      </c>
      <c r="C3" s="68" t="e">
        <f aca="false">#REF!</f>
        <v>#REF!</v>
      </c>
      <c r="D3" s="68" t="e">
        <f aca="false">#REF!</f>
        <v>#REF!</v>
      </c>
      <c r="E3" s="68" t="e">
        <f aca="false">#REF!</f>
        <v>#REF!</v>
      </c>
      <c r="F3" s="68" t="e">
        <f aca="false">#REF!</f>
        <v>#REF!</v>
      </c>
    </row>
    <row r="4" customFormat="false" ht="12.8" hidden="false" customHeight="false" outlineLevel="0" collapsed="false">
      <c r="A4" s="50" t="e">
        <f aca="false">_xlfn.CONCAT($A$1, ".", #REF!)</f>
        <v>#REF!</v>
      </c>
      <c r="B4" s="69" t="e">
        <f aca="false">_xlfn.CONCAT(#REF!, ":", #REF!)</f>
        <v>#REF!</v>
      </c>
      <c r="C4" s="70" t="e">
        <f aca="false">#REF!</f>
        <v>#REF!</v>
      </c>
      <c r="D4" s="70" t="e">
        <f aca="false">#REF!</f>
        <v>#REF!</v>
      </c>
      <c r="E4" s="70" t="e">
        <f aca="false">#REF!</f>
        <v>#REF!</v>
      </c>
      <c r="F4" s="70" t="e">
        <f aca="false">#REF!</f>
        <v>#REF!</v>
      </c>
    </row>
    <row r="5" customFormat="false" ht="12.8" hidden="false" customHeight="false" outlineLevel="0" collapsed="false">
      <c r="A5" s="50" t="e">
        <f aca="false">_xlfn.CONCAT($A$1, ".", #REF!)</f>
        <v>#REF!</v>
      </c>
      <c r="B5" s="69" t="e">
        <f aca="false">_xlfn.CONCAT(#REF!, ":", #REF!)</f>
        <v>#REF!</v>
      </c>
      <c r="C5" s="70" t="e">
        <f aca="false">#REF!</f>
        <v>#REF!</v>
      </c>
      <c r="D5" s="70" t="e">
        <f aca="false">#REF!</f>
        <v>#REF!</v>
      </c>
      <c r="E5" s="70" t="e">
        <f aca="false">#REF!</f>
        <v>#REF!</v>
      </c>
      <c r="F5" s="70" t="e">
        <f aca="false">#REF!</f>
        <v>#REF!</v>
      </c>
    </row>
    <row r="6" customFormat="false" ht="12.8" hidden="false" customHeight="false" outlineLevel="0" collapsed="false">
      <c r="A6" s="50" t="e">
        <f aca="false">_xlfn.CONCAT($A$1, ".", #REF!)</f>
        <v>#REF!</v>
      </c>
      <c r="B6" s="69" t="e">
        <f aca="false">_xlfn.CONCAT(#REF!, ":", #REF!)</f>
        <v>#REF!</v>
      </c>
      <c r="C6" s="70" t="e">
        <f aca="false">#REF!</f>
        <v>#REF!</v>
      </c>
      <c r="D6" s="70" t="e">
        <f aca="false">#REF!</f>
        <v>#REF!</v>
      </c>
      <c r="E6" s="70" t="e">
        <f aca="false">#REF!</f>
        <v>#REF!</v>
      </c>
      <c r="F6" s="70" t="e">
        <f aca="false">#REF!</f>
        <v>#REF!</v>
      </c>
    </row>
    <row r="7" customFormat="false" ht="12.8" hidden="false" customHeight="false" outlineLevel="0" collapsed="false">
      <c r="A7" s="50" t="e">
        <f aca="false">_xlfn.CONCAT($A$1, ".", #REF!)</f>
        <v>#REF!</v>
      </c>
      <c r="B7" s="69" t="e">
        <f aca="false">_xlfn.CONCAT(#REF!, ":", #REF!)</f>
        <v>#REF!</v>
      </c>
      <c r="C7" s="70" t="e">
        <f aca="false">#REF!</f>
        <v>#REF!</v>
      </c>
      <c r="D7" s="70" t="e">
        <f aca="false">#REF!</f>
        <v>#REF!</v>
      </c>
      <c r="E7" s="70" t="e">
        <f aca="false">#REF!</f>
        <v>#REF!</v>
      </c>
      <c r="F7" s="70" t="e">
        <f aca="false">#REF!</f>
        <v>#REF!</v>
      </c>
    </row>
    <row r="8" customFormat="false" ht="12.8" hidden="false" customHeight="false" outlineLevel="0" collapsed="false">
      <c r="A8" s="50" t="e">
        <f aca="false">_xlfn.CONCAT($A$1, ".", #REF!)</f>
        <v>#REF!</v>
      </c>
      <c r="B8" s="69" t="e">
        <f aca="false">_xlfn.CONCAT(#REF!, ":", #REF!)</f>
        <v>#REF!</v>
      </c>
      <c r="C8" s="70" t="e">
        <f aca="false">#REF!</f>
        <v>#REF!</v>
      </c>
      <c r="D8" s="70" t="e">
        <f aca="false">#REF!</f>
        <v>#REF!</v>
      </c>
      <c r="E8" s="70" t="e">
        <f aca="false">#REF!</f>
        <v>#REF!</v>
      </c>
      <c r="F8" s="70" t="e">
        <f aca="false">#REF!</f>
        <v>#REF!</v>
      </c>
    </row>
    <row r="9" customFormat="false" ht="12.8" hidden="false" customHeight="false" outlineLevel="0" collapsed="false">
      <c r="A9" s="50" t="e">
        <f aca="false">_xlfn.CONCAT($A$1, ".", #REF!)</f>
        <v>#REF!</v>
      </c>
      <c r="B9" s="69" t="e">
        <f aca="false">_xlfn.CONCAT(#REF!, ":", #REF!)</f>
        <v>#REF!</v>
      </c>
      <c r="C9" s="70" t="e">
        <f aca="false">#REF!</f>
        <v>#REF!</v>
      </c>
      <c r="D9" s="70" t="e">
        <f aca="false">#REF!</f>
        <v>#REF!</v>
      </c>
      <c r="E9" s="70" t="e">
        <f aca="false">#REF!</f>
        <v>#REF!</v>
      </c>
      <c r="F9" s="70" t="e">
        <f aca="false">#REF!</f>
        <v>#REF!</v>
      </c>
    </row>
    <row r="10" customFormat="false" ht="12.8" hidden="false" customHeight="false" outlineLevel="0" collapsed="false">
      <c r="A10" s="50" t="e">
        <f aca="false">_xlfn.CONCAT($A$1, ".", #REF!)</f>
        <v>#REF!</v>
      </c>
      <c r="B10" s="69" t="e">
        <f aca="false">_xlfn.CONCAT(#REF!, ":", #REF!)</f>
        <v>#REF!</v>
      </c>
      <c r="C10" s="70" t="e">
        <f aca="false">#REF!</f>
        <v>#REF!</v>
      </c>
      <c r="D10" s="70" t="e">
        <f aca="false">#REF!</f>
        <v>#REF!</v>
      </c>
      <c r="E10" s="70" t="e">
        <f aca="false">#REF!</f>
        <v>#REF!</v>
      </c>
      <c r="F10" s="70" t="e">
        <f aca="false">#REF!</f>
        <v>#REF!</v>
      </c>
    </row>
    <row r="11" customFormat="false" ht="12.8" hidden="false" customHeight="false" outlineLevel="0" collapsed="false">
      <c r="A11" s="50" t="e">
        <f aca="false">_xlfn.CONCAT($A$1, ".", #REF!)</f>
        <v>#REF!</v>
      </c>
      <c r="B11" s="69" t="e">
        <f aca="false">_xlfn.CONCAT(#REF!, ":", #REF!)</f>
        <v>#REF!</v>
      </c>
      <c r="C11" s="70" t="e">
        <f aca="false">#REF!</f>
        <v>#REF!</v>
      </c>
      <c r="D11" s="70" t="e">
        <f aca="false">#REF!</f>
        <v>#REF!</v>
      </c>
      <c r="E11" s="70" t="e">
        <f aca="false">#REF!</f>
        <v>#REF!</v>
      </c>
      <c r="F11" s="70" t="e">
        <f aca="false">#REF!</f>
        <v>#REF!</v>
      </c>
    </row>
    <row r="12" customFormat="false" ht="12.8" hidden="false" customHeight="false" outlineLevel="0" collapsed="false">
      <c r="A12" s="50" t="e">
        <f aca="false">_xlfn.CONCAT($A$1, ".", #REF!)</f>
        <v>#REF!</v>
      </c>
      <c r="B12" s="69" t="e">
        <f aca="false">_xlfn.CONCAT(#REF!, ":", #REF!)</f>
        <v>#REF!</v>
      </c>
      <c r="C12" s="70" t="e">
        <f aca="false">#REF!</f>
        <v>#REF!</v>
      </c>
      <c r="D12" s="70" t="e">
        <f aca="false">#REF!</f>
        <v>#REF!</v>
      </c>
      <c r="E12" s="70" t="e">
        <f aca="false">#REF!</f>
        <v>#REF!</v>
      </c>
      <c r="F12" s="70" t="e">
        <f aca="false">#REF!</f>
        <v>#REF!</v>
      </c>
    </row>
    <row r="13" customFormat="false" ht="12.8" hidden="false" customHeight="false" outlineLevel="0" collapsed="false">
      <c r="A13" s="50" t="e">
        <f aca="false">_xlfn.CONCAT($A$1, ".", #REF!)</f>
        <v>#REF!</v>
      </c>
      <c r="B13" s="69" t="e">
        <f aca="false">_xlfn.CONCAT(#REF!, ":", #REF!)</f>
        <v>#REF!</v>
      </c>
      <c r="C13" s="70" t="e">
        <f aca="false">#REF!</f>
        <v>#REF!</v>
      </c>
      <c r="D13" s="70" t="e">
        <f aca="false">#REF!</f>
        <v>#REF!</v>
      </c>
      <c r="E13" s="70" t="e">
        <f aca="false">#REF!</f>
        <v>#REF!</v>
      </c>
      <c r="F13" s="70" t="e">
        <f aca="false">#REF!</f>
        <v>#REF!</v>
      </c>
    </row>
    <row r="14" customFormat="false" ht="12.8" hidden="false" customHeight="false" outlineLevel="0" collapsed="false">
      <c r="A14" s="50" t="e">
        <f aca="false">_xlfn.CONCAT($A$1, ".", #REF!)</f>
        <v>#REF!</v>
      </c>
      <c r="B14" s="69" t="e">
        <f aca="false">_xlfn.CONCAT(#REF!, ":", #REF!)</f>
        <v>#REF!</v>
      </c>
      <c r="C14" s="70" t="e">
        <f aca="false">#REF!</f>
        <v>#REF!</v>
      </c>
      <c r="D14" s="70" t="e">
        <f aca="false">#REF!</f>
        <v>#REF!</v>
      </c>
      <c r="E14" s="70" t="e">
        <f aca="false">#REF!</f>
        <v>#REF!</v>
      </c>
      <c r="F14" s="70" t="e">
        <f aca="false">#REF!</f>
        <v>#REF!</v>
      </c>
    </row>
    <row r="15" customFormat="false" ht="12.8" hidden="false" customHeight="false" outlineLevel="0" collapsed="false">
      <c r="A15" s="50" t="e">
        <f aca="false">_xlfn.CONCAT($A$1, ".", #REF!)</f>
        <v>#REF!</v>
      </c>
      <c r="B15" s="69" t="e">
        <f aca="false">_xlfn.CONCAT(#REF!, ":", #REF!)</f>
        <v>#REF!</v>
      </c>
      <c r="C15" s="70" t="e">
        <f aca="false">#REF!</f>
        <v>#REF!</v>
      </c>
      <c r="D15" s="70" t="e">
        <f aca="false">#REF!</f>
        <v>#REF!</v>
      </c>
      <c r="E15" s="70" t="e">
        <f aca="false">#REF!</f>
        <v>#REF!</v>
      </c>
      <c r="F15" s="70" t="e">
        <f aca="false">#REF!</f>
        <v>#REF!</v>
      </c>
    </row>
    <row r="16" customFormat="false" ht="12.8" hidden="false" customHeight="false" outlineLevel="0" collapsed="false">
      <c r="A16" s="50" t="e">
        <f aca="false">_xlfn.CONCAT($A$1, ".", #REF!)</f>
        <v>#REF!</v>
      </c>
      <c r="B16" s="69" t="e">
        <f aca="false">_xlfn.CONCAT(#REF!, ":", #REF!)</f>
        <v>#REF!</v>
      </c>
      <c r="C16" s="70" t="e">
        <f aca="false">#REF!</f>
        <v>#REF!</v>
      </c>
      <c r="D16" s="70" t="e">
        <f aca="false">#REF!</f>
        <v>#REF!</v>
      </c>
      <c r="E16" s="70" t="e">
        <f aca="false">#REF!</f>
        <v>#REF!</v>
      </c>
      <c r="F16" s="70" t="e">
        <f aca="false">#REF!</f>
        <v>#REF!</v>
      </c>
    </row>
    <row r="17" customFormat="false" ht="12.8" hidden="false" customHeight="false" outlineLevel="0" collapsed="false">
      <c r="A17" s="50" t="e">
        <f aca="false">_xlfn.CONCAT($A$1, ".", #REF!)</f>
        <v>#REF!</v>
      </c>
      <c r="B17" s="69" t="e">
        <f aca="false">_xlfn.CONCAT(#REF!, ":", #REF!)</f>
        <v>#REF!</v>
      </c>
      <c r="C17" s="70" t="e">
        <f aca="false">#REF!</f>
        <v>#REF!</v>
      </c>
      <c r="D17" s="70" t="e">
        <f aca="false">#REF!</f>
        <v>#REF!</v>
      </c>
      <c r="E17" s="70" t="e">
        <f aca="false">#REF!</f>
        <v>#REF!</v>
      </c>
      <c r="F17" s="70" t="e">
        <f aca="false">#REF!</f>
        <v>#REF!</v>
      </c>
    </row>
    <row r="18" customFormat="false" ht="12.8" hidden="false" customHeight="false" outlineLevel="0" collapsed="false">
      <c r="A18" s="50" t="e">
        <f aca="false">_xlfn.CONCAT($A$1, ".", #REF!)</f>
        <v>#REF!</v>
      </c>
      <c r="B18" s="69" t="e">
        <f aca="false">_xlfn.CONCAT(#REF!, ":", #REF!)</f>
        <v>#REF!</v>
      </c>
      <c r="C18" s="70" t="e">
        <f aca="false">#REF!</f>
        <v>#REF!</v>
      </c>
      <c r="D18" s="70" t="e">
        <f aca="false">#REF!</f>
        <v>#REF!</v>
      </c>
      <c r="E18" s="70" t="e">
        <f aca="false">#REF!</f>
        <v>#REF!</v>
      </c>
      <c r="F18" s="70" t="e">
        <f aca="false">#REF!</f>
        <v>#REF!</v>
      </c>
    </row>
    <row r="19" customFormat="false" ht="12.8" hidden="false" customHeight="false" outlineLevel="0" collapsed="false">
      <c r="A19" s="50" t="e">
        <f aca="false">_xlfn.CONCAT($A$1, ".", #REF!)</f>
        <v>#REF!</v>
      </c>
      <c r="B19" s="69" t="e">
        <f aca="false">_xlfn.CONCAT(#REF!, ":", #REF!)</f>
        <v>#REF!</v>
      </c>
      <c r="C19" s="70" t="e">
        <f aca="false">#REF!</f>
        <v>#REF!</v>
      </c>
      <c r="D19" s="70" t="e">
        <f aca="false">#REF!</f>
        <v>#REF!</v>
      </c>
      <c r="E19" s="70" t="e">
        <f aca="false">#REF!</f>
        <v>#REF!</v>
      </c>
      <c r="F19" s="70" t="e">
        <f aca="false">#REF!</f>
        <v>#REF!</v>
      </c>
    </row>
    <row r="20" customFormat="false" ht="12.8" hidden="false" customHeight="false" outlineLevel="0" collapsed="false">
      <c r="A20" s="50" t="e">
        <f aca="false">_xlfn.CONCAT($A$1, ".", #REF!)</f>
        <v>#REF!</v>
      </c>
      <c r="B20" s="69" t="e">
        <f aca="false">_xlfn.CONCAT(#REF!, ":", #REF!)</f>
        <v>#REF!</v>
      </c>
      <c r="C20" s="70" t="e">
        <f aca="false">#REF!</f>
        <v>#REF!</v>
      </c>
      <c r="D20" s="70" t="e">
        <f aca="false">#REF!</f>
        <v>#REF!</v>
      </c>
      <c r="E20" s="70" t="e">
        <f aca="false">#REF!</f>
        <v>#REF!</v>
      </c>
      <c r="F20" s="70" t="e">
        <f aca="false">#REF!</f>
        <v>#REF!</v>
      </c>
    </row>
    <row r="21" customFormat="false" ht="12.8" hidden="false" customHeight="false" outlineLevel="0" collapsed="false">
      <c r="A21" s="50" t="e">
        <f aca="false">_xlfn.CONCAT($A$1, ".", #REF!)</f>
        <v>#REF!</v>
      </c>
      <c r="B21" s="69" t="e">
        <f aca="false">_xlfn.CONCAT(#REF!, ":", #REF!)</f>
        <v>#REF!</v>
      </c>
      <c r="C21" s="70" t="e">
        <f aca="false">#REF!</f>
        <v>#REF!</v>
      </c>
      <c r="D21" s="70" t="e">
        <f aca="false">#REF!</f>
        <v>#REF!</v>
      </c>
      <c r="E21" s="70" t="e">
        <f aca="false">#REF!</f>
        <v>#REF!</v>
      </c>
      <c r="F21" s="70" t="e">
        <f aca="false">#REF!</f>
        <v>#REF!</v>
      </c>
    </row>
    <row r="22" customFormat="false" ht="12.8" hidden="false" customHeight="false" outlineLevel="0" collapsed="false">
      <c r="A22" s="50" t="e">
        <f aca="false">_xlfn.CONCAT($A$1, ".", #REF!)</f>
        <v>#REF!</v>
      </c>
      <c r="B22" s="69" t="e">
        <f aca="false">_xlfn.CONCAT(#REF!, ":", #REF!)</f>
        <v>#REF!</v>
      </c>
      <c r="C22" s="70" t="e">
        <f aca="false">#REF!</f>
        <v>#REF!</v>
      </c>
      <c r="D22" s="70" t="e">
        <f aca="false">#REF!</f>
        <v>#REF!</v>
      </c>
      <c r="E22" s="70" t="e">
        <f aca="false">#REF!</f>
        <v>#REF!</v>
      </c>
      <c r="F22" s="70" t="e">
        <f aca="false">#REF!</f>
        <v>#REF!</v>
      </c>
    </row>
    <row r="23" customFormat="false" ht="12.8" hidden="false" customHeight="false" outlineLevel="0" collapsed="false">
      <c r="A23" s="50" t="e">
        <f aca="false">_xlfn.CONCAT($A$1, ".", #REF!)</f>
        <v>#REF!</v>
      </c>
      <c r="B23" s="69" t="e">
        <f aca="false">_xlfn.CONCAT(#REF!, ":", #REF!)</f>
        <v>#REF!</v>
      </c>
      <c r="C23" s="70" t="e">
        <f aca="false">#REF!</f>
        <v>#REF!</v>
      </c>
      <c r="D23" s="70" t="e">
        <f aca="false">#REF!</f>
        <v>#REF!</v>
      </c>
      <c r="E23" s="70" t="e">
        <f aca="false">#REF!</f>
        <v>#REF!</v>
      </c>
      <c r="F23" s="70" t="e">
        <f aca="false">#REF!</f>
        <v>#REF!</v>
      </c>
    </row>
    <row r="24" customFormat="false" ht="12.8" hidden="false" customHeight="false" outlineLevel="0" collapsed="false">
      <c r="A24" s="50" t="e">
        <f aca="false">_xlfn.CONCAT($A$1, ".", #REF!)</f>
        <v>#REF!</v>
      </c>
      <c r="B24" s="69" t="e">
        <f aca="false">_xlfn.CONCAT(#REF!, ":", #REF!)</f>
        <v>#REF!</v>
      </c>
      <c r="C24" s="70" t="e">
        <f aca="false">#REF!</f>
        <v>#REF!</v>
      </c>
      <c r="D24" s="70" t="e">
        <f aca="false">#REF!</f>
        <v>#REF!</v>
      </c>
      <c r="E24" s="70" t="e">
        <f aca="false">#REF!</f>
        <v>#REF!</v>
      </c>
      <c r="F24" s="70" t="e">
        <f aca="false">#REF!</f>
        <v>#REF!</v>
      </c>
    </row>
    <row r="25" customFormat="false" ht="12.8" hidden="false" customHeight="false" outlineLevel="0" collapsed="false">
      <c r="A25" s="50" t="e">
        <f aca="false">_xlfn.CONCAT($A$1, ".", #REF!)</f>
        <v>#REF!</v>
      </c>
      <c r="B25" s="69" t="e">
        <f aca="false">_xlfn.CONCAT(#REF!, ":", #REF!)</f>
        <v>#REF!</v>
      </c>
      <c r="C25" s="70" t="e">
        <f aca="false">#REF!</f>
        <v>#REF!</v>
      </c>
      <c r="D25" s="70" t="e">
        <f aca="false">#REF!</f>
        <v>#REF!</v>
      </c>
      <c r="E25" s="70" t="e">
        <f aca="false">#REF!</f>
        <v>#REF!</v>
      </c>
      <c r="F25" s="70" t="e">
        <f aca="false">#REF!</f>
        <v>#REF!</v>
      </c>
    </row>
    <row r="26" customFormat="false" ht="12.8" hidden="false" customHeight="false" outlineLevel="0" collapsed="false">
      <c r="A26" s="50" t="e">
        <f aca="false">_xlfn.CONCAT($A$1, ".", #REF!)</f>
        <v>#REF!</v>
      </c>
      <c r="B26" s="69" t="e">
        <f aca="false">_xlfn.CONCAT(#REF!, ":", #REF!)</f>
        <v>#REF!</v>
      </c>
      <c r="C26" s="70" t="e">
        <f aca="false">#REF!</f>
        <v>#REF!</v>
      </c>
      <c r="D26" s="70" t="e">
        <f aca="false">#REF!</f>
        <v>#REF!</v>
      </c>
      <c r="E26" s="70" t="e">
        <f aca="false">#REF!</f>
        <v>#REF!</v>
      </c>
      <c r="F26" s="70" t="e">
        <f aca="false">#REF!</f>
        <v>#REF!</v>
      </c>
    </row>
    <row r="27" customFormat="false" ht="12.8" hidden="false" customHeight="false" outlineLevel="0" collapsed="false">
      <c r="A27" s="50" t="e">
        <f aca="false">_xlfn.CONCAT($A$1, ".", #REF!)</f>
        <v>#REF!</v>
      </c>
      <c r="B27" s="69" t="e">
        <f aca="false">_xlfn.CONCAT(#REF!, ":", #REF!)</f>
        <v>#REF!</v>
      </c>
      <c r="C27" s="70" t="e">
        <f aca="false">#REF!</f>
        <v>#REF!</v>
      </c>
      <c r="D27" s="70" t="e">
        <f aca="false">#REF!</f>
        <v>#REF!</v>
      </c>
      <c r="E27" s="70" t="e">
        <f aca="false">#REF!</f>
        <v>#REF!</v>
      </c>
      <c r="F27" s="70" t="e">
        <f aca="false">#REF!</f>
        <v>#REF!</v>
      </c>
    </row>
    <row r="28" customFormat="false" ht="12.8" hidden="false" customHeight="false" outlineLevel="0" collapsed="false">
      <c r="A28" s="50" t="e">
        <f aca="false">_xlfn.CONCAT($A$1, ".", #REF!)</f>
        <v>#REF!</v>
      </c>
      <c r="B28" s="69" t="e">
        <f aca="false">_xlfn.CONCAT(#REF!, ":", #REF!)</f>
        <v>#REF!</v>
      </c>
      <c r="C28" s="70" t="e">
        <f aca="false">#REF!</f>
        <v>#REF!</v>
      </c>
      <c r="D28" s="70" t="e">
        <f aca="false">#REF!</f>
        <v>#REF!</v>
      </c>
      <c r="E28" s="70" t="e">
        <f aca="false">#REF!</f>
        <v>#REF!</v>
      </c>
      <c r="F28" s="70" t="e">
        <f aca="false">#REF!</f>
        <v>#REF!</v>
      </c>
    </row>
    <row r="29" customFormat="false" ht="12.8" hidden="false" customHeight="false" outlineLevel="0" collapsed="false">
      <c r="A29" s="50" t="e">
        <f aca="false">_xlfn.CONCAT($A$1, ".", #REF!)</f>
        <v>#REF!</v>
      </c>
      <c r="B29" s="69" t="e">
        <f aca="false">_xlfn.CONCAT(#REF!, ":", #REF!)</f>
        <v>#REF!</v>
      </c>
      <c r="C29" s="70" t="e">
        <f aca="false">#REF!</f>
        <v>#REF!</v>
      </c>
      <c r="D29" s="70" t="e">
        <f aca="false">#REF!</f>
        <v>#REF!</v>
      </c>
      <c r="E29" s="70" t="e">
        <f aca="false">#REF!</f>
        <v>#REF!</v>
      </c>
      <c r="F29" s="70" t="e">
        <f aca="false">#REF!</f>
        <v>#REF!</v>
      </c>
    </row>
    <row r="30" customFormat="false" ht="12.8" hidden="false" customHeight="false" outlineLevel="0" collapsed="false">
      <c r="A30" s="50" t="e">
        <f aca="false">_xlfn.CONCAT($A$1, ".", #REF!)</f>
        <v>#REF!</v>
      </c>
      <c r="B30" s="69" t="e">
        <f aca="false">_xlfn.CONCAT(#REF!, ":", #REF!)</f>
        <v>#REF!</v>
      </c>
      <c r="C30" s="70" t="e">
        <f aca="false">#REF!</f>
        <v>#REF!</v>
      </c>
      <c r="D30" s="70" t="e">
        <f aca="false">#REF!</f>
        <v>#REF!</v>
      </c>
      <c r="E30" s="70" t="e">
        <f aca="false">#REF!</f>
        <v>#REF!</v>
      </c>
      <c r="F30" s="70" t="e">
        <f aca="false">#REF!</f>
        <v>#REF!</v>
      </c>
    </row>
    <row r="31" customFormat="false" ht="12.8" hidden="false" customHeight="false" outlineLevel="0" collapsed="false">
      <c r="A31" s="50" t="e">
        <f aca="false">_xlfn.CONCAT($A$1, ".", #REF!)</f>
        <v>#REF!</v>
      </c>
      <c r="B31" s="69" t="e">
        <f aca="false">_xlfn.CONCAT(#REF!, ":", #REF!)</f>
        <v>#REF!</v>
      </c>
      <c r="C31" s="70" t="e">
        <f aca="false">#REF!</f>
        <v>#REF!</v>
      </c>
      <c r="D31" s="70" t="e">
        <f aca="false">#REF!</f>
        <v>#REF!</v>
      </c>
      <c r="E31" s="70" t="e">
        <f aca="false">#REF!</f>
        <v>#REF!</v>
      </c>
      <c r="F31" s="70" t="e">
        <f aca="false">#REF!</f>
        <v>#REF!</v>
      </c>
    </row>
    <row r="32" customFormat="false" ht="12.8" hidden="false" customHeight="false" outlineLevel="0" collapsed="false">
      <c r="A32" s="50" t="e">
        <f aca="false">_xlfn.CONCAT($A$1, ".", #REF!)</f>
        <v>#REF!</v>
      </c>
      <c r="B32" s="69" t="e">
        <f aca="false">_xlfn.CONCAT(#REF!, ":", #REF!)</f>
        <v>#REF!</v>
      </c>
      <c r="C32" s="70" t="e">
        <f aca="false">#REF!</f>
        <v>#REF!</v>
      </c>
      <c r="D32" s="70" t="e">
        <f aca="false">#REF!</f>
        <v>#REF!</v>
      </c>
      <c r="E32" s="70" t="e">
        <f aca="false">#REF!</f>
        <v>#REF!</v>
      </c>
      <c r="F32" s="70" t="e">
        <f aca="false">#REF!</f>
        <v>#REF!</v>
      </c>
    </row>
    <row r="33" customFormat="false" ht="12.8" hidden="false" customHeight="false" outlineLevel="0" collapsed="false">
      <c r="A33" s="50" t="e">
        <f aca="false">_xlfn.CONCAT($A$1, ".", #REF!)</f>
        <v>#REF!</v>
      </c>
      <c r="B33" s="69" t="e">
        <f aca="false">_xlfn.CONCAT(#REF!, ":", #REF!)</f>
        <v>#REF!</v>
      </c>
      <c r="C33" s="70" t="e">
        <f aca="false">#REF!</f>
        <v>#REF!</v>
      </c>
      <c r="D33" s="70" t="e">
        <f aca="false">#REF!</f>
        <v>#REF!</v>
      </c>
      <c r="E33" s="70" t="e">
        <f aca="false">#REF!</f>
        <v>#REF!</v>
      </c>
      <c r="F33" s="70" t="e">
        <f aca="false">#REF!</f>
        <v>#REF!</v>
      </c>
    </row>
    <row r="34" customFormat="false" ht="12.8" hidden="false" customHeight="false" outlineLevel="0" collapsed="false">
      <c r="A34" s="50" t="e">
        <f aca="false">_xlfn.CONCAT($A$1, ".", #REF!)</f>
        <v>#REF!</v>
      </c>
      <c r="B34" s="69" t="e">
        <f aca="false">_xlfn.CONCAT(#REF!, ":", #REF!)</f>
        <v>#REF!</v>
      </c>
      <c r="C34" s="70" t="e">
        <f aca="false">#REF!</f>
        <v>#REF!</v>
      </c>
      <c r="D34" s="70" t="e">
        <f aca="false">#REF!</f>
        <v>#REF!</v>
      </c>
      <c r="E34" s="70" t="e">
        <f aca="false">#REF!</f>
        <v>#REF!</v>
      </c>
      <c r="F34" s="70" t="e">
        <f aca="false">#REF!</f>
        <v>#REF!</v>
      </c>
    </row>
    <row r="35" customFormat="false" ht="12.8" hidden="false" customHeight="false" outlineLevel="0" collapsed="false">
      <c r="A35" s="50" t="e">
        <f aca="false">_xlfn.CONCAT($A$1, ".", #REF!)</f>
        <v>#REF!</v>
      </c>
      <c r="B35" s="69" t="e">
        <f aca="false">_xlfn.CONCAT(#REF!, ":", #REF!)</f>
        <v>#REF!</v>
      </c>
      <c r="C35" s="70" t="e">
        <f aca="false">#REF!</f>
        <v>#REF!</v>
      </c>
      <c r="D35" s="70" t="e">
        <f aca="false">#REF!</f>
        <v>#REF!</v>
      </c>
      <c r="E35" s="70" t="e">
        <f aca="false">#REF!</f>
        <v>#REF!</v>
      </c>
      <c r="F35" s="70" t="e">
        <f aca="false">#REF!</f>
        <v>#REF!</v>
      </c>
    </row>
    <row r="36" customFormat="false" ht="12.8" hidden="false" customHeight="false" outlineLevel="0" collapsed="false">
      <c r="A36" s="50" t="e">
        <f aca="false">_xlfn.CONCAT($A$1, ".", #REF!)</f>
        <v>#REF!</v>
      </c>
      <c r="B36" s="69" t="e">
        <f aca="false">_xlfn.CONCAT(#REF!, ":", #REF!)</f>
        <v>#REF!</v>
      </c>
      <c r="C36" s="70" t="e">
        <f aca="false">#REF!</f>
        <v>#REF!</v>
      </c>
      <c r="D36" s="70" t="e">
        <f aca="false">#REF!</f>
        <v>#REF!</v>
      </c>
      <c r="E36" s="70" t="e">
        <f aca="false">#REF!</f>
        <v>#REF!</v>
      </c>
      <c r="F36" s="70" t="e">
        <f aca="false">#REF!</f>
        <v>#REF!</v>
      </c>
    </row>
    <row r="37" customFormat="false" ht="12.8" hidden="false" customHeight="false" outlineLevel="0" collapsed="false">
      <c r="A37" s="50" t="e">
        <f aca="false">_xlfn.CONCAT($A$1, ".", #REF!)</f>
        <v>#REF!</v>
      </c>
      <c r="B37" s="69" t="e">
        <f aca="false">_xlfn.CONCAT(#REF!, ":", #REF!)</f>
        <v>#REF!</v>
      </c>
      <c r="C37" s="70" t="e">
        <f aca="false">#REF!</f>
        <v>#REF!</v>
      </c>
      <c r="D37" s="70" t="e">
        <f aca="false">#REF!</f>
        <v>#REF!</v>
      </c>
      <c r="E37" s="70" t="e">
        <f aca="false">#REF!</f>
        <v>#REF!</v>
      </c>
      <c r="F37" s="70" t="e">
        <f aca="false">#REF!</f>
        <v>#REF!</v>
      </c>
    </row>
    <row r="38" customFormat="false" ht="12.8" hidden="false" customHeight="false" outlineLevel="0" collapsed="false">
      <c r="A38" s="50" t="e">
        <f aca="false">_xlfn.CONCAT($A$1, ".", #REF!)</f>
        <v>#REF!</v>
      </c>
      <c r="B38" s="69" t="e">
        <f aca="false">_xlfn.CONCAT(#REF!, ":", #REF!)</f>
        <v>#REF!</v>
      </c>
      <c r="C38" s="70" t="e">
        <f aca="false">#REF!</f>
        <v>#REF!</v>
      </c>
      <c r="D38" s="70" t="e">
        <f aca="false">#REF!</f>
        <v>#REF!</v>
      </c>
      <c r="E38" s="70" t="e">
        <f aca="false">#REF!</f>
        <v>#REF!</v>
      </c>
      <c r="F38" s="70" t="e">
        <f aca="false">#REF!</f>
        <v>#REF!</v>
      </c>
    </row>
    <row r="39" customFormat="false" ht="12.8" hidden="false" customHeight="false" outlineLevel="0" collapsed="false">
      <c r="A39" s="50" t="e">
        <f aca="false">_xlfn.CONCAT($A$1, ".", #REF!)</f>
        <v>#REF!</v>
      </c>
      <c r="B39" s="69" t="e">
        <f aca="false">_xlfn.CONCAT(#REF!, ":", #REF!)</f>
        <v>#REF!</v>
      </c>
      <c r="C39" s="70" t="e">
        <f aca="false">#REF!</f>
        <v>#REF!</v>
      </c>
      <c r="D39" s="70" t="e">
        <f aca="false">#REF!</f>
        <v>#REF!</v>
      </c>
      <c r="E39" s="70" t="e">
        <f aca="false">#REF!</f>
        <v>#REF!</v>
      </c>
      <c r="F39" s="70" t="e">
        <f aca="false">#REF!</f>
        <v>#REF!</v>
      </c>
    </row>
    <row r="40" customFormat="false" ht="12.8" hidden="false" customHeight="false" outlineLevel="0" collapsed="false">
      <c r="A40" s="50" t="e">
        <f aca="false">_xlfn.CONCAT($A$1, ".", #REF!)</f>
        <v>#REF!</v>
      </c>
      <c r="B40" s="69" t="e">
        <f aca="false">_xlfn.CONCAT(#REF!, ":", #REF!)</f>
        <v>#REF!</v>
      </c>
      <c r="C40" s="70" t="e">
        <f aca="false">#REF!</f>
        <v>#REF!</v>
      </c>
      <c r="D40" s="70" t="e">
        <f aca="false">#REF!</f>
        <v>#REF!</v>
      </c>
      <c r="E40" s="70" t="e">
        <f aca="false">#REF!</f>
        <v>#REF!</v>
      </c>
      <c r="F40" s="70" t="e">
        <f aca="false">#REF!</f>
        <v>#REF!</v>
      </c>
    </row>
    <row r="41" customFormat="false" ht="12.8" hidden="false" customHeight="false" outlineLevel="0" collapsed="false">
      <c r="A41" s="50" t="e">
        <f aca="false">_xlfn.CONCAT($A$1, ".", #REF!)</f>
        <v>#REF!</v>
      </c>
      <c r="B41" s="69" t="e">
        <f aca="false">_xlfn.CONCAT(#REF!, ":", #REF!)</f>
        <v>#REF!</v>
      </c>
      <c r="C41" s="70" t="e">
        <f aca="false">#REF!</f>
        <v>#REF!</v>
      </c>
      <c r="D41" s="70" t="e">
        <f aca="false">#REF!</f>
        <v>#REF!</v>
      </c>
      <c r="E41" s="70" t="e">
        <f aca="false">#REF!</f>
        <v>#REF!</v>
      </c>
      <c r="F41" s="70" t="e">
        <f aca="false">#REF!</f>
        <v>#REF!</v>
      </c>
    </row>
    <row r="42" customFormat="false" ht="12.8" hidden="false" customHeight="false" outlineLevel="0" collapsed="false">
      <c r="A42" s="50" t="e">
        <f aca="false">_xlfn.CONCAT($A$1, ".", #REF!)</f>
        <v>#REF!</v>
      </c>
      <c r="B42" s="69" t="e">
        <f aca="false">_xlfn.CONCAT(#REF!, ":", #REF!)</f>
        <v>#REF!</v>
      </c>
      <c r="C42" s="70" t="e">
        <f aca="false">#REF!</f>
        <v>#REF!</v>
      </c>
      <c r="D42" s="70" t="e">
        <f aca="false">#REF!</f>
        <v>#REF!</v>
      </c>
      <c r="E42" s="70" t="e">
        <f aca="false">#REF!</f>
        <v>#REF!</v>
      </c>
      <c r="F42" s="70" t="e">
        <f aca="false">#REF!</f>
        <v>#REF!</v>
      </c>
    </row>
    <row r="43" customFormat="false" ht="12.8" hidden="false" customHeight="false" outlineLevel="0" collapsed="false">
      <c r="A43" s="50" t="e">
        <f aca="false">_xlfn.CONCAT($A$1, ".", #REF!)</f>
        <v>#REF!</v>
      </c>
      <c r="B43" s="69" t="e">
        <f aca="false">_xlfn.CONCAT(#REF!, ":", #REF!)</f>
        <v>#REF!</v>
      </c>
      <c r="C43" s="70" t="e">
        <f aca="false">#REF!</f>
        <v>#REF!</v>
      </c>
      <c r="D43" s="70" t="e">
        <f aca="false">#REF!</f>
        <v>#REF!</v>
      </c>
      <c r="E43" s="70" t="e">
        <f aca="false">#REF!</f>
        <v>#REF!</v>
      </c>
      <c r="F43" s="70" t="e">
        <f aca="false">#REF!</f>
        <v>#REF!</v>
      </c>
    </row>
    <row r="44" customFormat="false" ht="12.8" hidden="false" customHeight="false" outlineLevel="0" collapsed="false">
      <c r="A44" s="50" t="e">
        <f aca="false">_xlfn.CONCAT($A$1, ".", #REF!)</f>
        <v>#REF!</v>
      </c>
      <c r="B44" s="69" t="e">
        <f aca="false">_xlfn.CONCAT(#REF!, ":", #REF!)</f>
        <v>#REF!</v>
      </c>
      <c r="C44" s="70" t="e">
        <f aca="false">#REF!</f>
        <v>#REF!</v>
      </c>
      <c r="D44" s="70" t="e">
        <f aca="false">#REF!</f>
        <v>#REF!</v>
      </c>
      <c r="E44" s="70" t="e">
        <f aca="false">#REF!</f>
        <v>#REF!</v>
      </c>
      <c r="F44" s="70" t="e">
        <f aca="false">#REF!</f>
        <v>#REF!</v>
      </c>
    </row>
    <row r="45" customFormat="false" ht="12.8" hidden="false" customHeight="false" outlineLevel="0" collapsed="false">
      <c r="A45" s="50" t="e">
        <f aca="false">_xlfn.CONCAT($A$1, ".", #REF!)</f>
        <v>#REF!</v>
      </c>
      <c r="B45" s="69" t="e">
        <f aca="false">_xlfn.CONCAT(#REF!, ":", #REF!)</f>
        <v>#REF!</v>
      </c>
      <c r="C45" s="70" t="e">
        <f aca="false">#REF!</f>
        <v>#REF!</v>
      </c>
      <c r="D45" s="70" t="e">
        <f aca="false">#REF!</f>
        <v>#REF!</v>
      </c>
      <c r="E45" s="70" t="e">
        <f aca="false">#REF!</f>
        <v>#REF!</v>
      </c>
      <c r="F45" s="70" t="e">
        <f aca="false">#REF!</f>
        <v>#REF!</v>
      </c>
    </row>
    <row r="46" customFormat="false" ht="12.8" hidden="false" customHeight="false" outlineLevel="0" collapsed="false">
      <c r="A46" s="50" t="e">
        <f aca="false">_xlfn.CONCAT($A$1, ".", #REF!)</f>
        <v>#REF!</v>
      </c>
      <c r="B46" s="69" t="e">
        <f aca="false">_xlfn.CONCAT(#REF!, ":", #REF!)</f>
        <v>#REF!</v>
      </c>
      <c r="C46" s="70" t="e">
        <f aca="false">#REF!</f>
        <v>#REF!</v>
      </c>
      <c r="D46" s="70" t="e">
        <f aca="false">#REF!</f>
        <v>#REF!</v>
      </c>
      <c r="E46" s="70" t="e">
        <f aca="false">#REF!</f>
        <v>#REF!</v>
      </c>
      <c r="F46" s="70" t="e">
        <f aca="false">#REF!</f>
        <v>#REF!</v>
      </c>
    </row>
    <row r="47" customFormat="false" ht="12.8" hidden="false" customHeight="false" outlineLevel="0" collapsed="false">
      <c r="A47" s="50" t="e">
        <f aca="false">_xlfn.CONCAT($A$1, ".", #REF!)</f>
        <v>#REF!</v>
      </c>
      <c r="B47" s="69" t="e">
        <f aca="false">_xlfn.CONCAT(#REF!, ":", #REF!)</f>
        <v>#REF!</v>
      </c>
      <c r="C47" s="70" t="e">
        <f aca="false">#REF!</f>
        <v>#REF!</v>
      </c>
      <c r="D47" s="70" t="e">
        <f aca="false">#REF!</f>
        <v>#REF!</v>
      </c>
      <c r="E47" s="70" t="e">
        <f aca="false">#REF!</f>
        <v>#REF!</v>
      </c>
      <c r="F47" s="70" t="e">
        <f aca="false">#REF!</f>
        <v>#REF!</v>
      </c>
    </row>
    <row r="48" customFormat="false" ht="12.8" hidden="false" customHeight="false" outlineLevel="0" collapsed="false">
      <c r="A48" s="50" t="e">
        <f aca="false">_xlfn.CONCAT($A$1, ".", #REF!)</f>
        <v>#REF!</v>
      </c>
      <c r="B48" s="69" t="e">
        <f aca="false">_xlfn.CONCAT(#REF!, ":", #REF!)</f>
        <v>#REF!</v>
      </c>
      <c r="C48" s="70" t="e">
        <f aca="false">#REF!</f>
        <v>#REF!</v>
      </c>
      <c r="D48" s="70" t="e">
        <f aca="false">#REF!</f>
        <v>#REF!</v>
      </c>
      <c r="E48" s="70" t="e">
        <f aca="false">#REF!</f>
        <v>#REF!</v>
      </c>
      <c r="F48" s="70" t="e">
        <f aca="false">#REF!</f>
        <v>#REF!</v>
      </c>
    </row>
    <row r="49" customFormat="false" ht="12.8" hidden="false" customHeight="false" outlineLevel="0" collapsed="false">
      <c r="A49" s="50" t="e">
        <f aca="false">_xlfn.CONCAT($A$1, ".", #REF!)</f>
        <v>#REF!</v>
      </c>
      <c r="B49" s="69" t="e">
        <f aca="false">_xlfn.CONCAT(#REF!, ":", #REF!)</f>
        <v>#REF!</v>
      </c>
      <c r="C49" s="70" t="e">
        <f aca="false">#REF!</f>
        <v>#REF!</v>
      </c>
      <c r="D49" s="70" t="e">
        <f aca="false">#REF!</f>
        <v>#REF!</v>
      </c>
      <c r="E49" s="70" t="e">
        <f aca="false">#REF!</f>
        <v>#REF!</v>
      </c>
      <c r="F49" s="70" t="e">
        <f aca="false">#REF!</f>
        <v>#REF!</v>
      </c>
    </row>
    <row r="50" customFormat="false" ht="12.8" hidden="false" customHeight="false" outlineLevel="0" collapsed="false">
      <c r="A50" s="50" t="e">
        <f aca="false">_xlfn.CONCAT($A$1, ".", #REF!)</f>
        <v>#REF!</v>
      </c>
      <c r="B50" s="69" t="e">
        <f aca="false">_xlfn.CONCAT(#REF!, ":", #REF!)</f>
        <v>#REF!</v>
      </c>
      <c r="C50" s="70" t="e">
        <f aca="false">#REF!</f>
        <v>#REF!</v>
      </c>
      <c r="D50" s="70" t="e">
        <f aca="false">#REF!</f>
        <v>#REF!</v>
      </c>
      <c r="E50" s="70" t="e">
        <f aca="false">#REF!</f>
        <v>#REF!</v>
      </c>
      <c r="F50" s="70" t="e">
        <f aca="false">#REF!</f>
        <v>#REF!</v>
      </c>
    </row>
    <row r="51" customFormat="false" ht="12.8" hidden="false" customHeight="false" outlineLevel="0" collapsed="false">
      <c r="A51" s="50" t="e">
        <f aca="false">_xlfn.CONCAT($A$1, ".", #REF!)</f>
        <v>#REF!</v>
      </c>
      <c r="B51" s="69" t="e">
        <f aca="false">_xlfn.CONCAT(#REF!, ":", #REF!)</f>
        <v>#REF!</v>
      </c>
      <c r="C51" s="70" t="e">
        <f aca="false">#REF!</f>
        <v>#REF!</v>
      </c>
      <c r="D51" s="70" t="e">
        <f aca="false">#REF!</f>
        <v>#REF!</v>
      </c>
      <c r="E51" s="70" t="e">
        <f aca="false">#REF!</f>
        <v>#REF!</v>
      </c>
      <c r="F51" s="70" t="e">
        <f aca="false">#REF!</f>
        <v>#REF!</v>
      </c>
    </row>
    <row r="52" customFormat="false" ht="12.8" hidden="false" customHeight="false" outlineLevel="0" collapsed="false">
      <c r="A52" s="50" t="e">
        <f aca="false">_xlfn.CONCAT($A$1, ".", #REF!)</f>
        <v>#REF!</v>
      </c>
      <c r="B52" s="69" t="e">
        <f aca="false">_xlfn.CONCAT(#REF!, ":", #REF!)</f>
        <v>#REF!</v>
      </c>
      <c r="C52" s="70" t="e">
        <f aca="false">#REF!</f>
        <v>#REF!</v>
      </c>
      <c r="D52" s="70" t="e">
        <f aca="false">#REF!</f>
        <v>#REF!</v>
      </c>
      <c r="E52" s="70" t="e">
        <f aca="false">#REF!</f>
        <v>#REF!</v>
      </c>
      <c r="F52" s="70" t="e">
        <f aca="false">#REF!</f>
        <v>#REF!</v>
      </c>
    </row>
    <row r="53" customFormat="false" ht="12.8" hidden="false" customHeight="false" outlineLevel="0" collapsed="false">
      <c r="A53" s="50" t="e">
        <f aca="false">_xlfn.CONCAT($A$1, ".", #REF!)</f>
        <v>#REF!</v>
      </c>
      <c r="B53" s="69" t="e">
        <f aca="false">_xlfn.CONCAT(#REF!, ":", #REF!)</f>
        <v>#REF!</v>
      </c>
      <c r="C53" s="70" t="e">
        <f aca="false">#REF!</f>
        <v>#REF!</v>
      </c>
      <c r="D53" s="70" t="e">
        <f aca="false">#REF!</f>
        <v>#REF!</v>
      </c>
      <c r="E53" s="70" t="e">
        <f aca="false">#REF!</f>
        <v>#REF!</v>
      </c>
      <c r="F53" s="70" t="e">
        <f aca="false">#REF!</f>
        <v>#REF!</v>
      </c>
    </row>
    <row r="54" customFormat="false" ht="12.8" hidden="false" customHeight="false" outlineLevel="0" collapsed="false">
      <c r="A54" s="50" t="e">
        <f aca="false">_xlfn.CONCAT($A$1, ".", #REF!)</f>
        <v>#REF!</v>
      </c>
      <c r="B54" s="69" t="e">
        <f aca="false">_xlfn.CONCAT(#REF!, ":", #REF!)</f>
        <v>#REF!</v>
      </c>
      <c r="C54" s="70" t="e">
        <f aca="false">#REF!</f>
        <v>#REF!</v>
      </c>
      <c r="D54" s="70" t="e">
        <f aca="false">#REF!</f>
        <v>#REF!</v>
      </c>
      <c r="E54" s="70" t="e">
        <f aca="false">#REF!</f>
        <v>#REF!</v>
      </c>
      <c r="F54" s="70" t="e">
        <f aca="false">#REF!</f>
        <v>#REF!</v>
      </c>
    </row>
    <row r="55" customFormat="false" ht="12.8" hidden="false" customHeight="false" outlineLevel="0" collapsed="false">
      <c r="A55" s="50" t="e">
        <f aca="false">_xlfn.CONCAT($A$1, ".", #REF!)</f>
        <v>#REF!</v>
      </c>
      <c r="B55" s="69" t="e">
        <f aca="false">_xlfn.CONCAT(#REF!, ":", #REF!)</f>
        <v>#REF!</v>
      </c>
      <c r="C55" s="70" t="e">
        <f aca="false">#REF!</f>
        <v>#REF!</v>
      </c>
      <c r="D55" s="70" t="e">
        <f aca="false">#REF!</f>
        <v>#REF!</v>
      </c>
      <c r="E55" s="70" t="e">
        <f aca="false">#REF!</f>
        <v>#REF!</v>
      </c>
      <c r="F55" s="7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247"/>
  <sheetViews>
    <sheetView showFormulas="false" showGridLines="true" showRowColHeaders="true" showZeros="true" rightToLeft="false" tabSelected="false" showOutlineSymbols="true" defaultGridColor="true" view="normal" topLeftCell="A92"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1478</v>
      </c>
      <c r="B1" s="63" t="s">
        <v>1479</v>
      </c>
      <c r="C1" s="6" t="s">
        <v>2</v>
      </c>
      <c r="D1" s="62" t="s">
        <v>1480</v>
      </c>
      <c r="AZ1" s="39"/>
      <c r="BP1" s="39"/>
    </row>
    <row r="2" customFormat="false" ht="35.05" hidden="false" customHeight="false" outlineLevel="0" collapsed="false">
      <c r="A2" s="67" t="s">
        <v>1473</v>
      </c>
      <c r="B2" s="63" t="s">
        <v>1474</v>
      </c>
      <c r="C2" s="71" t="str">
        <f aca="false">CALC!X3</f>
        <v>Wage Average ($ /hr)</v>
      </c>
      <c r="D2" s="71" t="str">
        <f aca="false">CALC!AD3</f>
        <v>Authorized Immigrant Wage Average ($ /hr)</v>
      </c>
      <c r="E2" s="71" t="str">
        <f aca="false">CALC!AJ3</f>
        <v>Unauthorized Immigrant Wage Average ($ /hr)</v>
      </c>
      <c r="F2" s="71" t="str">
        <f aca="false">CALC!AP3</f>
        <v>American Wage Average ($ /hr)</v>
      </c>
    </row>
    <row r="3" customFormat="false" ht="12.8" hidden="false" customHeight="false" outlineLevel="0" collapsed="false">
      <c r="A3" s="4" t="e">
        <f aca="false">_xlfn.CONCAT($A$1, ".", #REF!)</f>
        <v>#REF!</v>
      </c>
      <c r="B3" s="49" t="e">
        <f aca="false">_xlfn.CONCAT(#REF!, ":", #REF!)</f>
        <v>#REF!</v>
      </c>
      <c r="C3" s="71" t="e">
        <f aca="false">#REF!</f>
        <v>#REF!</v>
      </c>
      <c r="D3" s="71" t="e">
        <f aca="false">#REF!</f>
        <v>#REF!</v>
      </c>
      <c r="E3" s="71" t="e">
        <f aca="false">#REF!</f>
        <v>#REF!</v>
      </c>
      <c r="F3" s="71" t="e">
        <f aca="false">#REF!</f>
        <v>#REF!</v>
      </c>
    </row>
    <row r="4" customFormat="false" ht="12.8" hidden="false" customHeight="false" outlineLevel="0" collapsed="false">
      <c r="A4" s="50" t="e">
        <f aca="false">_xlfn.CONCAT($A$1, ".", #REF!)</f>
        <v>#REF!</v>
      </c>
      <c r="B4" s="69" t="e">
        <f aca="false">_xlfn.CONCAT(#REF!, ":", #REF!)</f>
        <v>#REF!</v>
      </c>
      <c r="C4" s="72" t="e">
        <f aca="false">#REF!</f>
        <v>#REF!</v>
      </c>
      <c r="D4" s="72" t="e">
        <f aca="false">#REF!</f>
        <v>#REF!</v>
      </c>
      <c r="E4" s="72" t="e">
        <f aca="false">#REF!</f>
        <v>#REF!</v>
      </c>
      <c r="F4" s="72" t="e">
        <f aca="false">#REF!</f>
        <v>#REF!</v>
      </c>
    </row>
    <row r="5" customFormat="false" ht="12.8" hidden="false" customHeight="false" outlineLevel="0" collapsed="false">
      <c r="A5" s="50" t="e">
        <f aca="false">_xlfn.CONCAT($A$1, ".", #REF!)</f>
        <v>#REF!</v>
      </c>
      <c r="B5" s="69" t="e">
        <f aca="false">_xlfn.CONCAT(#REF!, ":", #REF!)</f>
        <v>#REF!</v>
      </c>
      <c r="C5" s="72" t="e">
        <f aca="false">#REF!</f>
        <v>#REF!</v>
      </c>
      <c r="D5" s="72" t="e">
        <f aca="false">#REF!</f>
        <v>#REF!</v>
      </c>
      <c r="E5" s="72" t="e">
        <f aca="false">#REF!</f>
        <v>#REF!</v>
      </c>
      <c r="F5" s="72" t="e">
        <f aca="false">#REF!</f>
        <v>#REF!</v>
      </c>
    </row>
    <row r="6" customFormat="false" ht="12.8" hidden="false" customHeight="false" outlineLevel="0" collapsed="false">
      <c r="A6" s="50" t="e">
        <f aca="false">_xlfn.CONCAT($A$1, ".", #REF!)</f>
        <v>#REF!</v>
      </c>
      <c r="B6" s="69" t="e">
        <f aca="false">_xlfn.CONCAT(#REF!, ":", #REF!)</f>
        <v>#REF!</v>
      </c>
      <c r="C6" s="72" t="e">
        <f aca="false">#REF!</f>
        <v>#REF!</v>
      </c>
      <c r="D6" s="72" t="e">
        <f aca="false">#REF!</f>
        <v>#REF!</v>
      </c>
      <c r="E6" s="72" t="e">
        <f aca="false">#REF!</f>
        <v>#REF!</v>
      </c>
      <c r="F6" s="72" t="e">
        <f aca="false">#REF!</f>
        <v>#REF!</v>
      </c>
    </row>
    <row r="7" customFormat="false" ht="12.8" hidden="false" customHeight="false" outlineLevel="0" collapsed="false">
      <c r="A7" s="50" t="e">
        <f aca="false">_xlfn.CONCAT($A$1, ".", #REF!)</f>
        <v>#REF!</v>
      </c>
      <c r="B7" s="69" t="e">
        <f aca="false">_xlfn.CONCAT(#REF!, ":", #REF!)</f>
        <v>#REF!</v>
      </c>
      <c r="C7" s="72" t="e">
        <f aca="false">#REF!</f>
        <v>#REF!</v>
      </c>
      <c r="D7" s="72" t="e">
        <f aca="false">#REF!</f>
        <v>#REF!</v>
      </c>
      <c r="E7" s="72" t="e">
        <f aca="false">#REF!</f>
        <v>#REF!</v>
      </c>
      <c r="F7" s="72" t="e">
        <f aca="false">#REF!</f>
        <v>#REF!</v>
      </c>
    </row>
    <row r="8" customFormat="false" ht="12.8" hidden="false" customHeight="false" outlineLevel="0" collapsed="false">
      <c r="A8" s="50" t="e">
        <f aca="false">_xlfn.CONCAT($A$1, ".", #REF!)</f>
        <v>#REF!</v>
      </c>
      <c r="B8" s="69" t="e">
        <f aca="false">_xlfn.CONCAT(#REF!, ":", #REF!)</f>
        <v>#REF!</v>
      </c>
      <c r="C8" s="72" t="e">
        <f aca="false">#REF!</f>
        <v>#REF!</v>
      </c>
      <c r="D8" s="72" t="e">
        <f aca="false">#REF!</f>
        <v>#REF!</v>
      </c>
      <c r="E8" s="72" t="e">
        <f aca="false">#REF!</f>
        <v>#REF!</v>
      </c>
      <c r="F8" s="72" t="e">
        <f aca="false">#REF!</f>
        <v>#REF!</v>
      </c>
    </row>
    <row r="9" customFormat="false" ht="12.8" hidden="false" customHeight="false" outlineLevel="0" collapsed="false">
      <c r="A9" s="50" t="e">
        <f aca="false">_xlfn.CONCAT($A$1, ".", #REF!)</f>
        <v>#REF!</v>
      </c>
      <c r="B9" s="69" t="e">
        <f aca="false">_xlfn.CONCAT(#REF!, ":", #REF!)</f>
        <v>#REF!</v>
      </c>
      <c r="C9" s="72" t="e">
        <f aca="false">#REF!</f>
        <v>#REF!</v>
      </c>
      <c r="D9" s="72" t="e">
        <f aca="false">#REF!</f>
        <v>#REF!</v>
      </c>
      <c r="E9" s="72" t="e">
        <f aca="false">#REF!</f>
        <v>#REF!</v>
      </c>
      <c r="F9" s="72" t="e">
        <f aca="false">#REF!</f>
        <v>#REF!</v>
      </c>
    </row>
    <row r="10" customFormat="false" ht="12.8" hidden="false" customHeight="false" outlineLevel="0" collapsed="false">
      <c r="A10" s="50" t="e">
        <f aca="false">_xlfn.CONCAT($A$1, ".", #REF!)</f>
        <v>#REF!</v>
      </c>
      <c r="B10" s="69" t="e">
        <f aca="false">_xlfn.CONCAT(#REF!, ":", #REF!)</f>
        <v>#REF!</v>
      </c>
      <c r="C10" s="72" t="e">
        <f aca="false">#REF!</f>
        <v>#REF!</v>
      </c>
      <c r="D10" s="72" t="e">
        <f aca="false">#REF!</f>
        <v>#REF!</v>
      </c>
      <c r="E10" s="72" t="e">
        <f aca="false">#REF!</f>
        <v>#REF!</v>
      </c>
      <c r="F10" s="72" t="e">
        <f aca="false">#REF!</f>
        <v>#REF!</v>
      </c>
    </row>
    <row r="11" customFormat="false" ht="12.8" hidden="false" customHeight="false" outlineLevel="0" collapsed="false">
      <c r="A11" s="50" t="e">
        <f aca="false">_xlfn.CONCAT($A$1, ".", #REF!)</f>
        <v>#REF!</v>
      </c>
      <c r="B11" s="69" t="e">
        <f aca="false">_xlfn.CONCAT(#REF!, ":", #REF!)</f>
        <v>#REF!</v>
      </c>
      <c r="C11" s="72" t="e">
        <f aca="false">#REF!</f>
        <v>#REF!</v>
      </c>
      <c r="D11" s="72" t="e">
        <f aca="false">#REF!</f>
        <v>#REF!</v>
      </c>
      <c r="E11" s="72" t="e">
        <f aca="false">#REF!</f>
        <v>#REF!</v>
      </c>
      <c r="F11" s="72" t="e">
        <f aca="false">#REF!</f>
        <v>#REF!</v>
      </c>
    </row>
    <row r="12" customFormat="false" ht="12.8" hidden="false" customHeight="false" outlineLevel="0" collapsed="false">
      <c r="A12" s="50" t="e">
        <f aca="false">_xlfn.CONCAT($A$1, ".", #REF!)</f>
        <v>#REF!</v>
      </c>
      <c r="B12" s="69" t="e">
        <f aca="false">_xlfn.CONCAT(#REF!, ":", #REF!)</f>
        <v>#REF!</v>
      </c>
      <c r="C12" s="72" t="e">
        <f aca="false">#REF!</f>
        <v>#REF!</v>
      </c>
      <c r="D12" s="72" t="e">
        <f aca="false">#REF!</f>
        <v>#REF!</v>
      </c>
      <c r="E12" s="72" t="e">
        <f aca="false">#REF!</f>
        <v>#REF!</v>
      </c>
      <c r="F12" s="72" t="e">
        <f aca="false">#REF!</f>
        <v>#REF!</v>
      </c>
    </row>
    <row r="13" customFormat="false" ht="12.8" hidden="false" customHeight="false" outlineLevel="0" collapsed="false">
      <c r="A13" s="50" t="e">
        <f aca="false">_xlfn.CONCAT($A$1, ".", #REF!)</f>
        <v>#REF!</v>
      </c>
      <c r="B13" s="69" t="e">
        <f aca="false">_xlfn.CONCAT(#REF!, ":", #REF!)</f>
        <v>#REF!</v>
      </c>
      <c r="C13" s="72" t="e">
        <f aca="false">#REF!</f>
        <v>#REF!</v>
      </c>
      <c r="D13" s="72" t="e">
        <f aca="false">#REF!</f>
        <v>#REF!</v>
      </c>
      <c r="E13" s="72" t="e">
        <f aca="false">#REF!</f>
        <v>#REF!</v>
      </c>
      <c r="F13" s="72" t="e">
        <f aca="false">#REF!</f>
        <v>#REF!</v>
      </c>
    </row>
    <row r="14" customFormat="false" ht="12.8" hidden="false" customHeight="false" outlineLevel="0" collapsed="false">
      <c r="A14" s="50" t="e">
        <f aca="false">_xlfn.CONCAT($A$1, ".", #REF!)</f>
        <v>#REF!</v>
      </c>
      <c r="B14" s="69" t="e">
        <f aca="false">_xlfn.CONCAT(#REF!, ":", #REF!)</f>
        <v>#REF!</v>
      </c>
      <c r="C14" s="72" t="e">
        <f aca="false">#REF!</f>
        <v>#REF!</v>
      </c>
      <c r="D14" s="72" t="e">
        <f aca="false">#REF!</f>
        <v>#REF!</v>
      </c>
      <c r="E14" s="72" t="e">
        <f aca="false">#REF!</f>
        <v>#REF!</v>
      </c>
      <c r="F14" s="72" t="e">
        <f aca="false">#REF!</f>
        <v>#REF!</v>
      </c>
    </row>
    <row r="15" customFormat="false" ht="12.8" hidden="false" customHeight="false" outlineLevel="0" collapsed="false">
      <c r="A15" s="50" t="e">
        <f aca="false">_xlfn.CONCAT($A$1, ".", #REF!)</f>
        <v>#REF!</v>
      </c>
      <c r="B15" s="69" t="e">
        <f aca="false">_xlfn.CONCAT(#REF!, ":", #REF!)</f>
        <v>#REF!</v>
      </c>
      <c r="C15" s="72" t="e">
        <f aca="false">#REF!</f>
        <v>#REF!</v>
      </c>
      <c r="D15" s="72" t="e">
        <f aca="false">#REF!</f>
        <v>#REF!</v>
      </c>
      <c r="E15" s="72" t="e">
        <f aca="false">#REF!</f>
        <v>#REF!</v>
      </c>
      <c r="F15" s="72" t="e">
        <f aca="false">#REF!</f>
        <v>#REF!</v>
      </c>
    </row>
    <row r="16" customFormat="false" ht="12.8" hidden="false" customHeight="false" outlineLevel="0" collapsed="false">
      <c r="A16" s="50" t="e">
        <f aca="false">_xlfn.CONCAT($A$1, ".", #REF!)</f>
        <v>#REF!</v>
      </c>
      <c r="B16" s="69" t="e">
        <f aca="false">_xlfn.CONCAT(#REF!, ":", #REF!)</f>
        <v>#REF!</v>
      </c>
      <c r="C16" s="72" t="e">
        <f aca="false">#REF!</f>
        <v>#REF!</v>
      </c>
      <c r="D16" s="72" t="e">
        <f aca="false">#REF!</f>
        <v>#REF!</v>
      </c>
      <c r="E16" s="72" t="e">
        <f aca="false">#REF!</f>
        <v>#REF!</v>
      </c>
      <c r="F16" s="72" t="e">
        <f aca="false">#REF!</f>
        <v>#REF!</v>
      </c>
    </row>
    <row r="17" customFormat="false" ht="12.8" hidden="false" customHeight="false" outlineLevel="0" collapsed="false">
      <c r="A17" s="50" t="e">
        <f aca="false">_xlfn.CONCAT($A$1, ".", #REF!)</f>
        <v>#REF!</v>
      </c>
      <c r="B17" s="69" t="e">
        <f aca="false">_xlfn.CONCAT(#REF!, ":", #REF!)</f>
        <v>#REF!</v>
      </c>
      <c r="C17" s="72" t="e">
        <f aca="false">#REF!</f>
        <v>#REF!</v>
      </c>
      <c r="D17" s="72" t="e">
        <f aca="false">#REF!</f>
        <v>#REF!</v>
      </c>
      <c r="E17" s="72" t="e">
        <f aca="false">#REF!</f>
        <v>#REF!</v>
      </c>
      <c r="F17" s="72" t="e">
        <f aca="false">#REF!</f>
        <v>#REF!</v>
      </c>
    </row>
    <row r="18" customFormat="false" ht="12.8" hidden="false" customHeight="false" outlineLevel="0" collapsed="false">
      <c r="A18" s="50" t="e">
        <f aca="false">_xlfn.CONCAT($A$1, ".", #REF!)</f>
        <v>#REF!</v>
      </c>
      <c r="B18" s="69" t="e">
        <f aca="false">_xlfn.CONCAT(#REF!, ":", #REF!)</f>
        <v>#REF!</v>
      </c>
      <c r="C18" s="72" t="e">
        <f aca="false">#REF!</f>
        <v>#REF!</v>
      </c>
      <c r="D18" s="72" t="e">
        <f aca="false">#REF!</f>
        <v>#REF!</v>
      </c>
      <c r="E18" s="72" t="e">
        <f aca="false">#REF!</f>
        <v>#REF!</v>
      </c>
      <c r="F18" s="72" t="e">
        <f aca="false">#REF!</f>
        <v>#REF!</v>
      </c>
    </row>
    <row r="19" customFormat="false" ht="12.8" hidden="false" customHeight="false" outlineLevel="0" collapsed="false">
      <c r="A19" s="50" t="e">
        <f aca="false">_xlfn.CONCAT($A$1, ".", #REF!)</f>
        <v>#REF!</v>
      </c>
      <c r="B19" s="69" t="e">
        <f aca="false">_xlfn.CONCAT(#REF!, ":", #REF!)</f>
        <v>#REF!</v>
      </c>
      <c r="C19" s="72" t="e">
        <f aca="false">#REF!</f>
        <v>#REF!</v>
      </c>
      <c r="D19" s="72" t="e">
        <f aca="false">#REF!</f>
        <v>#REF!</v>
      </c>
      <c r="E19" s="72" t="e">
        <f aca="false">#REF!</f>
        <v>#REF!</v>
      </c>
      <c r="F19" s="72" t="e">
        <f aca="false">#REF!</f>
        <v>#REF!</v>
      </c>
    </row>
    <row r="20" customFormat="false" ht="12.8" hidden="false" customHeight="false" outlineLevel="0" collapsed="false">
      <c r="A20" s="50" t="e">
        <f aca="false">_xlfn.CONCAT($A$1, ".", #REF!)</f>
        <v>#REF!</v>
      </c>
      <c r="B20" s="69" t="e">
        <f aca="false">_xlfn.CONCAT(#REF!, ":", #REF!)</f>
        <v>#REF!</v>
      </c>
      <c r="C20" s="72" t="e">
        <f aca="false">#REF!</f>
        <v>#REF!</v>
      </c>
      <c r="D20" s="72" t="e">
        <f aca="false">#REF!</f>
        <v>#REF!</v>
      </c>
      <c r="E20" s="72" t="e">
        <f aca="false">#REF!</f>
        <v>#REF!</v>
      </c>
      <c r="F20" s="72" t="e">
        <f aca="false">#REF!</f>
        <v>#REF!</v>
      </c>
    </row>
    <row r="21" customFormat="false" ht="12.8" hidden="false" customHeight="false" outlineLevel="0" collapsed="false">
      <c r="A21" s="50" t="e">
        <f aca="false">_xlfn.CONCAT($A$1, ".", #REF!)</f>
        <v>#REF!</v>
      </c>
      <c r="B21" s="69" t="e">
        <f aca="false">_xlfn.CONCAT(#REF!, ":", #REF!)</f>
        <v>#REF!</v>
      </c>
      <c r="C21" s="72" t="e">
        <f aca="false">#REF!</f>
        <v>#REF!</v>
      </c>
      <c r="D21" s="72" t="e">
        <f aca="false">#REF!</f>
        <v>#REF!</v>
      </c>
      <c r="E21" s="72" t="e">
        <f aca="false">#REF!</f>
        <v>#REF!</v>
      </c>
      <c r="F21" s="72" t="e">
        <f aca="false">#REF!</f>
        <v>#REF!</v>
      </c>
    </row>
    <row r="22" customFormat="false" ht="12.8" hidden="false" customHeight="false" outlineLevel="0" collapsed="false">
      <c r="A22" s="50" t="e">
        <f aca="false">_xlfn.CONCAT($A$1, ".", #REF!)</f>
        <v>#REF!</v>
      </c>
      <c r="B22" s="69" t="e">
        <f aca="false">_xlfn.CONCAT(#REF!, ":", #REF!)</f>
        <v>#REF!</v>
      </c>
      <c r="C22" s="72" t="e">
        <f aca="false">#REF!</f>
        <v>#REF!</v>
      </c>
      <c r="D22" s="72" t="e">
        <f aca="false">#REF!</f>
        <v>#REF!</v>
      </c>
      <c r="E22" s="72" t="e">
        <f aca="false">#REF!</f>
        <v>#REF!</v>
      </c>
      <c r="F22" s="72" t="e">
        <f aca="false">#REF!</f>
        <v>#REF!</v>
      </c>
    </row>
    <row r="23" customFormat="false" ht="12.8" hidden="false" customHeight="false" outlineLevel="0" collapsed="false">
      <c r="A23" s="50" t="e">
        <f aca="false">_xlfn.CONCAT($A$1, ".", #REF!)</f>
        <v>#REF!</v>
      </c>
      <c r="B23" s="69" t="e">
        <f aca="false">_xlfn.CONCAT(#REF!, ":", #REF!)</f>
        <v>#REF!</v>
      </c>
      <c r="C23" s="72" t="e">
        <f aca="false">#REF!</f>
        <v>#REF!</v>
      </c>
      <c r="D23" s="72" t="e">
        <f aca="false">#REF!</f>
        <v>#REF!</v>
      </c>
      <c r="E23" s="72" t="e">
        <f aca="false">#REF!</f>
        <v>#REF!</v>
      </c>
      <c r="F23" s="72" t="e">
        <f aca="false">#REF!</f>
        <v>#REF!</v>
      </c>
    </row>
    <row r="24" customFormat="false" ht="12.8" hidden="false" customHeight="false" outlineLevel="0" collapsed="false">
      <c r="A24" s="50" t="e">
        <f aca="false">_xlfn.CONCAT($A$1, ".", #REF!)</f>
        <v>#REF!</v>
      </c>
      <c r="B24" s="69" t="e">
        <f aca="false">_xlfn.CONCAT(#REF!, ":", #REF!)</f>
        <v>#REF!</v>
      </c>
      <c r="C24" s="72" t="e">
        <f aca="false">#REF!</f>
        <v>#REF!</v>
      </c>
      <c r="D24" s="72" t="e">
        <f aca="false">#REF!</f>
        <v>#REF!</v>
      </c>
      <c r="E24" s="72" t="e">
        <f aca="false">#REF!</f>
        <v>#REF!</v>
      </c>
      <c r="F24" s="72" t="e">
        <f aca="false">#REF!</f>
        <v>#REF!</v>
      </c>
    </row>
    <row r="25" customFormat="false" ht="12.8" hidden="false" customHeight="false" outlineLevel="0" collapsed="false">
      <c r="A25" s="50" t="e">
        <f aca="false">_xlfn.CONCAT($A$1, ".", #REF!)</f>
        <v>#REF!</v>
      </c>
      <c r="B25" s="69" t="e">
        <f aca="false">_xlfn.CONCAT(#REF!, ":", #REF!)</f>
        <v>#REF!</v>
      </c>
      <c r="C25" s="72" t="e">
        <f aca="false">#REF!</f>
        <v>#REF!</v>
      </c>
      <c r="D25" s="72" t="e">
        <f aca="false">#REF!</f>
        <v>#REF!</v>
      </c>
      <c r="E25" s="72" t="e">
        <f aca="false">#REF!</f>
        <v>#REF!</v>
      </c>
      <c r="F25" s="72" t="e">
        <f aca="false">#REF!</f>
        <v>#REF!</v>
      </c>
    </row>
    <row r="26" customFormat="false" ht="12.8" hidden="false" customHeight="false" outlineLevel="0" collapsed="false">
      <c r="A26" s="50" t="e">
        <f aca="false">_xlfn.CONCAT($A$1, ".", #REF!)</f>
        <v>#REF!</v>
      </c>
      <c r="B26" s="69" t="e">
        <f aca="false">_xlfn.CONCAT(#REF!, ":", #REF!)</f>
        <v>#REF!</v>
      </c>
      <c r="C26" s="72" t="e">
        <f aca="false">#REF!</f>
        <v>#REF!</v>
      </c>
      <c r="D26" s="72" t="e">
        <f aca="false">#REF!</f>
        <v>#REF!</v>
      </c>
      <c r="E26" s="72" t="e">
        <f aca="false">#REF!</f>
        <v>#REF!</v>
      </c>
      <c r="F26" s="72" t="e">
        <f aca="false">#REF!</f>
        <v>#REF!</v>
      </c>
    </row>
    <row r="27" customFormat="false" ht="12.8" hidden="false" customHeight="false" outlineLevel="0" collapsed="false">
      <c r="A27" s="50" t="e">
        <f aca="false">_xlfn.CONCAT($A$1, ".", #REF!)</f>
        <v>#REF!</v>
      </c>
      <c r="B27" s="69" t="e">
        <f aca="false">_xlfn.CONCAT(#REF!, ":", #REF!)</f>
        <v>#REF!</v>
      </c>
      <c r="C27" s="72" t="e">
        <f aca="false">#REF!</f>
        <v>#REF!</v>
      </c>
      <c r="D27" s="72" t="e">
        <f aca="false">#REF!</f>
        <v>#REF!</v>
      </c>
      <c r="E27" s="72" t="e">
        <f aca="false">#REF!</f>
        <v>#REF!</v>
      </c>
      <c r="F27" s="72" t="e">
        <f aca="false">#REF!</f>
        <v>#REF!</v>
      </c>
    </row>
    <row r="28" customFormat="false" ht="12.8" hidden="false" customHeight="false" outlineLevel="0" collapsed="false">
      <c r="A28" s="50" t="e">
        <f aca="false">_xlfn.CONCAT($A$1, ".", #REF!)</f>
        <v>#REF!</v>
      </c>
      <c r="B28" s="69" t="e">
        <f aca="false">_xlfn.CONCAT(#REF!, ":", #REF!)</f>
        <v>#REF!</v>
      </c>
      <c r="C28" s="72" t="e">
        <f aca="false">#REF!</f>
        <v>#REF!</v>
      </c>
      <c r="D28" s="72" t="e">
        <f aca="false">#REF!</f>
        <v>#REF!</v>
      </c>
      <c r="E28" s="72" t="e">
        <f aca="false">#REF!</f>
        <v>#REF!</v>
      </c>
      <c r="F28" s="72" t="e">
        <f aca="false">#REF!</f>
        <v>#REF!</v>
      </c>
    </row>
    <row r="29" customFormat="false" ht="12.8" hidden="false" customHeight="false" outlineLevel="0" collapsed="false">
      <c r="A29" s="50" t="e">
        <f aca="false">_xlfn.CONCAT($A$1, ".", #REF!)</f>
        <v>#REF!</v>
      </c>
      <c r="B29" s="69" t="e">
        <f aca="false">_xlfn.CONCAT(#REF!, ":", #REF!)</f>
        <v>#REF!</v>
      </c>
      <c r="C29" s="72" t="e">
        <f aca="false">#REF!</f>
        <v>#REF!</v>
      </c>
      <c r="D29" s="72" t="e">
        <f aca="false">#REF!</f>
        <v>#REF!</v>
      </c>
      <c r="E29" s="72" t="e">
        <f aca="false">#REF!</f>
        <v>#REF!</v>
      </c>
      <c r="F29" s="72" t="e">
        <f aca="false">#REF!</f>
        <v>#REF!</v>
      </c>
    </row>
    <row r="30" customFormat="false" ht="12.8" hidden="false" customHeight="false" outlineLevel="0" collapsed="false">
      <c r="A30" s="50" t="e">
        <f aca="false">_xlfn.CONCAT($A$1, ".", #REF!)</f>
        <v>#REF!</v>
      </c>
      <c r="B30" s="69" t="e">
        <f aca="false">_xlfn.CONCAT(#REF!, ":", #REF!)</f>
        <v>#REF!</v>
      </c>
      <c r="C30" s="72" t="e">
        <f aca="false">#REF!</f>
        <v>#REF!</v>
      </c>
      <c r="D30" s="72" t="e">
        <f aca="false">#REF!</f>
        <v>#REF!</v>
      </c>
      <c r="E30" s="72" t="e">
        <f aca="false">#REF!</f>
        <v>#REF!</v>
      </c>
      <c r="F30" s="72" t="e">
        <f aca="false">#REF!</f>
        <v>#REF!</v>
      </c>
    </row>
    <row r="31" customFormat="false" ht="12.8" hidden="false" customHeight="false" outlineLevel="0" collapsed="false">
      <c r="A31" s="50" t="e">
        <f aca="false">_xlfn.CONCAT($A$1, ".", #REF!)</f>
        <v>#REF!</v>
      </c>
      <c r="B31" s="69" t="e">
        <f aca="false">_xlfn.CONCAT(#REF!, ":", #REF!)</f>
        <v>#REF!</v>
      </c>
      <c r="C31" s="72" t="e">
        <f aca="false">#REF!</f>
        <v>#REF!</v>
      </c>
      <c r="D31" s="72" t="e">
        <f aca="false">#REF!</f>
        <v>#REF!</v>
      </c>
      <c r="E31" s="72" t="e">
        <f aca="false">#REF!</f>
        <v>#REF!</v>
      </c>
      <c r="F31" s="72" t="e">
        <f aca="false">#REF!</f>
        <v>#REF!</v>
      </c>
    </row>
    <row r="32" customFormat="false" ht="12.8" hidden="false" customHeight="false" outlineLevel="0" collapsed="false">
      <c r="A32" s="50" t="e">
        <f aca="false">_xlfn.CONCAT($A$1, ".", #REF!)</f>
        <v>#REF!</v>
      </c>
      <c r="B32" s="69" t="e">
        <f aca="false">_xlfn.CONCAT(#REF!, ":", #REF!)</f>
        <v>#REF!</v>
      </c>
      <c r="C32" s="72" t="e">
        <f aca="false">#REF!</f>
        <v>#REF!</v>
      </c>
      <c r="D32" s="72" t="e">
        <f aca="false">#REF!</f>
        <v>#REF!</v>
      </c>
      <c r="E32" s="72" t="e">
        <f aca="false">#REF!</f>
        <v>#REF!</v>
      </c>
      <c r="F32" s="72" t="e">
        <f aca="false">#REF!</f>
        <v>#REF!</v>
      </c>
    </row>
    <row r="33" customFormat="false" ht="12.8" hidden="false" customHeight="false" outlineLevel="0" collapsed="false">
      <c r="A33" s="50" t="e">
        <f aca="false">_xlfn.CONCAT($A$1, ".", #REF!)</f>
        <v>#REF!</v>
      </c>
      <c r="B33" s="69" t="e">
        <f aca="false">_xlfn.CONCAT(#REF!, ":", #REF!)</f>
        <v>#REF!</v>
      </c>
      <c r="C33" s="72" t="e">
        <f aca="false">#REF!</f>
        <v>#REF!</v>
      </c>
      <c r="D33" s="72" t="e">
        <f aca="false">#REF!</f>
        <v>#REF!</v>
      </c>
      <c r="E33" s="72" t="e">
        <f aca="false">#REF!</f>
        <v>#REF!</v>
      </c>
      <c r="F33" s="72" t="e">
        <f aca="false">#REF!</f>
        <v>#REF!</v>
      </c>
    </row>
    <row r="34" customFormat="false" ht="12.8" hidden="false" customHeight="false" outlineLevel="0" collapsed="false">
      <c r="A34" s="50" t="e">
        <f aca="false">_xlfn.CONCAT($A$1, ".", #REF!)</f>
        <v>#REF!</v>
      </c>
      <c r="B34" s="69" t="e">
        <f aca="false">_xlfn.CONCAT(#REF!, ":", #REF!)</f>
        <v>#REF!</v>
      </c>
      <c r="C34" s="72" t="e">
        <f aca="false">#REF!</f>
        <v>#REF!</v>
      </c>
      <c r="D34" s="72" t="e">
        <f aca="false">#REF!</f>
        <v>#REF!</v>
      </c>
      <c r="E34" s="72" t="e">
        <f aca="false">#REF!</f>
        <v>#REF!</v>
      </c>
      <c r="F34" s="72" t="e">
        <f aca="false">#REF!</f>
        <v>#REF!</v>
      </c>
    </row>
    <row r="35" customFormat="false" ht="12.8" hidden="false" customHeight="false" outlineLevel="0" collapsed="false">
      <c r="A35" s="50" t="e">
        <f aca="false">_xlfn.CONCAT($A$1, ".", #REF!)</f>
        <v>#REF!</v>
      </c>
      <c r="B35" s="69" t="e">
        <f aca="false">_xlfn.CONCAT(#REF!, ":", #REF!)</f>
        <v>#REF!</v>
      </c>
      <c r="C35" s="72" t="e">
        <f aca="false">#REF!</f>
        <v>#REF!</v>
      </c>
      <c r="D35" s="72" t="e">
        <f aca="false">#REF!</f>
        <v>#REF!</v>
      </c>
      <c r="E35" s="72" t="e">
        <f aca="false">#REF!</f>
        <v>#REF!</v>
      </c>
      <c r="F35" s="72" t="e">
        <f aca="false">#REF!</f>
        <v>#REF!</v>
      </c>
    </row>
    <row r="36" customFormat="false" ht="12.8" hidden="false" customHeight="false" outlineLevel="0" collapsed="false">
      <c r="A36" s="50" t="e">
        <f aca="false">_xlfn.CONCAT($A$1, ".", #REF!)</f>
        <v>#REF!</v>
      </c>
      <c r="B36" s="69" t="e">
        <f aca="false">_xlfn.CONCAT(#REF!, ":", #REF!)</f>
        <v>#REF!</v>
      </c>
      <c r="C36" s="72" t="e">
        <f aca="false">#REF!</f>
        <v>#REF!</v>
      </c>
      <c r="D36" s="72" t="e">
        <f aca="false">#REF!</f>
        <v>#REF!</v>
      </c>
      <c r="E36" s="72" t="e">
        <f aca="false">#REF!</f>
        <v>#REF!</v>
      </c>
      <c r="F36" s="72" t="e">
        <f aca="false">#REF!</f>
        <v>#REF!</v>
      </c>
    </row>
    <row r="37" customFormat="false" ht="12.8" hidden="false" customHeight="false" outlineLevel="0" collapsed="false">
      <c r="A37" s="50" t="e">
        <f aca="false">_xlfn.CONCAT($A$1, ".", #REF!)</f>
        <v>#REF!</v>
      </c>
      <c r="B37" s="69" t="e">
        <f aca="false">_xlfn.CONCAT(#REF!, ":", #REF!)</f>
        <v>#REF!</v>
      </c>
      <c r="C37" s="72" t="e">
        <f aca="false">#REF!</f>
        <v>#REF!</v>
      </c>
      <c r="D37" s="72" t="e">
        <f aca="false">#REF!</f>
        <v>#REF!</v>
      </c>
      <c r="E37" s="72" t="e">
        <f aca="false">#REF!</f>
        <v>#REF!</v>
      </c>
      <c r="F37" s="72" t="e">
        <f aca="false">#REF!</f>
        <v>#REF!</v>
      </c>
    </row>
    <row r="38" customFormat="false" ht="12.8" hidden="false" customHeight="false" outlineLevel="0" collapsed="false">
      <c r="A38" s="50" t="e">
        <f aca="false">_xlfn.CONCAT($A$1, ".", #REF!)</f>
        <v>#REF!</v>
      </c>
      <c r="B38" s="69" t="e">
        <f aca="false">_xlfn.CONCAT(#REF!, ":", #REF!)</f>
        <v>#REF!</v>
      </c>
      <c r="C38" s="72" t="e">
        <f aca="false">#REF!</f>
        <v>#REF!</v>
      </c>
      <c r="D38" s="72" t="e">
        <f aca="false">#REF!</f>
        <v>#REF!</v>
      </c>
      <c r="E38" s="72" t="e">
        <f aca="false">#REF!</f>
        <v>#REF!</v>
      </c>
      <c r="F38" s="72" t="e">
        <f aca="false">#REF!</f>
        <v>#REF!</v>
      </c>
    </row>
    <row r="39" customFormat="false" ht="12.8" hidden="false" customHeight="false" outlineLevel="0" collapsed="false">
      <c r="A39" s="50" t="e">
        <f aca="false">_xlfn.CONCAT($A$1, ".", #REF!)</f>
        <v>#REF!</v>
      </c>
      <c r="B39" s="69" t="e">
        <f aca="false">_xlfn.CONCAT(#REF!, ":", #REF!)</f>
        <v>#REF!</v>
      </c>
      <c r="C39" s="72" t="e">
        <f aca="false">#REF!</f>
        <v>#REF!</v>
      </c>
      <c r="D39" s="72" t="e">
        <f aca="false">#REF!</f>
        <v>#REF!</v>
      </c>
      <c r="E39" s="72" t="e">
        <f aca="false">#REF!</f>
        <v>#REF!</v>
      </c>
      <c r="F39" s="72" t="e">
        <f aca="false">#REF!</f>
        <v>#REF!</v>
      </c>
    </row>
    <row r="40" customFormat="false" ht="12.8" hidden="false" customHeight="false" outlineLevel="0" collapsed="false">
      <c r="A40" s="50" t="e">
        <f aca="false">_xlfn.CONCAT($A$1, ".", #REF!)</f>
        <v>#REF!</v>
      </c>
      <c r="B40" s="69" t="e">
        <f aca="false">_xlfn.CONCAT(#REF!, ":", #REF!)</f>
        <v>#REF!</v>
      </c>
      <c r="C40" s="72" t="e">
        <f aca="false">#REF!</f>
        <v>#REF!</v>
      </c>
      <c r="D40" s="72" t="e">
        <f aca="false">#REF!</f>
        <v>#REF!</v>
      </c>
      <c r="E40" s="72" t="e">
        <f aca="false">#REF!</f>
        <v>#REF!</v>
      </c>
      <c r="F40" s="72" t="e">
        <f aca="false">#REF!</f>
        <v>#REF!</v>
      </c>
    </row>
    <row r="41" customFormat="false" ht="12.8" hidden="false" customHeight="false" outlineLevel="0" collapsed="false">
      <c r="A41" s="50" t="e">
        <f aca="false">_xlfn.CONCAT($A$1, ".", #REF!)</f>
        <v>#REF!</v>
      </c>
      <c r="B41" s="69" t="e">
        <f aca="false">_xlfn.CONCAT(#REF!, ":", #REF!)</f>
        <v>#REF!</v>
      </c>
      <c r="C41" s="72" t="e">
        <f aca="false">#REF!</f>
        <v>#REF!</v>
      </c>
      <c r="D41" s="72" t="e">
        <f aca="false">#REF!</f>
        <v>#REF!</v>
      </c>
      <c r="E41" s="72" t="e">
        <f aca="false">#REF!</f>
        <v>#REF!</v>
      </c>
      <c r="F41" s="72" t="e">
        <f aca="false">#REF!</f>
        <v>#REF!</v>
      </c>
    </row>
    <row r="42" customFormat="false" ht="12.8" hidden="false" customHeight="false" outlineLevel="0" collapsed="false">
      <c r="A42" s="50" t="e">
        <f aca="false">_xlfn.CONCAT($A$1, ".", #REF!)</f>
        <v>#REF!</v>
      </c>
      <c r="B42" s="69" t="e">
        <f aca="false">_xlfn.CONCAT(#REF!, ":", #REF!)</f>
        <v>#REF!</v>
      </c>
      <c r="C42" s="72" t="e">
        <f aca="false">#REF!</f>
        <v>#REF!</v>
      </c>
      <c r="D42" s="72" t="e">
        <f aca="false">#REF!</f>
        <v>#REF!</v>
      </c>
      <c r="E42" s="72" t="e">
        <f aca="false">#REF!</f>
        <v>#REF!</v>
      </c>
      <c r="F42" s="72" t="e">
        <f aca="false">#REF!</f>
        <v>#REF!</v>
      </c>
    </row>
    <row r="43" customFormat="false" ht="12.8" hidden="false" customHeight="false" outlineLevel="0" collapsed="false">
      <c r="A43" s="50" t="e">
        <f aca="false">_xlfn.CONCAT($A$1, ".", #REF!)</f>
        <v>#REF!</v>
      </c>
      <c r="B43" s="69" t="e">
        <f aca="false">_xlfn.CONCAT(#REF!, ":", #REF!)</f>
        <v>#REF!</v>
      </c>
      <c r="C43" s="72" t="e">
        <f aca="false">#REF!</f>
        <v>#REF!</v>
      </c>
      <c r="D43" s="72" t="e">
        <f aca="false">#REF!</f>
        <v>#REF!</v>
      </c>
      <c r="E43" s="72" t="e">
        <f aca="false">#REF!</f>
        <v>#REF!</v>
      </c>
      <c r="F43" s="72" t="e">
        <f aca="false">#REF!</f>
        <v>#REF!</v>
      </c>
    </row>
    <row r="44" customFormat="false" ht="12.8" hidden="false" customHeight="false" outlineLevel="0" collapsed="false">
      <c r="A44" s="50" t="e">
        <f aca="false">_xlfn.CONCAT($A$1, ".", #REF!)</f>
        <v>#REF!</v>
      </c>
      <c r="B44" s="69" t="e">
        <f aca="false">_xlfn.CONCAT(#REF!, ":", #REF!)</f>
        <v>#REF!</v>
      </c>
      <c r="C44" s="72" t="e">
        <f aca="false">#REF!</f>
        <v>#REF!</v>
      </c>
      <c r="D44" s="72" t="e">
        <f aca="false">#REF!</f>
        <v>#REF!</v>
      </c>
      <c r="E44" s="72" t="e">
        <f aca="false">#REF!</f>
        <v>#REF!</v>
      </c>
      <c r="F44" s="72" t="e">
        <f aca="false">#REF!</f>
        <v>#REF!</v>
      </c>
    </row>
    <row r="45" customFormat="false" ht="12.8" hidden="false" customHeight="false" outlineLevel="0" collapsed="false">
      <c r="A45" s="50" t="e">
        <f aca="false">_xlfn.CONCAT($A$1, ".", #REF!)</f>
        <v>#REF!</v>
      </c>
      <c r="B45" s="69" t="e">
        <f aca="false">_xlfn.CONCAT(#REF!, ":", #REF!)</f>
        <v>#REF!</v>
      </c>
      <c r="C45" s="72" t="e">
        <f aca="false">#REF!</f>
        <v>#REF!</v>
      </c>
      <c r="D45" s="72" t="e">
        <f aca="false">#REF!</f>
        <v>#REF!</v>
      </c>
      <c r="E45" s="72" t="e">
        <f aca="false">#REF!</f>
        <v>#REF!</v>
      </c>
      <c r="F45" s="72" t="e">
        <f aca="false">#REF!</f>
        <v>#REF!</v>
      </c>
    </row>
    <row r="46" customFormat="false" ht="12.8" hidden="false" customHeight="false" outlineLevel="0" collapsed="false">
      <c r="A46" s="50" t="e">
        <f aca="false">_xlfn.CONCAT($A$1, ".", #REF!)</f>
        <v>#REF!</v>
      </c>
      <c r="B46" s="69" t="e">
        <f aca="false">_xlfn.CONCAT(#REF!, ":", #REF!)</f>
        <v>#REF!</v>
      </c>
      <c r="C46" s="72" t="e">
        <f aca="false">#REF!</f>
        <v>#REF!</v>
      </c>
      <c r="D46" s="72" t="e">
        <f aca="false">#REF!</f>
        <v>#REF!</v>
      </c>
      <c r="E46" s="72" t="e">
        <f aca="false">#REF!</f>
        <v>#REF!</v>
      </c>
      <c r="F46" s="72" t="e">
        <f aca="false">#REF!</f>
        <v>#REF!</v>
      </c>
    </row>
    <row r="47" customFormat="false" ht="12.8" hidden="false" customHeight="false" outlineLevel="0" collapsed="false">
      <c r="A47" s="50" t="e">
        <f aca="false">_xlfn.CONCAT($A$1, ".", #REF!)</f>
        <v>#REF!</v>
      </c>
      <c r="B47" s="69" t="e">
        <f aca="false">_xlfn.CONCAT(#REF!, ":", #REF!)</f>
        <v>#REF!</v>
      </c>
      <c r="C47" s="72" t="e">
        <f aca="false">#REF!</f>
        <v>#REF!</v>
      </c>
      <c r="D47" s="72" t="e">
        <f aca="false">#REF!</f>
        <v>#REF!</v>
      </c>
      <c r="E47" s="72" t="e">
        <f aca="false">#REF!</f>
        <v>#REF!</v>
      </c>
      <c r="F47" s="72" t="e">
        <f aca="false">#REF!</f>
        <v>#REF!</v>
      </c>
    </row>
    <row r="48" customFormat="false" ht="12.8" hidden="false" customHeight="false" outlineLevel="0" collapsed="false">
      <c r="A48" s="50" t="e">
        <f aca="false">_xlfn.CONCAT($A$1, ".", #REF!)</f>
        <v>#REF!</v>
      </c>
      <c r="B48" s="69" t="e">
        <f aca="false">_xlfn.CONCAT(#REF!, ":", #REF!)</f>
        <v>#REF!</v>
      </c>
      <c r="C48" s="72" t="e">
        <f aca="false">#REF!</f>
        <v>#REF!</v>
      </c>
      <c r="D48" s="72" t="e">
        <f aca="false">#REF!</f>
        <v>#REF!</v>
      </c>
      <c r="E48" s="72" t="e">
        <f aca="false">#REF!</f>
        <v>#REF!</v>
      </c>
      <c r="F48" s="72" t="e">
        <f aca="false">#REF!</f>
        <v>#REF!</v>
      </c>
    </row>
    <row r="49" customFormat="false" ht="12.8" hidden="false" customHeight="false" outlineLevel="0" collapsed="false">
      <c r="A49" s="50" t="e">
        <f aca="false">_xlfn.CONCAT($A$1, ".", #REF!)</f>
        <v>#REF!</v>
      </c>
      <c r="B49" s="69" t="e">
        <f aca="false">_xlfn.CONCAT(#REF!, ":", #REF!)</f>
        <v>#REF!</v>
      </c>
      <c r="C49" s="72" t="e">
        <f aca="false">#REF!</f>
        <v>#REF!</v>
      </c>
      <c r="D49" s="72" t="e">
        <f aca="false">#REF!</f>
        <v>#REF!</v>
      </c>
      <c r="E49" s="72" t="e">
        <f aca="false">#REF!</f>
        <v>#REF!</v>
      </c>
      <c r="F49" s="72" t="e">
        <f aca="false">#REF!</f>
        <v>#REF!</v>
      </c>
    </row>
    <row r="50" customFormat="false" ht="12.8" hidden="false" customHeight="false" outlineLevel="0" collapsed="false">
      <c r="A50" s="50" t="e">
        <f aca="false">_xlfn.CONCAT($A$1, ".", #REF!)</f>
        <v>#REF!</v>
      </c>
      <c r="B50" s="69" t="e">
        <f aca="false">_xlfn.CONCAT(#REF!, ":", #REF!)</f>
        <v>#REF!</v>
      </c>
      <c r="C50" s="72" t="e">
        <f aca="false">#REF!</f>
        <v>#REF!</v>
      </c>
      <c r="D50" s="72" t="e">
        <f aca="false">#REF!</f>
        <v>#REF!</v>
      </c>
      <c r="E50" s="72" t="e">
        <f aca="false">#REF!</f>
        <v>#REF!</v>
      </c>
      <c r="F50" s="72" t="e">
        <f aca="false">#REF!</f>
        <v>#REF!</v>
      </c>
    </row>
    <row r="51" customFormat="false" ht="12.8" hidden="false" customHeight="false" outlineLevel="0" collapsed="false">
      <c r="A51" s="50" t="e">
        <f aca="false">_xlfn.CONCAT($A$1, ".", #REF!)</f>
        <v>#REF!</v>
      </c>
      <c r="B51" s="69" t="e">
        <f aca="false">_xlfn.CONCAT(#REF!, ":", #REF!)</f>
        <v>#REF!</v>
      </c>
      <c r="C51" s="72" t="e">
        <f aca="false">#REF!</f>
        <v>#REF!</v>
      </c>
      <c r="D51" s="72" t="e">
        <f aca="false">#REF!</f>
        <v>#REF!</v>
      </c>
      <c r="E51" s="72" t="e">
        <f aca="false">#REF!</f>
        <v>#REF!</v>
      </c>
      <c r="F51" s="72" t="e">
        <f aca="false">#REF!</f>
        <v>#REF!</v>
      </c>
    </row>
    <row r="52" customFormat="false" ht="12.8" hidden="false" customHeight="false" outlineLevel="0" collapsed="false">
      <c r="A52" s="50" t="e">
        <f aca="false">_xlfn.CONCAT($A$1, ".", #REF!)</f>
        <v>#REF!</v>
      </c>
      <c r="B52" s="69" t="e">
        <f aca="false">_xlfn.CONCAT(#REF!, ":", #REF!)</f>
        <v>#REF!</v>
      </c>
      <c r="C52" s="72" t="e">
        <f aca="false">#REF!</f>
        <v>#REF!</v>
      </c>
      <c r="D52" s="72" t="e">
        <f aca="false">#REF!</f>
        <v>#REF!</v>
      </c>
      <c r="E52" s="72" t="e">
        <f aca="false">#REF!</f>
        <v>#REF!</v>
      </c>
      <c r="F52" s="72" t="e">
        <f aca="false">#REF!</f>
        <v>#REF!</v>
      </c>
    </row>
    <row r="53" customFormat="false" ht="12.8" hidden="false" customHeight="false" outlineLevel="0" collapsed="false">
      <c r="A53" s="50" t="e">
        <f aca="false">_xlfn.CONCAT($A$1, ".", #REF!)</f>
        <v>#REF!</v>
      </c>
      <c r="B53" s="69" t="e">
        <f aca="false">_xlfn.CONCAT(#REF!, ":", #REF!)</f>
        <v>#REF!</v>
      </c>
      <c r="C53" s="72" t="e">
        <f aca="false">#REF!</f>
        <v>#REF!</v>
      </c>
      <c r="D53" s="72" t="e">
        <f aca="false">#REF!</f>
        <v>#REF!</v>
      </c>
      <c r="E53" s="72" t="e">
        <f aca="false">#REF!</f>
        <v>#REF!</v>
      </c>
      <c r="F53" s="72" t="e">
        <f aca="false">#REF!</f>
        <v>#REF!</v>
      </c>
    </row>
    <row r="54" customFormat="false" ht="12.8" hidden="false" customHeight="false" outlineLevel="0" collapsed="false">
      <c r="A54" s="50" t="e">
        <f aca="false">_xlfn.CONCAT($A$1, ".", #REF!)</f>
        <v>#REF!</v>
      </c>
      <c r="B54" s="69" t="e">
        <f aca="false">_xlfn.CONCAT(#REF!, ":", #REF!)</f>
        <v>#REF!</v>
      </c>
      <c r="C54" s="72" t="e">
        <f aca="false">#REF!</f>
        <v>#REF!</v>
      </c>
      <c r="D54" s="72" t="e">
        <f aca="false">#REF!</f>
        <v>#REF!</v>
      </c>
      <c r="E54" s="72" t="e">
        <f aca="false">#REF!</f>
        <v>#REF!</v>
      </c>
      <c r="F54" s="72" t="e">
        <f aca="false">#REF!</f>
        <v>#REF!</v>
      </c>
    </row>
    <row r="55" customFormat="false" ht="12.8" hidden="false" customHeight="false" outlineLevel="0" collapsed="false">
      <c r="A55" s="50" t="e">
        <f aca="false">_xlfn.CONCAT($A$1, ".", #REF!)</f>
        <v>#REF!</v>
      </c>
      <c r="B55" s="69" t="e">
        <f aca="false">_xlfn.CONCAT(#REF!, ":", #REF!)</f>
        <v>#REF!</v>
      </c>
      <c r="C55" s="72" t="e">
        <f aca="false">#REF!</f>
        <v>#REF!</v>
      </c>
      <c r="D55" s="72" t="e">
        <f aca="false">#REF!</f>
        <v>#REF!</v>
      </c>
      <c r="E55" s="72" t="e">
        <f aca="false">#REF!</f>
        <v>#REF!</v>
      </c>
      <c r="F55" s="72"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247"/>
  <sheetViews>
    <sheetView showFormulas="false" showGridLines="true" showRowColHeaders="true" showZeros="true" rightToLeft="false" tabSelected="false" showOutlineSymbols="true" defaultGridColor="true" view="normal" topLeftCell="A58"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1481</v>
      </c>
      <c r="B1" s="63" t="s">
        <v>1482</v>
      </c>
      <c r="C1" s="6" t="s">
        <v>2</v>
      </c>
      <c r="D1" s="62" t="s">
        <v>1483</v>
      </c>
      <c r="AZ1" s="39"/>
      <c r="BP1" s="39"/>
    </row>
    <row r="2" customFormat="false" ht="46.25" hidden="false" customHeight="false" outlineLevel="0" collapsed="false">
      <c r="A2" s="67" t="s">
        <v>1473</v>
      </c>
      <c r="B2" s="63" t="s">
        <v>1474</v>
      </c>
      <c r="C2" s="73" t="str">
        <f aca="false">CALC!AA3</f>
        <v>Annual Income Average ($)</v>
      </c>
      <c r="D2" s="73" t="str">
        <f aca="false">CALC!AG3</f>
        <v>Authorized Immigrant Annual Income Average ($)</v>
      </c>
      <c r="E2" s="73" t="str">
        <f aca="false">CALC!AM3</f>
        <v>Unauthorized Immigrant Annual Income Average ($)</v>
      </c>
      <c r="F2" s="73" t="str">
        <f aca="false">CALC!AS3</f>
        <v>American Annual Income Average ($)</v>
      </c>
    </row>
    <row r="3" customFormat="false" ht="12.8" hidden="false" customHeight="false" outlineLevel="0" collapsed="false">
      <c r="A3" s="4" t="e">
        <f aca="false">_xlfn.CONCAT($A$1, ".", #REF!)</f>
        <v>#REF!</v>
      </c>
      <c r="B3" s="49" t="e">
        <f aca="false">_xlfn.CONCAT(#REF!, ":", #REF!)</f>
        <v>#REF!</v>
      </c>
      <c r="C3" s="73" t="e">
        <f aca="false">#REF!</f>
        <v>#REF!</v>
      </c>
      <c r="D3" s="73" t="e">
        <f aca="false">#REF!</f>
        <v>#REF!</v>
      </c>
      <c r="E3" s="73" t="e">
        <f aca="false">#REF!</f>
        <v>#REF!</v>
      </c>
      <c r="F3" s="73" t="e">
        <f aca="false">#REF!</f>
        <v>#REF!</v>
      </c>
    </row>
    <row r="4" customFormat="false" ht="12.8" hidden="false" customHeight="false" outlineLevel="0" collapsed="false">
      <c r="A4" s="50" t="e">
        <f aca="false">_xlfn.CONCAT($A$1, ".", #REF!)</f>
        <v>#REF!</v>
      </c>
      <c r="B4" s="69" t="e">
        <f aca="false">_xlfn.CONCAT(#REF!, ":", #REF!)</f>
        <v>#REF!</v>
      </c>
      <c r="C4" s="74" t="e">
        <f aca="false">#REF!</f>
        <v>#REF!</v>
      </c>
      <c r="D4" s="74" t="e">
        <f aca="false">#REF!</f>
        <v>#REF!</v>
      </c>
      <c r="E4" s="74" t="e">
        <f aca="false">#REF!</f>
        <v>#REF!</v>
      </c>
      <c r="F4" s="74" t="e">
        <f aca="false">#REF!</f>
        <v>#REF!</v>
      </c>
    </row>
    <row r="5" customFormat="false" ht="12.8" hidden="false" customHeight="false" outlineLevel="0" collapsed="false">
      <c r="A5" s="50" t="e">
        <f aca="false">_xlfn.CONCAT($A$1, ".", #REF!)</f>
        <v>#REF!</v>
      </c>
      <c r="B5" s="69" t="e">
        <f aca="false">_xlfn.CONCAT(#REF!, ":", #REF!)</f>
        <v>#REF!</v>
      </c>
      <c r="C5" s="74" t="e">
        <f aca="false">#REF!</f>
        <v>#REF!</v>
      </c>
      <c r="D5" s="74" t="e">
        <f aca="false">#REF!</f>
        <v>#REF!</v>
      </c>
      <c r="E5" s="74" t="e">
        <f aca="false">#REF!</f>
        <v>#REF!</v>
      </c>
      <c r="F5" s="74" t="e">
        <f aca="false">#REF!</f>
        <v>#REF!</v>
      </c>
    </row>
    <row r="6" customFormat="false" ht="12.8" hidden="false" customHeight="false" outlineLevel="0" collapsed="false">
      <c r="A6" s="50" t="e">
        <f aca="false">_xlfn.CONCAT($A$1, ".", #REF!)</f>
        <v>#REF!</v>
      </c>
      <c r="B6" s="69" t="e">
        <f aca="false">_xlfn.CONCAT(#REF!, ":", #REF!)</f>
        <v>#REF!</v>
      </c>
      <c r="C6" s="74" t="e">
        <f aca="false">#REF!</f>
        <v>#REF!</v>
      </c>
      <c r="D6" s="74" t="e">
        <f aca="false">#REF!</f>
        <v>#REF!</v>
      </c>
      <c r="E6" s="74" t="e">
        <f aca="false">#REF!</f>
        <v>#REF!</v>
      </c>
      <c r="F6" s="74" t="e">
        <f aca="false">#REF!</f>
        <v>#REF!</v>
      </c>
    </row>
    <row r="7" customFormat="false" ht="12.8" hidden="false" customHeight="false" outlineLevel="0" collapsed="false">
      <c r="A7" s="50" t="e">
        <f aca="false">_xlfn.CONCAT($A$1, ".", #REF!)</f>
        <v>#REF!</v>
      </c>
      <c r="B7" s="69" t="e">
        <f aca="false">_xlfn.CONCAT(#REF!, ":", #REF!)</f>
        <v>#REF!</v>
      </c>
      <c r="C7" s="74" t="e">
        <f aca="false">#REF!</f>
        <v>#REF!</v>
      </c>
      <c r="D7" s="74" t="e">
        <f aca="false">#REF!</f>
        <v>#REF!</v>
      </c>
      <c r="E7" s="74" t="e">
        <f aca="false">#REF!</f>
        <v>#REF!</v>
      </c>
      <c r="F7" s="74" t="e">
        <f aca="false">#REF!</f>
        <v>#REF!</v>
      </c>
    </row>
    <row r="8" customFormat="false" ht="12.8" hidden="false" customHeight="false" outlineLevel="0" collapsed="false">
      <c r="A8" s="50" t="e">
        <f aca="false">_xlfn.CONCAT($A$1, ".", #REF!)</f>
        <v>#REF!</v>
      </c>
      <c r="B8" s="69" t="e">
        <f aca="false">_xlfn.CONCAT(#REF!, ":", #REF!)</f>
        <v>#REF!</v>
      </c>
      <c r="C8" s="74" t="e">
        <f aca="false">#REF!</f>
        <v>#REF!</v>
      </c>
      <c r="D8" s="74" t="e">
        <f aca="false">#REF!</f>
        <v>#REF!</v>
      </c>
      <c r="E8" s="74" t="e">
        <f aca="false">#REF!</f>
        <v>#REF!</v>
      </c>
      <c r="F8" s="74" t="e">
        <f aca="false">#REF!</f>
        <v>#REF!</v>
      </c>
    </row>
    <row r="9" customFormat="false" ht="12.8" hidden="false" customHeight="false" outlineLevel="0" collapsed="false">
      <c r="A9" s="50" t="e">
        <f aca="false">_xlfn.CONCAT($A$1, ".", #REF!)</f>
        <v>#REF!</v>
      </c>
      <c r="B9" s="69" t="e">
        <f aca="false">_xlfn.CONCAT(#REF!, ":", #REF!)</f>
        <v>#REF!</v>
      </c>
      <c r="C9" s="74" t="e">
        <f aca="false">#REF!</f>
        <v>#REF!</v>
      </c>
      <c r="D9" s="74" t="e">
        <f aca="false">#REF!</f>
        <v>#REF!</v>
      </c>
      <c r="E9" s="74" t="e">
        <f aca="false">#REF!</f>
        <v>#REF!</v>
      </c>
      <c r="F9" s="74" t="e">
        <f aca="false">#REF!</f>
        <v>#REF!</v>
      </c>
    </row>
    <row r="10" customFormat="false" ht="12.8" hidden="false" customHeight="false" outlineLevel="0" collapsed="false">
      <c r="A10" s="50" t="e">
        <f aca="false">_xlfn.CONCAT($A$1, ".", #REF!)</f>
        <v>#REF!</v>
      </c>
      <c r="B10" s="69" t="e">
        <f aca="false">_xlfn.CONCAT(#REF!, ":", #REF!)</f>
        <v>#REF!</v>
      </c>
      <c r="C10" s="74" t="e">
        <f aca="false">#REF!</f>
        <v>#REF!</v>
      </c>
      <c r="D10" s="74" t="e">
        <f aca="false">#REF!</f>
        <v>#REF!</v>
      </c>
      <c r="E10" s="74" t="e">
        <f aca="false">#REF!</f>
        <v>#REF!</v>
      </c>
      <c r="F10" s="74" t="e">
        <f aca="false">#REF!</f>
        <v>#REF!</v>
      </c>
    </row>
    <row r="11" customFormat="false" ht="12.8" hidden="false" customHeight="false" outlineLevel="0" collapsed="false">
      <c r="A11" s="50" t="e">
        <f aca="false">_xlfn.CONCAT($A$1, ".", #REF!)</f>
        <v>#REF!</v>
      </c>
      <c r="B11" s="69" t="e">
        <f aca="false">_xlfn.CONCAT(#REF!, ":", #REF!)</f>
        <v>#REF!</v>
      </c>
      <c r="C11" s="74" t="e">
        <f aca="false">#REF!</f>
        <v>#REF!</v>
      </c>
      <c r="D11" s="74" t="e">
        <f aca="false">#REF!</f>
        <v>#REF!</v>
      </c>
      <c r="E11" s="74" t="e">
        <f aca="false">#REF!</f>
        <v>#REF!</v>
      </c>
      <c r="F11" s="74" t="e">
        <f aca="false">#REF!</f>
        <v>#REF!</v>
      </c>
    </row>
    <row r="12" customFormat="false" ht="12.8" hidden="false" customHeight="false" outlineLevel="0" collapsed="false">
      <c r="A12" s="50" t="e">
        <f aca="false">_xlfn.CONCAT($A$1, ".", #REF!)</f>
        <v>#REF!</v>
      </c>
      <c r="B12" s="69" t="e">
        <f aca="false">_xlfn.CONCAT(#REF!, ":", #REF!)</f>
        <v>#REF!</v>
      </c>
      <c r="C12" s="74" t="e">
        <f aca="false">#REF!</f>
        <v>#REF!</v>
      </c>
      <c r="D12" s="74" t="e">
        <f aca="false">#REF!</f>
        <v>#REF!</v>
      </c>
      <c r="E12" s="74" t="e">
        <f aca="false">#REF!</f>
        <v>#REF!</v>
      </c>
      <c r="F12" s="74" t="e">
        <f aca="false">#REF!</f>
        <v>#REF!</v>
      </c>
    </row>
    <row r="13" customFormat="false" ht="12.8" hidden="false" customHeight="false" outlineLevel="0" collapsed="false">
      <c r="A13" s="50" t="e">
        <f aca="false">_xlfn.CONCAT($A$1, ".", #REF!)</f>
        <v>#REF!</v>
      </c>
      <c r="B13" s="69" t="e">
        <f aca="false">_xlfn.CONCAT(#REF!, ":", #REF!)</f>
        <v>#REF!</v>
      </c>
      <c r="C13" s="74" t="e">
        <f aca="false">#REF!</f>
        <v>#REF!</v>
      </c>
      <c r="D13" s="74" t="e">
        <f aca="false">#REF!</f>
        <v>#REF!</v>
      </c>
      <c r="E13" s="74" t="e">
        <f aca="false">#REF!</f>
        <v>#REF!</v>
      </c>
      <c r="F13" s="74" t="e">
        <f aca="false">#REF!</f>
        <v>#REF!</v>
      </c>
    </row>
    <row r="14" customFormat="false" ht="12.8" hidden="false" customHeight="false" outlineLevel="0" collapsed="false">
      <c r="A14" s="50" t="e">
        <f aca="false">_xlfn.CONCAT($A$1, ".", #REF!)</f>
        <v>#REF!</v>
      </c>
      <c r="B14" s="69" t="e">
        <f aca="false">_xlfn.CONCAT(#REF!, ":", #REF!)</f>
        <v>#REF!</v>
      </c>
      <c r="C14" s="74" t="e">
        <f aca="false">#REF!</f>
        <v>#REF!</v>
      </c>
      <c r="D14" s="74" t="e">
        <f aca="false">#REF!</f>
        <v>#REF!</v>
      </c>
      <c r="E14" s="74" t="e">
        <f aca="false">#REF!</f>
        <v>#REF!</v>
      </c>
      <c r="F14" s="74" t="e">
        <f aca="false">#REF!</f>
        <v>#REF!</v>
      </c>
    </row>
    <row r="15" customFormat="false" ht="12.8" hidden="false" customHeight="false" outlineLevel="0" collapsed="false">
      <c r="A15" s="50" t="e">
        <f aca="false">_xlfn.CONCAT($A$1, ".", #REF!)</f>
        <v>#REF!</v>
      </c>
      <c r="B15" s="69" t="e">
        <f aca="false">_xlfn.CONCAT(#REF!, ":", #REF!)</f>
        <v>#REF!</v>
      </c>
      <c r="C15" s="74" t="e">
        <f aca="false">#REF!</f>
        <v>#REF!</v>
      </c>
      <c r="D15" s="74" t="e">
        <f aca="false">#REF!</f>
        <v>#REF!</v>
      </c>
      <c r="E15" s="74" t="e">
        <f aca="false">#REF!</f>
        <v>#REF!</v>
      </c>
      <c r="F15" s="74" t="e">
        <f aca="false">#REF!</f>
        <v>#REF!</v>
      </c>
    </row>
    <row r="16" customFormat="false" ht="12.8" hidden="false" customHeight="false" outlineLevel="0" collapsed="false">
      <c r="A16" s="50" t="e">
        <f aca="false">_xlfn.CONCAT($A$1, ".", #REF!)</f>
        <v>#REF!</v>
      </c>
      <c r="B16" s="69" t="e">
        <f aca="false">_xlfn.CONCAT(#REF!, ":", #REF!)</f>
        <v>#REF!</v>
      </c>
      <c r="C16" s="74" t="e">
        <f aca="false">#REF!</f>
        <v>#REF!</v>
      </c>
      <c r="D16" s="74" t="e">
        <f aca="false">#REF!</f>
        <v>#REF!</v>
      </c>
      <c r="E16" s="74" t="e">
        <f aca="false">#REF!</f>
        <v>#REF!</v>
      </c>
      <c r="F16" s="74" t="e">
        <f aca="false">#REF!</f>
        <v>#REF!</v>
      </c>
    </row>
    <row r="17" customFormat="false" ht="12.8" hidden="false" customHeight="false" outlineLevel="0" collapsed="false">
      <c r="A17" s="50" t="e">
        <f aca="false">_xlfn.CONCAT($A$1, ".", #REF!)</f>
        <v>#REF!</v>
      </c>
      <c r="B17" s="69" t="e">
        <f aca="false">_xlfn.CONCAT(#REF!, ":", #REF!)</f>
        <v>#REF!</v>
      </c>
      <c r="C17" s="74" t="e">
        <f aca="false">#REF!</f>
        <v>#REF!</v>
      </c>
      <c r="D17" s="74" t="e">
        <f aca="false">#REF!</f>
        <v>#REF!</v>
      </c>
      <c r="E17" s="74" t="e">
        <f aca="false">#REF!</f>
        <v>#REF!</v>
      </c>
      <c r="F17" s="74" t="e">
        <f aca="false">#REF!</f>
        <v>#REF!</v>
      </c>
    </row>
    <row r="18" customFormat="false" ht="12.8" hidden="false" customHeight="false" outlineLevel="0" collapsed="false">
      <c r="A18" s="50" t="e">
        <f aca="false">_xlfn.CONCAT($A$1, ".", #REF!)</f>
        <v>#REF!</v>
      </c>
      <c r="B18" s="69" t="e">
        <f aca="false">_xlfn.CONCAT(#REF!, ":", #REF!)</f>
        <v>#REF!</v>
      </c>
      <c r="C18" s="74" t="e">
        <f aca="false">#REF!</f>
        <v>#REF!</v>
      </c>
      <c r="D18" s="74" t="e">
        <f aca="false">#REF!</f>
        <v>#REF!</v>
      </c>
      <c r="E18" s="74" t="e">
        <f aca="false">#REF!</f>
        <v>#REF!</v>
      </c>
      <c r="F18" s="74" t="e">
        <f aca="false">#REF!</f>
        <v>#REF!</v>
      </c>
    </row>
    <row r="19" customFormat="false" ht="12.8" hidden="false" customHeight="false" outlineLevel="0" collapsed="false">
      <c r="A19" s="50" t="e">
        <f aca="false">_xlfn.CONCAT($A$1, ".", #REF!)</f>
        <v>#REF!</v>
      </c>
      <c r="B19" s="69" t="e">
        <f aca="false">_xlfn.CONCAT(#REF!, ":", #REF!)</f>
        <v>#REF!</v>
      </c>
      <c r="C19" s="74" t="e">
        <f aca="false">#REF!</f>
        <v>#REF!</v>
      </c>
      <c r="D19" s="74" t="e">
        <f aca="false">#REF!</f>
        <v>#REF!</v>
      </c>
      <c r="E19" s="74" t="e">
        <f aca="false">#REF!</f>
        <v>#REF!</v>
      </c>
      <c r="F19" s="74" t="e">
        <f aca="false">#REF!</f>
        <v>#REF!</v>
      </c>
    </row>
    <row r="20" customFormat="false" ht="12.8" hidden="false" customHeight="false" outlineLevel="0" collapsed="false">
      <c r="A20" s="50" t="e">
        <f aca="false">_xlfn.CONCAT($A$1, ".", #REF!)</f>
        <v>#REF!</v>
      </c>
      <c r="B20" s="69" t="e">
        <f aca="false">_xlfn.CONCAT(#REF!, ":", #REF!)</f>
        <v>#REF!</v>
      </c>
      <c r="C20" s="74" t="e">
        <f aca="false">#REF!</f>
        <v>#REF!</v>
      </c>
      <c r="D20" s="74" t="e">
        <f aca="false">#REF!</f>
        <v>#REF!</v>
      </c>
      <c r="E20" s="74" t="e">
        <f aca="false">#REF!</f>
        <v>#REF!</v>
      </c>
      <c r="F20" s="74" t="e">
        <f aca="false">#REF!</f>
        <v>#REF!</v>
      </c>
    </row>
    <row r="21" customFormat="false" ht="12.8" hidden="false" customHeight="false" outlineLevel="0" collapsed="false">
      <c r="A21" s="50" t="e">
        <f aca="false">_xlfn.CONCAT($A$1, ".", #REF!)</f>
        <v>#REF!</v>
      </c>
      <c r="B21" s="69" t="e">
        <f aca="false">_xlfn.CONCAT(#REF!, ":", #REF!)</f>
        <v>#REF!</v>
      </c>
      <c r="C21" s="74" t="e">
        <f aca="false">#REF!</f>
        <v>#REF!</v>
      </c>
      <c r="D21" s="74" t="e">
        <f aca="false">#REF!</f>
        <v>#REF!</v>
      </c>
      <c r="E21" s="74" t="e">
        <f aca="false">#REF!</f>
        <v>#REF!</v>
      </c>
      <c r="F21" s="74" t="e">
        <f aca="false">#REF!</f>
        <v>#REF!</v>
      </c>
    </row>
    <row r="22" customFormat="false" ht="12.8" hidden="false" customHeight="false" outlineLevel="0" collapsed="false">
      <c r="A22" s="50" t="e">
        <f aca="false">_xlfn.CONCAT($A$1, ".", #REF!)</f>
        <v>#REF!</v>
      </c>
      <c r="B22" s="69" t="e">
        <f aca="false">_xlfn.CONCAT(#REF!, ":", #REF!)</f>
        <v>#REF!</v>
      </c>
      <c r="C22" s="74" t="e">
        <f aca="false">#REF!</f>
        <v>#REF!</v>
      </c>
      <c r="D22" s="74" t="e">
        <f aca="false">#REF!</f>
        <v>#REF!</v>
      </c>
      <c r="E22" s="74" t="e">
        <f aca="false">#REF!</f>
        <v>#REF!</v>
      </c>
      <c r="F22" s="74" t="e">
        <f aca="false">#REF!</f>
        <v>#REF!</v>
      </c>
    </row>
    <row r="23" customFormat="false" ht="12.8" hidden="false" customHeight="false" outlineLevel="0" collapsed="false">
      <c r="A23" s="50" t="e">
        <f aca="false">_xlfn.CONCAT($A$1, ".", #REF!)</f>
        <v>#REF!</v>
      </c>
      <c r="B23" s="69" t="e">
        <f aca="false">_xlfn.CONCAT(#REF!, ":", #REF!)</f>
        <v>#REF!</v>
      </c>
      <c r="C23" s="74" t="e">
        <f aca="false">#REF!</f>
        <v>#REF!</v>
      </c>
      <c r="D23" s="74" t="e">
        <f aca="false">#REF!</f>
        <v>#REF!</v>
      </c>
      <c r="E23" s="74" t="e">
        <f aca="false">#REF!</f>
        <v>#REF!</v>
      </c>
      <c r="F23" s="74" t="e">
        <f aca="false">#REF!</f>
        <v>#REF!</v>
      </c>
    </row>
    <row r="24" customFormat="false" ht="12.8" hidden="false" customHeight="false" outlineLevel="0" collapsed="false">
      <c r="A24" s="50" t="e">
        <f aca="false">_xlfn.CONCAT($A$1, ".", #REF!)</f>
        <v>#REF!</v>
      </c>
      <c r="B24" s="69" t="e">
        <f aca="false">_xlfn.CONCAT(#REF!, ":", #REF!)</f>
        <v>#REF!</v>
      </c>
      <c r="C24" s="74" t="e">
        <f aca="false">#REF!</f>
        <v>#REF!</v>
      </c>
      <c r="D24" s="74" t="e">
        <f aca="false">#REF!</f>
        <v>#REF!</v>
      </c>
      <c r="E24" s="74" t="e">
        <f aca="false">#REF!</f>
        <v>#REF!</v>
      </c>
      <c r="F24" s="74" t="e">
        <f aca="false">#REF!</f>
        <v>#REF!</v>
      </c>
    </row>
    <row r="25" customFormat="false" ht="12.8" hidden="false" customHeight="false" outlineLevel="0" collapsed="false">
      <c r="A25" s="50" t="e">
        <f aca="false">_xlfn.CONCAT($A$1, ".", #REF!)</f>
        <v>#REF!</v>
      </c>
      <c r="B25" s="69" t="e">
        <f aca="false">_xlfn.CONCAT(#REF!, ":", #REF!)</f>
        <v>#REF!</v>
      </c>
      <c r="C25" s="74" t="e">
        <f aca="false">#REF!</f>
        <v>#REF!</v>
      </c>
      <c r="D25" s="74" t="e">
        <f aca="false">#REF!</f>
        <v>#REF!</v>
      </c>
      <c r="E25" s="74" t="e">
        <f aca="false">#REF!</f>
        <v>#REF!</v>
      </c>
      <c r="F25" s="74" t="e">
        <f aca="false">#REF!</f>
        <v>#REF!</v>
      </c>
    </row>
    <row r="26" customFormat="false" ht="12.8" hidden="false" customHeight="false" outlineLevel="0" collapsed="false">
      <c r="A26" s="50" t="e">
        <f aca="false">_xlfn.CONCAT($A$1, ".", #REF!)</f>
        <v>#REF!</v>
      </c>
      <c r="B26" s="69" t="e">
        <f aca="false">_xlfn.CONCAT(#REF!, ":", #REF!)</f>
        <v>#REF!</v>
      </c>
      <c r="C26" s="74" t="e">
        <f aca="false">#REF!</f>
        <v>#REF!</v>
      </c>
      <c r="D26" s="74" t="e">
        <f aca="false">#REF!</f>
        <v>#REF!</v>
      </c>
      <c r="E26" s="74" t="e">
        <f aca="false">#REF!</f>
        <v>#REF!</v>
      </c>
      <c r="F26" s="74" t="e">
        <f aca="false">#REF!</f>
        <v>#REF!</v>
      </c>
    </row>
    <row r="27" customFormat="false" ht="12.8" hidden="false" customHeight="false" outlineLevel="0" collapsed="false">
      <c r="A27" s="50" t="e">
        <f aca="false">_xlfn.CONCAT($A$1, ".", #REF!)</f>
        <v>#REF!</v>
      </c>
      <c r="B27" s="69" t="e">
        <f aca="false">_xlfn.CONCAT(#REF!, ":", #REF!)</f>
        <v>#REF!</v>
      </c>
      <c r="C27" s="74" t="e">
        <f aca="false">#REF!</f>
        <v>#REF!</v>
      </c>
      <c r="D27" s="74" t="e">
        <f aca="false">#REF!</f>
        <v>#REF!</v>
      </c>
      <c r="E27" s="74" t="e">
        <f aca="false">#REF!</f>
        <v>#REF!</v>
      </c>
      <c r="F27" s="74" t="e">
        <f aca="false">#REF!</f>
        <v>#REF!</v>
      </c>
    </row>
    <row r="28" customFormat="false" ht="12.8" hidden="false" customHeight="false" outlineLevel="0" collapsed="false">
      <c r="A28" s="50" t="e">
        <f aca="false">_xlfn.CONCAT($A$1, ".", #REF!)</f>
        <v>#REF!</v>
      </c>
      <c r="B28" s="69" t="e">
        <f aca="false">_xlfn.CONCAT(#REF!, ":", #REF!)</f>
        <v>#REF!</v>
      </c>
      <c r="C28" s="74" t="e">
        <f aca="false">#REF!</f>
        <v>#REF!</v>
      </c>
      <c r="D28" s="74" t="e">
        <f aca="false">#REF!</f>
        <v>#REF!</v>
      </c>
      <c r="E28" s="74" t="e">
        <f aca="false">#REF!</f>
        <v>#REF!</v>
      </c>
      <c r="F28" s="74" t="e">
        <f aca="false">#REF!</f>
        <v>#REF!</v>
      </c>
    </row>
    <row r="29" customFormat="false" ht="12.8" hidden="false" customHeight="false" outlineLevel="0" collapsed="false">
      <c r="A29" s="50" t="e">
        <f aca="false">_xlfn.CONCAT($A$1, ".", #REF!)</f>
        <v>#REF!</v>
      </c>
      <c r="B29" s="69" t="e">
        <f aca="false">_xlfn.CONCAT(#REF!, ":", #REF!)</f>
        <v>#REF!</v>
      </c>
      <c r="C29" s="74" t="e">
        <f aca="false">#REF!</f>
        <v>#REF!</v>
      </c>
      <c r="D29" s="74" t="e">
        <f aca="false">#REF!</f>
        <v>#REF!</v>
      </c>
      <c r="E29" s="74" t="e">
        <f aca="false">#REF!</f>
        <v>#REF!</v>
      </c>
      <c r="F29" s="74" t="e">
        <f aca="false">#REF!</f>
        <v>#REF!</v>
      </c>
    </row>
    <row r="30" customFormat="false" ht="12.8" hidden="false" customHeight="false" outlineLevel="0" collapsed="false">
      <c r="A30" s="50" t="e">
        <f aca="false">_xlfn.CONCAT($A$1, ".", #REF!)</f>
        <v>#REF!</v>
      </c>
      <c r="B30" s="69" t="e">
        <f aca="false">_xlfn.CONCAT(#REF!, ":", #REF!)</f>
        <v>#REF!</v>
      </c>
      <c r="C30" s="74" t="e">
        <f aca="false">#REF!</f>
        <v>#REF!</v>
      </c>
      <c r="D30" s="74" t="e">
        <f aca="false">#REF!</f>
        <v>#REF!</v>
      </c>
      <c r="E30" s="74" t="e">
        <f aca="false">#REF!</f>
        <v>#REF!</v>
      </c>
      <c r="F30" s="74" t="e">
        <f aca="false">#REF!</f>
        <v>#REF!</v>
      </c>
    </row>
    <row r="31" customFormat="false" ht="12.8" hidden="false" customHeight="false" outlineLevel="0" collapsed="false">
      <c r="A31" s="50" t="e">
        <f aca="false">_xlfn.CONCAT($A$1, ".", #REF!)</f>
        <v>#REF!</v>
      </c>
      <c r="B31" s="69" t="e">
        <f aca="false">_xlfn.CONCAT(#REF!, ":", #REF!)</f>
        <v>#REF!</v>
      </c>
      <c r="C31" s="74" t="e">
        <f aca="false">#REF!</f>
        <v>#REF!</v>
      </c>
      <c r="D31" s="74" t="e">
        <f aca="false">#REF!</f>
        <v>#REF!</v>
      </c>
      <c r="E31" s="74" t="e">
        <f aca="false">#REF!</f>
        <v>#REF!</v>
      </c>
      <c r="F31" s="74" t="e">
        <f aca="false">#REF!</f>
        <v>#REF!</v>
      </c>
    </row>
    <row r="32" customFormat="false" ht="12.8" hidden="false" customHeight="false" outlineLevel="0" collapsed="false">
      <c r="A32" s="50" t="e">
        <f aca="false">_xlfn.CONCAT($A$1, ".", #REF!)</f>
        <v>#REF!</v>
      </c>
      <c r="B32" s="69" t="e">
        <f aca="false">_xlfn.CONCAT(#REF!, ":", #REF!)</f>
        <v>#REF!</v>
      </c>
      <c r="C32" s="74" t="e">
        <f aca="false">#REF!</f>
        <v>#REF!</v>
      </c>
      <c r="D32" s="74" t="e">
        <f aca="false">#REF!</f>
        <v>#REF!</v>
      </c>
      <c r="E32" s="74" t="e">
        <f aca="false">#REF!</f>
        <v>#REF!</v>
      </c>
      <c r="F32" s="74" t="e">
        <f aca="false">#REF!</f>
        <v>#REF!</v>
      </c>
    </row>
    <row r="33" customFormat="false" ht="12.8" hidden="false" customHeight="false" outlineLevel="0" collapsed="false">
      <c r="A33" s="50" t="e">
        <f aca="false">_xlfn.CONCAT($A$1, ".", #REF!)</f>
        <v>#REF!</v>
      </c>
      <c r="B33" s="69" t="e">
        <f aca="false">_xlfn.CONCAT(#REF!, ":", #REF!)</f>
        <v>#REF!</v>
      </c>
      <c r="C33" s="74" t="e">
        <f aca="false">#REF!</f>
        <v>#REF!</v>
      </c>
      <c r="D33" s="74" t="e">
        <f aca="false">#REF!</f>
        <v>#REF!</v>
      </c>
      <c r="E33" s="74" t="e">
        <f aca="false">#REF!</f>
        <v>#REF!</v>
      </c>
      <c r="F33" s="74" t="e">
        <f aca="false">#REF!</f>
        <v>#REF!</v>
      </c>
    </row>
    <row r="34" customFormat="false" ht="12.8" hidden="false" customHeight="false" outlineLevel="0" collapsed="false">
      <c r="A34" s="50" t="e">
        <f aca="false">_xlfn.CONCAT($A$1, ".", #REF!)</f>
        <v>#REF!</v>
      </c>
      <c r="B34" s="69" t="e">
        <f aca="false">_xlfn.CONCAT(#REF!, ":", #REF!)</f>
        <v>#REF!</v>
      </c>
      <c r="C34" s="74" t="e">
        <f aca="false">#REF!</f>
        <v>#REF!</v>
      </c>
      <c r="D34" s="74" t="e">
        <f aca="false">#REF!</f>
        <v>#REF!</v>
      </c>
      <c r="E34" s="74" t="e">
        <f aca="false">#REF!</f>
        <v>#REF!</v>
      </c>
      <c r="F34" s="74" t="e">
        <f aca="false">#REF!</f>
        <v>#REF!</v>
      </c>
    </row>
    <row r="35" customFormat="false" ht="12.8" hidden="false" customHeight="false" outlineLevel="0" collapsed="false">
      <c r="A35" s="50" t="e">
        <f aca="false">_xlfn.CONCAT($A$1, ".", #REF!)</f>
        <v>#REF!</v>
      </c>
      <c r="B35" s="69" t="e">
        <f aca="false">_xlfn.CONCAT(#REF!, ":", #REF!)</f>
        <v>#REF!</v>
      </c>
      <c r="C35" s="74" t="e">
        <f aca="false">#REF!</f>
        <v>#REF!</v>
      </c>
      <c r="D35" s="74" t="e">
        <f aca="false">#REF!</f>
        <v>#REF!</v>
      </c>
      <c r="E35" s="74" t="e">
        <f aca="false">#REF!</f>
        <v>#REF!</v>
      </c>
      <c r="F35" s="74" t="e">
        <f aca="false">#REF!</f>
        <v>#REF!</v>
      </c>
    </row>
    <row r="36" customFormat="false" ht="12.8" hidden="false" customHeight="false" outlineLevel="0" collapsed="false">
      <c r="A36" s="50" t="e">
        <f aca="false">_xlfn.CONCAT($A$1, ".", #REF!)</f>
        <v>#REF!</v>
      </c>
      <c r="B36" s="69" t="e">
        <f aca="false">_xlfn.CONCAT(#REF!, ":", #REF!)</f>
        <v>#REF!</v>
      </c>
      <c r="C36" s="74" t="e">
        <f aca="false">#REF!</f>
        <v>#REF!</v>
      </c>
      <c r="D36" s="74" t="e">
        <f aca="false">#REF!</f>
        <v>#REF!</v>
      </c>
      <c r="E36" s="74" t="e">
        <f aca="false">#REF!</f>
        <v>#REF!</v>
      </c>
      <c r="F36" s="74" t="e">
        <f aca="false">#REF!</f>
        <v>#REF!</v>
      </c>
    </row>
    <row r="37" customFormat="false" ht="12.8" hidden="false" customHeight="false" outlineLevel="0" collapsed="false">
      <c r="A37" s="50" t="e">
        <f aca="false">_xlfn.CONCAT($A$1, ".", #REF!)</f>
        <v>#REF!</v>
      </c>
      <c r="B37" s="69" t="e">
        <f aca="false">_xlfn.CONCAT(#REF!, ":", #REF!)</f>
        <v>#REF!</v>
      </c>
      <c r="C37" s="74" t="e">
        <f aca="false">#REF!</f>
        <v>#REF!</v>
      </c>
      <c r="D37" s="74" t="e">
        <f aca="false">#REF!</f>
        <v>#REF!</v>
      </c>
      <c r="E37" s="74" t="e">
        <f aca="false">#REF!</f>
        <v>#REF!</v>
      </c>
      <c r="F37" s="74" t="e">
        <f aca="false">#REF!</f>
        <v>#REF!</v>
      </c>
    </row>
    <row r="38" customFormat="false" ht="12.8" hidden="false" customHeight="false" outlineLevel="0" collapsed="false">
      <c r="A38" s="50" t="e">
        <f aca="false">_xlfn.CONCAT($A$1, ".", #REF!)</f>
        <v>#REF!</v>
      </c>
      <c r="B38" s="69" t="e">
        <f aca="false">_xlfn.CONCAT(#REF!, ":", #REF!)</f>
        <v>#REF!</v>
      </c>
      <c r="C38" s="74" t="e">
        <f aca="false">#REF!</f>
        <v>#REF!</v>
      </c>
      <c r="D38" s="74" t="e">
        <f aca="false">#REF!</f>
        <v>#REF!</v>
      </c>
      <c r="E38" s="74" t="e">
        <f aca="false">#REF!</f>
        <v>#REF!</v>
      </c>
      <c r="F38" s="74" t="e">
        <f aca="false">#REF!</f>
        <v>#REF!</v>
      </c>
    </row>
    <row r="39" customFormat="false" ht="12.8" hidden="false" customHeight="false" outlineLevel="0" collapsed="false">
      <c r="A39" s="50" t="e">
        <f aca="false">_xlfn.CONCAT($A$1, ".", #REF!)</f>
        <v>#REF!</v>
      </c>
      <c r="B39" s="69" t="e">
        <f aca="false">_xlfn.CONCAT(#REF!, ":", #REF!)</f>
        <v>#REF!</v>
      </c>
      <c r="C39" s="74" t="e">
        <f aca="false">#REF!</f>
        <v>#REF!</v>
      </c>
      <c r="D39" s="74" t="e">
        <f aca="false">#REF!</f>
        <v>#REF!</v>
      </c>
      <c r="E39" s="74" t="e">
        <f aca="false">#REF!</f>
        <v>#REF!</v>
      </c>
      <c r="F39" s="74" t="e">
        <f aca="false">#REF!</f>
        <v>#REF!</v>
      </c>
    </row>
    <row r="40" customFormat="false" ht="12.8" hidden="false" customHeight="false" outlineLevel="0" collapsed="false">
      <c r="A40" s="50" t="e">
        <f aca="false">_xlfn.CONCAT($A$1, ".", #REF!)</f>
        <v>#REF!</v>
      </c>
      <c r="B40" s="69" t="e">
        <f aca="false">_xlfn.CONCAT(#REF!, ":", #REF!)</f>
        <v>#REF!</v>
      </c>
      <c r="C40" s="74" t="e">
        <f aca="false">#REF!</f>
        <v>#REF!</v>
      </c>
      <c r="D40" s="74" t="e">
        <f aca="false">#REF!</f>
        <v>#REF!</v>
      </c>
      <c r="E40" s="74" t="e">
        <f aca="false">#REF!</f>
        <v>#REF!</v>
      </c>
      <c r="F40" s="74" t="e">
        <f aca="false">#REF!</f>
        <v>#REF!</v>
      </c>
    </row>
    <row r="41" customFormat="false" ht="12.8" hidden="false" customHeight="false" outlineLevel="0" collapsed="false">
      <c r="A41" s="50" t="e">
        <f aca="false">_xlfn.CONCAT($A$1, ".", #REF!)</f>
        <v>#REF!</v>
      </c>
      <c r="B41" s="69" t="e">
        <f aca="false">_xlfn.CONCAT(#REF!, ":", #REF!)</f>
        <v>#REF!</v>
      </c>
      <c r="C41" s="74" t="e">
        <f aca="false">#REF!</f>
        <v>#REF!</v>
      </c>
      <c r="D41" s="74" t="e">
        <f aca="false">#REF!</f>
        <v>#REF!</v>
      </c>
      <c r="E41" s="74" t="e">
        <f aca="false">#REF!</f>
        <v>#REF!</v>
      </c>
      <c r="F41" s="74" t="e">
        <f aca="false">#REF!</f>
        <v>#REF!</v>
      </c>
    </row>
    <row r="42" customFormat="false" ht="12.8" hidden="false" customHeight="false" outlineLevel="0" collapsed="false">
      <c r="A42" s="50" t="e">
        <f aca="false">_xlfn.CONCAT($A$1, ".", #REF!)</f>
        <v>#REF!</v>
      </c>
      <c r="B42" s="69" t="e">
        <f aca="false">_xlfn.CONCAT(#REF!, ":", #REF!)</f>
        <v>#REF!</v>
      </c>
      <c r="C42" s="74" t="e">
        <f aca="false">#REF!</f>
        <v>#REF!</v>
      </c>
      <c r="D42" s="74" t="e">
        <f aca="false">#REF!</f>
        <v>#REF!</v>
      </c>
      <c r="E42" s="74" t="e">
        <f aca="false">#REF!</f>
        <v>#REF!</v>
      </c>
      <c r="F42" s="74" t="e">
        <f aca="false">#REF!</f>
        <v>#REF!</v>
      </c>
    </row>
    <row r="43" customFormat="false" ht="12.8" hidden="false" customHeight="false" outlineLevel="0" collapsed="false">
      <c r="A43" s="50" t="e">
        <f aca="false">_xlfn.CONCAT($A$1, ".", #REF!)</f>
        <v>#REF!</v>
      </c>
      <c r="B43" s="69" t="e">
        <f aca="false">_xlfn.CONCAT(#REF!, ":", #REF!)</f>
        <v>#REF!</v>
      </c>
      <c r="C43" s="74" t="e">
        <f aca="false">#REF!</f>
        <v>#REF!</v>
      </c>
      <c r="D43" s="74" t="e">
        <f aca="false">#REF!</f>
        <v>#REF!</v>
      </c>
      <c r="E43" s="74" t="e">
        <f aca="false">#REF!</f>
        <v>#REF!</v>
      </c>
      <c r="F43" s="74" t="e">
        <f aca="false">#REF!</f>
        <v>#REF!</v>
      </c>
    </row>
    <row r="44" customFormat="false" ht="12.8" hidden="false" customHeight="false" outlineLevel="0" collapsed="false">
      <c r="A44" s="50" t="e">
        <f aca="false">_xlfn.CONCAT($A$1, ".", #REF!)</f>
        <v>#REF!</v>
      </c>
      <c r="B44" s="69" t="e">
        <f aca="false">_xlfn.CONCAT(#REF!, ":", #REF!)</f>
        <v>#REF!</v>
      </c>
      <c r="C44" s="74" t="e">
        <f aca="false">#REF!</f>
        <v>#REF!</v>
      </c>
      <c r="D44" s="74" t="e">
        <f aca="false">#REF!</f>
        <v>#REF!</v>
      </c>
      <c r="E44" s="74" t="e">
        <f aca="false">#REF!</f>
        <v>#REF!</v>
      </c>
      <c r="F44" s="74" t="e">
        <f aca="false">#REF!</f>
        <v>#REF!</v>
      </c>
    </row>
    <row r="45" customFormat="false" ht="12.8" hidden="false" customHeight="false" outlineLevel="0" collapsed="false">
      <c r="A45" s="50" t="e">
        <f aca="false">_xlfn.CONCAT($A$1, ".", #REF!)</f>
        <v>#REF!</v>
      </c>
      <c r="B45" s="69" t="e">
        <f aca="false">_xlfn.CONCAT(#REF!, ":", #REF!)</f>
        <v>#REF!</v>
      </c>
      <c r="C45" s="74" t="e">
        <f aca="false">#REF!</f>
        <v>#REF!</v>
      </c>
      <c r="D45" s="74" t="e">
        <f aca="false">#REF!</f>
        <v>#REF!</v>
      </c>
      <c r="E45" s="74" t="e">
        <f aca="false">#REF!</f>
        <v>#REF!</v>
      </c>
      <c r="F45" s="74" t="e">
        <f aca="false">#REF!</f>
        <v>#REF!</v>
      </c>
    </row>
    <row r="46" customFormat="false" ht="12.8" hidden="false" customHeight="false" outlineLevel="0" collapsed="false">
      <c r="A46" s="50" t="e">
        <f aca="false">_xlfn.CONCAT($A$1, ".", #REF!)</f>
        <v>#REF!</v>
      </c>
      <c r="B46" s="69" t="e">
        <f aca="false">_xlfn.CONCAT(#REF!, ":", #REF!)</f>
        <v>#REF!</v>
      </c>
      <c r="C46" s="74" t="e">
        <f aca="false">#REF!</f>
        <v>#REF!</v>
      </c>
      <c r="D46" s="74" t="e">
        <f aca="false">#REF!</f>
        <v>#REF!</v>
      </c>
      <c r="E46" s="74" t="e">
        <f aca="false">#REF!</f>
        <v>#REF!</v>
      </c>
      <c r="F46" s="74" t="e">
        <f aca="false">#REF!</f>
        <v>#REF!</v>
      </c>
    </row>
    <row r="47" customFormat="false" ht="12.8" hidden="false" customHeight="false" outlineLevel="0" collapsed="false">
      <c r="A47" s="50" t="e">
        <f aca="false">_xlfn.CONCAT($A$1, ".", #REF!)</f>
        <v>#REF!</v>
      </c>
      <c r="B47" s="69" t="e">
        <f aca="false">_xlfn.CONCAT(#REF!, ":", #REF!)</f>
        <v>#REF!</v>
      </c>
      <c r="C47" s="74" t="e">
        <f aca="false">#REF!</f>
        <v>#REF!</v>
      </c>
      <c r="D47" s="74" t="e">
        <f aca="false">#REF!</f>
        <v>#REF!</v>
      </c>
      <c r="E47" s="74" t="e">
        <f aca="false">#REF!</f>
        <v>#REF!</v>
      </c>
      <c r="F47" s="74" t="e">
        <f aca="false">#REF!</f>
        <v>#REF!</v>
      </c>
    </row>
    <row r="48" customFormat="false" ht="12.8" hidden="false" customHeight="false" outlineLevel="0" collapsed="false">
      <c r="A48" s="50" t="e">
        <f aca="false">_xlfn.CONCAT($A$1, ".", #REF!)</f>
        <v>#REF!</v>
      </c>
      <c r="B48" s="69" t="e">
        <f aca="false">_xlfn.CONCAT(#REF!, ":", #REF!)</f>
        <v>#REF!</v>
      </c>
      <c r="C48" s="74" t="e">
        <f aca="false">#REF!</f>
        <v>#REF!</v>
      </c>
      <c r="D48" s="74" t="e">
        <f aca="false">#REF!</f>
        <v>#REF!</v>
      </c>
      <c r="E48" s="74" t="e">
        <f aca="false">#REF!</f>
        <v>#REF!</v>
      </c>
      <c r="F48" s="74" t="e">
        <f aca="false">#REF!</f>
        <v>#REF!</v>
      </c>
    </row>
    <row r="49" customFormat="false" ht="12.8" hidden="false" customHeight="false" outlineLevel="0" collapsed="false">
      <c r="A49" s="50" t="e">
        <f aca="false">_xlfn.CONCAT($A$1, ".", #REF!)</f>
        <v>#REF!</v>
      </c>
      <c r="B49" s="69" t="e">
        <f aca="false">_xlfn.CONCAT(#REF!, ":", #REF!)</f>
        <v>#REF!</v>
      </c>
      <c r="C49" s="74" t="e">
        <f aca="false">#REF!</f>
        <v>#REF!</v>
      </c>
      <c r="D49" s="74" t="e">
        <f aca="false">#REF!</f>
        <v>#REF!</v>
      </c>
      <c r="E49" s="74" t="e">
        <f aca="false">#REF!</f>
        <v>#REF!</v>
      </c>
      <c r="F49" s="74" t="e">
        <f aca="false">#REF!</f>
        <v>#REF!</v>
      </c>
    </row>
    <row r="50" customFormat="false" ht="12.8" hidden="false" customHeight="false" outlineLevel="0" collapsed="false">
      <c r="A50" s="50" t="e">
        <f aca="false">_xlfn.CONCAT($A$1, ".", #REF!)</f>
        <v>#REF!</v>
      </c>
      <c r="B50" s="69" t="e">
        <f aca="false">_xlfn.CONCAT(#REF!, ":", #REF!)</f>
        <v>#REF!</v>
      </c>
      <c r="C50" s="74" t="e">
        <f aca="false">#REF!</f>
        <v>#REF!</v>
      </c>
      <c r="D50" s="74" t="e">
        <f aca="false">#REF!</f>
        <v>#REF!</v>
      </c>
      <c r="E50" s="74" t="e">
        <f aca="false">#REF!</f>
        <v>#REF!</v>
      </c>
      <c r="F50" s="74" t="e">
        <f aca="false">#REF!</f>
        <v>#REF!</v>
      </c>
    </row>
    <row r="51" customFormat="false" ht="12.8" hidden="false" customHeight="false" outlineLevel="0" collapsed="false">
      <c r="A51" s="50" t="e">
        <f aca="false">_xlfn.CONCAT($A$1, ".", #REF!)</f>
        <v>#REF!</v>
      </c>
      <c r="B51" s="69" t="e">
        <f aca="false">_xlfn.CONCAT(#REF!, ":", #REF!)</f>
        <v>#REF!</v>
      </c>
      <c r="C51" s="74" t="e">
        <f aca="false">#REF!</f>
        <v>#REF!</v>
      </c>
      <c r="D51" s="74" t="e">
        <f aca="false">#REF!</f>
        <v>#REF!</v>
      </c>
      <c r="E51" s="74" t="e">
        <f aca="false">#REF!</f>
        <v>#REF!</v>
      </c>
      <c r="F51" s="74" t="e">
        <f aca="false">#REF!</f>
        <v>#REF!</v>
      </c>
    </row>
    <row r="52" customFormat="false" ht="12.8" hidden="false" customHeight="false" outlineLevel="0" collapsed="false">
      <c r="A52" s="50" t="e">
        <f aca="false">_xlfn.CONCAT($A$1, ".", #REF!)</f>
        <v>#REF!</v>
      </c>
      <c r="B52" s="69" t="e">
        <f aca="false">_xlfn.CONCAT(#REF!, ":", #REF!)</f>
        <v>#REF!</v>
      </c>
      <c r="C52" s="74" t="e">
        <f aca="false">#REF!</f>
        <v>#REF!</v>
      </c>
      <c r="D52" s="74" t="e">
        <f aca="false">#REF!</f>
        <v>#REF!</v>
      </c>
      <c r="E52" s="74" t="e">
        <f aca="false">#REF!</f>
        <v>#REF!</v>
      </c>
      <c r="F52" s="74" t="e">
        <f aca="false">#REF!</f>
        <v>#REF!</v>
      </c>
    </row>
    <row r="53" customFormat="false" ht="12.8" hidden="false" customHeight="false" outlineLevel="0" collapsed="false">
      <c r="A53" s="50" t="e">
        <f aca="false">_xlfn.CONCAT($A$1, ".", #REF!)</f>
        <v>#REF!</v>
      </c>
      <c r="B53" s="69" t="e">
        <f aca="false">_xlfn.CONCAT(#REF!, ":", #REF!)</f>
        <v>#REF!</v>
      </c>
      <c r="C53" s="74" t="e">
        <f aca="false">#REF!</f>
        <v>#REF!</v>
      </c>
      <c r="D53" s="74" t="e">
        <f aca="false">#REF!</f>
        <v>#REF!</v>
      </c>
      <c r="E53" s="74" t="e">
        <f aca="false">#REF!</f>
        <v>#REF!</v>
      </c>
      <c r="F53" s="74" t="e">
        <f aca="false">#REF!</f>
        <v>#REF!</v>
      </c>
    </row>
    <row r="54" customFormat="false" ht="12.8" hidden="false" customHeight="false" outlineLevel="0" collapsed="false">
      <c r="A54" s="50" t="e">
        <f aca="false">_xlfn.CONCAT($A$1, ".", #REF!)</f>
        <v>#REF!</v>
      </c>
      <c r="B54" s="69" t="e">
        <f aca="false">_xlfn.CONCAT(#REF!, ":", #REF!)</f>
        <v>#REF!</v>
      </c>
      <c r="C54" s="74" t="e">
        <f aca="false">#REF!</f>
        <v>#REF!</v>
      </c>
      <c r="D54" s="74" t="e">
        <f aca="false">#REF!</f>
        <v>#REF!</v>
      </c>
      <c r="E54" s="74" t="e">
        <f aca="false">#REF!</f>
        <v>#REF!</v>
      </c>
      <c r="F54" s="74" t="e">
        <f aca="false">#REF!</f>
        <v>#REF!</v>
      </c>
    </row>
    <row r="55" customFormat="false" ht="12.8" hidden="false" customHeight="false" outlineLevel="0" collapsed="false">
      <c r="A55" s="50" t="e">
        <f aca="false">_xlfn.CONCAT($A$1, ".", #REF!)</f>
        <v>#REF!</v>
      </c>
      <c r="B55" s="69" t="e">
        <f aca="false">_xlfn.CONCAT(#REF!, ":", #REF!)</f>
        <v>#REF!</v>
      </c>
      <c r="C55" s="74" t="e">
        <f aca="false">#REF!</f>
        <v>#REF!</v>
      </c>
      <c r="D55" s="74" t="e">
        <f aca="false">#REF!</f>
        <v>#REF!</v>
      </c>
      <c r="E55" s="74" t="e">
        <f aca="false">#REF!</f>
        <v>#REF!</v>
      </c>
      <c r="F55" s="74" t="e">
        <f aca="false">#REF!</f>
        <v>#REF!</v>
      </c>
    </row>
    <row r="56" customFormat="false" ht="12.8" hidden="false" customHeight="false" outlineLevel="0" collapsed="false">
      <c r="C56" s="73"/>
      <c r="D56" s="73"/>
      <c r="E56" s="73"/>
      <c r="F56" s="73"/>
    </row>
    <row r="57" customFormat="false" ht="12.8" hidden="false" customHeight="false" outlineLevel="0" collapsed="false">
      <c r="C57" s="73"/>
      <c r="D57" s="73"/>
      <c r="E57" s="73"/>
      <c r="F57" s="73"/>
    </row>
    <row r="58" customFormat="false" ht="12.8" hidden="false" customHeight="false" outlineLevel="0" collapsed="false">
      <c r="C58" s="73"/>
      <c r="D58" s="73"/>
      <c r="E58" s="73"/>
      <c r="F58" s="73"/>
    </row>
    <row r="59" customFormat="false" ht="12.8" hidden="false" customHeight="false" outlineLevel="1" collapsed="false">
      <c r="C59" s="73"/>
      <c r="D59" s="73"/>
      <c r="E59" s="73"/>
      <c r="F59" s="73"/>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247"/>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1484</v>
      </c>
      <c r="B1" s="42" t="s">
        <v>1485</v>
      </c>
      <c r="C1" s="6" t="s">
        <v>2</v>
      </c>
      <c r="D1" s="62" t="s">
        <v>1486</v>
      </c>
      <c r="AZ1" s="39"/>
      <c r="BA1" s="39"/>
      <c r="BB1" s="39"/>
      <c r="BC1" s="39"/>
    </row>
    <row r="2" customFormat="false" ht="46.25" hidden="false" customHeight="false" outlineLevel="0" collapsed="false">
      <c r="A2" s="67" t="s">
        <v>1473</v>
      </c>
      <c r="B2" s="63" t="s">
        <v>1474</v>
      </c>
      <c r="C2" s="75" t="str">
        <f aca="false">CALC!AV3</f>
        <v>Federal Personal Income Tax Revenue ($)</v>
      </c>
      <c r="D2" s="75" t="str">
        <f aca="false">CALC!AW3</f>
        <v>Authorized Immigrant Federal Personal Income Tax Revenue ($)</v>
      </c>
      <c r="E2" s="75" t="str">
        <f aca="false">CALC!AX3</f>
        <v>Unauthorized Immigrant Federal Personal Income Tax Revenue ($)</v>
      </c>
      <c r="F2" s="75" t="str">
        <f aca="false">CALC!AY3</f>
        <v>American Federal Personal Income Tax Revenue ($)</v>
      </c>
    </row>
    <row r="3" customFormat="false" ht="12.8" hidden="false" customHeight="false" outlineLevel="0" collapsed="false">
      <c r="A3" s="4" t="e">
        <f aca="false">_xlfn.CONCAT($A$1, ".", #REF!)</f>
        <v>#REF!</v>
      </c>
      <c r="B3" s="49"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7" customFormat="false" ht="12.8" hidden="false" customHeight="false" outlineLevel="0" collapsed="false">
      <c r="B57" s="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75" zoomScaleNormal="75" zoomScalePageLayoutView="100" workbookViewId="0">
      <selection pane="topLeft" activeCell="A152" activeCellId="1" sqref="D3:E3 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1487</v>
      </c>
      <c r="B1" s="63" t="s">
        <v>1488</v>
      </c>
      <c r="C1" s="6" t="s">
        <v>2</v>
      </c>
      <c r="D1" s="62" t="s">
        <v>1489</v>
      </c>
      <c r="AZ1" s="39"/>
      <c r="BP1" s="39"/>
    </row>
    <row r="2" customFormat="false" ht="46.25" hidden="false" customHeight="false" outlineLevel="0" collapsed="false">
      <c r="A2" s="67" t="s">
        <v>1473</v>
      </c>
      <c r="B2" s="63" t="s">
        <v>1474</v>
      </c>
      <c r="C2" s="75" t="str">
        <f aca="false">CALC!AV3</f>
        <v>Federal Personal Income Tax Revenue ($)</v>
      </c>
      <c r="D2" s="75" t="str">
        <f aca="false">CALC!AW3</f>
        <v>Authorized Immigrant Federal Personal Income Tax Revenue ($)</v>
      </c>
      <c r="E2" s="75" t="str">
        <f aca="false">CALC!AX3</f>
        <v>Unauthorized Immigrant Federal Personal Income Tax Revenue ($)</v>
      </c>
      <c r="F2" s="75" t="str">
        <f aca="false">CALC!AY3</f>
        <v>American Federal Personal Income Tax Revenue ($)</v>
      </c>
    </row>
    <row r="3" customFormat="false" ht="12.8" hidden="false" customHeight="false" outlineLevel="0" collapsed="false">
      <c r="A3" s="4" t="e">
        <f aca="false">_xlfn.CONCAT($A$1, ".", #REF!)</f>
        <v>#REF!</v>
      </c>
      <c r="B3" s="49"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6" customFormat="false" ht="12.8" hidden="false" customHeight="false" outlineLevel="0" collapsed="false">
      <c r="C56" s="75"/>
      <c r="D56" s="75"/>
      <c r="E56" s="75"/>
      <c r="F56" s="75"/>
    </row>
    <row r="57" customFormat="false" ht="12.8" hidden="false" customHeight="false" outlineLevel="0" collapsed="false">
      <c r="C57" s="75"/>
      <c r="D57" s="75"/>
      <c r="E57" s="75"/>
      <c r="F57" s="75"/>
    </row>
    <row r="58" customFormat="false" ht="12.8" hidden="false" customHeight="false" outlineLevel="0" collapsed="false">
      <c r="C58" s="75"/>
      <c r="D58" s="75"/>
      <c r="E58" s="75"/>
      <c r="F58" s="75"/>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75" zoomScaleNormal="75" zoomScalePageLayoutView="100" workbookViewId="0">
      <selection pane="topLeft" activeCell="A1" activeCellId="1" sqref="D3:E3 A1"/>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1490</v>
      </c>
      <c r="B1" s="63" t="s">
        <v>1491</v>
      </c>
      <c r="C1" s="6" t="s">
        <v>2</v>
      </c>
      <c r="D1" s="62" t="s">
        <v>1492</v>
      </c>
      <c r="AZ1" s="39"/>
      <c r="BP1" s="39"/>
    </row>
    <row r="2" customFormat="false" ht="35.05" hidden="false" customHeight="false" outlineLevel="0" collapsed="false">
      <c r="A2" s="67" t="s">
        <v>1473</v>
      </c>
      <c r="B2" s="63" t="s">
        <v>1474</v>
      </c>
      <c r="C2" s="75" t="str">
        <f aca="false">CALC!BD3</f>
        <v>EITC Credit Refund</v>
      </c>
      <c r="D2" s="75" t="str">
        <f aca="false">CALC!BE3</f>
        <v>Authorized Immigrant EITC Credit Refund</v>
      </c>
      <c r="E2" s="75" t="str">
        <f aca="false">CALC!BF3</f>
        <v>Unauthorized Immigrant EITC Credit Refund</v>
      </c>
      <c r="F2" s="75" t="str">
        <f aca="false">CALC!BG3</f>
        <v>American EITC Refund</v>
      </c>
    </row>
    <row r="3" customFormat="false" ht="12.8" hidden="false" customHeight="false" outlineLevel="0" collapsed="false">
      <c r="A3" s="4" t="e">
        <f aca="false">_xlfn.CONCAT($A$1, ".", #REF!)</f>
        <v>#REF!</v>
      </c>
      <c r="B3" s="49"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75" zoomScaleNormal="75" zoomScalePageLayoutView="100" workbookViewId="0">
      <selection pane="topLeft" activeCell="B45" activeCellId="1" sqref="D3:E3 B4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1493</v>
      </c>
      <c r="B1" s="63" t="s">
        <v>1494</v>
      </c>
      <c r="C1" s="6" t="s">
        <v>2</v>
      </c>
      <c r="D1" s="62" t="s">
        <v>1495</v>
      </c>
      <c r="AZ1" s="39"/>
      <c r="BP1" s="39"/>
    </row>
    <row r="2" customFormat="false" ht="35.05" hidden="false" customHeight="false" outlineLevel="0" collapsed="false">
      <c r="A2" s="67" t="s">
        <v>1473</v>
      </c>
      <c r="B2" s="63" t="s">
        <v>1474</v>
      </c>
      <c r="C2" s="75" t="str">
        <f aca="false">CALC!BH3</f>
        <v>ACTC Refund</v>
      </c>
      <c r="D2" s="75" t="str">
        <f aca="false">CALC!BI3</f>
        <v>Authorized Immigrant ACTC Refund</v>
      </c>
      <c r="E2" s="75" t="str">
        <f aca="false">CALC!BJ3</f>
        <v>Unauthorized Immigrant ACTC Refund</v>
      </c>
      <c r="F2" s="75" t="str">
        <f aca="false">CALC!BK3</f>
        <v>American Tax ACTC Refund</v>
      </c>
    </row>
    <row r="3" customFormat="false" ht="12.8" hidden="false" customHeight="false" outlineLevel="0" collapsed="false">
      <c r="A3" s="4" t="e">
        <f aca="false">_xlfn.CONCAT($A$1, ".", #REF!)</f>
        <v>#REF!</v>
      </c>
      <c r="B3" s="49"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6" customFormat="false" ht="12.8" hidden="false" customHeight="false" outlineLevel="0" collapsed="false">
      <c r="C56" s="75"/>
      <c r="D56" s="75"/>
      <c r="E56" s="75"/>
      <c r="F56" s="75"/>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32" activeCellId="1" sqref="D3:E3 H32"/>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7"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1496</v>
      </c>
      <c r="B1" s="78" t="s">
        <v>1497</v>
      </c>
      <c r="C1" s="6" t="s">
        <v>2</v>
      </c>
      <c r="D1" s="39" t="s">
        <v>1498</v>
      </c>
      <c r="AZ1" s="39"/>
      <c r="BP1" s="39"/>
    </row>
    <row r="2" customFormat="false" ht="35.05" hidden="false" customHeight="false" outlineLevel="0" collapsed="false">
      <c r="A2" s="79" t="s">
        <v>1473</v>
      </c>
      <c r="B2" s="80" t="s">
        <v>1474</v>
      </c>
      <c r="C2" s="75" t="str">
        <f aca="false">CALC!BL3</f>
        <v>AOTC Refund</v>
      </c>
      <c r="D2" s="75" t="str">
        <f aca="false">CALC!BM3</f>
        <v>Authorized Immigrant AOTC Refund</v>
      </c>
      <c r="E2" s="75" t="str">
        <f aca="false">CALC!BN3</f>
        <v>Unauthorized Immigrant AOTC Refund</v>
      </c>
      <c r="F2" s="75" t="str">
        <f aca="false">CALC!BO3</f>
        <v>American Tax AOTC Refund</v>
      </c>
    </row>
    <row r="3" customFormat="false" ht="12.8" hidden="false" customHeight="false" outlineLevel="0" collapsed="false">
      <c r="A3" s="50" t="e">
        <f aca="false">_xlfn.CONCAT($A$1, ".", #REF!)</f>
        <v>#REF!</v>
      </c>
      <c r="B3" s="65" t="e">
        <f aca="false">_xlfn.CONCAT(#REF!, ":", #REF!)</f>
        <v>#REF!</v>
      </c>
      <c r="C3" s="75" t="e">
        <f aca="false">#REF!</f>
        <v>#REF!</v>
      </c>
      <c r="D3" s="75" t="e">
        <f aca="false">#REF!</f>
        <v>#REF!</v>
      </c>
      <c r="E3" s="75" t="e">
        <f aca="false">#REF!</f>
        <v>#REF!</v>
      </c>
      <c r="F3" s="75" t="e">
        <f aca="false">#REF!</f>
        <v>#REF!</v>
      </c>
    </row>
    <row r="4" customFormat="false" ht="12.8" hidden="false" customHeight="false" outlineLevel="0" collapsed="false">
      <c r="A4" s="50" t="e">
        <f aca="false">_xlfn.CONCAT($A$1, ".", #REF!)</f>
        <v>#REF!</v>
      </c>
      <c r="B4" s="65" t="e">
        <f aca="false">_xlfn.CONCAT(#REF!, ":", #REF!)</f>
        <v>#REF!</v>
      </c>
      <c r="C4" s="75" t="e">
        <f aca="false">#REF!</f>
        <v>#REF!</v>
      </c>
      <c r="D4" s="75" t="e">
        <f aca="false">#REF!</f>
        <v>#REF!</v>
      </c>
      <c r="E4" s="75" t="e">
        <f aca="false">#REF!</f>
        <v>#REF!</v>
      </c>
      <c r="F4" s="75" t="e">
        <f aca="false">#REF!</f>
        <v>#REF!</v>
      </c>
    </row>
    <row r="5" customFormat="false" ht="12.8" hidden="false" customHeight="false" outlineLevel="0" collapsed="false">
      <c r="A5" s="50" t="e">
        <f aca="false">_xlfn.CONCAT($A$1, ".", #REF!)</f>
        <v>#REF!</v>
      </c>
      <c r="B5" s="65" t="e">
        <f aca="false">_xlfn.CONCAT(#REF!, ":", #REF!)</f>
        <v>#REF!</v>
      </c>
      <c r="C5" s="75" t="e">
        <f aca="false">#REF!</f>
        <v>#REF!</v>
      </c>
      <c r="D5" s="75" t="e">
        <f aca="false">#REF!</f>
        <v>#REF!</v>
      </c>
      <c r="E5" s="75" t="e">
        <f aca="false">#REF!</f>
        <v>#REF!</v>
      </c>
      <c r="F5" s="75" t="e">
        <f aca="false">#REF!</f>
        <v>#REF!</v>
      </c>
    </row>
    <row r="6" customFormat="false" ht="12.8" hidden="false" customHeight="false" outlineLevel="0" collapsed="false">
      <c r="A6" s="50" t="e">
        <f aca="false">_xlfn.CONCAT($A$1, ".", #REF!)</f>
        <v>#REF!</v>
      </c>
      <c r="B6" s="65" t="e">
        <f aca="false">_xlfn.CONCAT(#REF!, ":", #REF!)</f>
        <v>#REF!</v>
      </c>
      <c r="C6" s="75" t="e">
        <f aca="false">#REF!</f>
        <v>#REF!</v>
      </c>
      <c r="D6" s="75" t="e">
        <f aca="false">#REF!</f>
        <v>#REF!</v>
      </c>
      <c r="E6" s="75" t="e">
        <f aca="false">#REF!</f>
        <v>#REF!</v>
      </c>
      <c r="F6" s="75" t="e">
        <f aca="false">#REF!</f>
        <v>#REF!</v>
      </c>
    </row>
    <row r="7" customFormat="false" ht="12.8" hidden="false" customHeight="false" outlineLevel="0" collapsed="false">
      <c r="A7" s="50" t="e">
        <f aca="false">_xlfn.CONCAT($A$1, ".", #REF!)</f>
        <v>#REF!</v>
      </c>
      <c r="B7" s="65" t="e">
        <f aca="false">_xlfn.CONCAT(#REF!, ":", #REF!)</f>
        <v>#REF!</v>
      </c>
      <c r="C7" s="75" t="e">
        <f aca="false">#REF!</f>
        <v>#REF!</v>
      </c>
      <c r="D7" s="75" t="e">
        <f aca="false">#REF!</f>
        <v>#REF!</v>
      </c>
      <c r="E7" s="75" t="e">
        <f aca="false">#REF!</f>
        <v>#REF!</v>
      </c>
      <c r="F7" s="75" t="e">
        <f aca="false">#REF!</f>
        <v>#REF!</v>
      </c>
    </row>
    <row r="8" customFormat="false" ht="12.8" hidden="false" customHeight="false" outlineLevel="0" collapsed="false">
      <c r="A8" s="50" t="e">
        <f aca="false">_xlfn.CONCAT($A$1, ".", #REF!)</f>
        <v>#REF!</v>
      </c>
      <c r="B8" s="65" t="e">
        <f aca="false">_xlfn.CONCAT(#REF!, ":", #REF!)</f>
        <v>#REF!</v>
      </c>
      <c r="C8" s="75" t="e">
        <f aca="false">#REF!</f>
        <v>#REF!</v>
      </c>
      <c r="D8" s="75" t="e">
        <f aca="false">#REF!</f>
        <v>#REF!</v>
      </c>
      <c r="E8" s="75" t="e">
        <f aca="false">#REF!</f>
        <v>#REF!</v>
      </c>
      <c r="F8" s="75" t="e">
        <f aca="false">#REF!</f>
        <v>#REF!</v>
      </c>
    </row>
    <row r="9" customFormat="false" ht="12.8" hidden="false" customHeight="false" outlineLevel="0" collapsed="false">
      <c r="A9" s="50" t="e">
        <f aca="false">_xlfn.CONCAT($A$1, ".", #REF!)</f>
        <v>#REF!</v>
      </c>
      <c r="B9" s="65" t="e">
        <f aca="false">_xlfn.CONCAT(#REF!, ":", #REF!)</f>
        <v>#REF!</v>
      </c>
      <c r="C9" s="75" t="e">
        <f aca="false">#REF!</f>
        <v>#REF!</v>
      </c>
      <c r="D9" s="75" t="e">
        <f aca="false">#REF!</f>
        <v>#REF!</v>
      </c>
      <c r="E9" s="75" t="e">
        <f aca="false">#REF!</f>
        <v>#REF!</v>
      </c>
      <c r="F9" s="75" t="e">
        <f aca="false">#REF!</f>
        <v>#REF!</v>
      </c>
    </row>
    <row r="10" customFormat="false" ht="12.8" hidden="false" customHeight="false" outlineLevel="0" collapsed="false">
      <c r="A10" s="50" t="e">
        <f aca="false">_xlfn.CONCAT($A$1, ".", #REF!)</f>
        <v>#REF!</v>
      </c>
      <c r="B10" s="65" t="e">
        <f aca="false">_xlfn.CONCAT(#REF!, ":", #REF!)</f>
        <v>#REF!</v>
      </c>
      <c r="C10" s="75" t="e">
        <f aca="false">#REF!</f>
        <v>#REF!</v>
      </c>
      <c r="D10" s="75" t="e">
        <f aca="false">#REF!</f>
        <v>#REF!</v>
      </c>
      <c r="E10" s="75" t="e">
        <f aca="false">#REF!</f>
        <v>#REF!</v>
      </c>
      <c r="F10" s="75" t="e">
        <f aca="false">#REF!</f>
        <v>#REF!</v>
      </c>
    </row>
    <row r="11" customFormat="false" ht="12.8" hidden="false" customHeight="false" outlineLevel="0" collapsed="false">
      <c r="A11" s="50" t="e">
        <f aca="false">_xlfn.CONCAT($A$1, ".", #REF!)</f>
        <v>#REF!</v>
      </c>
      <c r="B11" s="65" t="e">
        <f aca="false">_xlfn.CONCAT(#REF!, ":", #REF!)</f>
        <v>#REF!</v>
      </c>
      <c r="C11" s="75" t="e">
        <f aca="false">#REF!</f>
        <v>#REF!</v>
      </c>
      <c r="D11" s="75" t="e">
        <f aca="false">#REF!</f>
        <v>#REF!</v>
      </c>
      <c r="E11" s="75" t="e">
        <f aca="false">#REF!</f>
        <v>#REF!</v>
      </c>
      <c r="F11" s="75" t="e">
        <f aca="false">#REF!</f>
        <v>#REF!</v>
      </c>
    </row>
    <row r="12" customFormat="false" ht="12.8" hidden="false" customHeight="false" outlineLevel="0" collapsed="false">
      <c r="A12" s="50" t="e">
        <f aca="false">_xlfn.CONCAT($A$1, ".", #REF!)</f>
        <v>#REF!</v>
      </c>
      <c r="B12" s="65" t="e">
        <f aca="false">_xlfn.CONCAT(#REF!, ":", #REF!)</f>
        <v>#REF!</v>
      </c>
      <c r="C12" s="75" t="e">
        <f aca="false">#REF!</f>
        <v>#REF!</v>
      </c>
      <c r="D12" s="75" t="e">
        <f aca="false">#REF!</f>
        <v>#REF!</v>
      </c>
      <c r="E12" s="75" t="e">
        <f aca="false">#REF!</f>
        <v>#REF!</v>
      </c>
      <c r="F12" s="75" t="e">
        <f aca="false">#REF!</f>
        <v>#REF!</v>
      </c>
    </row>
    <row r="13" customFormat="false" ht="12.8" hidden="false" customHeight="false" outlineLevel="0" collapsed="false">
      <c r="A13" s="50" t="e">
        <f aca="false">_xlfn.CONCAT($A$1, ".", #REF!)</f>
        <v>#REF!</v>
      </c>
      <c r="B13" s="65" t="e">
        <f aca="false">_xlfn.CONCAT(#REF!, ":", #REF!)</f>
        <v>#REF!</v>
      </c>
      <c r="C13" s="75" t="e">
        <f aca="false">#REF!</f>
        <v>#REF!</v>
      </c>
      <c r="D13" s="75" t="e">
        <f aca="false">#REF!</f>
        <v>#REF!</v>
      </c>
      <c r="E13" s="75" t="e">
        <f aca="false">#REF!</f>
        <v>#REF!</v>
      </c>
      <c r="F13" s="75" t="e">
        <f aca="false">#REF!</f>
        <v>#REF!</v>
      </c>
    </row>
    <row r="14" customFormat="false" ht="12.8" hidden="false" customHeight="false" outlineLevel="0" collapsed="false">
      <c r="A14" s="50" t="e">
        <f aca="false">_xlfn.CONCAT($A$1, ".", #REF!)</f>
        <v>#REF!</v>
      </c>
      <c r="B14" s="65" t="e">
        <f aca="false">_xlfn.CONCAT(#REF!, ":", #REF!)</f>
        <v>#REF!</v>
      </c>
      <c r="C14" s="75" t="e">
        <f aca="false">#REF!</f>
        <v>#REF!</v>
      </c>
      <c r="D14" s="75" t="e">
        <f aca="false">#REF!</f>
        <v>#REF!</v>
      </c>
      <c r="E14" s="75" t="e">
        <f aca="false">#REF!</f>
        <v>#REF!</v>
      </c>
      <c r="F14" s="75" t="e">
        <f aca="false">#REF!</f>
        <v>#REF!</v>
      </c>
    </row>
    <row r="15" customFormat="false" ht="12.8" hidden="false" customHeight="false" outlineLevel="0" collapsed="false">
      <c r="A15" s="50" t="e">
        <f aca="false">_xlfn.CONCAT($A$1, ".", #REF!)</f>
        <v>#REF!</v>
      </c>
      <c r="B15" s="65" t="e">
        <f aca="false">_xlfn.CONCAT(#REF!, ":", #REF!)</f>
        <v>#REF!</v>
      </c>
      <c r="C15" s="75" t="e">
        <f aca="false">#REF!</f>
        <v>#REF!</v>
      </c>
      <c r="D15" s="75" t="e">
        <f aca="false">#REF!</f>
        <v>#REF!</v>
      </c>
      <c r="E15" s="75" t="e">
        <f aca="false">#REF!</f>
        <v>#REF!</v>
      </c>
      <c r="F15" s="75" t="e">
        <f aca="false">#REF!</f>
        <v>#REF!</v>
      </c>
    </row>
    <row r="16" customFormat="false" ht="12.8" hidden="false" customHeight="false" outlineLevel="0" collapsed="false">
      <c r="A16" s="50" t="e">
        <f aca="false">_xlfn.CONCAT($A$1, ".", #REF!)</f>
        <v>#REF!</v>
      </c>
      <c r="B16" s="65" t="e">
        <f aca="false">_xlfn.CONCAT(#REF!, ":", #REF!)</f>
        <v>#REF!</v>
      </c>
      <c r="C16" s="75" t="e">
        <f aca="false">#REF!</f>
        <v>#REF!</v>
      </c>
      <c r="D16" s="75" t="e">
        <f aca="false">#REF!</f>
        <v>#REF!</v>
      </c>
      <c r="E16" s="75" t="e">
        <f aca="false">#REF!</f>
        <v>#REF!</v>
      </c>
      <c r="F16" s="75" t="e">
        <f aca="false">#REF!</f>
        <v>#REF!</v>
      </c>
    </row>
    <row r="17" customFormat="false" ht="12.8" hidden="false" customHeight="false" outlineLevel="0" collapsed="false">
      <c r="A17" s="50" t="e">
        <f aca="false">_xlfn.CONCAT($A$1, ".", #REF!)</f>
        <v>#REF!</v>
      </c>
      <c r="B17" s="65" t="e">
        <f aca="false">_xlfn.CONCAT(#REF!, ":", #REF!)</f>
        <v>#REF!</v>
      </c>
      <c r="C17" s="75" t="e">
        <f aca="false">#REF!</f>
        <v>#REF!</v>
      </c>
      <c r="D17" s="75" t="e">
        <f aca="false">#REF!</f>
        <v>#REF!</v>
      </c>
      <c r="E17" s="75" t="e">
        <f aca="false">#REF!</f>
        <v>#REF!</v>
      </c>
      <c r="F17" s="75" t="e">
        <f aca="false">#REF!</f>
        <v>#REF!</v>
      </c>
    </row>
    <row r="18" customFormat="false" ht="12.8" hidden="false" customHeight="false" outlineLevel="0" collapsed="false">
      <c r="A18" s="50" t="e">
        <f aca="false">_xlfn.CONCAT($A$1, ".", #REF!)</f>
        <v>#REF!</v>
      </c>
      <c r="B18" s="65" t="e">
        <f aca="false">_xlfn.CONCAT(#REF!, ":", #REF!)</f>
        <v>#REF!</v>
      </c>
      <c r="C18" s="75" t="e">
        <f aca="false">#REF!</f>
        <v>#REF!</v>
      </c>
      <c r="D18" s="75" t="e">
        <f aca="false">#REF!</f>
        <v>#REF!</v>
      </c>
      <c r="E18" s="75" t="e">
        <f aca="false">#REF!</f>
        <v>#REF!</v>
      </c>
      <c r="F18" s="75" t="e">
        <f aca="false">#REF!</f>
        <v>#REF!</v>
      </c>
    </row>
    <row r="19" customFormat="false" ht="12.8" hidden="false" customHeight="false" outlineLevel="0" collapsed="false">
      <c r="A19" s="50" t="e">
        <f aca="false">_xlfn.CONCAT($A$1, ".", #REF!)</f>
        <v>#REF!</v>
      </c>
      <c r="B19" s="65" t="e">
        <f aca="false">_xlfn.CONCAT(#REF!, ":", #REF!)</f>
        <v>#REF!</v>
      </c>
      <c r="C19" s="75" t="e">
        <f aca="false">#REF!</f>
        <v>#REF!</v>
      </c>
      <c r="D19" s="75" t="e">
        <f aca="false">#REF!</f>
        <v>#REF!</v>
      </c>
      <c r="E19" s="75" t="e">
        <f aca="false">#REF!</f>
        <v>#REF!</v>
      </c>
      <c r="F19" s="75" t="e">
        <f aca="false">#REF!</f>
        <v>#REF!</v>
      </c>
    </row>
    <row r="20" customFormat="false" ht="12.8" hidden="false" customHeight="false" outlineLevel="0" collapsed="false">
      <c r="A20" s="50" t="e">
        <f aca="false">_xlfn.CONCAT($A$1, ".", #REF!)</f>
        <v>#REF!</v>
      </c>
      <c r="B20" s="65" t="e">
        <f aca="false">_xlfn.CONCAT(#REF!, ":", #REF!)</f>
        <v>#REF!</v>
      </c>
      <c r="C20" s="75" t="e">
        <f aca="false">#REF!</f>
        <v>#REF!</v>
      </c>
      <c r="D20" s="75" t="e">
        <f aca="false">#REF!</f>
        <v>#REF!</v>
      </c>
      <c r="E20" s="75" t="e">
        <f aca="false">#REF!</f>
        <v>#REF!</v>
      </c>
      <c r="F20" s="75" t="e">
        <f aca="false">#REF!</f>
        <v>#REF!</v>
      </c>
    </row>
    <row r="21" customFormat="false" ht="12.8" hidden="false" customHeight="false" outlineLevel="0" collapsed="false">
      <c r="A21" s="50" t="e">
        <f aca="false">_xlfn.CONCAT($A$1, ".", #REF!)</f>
        <v>#REF!</v>
      </c>
      <c r="B21" s="65" t="e">
        <f aca="false">_xlfn.CONCAT(#REF!, ":", #REF!)</f>
        <v>#REF!</v>
      </c>
      <c r="C21" s="75" t="e">
        <f aca="false">#REF!</f>
        <v>#REF!</v>
      </c>
      <c r="D21" s="75" t="e">
        <f aca="false">#REF!</f>
        <v>#REF!</v>
      </c>
      <c r="E21" s="75" t="e">
        <f aca="false">#REF!</f>
        <v>#REF!</v>
      </c>
      <c r="F21" s="75" t="e">
        <f aca="false">#REF!</f>
        <v>#REF!</v>
      </c>
    </row>
    <row r="22" customFormat="false" ht="12.8" hidden="false" customHeight="false" outlineLevel="0" collapsed="false">
      <c r="A22" s="50" t="e">
        <f aca="false">_xlfn.CONCAT($A$1, ".", #REF!)</f>
        <v>#REF!</v>
      </c>
      <c r="B22" s="65" t="e">
        <f aca="false">_xlfn.CONCAT(#REF!, ":", #REF!)</f>
        <v>#REF!</v>
      </c>
      <c r="C22" s="75" t="e">
        <f aca="false">#REF!</f>
        <v>#REF!</v>
      </c>
      <c r="D22" s="75" t="e">
        <f aca="false">#REF!</f>
        <v>#REF!</v>
      </c>
      <c r="E22" s="75" t="e">
        <f aca="false">#REF!</f>
        <v>#REF!</v>
      </c>
      <c r="F22" s="75" t="e">
        <f aca="false">#REF!</f>
        <v>#REF!</v>
      </c>
    </row>
    <row r="23" customFormat="false" ht="12.8" hidden="false" customHeight="false" outlineLevel="0" collapsed="false">
      <c r="A23" s="50" t="e">
        <f aca="false">_xlfn.CONCAT($A$1, ".", #REF!)</f>
        <v>#REF!</v>
      </c>
      <c r="B23" s="65" t="e">
        <f aca="false">_xlfn.CONCAT(#REF!, ":", #REF!)</f>
        <v>#REF!</v>
      </c>
      <c r="C23" s="75" t="e">
        <f aca="false">#REF!</f>
        <v>#REF!</v>
      </c>
      <c r="D23" s="75" t="e">
        <f aca="false">#REF!</f>
        <v>#REF!</v>
      </c>
      <c r="E23" s="75" t="e">
        <f aca="false">#REF!</f>
        <v>#REF!</v>
      </c>
      <c r="F23" s="75" t="e">
        <f aca="false">#REF!</f>
        <v>#REF!</v>
      </c>
    </row>
    <row r="24" customFormat="false" ht="12.8" hidden="false" customHeight="false" outlineLevel="0" collapsed="false">
      <c r="A24" s="50" t="e">
        <f aca="false">_xlfn.CONCAT($A$1, ".", #REF!)</f>
        <v>#REF!</v>
      </c>
      <c r="B24" s="65" t="e">
        <f aca="false">_xlfn.CONCAT(#REF!, ":", #REF!)</f>
        <v>#REF!</v>
      </c>
      <c r="C24" s="75" t="e">
        <f aca="false">#REF!</f>
        <v>#REF!</v>
      </c>
      <c r="D24" s="75" t="e">
        <f aca="false">#REF!</f>
        <v>#REF!</v>
      </c>
      <c r="E24" s="75" t="e">
        <f aca="false">#REF!</f>
        <v>#REF!</v>
      </c>
      <c r="F24" s="75" t="e">
        <f aca="false">#REF!</f>
        <v>#REF!</v>
      </c>
    </row>
    <row r="25" customFormat="false" ht="12.8" hidden="false" customHeight="false" outlineLevel="0" collapsed="false">
      <c r="A25" s="50" t="e">
        <f aca="false">_xlfn.CONCAT($A$1, ".", #REF!)</f>
        <v>#REF!</v>
      </c>
      <c r="B25" s="65" t="e">
        <f aca="false">_xlfn.CONCAT(#REF!, ":", #REF!)</f>
        <v>#REF!</v>
      </c>
      <c r="C25" s="75" t="e">
        <f aca="false">#REF!</f>
        <v>#REF!</v>
      </c>
      <c r="D25" s="75" t="e">
        <f aca="false">#REF!</f>
        <v>#REF!</v>
      </c>
      <c r="E25" s="75" t="e">
        <f aca="false">#REF!</f>
        <v>#REF!</v>
      </c>
      <c r="F25" s="75" t="e">
        <f aca="false">#REF!</f>
        <v>#REF!</v>
      </c>
    </row>
    <row r="26" customFormat="false" ht="12.8" hidden="false" customHeight="false" outlineLevel="0" collapsed="false">
      <c r="A26" s="50" t="e">
        <f aca="false">_xlfn.CONCAT($A$1, ".", #REF!)</f>
        <v>#REF!</v>
      </c>
      <c r="B26" s="65" t="e">
        <f aca="false">_xlfn.CONCAT(#REF!, ":", #REF!)</f>
        <v>#REF!</v>
      </c>
      <c r="C26" s="75" t="e">
        <f aca="false">#REF!</f>
        <v>#REF!</v>
      </c>
      <c r="D26" s="75" t="e">
        <f aca="false">#REF!</f>
        <v>#REF!</v>
      </c>
      <c r="E26" s="75" t="e">
        <f aca="false">#REF!</f>
        <v>#REF!</v>
      </c>
      <c r="F26" s="75" t="e">
        <f aca="false">#REF!</f>
        <v>#REF!</v>
      </c>
    </row>
    <row r="27" customFormat="false" ht="12.8" hidden="false" customHeight="false" outlineLevel="0" collapsed="false">
      <c r="A27" s="50" t="e">
        <f aca="false">_xlfn.CONCAT($A$1, ".", #REF!)</f>
        <v>#REF!</v>
      </c>
      <c r="B27" s="65" t="e">
        <f aca="false">_xlfn.CONCAT(#REF!, ":", #REF!)</f>
        <v>#REF!</v>
      </c>
      <c r="C27" s="75" t="e">
        <f aca="false">#REF!</f>
        <v>#REF!</v>
      </c>
      <c r="D27" s="75" t="e">
        <f aca="false">#REF!</f>
        <v>#REF!</v>
      </c>
      <c r="E27" s="75" t="e">
        <f aca="false">#REF!</f>
        <v>#REF!</v>
      </c>
      <c r="F27" s="75" t="e">
        <f aca="false">#REF!</f>
        <v>#REF!</v>
      </c>
    </row>
    <row r="28" customFormat="false" ht="12.8" hidden="false" customHeight="false" outlineLevel="0" collapsed="false">
      <c r="A28" s="50" t="e">
        <f aca="false">_xlfn.CONCAT($A$1, ".", #REF!)</f>
        <v>#REF!</v>
      </c>
      <c r="B28" s="65" t="e">
        <f aca="false">_xlfn.CONCAT(#REF!, ":", #REF!)</f>
        <v>#REF!</v>
      </c>
      <c r="C28" s="75" t="e">
        <f aca="false">#REF!</f>
        <v>#REF!</v>
      </c>
      <c r="D28" s="75" t="e">
        <f aca="false">#REF!</f>
        <v>#REF!</v>
      </c>
      <c r="E28" s="75" t="e">
        <f aca="false">#REF!</f>
        <v>#REF!</v>
      </c>
      <c r="F28" s="75" t="e">
        <f aca="false">#REF!</f>
        <v>#REF!</v>
      </c>
    </row>
    <row r="29" customFormat="false" ht="12.8" hidden="false" customHeight="false" outlineLevel="0" collapsed="false">
      <c r="A29" s="50" t="e">
        <f aca="false">_xlfn.CONCAT($A$1, ".", #REF!)</f>
        <v>#REF!</v>
      </c>
      <c r="B29" s="65" t="e">
        <f aca="false">_xlfn.CONCAT(#REF!, ":", #REF!)</f>
        <v>#REF!</v>
      </c>
      <c r="C29" s="75" t="e">
        <f aca="false">#REF!</f>
        <v>#REF!</v>
      </c>
      <c r="D29" s="75" t="e">
        <f aca="false">#REF!</f>
        <v>#REF!</v>
      </c>
      <c r="E29" s="75" t="e">
        <f aca="false">#REF!</f>
        <v>#REF!</v>
      </c>
      <c r="F29" s="75" t="e">
        <f aca="false">#REF!</f>
        <v>#REF!</v>
      </c>
    </row>
    <row r="30" customFormat="false" ht="12.8" hidden="false" customHeight="false" outlineLevel="0" collapsed="false">
      <c r="A30" s="50" t="e">
        <f aca="false">_xlfn.CONCAT($A$1, ".", #REF!)</f>
        <v>#REF!</v>
      </c>
      <c r="B30" s="65" t="e">
        <f aca="false">_xlfn.CONCAT(#REF!, ":", #REF!)</f>
        <v>#REF!</v>
      </c>
      <c r="C30" s="75" t="e">
        <f aca="false">#REF!</f>
        <v>#REF!</v>
      </c>
      <c r="D30" s="75" t="e">
        <f aca="false">#REF!</f>
        <v>#REF!</v>
      </c>
      <c r="E30" s="75" t="e">
        <f aca="false">#REF!</f>
        <v>#REF!</v>
      </c>
      <c r="F30" s="75" t="e">
        <f aca="false">#REF!</f>
        <v>#REF!</v>
      </c>
    </row>
    <row r="31" customFormat="false" ht="12.8" hidden="false" customHeight="false" outlineLevel="0" collapsed="false">
      <c r="A31" s="50" t="e">
        <f aca="false">_xlfn.CONCAT($A$1, ".", #REF!)</f>
        <v>#REF!</v>
      </c>
      <c r="B31" s="65" t="e">
        <f aca="false">_xlfn.CONCAT(#REF!, ":", #REF!)</f>
        <v>#REF!</v>
      </c>
      <c r="C31" s="75" t="e">
        <f aca="false">#REF!</f>
        <v>#REF!</v>
      </c>
      <c r="D31" s="75" t="e">
        <f aca="false">#REF!</f>
        <v>#REF!</v>
      </c>
      <c r="E31" s="75" t="e">
        <f aca="false">#REF!</f>
        <v>#REF!</v>
      </c>
      <c r="F31" s="75" t="e">
        <f aca="false">#REF!</f>
        <v>#REF!</v>
      </c>
    </row>
    <row r="32" customFormat="false" ht="12.8" hidden="false" customHeight="false" outlineLevel="0" collapsed="false">
      <c r="A32" s="50" t="e">
        <f aca="false">_xlfn.CONCAT($A$1, ".", #REF!)</f>
        <v>#REF!</v>
      </c>
      <c r="B32" s="65" t="e">
        <f aca="false">_xlfn.CONCAT(#REF!, ":", #REF!)</f>
        <v>#REF!</v>
      </c>
      <c r="C32" s="75" t="e">
        <f aca="false">#REF!</f>
        <v>#REF!</v>
      </c>
      <c r="D32" s="75" t="e">
        <f aca="false">#REF!</f>
        <v>#REF!</v>
      </c>
      <c r="E32" s="75" t="e">
        <f aca="false">#REF!</f>
        <v>#REF!</v>
      </c>
      <c r="F32" s="75" t="e">
        <f aca="false">#REF!</f>
        <v>#REF!</v>
      </c>
    </row>
    <row r="33" customFormat="false" ht="12.8" hidden="false" customHeight="false" outlineLevel="0" collapsed="false">
      <c r="A33" s="50" t="e">
        <f aca="false">_xlfn.CONCAT($A$1, ".", #REF!)</f>
        <v>#REF!</v>
      </c>
      <c r="B33" s="65" t="e">
        <f aca="false">_xlfn.CONCAT(#REF!, ":", #REF!)</f>
        <v>#REF!</v>
      </c>
      <c r="C33" s="75" t="e">
        <f aca="false">#REF!</f>
        <v>#REF!</v>
      </c>
      <c r="D33" s="75" t="e">
        <f aca="false">#REF!</f>
        <v>#REF!</v>
      </c>
      <c r="E33" s="75" t="e">
        <f aca="false">#REF!</f>
        <v>#REF!</v>
      </c>
      <c r="F33" s="75" t="e">
        <f aca="false">#REF!</f>
        <v>#REF!</v>
      </c>
    </row>
    <row r="34" customFormat="false" ht="12.8" hidden="false" customHeight="false" outlineLevel="0" collapsed="false">
      <c r="A34" s="50" t="e">
        <f aca="false">_xlfn.CONCAT($A$1, ".", #REF!)</f>
        <v>#REF!</v>
      </c>
      <c r="B34" s="65" t="e">
        <f aca="false">_xlfn.CONCAT(#REF!, ":", #REF!)</f>
        <v>#REF!</v>
      </c>
      <c r="C34" s="75" t="e">
        <f aca="false">#REF!</f>
        <v>#REF!</v>
      </c>
      <c r="D34" s="75" t="e">
        <f aca="false">#REF!</f>
        <v>#REF!</v>
      </c>
      <c r="E34" s="75" t="e">
        <f aca="false">#REF!</f>
        <v>#REF!</v>
      </c>
      <c r="F34" s="75" t="e">
        <f aca="false">#REF!</f>
        <v>#REF!</v>
      </c>
    </row>
    <row r="35" customFormat="false" ht="12.8" hidden="false" customHeight="false" outlineLevel="0" collapsed="false">
      <c r="A35" s="50" t="e">
        <f aca="false">_xlfn.CONCAT($A$1, ".", #REF!)</f>
        <v>#REF!</v>
      </c>
      <c r="B35" s="65" t="e">
        <f aca="false">_xlfn.CONCAT(#REF!, ":", #REF!)</f>
        <v>#REF!</v>
      </c>
      <c r="C35" s="75" t="e">
        <f aca="false">#REF!</f>
        <v>#REF!</v>
      </c>
      <c r="D35" s="75" t="e">
        <f aca="false">#REF!</f>
        <v>#REF!</v>
      </c>
      <c r="E35" s="75" t="e">
        <f aca="false">#REF!</f>
        <v>#REF!</v>
      </c>
      <c r="F35" s="75" t="e">
        <f aca="false">#REF!</f>
        <v>#REF!</v>
      </c>
    </row>
    <row r="36" customFormat="false" ht="12.8" hidden="false" customHeight="false" outlineLevel="0" collapsed="false">
      <c r="A36" s="50" t="e">
        <f aca="false">_xlfn.CONCAT($A$1, ".", #REF!)</f>
        <v>#REF!</v>
      </c>
      <c r="B36" s="65" t="e">
        <f aca="false">_xlfn.CONCAT(#REF!, ":", #REF!)</f>
        <v>#REF!</v>
      </c>
      <c r="C36" s="75" t="e">
        <f aca="false">#REF!</f>
        <v>#REF!</v>
      </c>
      <c r="D36" s="75" t="e">
        <f aca="false">#REF!</f>
        <v>#REF!</v>
      </c>
      <c r="E36" s="75" t="e">
        <f aca="false">#REF!</f>
        <v>#REF!</v>
      </c>
      <c r="F36" s="75" t="e">
        <f aca="false">#REF!</f>
        <v>#REF!</v>
      </c>
    </row>
    <row r="37" customFormat="false" ht="12.8" hidden="false" customHeight="false" outlineLevel="0" collapsed="false">
      <c r="A37" s="50" t="e">
        <f aca="false">_xlfn.CONCAT($A$1, ".", #REF!)</f>
        <v>#REF!</v>
      </c>
      <c r="B37" s="65" t="e">
        <f aca="false">_xlfn.CONCAT(#REF!, ":", #REF!)</f>
        <v>#REF!</v>
      </c>
      <c r="C37" s="75" t="e">
        <f aca="false">#REF!</f>
        <v>#REF!</v>
      </c>
      <c r="D37" s="75" t="e">
        <f aca="false">#REF!</f>
        <v>#REF!</v>
      </c>
      <c r="E37" s="75" t="e">
        <f aca="false">#REF!</f>
        <v>#REF!</v>
      </c>
      <c r="F37" s="75" t="e">
        <f aca="false">#REF!</f>
        <v>#REF!</v>
      </c>
    </row>
    <row r="38" customFormat="false" ht="12.8" hidden="false" customHeight="false" outlineLevel="0" collapsed="false">
      <c r="A38" s="50" t="e">
        <f aca="false">_xlfn.CONCAT($A$1, ".", #REF!)</f>
        <v>#REF!</v>
      </c>
      <c r="B38" s="65" t="e">
        <f aca="false">_xlfn.CONCAT(#REF!, ":", #REF!)</f>
        <v>#REF!</v>
      </c>
      <c r="C38" s="75" t="e">
        <f aca="false">#REF!</f>
        <v>#REF!</v>
      </c>
      <c r="D38" s="75" t="e">
        <f aca="false">#REF!</f>
        <v>#REF!</v>
      </c>
      <c r="E38" s="75" t="e">
        <f aca="false">#REF!</f>
        <v>#REF!</v>
      </c>
      <c r="F38" s="75" t="e">
        <f aca="false">#REF!</f>
        <v>#REF!</v>
      </c>
    </row>
    <row r="39" customFormat="false" ht="12.8" hidden="false" customHeight="false" outlineLevel="0" collapsed="false">
      <c r="A39" s="50" t="e">
        <f aca="false">_xlfn.CONCAT($A$1, ".", #REF!)</f>
        <v>#REF!</v>
      </c>
      <c r="B39" s="65" t="e">
        <f aca="false">_xlfn.CONCAT(#REF!, ":", #REF!)</f>
        <v>#REF!</v>
      </c>
      <c r="C39" s="75" t="e">
        <f aca="false">#REF!</f>
        <v>#REF!</v>
      </c>
      <c r="D39" s="75" t="e">
        <f aca="false">#REF!</f>
        <v>#REF!</v>
      </c>
      <c r="E39" s="75" t="e">
        <f aca="false">#REF!</f>
        <v>#REF!</v>
      </c>
      <c r="F39" s="75" t="e">
        <f aca="false">#REF!</f>
        <v>#REF!</v>
      </c>
    </row>
    <row r="40" customFormat="false" ht="12.8" hidden="false" customHeight="false" outlineLevel="0" collapsed="false">
      <c r="A40" s="50" t="e">
        <f aca="false">_xlfn.CONCAT($A$1, ".", #REF!)</f>
        <v>#REF!</v>
      </c>
      <c r="B40" s="65" t="e">
        <f aca="false">_xlfn.CONCAT(#REF!, ":", #REF!)</f>
        <v>#REF!</v>
      </c>
      <c r="C40" s="75" t="e">
        <f aca="false">#REF!</f>
        <v>#REF!</v>
      </c>
      <c r="D40" s="75" t="e">
        <f aca="false">#REF!</f>
        <v>#REF!</v>
      </c>
      <c r="E40" s="75" t="e">
        <f aca="false">#REF!</f>
        <v>#REF!</v>
      </c>
      <c r="F40" s="75" t="e">
        <f aca="false">#REF!</f>
        <v>#REF!</v>
      </c>
    </row>
    <row r="41" customFormat="false" ht="12.8" hidden="false" customHeight="false" outlineLevel="0" collapsed="false">
      <c r="A41" s="50" t="e">
        <f aca="false">_xlfn.CONCAT($A$1, ".", #REF!)</f>
        <v>#REF!</v>
      </c>
      <c r="B41" s="65" t="e">
        <f aca="false">_xlfn.CONCAT(#REF!, ":", #REF!)</f>
        <v>#REF!</v>
      </c>
      <c r="C41" s="75" t="e">
        <f aca="false">#REF!</f>
        <v>#REF!</v>
      </c>
      <c r="D41" s="75" t="e">
        <f aca="false">#REF!</f>
        <v>#REF!</v>
      </c>
      <c r="E41" s="75" t="e">
        <f aca="false">#REF!</f>
        <v>#REF!</v>
      </c>
      <c r="F41" s="75" t="e">
        <f aca="false">#REF!</f>
        <v>#REF!</v>
      </c>
    </row>
    <row r="42" customFormat="false" ht="12.8" hidden="false" customHeight="false" outlineLevel="0" collapsed="false">
      <c r="A42" s="50" t="e">
        <f aca="false">_xlfn.CONCAT($A$1, ".", #REF!)</f>
        <v>#REF!</v>
      </c>
      <c r="B42" s="65" t="e">
        <f aca="false">_xlfn.CONCAT(#REF!, ":", #REF!)</f>
        <v>#REF!</v>
      </c>
      <c r="C42" s="75" t="e">
        <f aca="false">#REF!</f>
        <v>#REF!</v>
      </c>
      <c r="D42" s="75" t="e">
        <f aca="false">#REF!</f>
        <v>#REF!</v>
      </c>
      <c r="E42" s="75" t="e">
        <f aca="false">#REF!</f>
        <v>#REF!</v>
      </c>
      <c r="F42" s="75" t="e">
        <f aca="false">#REF!</f>
        <v>#REF!</v>
      </c>
    </row>
    <row r="43" customFormat="false" ht="12.8" hidden="false" customHeight="false" outlineLevel="0" collapsed="false">
      <c r="A43" s="50" t="e">
        <f aca="false">_xlfn.CONCAT($A$1, ".", #REF!)</f>
        <v>#REF!</v>
      </c>
      <c r="B43" s="65" t="e">
        <f aca="false">_xlfn.CONCAT(#REF!, ":", #REF!)</f>
        <v>#REF!</v>
      </c>
      <c r="C43" s="75" t="e">
        <f aca="false">#REF!</f>
        <v>#REF!</v>
      </c>
      <c r="D43" s="75" t="e">
        <f aca="false">#REF!</f>
        <v>#REF!</v>
      </c>
      <c r="E43" s="75" t="e">
        <f aca="false">#REF!</f>
        <v>#REF!</v>
      </c>
      <c r="F43" s="75" t="e">
        <f aca="false">#REF!</f>
        <v>#REF!</v>
      </c>
    </row>
    <row r="44" customFormat="false" ht="12.8" hidden="false" customHeight="false" outlineLevel="0" collapsed="false">
      <c r="A44" s="50" t="e">
        <f aca="false">_xlfn.CONCAT($A$1, ".", #REF!)</f>
        <v>#REF!</v>
      </c>
      <c r="B44" s="65" t="e">
        <f aca="false">_xlfn.CONCAT(#REF!, ":", #REF!)</f>
        <v>#REF!</v>
      </c>
      <c r="C44" s="75" t="e">
        <f aca="false">#REF!</f>
        <v>#REF!</v>
      </c>
      <c r="D44" s="75" t="e">
        <f aca="false">#REF!</f>
        <v>#REF!</v>
      </c>
      <c r="E44" s="75" t="e">
        <f aca="false">#REF!</f>
        <v>#REF!</v>
      </c>
      <c r="F44" s="75" t="e">
        <f aca="false">#REF!</f>
        <v>#REF!</v>
      </c>
    </row>
    <row r="45" customFormat="false" ht="12.8" hidden="false" customHeight="false" outlineLevel="0" collapsed="false">
      <c r="A45" s="50" t="e">
        <f aca="false">_xlfn.CONCAT($A$1, ".", #REF!)</f>
        <v>#REF!</v>
      </c>
      <c r="B45" s="65" t="e">
        <f aca="false">_xlfn.CONCAT(#REF!, ":", #REF!)</f>
        <v>#REF!</v>
      </c>
      <c r="C45" s="75" t="e">
        <f aca="false">#REF!</f>
        <v>#REF!</v>
      </c>
      <c r="D45" s="75" t="e">
        <f aca="false">#REF!</f>
        <v>#REF!</v>
      </c>
      <c r="E45" s="75" t="e">
        <f aca="false">#REF!</f>
        <v>#REF!</v>
      </c>
      <c r="F45" s="75" t="e">
        <f aca="false">#REF!</f>
        <v>#REF!</v>
      </c>
    </row>
    <row r="46" customFormat="false" ht="12.8" hidden="false" customHeight="false" outlineLevel="0" collapsed="false">
      <c r="A46" s="50" t="e">
        <f aca="false">_xlfn.CONCAT($A$1, ".", #REF!)</f>
        <v>#REF!</v>
      </c>
      <c r="B46" s="65" t="e">
        <f aca="false">_xlfn.CONCAT(#REF!, ":", #REF!)</f>
        <v>#REF!</v>
      </c>
      <c r="C46" s="75" t="e">
        <f aca="false">#REF!</f>
        <v>#REF!</v>
      </c>
      <c r="D46" s="75" t="e">
        <f aca="false">#REF!</f>
        <v>#REF!</v>
      </c>
      <c r="E46" s="75" t="e">
        <f aca="false">#REF!</f>
        <v>#REF!</v>
      </c>
      <c r="F46" s="75" t="e">
        <f aca="false">#REF!</f>
        <v>#REF!</v>
      </c>
    </row>
    <row r="47" customFormat="false" ht="12.8" hidden="false" customHeight="false" outlineLevel="0" collapsed="false">
      <c r="A47" s="50" t="e">
        <f aca="false">_xlfn.CONCAT($A$1, ".", #REF!)</f>
        <v>#REF!</v>
      </c>
      <c r="B47" s="65" t="e">
        <f aca="false">_xlfn.CONCAT(#REF!, ":", #REF!)</f>
        <v>#REF!</v>
      </c>
      <c r="C47" s="75" t="e">
        <f aca="false">#REF!</f>
        <v>#REF!</v>
      </c>
      <c r="D47" s="75" t="e">
        <f aca="false">#REF!</f>
        <v>#REF!</v>
      </c>
      <c r="E47" s="75" t="e">
        <f aca="false">#REF!</f>
        <v>#REF!</v>
      </c>
      <c r="F47" s="75" t="e">
        <f aca="false">#REF!</f>
        <v>#REF!</v>
      </c>
    </row>
    <row r="48" customFormat="false" ht="12.8" hidden="false" customHeight="false" outlineLevel="0" collapsed="false">
      <c r="A48" s="50" t="e">
        <f aca="false">_xlfn.CONCAT($A$1, ".", #REF!)</f>
        <v>#REF!</v>
      </c>
      <c r="B48" s="65" t="e">
        <f aca="false">_xlfn.CONCAT(#REF!, ":", #REF!)</f>
        <v>#REF!</v>
      </c>
      <c r="C48" s="75" t="e">
        <f aca="false">#REF!</f>
        <v>#REF!</v>
      </c>
      <c r="D48" s="75" t="e">
        <f aca="false">#REF!</f>
        <v>#REF!</v>
      </c>
      <c r="E48" s="75" t="e">
        <f aca="false">#REF!</f>
        <v>#REF!</v>
      </c>
      <c r="F48" s="75" t="e">
        <f aca="false">#REF!</f>
        <v>#REF!</v>
      </c>
    </row>
    <row r="49" customFormat="false" ht="12.8" hidden="false" customHeight="false" outlineLevel="0" collapsed="false">
      <c r="A49" s="50" t="e">
        <f aca="false">_xlfn.CONCAT($A$1, ".", #REF!)</f>
        <v>#REF!</v>
      </c>
      <c r="B49" s="65" t="e">
        <f aca="false">_xlfn.CONCAT(#REF!, ":", #REF!)</f>
        <v>#REF!</v>
      </c>
      <c r="C49" s="75" t="e">
        <f aca="false">#REF!</f>
        <v>#REF!</v>
      </c>
      <c r="D49" s="75" t="e">
        <f aca="false">#REF!</f>
        <v>#REF!</v>
      </c>
      <c r="E49" s="75" t="e">
        <f aca="false">#REF!</f>
        <v>#REF!</v>
      </c>
      <c r="F49" s="75" t="e">
        <f aca="false">#REF!</f>
        <v>#REF!</v>
      </c>
    </row>
    <row r="50" customFormat="false" ht="12.8" hidden="false" customHeight="false" outlineLevel="0" collapsed="false">
      <c r="A50" s="50" t="e">
        <f aca="false">_xlfn.CONCAT($A$1, ".", #REF!)</f>
        <v>#REF!</v>
      </c>
      <c r="B50" s="65" t="e">
        <f aca="false">_xlfn.CONCAT(#REF!, ":", #REF!)</f>
        <v>#REF!</v>
      </c>
      <c r="C50" s="75" t="e">
        <f aca="false">#REF!</f>
        <v>#REF!</v>
      </c>
      <c r="D50" s="75" t="e">
        <f aca="false">#REF!</f>
        <v>#REF!</v>
      </c>
      <c r="E50" s="75" t="e">
        <f aca="false">#REF!</f>
        <v>#REF!</v>
      </c>
      <c r="F50" s="75" t="e">
        <f aca="false">#REF!</f>
        <v>#REF!</v>
      </c>
    </row>
    <row r="51" customFormat="false" ht="12.8" hidden="false" customHeight="false" outlineLevel="0" collapsed="false">
      <c r="A51" s="50" t="e">
        <f aca="false">_xlfn.CONCAT($A$1, ".", #REF!)</f>
        <v>#REF!</v>
      </c>
      <c r="B51" s="65" t="e">
        <f aca="false">_xlfn.CONCAT(#REF!, ":", #REF!)</f>
        <v>#REF!</v>
      </c>
      <c r="C51" s="75" t="e">
        <f aca="false">#REF!</f>
        <v>#REF!</v>
      </c>
      <c r="D51" s="75" t="e">
        <f aca="false">#REF!</f>
        <v>#REF!</v>
      </c>
      <c r="E51" s="75" t="e">
        <f aca="false">#REF!</f>
        <v>#REF!</v>
      </c>
      <c r="F51" s="75" t="e">
        <f aca="false">#REF!</f>
        <v>#REF!</v>
      </c>
    </row>
    <row r="52" customFormat="false" ht="12.8" hidden="false" customHeight="false" outlineLevel="0" collapsed="false">
      <c r="A52" s="50" t="e">
        <f aca="false">_xlfn.CONCAT($A$1, ".", #REF!)</f>
        <v>#REF!</v>
      </c>
      <c r="B52" s="65" t="e">
        <f aca="false">_xlfn.CONCAT(#REF!, ":", #REF!)</f>
        <v>#REF!</v>
      </c>
      <c r="C52" s="75" t="e">
        <f aca="false">#REF!</f>
        <v>#REF!</v>
      </c>
      <c r="D52" s="75" t="e">
        <f aca="false">#REF!</f>
        <v>#REF!</v>
      </c>
      <c r="E52" s="75" t="e">
        <f aca="false">#REF!</f>
        <v>#REF!</v>
      </c>
      <c r="F52" s="75" t="e">
        <f aca="false">#REF!</f>
        <v>#REF!</v>
      </c>
    </row>
    <row r="53" customFormat="false" ht="12.8" hidden="false" customHeight="false" outlineLevel="0" collapsed="false">
      <c r="A53" s="50" t="e">
        <f aca="false">_xlfn.CONCAT($A$1, ".", #REF!)</f>
        <v>#REF!</v>
      </c>
      <c r="B53" s="65" t="e">
        <f aca="false">_xlfn.CONCAT(#REF!, ":", #REF!)</f>
        <v>#REF!</v>
      </c>
      <c r="C53" s="75" t="e">
        <f aca="false">#REF!</f>
        <v>#REF!</v>
      </c>
      <c r="D53" s="75" t="e">
        <f aca="false">#REF!</f>
        <v>#REF!</v>
      </c>
      <c r="E53" s="75" t="e">
        <f aca="false">#REF!</f>
        <v>#REF!</v>
      </c>
      <c r="F53" s="75" t="e">
        <f aca="false">#REF!</f>
        <v>#REF!</v>
      </c>
    </row>
    <row r="54" customFormat="false" ht="12.8" hidden="false" customHeight="false" outlineLevel="0" collapsed="false">
      <c r="A54" s="50" t="e">
        <f aca="false">_xlfn.CONCAT($A$1, ".", #REF!)</f>
        <v>#REF!</v>
      </c>
      <c r="B54" s="65" t="e">
        <f aca="false">_xlfn.CONCAT(#REF!, ":", #REF!)</f>
        <v>#REF!</v>
      </c>
      <c r="C54" s="75" t="e">
        <f aca="false">#REF!</f>
        <v>#REF!</v>
      </c>
      <c r="D54" s="75" t="e">
        <f aca="false">#REF!</f>
        <v>#REF!</v>
      </c>
      <c r="E54" s="75" t="e">
        <f aca="false">#REF!</f>
        <v>#REF!</v>
      </c>
      <c r="F54" s="75" t="e">
        <f aca="false">#REF!</f>
        <v>#REF!</v>
      </c>
    </row>
    <row r="55" customFormat="false" ht="12.8" hidden="false" customHeight="false" outlineLevel="0" collapsed="false">
      <c r="A55" s="50" t="e">
        <f aca="false">_xlfn.CONCAT($A$1, ".", #REF!)</f>
        <v>#REF!</v>
      </c>
      <c r="B55" s="65" t="e">
        <f aca="false">_xlfn.CONCAT(#REF!, ":", #REF!)</f>
        <v>#REF!</v>
      </c>
      <c r="C55" s="75" t="e">
        <f aca="false">#REF!</f>
        <v>#REF!</v>
      </c>
      <c r="D55" s="75" t="e">
        <f aca="false">#REF!</f>
        <v>#REF!</v>
      </c>
      <c r="E55" s="75" t="e">
        <f aca="false">#REF!</f>
        <v>#REF!</v>
      </c>
      <c r="F55" s="7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P249"/>
  <sheetViews>
    <sheetView showFormulas="false" showGridLines="true" showRowColHeaders="true" showZeros="true" rightToLeft="false" tabSelected="false" showOutlineSymbols="true" defaultGridColor="true" view="normal" topLeftCell="E188" colorId="64" zoomScale="75" zoomScaleNormal="75" zoomScalePageLayoutView="100" workbookViewId="0">
      <selection pane="topLeft" activeCell="J224" activeCellId="1" sqref="D3:E3 J224"/>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7"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1499</v>
      </c>
      <c r="B1" s="78" t="s">
        <v>1500</v>
      </c>
      <c r="C1" s="6" t="s">
        <v>2</v>
      </c>
      <c r="D1" s="39" t="s">
        <v>1501</v>
      </c>
      <c r="AZ1" s="39"/>
      <c r="BP1" s="39"/>
    </row>
    <row r="2" customFormat="false" ht="45.9" hidden="false" customHeight="false" outlineLevel="0" collapsed="false">
      <c r="A2" s="79" t="s">
        <v>1473</v>
      </c>
      <c r="B2" s="80" t="s">
        <v>1474</v>
      </c>
      <c r="C2" s="81" t="str">
        <f aca="false">CALC!BP3</f>
        <v>Employed Population</v>
      </c>
      <c r="D2" s="81" t="str">
        <f aca="false">CALC!BQ3</f>
        <v>Authorized Immigrant Employed Population</v>
      </c>
      <c r="E2" s="81" t="str">
        <f aca="false">CALC!BR3</f>
        <v>Unauthorized Immigrant Employed Population</v>
      </c>
      <c r="F2" s="81" t="str">
        <f aca="false">CALC!BS3</f>
        <v>American Employed Population</v>
      </c>
    </row>
    <row r="3" customFormat="false" ht="12.8" hidden="false" customHeight="false" outlineLevel="0" collapsed="false">
      <c r="A3" s="50" t="e">
        <f aca="false">_xlfn.CONCAT($A$1, ".", #REF!)</f>
        <v>#REF!</v>
      </c>
      <c r="B3" s="65"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0" t="e">
        <f aca="false">_xlfn.CONCAT($A$1, ".", #REF!)</f>
        <v>#REF!</v>
      </c>
      <c r="B4" s="65" t="e">
        <f aca="false">_xlfn.CONCAT(#REF!, ":", #REF!)</f>
        <v>#REF!</v>
      </c>
      <c r="C4" s="81" t="e">
        <f aca="false">#REF!</f>
        <v>#REF!</v>
      </c>
      <c r="D4" s="81" t="e">
        <f aca="false">#REF!</f>
        <v>#REF!</v>
      </c>
      <c r="E4" s="81" t="e">
        <f aca="false">#REF!</f>
        <v>#REF!</v>
      </c>
      <c r="F4" s="81" t="e">
        <f aca="false">#REF!</f>
        <v>#REF!</v>
      </c>
    </row>
    <row r="5" customFormat="false" ht="12.8" hidden="false" customHeight="false" outlineLevel="0" collapsed="false">
      <c r="A5" s="50" t="e">
        <f aca="false">_xlfn.CONCAT($A$1, ".", #REF!)</f>
        <v>#REF!</v>
      </c>
      <c r="B5" s="65" t="e">
        <f aca="false">_xlfn.CONCAT(#REF!, ":", #REF!)</f>
        <v>#REF!</v>
      </c>
      <c r="C5" s="81" t="e">
        <f aca="false">#REF!</f>
        <v>#REF!</v>
      </c>
      <c r="D5" s="81" t="e">
        <f aca="false">#REF!</f>
        <v>#REF!</v>
      </c>
      <c r="E5" s="81" t="e">
        <f aca="false">#REF!</f>
        <v>#REF!</v>
      </c>
      <c r="F5" s="81" t="e">
        <f aca="false">#REF!</f>
        <v>#REF!</v>
      </c>
    </row>
    <row r="6" customFormat="false" ht="12.8" hidden="false" customHeight="false" outlineLevel="0" collapsed="false">
      <c r="A6" s="50" t="e">
        <f aca="false">_xlfn.CONCAT($A$1, ".", #REF!)</f>
        <v>#REF!</v>
      </c>
      <c r="B6" s="65" t="e">
        <f aca="false">_xlfn.CONCAT(#REF!, ":", #REF!)</f>
        <v>#REF!</v>
      </c>
      <c r="C6" s="81" t="e">
        <f aca="false">#REF!</f>
        <v>#REF!</v>
      </c>
      <c r="D6" s="81" t="e">
        <f aca="false">#REF!</f>
        <v>#REF!</v>
      </c>
      <c r="E6" s="81" t="e">
        <f aca="false">#REF!</f>
        <v>#REF!</v>
      </c>
      <c r="F6" s="81" t="e">
        <f aca="false">#REF!</f>
        <v>#REF!</v>
      </c>
    </row>
    <row r="7" customFormat="false" ht="12.8" hidden="false" customHeight="false" outlineLevel="0" collapsed="false">
      <c r="A7" s="50" t="e">
        <f aca="false">_xlfn.CONCAT($A$1, ".", #REF!)</f>
        <v>#REF!</v>
      </c>
      <c r="B7" s="65" t="e">
        <f aca="false">_xlfn.CONCAT(#REF!, ":", #REF!)</f>
        <v>#REF!</v>
      </c>
      <c r="C7" s="81" t="e">
        <f aca="false">#REF!</f>
        <v>#REF!</v>
      </c>
      <c r="D7" s="81" t="e">
        <f aca="false">#REF!</f>
        <v>#REF!</v>
      </c>
      <c r="E7" s="81" t="e">
        <f aca="false">#REF!</f>
        <v>#REF!</v>
      </c>
      <c r="F7" s="81" t="e">
        <f aca="false">#REF!</f>
        <v>#REF!</v>
      </c>
    </row>
    <row r="8" customFormat="false" ht="12.8" hidden="false" customHeight="false" outlineLevel="0" collapsed="false">
      <c r="A8" s="50" t="e">
        <f aca="false">_xlfn.CONCAT($A$1, ".", #REF!)</f>
        <v>#REF!</v>
      </c>
      <c r="B8" s="65" t="e">
        <f aca="false">_xlfn.CONCAT(#REF!, ":", #REF!)</f>
        <v>#REF!</v>
      </c>
      <c r="C8" s="81" t="e">
        <f aca="false">#REF!</f>
        <v>#REF!</v>
      </c>
      <c r="D8" s="81" t="e">
        <f aca="false">#REF!</f>
        <v>#REF!</v>
      </c>
      <c r="E8" s="81" t="e">
        <f aca="false">#REF!</f>
        <v>#REF!</v>
      </c>
      <c r="F8" s="81" t="e">
        <f aca="false">#REF!</f>
        <v>#REF!</v>
      </c>
    </row>
    <row r="9" customFormat="false" ht="12.8" hidden="false" customHeight="false" outlineLevel="0" collapsed="false">
      <c r="A9" s="50" t="e">
        <f aca="false">_xlfn.CONCAT($A$1, ".", #REF!)</f>
        <v>#REF!</v>
      </c>
      <c r="B9" s="65" t="e">
        <f aca="false">_xlfn.CONCAT(#REF!, ":", #REF!)</f>
        <v>#REF!</v>
      </c>
      <c r="C9" s="81" t="e">
        <f aca="false">#REF!</f>
        <v>#REF!</v>
      </c>
      <c r="D9" s="81" t="e">
        <f aca="false">#REF!</f>
        <v>#REF!</v>
      </c>
      <c r="E9" s="81" t="e">
        <f aca="false">#REF!</f>
        <v>#REF!</v>
      </c>
      <c r="F9" s="81" t="e">
        <f aca="false">#REF!</f>
        <v>#REF!</v>
      </c>
    </row>
    <row r="10" customFormat="false" ht="12.8" hidden="false" customHeight="false" outlineLevel="0" collapsed="false">
      <c r="A10" s="50" t="e">
        <f aca="false">_xlfn.CONCAT($A$1, ".", #REF!)</f>
        <v>#REF!</v>
      </c>
      <c r="B10" s="65" t="e">
        <f aca="false">_xlfn.CONCAT(#REF!, ":", #REF!)</f>
        <v>#REF!</v>
      </c>
      <c r="C10" s="81" t="e">
        <f aca="false">#REF!</f>
        <v>#REF!</v>
      </c>
      <c r="D10" s="81" t="e">
        <f aca="false">#REF!</f>
        <v>#REF!</v>
      </c>
      <c r="E10" s="81" t="e">
        <f aca="false">#REF!</f>
        <v>#REF!</v>
      </c>
      <c r="F10" s="81" t="e">
        <f aca="false">#REF!</f>
        <v>#REF!</v>
      </c>
    </row>
    <row r="11" customFormat="false" ht="12.8" hidden="false" customHeight="false" outlineLevel="0" collapsed="false">
      <c r="A11" s="50" t="e">
        <f aca="false">_xlfn.CONCAT($A$1, ".", #REF!)</f>
        <v>#REF!</v>
      </c>
      <c r="B11" s="65" t="e">
        <f aca="false">_xlfn.CONCAT(#REF!, ":", #REF!)</f>
        <v>#REF!</v>
      </c>
      <c r="C11" s="81" t="e">
        <f aca="false">#REF!</f>
        <v>#REF!</v>
      </c>
      <c r="D11" s="81" t="e">
        <f aca="false">#REF!</f>
        <v>#REF!</v>
      </c>
      <c r="E11" s="81" t="e">
        <f aca="false">#REF!</f>
        <v>#REF!</v>
      </c>
      <c r="F11" s="81" t="e">
        <f aca="false">#REF!</f>
        <v>#REF!</v>
      </c>
    </row>
    <row r="12" customFormat="false" ht="12.8" hidden="false" customHeight="false" outlineLevel="0" collapsed="false">
      <c r="A12" s="50" t="e">
        <f aca="false">_xlfn.CONCAT($A$1, ".", #REF!)</f>
        <v>#REF!</v>
      </c>
      <c r="B12" s="65" t="e">
        <f aca="false">_xlfn.CONCAT(#REF!, ":", #REF!)</f>
        <v>#REF!</v>
      </c>
      <c r="C12" s="81" t="e">
        <f aca="false">#REF!</f>
        <v>#REF!</v>
      </c>
      <c r="D12" s="81" t="e">
        <f aca="false">#REF!</f>
        <v>#REF!</v>
      </c>
      <c r="E12" s="81" t="e">
        <f aca="false">#REF!</f>
        <v>#REF!</v>
      </c>
      <c r="F12" s="81" t="e">
        <f aca="false">#REF!</f>
        <v>#REF!</v>
      </c>
    </row>
    <row r="13" customFormat="false" ht="12.8" hidden="false" customHeight="false" outlineLevel="0" collapsed="false">
      <c r="A13" s="50" t="e">
        <f aca="false">_xlfn.CONCAT($A$1, ".", #REF!)</f>
        <v>#REF!</v>
      </c>
      <c r="B13" s="65" t="e">
        <f aca="false">_xlfn.CONCAT(#REF!, ":", #REF!)</f>
        <v>#REF!</v>
      </c>
      <c r="C13" s="81" t="e">
        <f aca="false">#REF!</f>
        <v>#REF!</v>
      </c>
      <c r="D13" s="81" t="e">
        <f aca="false">#REF!</f>
        <v>#REF!</v>
      </c>
      <c r="E13" s="81" t="e">
        <f aca="false">#REF!</f>
        <v>#REF!</v>
      </c>
      <c r="F13" s="81" t="e">
        <f aca="false">#REF!</f>
        <v>#REF!</v>
      </c>
    </row>
    <row r="14" customFormat="false" ht="12.8" hidden="false" customHeight="false" outlineLevel="0" collapsed="false">
      <c r="A14" s="50" t="e">
        <f aca="false">_xlfn.CONCAT($A$1, ".", #REF!)</f>
        <v>#REF!</v>
      </c>
      <c r="B14" s="65" t="e">
        <f aca="false">_xlfn.CONCAT(#REF!, ":", #REF!)</f>
        <v>#REF!</v>
      </c>
      <c r="C14" s="81" t="e">
        <f aca="false">#REF!</f>
        <v>#REF!</v>
      </c>
      <c r="D14" s="81" t="e">
        <f aca="false">#REF!</f>
        <v>#REF!</v>
      </c>
      <c r="E14" s="81" t="e">
        <f aca="false">#REF!</f>
        <v>#REF!</v>
      </c>
      <c r="F14" s="81" t="e">
        <f aca="false">#REF!</f>
        <v>#REF!</v>
      </c>
    </row>
    <row r="15" customFormat="false" ht="12.8" hidden="false" customHeight="false" outlineLevel="0" collapsed="false">
      <c r="A15" s="50" t="e">
        <f aca="false">_xlfn.CONCAT($A$1, ".", #REF!)</f>
        <v>#REF!</v>
      </c>
      <c r="B15" s="65" t="e">
        <f aca="false">_xlfn.CONCAT(#REF!, ":", #REF!)</f>
        <v>#REF!</v>
      </c>
      <c r="C15" s="81" t="e">
        <f aca="false">#REF!</f>
        <v>#REF!</v>
      </c>
      <c r="D15" s="81" t="e">
        <f aca="false">#REF!</f>
        <v>#REF!</v>
      </c>
      <c r="E15" s="81" t="e">
        <f aca="false">#REF!</f>
        <v>#REF!</v>
      </c>
      <c r="F15" s="81" t="e">
        <f aca="false">#REF!</f>
        <v>#REF!</v>
      </c>
    </row>
    <row r="16" customFormat="false" ht="12.8" hidden="false" customHeight="false" outlineLevel="0" collapsed="false">
      <c r="A16" s="50" t="e">
        <f aca="false">_xlfn.CONCAT($A$1, ".", #REF!)</f>
        <v>#REF!</v>
      </c>
      <c r="B16" s="65" t="e">
        <f aca="false">_xlfn.CONCAT(#REF!, ":", #REF!)</f>
        <v>#REF!</v>
      </c>
      <c r="C16" s="81" t="e">
        <f aca="false">#REF!</f>
        <v>#REF!</v>
      </c>
      <c r="D16" s="81" t="e">
        <f aca="false">#REF!</f>
        <v>#REF!</v>
      </c>
      <c r="E16" s="81" t="e">
        <f aca="false">#REF!</f>
        <v>#REF!</v>
      </c>
      <c r="F16" s="81" t="e">
        <f aca="false">#REF!</f>
        <v>#REF!</v>
      </c>
    </row>
    <row r="17" customFormat="false" ht="12.8" hidden="false" customHeight="false" outlineLevel="0" collapsed="false">
      <c r="A17" s="50" t="e">
        <f aca="false">_xlfn.CONCAT($A$1, ".", #REF!)</f>
        <v>#REF!</v>
      </c>
      <c r="B17" s="65" t="e">
        <f aca="false">_xlfn.CONCAT(#REF!, ":", #REF!)</f>
        <v>#REF!</v>
      </c>
      <c r="C17" s="81" t="e">
        <f aca="false">#REF!</f>
        <v>#REF!</v>
      </c>
      <c r="D17" s="81" t="e">
        <f aca="false">#REF!</f>
        <v>#REF!</v>
      </c>
      <c r="E17" s="81" t="e">
        <f aca="false">#REF!</f>
        <v>#REF!</v>
      </c>
      <c r="F17" s="81" t="e">
        <f aca="false">#REF!</f>
        <v>#REF!</v>
      </c>
    </row>
    <row r="18" customFormat="false" ht="12.8" hidden="false" customHeight="false" outlineLevel="0" collapsed="false">
      <c r="A18" s="50" t="e">
        <f aca="false">_xlfn.CONCAT($A$1, ".", #REF!)</f>
        <v>#REF!</v>
      </c>
      <c r="B18" s="65" t="e">
        <f aca="false">_xlfn.CONCAT(#REF!, ":", #REF!)</f>
        <v>#REF!</v>
      </c>
      <c r="C18" s="81" t="e">
        <f aca="false">#REF!</f>
        <v>#REF!</v>
      </c>
      <c r="D18" s="81" t="e">
        <f aca="false">#REF!</f>
        <v>#REF!</v>
      </c>
      <c r="E18" s="81" t="e">
        <f aca="false">#REF!</f>
        <v>#REF!</v>
      </c>
      <c r="F18" s="81" t="e">
        <f aca="false">#REF!</f>
        <v>#REF!</v>
      </c>
    </row>
    <row r="19" customFormat="false" ht="12.8" hidden="false" customHeight="false" outlineLevel="0" collapsed="false">
      <c r="A19" s="50" t="e">
        <f aca="false">_xlfn.CONCAT($A$1, ".", #REF!)</f>
        <v>#REF!</v>
      </c>
      <c r="B19" s="65" t="e">
        <f aca="false">_xlfn.CONCAT(#REF!, ":", #REF!)</f>
        <v>#REF!</v>
      </c>
      <c r="C19" s="81" t="e">
        <f aca="false">#REF!</f>
        <v>#REF!</v>
      </c>
      <c r="D19" s="81" t="e">
        <f aca="false">#REF!</f>
        <v>#REF!</v>
      </c>
      <c r="E19" s="81" t="e">
        <f aca="false">#REF!</f>
        <v>#REF!</v>
      </c>
      <c r="F19" s="81" t="e">
        <f aca="false">#REF!</f>
        <v>#REF!</v>
      </c>
    </row>
    <row r="20" customFormat="false" ht="12.8" hidden="false" customHeight="false" outlineLevel="0" collapsed="false">
      <c r="A20" s="50" t="e">
        <f aca="false">_xlfn.CONCAT($A$1, ".", #REF!)</f>
        <v>#REF!</v>
      </c>
      <c r="B20" s="65" t="e">
        <f aca="false">_xlfn.CONCAT(#REF!, ":", #REF!)</f>
        <v>#REF!</v>
      </c>
      <c r="C20" s="81" t="e">
        <f aca="false">#REF!</f>
        <v>#REF!</v>
      </c>
      <c r="D20" s="81" t="e">
        <f aca="false">#REF!</f>
        <v>#REF!</v>
      </c>
      <c r="E20" s="81" t="e">
        <f aca="false">#REF!</f>
        <v>#REF!</v>
      </c>
      <c r="F20" s="81" t="e">
        <f aca="false">#REF!</f>
        <v>#REF!</v>
      </c>
    </row>
    <row r="21" customFormat="false" ht="12.8" hidden="false" customHeight="false" outlineLevel="0" collapsed="false">
      <c r="A21" s="50" t="e">
        <f aca="false">_xlfn.CONCAT($A$1, ".", #REF!)</f>
        <v>#REF!</v>
      </c>
      <c r="B21" s="65" t="e">
        <f aca="false">_xlfn.CONCAT(#REF!, ":", #REF!)</f>
        <v>#REF!</v>
      </c>
      <c r="C21" s="81" t="e">
        <f aca="false">#REF!</f>
        <v>#REF!</v>
      </c>
      <c r="D21" s="81" t="e">
        <f aca="false">#REF!</f>
        <v>#REF!</v>
      </c>
      <c r="E21" s="81" t="e">
        <f aca="false">#REF!</f>
        <v>#REF!</v>
      </c>
      <c r="F21" s="81" t="e">
        <f aca="false">#REF!</f>
        <v>#REF!</v>
      </c>
    </row>
    <row r="22" customFormat="false" ht="12.8" hidden="false" customHeight="false" outlineLevel="0" collapsed="false">
      <c r="A22" s="50" t="e">
        <f aca="false">_xlfn.CONCAT($A$1, ".", #REF!)</f>
        <v>#REF!</v>
      </c>
      <c r="B22" s="65" t="e">
        <f aca="false">_xlfn.CONCAT(#REF!, ":", #REF!)</f>
        <v>#REF!</v>
      </c>
      <c r="C22" s="81" t="e">
        <f aca="false">#REF!</f>
        <v>#REF!</v>
      </c>
      <c r="D22" s="81" t="e">
        <f aca="false">#REF!</f>
        <v>#REF!</v>
      </c>
      <c r="E22" s="81" t="e">
        <f aca="false">#REF!</f>
        <v>#REF!</v>
      </c>
      <c r="F22" s="81" t="e">
        <f aca="false">#REF!</f>
        <v>#REF!</v>
      </c>
    </row>
    <row r="23" customFormat="false" ht="12.8" hidden="false" customHeight="false" outlineLevel="0" collapsed="false">
      <c r="A23" s="50" t="e">
        <f aca="false">_xlfn.CONCAT($A$1, ".", #REF!)</f>
        <v>#REF!</v>
      </c>
      <c r="B23" s="65" t="e">
        <f aca="false">_xlfn.CONCAT(#REF!, ":", #REF!)</f>
        <v>#REF!</v>
      </c>
      <c r="C23" s="81" t="e">
        <f aca="false">#REF!</f>
        <v>#REF!</v>
      </c>
      <c r="D23" s="81" t="e">
        <f aca="false">#REF!</f>
        <v>#REF!</v>
      </c>
      <c r="E23" s="81" t="e">
        <f aca="false">#REF!</f>
        <v>#REF!</v>
      </c>
      <c r="F23" s="81" t="e">
        <f aca="false">#REF!</f>
        <v>#REF!</v>
      </c>
    </row>
    <row r="24" customFormat="false" ht="12.8" hidden="false" customHeight="false" outlineLevel="0" collapsed="false">
      <c r="A24" s="50" t="e">
        <f aca="false">_xlfn.CONCAT($A$1, ".", #REF!)</f>
        <v>#REF!</v>
      </c>
      <c r="B24" s="65" t="e">
        <f aca="false">_xlfn.CONCAT(#REF!, ":", #REF!)</f>
        <v>#REF!</v>
      </c>
      <c r="C24" s="81" t="e">
        <f aca="false">#REF!</f>
        <v>#REF!</v>
      </c>
      <c r="D24" s="81" t="e">
        <f aca="false">#REF!</f>
        <v>#REF!</v>
      </c>
      <c r="E24" s="81" t="e">
        <f aca="false">#REF!</f>
        <v>#REF!</v>
      </c>
      <c r="F24" s="81" t="e">
        <f aca="false">#REF!</f>
        <v>#REF!</v>
      </c>
    </row>
    <row r="25" customFormat="false" ht="12.8" hidden="false" customHeight="false" outlineLevel="0" collapsed="false">
      <c r="A25" s="50" t="e">
        <f aca="false">_xlfn.CONCAT($A$1, ".", #REF!)</f>
        <v>#REF!</v>
      </c>
      <c r="B25" s="65" t="e">
        <f aca="false">_xlfn.CONCAT(#REF!, ":", #REF!)</f>
        <v>#REF!</v>
      </c>
      <c r="C25" s="81" t="e">
        <f aca="false">#REF!</f>
        <v>#REF!</v>
      </c>
      <c r="D25" s="81" t="e">
        <f aca="false">#REF!</f>
        <v>#REF!</v>
      </c>
      <c r="E25" s="81" t="e">
        <f aca="false">#REF!</f>
        <v>#REF!</v>
      </c>
      <c r="F25" s="81" t="e">
        <f aca="false">#REF!</f>
        <v>#REF!</v>
      </c>
    </row>
    <row r="26" customFormat="false" ht="12.8" hidden="false" customHeight="false" outlineLevel="0" collapsed="false">
      <c r="A26" s="50" t="e">
        <f aca="false">_xlfn.CONCAT($A$1, ".", #REF!)</f>
        <v>#REF!</v>
      </c>
      <c r="B26" s="65" t="e">
        <f aca="false">_xlfn.CONCAT(#REF!, ":", #REF!)</f>
        <v>#REF!</v>
      </c>
      <c r="C26" s="81" t="e">
        <f aca="false">#REF!</f>
        <v>#REF!</v>
      </c>
      <c r="D26" s="81" t="e">
        <f aca="false">#REF!</f>
        <v>#REF!</v>
      </c>
      <c r="E26" s="81" t="e">
        <f aca="false">#REF!</f>
        <v>#REF!</v>
      </c>
      <c r="F26" s="81" t="e">
        <f aca="false">#REF!</f>
        <v>#REF!</v>
      </c>
    </row>
    <row r="27" customFormat="false" ht="12.8" hidden="false" customHeight="false" outlineLevel="0" collapsed="false">
      <c r="A27" s="50" t="e">
        <f aca="false">_xlfn.CONCAT($A$1, ".", #REF!)</f>
        <v>#REF!</v>
      </c>
      <c r="B27" s="65" t="e">
        <f aca="false">_xlfn.CONCAT(#REF!, ":", #REF!)</f>
        <v>#REF!</v>
      </c>
      <c r="C27" s="81" t="e">
        <f aca="false">#REF!</f>
        <v>#REF!</v>
      </c>
      <c r="D27" s="81" t="e">
        <f aca="false">#REF!</f>
        <v>#REF!</v>
      </c>
      <c r="E27" s="81" t="e">
        <f aca="false">#REF!</f>
        <v>#REF!</v>
      </c>
      <c r="F27" s="81" t="e">
        <f aca="false">#REF!</f>
        <v>#REF!</v>
      </c>
    </row>
    <row r="28" customFormat="false" ht="12.8" hidden="false" customHeight="false" outlineLevel="0" collapsed="false">
      <c r="A28" s="50" t="e">
        <f aca="false">_xlfn.CONCAT($A$1, ".", #REF!)</f>
        <v>#REF!</v>
      </c>
      <c r="B28" s="65" t="e">
        <f aca="false">_xlfn.CONCAT(#REF!, ":", #REF!)</f>
        <v>#REF!</v>
      </c>
      <c r="C28" s="81" t="e">
        <f aca="false">#REF!</f>
        <v>#REF!</v>
      </c>
      <c r="D28" s="81" t="e">
        <f aca="false">#REF!</f>
        <v>#REF!</v>
      </c>
      <c r="E28" s="81" t="e">
        <f aca="false">#REF!</f>
        <v>#REF!</v>
      </c>
      <c r="F28" s="81" t="e">
        <f aca="false">#REF!</f>
        <v>#REF!</v>
      </c>
    </row>
    <row r="29" customFormat="false" ht="12.8" hidden="false" customHeight="false" outlineLevel="0" collapsed="false">
      <c r="A29" s="50" t="e">
        <f aca="false">_xlfn.CONCAT($A$1, ".", #REF!)</f>
        <v>#REF!</v>
      </c>
      <c r="B29" s="65" t="e">
        <f aca="false">_xlfn.CONCAT(#REF!, ":", #REF!)</f>
        <v>#REF!</v>
      </c>
      <c r="C29" s="81" t="e">
        <f aca="false">#REF!</f>
        <v>#REF!</v>
      </c>
      <c r="D29" s="81" t="e">
        <f aca="false">#REF!</f>
        <v>#REF!</v>
      </c>
      <c r="E29" s="81" t="e">
        <f aca="false">#REF!</f>
        <v>#REF!</v>
      </c>
      <c r="F29" s="81" t="e">
        <f aca="false">#REF!</f>
        <v>#REF!</v>
      </c>
    </row>
    <row r="30" customFormat="false" ht="12.8" hidden="false" customHeight="false" outlineLevel="0" collapsed="false">
      <c r="A30" s="50" t="e">
        <f aca="false">_xlfn.CONCAT($A$1, ".", #REF!)</f>
        <v>#REF!</v>
      </c>
      <c r="B30" s="65" t="e">
        <f aca="false">_xlfn.CONCAT(#REF!, ":", #REF!)</f>
        <v>#REF!</v>
      </c>
      <c r="C30" s="81" t="e">
        <f aca="false">#REF!</f>
        <v>#REF!</v>
      </c>
      <c r="D30" s="81" t="e">
        <f aca="false">#REF!</f>
        <v>#REF!</v>
      </c>
      <c r="E30" s="81" t="e">
        <f aca="false">#REF!</f>
        <v>#REF!</v>
      </c>
      <c r="F30" s="81" t="e">
        <f aca="false">#REF!</f>
        <v>#REF!</v>
      </c>
    </row>
    <row r="31" customFormat="false" ht="12.8" hidden="false" customHeight="false" outlineLevel="0" collapsed="false">
      <c r="A31" s="50" t="e">
        <f aca="false">_xlfn.CONCAT($A$1, ".", #REF!)</f>
        <v>#REF!</v>
      </c>
      <c r="B31" s="65" t="e">
        <f aca="false">_xlfn.CONCAT(#REF!, ":", #REF!)</f>
        <v>#REF!</v>
      </c>
      <c r="C31" s="81" t="e">
        <f aca="false">#REF!</f>
        <v>#REF!</v>
      </c>
      <c r="D31" s="81" t="e">
        <f aca="false">#REF!</f>
        <v>#REF!</v>
      </c>
      <c r="E31" s="81" t="e">
        <f aca="false">#REF!</f>
        <v>#REF!</v>
      </c>
      <c r="F31" s="81" t="e">
        <f aca="false">#REF!</f>
        <v>#REF!</v>
      </c>
    </row>
    <row r="32" customFormat="false" ht="12.8" hidden="false" customHeight="false" outlineLevel="0" collapsed="false">
      <c r="A32" s="50" t="e">
        <f aca="false">_xlfn.CONCAT($A$1, ".", #REF!)</f>
        <v>#REF!</v>
      </c>
      <c r="B32" s="65" t="e">
        <f aca="false">_xlfn.CONCAT(#REF!, ":", #REF!)</f>
        <v>#REF!</v>
      </c>
      <c r="C32" s="81" t="e">
        <f aca="false">#REF!</f>
        <v>#REF!</v>
      </c>
      <c r="D32" s="81" t="e">
        <f aca="false">#REF!</f>
        <v>#REF!</v>
      </c>
      <c r="E32" s="81" t="e">
        <f aca="false">#REF!</f>
        <v>#REF!</v>
      </c>
      <c r="F32" s="81" t="e">
        <f aca="false">#REF!</f>
        <v>#REF!</v>
      </c>
    </row>
    <row r="33" customFormat="false" ht="12.8" hidden="false" customHeight="false" outlineLevel="0" collapsed="false">
      <c r="A33" s="50" t="e">
        <f aca="false">_xlfn.CONCAT($A$1, ".", #REF!)</f>
        <v>#REF!</v>
      </c>
      <c r="B33" s="65" t="e">
        <f aca="false">_xlfn.CONCAT(#REF!, ":", #REF!)</f>
        <v>#REF!</v>
      </c>
      <c r="C33" s="81" t="e">
        <f aca="false">#REF!</f>
        <v>#REF!</v>
      </c>
      <c r="D33" s="81" t="e">
        <f aca="false">#REF!</f>
        <v>#REF!</v>
      </c>
      <c r="E33" s="81" t="e">
        <f aca="false">#REF!</f>
        <v>#REF!</v>
      </c>
      <c r="F33" s="81" t="e">
        <f aca="false">#REF!</f>
        <v>#REF!</v>
      </c>
    </row>
    <row r="34" customFormat="false" ht="12.8" hidden="false" customHeight="false" outlineLevel="0" collapsed="false">
      <c r="A34" s="50" t="e">
        <f aca="false">_xlfn.CONCAT($A$1, ".", #REF!)</f>
        <v>#REF!</v>
      </c>
      <c r="B34" s="65" t="e">
        <f aca="false">_xlfn.CONCAT(#REF!, ":", #REF!)</f>
        <v>#REF!</v>
      </c>
      <c r="C34" s="81" t="e">
        <f aca="false">#REF!</f>
        <v>#REF!</v>
      </c>
      <c r="D34" s="81" t="e">
        <f aca="false">#REF!</f>
        <v>#REF!</v>
      </c>
      <c r="E34" s="81" t="e">
        <f aca="false">#REF!</f>
        <v>#REF!</v>
      </c>
      <c r="F34" s="81" t="e">
        <f aca="false">#REF!</f>
        <v>#REF!</v>
      </c>
    </row>
    <row r="35" customFormat="false" ht="12.8" hidden="false" customHeight="false" outlineLevel="0" collapsed="false">
      <c r="A35" s="50" t="e">
        <f aca="false">_xlfn.CONCAT($A$1, ".", #REF!)</f>
        <v>#REF!</v>
      </c>
      <c r="B35" s="65" t="e">
        <f aca="false">_xlfn.CONCAT(#REF!, ":", #REF!)</f>
        <v>#REF!</v>
      </c>
      <c r="C35" s="81" t="e">
        <f aca="false">#REF!</f>
        <v>#REF!</v>
      </c>
      <c r="D35" s="81" t="e">
        <f aca="false">#REF!</f>
        <v>#REF!</v>
      </c>
      <c r="E35" s="81" t="e">
        <f aca="false">#REF!</f>
        <v>#REF!</v>
      </c>
      <c r="F35" s="81" t="e">
        <f aca="false">#REF!</f>
        <v>#REF!</v>
      </c>
    </row>
    <row r="36" customFormat="false" ht="12.8" hidden="false" customHeight="false" outlineLevel="0" collapsed="false">
      <c r="A36" s="50" t="e">
        <f aca="false">_xlfn.CONCAT($A$1, ".", #REF!)</f>
        <v>#REF!</v>
      </c>
      <c r="B36" s="65" t="e">
        <f aca="false">_xlfn.CONCAT(#REF!, ":", #REF!)</f>
        <v>#REF!</v>
      </c>
      <c r="C36" s="81" t="e">
        <f aca="false">#REF!</f>
        <v>#REF!</v>
      </c>
      <c r="D36" s="81" t="e">
        <f aca="false">#REF!</f>
        <v>#REF!</v>
      </c>
      <c r="E36" s="81" t="e">
        <f aca="false">#REF!</f>
        <v>#REF!</v>
      </c>
      <c r="F36" s="81" t="e">
        <f aca="false">#REF!</f>
        <v>#REF!</v>
      </c>
    </row>
    <row r="37" customFormat="false" ht="12.8" hidden="false" customHeight="false" outlineLevel="0" collapsed="false">
      <c r="A37" s="50" t="e">
        <f aca="false">_xlfn.CONCAT($A$1, ".", #REF!)</f>
        <v>#REF!</v>
      </c>
      <c r="B37" s="65" t="e">
        <f aca="false">_xlfn.CONCAT(#REF!, ":", #REF!)</f>
        <v>#REF!</v>
      </c>
      <c r="C37" s="81" t="e">
        <f aca="false">#REF!</f>
        <v>#REF!</v>
      </c>
      <c r="D37" s="81" t="e">
        <f aca="false">#REF!</f>
        <v>#REF!</v>
      </c>
      <c r="E37" s="81" t="e">
        <f aca="false">#REF!</f>
        <v>#REF!</v>
      </c>
      <c r="F37" s="81" t="e">
        <f aca="false">#REF!</f>
        <v>#REF!</v>
      </c>
    </row>
    <row r="38" customFormat="false" ht="12.8" hidden="false" customHeight="false" outlineLevel="0" collapsed="false">
      <c r="A38" s="50" t="e">
        <f aca="false">_xlfn.CONCAT($A$1, ".", #REF!)</f>
        <v>#REF!</v>
      </c>
      <c r="B38" s="65" t="e">
        <f aca="false">_xlfn.CONCAT(#REF!, ":", #REF!)</f>
        <v>#REF!</v>
      </c>
      <c r="C38" s="81" t="e">
        <f aca="false">#REF!</f>
        <v>#REF!</v>
      </c>
      <c r="D38" s="81" t="e">
        <f aca="false">#REF!</f>
        <v>#REF!</v>
      </c>
      <c r="E38" s="81" t="e">
        <f aca="false">#REF!</f>
        <v>#REF!</v>
      </c>
      <c r="F38" s="81" t="e">
        <f aca="false">#REF!</f>
        <v>#REF!</v>
      </c>
    </row>
    <row r="39" customFormat="false" ht="12.8" hidden="false" customHeight="false" outlineLevel="0" collapsed="false">
      <c r="A39" s="50" t="e">
        <f aca="false">_xlfn.CONCAT($A$1, ".", #REF!)</f>
        <v>#REF!</v>
      </c>
      <c r="B39" s="65" t="e">
        <f aca="false">_xlfn.CONCAT(#REF!, ":", #REF!)</f>
        <v>#REF!</v>
      </c>
      <c r="C39" s="81" t="e">
        <f aca="false">#REF!</f>
        <v>#REF!</v>
      </c>
      <c r="D39" s="81" t="e">
        <f aca="false">#REF!</f>
        <v>#REF!</v>
      </c>
      <c r="E39" s="81" t="e">
        <f aca="false">#REF!</f>
        <v>#REF!</v>
      </c>
      <c r="F39" s="81" t="e">
        <f aca="false">#REF!</f>
        <v>#REF!</v>
      </c>
    </row>
    <row r="40" customFormat="false" ht="12.8" hidden="false" customHeight="false" outlineLevel="0" collapsed="false">
      <c r="A40" s="50" t="e">
        <f aca="false">_xlfn.CONCAT($A$1, ".", #REF!)</f>
        <v>#REF!</v>
      </c>
      <c r="B40" s="65" t="e">
        <f aca="false">_xlfn.CONCAT(#REF!, ":", #REF!)</f>
        <v>#REF!</v>
      </c>
      <c r="C40" s="81" t="e">
        <f aca="false">#REF!</f>
        <v>#REF!</v>
      </c>
      <c r="D40" s="81" t="e">
        <f aca="false">#REF!</f>
        <v>#REF!</v>
      </c>
      <c r="E40" s="81" t="e">
        <f aca="false">#REF!</f>
        <v>#REF!</v>
      </c>
      <c r="F40" s="81" t="e">
        <f aca="false">#REF!</f>
        <v>#REF!</v>
      </c>
    </row>
    <row r="41" customFormat="false" ht="12.8" hidden="false" customHeight="false" outlineLevel="0" collapsed="false">
      <c r="A41" s="50" t="e">
        <f aca="false">_xlfn.CONCAT($A$1, ".", #REF!)</f>
        <v>#REF!</v>
      </c>
      <c r="B41" s="65" t="e">
        <f aca="false">_xlfn.CONCAT(#REF!, ":", #REF!)</f>
        <v>#REF!</v>
      </c>
      <c r="C41" s="81" t="e">
        <f aca="false">#REF!</f>
        <v>#REF!</v>
      </c>
      <c r="D41" s="81" t="e">
        <f aca="false">#REF!</f>
        <v>#REF!</v>
      </c>
      <c r="E41" s="81" t="e">
        <f aca="false">#REF!</f>
        <v>#REF!</v>
      </c>
      <c r="F41" s="81" t="e">
        <f aca="false">#REF!</f>
        <v>#REF!</v>
      </c>
    </row>
    <row r="42" customFormat="false" ht="12.8" hidden="false" customHeight="false" outlineLevel="0" collapsed="false">
      <c r="A42" s="50" t="e">
        <f aca="false">_xlfn.CONCAT($A$1, ".", #REF!)</f>
        <v>#REF!</v>
      </c>
      <c r="B42" s="65" t="e">
        <f aca="false">_xlfn.CONCAT(#REF!, ":", #REF!)</f>
        <v>#REF!</v>
      </c>
      <c r="C42" s="81" t="e">
        <f aca="false">#REF!</f>
        <v>#REF!</v>
      </c>
      <c r="D42" s="81" t="e">
        <f aca="false">#REF!</f>
        <v>#REF!</v>
      </c>
      <c r="E42" s="81" t="e">
        <f aca="false">#REF!</f>
        <v>#REF!</v>
      </c>
      <c r="F42" s="81" t="e">
        <f aca="false">#REF!</f>
        <v>#REF!</v>
      </c>
    </row>
    <row r="43" customFormat="false" ht="12.8" hidden="false" customHeight="false" outlineLevel="0" collapsed="false">
      <c r="A43" s="50" t="e">
        <f aca="false">_xlfn.CONCAT($A$1, ".", #REF!)</f>
        <v>#REF!</v>
      </c>
      <c r="B43" s="65" t="e">
        <f aca="false">_xlfn.CONCAT(#REF!, ":", #REF!)</f>
        <v>#REF!</v>
      </c>
      <c r="C43" s="81" t="e">
        <f aca="false">#REF!</f>
        <v>#REF!</v>
      </c>
      <c r="D43" s="81" t="e">
        <f aca="false">#REF!</f>
        <v>#REF!</v>
      </c>
      <c r="E43" s="81" t="e">
        <f aca="false">#REF!</f>
        <v>#REF!</v>
      </c>
      <c r="F43" s="81" t="e">
        <f aca="false">#REF!</f>
        <v>#REF!</v>
      </c>
    </row>
    <row r="44" customFormat="false" ht="12.8" hidden="false" customHeight="false" outlineLevel="0" collapsed="false">
      <c r="A44" s="50" t="e">
        <f aca="false">_xlfn.CONCAT($A$1, ".", #REF!)</f>
        <v>#REF!</v>
      </c>
      <c r="B44" s="65" t="e">
        <f aca="false">_xlfn.CONCAT(#REF!, ":", #REF!)</f>
        <v>#REF!</v>
      </c>
      <c r="C44" s="81" t="e">
        <f aca="false">#REF!</f>
        <v>#REF!</v>
      </c>
      <c r="D44" s="81" t="e">
        <f aca="false">#REF!</f>
        <v>#REF!</v>
      </c>
      <c r="E44" s="81" t="e">
        <f aca="false">#REF!</f>
        <v>#REF!</v>
      </c>
      <c r="F44" s="81" t="e">
        <f aca="false">#REF!</f>
        <v>#REF!</v>
      </c>
    </row>
    <row r="45" customFormat="false" ht="12.8" hidden="false" customHeight="false" outlineLevel="0" collapsed="false">
      <c r="A45" s="50" t="e">
        <f aca="false">_xlfn.CONCAT($A$1, ".", #REF!)</f>
        <v>#REF!</v>
      </c>
      <c r="B45" s="65" t="e">
        <f aca="false">_xlfn.CONCAT(#REF!, ":", #REF!)</f>
        <v>#REF!</v>
      </c>
      <c r="C45" s="81" t="e">
        <f aca="false">#REF!</f>
        <v>#REF!</v>
      </c>
      <c r="D45" s="81" t="e">
        <f aca="false">#REF!</f>
        <v>#REF!</v>
      </c>
      <c r="E45" s="81" t="e">
        <f aca="false">#REF!</f>
        <v>#REF!</v>
      </c>
      <c r="F45" s="81" t="e">
        <f aca="false">#REF!</f>
        <v>#REF!</v>
      </c>
    </row>
    <row r="46" customFormat="false" ht="12.8" hidden="false" customHeight="false" outlineLevel="0" collapsed="false">
      <c r="A46" s="50" t="e">
        <f aca="false">_xlfn.CONCAT($A$1, ".", #REF!)</f>
        <v>#REF!</v>
      </c>
      <c r="B46" s="65" t="e">
        <f aca="false">_xlfn.CONCAT(#REF!, ":", #REF!)</f>
        <v>#REF!</v>
      </c>
      <c r="C46" s="81" t="e">
        <f aca="false">#REF!</f>
        <v>#REF!</v>
      </c>
      <c r="D46" s="81" t="e">
        <f aca="false">#REF!</f>
        <v>#REF!</v>
      </c>
      <c r="E46" s="81" t="e">
        <f aca="false">#REF!</f>
        <v>#REF!</v>
      </c>
      <c r="F46" s="81" t="e">
        <f aca="false">#REF!</f>
        <v>#REF!</v>
      </c>
    </row>
    <row r="47" customFormat="false" ht="12.8" hidden="false" customHeight="false" outlineLevel="0" collapsed="false">
      <c r="A47" s="50" t="e">
        <f aca="false">_xlfn.CONCAT($A$1, ".", #REF!)</f>
        <v>#REF!</v>
      </c>
      <c r="B47" s="65" t="e">
        <f aca="false">_xlfn.CONCAT(#REF!, ":", #REF!)</f>
        <v>#REF!</v>
      </c>
      <c r="C47" s="81" t="e">
        <f aca="false">#REF!</f>
        <v>#REF!</v>
      </c>
      <c r="D47" s="81" t="e">
        <f aca="false">#REF!</f>
        <v>#REF!</v>
      </c>
      <c r="E47" s="81" t="e">
        <f aca="false">#REF!</f>
        <v>#REF!</v>
      </c>
      <c r="F47" s="81" t="e">
        <f aca="false">#REF!</f>
        <v>#REF!</v>
      </c>
    </row>
    <row r="48" customFormat="false" ht="12.8" hidden="false" customHeight="false" outlineLevel="0" collapsed="false">
      <c r="A48" s="50" t="e">
        <f aca="false">_xlfn.CONCAT($A$1, ".", #REF!)</f>
        <v>#REF!</v>
      </c>
      <c r="B48" s="65" t="e">
        <f aca="false">_xlfn.CONCAT(#REF!, ":", #REF!)</f>
        <v>#REF!</v>
      </c>
      <c r="C48" s="81" t="e">
        <f aca="false">#REF!</f>
        <v>#REF!</v>
      </c>
      <c r="D48" s="81" t="e">
        <f aca="false">#REF!</f>
        <v>#REF!</v>
      </c>
      <c r="E48" s="81" t="e">
        <f aca="false">#REF!</f>
        <v>#REF!</v>
      </c>
      <c r="F48" s="81" t="e">
        <f aca="false">#REF!</f>
        <v>#REF!</v>
      </c>
    </row>
    <row r="49" customFormat="false" ht="12.8" hidden="false" customHeight="false" outlineLevel="0" collapsed="false">
      <c r="A49" s="50" t="e">
        <f aca="false">_xlfn.CONCAT($A$1, ".", #REF!)</f>
        <v>#REF!</v>
      </c>
      <c r="B49" s="65" t="e">
        <f aca="false">_xlfn.CONCAT(#REF!, ":", #REF!)</f>
        <v>#REF!</v>
      </c>
      <c r="C49" s="81" t="e">
        <f aca="false">#REF!</f>
        <v>#REF!</v>
      </c>
      <c r="D49" s="81" t="e">
        <f aca="false">#REF!</f>
        <v>#REF!</v>
      </c>
      <c r="E49" s="81" t="e">
        <f aca="false">#REF!</f>
        <v>#REF!</v>
      </c>
      <c r="F49" s="81" t="e">
        <f aca="false">#REF!</f>
        <v>#REF!</v>
      </c>
    </row>
    <row r="50" customFormat="false" ht="12.8" hidden="false" customHeight="false" outlineLevel="0" collapsed="false">
      <c r="A50" s="50" t="e">
        <f aca="false">_xlfn.CONCAT($A$1, ".", #REF!)</f>
        <v>#REF!</v>
      </c>
      <c r="B50" s="65" t="e">
        <f aca="false">_xlfn.CONCAT(#REF!, ":", #REF!)</f>
        <v>#REF!</v>
      </c>
      <c r="C50" s="81" t="e">
        <f aca="false">#REF!</f>
        <v>#REF!</v>
      </c>
      <c r="D50" s="81" t="e">
        <f aca="false">#REF!</f>
        <v>#REF!</v>
      </c>
      <c r="E50" s="81" t="e">
        <f aca="false">#REF!</f>
        <v>#REF!</v>
      </c>
      <c r="F50" s="81" t="e">
        <f aca="false">#REF!</f>
        <v>#REF!</v>
      </c>
    </row>
    <row r="51" customFormat="false" ht="12.8" hidden="false" customHeight="false" outlineLevel="0" collapsed="false">
      <c r="A51" s="50" t="e">
        <f aca="false">_xlfn.CONCAT($A$1, ".", #REF!)</f>
        <v>#REF!</v>
      </c>
      <c r="B51" s="65" t="e">
        <f aca="false">_xlfn.CONCAT(#REF!, ":", #REF!)</f>
        <v>#REF!</v>
      </c>
      <c r="C51" s="81" t="e">
        <f aca="false">#REF!</f>
        <v>#REF!</v>
      </c>
      <c r="D51" s="81" t="e">
        <f aca="false">#REF!</f>
        <v>#REF!</v>
      </c>
      <c r="E51" s="81" t="e">
        <f aca="false">#REF!</f>
        <v>#REF!</v>
      </c>
      <c r="F51" s="81" t="e">
        <f aca="false">#REF!</f>
        <v>#REF!</v>
      </c>
    </row>
    <row r="52" customFormat="false" ht="12.8" hidden="false" customHeight="false" outlineLevel="0" collapsed="false">
      <c r="A52" s="50" t="e">
        <f aca="false">_xlfn.CONCAT($A$1, ".", #REF!)</f>
        <v>#REF!</v>
      </c>
      <c r="B52" s="65" t="e">
        <f aca="false">_xlfn.CONCAT(#REF!, ":", #REF!)</f>
        <v>#REF!</v>
      </c>
      <c r="C52" s="81" t="e">
        <f aca="false">#REF!</f>
        <v>#REF!</v>
      </c>
      <c r="D52" s="81" t="e">
        <f aca="false">#REF!</f>
        <v>#REF!</v>
      </c>
      <c r="E52" s="81" t="e">
        <f aca="false">#REF!</f>
        <v>#REF!</v>
      </c>
      <c r="F52" s="81" t="e">
        <f aca="false">#REF!</f>
        <v>#REF!</v>
      </c>
    </row>
    <row r="53" customFormat="false" ht="12.8" hidden="false" customHeight="false" outlineLevel="0" collapsed="false">
      <c r="A53" s="50" t="e">
        <f aca="false">_xlfn.CONCAT($A$1, ".", #REF!)</f>
        <v>#REF!</v>
      </c>
      <c r="B53" s="65" t="e">
        <f aca="false">_xlfn.CONCAT(#REF!, ":", #REF!)</f>
        <v>#REF!</v>
      </c>
      <c r="C53" s="81" t="e">
        <f aca="false">#REF!</f>
        <v>#REF!</v>
      </c>
      <c r="D53" s="81" t="e">
        <f aca="false">#REF!</f>
        <v>#REF!</v>
      </c>
      <c r="E53" s="81" t="e">
        <f aca="false">#REF!</f>
        <v>#REF!</v>
      </c>
      <c r="F53" s="81" t="e">
        <f aca="false">#REF!</f>
        <v>#REF!</v>
      </c>
    </row>
    <row r="54" customFormat="false" ht="12.8" hidden="false" customHeight="false" outlineLevel="0" collapsed="false">
      <c r="A54" s="50" t="e">
        <f aca="false">_xlfn.CONCAT($A$1, ".", #REF!)</f>
        <v>#REF!</v>
      </c>
      <c r="B54" s="65" t="e">
        <f aca="false">_xlfn.CONCAT(#REF!, ":", #REF!)</f>
        <v>#REF!</v>
      </c>
      <c r="C54" s="81" t="e">
        <f aca="false">#REF!</f>
        <v>#REF!</v>
      </c>
      <c r="D54" s="81" t="e">
        <f aca="false">#REF!</f>
        <v>#REF!</v>
      </c>
      <c r="E54" s="81" t="e">
        <f aca="false">#REF!</f>
        <v>#REF!</v>
      </c>
      <c r="F54" s="81" t="e">
        <f aca="false">#REF!</f>
        <v>#REF!</v>
      </c>
    </row>
    <row r="55" customFormat="false" ht="12.8" hidden="false" customHeight="false" outlineLevel="0" collapsed="false">
      <c r="A55" s="50" t="e">
        <f aca="false">_xlfn.CONCAT($A$1, ".", #REF!)</f>
        <v>#REF!</v>
      </c>
      <c r="B55" s="65" t="e">
        <f aca="false">_xlfn.CONCAT(#REF!, ":", #REF!)</f>
        <v>#REF!</v>
      </c>
      <c r="C55" s="81" t="e">
        <f aca="false">#REF!</f>
        <v>#REF!</v>
      </c>
      <c r="D55" s="81" t="e">
        <f aca="false">#REF!</f>
        <v>#REF!</v>
      </c>
      <c r="E55" s="81" t="e">
        <f aca="false">#REF!</f>
        <v>#REF!</v>
      </c>
      <c r="F55" s="81"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75" zoomScaleNormal="75" zoomScalePageLayoutView="100" workbookViewId="0">
      <selection pane="topLeft" activeCell="A225" activeCellId="1" sqref="D3:E3 A22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7"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1499</v>
      </c>
      <c r="B1" s="78" t="s">
        <v>1502</v>
      </c>
      <c r="C1" s="6" t="s">
        <v>2</v>
      </c>
      <c r="D1" s="39" t="s">
        <v>1503</v>
      </c>
      <c r="AZ1" s="39"/>
      <c r="BP1" s="39"/>
    </row>
    <row r="2" customFormat="false" ht="46.25" hidden="false" customHeight="false" outlineLevel="0" collapsed="false">
      <c r="A2" s="79" t="s">
        <v>1473</v>
      </c>
      <c r="B2" s="80" t="s">
        <v>1474</v>
      </c>
      <c r="C2" s="81" t="str">
        <f aca="false">CALC!BT3</f>
        <v>Average Weekly Hours Worked</v>
      </c>
      <c r="D2" s="81" t="str">
        <f aca="false">CALC!BU3</f>
        <v>Authorized Immigrant Average Weekly Hours Worked</v>
      </c>
      <c r="E2" s="81" t="str">
        <f aca="false">CALC!BV3</f>
        <v>Unauthorized Immigrant Average Weekly Hours Worked</v>
      </c>
      <c r="F2" s="81" t="str">
        <f aca="false">CALC!BW3</f>
        <v>American Average Weekly Hours Worked</v>
      </c>
    </row>
    <row r="3" customFormat="false" ht="12.8" hidden="false" customHeight="false" outlineLevel="0" collapsed="false">
      <c r="A3" s="50" t="e">
        <f aca="false">_xlfn.CONCAT($A$1, ".", #REF!)</f>
        <v>#REF!</v>
      </c>
      <c r="B3" s="65"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0" t="e">
        <f aca="false">_xlfn.CONCAT($A$1, ".", #REF!)</f>
        <v>#REF!</v>
      </c>
      <c r="B4" s="65" t="e">
        <f aca="false">_xlfn.CONCAT(#REF!, ":", #REF!)</f>
        <v>#REF!</v>
      </c>
      <c r="C4" s="81" t="e">
        <f aca="false">#REF!</f>
        <v>#REF!</v>
      </c>
      <c r="D4" s="81" t="e">
        <f aca="false">#REF!</f>
        <v>#REF!</v>
      </c>
      <c r="E4" s="81" t="e">
        <f aca="false">#REF!</f>
        <v>#REF!</v>
      </c>
      <c r="F4" s="81" t="e">
        <f aca="false">#REF!</f>
        <v>#REF!</v>
      </c>
    </row>
    <row r="5" customFormat="false" ht="12.8" hidden="false" customHeight="false" outlineLevel="0" collapsed="false">
      <c r="A5" s="50" t="e">
        <f aca="false">_xlfn.CONCAT($A$1, ".", #REF!)</f>
        <v>#REF!</v>
      </c>
      <c r="B5" s="65" t="e">
        <f aca="false">_xlfn.CONCAT(#REF!, ":", #REF!)</f>
        <v>#REF!</v>
      </c>
      <c r="C5" s="81" t="e">
        <f aca="false">#REF!</f>
        <v>#REF!</v>
      </c>
      <c r="D5" s="81" t="e">
        <f aca="false">#REF!</f>
        <v>#REF!</v>
      </c>
      <c r="E5" s="81" t="e">
        <f aca="false">#REF!</f>
        <v>#REF!</v>
      </c>
      <c r="F5" s="81" t="e">
        <f aca="false">#REF!</f>
        <v>#REF!</v>
      </c>
    </row>
    <row r="6" customFormat="false" ht="12.8" hidden="false" customHeight="false" outlineLevel="0" collapsed="false">
      <c r="A6" s="50" t="e">
        <f aca="false">_xlfn.CONCAT($A$1, ".", #REF!)</f>
        <v>#REF!</v>
      </c>
      <c r="B6" s="65" t="e">
        <f aca="false">_xlfn.CONCAT(#REF!, ":", #REF!)</f>
        <v>#REF!</v>
      </c>
      <c r="C6" s="81" t="e">
        <f aca="false">#REF!</f>
        <v>#REF!</v>
      </c>
      <c r="D6" s="81" t="e">
        <f aca="false">#REF!</f>
        <v>#REF!</v>
      </c>
      <c r="E6" s="81" t="e">
        <f aca="false">#REF!</f>
        <v>#REF!</v>
      </c>
      <c r="F6" s="81" t="e">
        <f aca="false">#REF!</f>
        <v>#REF!</v>
      </c>
    </row>
    <row r="7" customFormat="false" ht="12.8" hidden="false" customHeight="false" outlineLevel="0" collapsed="false">
      <c r="A7" s="50" t="e">
        <f aca="false">_xlfn.CONCAT($A$1, ".", #REF!)</f>
        <v>#REF!</v>
      </c>
      <c r="B7" s="65" t="e">
        <f aca="false">_xlfn.CONCAT(#REF!, ":", #REF!)</f>
        <v>#REF!</v>
      </c>
      <c r="C7" s="81" t="e">
        <f aca="false">#REF!</f>
        <v>#REF!</v>
      </c>
      <c r="D7" s="81" t="e">
        <f aca="false">#REF!</f>
        <v>#REF!</v>
      </c>
      <c r="E7" s="81" t="e">
        <f aca="false">#REF!</f>
        <v>#REF!</v>
      </c>
      <c r="F7" s="81" t="e">
        <f aca="false">#REF!</f>
        <v>#REF!</v>
      </c>
    </row>
    <row r="8" customFormat="false" ht="12.8" hidden="false" customHeight="false" outlineLevel="0" collapsed="false">
      <c r="A8" s="50" t="e">
        <f aca="false">_xlfn.CONCAT($A$1, ".", #REF!)</f>
        <v>#REF!</v>
      </c>
      <c r="B8" s="65" t="e">
        <f aca="false">_xlfn.CONCAT(#REF!, ":", #REF!)</f>
        <v>#REF!</v>
      </c>
      <c r="C8" s="81" t="e">
        <f aca="false">#REF!</f>
        <v>#REF!</v>
      </c>
      <c r="D8" s="81" t="e">
        <f aca="false">#REF!</f>
        <v>#REF!</v>
      </c>
      <c r="E8" s="81" t="e">
        <f aca="false">#REF!</f>
        <v>#REF!</v>
      </c>
      <c r="F8" s="81" t="e">
        <f aca="false">#REF!</f>
        <v>#REF!</v>
      </c>
    </row>
    <row r="9" customFormat="false" ht="12.8" hidden="false" customHeight="false" outlineLevel="0" collapsed="false">
      <c r="A9" s="50" t="e">
        <f aca="false">_xlfn.CONCAT($A$1, ".", #REF!)</f>
        <v>#REF!</v>
      </c>
      <c r="B9" s="65" t="e">
        <f aca="false">_xlfn.CONCAT(#REF!, ":", #REF!)</f>
        <v>#REF!</v>
      </c>
      <c r="C9" s="81" t="e">
        <f aca="false">#REF!</f>
        <v>#REF!</v>
      </c>
      <c r="D9" s="81" t="e">
        <f aca="false">#REF!</f>
        <v>#REF!</v>
      </c>
      <c r="E9" s="81" t="e">
        <f aca="false">#REF!</f>
        <v>#REF!</v>
      </c>
      <c r="F9" s="81" t="e">
        <f aca="false">#REF!</f>
        <v>#REF!</v>
      </c>
    </row>
    <row r="10" customFormat="false" ht="12.8" hidden="false" customHeight="false" outlineLevel="0" collapsed="false">
      <c r="A10" s="50" t="e">
        <f aca="false">_xlfn.CONCAT($A$1, ".", #REF!)</f>
        <v>#REF!</v>
      </c>
      <c r="B10" s="65" t="e">
        <f aca="false">_xlfn.CONCAT(#REF!, ":", #REF!)</f>
        <v>#REF!</v>
      </c>
      <c r="C10" s="81" t="e">
        <f aca="false">#REF!</f>
        <v>#REF!</v>
      </c>
      <c r="D10" s="81" t="e">
        <f aca="false">#REF!</f>
        <v>#REF!</v>
      </c>
      <c r="E10" s="81" t="e">
        <f aca="false">#REF!</f>
        <v>#REF!</v>
      </c>
      <c r="F10" s="81" t="e">
        <f aca="false">#REF!</f>
        <v>#REF!</v>
      </c>
    </row>
    <row r="11" customFormat="false" ht="12.8" hidden="false" customHeight="false" outlineLevel="0" collapsed="false">
      <c r="A11" s="50" t="e">
        <f aca="false">_xlfn.CONCAT($A$1, ".", #REF!)</f>
        <v>#REF!</v>
      </c>
      <c r="B11" s="65" t="e">
        <f aca="false">_xlfn.CONCAT(#REF!, ":", #REF!)</f>
        <v>#REF!</v>
      </c>
      <c r="C11" s="81" t="e">
        <f aca="false">#REF!</f>
        <v>#REF!</v>
      </c>
      <c r="D11" s="81" t="e">
        <f aca="false">#REF!</f>
        <v>#REF!</v>
      </c>
      <c r="E11" s="81" t="e">
        <f aca="false">#REF!</f>
        <v>#REF!</v>
      </c>
      <c r="F11" s="81" t="e">
        <f aca="false">#REF!</f>
        <v>#REF!</v>
      </c>
    </row>
    <row r="12" customFormat="false" ht="12.8" hidden="false" customHeight="false" outlineLevel="0" collapsed="false">
      <c r="A12" s="50" t="e">
        <f aca="false">_xlfn.CONCAT($A$1, ".", #REF!)</f>
        <v>#REF!</v>
      </c>
      <c r="B12" s="65" t="e">
        <f aca="false">_xlfn.CONCAT(#REF!, ":", #REF!)</f>
        <v>#REF!</v>
      </c>
      <c r="C12" s="81" t="e">
        <f aca="false">#REF!</f>
        <v>#REF!</v>
      </c>
      <c r="D12" s="81" t="e">
        <f aca="false">#REF!</f>
        <v>#REF!</v>
      </c>
      <c r="E12" s="81" t="e">
        <f aca="false">#REF!</f>
        <v>#REF!</v>
      </c>
      <c r="F12" s="81" t="e">
        <f aca="false">#REF!</f>
        <v>#REF!</v>
      </c>
    </row>
    <row r="13" customFormat="false" ht="12.8" hidden="false" customHeight="false" outlineLevel="0" collapsed="false">
      <c r="A13" s="50" t="e">
        <f aca="false">_xlfn.CONCAT($A$1, ".", #REF!)</f>
        <v>#REF!</v>
      </c>
      <c r="B13" s="65" t="e">
        <f aca="false">_xlfn.CONCAT(#REF!, ":", #REF!)</f>
        <v>#REF!</v>
      </c>
      <c r="C13" s="81" t="e">
        <f aca="false">#REF!</f>
        <v>#REF!</v>
      </c>
      <c r="D13" s="81" t="e">
        <f aca="false">#REF!</f>
        <v>#REF!</v>
      </c>
      <c r="E13" s="81" t="e">
        <f aca="false">#REF!</f>
        <v>#REF!</v>
      </c>
      <c r="F13" s="81" t="e">
        <f aca="false">#REF!</f>
        <v>#REF!</v>
      </c>
    </row>
    <row r="14" customFormat="false" ht="12.8" hidden="false" customHeight="false" outlineLevel="0" collapsed="false">
      <c r="A14" s="50" t="e">
        <f aca="false">_xlfn.CONCAT($A$1, ".", #REF!)</f>
        <v>#REF!</v>
      </c>
      <c r="B14" s="65" t="e">
        <f aca="false">_xlfn.CONCAT(#REF!, ":", #REF!)</f>
        <v>#REF!</v>
      </c>
      <c r="C14" s="81" t="e">
        <f aca="false">#REF!</f>
        <v>#REF!</v>
      </c>
      <c r="D14" s="81" t="e">
        <f aca="false">#REF!</f>
        <v>#REF!</v>
      </c>
      <c r="E14" s="81" t="e">
        <f aca="false">#REF!</f>
        <v>#REF!</v>
      </c>
      <c r="F14" s="81" t="e">
        <f aca="false">#REF!</f>
        <v>#REF!</v>
      </c>
    </row>
    <row r="15" customFormat="false" ht="12.8" hidden="false" customHeight="false" outlineLevel="0" collapsed="false">
      <c r="A15" s="50" t="e">
        <f aca="false">_xlfn.CONCAT($A$1, ".", #REF!)</f>
        <v>#REF!</v>
      </c>
      <c r="B15" s="65" t="e">
        <f aca="false">_xlfn.CONCAT(#REF!, ":", #REF!)</f>
        <v>#REF!</v>
      </c>
      <c r="C15" s="81" t="e">
        <f aca="false">#REF!</f>
        <v>#REF!</v>
      </c>
      <c r="D15" s="81" t="e">
        <f aca="false">#REF!</f>
        <v>#REF!</v>
      </c>
      <c r="E15" s="81" t="e">
        <f aca="false">#REF!</f>
        <v>#REF!</v>
      </c>
      <c r="F15" s="81" t="e">
        <f aca="false">#REF!</f>
        <v>#REF!</v>
      </c>
    </row>
    <row r="16" customFormat="false" ht="12.8" hidden="false" customHeight="false" outlineLevel="0" collapsed="false">
      <c r="A16" s="50" t="e">
        <f aca="false">_xlfn.CONCAT($A$1, ".", #REF!)</f>
        <v>#REF!</v>
      </c>
      <c r="B16" s="65" t="e">
        <f aca="false">_xlfn.CONCAT(#REF!, ":", #REF!)</f>
        <v>#REF!</v>
      </c>
      <c r="C16" s="81" t="e">
        <f aca="false">#REF!</f>
        <v>#REF!</v>
      </c>
      <c r="D16" s="81" t="e">
        <f aca="false">#REF!</f>
        <v>#REF!</v>
      </c>
      <c r="E16" s="81" t="e">
        <f aca="false">#REF!</f>
        <v>#REF!</v>
      </c>
      <c r="F16" s="81" t="e">
        <f aca="false">#REF!</f>
        <v>#REF!</v>
      </c>
    </row>
    <row r="17" customFormat="false" ht="12.8" hidden="false" customHeight="false" outlineLevel="0" collapsed="false">
      <c r="A17" s="50" t="e">
        <f aca="false">_xlfn.CONCAT($A$1, ".", #REF!)</f>
        <v>#REF!</v>
      </c>
      <c r="B17" s="65" t="e">
        <f aca="false">_xlfn.CONCAT(#REF!, ":", #REF!)</f>
        <v>#REF!</v>
      </c>
      <c r="C17" s="81" t="e">
        <f aca="false">#REF!</f>
        <v>#REF!</v>
      </c>
      <c r="D17" s="81" t="e">
        <f aca="false">#REF!</f>
        <v>#REF!</v>
      </c>
      <c r="E17" s="81" t="e">
        <f aca="false">#REF!</f>
        <v>#REF!</v>
      </c>
      <c r="F17" s="81" t="e">
        <f aca="false">#REF!</f>
        <v>#REF!</v>
      </c>
    </row>
    <row r="18" customFormat="false" ht="12.8" hidden="false" customHeight="false" outlineLevel="0" collapsed="false">
      <c r="A18" s="50" t="e">
        <f aca="false">_xlfn.CONCAT($A$1, ".", #REF!)</f>
        <v>#REF!</v>
      </c>
      <c r="B18" s="65" t="e">
        <f aca="false">_xlfn.CONCAT(#REF!, ":", #REF!)</f>
        <v>#REF!</v>
      </c>
      <c r="C18" s="81" t="e">
        <f aca="false">#REF!</f>
        <v>#REF!</v>
      </c>
      <c r="D18" s="81" t="e">
        <f aca="false">#REF!</f>
        <v>#REF!</v>
      </c>
      <c r="E18" s="81" t="e">
        <f aca="false">#REF!</f>
        <v>#REF!</v>
      </c>
      <c r="F18" s="81" t="e">
        <f aca="false">#REF!</f>
        <v>#REF!</v>
      </c>
    </row>
    <row r="19" customFormat="false" ht="12.8" hidden="false" customHeight="false" outlineLevel="0" collapsed="false">
      <c r="A19" s="50" t="e">
        <f aca="false">_xlfn.CONCAT($A$1, ".", #REF!)</f>
        <v>#REF!</v>
      </c>
      <c r="B19" s="65" t="e">
        <f aca="false">_xlfn.CONCAT(#REF!, ":", #REF!)</f>
        <v>#REF!</v>
      </c>
      <c r="C19" s="81" t="e">
        <f aca="false">#REF!</f>
        <v>#REF!</v>
      </c>
      <c r="D19" s="81" t="e">
        <f aca="false">#REF!</f>
        <v>#REF!</v>
      </c>
      <c r="E19" s="81" t="e">
        <f aca="false">#REF!</f>
        <v>#REF!</v>
      </c>
      <c r="F19" s="81" t="e">
        <f aca="false">#REF!</f>
        <v>#REF!</v>
      </c>
    </row>
    <row r="20" customFormat="false" ht="12.8" hidden="false" customHeight="false" outlineLevel="0" collapsed="false">
      <c r="A20" s="50" t="e">
        <f aca="false">_xlfn.CONCAT($A$1, ".", #REF!)</f>
        <v>#REF!</v>
      </c>
      <c r="B20" s="65" t="e">
        <f aca="false">_xlfn.CONCAT(#REF!, ":", #REF!)</f>
        <v>#REF!</v>
      </c>
      <c r="C20" s="81" t="e">
        <f aca="false">#REF!</f>
        <v>#REF!</v>
      </c>
      <c r="D20" s="81" t="e">
        <f aca="false">#REF!</f>
        <v>#REF!</v>
      </c>
      <c r="E20" s="81" t="e">
        <f aca="false">#REF!</f>
        <v>#REF!</v>
      </c>
      <c r="F20" s="81" t="e">
        <f aca="false">#REF!</f>
        <v>#REF!</v>
      </c>
    </row>
    <row r="21" customFormat="false" ht="12.8" hidden="false" customHeight="false" outlineLevel="0" collapsed="false">
      <c r="A21" s="50" t="e">
        <f aca="false">_xlfn.CONCAT($A$1, ".", #REF!)</f>
        <v>#REF!</v>
      </c>
      <c r="B21" s="65" t="e">
        <f aca="false">_xlfn.CONCAT(#REF!, ":", #REF!)</f>
        <v>#REF!</v>
      </c>
      <c r="C21" s="81" t="e">
        <f aca="false">#REF!</f>
        <v>#REF!</v>
      </c>
      <c r="D21" s="81" t="e">
        <f aca="false">#REF!</f>
        <v>#REF!</v>
      </c>
      <c r="E21" s="81" t="e">
        <f aca="false">#REF!</f>
        <v>#REF!</v>
      </c>
      <c r="F21" s="81" t="e">
        <f aca="false">#REF!</f>
        <v>#REF!</v>
      </c>
    </row>
    <row r="22" customFormat="false" ht="12.8" hidden="false" customHeight="false" outlineLevel="0" collapsed="false">
      <c r="A22" s="50" t="e">
        <f aca="false">_xlfn.CONCAT($A$1, ".", #REF!)</f>
        <v>#REF!</v>
      </c>
      <c r="B22" s="65" t="e">
        <f aca="false">_xlfn.CONCAT(#REF!, ":", #REF!)</f>
        <v>#REF!</v>
      </c>
      <c r="C22" s="81" t="e">
        <f aca="false">#REF!</f>
        <v>#REF!</v>
      </c>
      <c r="D22" s="81" t="e">
        <f aca="false">#REF!</f>
        <v>#REF!</v>
      </c>
      <c r="E22" s="81" t="e">
        <f aca="false">#REF!</f>
        <v>#REF!</v>
      </c>
      <c r="F22" s="81" t="e">
        <f aca="false">#REF!</f>
        <v>#REF!</v>
      </c>
    </row>
    <row r="23" customFormat="false" ht="12.8" hidden="false" customHeight="false" outlineLevel="0" collapsed="false">
      <c r="A23" s="50" t="e">
        <f aca="false">_xlfn.CONCAT($A$1, ".", #REF!)</f>
        <v>#REF!</v>
      </c>
      <c r="B23" s="65" t="e">
        <f aca="false">_xlfn.CONCAT(#REF!, ":", #REF!)</f>
        <v>#REF!</v>
      </c>
      <c r="C23" s="81" t="e">
        <f aca="false">#REF!</f>
        <v>#REF!</v>
      </c>
      <c r="D23" s="81" t="e">
        <f aca="false">#REF!</f>
        <v>#REF!</v>
      </c>
      <c r="E23" s="81" t="e">
        <f aca="false">#REF!</f>
        <v>#REF!</v>
      </c>
      <c r="F23" s="81" t="e">
        <f aca="false">#REF!</f>
        <v>#REF!</v>
      </c>
    </row>
    <row r="24" customFormat="false" ht="12.8" hidden="false" customHeight="false" outlineLevel="0" collapsed="false">
      <c r="A24" s="50" t="e">
        <f aca="false">_xlfn.CONCAT($A$1, ".", #REF!)</f>
        <v>#REF!</v>
      </c>
      <c r="B24" s="65" t="e">
        <f aca="false">_xlfn.CONCAT(#REF!, ":", #REF!)</f>
        <v>#REF!</v>
      </c>
      <c r="C24" s="81" t="e">
        <f aca="false">#REF!</f>
        <v>#REF!</v>
      </c>
      <c r="D24" s="81" t="e">
        <f aca="false">#REF!</f>
        <v>#REF!</v>
      </c>
      <c r="E24" s="81" t="e">
        <f aca="false">#REF!</f>
        <v>#REF!</v>
      </c>
      <c r="F24" s="81" t="e">
        <f aca="false">#REF!</f>
        <v>#REF!</v>
      </c>
    </row>
    <row r="25" customFormat="false" ht="12.8" hidden="false" customHeight="false" outlineLevel="0" collapsed="false">
      <c r="A25" s="50" t="e">
        <f aca="false">_xlfn.CONCAT($A$1, ".", #REF!)</f>
        <v>#REF!</v>
      </c>
      <c r="B25" s="65" t="e">
        <f aca="false">_xlfn.CONCAT(#REF!, ":", #REF!)</f>
        <v>#REF!</v>
      </c>
      <c r="C25" s="81" t="e">
        <f aca="false">#REF!</f>
        <v>#REF!</v>
      </c>
      <c r="D25" s="81" t="e">
        <f aca="false">#REF!</f>
        <v>#REF!</v>
      </c>
      <c r="E25" s="81" t="e">
        <f aca="false">#REF!</f>
        <v>#REF!</v>
      </c>
      <c r="F25" s="81" t="e">
        <f aca="false">#REF!</f>
        <v>#REF!</v>
      </c>
    </row>
    <row r="26" customFormat="false" ht="12.8" hidden="false" customHeight="false" outlineLevel="0" collapsed="false">
      <c r="A26" s="50" t="e">
        <f aca="false">_xlfn.CONCAT($A$1, ".", #REF!)</f>
        <v>#REF!</v>
      </c>
      <c r="B26" s="65" t="e">
        <f aca="false">_xlfn.CONCAT(#REF!, ":", #REF!)</f>
        <v>#REF!</v>
      </c>
      <c r="C26" s="81" t="e">
        <f aca="false">#REF!</f>
        <v>#REF!</v>
      </c>
      <c r="D26" s="81" t="e">
        <f aca="false">#REF!</f>
        <v>#REF!</v>
      </c>
      <c r="E26" s="81" t="e">
        <f aca="false">#REF!</f>
        <v>#REF!</v>
      </c>
      <c r="F26" s="81" t="e">
        <f aca="false">#REF!</f>
        <v>#REF!</v>
      </c>
    </row>
    <row r="27" customFormat="false" ht="12.8" hidden="false" customHeight="false" outlineLevel="0" collapsed="false">
      <c r="A27" s="50" t="e">
        <f aca="false">_xlfn.CONCAT($A$1, ".", #REF!)</f>
        <v>#REF!</v>
      </c>
      <c r="B27" s="65" t="e">
        <f aca="false">_xlfn.CONCAT(#REF!, ":", #REF!)</f>
        <v>#REF!</v>
      </c>
      <c r="C27" s="81" t="e">
        <f aca="false">#REF!</f>
        <v>#REF!</v>
      </c>
      <c r="D27" s="81" t="e">
        <f aca="false">#REF!</f>
        <v>#REF!</v>
      </c>
      <c r="E27" s="81" t="e">
        <f aca="false">#REF!</f>
        <v>#REF!</v>
      </c>
      <c r="F27" s="81" t="e">
        <f aca="false">#REF!</f>
        <v>#REF!</v>
      </c>
    </row>
    <row r="28" customFormat="false" ht="12.8" hidden="false" customHeight="false" outlineLevel="0" collapsed="false">
      <c r="A28" s="50" t="e">
        <f aca="false">_xlfn.CONCAT($A$1, ".", #REF!)</f>
        <v>#REF!</v>
      </c>
      <c r="B28" s="65" t="e">
        <f aca="false">_xlfn.CONCAT(#REF!, ":", #REF!)</f>
        <v>#REF!</v>
      </c>
      <c r="C28" s="81" t="e">
        <f aca="false">#REF!</f>
        <v>#REF!</v>
      </c>
      <c r="D28" s="81" t="e">
        <f aca="false">#REF!</f>
        <v>#REF!</v>
      </c>
      <c r="E28" s="81" t="e">
        <f aca="false">#REF!</f>
        <v>#REF!</v>
      </c>
      <c r="F28" s="81" t="e">
        <f aca="false">#REF!</f>
        <v>#REF!</v>
      </c>
    </row>
    <row r="29" customFormat="false" ht="12.8" hidden="false" customHeight="false" outlineLevel="0" collapsed="false">
      <c r="A29" s="50" t="e">
        <f aca="false">_xlfn.CONCAT($A$1, ".", #REF!)</f>
        <v>#REF!</v>
      </c>
      <c r="B29" s="65" t="e">
        <f aca="false">_xlfn.CONCAT(#REF!, ":", #REF!)</f>
        <v>#REF!</v>
      </c>
      <c r="C29" s="81" t="e">
        <f aca="false">#REF!</f>
        <v>#REF!</v>
      </c>
      <c r="D29" s="81" t="e">
        <f aca="false">#REF!</f>
        <v>#REF!</v>
      </c>
      <c r="E29" s="81" t="e">
        <f aca="false">#REF!</f>
        <v>#REF!</v>
      </c>
      <c r="F29" s="81" t="e">
        <f aca="false">#REF!</f>
        <v>#REF!</v>
      </c>
    </row>
    <row r="30" customFormat="false" ht="12.8" hidden="false" customHeight="false" outlineLevel="0" collapsed="false">
      <c r="A30" s="50" t="e">
        <f aca="false">_xlfn.CONCAT($A$1, ".", #REF!)</f>
        <v>#REF!</v>
      </c>
      <c r="B30" s="65" t="e">
        <f aca="false">_xlfn.CONCAT(#REF!, ":", #REF!)</f>
        <v>#REF!</v>
      </c>
      <c r="C30" s="81" t="e">
        <f aca="false">#REF!</f>
        <v>#REF!</v>
      </c>
      <c r="D30" s="81" t="e">
        <f aca="false">#REF!</f>
        <v>#REF!</v>
      </c>
      <c r="E30" s="81" t="e">
        <f aca="false">#REF!</f>
        <v>#REF!</v>
      </c>
      <c r="F30" s="81" t="e">
        <f aca="false">#REF!</f>
        <v>#REF!</v>
      </c>
    </row>
    <row r="31" customFormat="false" ht="12.8" hidden="false" customHeight="false" outlineLevel="0" collapsed="false">
      <c r="A31" s="50" t="e">
        <f aca="false">_xlfn.CONCAT($A$1, ".", #REF!)</f>
        <v>#REF!</v>
      </c>
      <c r="B31" s="65" t="e">
        <f aca="false">_xlfn.CONCAT(#REF!, ":", #REF!)</f>
        <v>#REF!</v>
      </c>
      <c r="C31" s="81" t="e">
        <f aca="false">#REF!</f>
        <v>#REF!</v>
      </c>
      <c r="D31" s="81" t="e">
        <f aca="false">#REF!</f>
        <v>#REF!</v>
      </c>
      <c r="E31" s="81" t="e">
        <f aca="false">#REF!</f>
        <v>#REF!</v>
      </c>
      <c r="F31" s="81" t="e">
        <f aca="false">#REF!</f>
        <v>#REF!</v>
      </c>
    </row>
    <row r="32" customFormat="false" ht="12.8" hidden="false" customHeight="false" outlineLevel="0" collapsed="false">
      <c r="A32" s="50" t="e">
        <f aca="false">_xlfn.CONCAT($A$1, ".", #REF!)</f>
        <v>#REF!</v>
      </c>
      <c r="B32" s="65" t="e">
        <f aca="false">_xlfn.CONCAT(#REF!, ":", #REF!)</f>
        <v>#REF!</v>
      </c>
      <c r="C32" s="81" t="e">
        <f aca="false">#REF!</f>
        <v>#REF!</v>
      </c>
      <c r="D32" s="81" t="e">
        <f aca="false">#REF!</f>
        <v>#REF!</v>
      </c>
      <c r="E32" s="81" t="e">
        <f aca="false">#REF!</f>
        <v>#REF!</v>
      </c>
      <c r="F32" s="81" t="e">
        <f aca="false">#REF!</f>
        <v>#REF!</v>
      </c>
    </row>
    <row r="33" customFormat="false" ht="12.8" hidden="false" customHeight="false" outlineLevel="0" collapsed="false">
      <c r="A33" s="50" t="e">
        <f aca="false">_xlfn.CONCAT($A$1, ".", #REF!)</f>
        <v>#REF!</v>
      </c>
      <c r="B33" s="65" t="e">
        <f aca="false">_xlfn.CONCAT(#REF!, ":", #REF!)</f>
        <v>#REF!</v>
      </c>
      <c r="C33" s="81" t="e">
        <f aca="false">#REF!</f>
        <v>#REF!</v>
      </c>
      <c r="D33" s="81" t="e">
        <f aca="false">#REF!</f>
        <v>#REF!</v>
      </c>
      <c r="E33" s="81" t="e">
        <f aca="false">#REF!</f>
        <v>#REF!</v>
      </c>
      <c r="F33" s="81" t="e">
        <f aca="false">#REF!</f>
        <v>#REF!</v>
      </c>
    </row>
    <row r="34" customFormat="false" ht="12.8" hidden="false" customHeight="false" outlineLevel="0" collapsed="false">
      <c r="A34" s="50" t="e">
        <f aca="false">_xlfn.CONCAT($A$1, ".", #REF!)</f>
        <v>#REF!</v>
      </c>
      <c r="B34" s="65" t="e">
        <f aca="false">_xlfn.CONCAT(#REF!, ":", #REF!)</f>
        <v>#REF!</v>
      </c>
      <c r="C34" s="81" t="e">
        <f aca="false">#REF!</f>
        <v>#REF!</v>
      </c>
      <c r="D34" s="81" t="e">
        <f aca="false">#REF!</f>
        <v>#REF!</v>
      </c>
      <c r="E34" s="81" t="e">
        <f aca="false">#REF!</f>
        <v>#REF!</v>
      </c>
      <c r="F34" s="81" t="e">
        <f aca="false">#REF!</f>
        <v>#REF!</v>
      </c>
    </row>
    <row r="35" customFormat="false" ht="12.8" hidden="false" customHeight="false" outlineLevel="0" collapsed="false">
      <c r="A35" s="50" t="e">
        <f aca="false">_xlfn.CONCAT($A$1, ".", #REF!)</f>
        <v>#REF!</v>
      </c>
      <c r="B35" s="65" t="e">
        <f aca="false">_xlfn.CONCAT(#REF!, ":", #REF!)</f>
        <v>#REF!</v>
      </c>
      <c r="C35" s="81" t="e">
        <f aca="false">#REF!</f>
        <v>#REF!</v>
      </c>
      <c r="D35" s="81" t="e">
        <f aca="false">#REF!</f>
        <v>#REF!</v>
      </c>
      <c r="E35" s="81" t="e">
        <f aca="false">#REF!</f>
        <v>#REF!</v>
      </c>
      <c r="F35" s="81" t="e">
        <f aca="false">#REF!</f>
        <v>#REF!</v>
      </c>
    </row>
    <row r="36" customFormat="false" ht="12.8" hidden="false" customHeight="false" outlineLevel="0" collapsed="false">
      <c r="A36" s="50" t="e">
        <f aca="false">_xlfn.CONCAT($A$1, ".", #REF!)</f>
        <v>#REF!</v>
      </c>
      <c r="B36" s="65" t="e">
        <f aca="false">_xlfn.CONCAT(#REF!, ":", #REF!)</f>
        <v>#REF!</v>
      </c>
      <c r="C36" s="81" t="e">
        <f aca="false">#REF!</f>
        <v>#REF!</v>
      </c>
      <c r="D36" s="81" t="e">
        <f aca="false">#REF!</f>
        <v>#REF!</v>
      </c>
      <c r="E36" s="81" t="e">
        <f aca="false">#REF!</f>
        <v>#REF!</v>
      </c>
      <c r="F36" s="81" t="e">
        <f aca="false">#REF!</f>
        <v>#REF!</v>
      </c>
    </row>
    <row r="37" customFormat="false" ht="12.8" hidden="false" customHeight="false" outlineLevel="0" collapsed="false">
      <c r="A37" s="50" t="e">
        <f aca="false">_xlfn.CONCAT($A$1, ".", #REF!)</f>
        <v>#REF!</v>
      </c>
      <c r="B37" s="65" t="e">
        <f aca="false">_xlfn.CONCAT(#REF!, ":", #REF!)</f>
        <v>#REF!</v>
      </c>
      <c r="C37" s="81" t="e">
        <f aca="false">#REF!</f>
        <v>#REF!</v>
      </c>
      <c r="D37" s="81" t="e">
        <f aca="false">#REF!</f>
        <v>#REF!</v>
      </c>
      <c r="E37" s="81" t="e">
        <f aca="false">#REF!</f>
        <v>#REF!</v>
      </c>
      <c r="F37" s="81" t="e">
        <f aca="false">#REF!</f>
        <v>#REF!</v>
      </c>
    </row>
    <row r="38" customFormat="false" ht="12.8" hidden="false" customHeight="false" outlineLevel="0" collapsed="false">
      <c r="A38" s="50" t="e">
        <f aca="false">_xlfn.CONCAT($A$1, ".", #REF!)</f>
        <v>#REF!</v>
      </c>
      <c r="B38" s="65" t="e">
        <f aca="false">_xlfn.CONCAT(#REF!, ":", #REF!)</f>
        <v>#REF!</v>
      </c>
      <c r="C38" s="81" t="e">
        <f aca="false">#REF!</f>
        <v>#REF!</v>
      </c>
      <c r="D38" s="81" t="e">
        <f aca="false">#REF!</f>
        <v>#REF!</v>
      </c>
      <c r="E38" s="81" t="e">
        <f aca="false">#REF!</f>
        <v>#REF!</v>
      </c>
      <c r="F38" s="81" t="e">
        <f aca="false">#REF!</f>
        <v>#REF!</v>
      </c>
    </row>
    <row r="39" customFormat="false" ht="12.8" hidden="false" customHeight="false" outlineLevel="0" collapsed="false">
      <c r="A39" s="50" t="e">
        <f aca="false">_xlfn.CONCAT($A$1, ".", #REF!)</f>
        <v>#REF!</v>
      </c>
      <c r="B39" s="65" t="e">
        <f aca="false">_xlfn.CONCAT(#REF!, ":", #REF!)</f>
        <v>#REF!</v>
      </c>
      <c r="C39" s="81" t="e">
        <f aca="false">#REF!</f>
        <v>#REF!</v>
      </c>
      <c r="D39" s="81" t="e">
        <f aca="false">#REF!</f>
        <v>#REF!</v>
      </c>
      <c r="E39" s="81" t="e">
        <f aca="false">#REF!</f>
        <v>#REF!</v>
      </c>
      <c r="F39" s="81" t="e">
        <f aca="false">#REF!</f>
        <v>#REF!</v>
      </c>
    </row>
    <row r="40" customFormat="false" ht="12.8" hidden="false" customHeight="false" outlineLevel="0" collapsed="false">
      <c r="A40" s="50" t="e">
        <f aca="false">_xlfn.CONCAT($A$1, ".", #REF!)</f>
        <v>#REF!</v>
      </c>
      <c r="B40" s="65" t="e">
        <f aca="false">_xlfn.CONCAT(#REF!, ":", #REF!)</f>
        <v>#REF!</v>
      </c>
      <c r="C40" s="81" t="e">
        <f aca="false">#REF!</f>
        <v>#REF!</v>
      </c>
      <c r="D40" s="81" t="e">
        <f aca="false">#REF!</f>
        <v>#REF!</v>
      </c>
      <c r="E40" s="81" t="e">
        <f aca="false">#REF!</f>
        <v>#REF!</v>
      </c>
      <c r="F40" s="81" t="e">
        <f aca="false">#REF!</f>
        <v>#REF!</v>
      </c>
    </row>
    <row r="41" customFormat="false" ht="12.8" hidden="false" customHeight="false" outlineLevel="0" collapsed="false">
      <c r="A41" s="50" t="e">
        <f aca="false">_xlfn.CONCAT($A$1, ".", #REF!)</f>
        <v>#REF!</v>
      </c>
      <c r="B41" s="65" t="e">
        <f aca="false">_xlfn.CONCAT(#REF!, ":", #REF!)</f>
        <v>#REF!</v>
      </c>
      <c r="C41" s="81" t="e">
        <f aca="false">#REF!</f>
        <v>#REF!</v>
      </c>
      <c r="D41" s="81" t="e">
        <f aca="false">#REF!</f>
        <v>#REF!</v>
      </c>
      <c r="E41" s="81" t="e">
        <f aca="false">#REF!</f>
        <v>#REF!</v>
      </c>
      <c r="F41" s="81" t="e">
        <f aca="false">#REF!</f>
        <v>#REF!</v>
      </c>
    </row>
    <row r="42" customFormat="false" ht="12.8" hidden="false" customHeight="false" outlineLevel="0" collapsed="false">
      <c r="A42" s="50" t="e">
        <f aca="false">_xlfn.CONCAT($A$1, ".", #REF!)</f>
        <v>#REF!</v>
      </c>
      <c r="B42" s="65" t="e">
        <f aca="false">_xlfn.CONCAT(#REF!, ":", #REF!)</f>
        <v>#REF!</v>
      </c>
      <c r="C42" s="81" t="e">
        <f aca="false">#REF!</f>
        <v>#REF!</v>
      </c>
      <c r="D42" s="81" t="e">
        <f aca="false">#REF!</f>
        <v>#REF!</v>
      </c>
      <c r="E42" s="81" t="e">
        <f aca="false">#REF!</f>
        <v>#REF!</v>
      </c>
      <c r="F42" s="81" t="e">
        <f aca="false">#REF!</f>
        <v>#REF!</v>
      </c>
    </row>
    <row r="43" customFormat="false" ht="12.8" hidden="false" customHeight="false" outlineLevel="0" collapsed="false">
      <c r="A43" s="50" t="e">
        <f aca="false">_xlfn.CONCAT($A$1, ".", #REF!)</f>
        <v>#REF!</v>
      </c>
      <c r="B43" s="65" t="e">
        <f aca="false">_xlfn.CONCAT(#REF!, ":", #REF!)</f>
        <v>#REF!</v>
      </c>
      <c r="C43" s="81" t="e">
        <f aca="false">#REF!</f>
        <v>#REF!</v>
      </c>
      <c r="D43" s="81" t="e">
        <f aca="false">#REF!</f>
        <v>#REF!</v>
      </c>
      <c r="E43" s="81" t="e">
        <f aca="false">#REF!</f>
        <v>#REF!</v>
      </c>
      <c r="F43" s="81" t="e">
        <f aca="false">#REF!</f>
        <v>#REF!</v>
      </c>
    </row>
    <row r="44" customFormat="false" ht="12.8" hidden="false" customHeight="false" outlineLevel="0" collapsed="false">
      <c r="A44" s="50" t="e">
        <f aca="false">_xlfn.CONCAT($A$1, ".", #REF!)</f>
        <v>#REF!</v>
      </c>
      <c r="B44" s="65" t="e">
        <f aca="false">_xlfn.CONCAT(#REF!, ":", #REF!)</f>
        <v>#REF!</v>
      </c>
      <c r="C44" s="81" t="e">
        <f aca="false">#REF!</f>
        <v>#REF!</v>
      </c>
      <c r="D44" s="81" t="e">
        <f aca="false">#REF!</f>
        <v>#REF!</v>
      </c>
      <c r="E44" s="81" t="e">
        <f aca="false">#REF!</f>
        <v>#REF!</v>
      </c>
      <c r="F44" s="81" t="e">
        <f aca="false">#REF!</f>
        <v>#REF!</v>
      </c>
    </row>
    <row r="45" customFormat="false" ht="12.8" hidden="false" customHeight="false" outlineLevel="0" collapsed="false">
      <c r="A45" s="50" t="e">
        <f aca="false">_xlfn.CONCAT($A$1, ".", #REF!)</f>
        <v>#REF!</v>
      </c>
      <c r="B45" s="65" t="e">
        <f aca="false">_xlfn.CONCAT(#REF!, ":", #REF!)</f>
        <v>#REF!</v>
      </c>
      <c r="C45" s="81" t="e">
        <f aca="false">#REF!</f>
        <v>#REF!</v>
      </c>
      <c r="D45" s="81" t="e">
        <f aca="false">#REF!</f>
        <v>#REF!</v>
      </c>
      <c r="E45" s="81" t="e">
        <f aca="false">#REF!</f>
        <v>#REF!</v>
      </c>
      <c r="F45" s="81" t="e">
        <f aca="false">#REF!</f>
        <v>#REF!</v>
      </c>
    </row>
    <row r="46" customFormat="false" ht="12.8" hidden="false" customHeight="false" outlineLevel="0" collapsed="false">
      <c r="A46" s="50" t="e">
        <f aca="false">_xlfn.CONCAT($A$1, ".", #REF!)</f>
        <v>#REF!</v>
      </c>
      <c r="B46" s="65" t="e">
        <f aca="false">_xlfn.CONCAT(#REF!, ":", #REF!)</f>
        <v>#REF!</v>
      </c>
      <c r="C46" s="81" t="e">
        <f aca="false">#REF!</f>
        <v>#REF!</v>
      </c>
      <c r="D46" s="81" t="e">
        <f aca="false">#REF!</f>
        <v>#REF!</v>
      </c>
      <c r="E46" s="81" t="e">
        <f aca="false">#REF!</f>
        <v>#REF!</v>
      </c>
      <c r="F46" s="81" t="e">
        <f aca="false">#REF!</f>
        <v>#REF!</v>
      </c>
    </row>
    <row r="47" customFormat="false" ht="12.8" hidden="false" customHeight="false" outlineLevel="0" collapsed="false">
      <c r="A47" s="50" t="e">
        <f aca="false">_xlfn.CONCAT($A$1, ".", #REF!)</f>
        <v>#REF!</v>
      </c>
      <c r="B47" s="65" t="e">
        <f aca="false">_xlfn.CONCAT(#REF!, ":", #REF!)</f>
        <v>#REF!</v>
      </c>
      <c r="C47" s="81" t="e">
        <f aca="false">#REF!</f>
        <v>#REF!</v>
      </c>
      <c r="D47" s="81" t="e">
        <f aca="false">#REF!</f>
        <v>#REF!</v>
      </c>
      <c r="E47" s="81" t="e">
        <f aca="false">#REF!</f>
        <v>#REF!</v>
      </c>
      <c r="F47" s="81" t="e">
        <f aca="false">#REF!</f>
        <v>#REF!</v>
      </c>
    </row>
    <row r="48" customFormat="false" ht="12.8" hidden="false" customHeight="false" outlineLevel="0" collapsed="false">
      <c r="A48" s="50" t="e">
        <f aca="false">_xlfn.CONCAT($A$1, ".", #REF!)</f>
        <v>#REF!</v>
      </c>
      <c r="B48" s="65" t="e">
        <f aca="false">_xlfn.CONCAT(#REF!, ":", #REF!)</f>
        <v>#REF!</v>
      </c>
      <c r="C48" s="81" t="e">
        <f aca="false">#REF!</f>
        <v>#REF!</v>
      </c>
      <c r="D48" s="81" t="e">
        <f aca="false">#REF!</f>
        <v>#REF!</v>
      </c>
      <c r="E48" s="81" t="e">
        <f aca="false">#REF!</f>
        <v>#REF!</v>
      </c>
      <c r="F48" s="81" t="e">
        <f aca="false">#REF!</f>
        <v>#REF!</v>
      </c>
    </row>
    <row r="49" customFormat="false" ht="12.8" hidden="false" customHeight="false" outlineLevel="0" collapsed="false">
      <c r="A49" s="50" t="e">
        <f aca="false">_xlfn.CONCAT($A$1, ".", #REF!)</f>
        <v>#REF!</v>
      </c>
      <c r="B49" s="65" t="e">
        <f aca="false">_xlfn.CONCAT(#REF!, ":", #REF!)</f>
        <v>#REF!</v>
      </c>
      <c r="C49" s="81" t="e">
        <f aca="false">#REF!</f>
        <v>#REF!</v>
      </c>
      <c r="D49" s="81" t="e">
        <f aca="false">#REF!</f>
        <v>#REF!</v>
      </c>
      <c r="E49" s="81" t="e">
        <f aca="false">#REF!</f>
        <v>#REF!</v>
      </c>
      <c r="F49" s="81" t="e">
        <f aca="false">#REF!</f>
        <v>#REF!</v>
      </c>
    </row>
    <row r="50" customFormat="false" ht="12.8" hidden="false" customHeight="false" outlineLevel="0" collapsed="false">
      <c r="A50" s="50" t="e">
        <f aca="false">_xlfn.CONCAT($A$1, ".", #REF!)</f>
        <v>#REF!</v>
      </c>
      <c r="B50" s="65" t="e">
        <f aca="false">_xlfn.CONCAT(#REF!, ":", #REF!)</f>
        <v>#REF!</v>
      </c>
      <c r="C50" s="81" t="e">
        <f aca="false">#REF!</f>
        <v>#REF!</v>
      </c>
      <c r="D50" s="81" t="e">
        <f aca="false">#REF!</f>
        <v>#REF!</v>
      </c>
      <c r="E50" s="81" t="e">
        <f aca="false">#REF!</f>
        <v>#REF!</v>
      </c>
      <c r="F50" s="81" t="e">
        <f aca="false">#REF!</f>
        <v>#REF!</v>
      </c>
    </row>
    <row r="51" customFormat="false" ht="12.8" hidden="false" customHeight="false" outlineLevel="0" collapsed="false">
      <c r="A51" s="50" t="e">
        <f aca="false">_xlfn.CONCAT($A$1, ".", #REF!)</f>
        <v>#REF!</v>
      </c>
      <c r="B51" s="65" t="e">
        <f aca="false">_xlfn.CONCAT(#REF!, ":", #REF!)</f>
        <v>#REF!</v>
      </c>
      <c r="C51" s="81" t="e">
        <f aca="false">#REF!</f>
        <v>#REF!</v>
      </c>
      <c r="D51" s="81" t="e">
        <f aca="false">#REF!</f>
        <v>#REF!</v>
      </c>
      <c r="E51" s="81" t="e">
        <f aca="false">#REF!</f>
        <v>#REF!</v>
      </c>
      <c r="F51" s="81" t="e">
        <f aca="false">#REF!</f>
        <v>#REF!</v>
      </c>
    </row>
    <row r="52" customFormat="false" ht="12.8" hidden="false" customHeight="false" outlineLevel="0" collapsed="false">
      <c r="A52" s="50" t="e">
        <f aca="false">_xlfn.CONCAT($A$1, ".", #REF!)</f>
        <v>#REF!</v>
      </c>
      <c r="B52" s="65" t="e">
        <f aca="false">_xlfn.CONCAT(#REF!, ":", #REF!)</f>
        <v>#REF!</v>
      </c>
      <c r="C52" s="81" t="e">
        <f aca="false">#REF!</f>
        <v>#REF!</v>
      </c>
      <c r="D52" s="81" t="e">
        <f aca="false">#REF!</f>
        <v>#REF!</v>
      </c>
      <c r="E52" s="81" t="e">
        <f aca="false">#REF!</f>
        <v>#REF!</v>
      </c>
      <c r="F52" s="81" t="e">
        <f aca="false">#REF!</f>
        <v>#REF!</v>
      </c>
    </row>
    <row r="53" customFormat="false" ht="12.8" hidden="false" customHeight="false" outlineLevel="0" collapsed="false">
      <c r="A53" s="50" t="e">
        <f aca="false">_xlfn.CONCAT($A$1, ".", #REF!)</f>
        <v>#REF!</v>
      </c>
      <c r="B53" s="65" t="e">
        <f aca="false">_xlfn.CONCAT(#REF!, ":", #REF!)</f>
        <v>#REF!</v>
      </c>
      <c r="C53" s="81" t="e">
        <f aca="false">#REF!</f>
        <v>#REF!</v>
      </c>
      <c r="D53" s="81" t="e">
        <f aca="false">#REF!</f>
        <v>#REF!</v>
      </c>
      <c r="E53" s="81" t="e">
        <f aca="false">#REF!</f>
        <v>#REF!</v>
      </c>
      <c r="F53" s="81" t="e">
        <f aca="false">#REF!</f>
        <v>#REF!</v>
      </c>
    </row>
    <row r="54" customFormat="false" ht="12.8" hidden="false" customHeight="false" outlineLevel="0" collapsed="false">
      <c r="A54" s="50" t="e">
        <f aca="false">_xlfn.CONCAT($A$1, ".", #REF!)</f>
        <v>#REF!</v>
      </c>
      <c r="B54" s="65" t="e">
        <f aca="false">_xlfn.CONCAT(#REF!, ":", #REF!)</f>
        <v>#REF!</v>
      </c>
      <c r="C54" s="81" t="e">
        <f aca="false">#REF!</f>
        <v>#REF!</v>
      </c>
      <c r="D54" s="81" t="e">
        <f aca="false">#REF!</f>
        <v>#REF!</v>
      </c>
      <c r="E54" s="81" t="e">
        <f aca="false">#REF!</f>
        <v>#REF!</v>
      </c>
      <c r="F54" s="81" t="e">
        <f aca="false">#REF!</f>
        <v>#REF!</v>
      </c>
    </row>
    <row r="55" customFormat="false" ht="12.8" hidden="false" customHeight="false" outlineLevel="0" collapsed="false">
      <c r="A55" s="50" t="e">
        <f aca="false">_xlfn.CONCAT($A$1, ".", #REF!)</f>
        <v>#REF!</v>
      </c>
      <c r="B55" s="65" t="e">
        <f aca="false">_xlfn.CONCAT(#REF!, ":", #REF!)</f>
        <v>#REF!</v>
      </c>
      <c r="C55" s="81" t="e">
        <f aca="false">#REF!</f>
        <v>#REF!</v>
      </c>
      <c r="D55" s="81" t="e">
        <f aca="false">#REF!</f>
        <v>#REF!</v>
      </c>
      <c r="E55" s="81" t="e">
        <f aca="false">#REF!</f>
        <v>#REF!</v>
      </c>
      <c r="F55" s="81"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75" zoomScaleNormal="75" zoomScalePageLayoutView="100" workbookViewId="0">
      <selection pane="topLeft" activeCell="E155" activeCellId="1" sqref="D3:E3 E1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7"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1499</v>
      </c>
      <c r="B1" s="78" t="s">
        <v>1504</v>
      </c>
      <c r="C1" s="6" t="s">
        <v>2</v>
      </c>
      <c r="D1" s="39" t="s">
        <v>1505</v>
      </c>
      <c r="AZ1" s="39"/>
      <c r="BP1" s="39"/>
    </row>
    <row r="2" customFormat="false" ht="46.25" hidden="false" customHeight="false" outlineLevel="0" collapsed="false">
      <c r="A2" s="79" t="s">
        <v>1473</v>
      </c>
      <c r="B2" s="80" t="s">
        <v>1474</v>
      </c>
      <c r="C2" s="68" t="str">
        <f aca="false">CALC!BZ3</f>
        <v>Full-Time Employment Rate</v>
      </c>
      <c r="D2" s="68" t="str">
        <f aca="false">CALC!CA3</f>
        <v>Authorized Immigrant Full-Time Employment Rate</v>
      </c>
      <c r="E2" s="68" t="str">
        <f aca="false">CALC!CB3</f>
        <v>Unauthorized Immigrant Full-Time Employment Rate</v>
      </c>
      <c r="F2" s="68" t="str">
        <f aca="false">CALC!CC3</f>
        <v>American Full-Time Employment Rate</v>
      </c>
    </row>
    <row r="3" customFormat="false" ht="12.8" hidden="false" customHeight="false" outlineLevel="0" collapsed="false">
      <c r="A3" s="50" t="e">
        <f aca="false">_xlfn.CONCAT($A$1, ".", #REF!)</f>
        <v>#REF!</v>
      </c>
      <c r="B3" s="65" t="e">
        <f aca="false">_xlfn.CONCAT(#REF!, ":", #REF!)</f>
        <v>#REF!</v>
      </c>
      <c r="C3" s="68" t="e">
        <f aca="false">#REF!</f>
        <v>#REF!</v>
      </c>
      <c r="D3" s="68" t="e">
        <f aca="false">#REF!</f>
        <v>#REF!</v>
      </c>
      <c r="E3" s="68" t="e">
        <f aca="false">#REF!</f>
        <v>#REF!</v>
      </c>
      <c r="F3" s="68" t="e">
        <f aca="false">#REF!</f>
        <v>#REF!</v>
      </c>
    </row>
    <row r="4" customFormat="false" ht="12.8" hidden="false" customHeight="false" outlineLevel="0" collapsed="false">
      <c r="A4" s="50" t="e">
        <f aca="false">_xlfn.CONCAT($A$1, ".", #REF!)</f>
        <v>#REF!</v>
      </c>
      <c r="B4" s="65" t="e">
        <f aca="false">_xlfn.CONCAT(#REF!, ":", #REF!)</f>
        <v>#REF!</v>
      </c>
      <c r="C4" s="68" t="e">
        <f aca="false">#REF!</f>
        <v>#REF!</v>
      </c>
      <c r="D4" s="68" t="e">
        <f aca="false">#REF!</f>
        <v>#REF!</v>
      </c>
      <c r="E4" s="68" t="e">
        <f aca="false">#REF!</f>
        <v>#REF!</v>
      </c>
      <c r="F4" s="68" t="e">
        <f aca="false">#REF!</f>
        <v>#REF!</v>
      </c>
    </row>
    <row r="5" customFormat="false" ht="12.8" hidden="false" customHeight="false" outlineLevel="0" collapsed="false">
      <c r="A5" s="50" t="e">
        <f aca="false">_xlfn.CONCAT($A$1, ".", #REF!)</f>
        <v>#REF!</v>
      </c>
      <c r="B5" s="65" t="e">
        <f aca="false">_xlfn.CONCAT(#REF!, ":", #REF!)</f>
        <v>#REF!</v>
      </c>
      <c r="C5" s="68" t="e">
        <f aca="false">#REF!</f>
        <v>#REF!</v>
      </c>
      <c r="D5" s="68" t="e">
        <f aca="false">#REF!</f>
        <v>#REF!</v>
      </c>
      <c r="E5" s="68" t="e">
        <f aca="false">#REF!</f>
        <v>#REF!</v>
      </c>
      <c r="F5" s="68" t="e">
        <f aca="false">#REF!</f>
        <v>#REF!</v>
      </c>
    </row>
    <row r="6" customFormat="false" ht="12.8" hidden="false" customHeight="false" outlineLevel="0" collapsed="false">
      <c r="A6" s="50" t="e">
        <f aca="false">_xlfn.CONCAT($A$1, ".", #REF!)</f>
        <v>#REF!</v>
      </c>
      <c r="B6" s="65" t="e">
        <f aca="false">_xlfn.CONCAT(#REF!, ":", #REF!)</f>
        <v>#REF!</v>
      </c>
      <c r="C6" s="68" t="e">
        <f aca="false">#REF!</f>
        <v>#REF!</v>
      </c>
      <c r="D6" s="68" t="e">
        <f aca="false">#REF!</f>
        <v>#REF!</v>
      </c>
      <c r="E6" s="68" t="e">
        <f aca="false">#REF!</f>
        <v>#REF!</v>
      </c>
      <c r="F6" s="68" t="e">
        <f aca="false">#REF!</f>
        <v>#REF!</v>
      </c>
    </row>
    <row r="7" customFormat="false" ht="12.8" hidden="false" customHeight="false" outlineLevel="0" collapsed="false">
      <c r="A7" s="50" t="e">
        <f aca="false">_xlfn.CONCAT($A$1, ".", #REF!)</f>
        <v>#REF!</v>
      </c>
      <c r="B7" s="65" t="e">
        <f aca="false">_xlfn.CONCAT(#REF!, ":", #REF!)</f>
        <v>#REF!</v>
      </c>
      <c r="C7" s="68" t="e">
        <f aca="false">#REF!</f>
        <v>#REF!</v>
      </c>
      <c r="D7" s="68" t="e">
        <f aca="false">#REF!</f>
        <v>#REF!</v>
      </c>
      <c r="E7" s="68" t="e">
        <f aca="false">#REF!</f>
        <v>#REF!</v>
      </c>
      <c r="F7" s="68" t="e">
        <f aca="false">#REF!</f>
        <v>#REF!</v>
      </c>
    </row>
    <row r="8" customFormat="false" ht="12.8" hidden="false" customHeight="false" outlineLevel="0" collapsed="false">
      <c r="A8" s="50" t="e">
        <f aca="false">_xlfn.CONCAT($A$1, ".", #REF!)</f>
        <v>#REF!</v>
      </c>
      <c r="B8" s="65" t="e">
        <f aca="false">_xlfn.CONCAT(#REF!, ":", #REF!)</f>
        <v>#REF!</v>
      </c>
      <c r="C8" s="68" t="e">
        <f aca="false">#REF!</f>
        <v>#REF!</v>
      </c>
      <c r="D8" s="68" t="e">
        <f aca="false">#REF!</f>
        <v>#REF!</v>
      </c>
      <c r="E8" s="68" t="e">
        <f aca="false">#REF!</f>
        <v>#REF!</v>
      </c>
      <c r="F8" s="68" t="e">
        <f aca="false">#REF!</f>
        <v>#REF!</v>
      </c>
    </row>
    <row r="9" customFormat="false" ht="12.8" hidden="false" customHeight="false" outlineLevel="0" collapsed="false">
      <c r="A9" s="50" t="e">
        <f aca="false">_xlfn.CONCAT($A$1, ".", #REF!)</f>
        <v>#REF!</v>
      </c>
      <c r="B9" s="65" t="e">
        <f aca="false">_xlfn.CONCAT(#REF!, ":", #REF!)</f>
        <v>#REF!</v>
      </c>
      <c r="C9" s="68" t="e">
        <f aca="false">#REF!</f>
        <v>#REF!</v>
      </c>
      <c r="D9" s="68" t="e">
        <f aca="false">#REF!</f>
        <v>#REF!</v>
      </c>
      <c r="E9" s="68" t="e">
        <f aca="false">#REF!</f>
        <v>#REF!</v>
      </c>
      <c r="F9" s="68" t="e">
        <f aca="false">#REF!</f>
        <v>#REF!</v>
      </c>
    </row>
    <row r="10" customFormat="false" ht="12.8" hidden="false" customHeight="false" outlineLevel="0" collapsed="false">
      <c r="A10" s="50" t="e">
        <f aca="false">_xlfn.CONCAT($A$1, ".", #REF!)</f>
        <v>#REF!</v>
      </c>
      <c r="B10" s="65" t="e">
        <f aca="false">_xlfn.CONCAT(#REF!, ":", #REF!)</f>
        <v>#REF!</v>
      </c>
      <c r="C10" s="68" t="e">
        <f aca="false">#REF!</f>
        <v>#REF!</v>
      </c>
      <c r="D10" s="68" t="e">
        <f aca="false">#REF!</f>
        <v>#REF!</v>
      </c>
      <c r="E10" s="68" t="e">
        <f aca="false">#REF!</f>
        <v>#REF!</v>
      </c>
      <c r="F10" s="68" t="e">
        <f aca="false">#REF!</f>
        <v>#REF!</v>
      </c>
    </row>
    <row r="11" customFormat="false" ht="12.8" hidden="false" customHeight="false" outlineLevel="0" collapsed="false">
      <c r="A11" s="50" t="e">
        <f aca="false">_xlfn.CONCAT($A$1, ".", #REF!)</f>
        <v>#REF!</v>
      </c>
      <c r="B11" s="65" t="e">
        <f aca="false">_xlfn.CONCAT(#REF!, ":", #REF!)</f>
        <v>#REF!</v>
      </c>
      <c r="C11" s="68" t="e">
        <f aca="false">#REF!</f>
        <v>#REF!</v>
      </c>
      <c r="D11" s="68" t="e">
        <f aca="false">#REF!</f>
        <v>#REF!</v>
      </c>
      <c r="E11" s="68" t="e">
        <f aca="false">#REF!</f>
        <v>#REF!</v>
      </c>
      <c r="F11" s="68" t="e">
        <f aca="false">#REF!</f>
        <v>#REF!</v>
      </c>
    </row>
    <row r="12" customFormat="false" ht="12.8" hidden="false" customHeight="false" outlineLevel="0" collapsed="false">
      <c r="A12" s="50" t="e">
        <f aca="false">_xlfn.CONCAT($A$1, ".", #REF!)</f>
        <v>#REF!</v>
      </c>
      <c r="B12" s="65" t="e">
        <f aca="false">_xlfn.CONCAT(#REF!, ":", #REF!)</f>
        <v>#REF!</v>
      </c>
      <c r="C12" s="68" t="e">
        <f aca="false">#REF!</f>
        <v>#REF!</v>
      </c>
      <c r="D12" s="68" t="e">
        <f aca="false">#REF!</f>
        <v>#REF!</v>
      </c>
      <c r="E12" s="68" t="e">
        <f aca="false">#REF!</f>
        <v>#REF!</v>
      </c>
      <c r="F12" s="68" t="e">
        <f aca="false">#REF!</f>
        <v>#REF!</v>
      </c>
    </row>
    <row r="13" customFormat="false" ht="12.8" hidden="false" customHeight="false" outlineLevel="0" collapsed="false">
      <c r="A13" s="50" t="e">
        <f aca="false">_xlfn.CONCAT($A$1, ".", #REF!)</f>
        <v>#REF!</v>
      </c>
      <c r="B13" s="65" t="e">
        <f aca="false">_xlfn.CONCAT(#REF!, ":", #REF!)</f>
        <v>#REF!</v>
      </c>
      <c r="C13" s="68" t="e">
        <f aca="false">#REF!</f>
        <v>#REF!</v>
      </c>
      <c r="D13" s="68" t="e">
        <f aca="false">#REF!</f>
        <v>#REF!</v>
      </c>
      <c r="E13" s="68" t="e">
        <f aca="false">#REF!</f>
        <v>#REF!</v>
      </c>
      <c r="F13" s="68" t="e">
        <f aca="false">#REF!</f>
        <v>#REF!</v>
      </c>
    </row>
    <row r="14" customFormat="false" ht="12.8" hidden="false" customHeight="false" outlineLevel="0" collapsed="false">
      <c r="A14" s="50" t="e">
        <f aca="false">_xlfn.CONCAT($A$1, ".", #REF!)</f>
        <v>#REF!</v>
      </c>
      <c r="B14" s="65" t="e">
        <f aca="false">_xlfn.CONCAT(#REF!, ":", #REF!)</f>
        <v>#REF!</v>
      </c>
      <c r="C14" s="68" t="e">
        <f aca="false">#REF!</f>
        <v>#REF!</v>
      </c>
      <c r="D14" s="68" t="e">
        <f aca="false">#REF!</f>
        <v>#REF!</v>
      </c>
      <c r="E14" s="68" t="e">
        <f aca="false">#REF!</f>
        <v>#REF!</v>
      </c>
      <c r="F14" s="68" t="e">
        <f aca="false">#REF!</f>
        <v>#REF!</v>
      </c>
    </row>
    <row r="15" customFormat="false" ht="12.8" hidden="false" customHeight="false" outlineLevel="0" collapsed="false">
      <c r="A15" s="50" t="e">
        <f aca="false">_xlfn.CONCAT($A$1, ".", #REF!)</f>
        <v>#REF!</v>
      </c>
      <c r="B15" s="65" t="e">
        <f aca="false">_xlfn.CONCAT(#REF!, ":", #REF!)</f>
        <v>#REF!</v>
      </c>
      <c r="C15" s="68" t="e">
        <f aca="false">#REF!</f>
        <v>#REF!</v>
      </c>
      <c r="D15" s="68" t="e">
        <f aca="false">#REF!</f>
        <v>#REF!</v>
      </c>
      <c r="E15" s="68" t="e">
        <f aca="false">#REF!</f>
        <v>#REF!</v>
      </c>
      <c r="F15" s="68" t="e">
        <f aca="false">#REF!</f>
        <v>#REF!</v>
      </c>
    </row>
    <row r="16" customFormat="false" ht="12.8" hidden="false" customHeight="false" outlineLevel="0" collapsed="false">
      <c r="A16" s="50" t="e">
        <f aca="false">_xlfn.CONCAT($A$1, ".", #REF!)</f>
        <v>#REF!</v>
      </c>
      <c r="B16" s="65" t="e">
        <f aca="false">_xlfn.CONCAT(#REF!, ":", #REF!)</f>
        <v>#REF!</v>
      </c>
      <c r="C16" s="68" t="e">
        <f aca="false">#REF!</f>
        <v>#REF!</v>
      </c>
      <c r="D16" s="68" t="e">
        <f aca="false">#REF!</f>
        <v>#REF!</v>
      </c>
      <c r="E16" s="68" t="e">
        <f aca="false">#REF!</f>
        <v>#REF!</v>
      </c>
      <c r="F16" s="68" t="e">
        <f aca="false">#REF!</f>
        <v>#REF!</v>
      </c>
    </row>
    <row r="17" customFormat="false" ht="12.8" hidden="false" customHeight="false" outlineLevel="0" collapsed="false">
      <c r="A17" s="50" t="e">
        <f aca="false">_xlfn.CONCAT($A$1, ".", #REF!)</f>
        <v>#REF!</v>
      </c>
      <c r="B17" s="65" t="e">
        <f aca="false">_xlfn.CONCAT(#REF!, ":", #REF!)</f>
        <v>#REF!</v>
      </c>
      <c r="C17" s="68" t="e">
        <f aca="false">#REF!</f>
        <v>#REF!</v>
      </c>
      <c r="D17" s="68" t="e">
        <f aca="false">#REF!</f>
        <v>#REF!</v>
      </c>
      <c r="E17" s="68" t="e">
        <f aca="false">#REF!</f>
        <v>#REF!</v>
      </c>
      <c r="F17" s="68" t="e">
        <f aca="false">#REF!</f>
        <v>#REF!</v>
      </c>
    </row>
    <row r="18" customFormat="false" ht="12.8" hidden="false" customHeight="false" outlineLevel="0" collapsed="false">
      <c r="A18" s="50" t="e">
        <f aca="false">_xlfn.CONCAT($A$1, ".", #REF!)</f>
        <v>#REF!</v>
      </c>
      <c r="B18" s="65" t="e">
        <f aca="false">_xlfn.CONCAT(#REF!, ":", #REF!)</f>
        <v>#REF!</v>
      </c>
      <c r="C18" s="68" t="e">
        <f aca="false">#REF!</f>
        <v>#REF!</v>
      </c>
      <c r="D18" s="68" t="e">
        <f aca="false">#REF!</f>
        <v>#REF!</v>
      </c>
      <c r="E18" s="68" t="e">
        <f aca="false">#REF!</f>
        <v>#REF!</v>
      </c>
      <c r="F18" s="68" t="e">
        <f aca="false">#REF!</f>
        <v>#REF!</v>
      </c>
    </row>
    <row r="19" customFormat="false" ht="12.8" hidden="false" customHeight="false" outlineLevel="0" collapsed="false">
      <c r="A19" s="50" t="e">
        <f aca="false">_xlfn.CONCAT($A$1, ".", #REF!)</f>
        <v>#REF!</v>
      </c>
      <c r="B19" s="65" t="e">
        <f aca="false">_xlfn.CONCAT(#REF!, ":", #REF!)</f>
        <v>#REF!</v>
      </c>
      <c r="C19" s="68" t="e">
        <f aca="false">#REF!</f>
        <v>#REF!</v>
      </c>
      <c r="D19" s="68" t="e">
        <f aca="false">#REF!</f>
        <v>#REF!</v>
      </c>
      <c r="E19" s="68" t="e">
        <f aca="false">#REF!</f>
        <v>#REF!</v>
      </c>
      <c r="F19" s="68" t="e">
        <f aca="false">#REF!</f>
        <v>#REF!</v>
      </c>
    </row>
    <row r="20" customFormat="false" ht="12.8" hidden="false" customHeight="false" outlineLevel="0" collapsed="false">
      <c r="A20" s="50" t="e">
        <f aca="false">_xlfn.CONCAT($A$1, ".", #REF!)</f>
        <v>#REF!</v>
      </c>
      <c r="B20" s="65" t="e">
        <f aca="false">_xlfn.CONCAT(#REF!, ":", #REF!)</f>
        <v>#REF!</v>
      </c>
      <c r="C20" s="68" t="e">
        <f aca="false">#REF!</f>
        <v>#REF!</v>
      </c>
      <c r="D20" s="68" t="e">
        <f aca="false">#REF!</f>
        <v>#REF!</v>
      </c>
      <c r="E20" s="68" t="e">
        <f aca="false">#REF!</f>
        <v>#REF!</v>
      </c>
      <c r="F20" s="68" t="e">
        <f aca="false">#REF!</f>
        <v>#REF!</v>
      </c>
    </row>
    <row r="21" customFormat="false" ht="12.8" hidden="false" customHeight="false" outlineLevel="0" collapsed="false">
      <c r="A21" s="50" t="e">
        <f aca="false">_xlfn.CONCAT($A$1, ".", #REF!)</f>
        <v>#REF!</v>
      </c>
      <c r="B21" s="65" t="e">
        <f aca="false">_xlfn.CONCAT(#REF!, ":", #REF!)</f>
        <v>#REF!</v>
      </c>
      <c r="C21" s="68" t="e">
        <f aca="false">#REF!</f>
        <v>#REF!</v>
      </c>
      <c r="D21" s="68" t="e">
        <f aca="false">#REF!</f>
        <v>#REF!</v>
      </c>
      <c r="E21" s="68" t="e">
        <f aca="false">#REF!</f>
        <v>#REF!</v>
      </c>
      <c r="F21" s="68" t="e">
        <f aca="false">#REF!</f>
        <v>#REF!</v>
      </c>
    </row>
    <row r="22" customFormat="false" ht="12.8" hidden="false" customHeight="false" outlineLevel="0" collapsed="false">
      <c r="A22" s="50" t="e">
        <f aca="false">_xlfn.CONCAT($A$1, ".", #REF!)</f>
        <v>#REF!</v>
      </c>
      <c r="B22" s="65" t="e">
        <f aca="false">_xlfn.CONCAT(#REF!, ":", #REF!)</f>
        <v>#REF!</v>
      </c>
      <c r="C22" s="68" t="e">
        <f aca="false">#REF!</f>
        <v>#REF!</v>
      </c>
      <c r="D22" s="68" t="e">
        <f aca="false">#REF!</f>
        <v>#REF!</v>
      </c>
      <c r="E22" s="68" t="e">
        <f aca="false">#REF!</f>
        <v>#REF!</v>
      </c>
      <c r="F22" s="68" t="e">
        <f aca="false">#REF!</f>
        <v>#REF!</v>
      </c>
    </row>
    <row r="23" customFormat="false" ht="12.8" hidden="false" customHeight="false" outlineLevel="0" collapsed="false">
      <c r="A23" s="50" t="e">
        <f aca="false">_xlfn.CONCAT($A$1, ".", #REF!)</f>
        <v>#REF!</v>
      </c>
      <c r="B23" s="65" t="e">
        <f aca="false">_xlfn.CONCAT(#REF!, ":", #REF!)</f>
        <v>#REF!</v>
      </c>
      <c r="C23" s="68" t="e">
        <f aca="false">#REF!</f>
        <v>#REF!</v>
      </c>
      <c r="D23" s="68" t="e">
        <f aca="false">#REF!</f>
        <v>#REF!</v>
      </c>
      <c r="E23" s="68" t="e">
        <f aca="false">#REF!</f>
        <v>#REF!</v>
      </c>
      <c r="F23" s="68" t="e">
        <f aca="false">#REF!</f>
        <v>#REF!</v>
      </c>
    </row>
    <row r="24" customFormat="false" ht="12.8" hidden="false" customHeight="false" outlineLevel="0" collapsed="false">
      <c r="A24" s="50" t="e">
        <f aca="false">_xlfn.CONCAT($A$1, ".", #REF!)</f>
        <v>#REF!</v>
      </c>
      <c r="B24" s="65" t="e">
        <f aca="false">_xlfn.CONCAT(#REF!, ":", #REF!)</f>
        <v>#REF!</v>
      </c>
      <c r="C24" s="68" t="e">
        <f aca="false">#REF!</f>
        <v>#REF!</v>
      </c>
      <c r="D24" s="68" t="e">
        <f aca="false">#REF!</f>
        <v>#REF!</v>
      </c>
      <c r="E24" s="68" t="e">
        <f aca="false">#REF!</f>
        <v>#REF!</v>
      </c>
      <c r="F24" s="68" t="e">
        <f aca="false">#REF!</f>
        <v>#REF!</v>
      </c>
    </row>
    <row r="25" customFormat="false" ht="12.8" hidden="false" customHeight="false" outlineLevel="0" collapsed="false">
      <c r="A25" s="50" t="e">
        <f aca="false">_xlfn.CONCAT($A$1, ".", #REF!)</f>
        <v>#REF!</v>
      </c>
      <c r="B25" s="65" t="e">
        <f aca="false">_xlfn.CONCAT(#REF!, ":", #REF!)</f>
        <v>#REF!</v>
      </c>
      <c r="C25" s="68" t="e">
        <f aca="false">#REF!</f>
        <v>#REF!</v>
      </c>
      <c r="D25" s="68" t="e">
        <f aca="false">#REF!</f>
        <v>#REF!</v>
      </c>
      <c r="E25" s="68" t="e">
        <f aca="false">#REF!</f>
        <v>#REF!</v>
      </c>
      <c r="F25" s="68" t="e">
        <f aca="false">#REF!</f>
        <v>#REF!</v>
      </c>
    </row>
    <row r="26" customFormat="false" ht="12.8" hidden="false" customHeight="false" outlineLevel="0" collapsed="false">
      <c r="A26" s="50" t="e">
        <f aca="false">_xlfn.CONCAT($A$1, ".", #REF!)</f>
        <v>#REF!</v>
      </c>
      <c r="B26" s="65" t="e">
        <f aca="false">_xlfn.CONCAT(#REF!, ":", #REF!)</f>
        <v>#REF!</v>
      </c>
      <c r="C26" s="68" t="e">
        <f aca="false">#REF!</f>
        <v>#REF!</v>
      </c>
      <c r="D26" s="68" t="e">
        <f aca="false">#REF!</f>
        <v>#REF!</v>
      </c>
      <c r="E26" s="68" t="e">
        <f aca="false">#REF!</f>
        <v>#REF!</v>
      </c>
      <c r="F26" s="68" t="e">
        <f aca="false">#REF!</f>
        <v>#REF!</v>
      </c>
    </row>
    <row r="27" customFormat="false" ht="12.8" hidden="false" customHeight="false" outlineLevel="0" collapsed="false">
      <c r="A27" s="50" t="e">
        <f aca="false">_xlfn.CONCAT($A$1, ".", #REF!)</f>
        <v>#REF!</v>
      </c>
      <c r="B27" s="65" t="e">
        <f aca="false">_xlfn.CONCAT(#REF!, ":", #REF!)</f>
        <v>#REF!</v>
      </c>
      <c r="C27" s="68" t="e">
        <f aca="false">#REF!</f>
        <v>#REF!</v>
      </c>
      <c r="D27" s="68" t="e">
        <f aca="false">#REF!</f>
        <v>#REF!</v>
      </c>
      <c r="E27" s="68" t="e">
        <f aca="false">#REF!</f>
        <v>#REF!</v>
      </c>
      <c r="F27" s="68" t="e">
        <f aca="false">#REF!</f>
        <v>#REF!</v>
      </c>
    </row>
    <row r="28" customFormat="false" ht="12.8" hidden="false" customHeight="false" outlineLevel="0" collapsed="false">
      <c r="A28" s="50" t="e">
        <f aca="false">_xlfn.CONCAT($A$1, ".", #REF!)</f>
        <v>#REF!</v>
      </c>
      <c r="B28" s="65" t="e">
        <f aca="false">_xlfn.CONCAT(#REF!, ":", #REF!)</f>
        <v>#REF!</v>
      </c>
      <c r="C28" s="68" t="e">
        <f aca="false">#REF!</f>
        <v>#REF!</v>
      </c>
      <c r="D28" s="68" t="e">
        <f aca="false">#REF!</f>
        <v>#REF!</v>
      </c>
      <c r="E28" s="68" t="e">
        <f aca="false">#REF!</f>
        <v>#REF!</v>
      </c>
      <c r="F28" s="68" t="e">
        <f aca="false">#REF!</f>
        <v>#REF!</v>
      </c>
    </row>
    <row r="29" customFormat="false" ht="12.8" hidden="false" customHeight="false" outlineLevel="0" collapsed="false">
      <c r="A29" s="50" t="e">
        <f aca="false">_xlfn.CONCAT($A$1, ".", #REF!)</f>
        <v>#REF!</v>
      </c>
      <c r="B29" s="65" t="e">
        <f aca="false">_xlfn.CONCAT(#REF!, ":", #REF!)</f>
        <v>#REF!</v>
      </c>
      <c r="C29" s="68" t="e">
        <f aca="false">#REF!</f>
        <v>#REF!</v>
      </c>
      <c r="D29" s="68" t="e">
        <f aca="false">#REF!</f>
        <v>#REF!</v>
      </c>
      <c r="E29" s="68" t="e">
        <f aca="false">#REF!</f>
        <v>#REF!</v>
      </c>
      <c r="F29" s="68" t="e">
        <f aca="false">#REF!</f>
        <v>#REF!</v>
      </c>
    </row>
    <row r="30" customFormat="false" ht="12.8" hidden="false" customHeight="false" outlineLevel="0" collapsed="false">
      <c r="A30" s="50" t="e">
        <f aca="false">_xlfn.CONCAT($A$1, ".", #REF!)</f>
        <v>#REF!</v>
      </c>
      <c r="B30" s="65" t="e">
        <f aca="false">_xlfn.CONCAT(#REF!, ":", #REF!)</f>
        <v>#REF!</v>
      </c>
      <c r="C30" s="68" t="e">
        <f aca="false">#REF!</f>
        <v>#REF!</v>
      </c>
      <c r="D30" s="68" t="e">
        <f aca="false">#REF!</f>
        <v>#REF!</v>
      </c>
      <c r="E30" s="68" t="e">
        <f aca="false">#REF!</f>
        <v>#REF!</v>
      </c>
      <c r="F30" s="68" t="e">
        <f aca="false">#REF!</f>
        <v>#REF!</v>
      </c>
    </row>
    <row r="31" customFormat="false" ht="12.8" hidden="false" customHeight="false" outlineLevel="0" collapsed="false">
      <c r="A31" s="50" t="e">
        <f aca="false">_xlfn.CONCAT($A$1, ".", #REF!)</f>
        <v>#REF!</v>
      </c>
      <c r="B31" s="65" t="e">
        <f aca="false">_xlfn.CONCAT(#REF!, ":", #REF!)</f>
        <v>#REF!</v>
      </c>
      <c r="C31" s="68" t="e">
        <f aca="false">#REF!</f>
        <v>#REF!</v>
      </c>
      <c r="D31" s="68" t="e">
        <f aca="false">#REF!</f>
        <v>#REF!</v>
      </c>
      <c r="E31" s="68" t="e">
        <f aca="false">#REF!</f>
        <v>#REF!</v>
      </c>
      <c r="F31" s="68" t="e">
        <f aca="false">#REF!</f>
        <v>#REF!</v>
      </c>
    </row>
    <row r="32" customFormat="false" ht="12.8" hidden="false" customHeight="false" outlineLevel="0" collapsed="false">
      <c r="A32" s="50" t="e">
        <f aca="false">_xlfn.CONCAT($A$1, ".", #REF!)</f>
        <v>#REF!</v>
      </c>
      <c r="B32" s="65" t="e">
        <f aca="false">_xlfn.CONCAT(#REF!, ":", #REF!)</f>
        <v>#REF!</v>
      </c>
      <c r="C32" s="68" t="e">
        <f aca="false">#REF!</f>
        <v>#REF!</v>
      </c>
      <c r="D32" s="68" t="e">
        <f aca="false">#REF!</f>
        <v>#REF!</v>
      </c>
      <c r="E32" s="68" t="e">
        <f aca="false">#REF!</f>
        <v>#REF!</v>
      </c>
      <c r="F32" s="68" t="e">
        <f aca="false">#REF!</f>
        <v>#REF!</v>
      </c>
    </row>
    <row r="33" customFormat="false" ht="12.8" hidden="false" customHeight="false" outlineLevel="0" collapsed="false">
      <c r="A33" s="50" t="e">
        <f aca="false">_xlfn.CONCAT($A$1, ".", #REF!)</f>
        <v>#REF!</v>
      </c>
      <c r="B33" s="65" t="e">
        <f aca="false">_xlfn.CONCAT(#REF!, ":", #REF!)</f>
        <v>#REF!</v>
      </c>
      <c r="C33" s="68" t="e">
        <f aca="false">#REF!</f>
        <v>#REF!</v>
      </c>
      <c r="D33" s="68" t="e">
        <f aca="false">#REF!</f>
        <v>#REF!</v>
      </c>
      <c r="E33" s="68" t="e">
        <f aca="false">#REF!</f>
        <v>#REF!</v>
      </c>
      <c r="F33" s="68" t="e">
        <f aca="false">#REF!</f>
        <v>#REF!</v>
      </c>
    </row>
    <row r="34" customFormat="false" ht="12.8" hidden="false" customHeight="false" outlineLevel="0" collapsed="false">
      <c r="A34" s="50" t="e">
        <f aca="false">_xlfn.CONCAT($A$1, ".", #REF!)</f>
        <v>#REF!</v>
      </c>
      <c r="B34" s="65" t="e">
        <f aca="false">_xlfn.CONCAT(#REF!, ":", #REF!)</f>
        <v>#REF!</v>
      </c>
      <c r="C34" s="68" t="e">
        <f aca="false">#REF!</f>
        <v>#REF!</v>
      </c>
      <c r="D34" s="68" t="e">
        <f aca="false">#REF!</f>
        <v>#REF!</v>
      </c>
      <c r="E34" s="68" t="e">
        <f aca="false">#REF!</f>
        <v>#REF!</v>
      </c>
      <c r="F34" s="68" t="e">
        <f aca="false">#REF!</f>
        <v>#REF!</v>
      </c>
    </row>
    <row r="35" customFormat="false" ht="12.8" hidden="false" customHeight="false" outlineLevel="0" collapsed="false">
      <c r="A35" s="50" t="e">
        <f aca="false">_xlfn.CONCAT($A$1, ".", #REF!)</f>
        <v>#REF!</v>
      </c>
      <c r="B35" s="65" t="e">
        <f aca="false">_xlfn.CONCAT(#REF!, ":", #REF!)</f>
        <v>#REF!</v>
      </c>
      <c r="C35" s="68" t="e">
        <f aca="false">#REF!</f>
        <v>#REF!</v>
      </c>
      <c r="D35" s="68" t="e">
        <f aca="false">#REF!</f>
        <v>#REF!</v>
      </c>
      <c r="E35" s="68" t="e">
        <f aca="false">#REF!</f>
        <v>#REF!</v>
      </c>
      <c r="F35" s="68" t="e">
        <f aca="false">#REF!</f>
        <v>#REF!</v>
      </c>
    </row>
    <row r="36" customFormat="false" ht="12.8" hidden="false" customHeight="false" outlineLevel="0" collapsed="false">
      <c r="A36" s="50" t="e">
        <f aca="false">_xlfn.CONCAT($A$1, ".", #REF!)</f>
        <v>#REF!</v>
      </c>
      <c r="B36" s="65" t="e">
        <f aca="false">_xlfn.CONCAT(#REF!, ":", #REF!)</f>
        <v>#REF!</v>
      </c>
      <c r="C36" s="68" t="e">
        <f aca="false">#REF!</f>
        <v>#REF!</v>
      </c>
      <c r="D36" s="68" t="e">
        <f aca="false">#REF!</f>
        <v>#REF!</v>
      </c>
      <c r="E36" s="68" t="e">
        <f aca="false">#REF!</f>
        <v>#REF!</v>
      </c>
      <c r="F36" s="68" t="e">
        <f aca="false">#REF!</f>
        <v>#REF!</v>
      </c>
    </row>
    <row r="37" customFormat="false" ht="12.8" hidden="false" customHeight="false" outlineLevel="0" collapsed="false">
      <c r="A37" s="50" t="e">
        <f aca="false">_xlfn.CONCAT($A$1, ".", #REF!)</f>
        <v>#REF!</v>
      </c>
      <c r="B37" s="65" t="e">
        <f aca="false">_xlfn.CONCAT(#REF!, ":", #REF!)</f>
        <v>#REF!</v>
      </c>
      <c r="C37" s="68" t="e">
        <f aca="false">#REF!</f>
        <v>#REF!</v>
      </c>
      <c r="D37" s="68" t="e">
        <f aca="false">#REF!</f>
        <v>#REF!</v>
      </c>
      <c r="E37" s="68" t="e">
        <f aca="false">#REF!</f>
        <v>#REF!</v>
      </c>
      <c r="F37" s="68" t="e">
        <f aca="false">#REF!</f>
        <v>#REF!</v>
      </c>
    </row>
    <row r="38" customFormat="false" ht="12.8" hidden="false" customHeight="false" outlineLevel="0" collapsed="false">
      <c r="A38" s="50" t="e">
        <f aca="false">_xlfn.CONCAT($A$1, ".", #REF!)</f>
        <v>#REF!</v>
      </c>
      <c r="B38" s="65" t="e">
        <f aca="false">_xlfn.CONCAT(#REF!, ":", #REF!)</f>
        <v>#REF!</v>
      </c>
      <c r="C38" s="68" t="e">
        <f aca="false">#REF!</f>
        <v>#REF!</v>
      </c>
      <c r="D38" s="68" t="e">
        <f aca="false">#REF!</f>
        <v>#REF!</v>
      </c>
      <c r="E38" s="68" t="e">
        <f aca="false">#REF!</f>
        <v>#REF!</v>
      </c>
      <c r="F38" s="68" t="e">
        <f aca="false">#REF!</f>
        <v>#REF!</v>
      </c>
    </row>
    <row r="39" customFormat="false" ht="12.8" hidden="false" customHeight="false" outlineLevel="0" collapsed="false">
      <c r="A39" s="50" t="e">
        <f aca="false">_xlfn.CONCAT($A$1, ".", #REF!)</f>
        <v>#REF!</v>
      </c>
      <c r="B39" s="65" t="e">
        <f aca="false">_xlfn.CONCAT(#REF!, ":", #REF!)</f>
        <v>#REF!</v>
      </c>
      <c r="C39" s="68" t="e">
        <f aca="false">#REF!</f>
        <v>#REF!</v>
      </c>
      <c r="D39" s="68" t="e">
        <f aca="false">#REF!</f>
        <v>#REF!</v>
      </c>
      <c r="E39" s="68" t="e">
        <f aca="false">#REF!</f>
        <v>#REF!</v>
      </c>
      <c r="F39" s="68" t="e">
        <f aca="false">#REF!</f>
        <v>#REF!</v>
      </c>
    </row>
    <row r="40" customFormat="false" ht="12.8" hidden="false" customHeight="false" outlineLevel="0" collapsed="false">
      <c r="A40" s="50" t="e">
        <f aca="false">_xlfn.CONCAT($A$1, ".", #REF!)</f>
        <v>#REF!</v>
      </c>
      <c r="B40" s="65" t="e">
        <f aca="false">_xlfn.CONCAT(#REF!, ":", #REF!)</f>
        <v>#REF!</v>
      </c>
      <c r="C40" s="68" t="e">
        <f aca="false">#REF!</f>
        <v>#REF!</v>
      </c>
      <c r="D40" s="68" t="e">
        <f aca="false">#REF!</f>
        <v>#REF!</v>
      </c>
      <c r="E40" s="68" t="e">
        <f aca="false">#REF!</f>
        <v>#REF!</v>
      </c>
      <c r="F40" s="68" t="e">
        <f aca="false">#REF!</f>
        <v>#REF!</v>
      </c>
    </row>
    <row r="41" customFormat="false" ht="12.8" hidden="false" customHeight="false" outlineLevel="0" collapsed="false">
      <c r="A41" s="50" t="e">
        <f aca="false">_xlfn.CONCAT($A$1, ".", #REF!)</f>
        <v>#REF!</v>
      </c>
      <c r="B41" s="65" t="e">
        <f aca="false">_xlfn.CONCAT(#REF!, ":", #REF!)</f>
        <v>#REF!</v>
      </c>
      <c r="C41" s="68" t="e">
        <f aca="false">#REF!</f>
        <v>#REF!</v>
      </c>
      <c r="D41" s="68" t="e">
        <f aca="false">#REF!</f>
        <v>#REF!</v>
      </c>
      <c r="E41" s="68" t="e">
        <f aca="false">#REF!</f>
        <v>#REF!</v>
      </c>
      <c r="F41" s="68" t="e">
        <f aca="false">#REF!</f>
        <v>#REF!</v>
      </c>
    </row>
    <row r="42" customFormat="false" ht="12.8" hidden="false" customHeight="false" outlineLevel="0" collapsed="false">
      <c r="A42" s="50" t="e">
        <f aca="false">_xlfn.CONCAT($A$1, ".", #REF!)</f>
        <v>#REF!</v>
      </c>
      <c r="B42" s="65" t="e">
        <f aca="false">_xlfn.CONCAT(#REF!, ":", #REF!)</f>
        <v>#REF!</v>
      </c>
      <c r="C42" s="68" t="e">
        <f aca="false">#REF!</f>
        <v>#REF!</v>
      </c>
      <c r="D42" s="68" t="e">
        <f aca="false">#REF!</f>
        <v>#REF!</v>
      </c>
      <c r="E42" s="68" t="e">
        <f aca="false">#REF!</f>
        <v>#REF!</v>
      </c>
      <c r="F42" s="68" t="e">
        <f aca="false">#REF!</f>
        <v>#REF!</v>
      </c>
    </row>
    <row r="43" customFormat="false" ht="12.8" hidden="false" customHeight="false" outlineLevel="0" collapsed="false">
      <c r="A43" s="50" t="e">
        <f aca="false">_xlfn.CONCAT($A$1, ".", #REF!)</f>
        <v>#REF!</v>
      </c>
      <c r="B43" s="65" t="e">
        <f aca="false">_xlfn.CONCAT(#REF!, ":", #REF!)</f>
        <v>#REF!</v>
      </c>
      <c r="C43" s="68" t="e">
        <f aca="false">#REF!</f>
        <v>#REF!</v>
      </c>
      <c r="D43" s="68" t="e">
        <f aca="false">#REF!</f>
        <v>#REF!</v>
      </c>
      <c r="E43" s="68" t="e">
        <f aca="false">#REF!</f>
        <v>#REF!</v>
      </c>
      <c r="F43" s="68" t="e">
        <f aca="false">#REF!</f>
        <v>#REF!</v>
      </c>
    </row>
    <row r="44" customFormat="false" ht="12.8" hidden="false" customHeight="false" outlineLevel="0" collapsed="false">
      <c r="A44" s="50" t="e">
        <f aca="false">_xlfn.CONCAT($A$1, ".", #REF!)</f>
        <v>#REF!</v>
      </c>
      <c r="B44" s="65" t="e">
        <f aca="false">_xlfn.CONCAT(#REF!, ":", #REF!)</f>
        <v>#REF!</v>
      </c>
      <c r="C44" s="68" t="e">
        <f aca="false">#REF!</f>
        <v>#REF!</v>
      </c>
      <c r="D44" s="68" t="e">
        <f aca="false">#REF!</f>
        <v>#REF!</v>
      </c>
      <c r="E44" s="68" t="e">
        <f aca="false">#REF!</f>
        <v>#REF!</v>
      </c>
      <c r="F44" s="68" t="e">
        <f aca="false">#REF!</f>
        <v>#REF!</v>
      </c>
    </row>
    <row r="45" customFormat="false" ht="12.8" hidden="false" customHeight="false" outlineLevel="0" collapsed="false">
      <c r="A45" s="50" t="e">
        <f aca="false">_xlfn.CONCAT($A$1, ".", #REF!)</f>
        <v>#REF!</v>
      </c>
      <c r="B45" s="65" t="e">
        <f aca="false">_xlfn.CONCAT(#REF!, ":", #REF!)</f>
        <v>#REF!</v>
      </c>
      <c r="C45" s="68" t="e">
        <f aca="false">#REF!</f>
        <v>#REF!</v>
      </c>
      <c r="D45" s="68" t="e">
        <f aca="false">#REF!</f>
        <v>#REF!</v>
      </c>
      <c r="E45" s="68" t="e">
        <f aca="false">#REF!</f>
        <v>#REF!</v>
      </c>
      <c r="F45" s="68" t="e">
        <f aca="false">#REF!</f>
        <v>#REF!</v>
      </c>
    </row>
    <row r="46" customFormat="false" ht="12.8" hidden="false" customHeight="false" outlineLevel="0" collapsed="false">
      <c r="A46" s="50" t="e">
        <f aca="false">_xlfn.CONCAT($A$1, ".", #REF!)</f>
        <v>#REF!</v>
      </c>
      <c r="B46" s="65" t="e">
        <f aca="false">_xlfn.CONCAT(#REF!, ":", #REF!)</f>
        <v>#REF!</v>
      </c>
      <c r="C46" s="68" t="e">
        <f aca="false">#REF!</f>
        <v>#REF!</v>
      </c>
      <c r="D46" s="68" t="e">
        <f aca="false">#REF!</f>
        <v>#REF!</v>
      </c>
      <c r="E46" s="68" t="e">
        <f aca="false">#REF!</f>
        <v>#REF!</v>
      </c>
      <c r="F46" s="68" t="e">
        <f aca="false">#REF!</f>
        <v>#REF!</v>
      </c>
    </row>
    <row r="47" customFormat="false" ht="12.8" hidden="false" customHeight="false" outlineLevel="0" collapsed="false">
      <c r="A47" s="50" t="e">
        <f aca="false">_xlfn.CONCAT($A$1, ".", #REF!)</f>
        <v>#REF!</v>
      </c>
      <c r="B47" s="65" t="e">
        <f aca="false">_xlfn.CONCAT(#REF!, ":", #REF!)</f>
        <v>#REF!</v>
      </c>
      <c r="C47" s="68" t="e">
        <f aca="false">#REF!</f>
        <v>#REF!</v>
      </c>
      <c r="D47" s="68" t="e">
        <f aca="false">#REF!</f>
        <v>#REF!</v>
      </c>
      <c r="E47" s="68" t="e">
        <f aca="false">#REF!</f>
        <v>#REF!</v>
      </c>
      <c r="F47" s="68" t="e">
        <f aca="false">#REF!</f>
        <v>#REF!</v>
      </c>
    </row>
    <row r="48" customFormat="false" ht="12.8" hidden="false" customHeight="false" outlineLevel="0" collapsed="false">
      <c r="A48" s="50" t="e">
        <f aca="false">_xlfn.CONCAT($A$1, ".", #REF!)</f>
        <v>#REF!</v>
      </c>
      <c r="B48" s="65" t="e">
        <f aca="false">_xlfn.CONCAT(#REF!, ":", #REF!)</f>
        <v>#REF!</v>
      </c>
      <c r="C48" s="68" t="e">
        <f aca="false">#REF!</f>
        <v>#REF!</v>
      </c>
      <c r="D48" s="68" t="e">
        <f aca="false">#REF!</f>
        <v>#REF!</v>
      </c>
      <c r="E48" s="68" t="e">
        <f aca="false">#REF!</f>
        <v>#REF!</v>
      </c>
      <c r="F48" s="68" t="e">
        <f aca="false">#REF!</f>
        <v>#REF!</v>
      </c>
    </row>
    <row r="49" customFormat="false" ht="12.8" hidden="false" customHeight="false" outlineLevel="0" collapsed="false">
      <c r="A49" s="50" t="e">
        <f aca="false">_xlfn.CONCAT($A$1, ".", #REF!)</f>
        <v>#REF!</v>
      </c>
      <c r="B49" s="65" t="e">
        <f aca="false">_xlfn.CONCAT(#REF!, ":", #REF!)</f>
        <v>#REF!</v>
      </c>
      <c r="C49" s="68" t="e">
        <f aca="false">#REF!</f>
        <v>#REF!</v>
      </c>
      <c r="D49" s="68" t="e">
        <f aca="false">#REF!</f>
        <v>#REF!</v>
      </c>
      <c r="E49" s="68" t="e">
        <f aca="false">#REF!</f>
        <v>#REF!</v>
      </c>
      <c r="F49" s="68" t="e">
        <f aca="false">#REF!</f>
        <v>#REF!</v>
      </c>
    </row>
    <row r="50" customFormat="false" ht="12.8" hidden="false" customHeight="false" outlineLevel="0" collapsed="false">
      <c r="A50" s="50" t="e">
        <f aca="false">_xlfn.CONCAT($A$1, ".", #REF!)</f>
        <v>#REF!</v>
      </c>
      <c r="B50" s="65" t="e">
        <f aca="false">_xlfn.CONCAT(#REF!, ":", #REF!)</f>
        <v>#REF!</v>
      </c>
      <c r="C50" s="68" t="e">
        <f aca="false">#REF!</f>
        <v>#REF!</v>
      </c>
      <c r="D50" s="68" t="e">
        <f aca="false">#REF!</f>
        <v>#REF!</v>
      </c>
      <c r="E50" s="68" t="e">
        <f aca="false">#REF!</f>
        <v>#REF!</v>
      </c>
      <c r="F50" s="68" t="e">
        <f aca="false">#REF!</f>
        <v>#REF!</v>
      </c>
    </row>
    <row r="51" customFormat="false" ht="12.8" hidden="false" customHeight="false" outlineLevel="0" collapsed="false">
      <c r="A51" s="50" t="e">
        <f aca="false">_xlfn.CONCAT($A$1, ".", #REF!)</f>
        <v>#REF!</v>
      </c>
      <c r="B51" s="65" t="e">
        <f aca="false">_xlfn.CONCAT(#REF!, ":", #REF!)</f>
        <v>#REF!</v>
      </c>
      <c r="C51" s="68" t="e">
        <f aca="false">#REF!</f>
        <v>#REF!</v>
      </c>
      <c r="D51" s="68" t="e">
        <f aca="false">#REF!</f>
        <v>#REF!</v>
      </c>
      <c r="E51" s="68" t="e">
        <f aca="false">#REF!</f>
        <v>#REF!</v>
      </c>
      <c r="F51" s="68" t="e">
        <f aca="false">#REF!</f>
        <v>#REF!</v>
      </c>
    </row>
    <row r="52" customFormat="false" ht="12.8" hidden="false" customHeight="false" outlineLevel="0" collapsed="false">
      <c r="A52" s="50" t="e">
        <f aca="false">_xlfn.CONCAT($A$1, ".", #REF!)</f>
        <v>#REF!</v>
      </c>
      <c r="B52" s="65" t="e">
        <f aca="false">_xlfn.CONCAT(#REF!, ":", #REF!)</f>
        <v>#REF!</v>
      </c>
      <c r="C52" s="68" t="e">
        <f aca="false">#REF!</f>
        <v>#REF!</v>
      </c>
      <c r="D52" s="68" t="e">
        <f aca="false">#REF!</f>
        <v>#REF!</v>
      </c>
      <c r="E52" s="68" t="e">
        <f aca="false">#REF!</f>
        <v>#REF!</v>
      </c>
      <c r="F52" s="68" t="e">
        <f aca="false">#REF!</f>
        <v>#REF!</v>
      </c>
    </row>
    <row r="53" customFormat="false" ht="12.8" hidden="false" customHeight="false" outlineLevel="0" collapsed="false">
      <c r="A53" s="50" t="e">
        <f aca="false">_xlfn.CONCAT($A$1, ".", #REF!)</f>
        <v>#REF!</v>
      </c>
      <c r="B53" s="65" t="e">
        <f aca="false">_xlfn.CONCAT(#REF!, ":", #REF!)</f>
        <v>#REF!</v>
      </c>
      <c r="C53" s="68" t="e">
        <f aca="false">#REF!</f>
        <v>#REF!</v>
      </c>
      <c r="D53" s="68" t="e">
        <f aca="false">#REF!</f>
        <v>#REF!</v>
      </c>
      <c r="E53" s="68" t="e">
        <f aca="false">#REF!</f>
        <v>#REF!</v>
      </c>
      <c r="F53" s="68" t="e">
        <f aca="false">#REF!</f>
        <v>#REF!</v>
      </c>
    </row>
    <row r="54" customFormat="false" ht="12.8" hidden="false" customHeight="false" outlineLevel="0" collapsed="false">
      <c r="A54" s="50" t="e">
        <f aca="false">_xlfn.CONCAT($A$1, ".", #REF!)</f>
        <v>#REF!</v>
      </c>
      <c r="B54" s="65" t="e">
        <f aca="false">_xlfn.CONCAT(#REF!, ":", #REF!)</f>
        <v>#REF!</v>
      </c>
      <c r="C54" s="68" t="e">
        <f aca="false">#REF!</f>
        <v>#REF!</v>
      </c>
      <c r="D54" s="68" t="e">
        <f aca="false">#REF!</f>
        <v>#REF!</v>
      </c>
      <c r="E54" s="68" t="e">
        <f aca="false">#REF!</f>
        <v>#REF!</v>
      </c>
      <c r="F54" s="68" t="e">
        <f aca="false">#REF!</f>
        <v>#REF!</v>
      </c>
    </row>
    <row r="55" customFormat="false" ht="12.8" hidden="false" customHeight="false" outlineLevel="0" collapsed="false">
      <c r="A55" s="50" t="e">
        <f aca="false">_xlfn.CONCAT($A$1, ".", #REF!)</f>
        <v>#REF!</v>
      </c>
      <c r="B55" s="65" t="e">
        <f aca="false">_xlfn.CONCAT(#REF!, ":", #REF!)</f>
        <v>#REF!</v>
      </c>
      <c r="C55" s="68" t="e">
        <f aca="false">#REF!</f>
        <v>#REF!</v>
      </c>
      <c r="D55" s="68" t="e">
        <f aca="false">#REF!</f>
        <v>#REF!</v>
      </c>
      <c r="E55" s="68" t="e">
        <f aca="false">#REF!</f>
        <v>#REF!</v>
      </c>
      <c r="F55" s="68"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75" zoomScaleNormal="75" zoomScalePageLayoutView="100" workbookViewId="0">
      <selection pane="topLeft" activeCell="C55" activeCellId="1" sqref="D3:E3 C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7"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1499</v>
      </c>
      <c r="B1" s="78" t="s">
        <v>1506</v>
      </c>
      <c r="C1" s="6" t="s">
        <v>2</v>
      </c>
      <c r="D1" s="39" t="s">
        <v>1507</v>
      </c>
      <c r="AZ1" s="39"/>
      <c r="BP1" s="39"/>
    </row>
    <row r="2" customFormat="false" ht="46.25" hidden="false" customHeight="false" outlineLevel="0" collapsed="false">
      <c r="A2" s="79" t="s">
        <v>1473</v>
      </c>
      <c r="B2" s="80" t="s">
        <v>1474</v>
      </c>
      <c r="C2" s="68" t="str">
        <f aca="false">CALC!CD3</f>
        <v>Part-Time Employment Rate</v>
      </c>
      <c r="D2" s="68" t="str">
        <f aca="false">CALC!CE3</f>
        <v>Authorized Immigrant Part-Time Employment Rate</v>
      </c>
      <c r="E2" s="68" t="str">
        <f aca="false">CALC!CF3</f>
        <v>Unauthorized Immigrant Part-Time Employment Rate</v>
      </c>
      <c r="F2" s="68" t="str">
        <f aca="false">CALC!CG3</f>
        <v>American Part-Time Employment Rate</v>
      </c>
    </row>
    <row r="3" customFormat="false" ht="12.8" hidden="false" customHeight="false" outlineLevel="0" collapsed="false">
      <c r="A3" s="50" t="e">
        <f aca="false">_xlfn.CONCAT($A$1, ".", #REF!)</f>
        <v>#REF!</v>
      </c>
      <c r="B3" s="65" t="e">
        <f aca="false">_xlfn.CONCAT(#REF!, ":", #REF!)</f>
        <v>#REF!</v>
      </c>
      <c r="C3" s="68" t="e">
        <f aca="false">#REF!</f>
        <v>#REF!</v>
      </c>
      <c r="D3" s="68" t="e">
        <f aca="false">#REF!</f>
        <v>#REF!</v>
      </c>
      <c r="E3" s="68" t="e">
        <f aca="false">#REF!</f>
        <v>#REF!</v>
      </c>
      <c r="F3" s="68" t="e">
        <f aca="false">#REF!</f>
        <v>#REF!</v>
      </c>
    </row>
    <row r="4" customFormat="false" ht="12.8" hidden="false" customHeight="false" outlineLevel="0" collapsed="false">
      <c r="A4" s="50" t="e">
        <f aca="false">_xlfn.CONCAT($A$1, ".", #REF!)</f>
        <v>#REF!</v>
      </c>
      <c r="B4" s="65" t="e">
        <f aca="false">_xlfn.CONCAT(#REF!, ":", #REF!)</f>
        <v>#REF!</v>
      </c>
      <c r="C4" s="68" t="e">
        <f aca="false">#REF!</f>
        <v>#REF!</v>
      </c>
      <c r="D4" s="68" t="e">
        <f aca="false">#REF!</f>
        <v>#REF!</v>
      </c>
      <c r="E4" s="68" t="e">
        <f aca="false">#REF!</f>
        <v>#REF!</v>
      </c>
      <c r="F4" s="68" t="e">
        <f aca="false">#REF!</f>
        <v>#REF!</v>
      </c>
    </row>
    <row r="5" customFormat="false" ht="12.8" hidden="false" customHeight="false" outlineLevel="0" collapsed="false">
      <c r="A5" s="50" t="e">
        <f aca="false">_xlfn.CONCAT($A$1, ".", #REF!)</f>
        <v>#REF!</v>
      </c>
      <c r="B5" s="65" t="e">
        <f aca="false">_xlfn.CONCAT(#REF!, ":", #REF!)</f>
        <v>#REF!</v>
      </c>
      <c r="C5" s="68" t="e">
        <f aca="false">#REF!</f>
        <v>#REF!</v>
      </c>
      <c r="D5" s="68" t="e">
        <f aca="false">#REF!</f>
        <v>#REF!</v>
      </c>
      <c r="E5" s="68" t="e">
        <f aca="false">#REF!</f>
        <v>#REF!</v>
      </c>
      <c r="F5" s="68" t="e">
        <f aca="false">#REF!</f>
        <v>#REF!</v>
      </c>
    </row>
    <row r="6" customFormat="false" ht="12.8" hidden="false" customHeight="false" outlineLevel="0" collapsed="false">
      <c r="A6" s="50" t="e">
        <f aca="false">_xlfn.CONCAT($A$1, ".", #REF!)</f>
        <v>#REF!</v>
      </c>
      <c r="B6" s="65" t="e">
        <f aca="false">_xlfn.CONCAT(#REF!, ":", #REF!)</f>
        <v>#REF!</v>
      </c>
      <c r="C6" s="68" t="e">
        <f aca="false">#REF!</f>
        <v>#REF!</v>
      </c>
      <c r="D6" s="68" t="e">
        <f aca="false">#REF!</f>
        <v>#REF!</v>
      </c>
      <c r="E6" s="68" t="e">
        <f aca="false">#REF!</f>
        <v>#REF!</v>
      </c>
      <c r="F6" s="68" t="e">
        <f aca="false">#REF!</f>
        <v>#REF!</v>
      </c>
    </row>
    <row r="7" customFormat="false" ht="12.8" hidden="false" customHeight="false" outlineLevel="0" collapsed="false">
      <c r="A7" s="50" t="e">
        <f aca="false">_xlfn.CONCAT($A$1, ".", #REF!)</f>
        <v>#REF!</v>
      </c>
      <c r="B7" s="65" t="e">
        <f aca="false">_xlfn.CONCAT(#REF!, ":", #REF!)</f>
        <v>#REF!</v>
      </c>
      <c r="C7" s="68" t="e">
        <f aca="false">#REF!</f>
        <v>#REF!</v>
      </c>
      <c r="D7" s="68" t="e">
        <f aca="false">#REF!</f>
        <v>#REF!</v>
      </c>
      <c r="E7" s="68" t="e">
        <f aca="false">#REF!</f>
        <v>#REF!</v>
      </c>
      <c r="F7" s="68" t="e">
        <f aca="false">#REF!</f>
        <v>#REF!</v>
      </c>
    </row>
    <row r="8" customFormat="false" ht="12.8" hidden="false" customHeight="false" outlineLevel="0" collapsed="false">
      <c r="A8" s="50" t="e">
        <f aca="false">_xlfn.CONCAT($A$1, ".", #REF!)</f>
        <v>#REF!</v>
      </c>
      <c r="B8" s="65" t="e">
        <f aca="false">_xlfn.CONCAT(#REF!, ":", #REF!)</f>
        <v>#REF!</v>
      </c>
      <c r="C8" s="68" t="e">
        <f aca="false">#REF!</f>
        <v>#REF!</v>
      </c>
      <c r="D8" s="68" t="e">
        <f aca="false">#REF!</f>
        <v>#REF!</v>
      </c>
      <c r="E8" s="68" t="e">
        <f aca="false">#REF!</f>
        <v>#REF!</v>
      </c>
      <c r="F8" s="68" t="e">
        <f aca="false">#REF!</f>
        <v>#REF!</v>
      </c>
    </row>
    <row r="9" customFormat="false" ht="12.8" hidden="false" customHeight="false" outlineLevel="0" collapsed="false">
      <c r="A9" s="50" t="e">
        <f aca="false">_xlfn.CONCAT($A$1, ".", #REF!)</f>
        <v>#REF!</v>
      </c>
      <c r="B9" s="65" t="e">
        <f aca="false">_xlfn.CONCAT(#REF!, ":", #REF!)</f>
        <v>#REF!</v>
      </c>
      <c r="C9" s="68" t="e">
        <f aca="false">#REF!</f>
        <v>#REF!</v>
      </c>
      <c r="D9" s="68" t="e">
        <f aca="false">#REF!</f>
        <v>#REF!</v>
      </c>
      <c r="E9" s="68" t="e">
        <f aca="false">#REF!</f>
        <v>#REF!</v>
      </c>
      <c r="F9" s="68" t="e">
        <f aca="false">#REF!</f>
        <v>#REF!</v>
      </c>
    </row>
    <row r="10" customFormat="false" ht="12.8" hidden="false" customHeight="false" outlineLevel="0" collapsed="false">
      <c r="A10" s="50" t="e">
        <f aca="false">_xlfn.CONCAT($A$1, ".", #REF!)</f>
        <v>#REF!</v>
      </c>
      <c r="B10" s="65" t="e">
        <f aca="false">_xlfn.CONCAT(#REF!, ":", #REF!)</f>
        <v>#REF!</v>
      </c>
      <c r="C10" s="68" t="e">
        <f aca="false">#REF!</f>
        <v>#REF!</v>
      </c>
      <c r="D10" s="68" t="e">
        <f aca="false">#REF!</f>
        <v>#REF!</v>
      </c>
      <c r="E10" s="68" t="e">
        <f aca="false">#REF!</f>
        <v>#REF!</v>
      </c>
      <c r="F10" s="68" t="e">
        <f aca="false">#REF!</f>
        <v>#REF!</v>
      </c>
    </row>
    <row r="11" customFormat="false" ht="12.8" hidden="false" customHeight="false" outlineLevel="0" collapsed="false">
      <c r="A11" s="50" t="e">
        <f aca="false">_xlfn.CONCAT($A$1, ".", #REF!)</f>
        <v>#REF!</v>
      </c>
      <c r="B11" s="65" t="e">
        <f aca="false">_xlfn.CONCAT(#REF!, ":", #REF!)</f>
        <v>#REF!</v>
      </c>
      <c r="C11" s="68" t="e">
        <f aca="false">#REF!</f>
        <v>#REF!</v>
      </c>
      <c r="D11" s="68" t="e">
        <f aca="false">#REF!</f>
        <v>#REF!</v>
      </c>
      <c r="E11" s="68" t="e">
        <f aca="false">#REF!</f>
        <v>#REF!</v>
      </c>
      <c r="F11" s="68" t="e">
        <f aca="false">#REF!</f>
        <v>#REF!</v>
      </c>
    </row>
    <row r="12" customFormat="false" ht="12.8" hidden="false" customHeight="false" outlineLevel="0" collapsed="false">
      <c r="A12" s="50" t="e">
        <f aca="false">_xlfn.CONCAT($A$1, ".", #REF!)</f>
        <v>#REF!</v>
      </c>
      <c r="B12" s="65" t="e">
        <f aca="false">_xlfn.CONCAT(#REF!, ":", #REF!)</f>
        <v>#REF!</v>
      </c>
      <c r="C12" s="68" t="e">
        <f aca="false">#REF!</f>
        <v>#REF!</v>
      </c>
      <c r="D12" s="68" t="e">
        <f aca="false">#REF!</f>
        <v>#REF!</v>
      </c>
      <c r="E12" s="68" t="e">
        <f aca="false">#REF!</f>
        <v>#REF!</v>
      </c>
      <c r="F12" s="68" t="e">
        <f aca="false">#REF!</f>
        <v>#REF!</v>
      </c>
    </row>
    <row r="13" customFormat="false" ht="12.8" hidden="false" customHeight="false" outlineLevel="0" collapsed="false">
      <c r="A13" s="50" t="e">
        <f aca="false">_xlfn.CONCAT($A$1, ".", #REF!)</f>
        <v>#REF!</v>
      </c>
      <c r="B13" s="65" t="e">
        <f aca="false">_xlfn.CONCAT(#REF!, ":", #REF!)</f>
        <v>#REF!</v>
      </c>
      <c r="C13" s="68" t="e">
        <f aca="false">#REF!</f>
        <v>#REF!</v>
      </c>
      <c r="D13" s="68" t="e">
        <f aca="false">#REF!</f>
        <v>#REF!</v>
      </c>
      <c r="E13" s="68" t="e">
        <f aca="false">#REF!</f>
        <v>#REF!</v>
      </c>
      <c r="F13" s="68" t="e">
        <f aca="false">#REF!</f>
        <v>#REF!</v>
      </c>
    </row>
    <row r="14" customFormat="false" ht="12.8" hidden="false" customHeight="false" outlineLevel="0" collapsed="false">
      <c r="A14" s="50" t="e">
        <f aca="false">_xlfn.CONCAT($A$1, ".", #REF!)</f>
        <v>#REF!</v>
      </c>
      <c r="B14" s="65" t="e">
        <f aca="false">_xlfn.CONCAT(#REF!, ":", #REF!)</f>
        <v>#REF!</v>
      </c>
      <c r="C14" s="68" t="e">
        <f aca="false">#REF!</f>
        <v>#REF!</v>
      </c>
      <c r="D14" s="68" t="e">
        <f aca="false">#REF!</f>
        <v>#REF!</v>
      </c>
      <c r="E14" s="68" t="e">
        <f aca="false">#REF!</f>
        <v>#REF!</v>
      </c>
      <c r="F14" s="68" t="e">
        <f aca="false">#REF!</f>
        <v>#REF!</v>
      </c>
    </row>
    <row r="15" customFormat="false" ht="12.8" hidden="false" customHeight="false" outlineLevel="0" collapsed="false">
      <c r="A15" s="50" t="e">
        <f aca="false">_xlfn.CONCAT($A$1, ".", #REF!)</f>
        <v>#REF!</v>
      </c>
      <c r="B15" s="65" t="e">
        <f aca="false">_xlfn.CONCAT(#REF!, ":", #REF!)</f>
        <v>#REF!</v>
      </c>
      <c r="C15" s="68" t="e">
        <f aca="false">#REF!</f>
        <v>#REF!</v>
      </c>
      <c r="D15" s="68" t="e">
        <f aca="false">#REF!</f>
        <v>#REF!</v>
      </c>
      <c r="E15" s="68" t="e">
        <f aca="false">#REF!</f>
        <v>#REF!</v>
      </c>
      <c r="F15" s="68" t="e">
        <f aca="false">#REF!</f>
        <v>#REF!</v>
      </c>
    </row>
    <row r="16" customFormat="false" ht="12.8" hidden="false" customHeight="false" outlineLevel="0" collapsed="false">
      <c r="A16" s="50" t="e">
        <f aca="false">_xlfn.CONCAT($A$1, ".", #REF!)</f>
        <v>#REF!</v>
      </c>
      <c r="B16" s="65" t="e">
        <f aca="false">_xlfn.CONCAT(#REF!, ":", #REF!)</f>
        <v>#REF!</v>
      </c>
      <c r="C16" s="68" t="e">
        <f aca="false">#REF!</f>
        <v>#REF!</v>
      </c>
      <c r="D16" s="68" t="e">
        <f aca="false">#REF!</f>
        <v>#REF!</v>
      </c>
      <c r="E16" s="68" t="e">
        <f aca="false">#REF!</f>
        <v>#REF!</v>
      </c>
      <c r="F16" s="68" t="e">
        <f aca="false">#REF!</f>
        <v>#REF!</v>
      </c>
    </row>
    <row r="17" customFormat="false" ht="12.8" hidden="false" customHeight="false" outlineLevel="0" collapsed="false">
      <c r="A17" s="50" t="e">
        <f aca="false">_xlfn.CONCAT($A$1, ".", #REF!)</f>
        <v>#REF!</v>
      </c>
      <c r="B17" s="65" t="e">
        <f aca="false">_xlfn.CONCAT(#REF!, ":", #REF!)</f>
        <v>#REF!</v>
      </c>
      <c r="C17" s="68" t="e">
        <f aca="false">#REF!</f>
        <v>#REF!</v>
      </c>
      <c r="D17" s="68" t="e">
        <f aca="false">#REF!</f>
        <v>#REF!</v>
      </c>
      <c r="E17" s="68" t="e">
        <f aca="false">#REF!</f>
        <v>#REF!</v>
      </c>
      <c r="F17" s="68" t="e">
        <f aca="false">#REF!</f>
        <v>#REF!</v>
      </c>
    </row>
    <row r="18" customFormat="false" ht="12.8" hidden="false" customHeight="false" outlineLevel="0" collapsed="false">
      <c r="A18" s="50" t="e">
        <f aca="false">_xlfn.CONCAT($A$1, ".", #REF!)</f>
        <v>#REF!</v>
      </c>
      <c r="B18" s="65" t="e">
        <f aca="false">_xlfn.CONCAT(#REF!, ":", #REF!)</f>
        <v>#REF!</v>
      </c>
      <c r="C18" s="68" t="e">
        <f aca="false">#REF!</f>
        <v>#REF!</v>
      </c>
      <c r="D18" s="68" t="e">
        <f aca="false">#REF!</f>
        <v>#REF!</v>
      </c>
      <c r="E18" s="68" t="e">
        <f aca="false">#REF!</f>
        <v>#REF!</v>
      </c>
      <c r="F18" s="68" t="e">
        <f aca="false">#REF!</f>
        <v>#REF!</v>
      </c>
    </row>
    <row r="19" customFormat="false" ht="12.8" hidden="false" customHeight="false" outlineLevel="0" collapsed="false">
      <c r="A19" s="50" t="e">
        <f aca="false">_xlfn.CONCAT($A$1, ".", #REF!)</f>
        <v>#REF!</v>
      </c>
      <c r="B19" s="65" t="e">
        <f aca="false">_xlfn.CONCAT(#REF!, ":", #REF!)</f>
        <v>#REF!</v>
      </c>
      <c r="C19" s="68" t="e">
        <f aca="false">#REF!</f>
        <v>#REF!</v>
      </c>
      <c r="D19" s="68" t="e">
        <f aca="false">#REF!</f>
        <v>#REF!</v>
      </c>
      <c r="E19" s="68" t="e">
        <f aca="false">#REF!</f>
        <v>#REF!</v>
      </c>
      <c r="F19" s="68" t="e">
        <f aca="false">#REF!</f>
        <v>#REF!</v>
      </c>
    </row>
    <row r="20" customFormat="false" ht="12.8" hidden="false" customHeight="false" outlineLevel="0" collapsed="false">
      <c r="A20" s="50" t="e">
        <f aca="false">_xlfn.CONCAT($A$1, ".", #REF!)</f>
        <v>#REF!</v>
      </c>
      <c r="B20" s="65" t="e">
        <f aca="false">_xlfn.CONCAT(#REF!, ":", #REF!)</f>
        <v>#REF!</v>
      </c>
      <c r="C20" s="68" t="e">
        <f aca="false">#REF!</f>
        <v>#REF!</v>
      </c>
      <c r="D20" s="68" t="e">
        <f aca="false">#REF!</f>
        <v>#REF!</v>
      </c>
      <c r="E20" s="68" t="e">
        <f aca="false">#REF!</f>
        <v>#REF!</v>
      </c>
      <c r="F20" s="68" t="e">
        <f aca="false">#REF!</f>
        <v>#REF!</v>
      </c>
    </row>
    <row r="21" customFormat="false" ht="12.8" hidden="false" customHeight="false" outlineLevel="0" collapsed="false">
      <c r="A21" s="50" t="e">
        <f aca="false">_xlfn.CONCAT($A$1, ".", #REF!)</f>
        <v>#REF!</v>
      </c>
      <c r="B21" s="65" t="e">
        <f aca="false">_xlfn.CONCAT(#REF!, ":", #REF!)</f>
        <v>#REF!</v>
      </c>
      <c r="C21" s="68" t="e">
        <f aca="false">#REF!</f>
        <v>#REF!</v>
      </c>
      <c r="D21" s="68" t="e">
        <f aca="false">#REF!</f>
        <v>#REF!</v>
      </c>
      <c r="E21" s="68" t="e">
        <f aca="false">#REF!</f>
        <v>#REF!</v>
      </c>
      <c r="F21" s="68" t="e">
        <f aca="false">#REF!</f>
        <v>#REF!</v>
      </c>
    </row>
    <row r="22" customFormat="false" ht="12.8" hidden="false" customHeight="false" outlineLevel="0" collapsed="false">
      <c r="A22" s="50" t="e">
        <f aca="false">_xlfn.CONCAT($A$1, ".", #REF!)</f>
        <v>#REF!</v>
      </c>
      <c r="B22" s="65" t="e">
        <f aca="false">_xlfn.CONCAT(#REF!, ":", #REF!)</f>
        <v>#REF!</v>
      </c>
      <c r="C22" s="68" t="e">
        <f aca="false">#REF!</f>
        <v>#REF!</v>
      </c>
      <c r="D22" s="68" t="e">
        <f aca="false">#REF!</f>
        <v>#REF!</v>
      </c>
      <c r="E22" s="68" t="e">
        <f aca="false">#REF!</f>
        <v>#REF!</v>
      </c>
      <c r="F22" s="68" t="e">
        <f aca="false">#REF!</f>
        <v>#REF!</v>
      </c>
    </row>
    <row r="23" customFormat="false" ht="12.8" hidden="false" customHeight="false" outlineLevel="0" collapsed="false">
      <c r="A23" s="50" t="e">
        <f aca="false">_xlfn.CONCAT($A$1, ".", #REF!)</f>
        <v>#REF!</v>
      </c>
      <c r="B23" s="65" t="e">
        <f aca="false">_xlfn.CONCAT(#REF!, ":", #REF!)</f>
        <v>#REF!</v>
      </c>
      <c r="C23" s="68" t="e">
        <f aca="false">#REF!</f>
        <v>#REF!</v>
      </c>
      <c r="D23" s="68" t="e">
        <f aca="false">#REF!</f>
        <v>#REF!</v>
      </c>
      <c r="E23" s="68" t="e">
        <f aca="false">#REF!</f>
        <v>#REF!</v>
      </c>
      <c r="F23" s="68" t="e">
        <f aca="false">#REF!</f>
        <v>#REF!</v>
      </c>
    </row>
    <row r="24" customFormat="false" ht="12.8" hidden="false" customHeight="false" outlineLevel="0" collapsed="false">
      <c r="A24" s="50" t="e">
        <f aca="false">_xlfn.CONCAT($A$1, ".", #REF!)</f>
        <v>#REF!</v>
      </c>
      <c r="B24" s="65" t="e">
        <f aca="false">_xlfn.CONCAT(#REF!, ":", #REF!)</f>
        <v>#REF!</v>
      </c>
      <c r="C24" s="68" t="e">
        <f aca="false">#REF!</f>
        <v>#REF!</v>
      </c>
      <c r="D24" s="68" t="e">
        <f aca="false">#REF!</f>
        <v>#REF!</v>
      </c>
      <c r="E24" s="68" t="e">
        <f aca="false">#REF!</f>
        <v>#REF!</v>
      </c>
      <c r="F24" s="68" t="e">
        <f aca="false">#REF!</f>
        <v>#REF!</v>
      </c>
    </row>
    <row r="25" customFormat="false" ht="12.8" hidden="false" customHeight="false" outlineLevel="0" collapsed="false">
      <c r="A25" s="50" t="e">
        <f aca="false">_xlfn.CONCAT($A$1, ".", #REF!)</f>
        <v>#REF!</v>
      </c>
      <c r="B25" s="65" t="e">
        <f aca="false">_xlfn.CONCAT(#REF!, ":", #REF!)</f>
        <v>#REF!</v>
      </c>
      <c r="C25" s="68" t="e">
        <f aca="false">#REF!</f>
        <v>#REF!</v>
      </c>
      <c r="D25" s="68" t="e">
        <f aca="false">#REF!</f>
        <v>#REF!</v>
      </c>
      <c r="E25" s="68" t="e">
        <f aca="false">#REF!</f>
        <v>#REF!</v>
      </c>
      <c r="F25" s="68" t="e">
        <f aca="false">#REF!</f>
        <v>#REF!</v>
      </c>
    </row>
    <row r="26" customFormat="false" ht="12.8" hidden="false" customHeight="false" outlineLevel="0" collapsed="false">
      <c r="A26" s="50" t="e">
        <f aca="false">_xlfn.CONCAT($A$1, ".", #REF!)</f>
        <v>#REF!</v>
      </c>
      <c r="B26" s="65" t="e">
        <f aca="false">_xlfn.CONCAT(#REF!, ":", #REF!)</f>
        <v>#REF!</v>
      </c>
      <c r="C26" s="68" t="e">
        <f aca="false">#REF!</f>
        <v>#REF!</v>
      </c>
      <c r="D26" s="68" t="e">
        <f aca="false">#REF!</f>
        <v>#REF!</v>
      </c>
      <c r="E26" s="68" t="e">
        <f aca="false">#REF!</f>
        <v>#REF!</v>
      </c>
      <c r="F26" s="68" t="e">
        <f aca="false">#REF!</f>
        <v>#REF!</v>
      </c>
    </row>
    <row r="27" customFormat="false" ht="12.8" hidden="false" customHeight="false" outlineLevel="0" collapsed="false">
      <c r="A27" s="50" t="e">
        <f aca="false">_xlfn.CONCAT($A$1, ".", #REF!)</f>
        <v>#REF!</v>
      </c>
      <c r="B27" s="65" t="e">
        <f aca="false">_xlfn.CONCAT(#REF!, ":", #REF!)</f>
        <v>#REF!</v>
      </c>
      <c r="C27" s="68" t="e">
        <f aca="false">#REF!</f>
        <v>#REF!</v>
      </c>
      <c r="D27" s="68" t="e">
        <f aca="false">#REF!</f>
        <v>#REF!</v>
      </c>
      <c r="E27" s="68" t="e">
        <f aca="false">#REF!</f>
        <v>#REF!</v>
      </c>
      <c r="F27" s="68" t="e">
        <f aca="false">#REF!</f>
        <v>#REF!</v>
      </c>
    </row>
    <row r="28" customFormat="false" ht="12.8" hidden="false" customHeight="false" outlineLevel="0" collapsed="false">
      <c r="A28" s="50" t="e">
        <f aca="false">_xlfn.CONCAT($A$1, ".", #REF!)</f>
        <v>#REF!</v>
      </c>
      <c r="B28" s="65" t="e">
        <f aca="false">_xlfn.CONCAT(#REF!, ":", #REF!)</f>
        <v>#REF!</v>
      </c>
      <c r="C28" s="68" t="e">
        <f aca="false">#REF!</f>
        <v>#REF!</v>
      </c>
      <c r="D28" s="68" t="e">
        <f aca="false">#REF!</f>
        <v>#REF!</v>
      </c>
      <c r="E28" s="68" t="e">
        <f aca="false">#REF!</f>
        <v>#REF!</v>
      </c>
      <c r="F28" s="68" t="e">
        <f aca="false">#REF!</f>
        <v>#REF!</v>
      </c>
    </row>
    <row r="29" customFormat="false" ht="12.8" hidden="false" customHeight="false" outlineLevel="0" collapsed="false">
      <c r="A29" s="50" t="e">
        <f aca="false">_xlfn.CONCAT($A$1, ".", #REF!)</f>
        <v>#REF!</v>
      </c>
      <c r="B29" s="65" t="e">
        <f aca="false">_xlfn.CONCAT(#REF!, ":", #REF!)</f>
        <v>#REF!</v>
      </c>
      <c r="C29" s="68" t="e">
        <f aca="false">#REF!</f>
        <v>#REF!</v>
      </c>
      <c r="D29" s="68" t="e">
        <f aca="false">#REF!</f>
        <v>#REF!</v>
      </c>
      <c r="E29" s="68" t="e">
        <f aca="false">#REF!</f>
        <v>#REF!</v>
      </c>
      <c r="F29" s="68" t="e">
        <f aca="false">#REF!</f>
        <v>#REF!</v>
      </c>
    </row>
    <row r="30" customFormat="false" ht="12.8" hidden="false" customHeight="false" outlineLevel="0" collapsed="false">
      <c r="A30" s="50" t="e">
        <f aca="false">_xlfn.CONCAT($A$1, ".", #REF!)</f>
        <v>#REF!</v>
      </c>
      <c r="B30" s="65" t="e">
        <f aca="false">_xlfn.CONCAT(#REF!, ":", #REF!)</f>
        <v>#REF!</v>
      </c>
      <c r="C30" s="68" t="e">
        <f aca="false">#REF!</f>
        <v>#REF!</v>
      </c>
      <c r="D30" s="68" t="e">
        <f aca="false">#REF!</f>
        <v>#REF!</v>
      </c>
      <c r="E30" s="68" t="e">
        <f aca="false">#REF!</f>
        <v>#REF!</v>
      </c>
      <c r="F30" s="68" t="e">
        <f aca="false">#REF!</f>
        <v>#REF!</v>
      </c>
    </row>
    <row r="31" customFormat="false" ht="12.8" hidden="false" customHeight="false" outlineLevel="0" collapsed="false">
      <c r="A31" s="50" t="e">
        <f aca="false">_xlfn.CONCAT($A$1, ".", #REF!)</f>
        <v>#REF!</v>
      </c>
      <c r="B31" s="65" t="e">
        <f aca="false">_xlfn.CONCAT(#REF!, ":", #REF!)</f>
        <v>#REF!</v>
      </c>
      <c r="C31" s="68" t="e">
        <f aca="false">#REF!</f>
        <v>#REF!</v>
      </c>
      <c r="D31" s="68" t="e">
        <f aca="false">#REF!</f>
        <v>#REF!</v>
      </c>
      <c r="E31" s="68" t="e">
        <f aca="false">#REF!</f>
        <v>#REF!</v>
      </c>
      <c r="F31" s="68" t="e">
        <f aca="false">#REF!</f>
        <v>#REF!</v>
      </c>
    </row>
    <row r="32" customFormat="false" ht="12.8" hidden="false" customHeight="false" outlineLevel="0" collapsed="false">
      <c r="A32" s="50" t="e">
        <f aca="false">_xlfn.CONCAT($A$1, ".", #REF!)</f>
        <v>#REF!</v>
      </c>
      <c r="B32" s="65" t="e">
        <f aca="false">_xlfn.CONCAT(#REF!, ":", #REF!)</f>
        <v>#REF!</v>
      </c>
      <c r="C32" s="68" t="e">
        <f aca="false">#REF!</f>
        <v>#REF!</v>
      </c>
      <c r="D32" s="68" t="e">
        <f aca="false">#REF!</f>
        <v>#REF!</v>
      </c>
      <c r="E32" s="68" t="e">
        <f aca="false">#REF!</f>
        <v>#REF!</v>
      </c>
      <c r="F32" s="68" t="e">
        <f aca="false">#REF!</f>
        <v>#REF!</v>
      </c>
    </row>
    <row r="33" customFormat="false" ht="12.8" hidden="false" customHeight="false" outlineLevel="0" collapsed="false">
      <c r="A33" s="50" t="e">
        <f aca="false">_xlfn.CONCAT($A$1, ".", #REF!)</f>
        <v>#REF!</v>
      </c>
      <c r="B33" s="65" t="e">
        <f aca="false">_xlfn.CONCAT(#REF!, ":", #REF!)</f>
        <v>#REF!</v>
      </c>
      <c r="C33" s="68" t="e">
        <f aca="false">#REF!</f>
        <v>#REF!</v>
      </c>
      <c r="D33" s="68" t="e">
        <f aca="false">#REF!</f>
        <v>#REF!</v>
      </c>
      <c r="E33" s="68" t="e">
        <f aca="false">#REF!</f>
        <v>#REF!</v>
      </c>
      <c r="F33" s="68" t="e">
        <f aca="false">#REF!</f>
        <v>#REF!</v>
      </c>
    </row>
    <row r="34" customFormat="false" ht="12.8" hidden="false" customHeight="false" outlineLevel="0" collapsed="false">
      <c r="A34" s="50" t="e">
        <f aca="false">_xlfn.CONCAT($A$1, ".", #REF!)</f>
        <v>#REF!</v>
      </c>
      <c r="B34" s="65" t="e">
        <f aca="false">_xlfn.CONCAT(#REF!, ":", #REF!)</f>
        <v>#REF!</v>
      </c>
      <c r="C34" s="68" t="e">
        <f aca="false">#REF!</f>
        <v>#REF!</v>
      </c>
      <c r="D34" s="68" t="e">
        <f aca="false">#REF!</f>
        <v>#REF!</v>
      </c>
      <c r="E34" s="68" t="e">
        <f aca="false">#REF!</f>
        <v>#REF!</v>
      </c>
      <c r="F34" s="68" t="e">
        <f aca="false">#REF!</f>
        <v>#REF!</v>
      </c>
    </row>
    <row r="35" customFormat="false" ht="12.8" hidden="false" customHeight="false" outlineLevel="0" collapsed="false">
      <c r="A35" s="50" t="e">
        <f aca="false">_xlfn.CONCAT($A$1, ".", #REF!)</f>
        <v>#REF!</v>
      </c>
      <c r="B35" s="65" t="e">
        <f aca="false">_xlfn.CONCAT(#REF!, ":", #REF!)</f>
        <v>#REF!</v>
      </c>
      <c r="C35" s="68" t="e">
        <f aca="false">#REF!</f>
        <v>#REF!</v>
      </c>
      <c r="D35" s="68" t="e">
        <f aca="false">#REF!</f>
        <v>#REF!</v>
      </c>
      <c r="E35" s="68" t="e">
        <f aca="false">#REF!</f>
        <v>#REF!</v>
      </c>
      <c r="F35" s="68" t="e">
        <f aca="false">#REF!</f>
        <v>#REF!</v>
      </c>
    </row>
    <row r="36" customFormat="false" ht="12.8" hidden="false" customHeight="false" outlineLevel="0" collapsed="false">
      <c r="A36" s="50" t="e">
        <f aca="false">_xlfn.CONCAT($A$1, ".", #REF!)</f>
        <v>#REF!</v>
      </c>
      <c r="B36" s="65" t="e">
        <f aca="false">_xlfn.CONCAT(#REF!, ":", #REF!)</f>
        <v>#REF!</v>
      </c>
      <c r="C36" s="68" t="e">
        <f aca="false">#REF!</f>
        <v>#REF!</v>
      </c>
      <c r="D36" s="68" t="e">
        <f aca="false">#REF!</f>
        <v>#REF!</v>
      </c>
      <c r="E36" s="68" t="e">
        <f aca="false">#REF!</f>
        <v>#REF!</v>
      </c>
      <c r="F36" s="68" t="e">
        <f aca="false">#REF!</f>
        <v>#REF!</v>
      </c>
    </row>
    <row r="37" customFormat="false" ht="12.8" hidden="false" customHeight="false" outlineLevel="0" collapsed="false">
      <c r="A37" s="50" t="e">
        <f aca="false">_xlfn.CONCAT($A$1, ".", #REF!)</f>
        <v>#REF!</v>
      </c>
      <c r="B37" s="65" t="e">
        <f aca="false">_xlfn.CONCAT(#REF!, ":", #REF!)</f>
        <v>#REF!</v>
      </c>
      <c r="C37" s="68" t="e">
        <f aca="false">#REF!</f>
        <v>#REF!</v>
      </c>
      <c r="D37" s="68" t="e">
        <f aca="false">#REF!</f>
        <v>#REF!</v>
      </c>
      <c r="E37" s="68" t="e">
        <f aca="false">#REF!</f>
        <v>#REF!</v>
      </c>
      <c r="F37" s="68" t="e">
        <f aca="false">#REF!</f>
        <v>#REF!</v>
      </c>
    </row>
    <row r="38" customFormat="false" ht="12.8" hidden="false" customHeight="false" outlineLevel="0" collapsed="false">
      <c r="A38" s="50" t="e">
        <f aca="false">_xlfn.CONCAT($A$1, ".", #REF!)</f>
        <v>#REF!</v>
      </c>
      <c r="B38" s="65" t="e">
        <f aca="false">_xlfn.CONCAT(#REF!, ":", #REF!)</f>
        <v>#REF!</v>
      </c>
      <c r="C38" s="68" t="e">
        <f aca="false">#REF!</f>
        <v>#REF!</v>
      </c>
      <c r="D38" s="68" t="e">
        <f aca="false">#REF!</f>
        <v>#REF!</v>
      </c>
      <c r="E38" s="68" t="e">
        <f aca="false">#REF!</f>
        <v>#REF!</v>
      </c>
      <c r="F38" s="68" t="e">
        <f aca="false">#REF!</f>
        <v>#REF!</v>
      </c>
    </row>
    <row r="39" customFormat="false" ht="12.8" hidden="false" customHeight="false" outlineLevel="0" collapsed="false">
      <c r="A39" s="50" t="e">
        <f aca="false">_xlfn.CONCAT($A$1, ".", #REF!)</f>
        <v>#REF!</v>
      </c>
      <c r="B39" s="65" t="e">
        <f aca="false">_xlfn.CONCAT(#REF!, ":", #REF!)</f>
        <v>#REF!</v>
      </c>
      <c r="C39" s="68" t="e">
        <f aca="false">#REF!</f>
        <v>#REF!</v>
      </c>
      <c r="D39" s="68" t="e">
        <f aca="false">#REF!</f>
        <v>#REF!</v>
      </c>
      <c r="E39" s="68" t="e">
        <f aca="false">#REF!</f>
        <v>#REF!</v>
      </c>
      <c r="F39" s="68" t="e">
        <f aca="false">#REF!</f>
        <v>#REF!</v>
      </c>
    </row>
    <row r="40" customFormat="false" ht="12.8" hidden="false" customHeight="false" outlineLevel="0" collapsed="false">
      <c r="A40" s="50" t="e">
        <f aca="false">_xlfn.CONCAT($A$1, ".", #REF!)</f>
        <v>#REF!</v>
      </c>
      <c r="B40" s="65" t="e">
        <f aca="false">_xlfn.CONCAT(#REF!, ":", #REF!)</f>
        <v>#REF!</v>
      </c>
      <c r="C40" s="68" t="e">
        <f aca="false">#REF!</f>
        <v>#REF!</v>
      </c>
      <c r="D40" s="68" t="e">
        <f aca="false">#REF!</f>
        <v>#REF!</v>
      </c>
      <c r="E40" s="68" t="e">
        <f aca="false">#REF!</f>
        <v>#REF!</v>
      </c>
      <c r="F40" s="68" t="e">
        <f aca="false">#REF!</f>
        <v>#REF!</v>
      </c>
    </row>
    <row r="41" customFormat="false" ht="12.8" hidden="false" customHeight="false" outlineLevel="0" collapsed="false">
      <c r="A41" s="50" t="e">
        <f aca="false">_xlfn.CONCAT($A$1, ".", #REF!)</f>
        <v>#REF!</v>
      </c>
      <c r="B41" s="65" t="e">
        <f aca="false">_xlfn.CONCAT(#REF!, ":", #REF!)</f>
        <v>#REF!</v>
      </c>
      <c r="C41" s="68" t="e">
        <f aca="false">#REF!</f>
        <v>#REF!</v>
      </c>
      <c r="D41" s="68" t="e">
        <f aca="false">#REF!</f>
        <v>#REF!</v>
      </c>
      <c r="E41" s="68" t="e">
        <f aca="false">#REF!</f>
        <v>#REF!</v>
      </c>
      <c r="F41" s="68" t="e">
        <f aca="false">#REF!</f>
        <v>#REF!</v>
      </c>
    </row>
    <row r="42" customFormat="false" ht="12.8" hidden="false" customHeight="false" outlineLevel="0" collapsed="false">
      <c r="A42" s="50" t="e">
        <f aca="false">_xlfn.CONCAT($A$1, ".", #REF!)</f>
        <v>#REF!</v>
      </c>
      <c r="B42" s="65" t="e">
        <f aca="false">_xlfn.CONCAT(#REF!, ":", #REF!)</f>
        <v>#REF!</v>
      </c>
      <c r="C42" s="68" t="e">
        <f aca="false">#REF!</f>
        <v>#REF!</v>
      </c>
      <c r="D42" s="68" t="e">
        <f aca="false">#REF!</f>
        <v>#REF!</v>
      </c>
      <c r="E42" s="68" t="e">
        <f aca="false">#REF!</f>
        <v>#REF!</v>
      </c>
      <c r="F42" s="68" t="e">
        <f aca="false">#REF!</f>
        <v>#REF!</v>
      </c>
    </row>
    <row r="43" customFormat="false" ht="12.8" hidden="false" customHeight="false" outlineLevel="0" collapsed="false">
      <c r="A43" s="50" t="e">
        <f aca="false">_xlfn.CONCAT($A$1, ".", #REF!)</f>
        <v>#REF!</v>
      </c>
      <c r="B43" s="65" t="e">
        <f aca="false">_xlfn.CONCAT(#REF!, ":", #REF!)</f>
        <v>#REF!</v>
      </c>
      <c r="C43" s="68" t="e">
        <f aca="false">#REF!</f>
        <v>#REF!</v>
      </c>
      <c r="D43" s="68" t="e">
        <f aca="false">#REF!</f>
        <v>#REF!</v>
      </c>
      <c r="E43" s="68" t="e">
        <f aca="false">#REF!</f>
        <v>#REF!</v>
      </c>
      <c r="F43" s="68" t="e">
        <f aca="false">#REF!</f>
        <v>#REF!</v>
      </c>
    </row>
    <row r="44" customFormat="false" ht="12.8" hidden="false" customHeight="false" outlineLevel="0" collapsed="false">
      <c r="A44" s="50" t="e">
        <f aca="false">_xlfn.CONCAT($A$1, ".", #REF!)</f>
        <v>#REF!</v>
      </c>
      <c r="B44" s="65" t="e">
        <f aca="false">_xlfn.CONCAT(#REF!, ":", #REF!)</f>
        <v>#REF!</v>
      </c>
      <c r="C44" s="68" t="e">
        <f aca="false">#REF!</f>
        <v>#REF!</v>
      </c>
      <c r="D44" s="68" t="e">
        <f aca="false">#REF!</f>
        <v>#REF!</v>
      </c>
      <c r="E44" s="68" t="e">
        <f aca="false">#REF!</f>
        <v>#REF!</v>
      </c>
      <c r="F44" s="68" t="e">
        <f aca="false">#REF!</f>
        <v>#REF!</v>
      </c>
    </row>
    <row r="45" customFormat="false" ht="12.8" hidden="false" customHeight="false" outlineLevel="0" collapsed="false">
      <c r="A45" s="50" t="e">
        <f aca="false">_xlfn.CONCAT($A$1, ".", #REF!)</f>
        <v>#REF!</v>
      </c>
      <c r="B45" s="65" t="e">
        <f aca="false">_xlfn.CONCAT(#REF!, ":", #REF!)</f>
        <v>#REF!</v>
      </c>
      <c r="C45" s="68" t="e">
        <f aca="false">#REF!</f>
        <v>#REF!</v>
      </c>
      <c r="D45" s="68" t="e">
        <f aca="false">#REF!</f>
        <v>#REF!</v>
      </c>
      <c r="E45" s="68" t="e">
        <f aca="false">#REF!</f>
        <v>#REF!</v>
      </c>
      <c r="F45" s="68" t="e">
        <f aca="false">#REF!</f>
        <v>#REF!</v>
      </c>
    </row>
    <row r="46" customFormat="false" ht="12.8" hidden="false" customHeight="false" outlineLevel="0" collapsed="false">
      <c r="A46" s="50" t="e">
        <f aca="false">_xlfn.CONCAT($A$1, ".", #REF!)</f>
        <v>#REF!</v>
      </c>
      <c r="B46" s="65" t="e">
        <f aca="false">_xlfn.CONCAT(#REF!, ":", #REF!)</f>
        <v>#REF!</v>
      </c>
      <c r="C46" s="68" t="e">
        <f aca="false">#REF!</f>
        <v>#REF!</v>
      </c>
      <c r="D46" s="68" t="e">
        <f aca="false">#REF!</f>
        <v>#REF!</v>
      </c>
      <c r="E46" s="68" t="e">
        <f aca="false">#REF!</f>
        <v>#REF!</v>
      </c>
      <c r="F46" s="68" t="e">
        <f aca="false">#REF!</f>
        <v>#REF!</v>
      </c>
    </row>
    <row r="47" customFormat="false" ht="12.8" hidden="false" customHeight="false" outlineLevel="0" collapsed="false">
      <c r="A47" s="50" t="e">
        <f aca="false">_xlfn.CONCAT($A$1, ".", #REF!)</f>
        <v>#REF!</v>
      </c>
      <c r="B47" s="65" t="e">
        <f aca="false">_xlfn.CONCAT(#REF!, ":", #REF!)</f>
        <v>#REF!</v>
      </c>
      <c r="C47" s="68" t="e">
        <f aca="false">#REF!</f>
        <v>#REF!</v>
      </c>
      <c r="D47" s="68" t="e">
        <f aca="false">#REF!</f>
        <v>#REF!</v>
      </c>
      <c r="E47" s="68" t="e">
        <f aca="false">#REF!</f>
        <v>#REF!</v>
      </c>
      <c r="F47" s="68" t="e">
        <f aca="false">#REF!</f>
        <v>#REF!</v>
      </c>
    </row>
    <row r="48" customFormat="false" ht="12.8" hidden="false" customHeight="false" outlineLevel="0" collapsed="false">
      <c r="A48" s="50" t="e">
        <f aca="false">_xlfn.CONCAT($A$1, ".", #REF!)</f>
        <v>#REF!</v>
      </c>
      <c r="B48" s="65" t="e">
        <f aca="false">_xlfn.CONCAT(#REF!, ":", #REF!)</f>
        <v>#REF!</v>
      </c>
      <c r="C48" s="68" t="e">
        <f aca="false">#REF!</f>
        <v>#REF!</v>
      </c>
      <c r="D48" s="68" t="e">
        <f aca="false">#REF!</f>
        <v>#REF!</v>
      </c>
      <c r="E48" s="68" t="e">
        <f aca="false">#REF!</f>
        <v>#REF!</v>
      </c>
      <c r="F48" s="68" t="e">
        <f aca="false">#REF!</f>
        <v>#REF!</v>
      </c>
    </row>
    <row r="49" customFormat="false" ht="12.8" hidden="false" customHeight="false" outlineLevel="0" collapsed="false">
      <c r="A49" s="50" t="e">
        <f aca="false">_xlfn.CONCAT($A$1, ".", #REF!)</f>
        <v>#REF!</v>
      </c>
      <c r="B49" s="65" t="e">
        <f aca="false">_xlfn.CONCAT(#REF!, ":", #REF!)</f>
        <v>#REF!</v>
      </c>
      <c r="C49" s="68" t="e">
        <f aca="false">#REF!</f>
        <v>#REF!</v>
      </c>
      <c r="D49" s="68" t="e">
        <f aca="false">#REF!</f>
        <v>#REF!</v>
      </c>
      <c r="E49" s="68" t="e">
        <f aca="false">#REF!</f>
        <v>#REF!</v>
      </c>
      <c r="F49" s="68" t="e">
        <f aca="false">#REF!</f>
        <v>#REF!</v>
      </c>
    </row>
    <row r="50" customFormat="false" ht="12.8" hidden="false" customHeight="false" outlineLevel="0" collapsed="false">
      <c r="A50" s="50" t="e">
        <f aca="false">_xlfn.CONCAT($A$1, ".", #REF!)</f>
        <v>#REF!</v>
      </c>
      <c r="B50" s="65" t="e">
        <f aca="false">_xlfn.CONCAT(#REF!, ":", #REF!)</f>
        <v>#REF!</v>
      </c>
      <c r="C50" s="68" t="e">
        <f aca="false">#REF!</f>
        <v>#REF!</v>
      </c>
      <c r="D50" s="68" t="e">
        <f aca="false">#REF!</f>
        <v>#REF!</v>
      </c>
      <c r="E50" s="68" t="e">
        <f aca="false">#REF!</f>
        <v>#REF!</v>
      </c>
      <c r="F50" s="68" t="e">
        <f aca="false">#REF!</f>
        <v>#REF!</v>
      </c>
    </row>
    <row r="51" customFormat="false" ht="12.8" hidden="false" customHeight="false" outlineLevel="0" collapsed="false">
      <c r="A51" s="50" t="e">
        <f aca="false">_xlfn.CONCAT($A$1, ".", #REF!)</f>
        <v>#REF!</v>
      </c>
      <c r="B51" s="65" t="e">
        <f aca="false">_xlfn.CONCAT(#REF!, ":", #REF!)</f>
        <v>#REF!</v>
      </c>
      <c r="C51" s="68" t="e">
        <f aca="false">#REF!</f>
        <v>#REF!</v>
      </c>
      <c r="D51" s="68" t="e">
        <f aca="false">#REF!</f>
        <v>#REF!</v>
      </c>
      <c r="E51" s="68" t="e">
        <f aca="false">#REF!</f>
        <v>#REF!</v>
      </c>
      <c r="F51" s="68" t="e">
        <f aca="false">#REF!</f>
        <v>#REF!</v>
      </c>
    </row>
    <row r="52" customFormat="false" ht="12.8" hidden="false" customHeight="false" outlineLevel="0" collapsed="false">
      <c r="A52" s="50" t="e">
        <f aca="false">_xlfn.CONCAT($A$1, ".", #REF!)</f>
        <v>#REF!</v>
      </c>
      <c r="B52" s="65" t="e">
        <f aca="false">_xlfn.CONCAT(#REF!, ":", #REF!)</f>
        <v>#REF!</v>
      </c>
      <c r="C52" s="68" t="e">
        <f aca="false">#REF!</f>
        <v>#REF!</v>
      </c>
      <c r="D52" s="68" t="e">
        <f aca="false">#REF!</f>
        <v>#REF!</v>
      </c>
      <c r="E52" s="68" t="e">
        <f aca="false">#REF!</f>
        <v>#REF!</v>
      </c>
      <c r="F52" s="68" t="e">
        <f aca="false">#REF!</f>
        <v>#REF!</v>
      </c>
    </row>
    <row r="53" customFormat="false" ht="12.8" hidden="false" customHeight="false" outlineLevel="0" collapsed="false">
      <c r="A53" s="50" t="e">
        <f aca="false">_xlfn.CONCAT($A$1, ".", #REF!)</f>
        <v>#REF!</v>
      </c>
      <c r="B53" s="65" t="e">
        <f aca="false">_xlfn.CONCAT(#REF!, ":", #REF!)</f>
        <v>#REF!</v>
      </c>
      <c r="C53" s="68" t="e">
        <f aca="false">#REF!</f>
        <v>#REF!</v>
      </c>
      <c r="D53" s="68" t="e">
        <f aca="false">#REF!</f>
        <v>#REF!</v>
      </c>
      <c r="E53" s="68" t="e">
        <f aca="false">#REF!</f>
        <v>#REF!</v>
      </c>
      <c r="F53" s="68" t="e">
        <f aca="false">#REF!</f>
        <v>#REF!</v>
      </c>
    </row>
    <row r="54" customFormat="false" ht="12.8" hidden="false" customHeight="false" outlineLevel="0" collapsed="false">
      <c r="A54" s="50" t="e">
        <f aca="false">_xlfn.CONCAT($A$1, ".", #REF!)</f>
        <v>#REF!</v>
      </c>
      <c r="B54" s="65" t="e">
        <f aca="false">_xlfn.CONCAT(#REF!, ":", #REF!)</f>
        <v>#REF!</v>
      </c>
      <c r="C54" s="68" t="e">
        <f aca="false">#REF!</f>
        <v>#REF!</v>
      </c>
      <c r="D54" s="68" t="e">
        <f aca="false">#REF!</f>
        <v>#REF!</v>
      </c>
      <c r="E54" s="68" t="e">
        <f aca="false">#REF!</f>
        <v>#REF!</v>
      </c>
      <c r="F54" s="68" t="e">
        <f aca="false">#REF!</f>
        <v>#REF!</v>
      </c>
    </row>
    <row r="55" customFormat="false" ht="12.8" hidden="false" customHeight="false" outlineLevel="0" collapsed="false">
      <c r="A55" s="50" t="e">
        <f aca="false">_xlfn.CONCAT($A$1, ".", #REF!)</f>
        <v>#REF!</v>
      </c>
      <c r="B55" s="65" t="e">
        <f aca="false">_xlfn.CONCAT(#REF!, ":", #REF!)</f>
        <v>#REF!</v>
      </c>
      <c r="C55" s="68" t="e">
        <f aca="false">#REF!</f>
        <v>#REF!</v>
      </c>
      <c r="D55" s="68" t="e">
        <f aca="false">#REF!</f>
        <v>#REF!</v>
      </c>
      <c r="E55" s="68" t="e">
        <f aca="false">#REF!</f>
        <v>#REF!</v>
      </c>
      <c r="F55" s="68"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75" zoomScaleNormal="75" zoomScalePageLayoutView="100" workbookViewId="0">
      <selection pane="topLeft" activeCell="A255" activeCellId="1" sqref="D3:E3 A2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7"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1499</v>
      </c>
      <c r="B1" s="78" t="s">
        <v>1508</v>
      </c>
      <c r="C1" s="6" t="s">
        <v>2</v>
      </c>
      <c r="D1" s="39" t="s">
        <v>1509</v>
      </c>
      <c r="AZ1" s="39"/>
      <c r="BP1" s="39"/>
    </row>
    <row r="2" customFormat="false" ht="35.05" hidden="false" customHeight="false" outlineLevel="0" collapsed="false">
      <c r="A2" s="79" t="s">
        <v>1473</v>
      </c>
      <c r="B2" s="80" t="s">
        <v>1474</v>
      </c>
      <c r="C2" s="81" t="str">
        <f aca="false">CALC!CH3</f>
        <v>Job Tenure Average (years)</v>
      </c>
      <c r="D2" s="81" t="str">
        <f aca="false">CALC!CI3</f>
        <v>Authorized Immigrant Job Tenure Average</v>
      </c>
      <c r="E2" s="81" t="str">
        <f aca="false">CALC!CJ3</f>
        <v>Unauthorized Immigrant Job Tenure Average</v>
      </c>
      <c r="F2" s="81" t="str">
        <f aca="false">CALC!CK3</f>
        <v>American Job Tenure Average</v>
      </c>
    </row>
    <row r="3" customFormat="false" ht="12.8" hidden="false" customHeight="false" outlineLevel="0" collapsed="false">
      <c r="A3" s="50" t="e">
        <f aca="false">_xlfn.CONCAT($A$1, ".", #REF!)</f>
        <v>#REF!</v>
      </c>
      <c r="B3" s="65" t="e">
        <f aca="false">_xlfn.CONCAT(#REF!, ":", #REF!)</f>
        <v>#REF!</v>
      </c>
      <c r="C3" s="81" t="e">
        <f aca="false">#REF!</f>
        <v>#REF!</v>
      </c>
      <c r="D3" s="81" t="e">
        <f aca="false">#REF!</f>
        <v>#REF!</v>
      </c>
      <c r="E3" s="81" t="e">
        <f aca="false">#REF!</f>
        <v>#REF!</v>
      </c>
      <c r="F3" s="81" t="e">
        <f aca="false">#REF!</f>
        <v>#REF!</v>
      </c>
    </row>
    <row r="4" customFormat="false" ht="12.8" hidden="false" customHeight="false" outlineLevel="0" collapsed="false">
      <c r="A4" s="50" t="e">
        <f aca="false">_xlfn.CONCAT($A$1, ".", #REF!)</f>
        <v>#REF!</v>
      </c>
      <c r="B4" s="65" t="e">
        <f aca="false">_xlfn.CONCAT(#REF!, ":", #REF!)</f>
        <v>#REF!</v>
      </c>
      <c r="C4" s="81" t="e">
        <f aca="false">#REF!</f>
        <v>#REF!</v>
      </c>
      <c r="D4" s="81" t="e">
        <f aca="false">#REF!</f>
        <v>#REF!</v>
      </c>
      <c r="E4" s="81" t="e">
        <f aca="false">#REF!</f>
        <v>#REF!</v>
      </c>
      <c r="F4" s="81" t="e">
        <f aca="false">#REF!</f>
        <v>#REF!</v>
      </c>
    </row>
    <row r="5" customFormat="false" ht="12.8" hidden="false" customHeight="false" outlineLevel="0" collapsed="false">
      <c r="A5" s="50" t="e">
        <f aca="false">_xlfn.CONCAT($A$1, ".", #REF!)</f>
        <v>#REF!</v>
      </c>
      <c r="B5" s="65" t="e">
        <f aca="false">_xlfn.CONCAT(#REF!, ":", #REF!)</f>
        <v>#REF!</v>
      </c>
      <c r="C5" s="81" t="e">
        <f aca="false">#REF!</f>
        <v>#REF!</v>
      </c>
      <c r="D5" s="81" t="e">
        <f aca="false">#REF!</f>
        <v>#REF!</v>
      </c>
      <c r="E5" s="81" t="e">
        <f aca="false">#REF!</f>
        <v>#REF!</v>
      </c>
      <c r="F5" s="81" t="e">
        <f aca="false">#REF!</f>
        <v>#REF!</v>
      </c>
    </row>
    <row r="6" customFormat="false" ht="12.8" hidden="false" customHeight="false" outlineLevel="0" collapsed="false">
      <c r="A6" s="50" t="e">
        <f aca="false">_xlfn.CONCAT($A$1, ".", #REF!)</f>
        <v>#REF!</v>
      </c>
      <c r="B6" s="65" t="e">
        <f aca="false">_xlfn.CONCAT(#REF!, ":", #REF!)</f>
        <v>#REF!</v>
      </c>
      <c r="C6" s="81" t="e">
        <f aca="false">#REF!</f>
        <v>#REF!</v>
      </c>
      <c r="D6" s="81" t="e">
        <f aca="false">#REF!</f>
        <v>#REF!</v>
      </c>
      <c r="E6" s="81" t="e">
        <f aca="false">#REF!</f>
        <v>#REF!</v>
      </c>
      <c r="F6" s="81" t="e">
        <f aca="false">#REF!</f>
        <v>#REF!</v>
      </c>
    </row>
    <row r="7" customFormat="false" ht="12.8" hidden="false" customHeight="false" outlineLevel="0" collapsed="false">
      <c r="A7" s="50" t="e">
        <f aca="false">_xlfn.CONCAT($A$1, ".", #REF!)</f>
        <v>#REF!</v>
      </c>
      <c r="B7" s="65" t="e">
        <f aca="false">_xlfn.CONCAT(#REF!, ":", #REF!)</f>
        <v>#REF!</v>
      </c>
      <c r="C7" s="81" t="e">
        <f aca="false">#REF!</f>
        <v>#REF!</v>
      </c>
      <c r="D7" s="81" t="e">
        <f aca="false">#REF!</f>
        <v>#REF!</v>
      </c>
      <c r="E7" s="81" t="e">
        <f aca="false">#REF!</f>
        <v>#REF!</v>
      </c>
      <c r="F7" s="81" t="e">
        <f aca="false">#REF!</f>
        <v>#REF!</v>
      </c>
    </row>
    <row r="8" customFormat="false" ht="12.8" hidden="false" customHeight="false" outlineLevel="0" collapsed="false">
      <c r="A8" s="50" t="e">
        <f aca="false">_xlfn.CONCAT($A$1, ".", #REF!)</f>
        <v>#REF!</v>
      </c>
      <c r="B8" s="65" t="e">
        <f aca="false">_xlfn.CONCAT(#REF!, ":", #REF!)</f>
        <v>#REF!</v>
      </c>
      <c r="C8" s="81" t="e">
        <f aca="false">#REF!</f>
        <v>#REF!</v>
      </c>
      <c r="D8" s="81" t="e">
        <f aca="false">#REF!</f>
        <v>#REF!</v>
      </c>
      <c r="E8" s="81" t="e">
        <f aca="false">#REF!</f>
        <v>#REF!</v>
      </c>
      <c r="F8" s="81" t="e">
        <f aca="false">#REF!</f>
        <v>#REF!</v>
      </c>
    </row>
    <row r="9" customFormat="false" ht="12.8" hidden="false" customHeight="false" outlineLevel="0" collapsed="false">
      <c r="A9" s="50" t="e">
        <f aca="false">_xlfn.CONCAT($A$1, ".", #REF!)</f>
        <v>#REF!</v>
      </c>
      <c r="B9" s="65" t="e">
        <f aca="false">_xlfn.CONCAT(#REF!, ":", #REF!)</f>
        <v>#REF!</v>
      </c>
      <c r="C9" s="81" t="e">
        <f aca="false">#REF!</f>
        <v>#REF!</v>
      </c>
      <c r="D9" s="81" t="e">
        <f aca="false">#REF!</f>
        <v>#REF!</v>
      </c>
      <c r="E9" s="81" t="e">
        <f aca="false">#REF!</f>
        <v>#REF!</v>
      </c>
      <c r="F9" s="81" t="e">
        <f aca="false">#REF!</f>
        <v>#REF!</v>
      </c>
    </row>
    <row r="10" customFormat="false" ht="12.8" hidden="false" customHeight="false" outlineLevel="0" collapsed="false">
      <c r="A10" s="50" t="e">
        <f aca="false">_xlfn.CONCAT($A$1, ".", #REF!)</f>
        <v>#REF!</v>
      </c>
      <c r="B10" s="65" t="e">
        <f aca="false">_xlfn.CONCAT(#REF!, ":", #REF!)</f>
        <v>#REF!</v>
      </c>
      <c r="C10" s="81" t="e">
        <f aca="false">#REF!</f>
        <v>#REF!</v>
      </c>
      <c r="D10" s="81" t="e">
        <f aca="false">#REF!</f>
        <v>#REF!</v>
      </c>
      <c r="E10" s="81" t="e">
        <f aca="false">#REF!</f>
        <v>#REF!</v>
      </c>
      <c r="F10" s="81" t="e">
        <f aca="false">#REF!</f>
        <v>#REF!</v>
      </c>
    </row>
    <row r="11" customFormat="false" ht="12.8" hidden="false" customHeight="false" outlineLevel="0" collapsed="false">
      <c r="A11" s="50" t="e">
        <f aca="false">_xlfn.CONCAT($A$1, ".", #REF!)</f>
        <v>#REF!</v>
      </c>
      <c r="B11" s="65" t="e">
        <f aca="false">_xlfn.CONCAT(#REF!, ":", #REF!)</f>
        <v>#REF!</v>
      </c>
      <c r="C11" s="81" t="e">
        <f aca="false">#REF!</f>
        <v>#REF!</v>
      </c>
      <c r="D11" s="81" t="e">
        <f aca="false">#REF!</f>
        <v>#REF!</v>
      </c>
      <c r="E11" s="81" t="e">
        <f aca="false">#REF!</f>
        <v>#REF!</v>
      </c>
      <c r="F11" s="81" t="e">
        <f aca="false">#REF!</f>
        <v>#REF!</v>
      </c>
    </row>
    <row r="12" customFormat="false" ht="12.8" hidden="false" customHeight="false" outlineLevel="0" collapsed="false">
      <c r="A12" s="50" t="e">
        <f aca="false">_xlfn.CONCAT($A$1, ".", #REF!)</f>
        <v>#REF!</v>
      </c>
      <c r="B12" s="65" t="e">
        <f aca="false">_xlfn.CONCAT(#REF!, ":", #REF!)</f>
        <v>#REF!</v>
      </c>
      <c r="C12" s="81" t="e">
        <f aca="false">#REF!</f>
        <v>#REF!</v>
      </c>
      <c r="D12" s="81" t="e">
        <f aca="false">#REF!</f>
        <v>#REF!</v>
      </c>
      <c r="E12" s="81" t="e">
        <f aca="false">#REF!</f>
        <v>#REF!</v>
      </c>
      <c r="F12" s="81" t="e">
        <f aca="false">#REF!</f>
        <v>#REF!</v>
      </c>
    </row>
    <row r="13" customFormat="false" ht="12.8" hidden="false" customHeight="false" outlineLevel="0" collapsed="false">
      <c r="A13" s="50" t="e">
        <f aca="false">_xlfn.CONCAT($A$1, ".", #REF!)</f>
        <v>#REF!</v>
      </c>
      <c r="B13" s="65" t="e">
        <f aca="false">_xlfn.CONCAT(#REF!, ":", #REF!)</f>
        <v>#REF!</v>
      </c>
      <c r="C13" s="81" t="e">
        <f aca="false">#REF!</f>
        <v>#REF!</v>
      </c>
      <c r="D13" s="81" t="e">
        <f aca="false">#REF!</f>
        <v>#REF!</v>
      </c>
      <c r="E13" s="81" t="e">
        <f aca="false">#REF!</f>
        <v>#REF!</v>
      </c>
      <c r="F13" s="81" t="e">
        <f aca="false">#REF!</f>
        <v>#REF!</v>
      </c>
    </row>
    <row r="14" customFormat="false" ht="12.8" hidden="false" customHeight="false" outlineLevel="0" collapsed="false">
      <c r="A14" s="50" t="e">
        <f aca="false">_xlfn.CONCAT($A$1, ".", #REF!)</f>
        <v>#REF!</v>
      </c>
      <c r="B14" s="65" t="e">
        <f aca="false">_xlfn.CONCAT(#REF!, ":", #REF!)</f>
        <v>#REF!</v>
      </c>
      <c r="C14" s="81" t="e">
        <f aca="false">#REF!</f>
        <v>#REF!</v>
      </c>
      <c r="D14" s="81" t="e">
        <f aca="false">#REF!</f>
        <v>#REF!</v>
      </c>
      <c r="E14" s="81" t="e">
        <f aca="false">#REF!</f>
        <v>#REF!</v>
      </c>
      <c r="F14" s="81" t="e">
        <f aca="false">#REF!</f>
        <v>#REF!</v>
      </c>
    </row>
    <row r="15" customFormat="false" ht="12.8" hidden="false" customHeight="false" outlineLevel="0" collapsed="false">
      <c r="A15" s="50" t="e">
        <f aca="false">_xlfn.CONCAT($A$1, ".", #REF!)</f>
        <v>#REF!</v>
      </c>
      <c r="B15" s="65" t="e">
        <f aca="false">_xlfn.CONCAT(#REF!, ":", #REF!)</f>
        <v>#REF!</v>
      </c>
      <c r="C15" s="81" t="e">
        <f aca="false">#REF!</f>
        <v>#REF!</v>
      </c>
      <c r="D15" s="81" t="e">
        <f aca="false">#REF!</f>
        <v>#REF!</v>
      </c>
      <c r="E15" s="81" t="e">
        <f aca="false">#REF!</f>
        <v>#REF!</v>
      </c>
      <c r="F15" s="81" t="e">
        <f aca="false">#REF!</f>
        <v>#REF!</v>
      </c>
    </row>
    <row r="16" customFormat="false" ht="12.8" hidden="false" customHeight="false" outlineLevel="0" collapsed="false">
      <c r="A16" s="50" t="e">
        <f aca="false">_xlfn.CONCAT($A$1, ".", #REF!)</f>
        <v>#REF!</v>
      </c>
      <c r="B16" s="65" t="e">
        <f aca="false">_xlfn.CONCAT(#REF!, ":", #REF!)</f>
        <v>#REF!</v>
      </c>
      <c r="C16" s="81" t="e">
        <f aca="false">#REF!</f>
        <v>#REF!</v>
      </c>
      <c r="D16" s="81" t="e">
        <f aca="false">#REF!</f>
        <v>#REF!</v>
      </c>
      <c r="E16" s="81" t="e">
        <f aca="false">#REF!</f>
        <v>#REF!</v>
      </c>
      <c r="F16" s="81" t="e">
        <f aca="false">#REF!</f>
        <v>#REF!</v>
      </c>
    </row>
    <row r="17" customFormat="false" ht="12.8" hidden="false" customHeight="false" outlineLevel="0" collapsed="false">
      <c r="A17" s="50" t="e">
        <f aca="false">_xlfn.CONCAT($A$1, ".", #REF!)</f>
        <v>#REF!</v>
      </c>
      <c r="B17" s="65" t="e">
        <f aca="false">_xlfn.CONCAT(#REF!, ":", #REF!)</f>
        <v>#REF!</v>
      </c>
      <c r="C17" s="81" t="e">
        <f aca="false">#REF!</f>
        <v>#REF!</v>
      </c>
      <c r="D17" s="81" t="e">
        <f aca="false">#REF!</f>
        <v>#REF!</v>
      </c>
      <c r="E17" s="81" t="e">
        <f aca="false">#REF!</f>
        <v>#REF!</v>
      </c>
      <c r="F17" s="81" t="e">
        <f aca="false">#REF!</f>
        <v>#REF!</v>
      </c>
    </row>
    <row r="18" customFormat="false" ht="12.8" hidden="false" customHeight="false" outlineLevel="0" collapsed="false">
      <c r="A18" s="50" t="e">
        <f aca="false">_xlfn.CONCAT($A$1, ".", #REF!)</f>
        <v>#REF!</v>
      </c>
      <c r="B18" s="65" t="e">
        <f aca="false">_xlfn.CONCAT(#REF!, ":", #REF!)</f>
        <v>#REF!</v>
      </c>
      <c r="C18" s="81" t="e">
        <f aca="false">#REF!</f>
        <v>#REF!</v>
      </c>
      <c r="D18" s="81" t="e">
        <f aca="false">#REF!</f>
        <v>#REF!</v>
      </c>
      <c r="E18" s="81" t="e">
        <f aca="false">#REF!</f>
        <v>#REF!</v>
      </c>
      <c r="F18" s="81" t="e">
        <f aca="false">#REF!</f>
        <v>#REF!</v>
      </c>
    </row>
    <row r="19" customFormat="false" ht="12.8" hidden="false" customHeight="false" outlineLevel="0" collapsed="false">
      <c r="A19" s="50" t="e">
        <f aca="false">_xlfn.CONCAT($A$1, ".", #REF!)</f>
        <v>#REF!</v>
      </c>
      <c r="B19" s="65" t="e">
        <f aca="false">_xlfn.CONCAT(#REF!, ":", #REF!)</f>
        <v>#REF!</v>
      </c>
      <c r="C19" s="81" t="e">
        <f aca="false">#REF!</f>
        <v>#REF!</v>
      </c>
      <c r="D19" s="81" t="e">
        <f aca="false">#REF!</f>
        <v>#REF!</v>
      </c>
      <c r="E19" s="81" t="e">
        <f aca="false">#REF!</f>
        <v>#REF!</v>
      </c>
      <c r="F19" s="81" t="e">
        <f aca="false">#REF!</f>
        <v>#REF!</v>
      </c>
    </row>
    <row r="20" customFormat="false" ht="12.8" hidden="false" customHeight="false" outlineLevel="0" collapsed="false">
      <c r="A20" s="50" t="e">
        <f aca="false">_xlfn.CONCAT($A$1, ".", #REF!)</f>
        <v>#REF!</v>
      </c>
      <c r="B20" s="65" t="e">
        <f aca="false">_xlfn.CONCAT(#REF!, ":", #REF!)</f>
        <v>#REF!</v>
      </c>
      <c r="C20" s="81" t="e">
        <f aca="false">#REF!</f>
        <v>#REF!</v>
      </c>
      <c r="D20" s="81" t="e">
        <f aca="false">#REF!</f>
        <v>#REF!</v>
      </c>
      <c r="E20" s="81" t="e">
        <f aca="false">#REF!</f>
        <v>#REF!</v>
      </c>
      <c r="F20" s="81" t="e">
        <f aca="false">#REF!</f>
        <v>#REF!</v>
      </c>
    </row>
    <row r="21" customFormat="false" ht="12.8" hidden="false" customHeight="false" outlineLevel="0" collapsed="false">
      <c r="A21" s="50" t="e">
        <f aca="false">_xlfn.CONCAT($A$1, ".", #REF!)</f>
        <v>#REF!</v>
      </c>
      <c r="B21" s="65" t="e">
        <f aca="false">_xlfn.CONCAT(#REF!, ":", #REF!)</f>
        <v>#REF!</v>
      </c>
      <c r="C21" s="81" t="e">
        <f aca="false">#REF!</f>
        <v>#REF!</v>
      </c>
      <c r="D21" s="81" t="e">
        <f aca="false">#REF!</f>
        <v>#REF!</v>
      </c>
      <c r="E21" s="81" t="e">
        <f aca="false">#REF!</f>
        <v>#REF!</v>
      </c>
      <c r="F21" s="81" t="e">
        <f aca="false">#REF!</f>
        <v>#REF!</v>
      </c>
    </row>
    <row r="22" customFormat="false" ht="12.8" hidden="false" customHeight="false" outlineLevel="0" collapsed="false">
      <c r="A22" s="50" t="e">
        <f aca="false">_xlfn.CONCAT($A$1, ".", #REF!)</f>
        <v>#REF!</v>
      </c>
      <c r="B22" s="65" t="e">
        <f aca="false">_xlfn.CONCAT(#REF!, ":", #REF!)</f>
        <v>#REF!</v>
      </c>
      <c r="C22" s="81" t="e">
        <f aca="false">#REF!</f>
        <v>#REF!</v>
      </c>
      <c r="D22" s="81" t="e">
        <f aca="false">#REF!</f>
        <v>#REF!</v>
      </c>
      <c r="E22" s="81" t="e">
        <f aca="false">#REF!</f>
        <v>#REF!</v>
      </c>
      <c r="F22" s="81" t="e">
        <f aca="false">#REF!</f>
        <v>#REF!</v>
      </c>
    </row>
    <row r="23" customFormat="false" ht="12.8" hidden="false" customHeight="false" outlineLevel="0" collapsed="false">
      <c r="A23" s="50" t="e">
        <f aca="false">_xlfn.CONCAT($A$1, ".", #REF!)</f>
        <v>#REF!</v>
      </c>
      <c r="B23" s="65" t="e">
        <f aca="false">_xlfn.CONCAT(#REF!, ":", #REF!)</f>
        <v>#REF!</v>
      </c>
      <c r="C23" s="81" t="e">
        <f aca="false">#REF!</f>
        <v>#REF!</v>
      </c>
      <c r="D23" s="81" t="e">
        <f aca="false">#REF!</f>
        <v>#REF!</v>
      </c>
      <c r="E23" s="81" t="e">
        <f aca="false">#REF!</f>
        <v>#REF!</v>
      </c>
      <c r="F23" s="81" t="e">
        <f aca="false">#REF!</f>
        <v>#REF!</v>
      </c>
    </row>
    <row r="24" customFormat="false" ht="12.8" hidden="false" customHeight="false" outlineLevel="0" collapsed="false">
      <c r="A24" s="50" t="e">
        <f aca="false">_xlfn.CONCAT($A$1, ".", #REF!)</f>
        <v>#REF!</v>
      </c>
      <c r="B24" s="65" t="e">
        <f aca="false">_xlfn.CONCAT(#REF!, ":", #REF!)</f>
        <v>#REF!</v>
      </c>
      <c r="C24" s="81" t="e">
        <f aca="false">#REF!</f>
        <v>#REF!</v>
      </c>
      <c r="D24" s="81" t="e">
        <f aca="false">#REF!</f>
        <v>#REF!</v>
      </c>
      <c r="E24" s="81" t="e">
        <f aca="false">#REF!</f>
        <v>#REF!</v>
      </c>
      <c r="F24" s="81" t="e">
        <f aca="false">#REF!</f>
        <v>#REF!</v>
      </c>
    </row>
    <row r="25" customFormat="false" ht="12.8" hidden="false" customHeight="false" outlineLevel="0" collapsed="false">
      <c r="A25" s="50" t="e">
        <f aca="false">_xlfn.CONCAT($A$1, ".", #REF!)</f>
        <v>#REF!</v>
      </c>
      <c r="B25" s="65" t="e">
        <f aca="false">_xlfn.CONCAT(#REF!, ":", #REF!)</f>
        <v>#REF!</v>
      </c>
      <c r="C25" s="81" t="e">
        <f aca="false">#REF!</f>
        <v>#REF!</v>
      </c>
      <c r="D25" s="81" t="e">
        <f aca="false">#REF!</f>
        <v>#REF!</v>
      </c>
      <c r="E25" s="81" t="e">
        <f aca="false">#REF!</f>
        <v>#REF!</v>
      </c>
      <c r="F25" s="81" t="e">
        <f aca="false">#REF!</f>
        <v>#REF!</v>
      </c>
    </row>
    <row r="26" customFormat="false" ht="12.8" hidden="false" customHeight="false" outlineLevel="0" collapsed="false">
      <c r="A26" s="50" t="e">
        <f aca="false">_xlfn.CONCAT($A$1, ".", #REF!)</f>
        <v>#REF!</v>
      </c>
      <c r="B26" s="65" t="e">
        <f aca="false">_xlfn.CONCAT(#REF!, ":", #REF!)</f>
        <v>#REF!</v>
      </c>
      <c r="C26" s="81" t="e">
        <f aca="false">#REF!</f>
        <v>#REF!</v>
      </c>
      <c r="D26" s="81" t="e">
        <f aca="false">#REF!</f>
        <v>#REF!</v>
      </c>
      <c r="E26" s="81" t="e">
        <f aca="false">#REF!</f>
        <v>#REF!</v>
      </c>
      <c r="F26" s="81" t="e">
        <f aca="false">#REF!</f>
        <v>#REF!</v>
      </c>
    </row>
    <row r="27" customFormat="false" ht="12.8" hidden="false" customHeight="false" outlineLevel="0" collapsed="false">
      <c r="A27" s="50" t="e">
        <f aca="false">_xlfn.CONCAT($A$1, ".", #REF!)</f>
        <v>#REF!</v>
      </c>
      <c r="B27" s="65" t="e">
        <f aca="false">_xlfn.CONCAT(#REF!, ":", #REF!)</f>
        <v>#REF!</v>
      </c>
      <c r="C27" s="81" t="e">
        <f aca="false">#REF!</f>
        <v>#REF!</v>
      </c>
      <c r="D27" s="81" t="e">
        <f aca="false">#REF!</f>
        <v>#REF!</v>
      </c>
      <c r="E27" s="81" t="e">
        <f aca="false">#REF!</f>
        <v>#REF!</v>
      </c>
      <c r="F27" s="81" t="e">
        <f aca="false">#REF!</f>
        <v>#REF!</v>
      </c>
    </row>
    <row r="28" customFormat="false" ht="12.8" hidden="false" customHeight="false" outlineLevel="0" collapsed="false">
      <c r="A28" s="50" t="e">
        <f aca="false">_xlfn.CONCAT($A$1, ".", #REF!)</f>
        <v>#REF!</v>
      </c>
      <c r="B28" s="65" t="e">
        <f aca="false">_xlfn.CONCAT(#REF!, ":", #REF!)</f>
        <v>#REF!</v>
      </c>
      <c r="C28" s="81" t="e">
        <f aca="false">#REF!</f>
        <v>#REF!</v>
      </c>
      <c r="D28" s="81" t="e">
        <f aca="false">#REF!</f>
        <v>#REF!</v>
      </c>
      <c r="E28" s="81" t="e">
        <f aca="false">#REF!</f>
        <v>#REF!</v>
      </c>
      <c r="F28" s="81" t="e">
        <f aca="false">#REF!</f>
        <v>#REF!</v>
      </c>
    </row>
    <row r="29" customFormat="false" ht="12.8" hidden="false" customHeight="false" outlineLevel="0" collapsed="false">
      <c r="A29" s="50" t="e">
        <f aca="false">_xlfn.CONCAT($A$1, ".", #REF!)</f>
        <v>#REF!</v>
      </c>
      <c r="B29" s="65" t="e">
        <f aca="false">_xlfn.CONCAT(#REF!, ":", #REF!)</f>
        <v>#REF!</v>
      </c>
      <c r="C29" s="81" t="e">
        <f aca="false">#REF!</f>
        <v>#REF!</v>
      </c>
      <c r="D29" s="81" t="e">
        <f aca="false">#REF!</f>
        <v>#REF!</v>
      </c>
      <c r="E29" s="81" t="e">
        <f aca="false">#REF!</f>
        <v>#REF!</v>
      </c>
      <c r="F29" s="81" t="e">
        <f aca="false">#REF!</f>
        <v>#REF!</v>
      </c>
    </row>
    <row r="30" customFormat="false" ht="12.8" hidden="false" customHeight="false" outlineLevel="0" collapsed="false">
      <c r="A30" s="50" t="e">
        <f aca="false">_xlfn.CONCAT($A$1, ".", #REF!)</f>
        <v>#REF!</v>
      </c>
      <c r="B30" s="65" t="e">
        <f aca="false">_xlfn.CONCAT(#REF!, ":", #REF!)</f>
        <v>#REF!</v>
      </c>
      <c r="C30" s="81" t="e">
        <f aca="false">#REF!</f>
        <v>#REF!</v>
      </c>
      <c r="D30" s="81" t="e">
        <f aca="false">#REF!</f>
        <v>#REF!</v>
      </c>
      <c r="E30" s="81" t="e">
        <f aca="false">#REF!</f>
        <v>#REF!</v>
      </c>
      <c r="F30" s="81" t="e">
        <f aca="false">#REF!</f>
        <v>#REF!</v>
      </c>
    </row>
    <row r="31" customFormat="false" ht="12.8" hidden="false" customHeight="false" outlineLevel="0" collapsed="false">
      <c r="A31" s="50" t="e">
        <f aca="false">_xlfn.CONCAT($A$1, ".", #REF!)</f>
        <v>#REF!</v>
      </c>
      <c r="B31" s="65" t="e">
        <f aca="false">_xlfn.CONCAT(#REF!, ":", #REF!)</f>
        <v>#REF!</v>
      </c>
      <c r="C31" s="81" t="e">
        <f aca="false">#REF!</f>
        <v>#REF!</v>
      </c>
      <c r="D31" s="81" t="e">
        <f aca="false">#REF!</f>
        <v>#REF!</v>
      </c>
      <c r="E31" s="81" t="e">
        <f aca="false">#REF!</f>
        <v>#REF!</v>
      </c>
      <c r="F31" s="81" t="e">
        <f aca="false">#REF!</f>
        <v>#REF!</v>
      </c>
    </row>
    <row r="32" customFormat="false" ht="12.8" hidden="false" customHeight="false" outlineLevel="0" collapsed="false">
      <c r="A32" s="50" t="e">
        <f aca="false">_xlfn.CONCAT($A$1, ".", #REF!)</f>
        <v>#REF!</v>
      </c>
      <c r="B32" s="65" t="e">
        <f aca="false">_xlfn.CONCAT(#REF!, ":", #REF!)</f>
        <v>#REF!</v>
      </c>
      <c r="C32" s="81" t="e">
        <f aca="false">#REF!</f>
        <v>#REF!</v>
      </c>
      <c r="D32" s="81" t="e">
        <f aca="false">#REF!</f>
        <v>#REF!</v>
      </c>
      <c r="E32" s="81" t="e">
        <f aca="false">#REF!</f>
        <v>#REF!</v>
      </c>
      <c r="F32" s="81" t="e">
        <f aca="false">#REF!</f>
        <v>#REF!</v>
      </c>
    </row>
    <row r="33" customFormat="false" ht="12.8" hidden="false" customHeight="false" outlineLevel="0" collapsed="false">
      <c r="A33" s="50" t="e">
        <f aca="false">_xlfn.CONCAT($A$1, ".", #REF!)</f>
        <v>#REF!</v>
      </c>
      <c r="B33" s="65" t="e">
        <f aca="false">_xlfn.CONCAT(#REF!, ":", #REF!)</f>
        <v>#REF!</v>
      </c>
      <c r="C33" s="81" t="e">
        <f aca="false">#REF!</f>
        <v>#REF!</v>
      </c>
      <c r="D33" s="81" t="e">
        <f aca="false">#REF!</f>
        <v>#REF!</v>
      </c>
      <c r="E33" s="81" t="e">
        <f aca="false">#REF!</f>
        <v>#REF!</v>
      </c>
      <c r="F33" s="81" t="e">
        <f aca="false">#REF!</f>
        <v>#REF!</v>
      </c>
    </row>
    <row r="34" customFormat="false" ht="12.8" hidden="false" customHeight="false" outlineLevel="0" collapsed="false">
      <c r="A34" s="50" t="e">
        <f aca="false">_xlfn.CONCAT($A$1, ".", #REF!)</f>
        <v>#REF!</v>
      </c>
      <c r="B34" s="65" t="e">
        <f aca="false">_xlfn.CONCAT(#REF!, ":", #REF!)</f>
        <v>#REF!</v>
      </c>
      <c r="C34" s="81" t="e">
        <f aca="false">#REF!</f>
        <v>#REF!</v>
      </c>
      <c r="D34" s="81" t="e">
        <f aca="false">#REF!</f>
        <v>#REF!</v>
      </c>
      <c r="E34" s="81" t="e">
        <f aca="false">#REF!</f>
        <v>#REF!</v>
      </c>
      <c r="F34" s="81" t="e">
        <f aca="false">#REF!</f>
        <v>#REF!</v>
      </c>
    </row>
    <row r="35" customFormat="false" ht="12.8" hidden="false" customHeight="false" outlineLevel="0" collapsed="false">
      <c r="A35" s="50" t="e">
        <f aca="false">_xlfn.CONCAT($A$1, ".", #REF!)</f>
        <v>#REF!</v>
      </c>
      <c r="B35" s="65" t="e">
        <f aca="false">_xlfn.CONCAT(#REF!, ":", #REF!)</f>
        <v>#REF!</v>
      </c>
      <c r="C35" s="81" t="e">
        <f aca="false">#REF!</f>
        <v>#REF!</v>
      </c>
      <c r="D35" s="81" t="e">
        <f aca="false">#REF!</f>
        <v>#REF!</v>
      </c>
      <c r="E35" s="81" t="e">
        <f aca="false">#REF!</f>
        <v>#REF!</v>
      </c>
      <c r="F35" s="81" t="e">
        <f aca="false">#REF!</f>
        <v>#REF!</v>
      </c>
    </row>
    <row r="36" customFormat="false" ht="12.8" hidden="false" customHeight="false" outlineLevel="0" collapsed="false">
      <c r="A36" s="50" t="e">
        <f aca="false">_xlfn.CONCAT($A$1, ".", #REF!)</f>
        <v>#REF!</v>
      </c>
      <c r="B36" s="65" t="e">
        <f aca="false">_xlfn.CONCAT(#REF!, ":", #REF!)</f>
        <v>#REF!</v>
      </c>
      <c r="C36" s="81" t="e">
        <f aca="false">#REF!</f>
        <v>#REF!</v>
      </c>
      <c r="D36" s="81" t="e">
        <f aca="false">#REF!</f>
        <v>#REF!</v>
      </c>
      <c r="E36" s="81" t="e">
        <f aca="false">#REF!</f>
        <v>#REF!</v>
      </c>
      <c r="F36" s="81" t="e">
        <f aca="false">#REF!</f>
        <v>#REF!</v>
      </c>
    </row>
    <row r="37" customFormat="false" ht="12.8" hidden="false" customHeight="false" outlineLevel="0" collapsed="false">
      <c r="A37" s="50" t="e">
        <f aca="false">_xlfn.CONCAT($A$1, ".", #REF!)</f>
        <v>#REF!</v>
      </c>
      <c r="B37" s="65" t="e">
        <f aca="false">_xlfn.CONCAT(#REF!, ":", #REF!)</f>
        <v>#REF!</v>
      </c>
      <c r="C37" s="81" t="e">
        <f aca="false">#REF!</f>
        <v>#REF!</v>
      </c>
      <c r="D37" s="81" t="e">
        <f aca="false">#REF!</f>
        <v>#REF!</v>
      </c>
      <c r="E37" s="81" t="e">
        <f aca="false">#REF!</f>
        <v>#REF!</v>
      </c>
      <c r="F37" s="81" t="e">
        <f aca="false">#REF!</f>
        <v>#REF!</v>
      </c>
    </row>
    <row r="38" customFormat="false" ht="12.8" hidden="false" customHeight="false" outlineLevel="0" collapsed="false">
      <c r="A38" s="50" t="e">
        <f aca="false">_xlfn.CONCAT($A$1, ".", #REF!)</f>
        <v>#REF!</v>
      </c>
      <c r="B38" s="65" t="e">
        <f aca="false">_xlfn.CONCAT(#REF!, ":", #REF!)</f>
        <v>#REF!</v>
      </c>
      <c r="C38" s="81" t="e">
        <f aca="false">#REF!</f>
        <v>#REF!</v>
      </c>
      <c r="D38" s="81" t="e">
        <f aca="false">#REF!</f>
        <v>#REF!</v>
      </c>
      <c r="E38" s="81" t="e">
        <f aca="false">#REF!</f>
        <v>#REF!</v>
      </c>
      <c r="F38" s="81" t="e">
        <f aca="false">#REF!</f>
        <v>#REF!</v>
      </c>
    </row>
    <row r="39" customFormat="false" ht="12.8" hidden="false" customHeight="false" outlineLevel="0" collapsed="false">
      <c r="A39" s="50" t="e">
        <f aca="false">_xlfn.CONCAT($A$1, ".", #REF!)</f>
        <v>#REF!</v>
      </c>
      <c r="B39" s="65" t="e">
        <f aca="false">_xlfn.CONCAT(#REF!, ":", #REF!)</f>
        <v>#REF!</v>
      </c>
      <c r="C39" s="81" t="e">
        <f aca="false">#REF!</f>
        <v>#REF!</v>
      </c>
      <c r="D39" s="81" t="e">
        <f aca="false">#REF!</f>
        <v>#REF!</v>
      </c>
      <c r="E39" s="81" t="e">
        <f aca="false">#REF!</f>
        <v>#REF!</v>
      </c>
      <c r="F39" s="81" t="e">
        <f aca="false">#REF!</f>
        <v>#REF!</v>
      </c>
    </row>
    <row r="40" customFormat="false" ht="12.8" hidden="false" customHeight="false" outlineLevel="0" collapsed="false">
      <c r="A40" s="50" t="e">
        <f aca="false">_xlfn.CONCAT($A$1, ".", #REF!)</f>
        <v>#REF!</v>
      </c>
      <c r="B40" s="65" t="e">
        <f aca="false">_xlfn.CONCAT(#REF!, ":", #REF!)</f>
        <v>#REF!</v>
      </c>
      <c r="C40" s="81" t="e">
        <f aca="false">#REF!</f>
        <v>#REF!</v>
      </c>
      <c r="D40" s="81" t="e">
        <f aca="false">#REF!</f>
        <v>#REF!</v>
      </c>
      <c r="E40" s="81" t="e">
        <f aca="false">#REF!</f>
        <v>#REF!</v>
      </c>
      <c r="F40" s="81" t="e">
        <f aca="false">#REF!</f>
        <v>#REF!</v>
      </c>
    </row>
    <row r="41" customFormat="false" ht="12.8" hidden="false" customHeight="false" outlineLevel="0" collapsed="false">
      <c r="A41" s="50" t="e">
        <f aca="false">_xlfn.CONCAT($A$1, ".", #REF!)</f>
        <v>#REF!</v>
      </c>
      <c r="B41" s="65" t="e">
        <f aca="false">_xlfn.CONCAT(#REF!, ":", #REF!)</f>
        <v>#REF!</v>
      </c>
      <c r="C41" s="81" t="e">
        <f aca="false">#REF!</f>
        <v>#REF!</v>
      </c>
      <c r="D41" s="81" t="e">
        <f aca="false">#REF!</f>
        <v>#REF!</v>
      </c>
      <c r="E41" s="81" t="e">
        <f aca="false">#REF!</f>
        <v>#REF!</v>
      </c>
      <c r="F41" s="81" t="e">
        <f aca="false">#REF!</f>
        <v>#REF!</v>
      </c>
    </row>
    <row r="42" customFormat="false" ht="12.8" hidden="false" customHeight="false" outlineLevel="0" collapsed="false">
      <c r="A42" s="50" t="e">
        <f aca="false">_xlfn.CONCAT($A$1, ".", #REF!)</f>
        <v>#REF!</v>
      </c>
      <c r="B42" s="65" t="e">
        <f aca="false">_xlfn.CONCAT(#REF!, ":", #REF!)</f>
        <v>#REF!</v>
      </c>
      <c r="C42" s="81" t="e">
        <f aca="false">#REF!</f>
        <v>#REF!</v>
      </c>
      <c r="D42" s="81" t="e">
        <f aca="false">#REF!</f>
        <v>#REF!</v>
      </c>
      <c r="E42" s="81" t="e">
        <f aca="false">#REF!</f>
        <v>#REF!</v>
      </c>
      <c r="F42" s="81" t="e">
        <f aca="false">#REF!</f>
        <v>#REF!</v>
      </c>
    </row>
    <row r="43" customFormat="false" ht="12.8" hidden="false" customHeight="false" outlineLevel="0" collapsed="false">
      <c r="A43" s="50" t="e">
        <f aca="false">_xlfn.CONCAT($A$1, ".", #REF!)</f>
        <v>#REF!</v>
      </c>
      <c r="B43" s="65" t="e">
        <f aca="false">_xlfn.CONCAT(#REF!, ":", #REF!)</f>
        <v>#REF!</v>
      </c>
      <c r="C43" s="81" t="e">
        <f aca="false">#REF!</f>
        <v>#REF!</v>
      </c>
      <c r="D43" s="81" t="e">
        <f aca="false">#REF!</f>
        <v>#REF!</v>
      </c>
      <c r="E43" s="81" t="e">
        <f aca="false">#REF!</f>
        <v>#REF!</v>
      </c>
      <c r="F43" s="81" t="e">
        <f aca="false">#REF!</f>
        <v>#REF!</v>
      </c>
    </row>
    <row r="44" customFormat="false" ht="12.8" hidden="false" customHeight="false" outlineLevel="0" collapsed="false">
      <c r="A44" s="50" t="e">
        <f aca="false">_xlfn.CONCAT($A$1, ".", #REF!)</f>
        <v>#REF!</v>
      </c>
      <c r="B44" s="65" t="e">
        <f aca="false">_xlfn.CONCAT(#REF!, ":", #REF!)</f>
        <v>#REF!</v>
      </c>
      <c r="C44" s="81" t="e">
        <f aca="false">#REF!</f>
        <v>#REF!</v>
      </c>
      <c r="D44" s="81" t="e">
        <f aca="false">#REF!</f>
        <v>#REF!</v>
      </c>
      <c r="E44" s="81" t="e">
        <f aca="false">#REF!</f>
        <v>#REF!</v>
      </c>
      <c r="F44" s="81" t="e">
        <f aca="false">#REF!</f>
        <v>#REF!</v>
      </c>
    </row>
    <row r="45" customFormat="false" ht="12.8" hidden="false" customHeight="false" outlineLevel="0" collapsed="false">
      <c r="A45" s="50" t="e">
        <f aca="false">_xlfn.CONCAT($A$1, ".", #REF!)</f>
        <v>#REF!</v>
      </c>
      <c r="B45" s="65" t="e">
        <f aca="false">_xlfn.CONCAT(#REF!, ":", #REF!)</f>
        <v>#REF!</v>
      </c>
      <c r="C45" s="81" t="e">
        <f aca="false">#REF!</f>
        <v>#REF!</v>
      </c>
      <c r="D45" s="81" t="e">
        <f aca="false">#REF!</f>
        <v>#REF!</v>
      </c>
      <c r="E45" s="81" t="e">
        <f aca="false">#REF!</f>
        <v>#REF!</v>
      </c>
      <c r="F45" s="81" t="e">
        <f aca="false">#REF!</f>
        <v>#REF!</v>
      </c>
    </row>
    <row r="46" customFormat="false" ht="12.8" hidden="false" customHeight="false" outlineLevel="0" collapsed="false">
      <c r="A46" s="50" t="e">
        <f aca="false">_xlfn.CONCAT($A$1, ".", #REF!)</f>
        <v>#REF!</v>
      </c>
      <c r="B46" s="65" t="e">
        <f aca="false">_xlfn.CONCAT(#REF!, ":", #REF!)</f>
        <v>#REF!</v>
      </c>
      <c r="C46" s="81" t="e">
        <f aca="false">#REF!</f>
        <v>#REF!</v>
      </c>
      <c r="D46" s="81" t="e">
        <f aca="false">#REF!</f>
        <v>#REF!</v>
      </c>
      <c r="E46" s="81" t="e">
        <f aca="false">#REF!</f>
        <v>#REF!</v>
      </c>
      <c r="F46" s="81" t="e">
        <f aca="false">#REF!</f>
        <v>#REF!</v>
      </c>
    </row>
    <row r="47" customFormat="false" ht="12.8" hidden="false" customHeight="false" outlineLevel="0" collapsed="false">
      <c r="A47" s="50" t="e">
        <f aca="false">_xlfn.CONCAT($A$1, ".", #REF!)</f>
        <v>#REF!</v>
      </c>
      <c r="B47" s="65" t="e">
        <f aca="false">_xlfn.CONCAT(#REF!, ":", #REF!)</f>
        <v>#REF!</v>
      </c>
      <c r="C47" s="81" t="e">
        <f aca="false">#REF!</f>
        <v>#REF!</v>
      </c>
      <c r="D47" s="81" t="e">
        <f aca="false">#REF!</f>
        <v>#REF!</v>
      </c>
      <c r="E47" s="81" t="e">
        <f aca="false">#REF!</f>
        <v>#REF!</v>
      </c>
      <c r="F47" s="81" t="e">
        <f aca="false">#REF!</f>
        <v>#REF!</v>
      </c>
    </row>
    <row r="48" customFormat="false" ht="12.8" hidden="false" customHeight="false" outlineLevel="0" collapsed="false">
      <c r="A48" s="50" t="e">
        <f aca="false">_xlfn.CONCAT($A$1, ".", #REF!)</f>
        <v>#REF!</v>
      </c>
      <c r="B48" s="65" t="e">
        <f aca="false">_xlfn.CONCAT(#REF!, ":", #REF!)</f>
        <v>#REF!</v>
      </c>
      <c r="C48" s="81" t="e">
        <f aca="false">#REF!</f>
        <v>#REF!</v>
      </c>
      <c r="D48" s="81" t="e">
        <f aca="false">#REF!</f>
        <v>#REF!</v>
      </c>
      <c r="E48" s="81" t="e">
        <f aca="false">#REF!</f>
        <v>#REF!</v>
      </c>
      <c r="F48" s="81" t="e">
        <f aca="false">#REF!</f>
        <v>#REF!</v>
      </c>
    </row>
    <row r="49" customFormat="false" ht="12.8" hidden="false" customHeight="false" outlineLevel="0" collapsed="false">
      <c r="A49" s="50" t="e">
        <f aca="false">_xlfn.CONCAT($A$1, ".", #REF!)</f>
        <v>#REF!</v>
      </c>
      <c r="B49" s="65" t="e">
        <f aca="false">_xlfn.CONCAT(#REF!, ":", #REF!)</f>
        <v>#REF!</v>
      </c>
      <c r="C49" s="81" t="e">
        <f aca="false">#REF!</f>
        <v>#REF!</v>
      </c>
      <c r="D49" s="81" t="e">
        <f aca="false">#REF!</f>
        <v>#REF!</v>
      </c>
      <c r="E49" s="81" t="e">
        <f aca="false">#REF!</f>
        <v>#REF!</v>
      </c>
      <c r="F49" s="81" t="e">
        <f aca="false">#REF!</f>
        <v>#REF!</v>
      </c>
    </row>
    <row r="50" customFormat="false" ht="12.8" hidden="false" customHeight="false" outlineLevel="0" collapsed="false">
      <c r="A50" s="50" t="e">
        <f aca="false">_xlfn.CONCAT($A$1, ".", #REF!)</f>
        <v>#REF!</v>
      </c>
      <c r="B50" s="65" t="e">
        <f aca="false">_xlfn.CONCAT(#REF!, ":", #REF!)</f>
        <v>#REF!</v>
      </c>
      <c r="C50" s="81" t="e">
        <f aca="false">#REF!</f>
        <v>#REF!</v>
      </c>
      <c r="D50" s="81" t="e">
        <f aca="false">#REF!</f>
        <v>#REF!</v>
      </c>
      <c r="E50" s="81" t="e">
        <f aca="false">#REF!</f>
        <v>#REF!</v>
      </c>
      <c r="F50" s="81" t="e">
        <f aca="false">#REF!</f>
        <v>#REF!</v>
      </c>
    </row>
    <row r="51" customFormat="false" ht="12.8" hidden="false" customHeight="false" outlineLevel="0" collapsed="false">
      <c r="A51" s="50" t="e">
        <f aca="false">_xlfn.CONCAT($A$1, ".", #REF!)</f>
        <v>#REF!</v>
      </c>
      <c r="B51" s="65" t="e">
        <f aca="false">_xlfn.CONCAT(#REF!, ":", #REF!)</f>
        <v>#REF!</v>
      </c>
      <c r="C51" s="81" t="e">
        <f aca="false">#REF!</f>
        <v>#REF!</v>
      </c>
      <c r="D51" s="81" t="e">
        <f aca="false">#REF!</f>
        <v>#REF!</v>
      </c>
      <c r="E51" s="81" t="e">
        <f aca="false">#REF!</f>
        <v>#REF!</v>
      </c>
      <c r="F51" s="81" t="e">
        <f aca="false">#REF!</f>
        <v>#REF!</v>
      </c>
    </row>
    <row r="52" customFormat="false" ht="12.8" hidden="false" customHeight="false" outlineLevel="0" collapsed="false">
      <c r="A52" s="50" t="e">
        <f aca="false">_xlfn.CONCAT($A$1, ".", #REF!)</f>
        <v>#REF!</v>
      </c>
      <c r="B52" s="65" t="e">
        <f aca="false">_xlfn.CONCAT(#REF!, ":", #REF!)</f>
        <v>#REF!</v>
      </c>
      <c r="C52" s="81" t="e">
        <f aca="false">#REF!</f>
        <v>#REF!</v>
      </c>
      <c r="D52" s="81" t="e">
        <f aca="false">#REF!</f>
        <v>#REF!</v>
      </c>
      <c r="E52" s="81" t="e">
        <f aca="false">#REF!</f>
        <v>#REF!</v>
      </c>
      <c r="F52" s="81" t="e">
        <f aca="false">#REF!</f>
        <v>#REF!</v>
      </c>
    </row>
    <row r="53" customFormat="false" ht="12.8" hidden="false" customHeight="false" outlineLevel="0" collapsed="false">
      <c r="A53" s="50" t="e">
        <f aca="false">_xlfn.CONCAT($A$1, ".", #REF!)</f>
        <v>#REF!</v>
      </c>
      <c r="B53" s="65" t="e">
        <f aca="false">_xlfn.CONCAT(#REF!, ":", #REF!)</f>
        <v>#REF!</v>
      </c>
      <c r="C53" s="81" t="e">
        <f aca="false">#REF!</f>
        <v>#REF!</v>
      </c>
      <c r="D53" s="81" t="e">
        <f aca="false">#REF!</f>
        <v>#REF!</v>
      </c>
      <c r="E53" s="81" t="e">
        <f aca="false">#REF!</f>
        <v>#REF!</v>
      </c>
      <c r="F53" s="81" t="e">
        <f aca="false">#REF!</f>
        <v>#REF!</v>
      </c>
    </row>
    <row r="54" customFormat="false" ht="12.8" hidden="false" customHeight="false" outlineLevel="0" collapsed="false">
      <c r="A54" s="50" t="e">
        <f aca="false">_xlfn.CONCAT($A$1, ".", #REF!)</f>
        <v>#REF!</v>
      </c>
      <c r="B54" s="65" t="e">
        <f aca="false">_xlfn.CONCAT(#REF!, ":", #REF!)</f>
        <v>#REF!</v>
      </c>
      <c r="C54" s="81" t="e">
        <f aca="false">#REF!</f>
        <v>#REF!</v>
      </c>
      <c r="D54" s="81" t="e">
        <f aca="false">#REF!</f>
        <v>#REF!</v>
      </c>
      <c r="E54" s="81" t="e">
        <f aca="false">#REF!</f>
        <v>#REF!</v>
      </c>
      <c r="F54" s="81" t="e">
        <f aca="false">#REF!</f>
        <v>#REF!</v>
      </c>
    </row>
    <row r="55" customFormat="false" ht="12.8" hidden="false" customHeight="false" outlineLevel="0" collapsed="false">
      <c r="A55" s="50" t="e">
        <f aca="false">_xlfn.CONCAT($A$1, ".", #REF!)</f>
        <v>#REF!</v>
      </c>
      <c r="B55" s="65" t="e">
        <f aca="false">_xlfn.CONCAT(#REF!, ":", #REF!)</f>
        <v>#REF!</v>
      </c>
      <c r="C55" s="81" t="e">
        <f aca="false">#REF!</f>
        <v>#REF!</v>
      </c>
      <c r="D55" s="81" t="e">
        <f aca="false">#REF!</f>
        <v>#REF!</v>
      </c>
      <c r="E55" s="81" t="e">
        <f aca="false">#REF!</f>
        <v>#REF!</v>
      </c>
      <c r="F55" s="81"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5604</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2026-02-15T12:32:18Z</dcterms:modified>
  <cp:revision>750</cp:revision>
  <dc:subject/>
  <dc:title/>
</cp:coreProperties>
</file>

<file path=docProps/custom.xml><?xml version="1.0" encoding="utf-8"?>
<Properties xmlns="http://schemas.openxmlformats.org/officeDocument/2006/custom-properties" xmlns:vt="http://schemas.openxmlformats.org/officeDocument/2006/docPropsVTypes"/>
</file>