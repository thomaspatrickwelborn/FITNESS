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8.xml" ContentType="application/vnd.openxmlformats-officedocument.spreadsheetml.worksheet+xml"/>
  <Override PartName="/xl/worksheets/sheet20.xml" ContentType="application/vnd.openxmlformats-officedocument.spreadsheetml.worksheet+xml"/>
  <Override PartName="/xl/worksheets/sheet24.xml" ContentType="application/vnd.openxmlformats-officedocument.spreadsheetml.worksheet+xml"/>
  <Override PartName="/xl/worksheets/sheet19.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28.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29.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2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DEX" sheetId="1" state="visible" r:id="rId3"/>
    <sheet name="LOG" sheetId="2" state="visible" r:id="rId4"/>
    <sheet name="FORM" sheetId="3" state="visible" r:id="rId5"/>
    <sheet name="PARAM" sheetId="4" state="visible" r:id="rId6"/>
    <sheet name="CALC" sheetId="5" state="visible" r:id="rId7"/>
    <sheet name="TNPE" sheetId="6" state="visible" r:id="rId8"/>
    <sheet name="LFP" sheetId="7" state="visible" r:id="rId9"/>
    <sheet name="EP" sheetId="8" state="visible" r:id="rId10"/>
    <sheet name="U3P" sheetId="9" state="visible" r:id="rId11"/>
    <sheet name="U6P" sheetId="10" state="visible" r:id="rId12"/>
    <sheet name="LFPR" sheetId="11" state="visible" r:id="rId13"/>
    <sheet name="ETPR" sheetId="12" state="visible" r:id="rId14"/>
    <sheet name="U3R" sheetId="13" state="visible" r:id="rId15"/>
    <sheet name="U3TPR" sheetId="14" state="visible" r:id="rId16"/>
    <sheet name="U6R" sheetId="15" state="visible" r:id="rId17"/>
    <sheet name="U6TPR" sheetId="16" state="visible" r:id="rId18"/>
    <sheet name="FTER" sheetId="17" state="visible" r:id="rId19"/>
    <sheet name="PTER" sheetId="18" state="visible" r:id="rId20"/>
    <sheet name="WAVG" sheetId="19" state="visible" r:id="rId21"/>
    <sheet name="WRAVG" sheetId="20" state="visible" r:id="rId22"/>
    <sheet name="AIAVG" sheetId="21" state="visible" r:id="rId23"/>
    <sheet name="AIRAVG" sheetId="22" state="visible" r:id="rId24"/>
    <sheet name="AWHW" sheetId="23" state="visible" r:id="rId25"/>
    <sheet name="JTA" sheetId="24" state="visible" r:id="rId26"/>
    <sheet name="FPITREV" sheetId="25" state="visible" r:id="rId27"/>
    <sheet name="FPPTREV" sheetId="26" state="visible" r:id="rId28"/>
    <sheet name="EITCREF" sheetId="27" state="visible" r:id="rId29"/>
    <sheet name="ACTCREF" sheetId="28" state="visible" r:id="rId30"/>
    <sheet name="AOTCREF" sheetId="29" state="visible" r:id="rId31"/>
  </sheets>
  <definedNames>
    <definedName function="false" hidden="false" name="LSD_RID_0_AL" vbProcedure="false">#REF!</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<sst xmlns="http://schemas.openxmlformats.org/spreadsheetml/2006/main" count="6450" uniqueCount="3279">
  <si>
    <t xml:space="preserve">LSD.RID.0.AL</t>
  </si>
  <si>
    <t xml:space="preserve">Alabama Labor Statistics</t>
  </si>
  <si>
    <t xml:space="preserve">December 2025</t>
  </si>
  <si>
    <t xml:space="preserve">Alabama Labor Statistic Introductions</t>
  </si>
  <si>
    <t xml:space="preserve">INTROID</t>
  </si>
  <si>
    <t xml:space="preserve">Introduction Title</t>
  </si>
  <si>
    <t xml:space="preserve">Introduction Detail</t>
  </si>
  <si>
    <t xml:space="preserve">Main</t>
  </si>
  <si>
    <t xml:space="preserve">This spreadsheet stores labor statistic formulae, parameters, calculations, and validations that are intended for use by an alternate application for display and review purposes. </t>
  </si>
  <si>
    <t xml:space="preserve">LSD.RID.0.AL.LOGIC</t>
  </si>
  <si>
    <t xml:space="preserve">Alabama Labor Statistic Logistics</t>
  </si>
  <si>
    <t xml:space="preserve">LID</t>
  </si>
  <si>
    <t xml:space="preserve">Title</t>
  </si>
  <si>
    <t xml:space="preserve">LSD.RID.0.AL.LOG</t>
  </si>
  <si>
    <t xml:space="preserve">LSD.RID.0.AL.FORM</t>
  </si>
  <si>
    <t xml:space="preserve">LSD.RID.0.AL.FORM.S0</t>
  </si>
  <si>
    <t xml:space="preserve">LSD.RID.0.AL.FORM.S1</t>
  </si>
  <si>
    <t xml:space="preserve">LSD.RID.0.AL.FORM.S1a</t>
  </si>
  <si>
    <t xml:space="preserve">LSD.RID.0.AL.FORM.S1b</t>
  </si>
  <si>
    <t xml:space="preserve">LSD.RID.0.AL.FORM.S1c</t>
  </si>
  <si>
    <t xml:space="preserve">LSD.RID.0.AL.FORM.S2</t>
  </si>
  <si>
    <t xml:space="preserve">LSD.RID.0.AL.FORM.S2a</t>
  </si>
  <si>
    <t xml:space="preserve">LSD.RID.0.AL.FORM.S2b</t>
  </si>
  <si>
    <t xml:space="preserve">LSD.RID.0.AL.FORM.S3</t>
  </si>
  <si>
    <t xml:space="preserve">LSD.RID.0.AL.FORM.S3a</t>
  </si>
  <si>
    <t xml:space="preserve">LSD.RID.0.AL.FORM.S3b</t>
  </si>
  <si>
    <t xml:space="preserve">LSD.RID.0.AL.FORM.S4</t>
  </si>
  <si>
    <t xml:space="preserve">LSD.RID.0.AL.FORM.S5</t>
  </si>
  <si>
    <t xml:space="preserve">LSD.RID.0.AL.FORM.S6</t>
  </si>
  <si>
    <t xml:space="preserve">LSD.RID.0.AL.FORM.S7</t>
  </si>
  <si>
    <t xml:space="preserve">LSD.RID.0.AL.FORM.S8</t>
  </si>
  <si>
    <t xml:space="preserve">LSD.RID.0.AL.FORM.S9</t>
  </si>
  <si>
    <t xml:space="preserve">LSD.RID.0.AL.FORM.S10</t>
  </si>
  <si>
    <t xml:space="preserve">LSD.RID.0.AL.FORM.S11</t>
  </si>
  <si>
    <t xml:space="preserve">LSD.RID.0.AL.FORM.S12</t>
  </si>
  <si>
    <t xml:space="preserve">LSD.RID.0.AL.FORM.S13</t>
  </si>
  <si>
    <t xml:space="preserve">LSD.RID.0.AL.FORM.S14</t>
  </si>
  <si>
    <t xml:space="preserve">LSD.RID.0.AL.PARAM</t>
  </si>
  <si>
    <t xml:space="preserve">LSD.RID.0.AL.PARAM.S0 </t>
  </si>
  <si>
    <t xml:space="preserve">LSD.RID.0.AL.PARAM.S1</t>
  </si>
  <si>
    <t xml:space="preserve">LSD.RID.0.AL.PARAM.S2a</t>
  </si>
  <si>
    <t xml:space="preserve">LSD.RID.0.AL.PARAM.S2b</t>
  </si>
  <si>
    <t xml:space="preserve">LSD.RID.0.AL.PARAM.S3</t>
  </si>
  <si>
    <t xml:space="preserve">LSD.RID.0.AL.PARAM.S4</t>
  </si>
  <si>
    <t xml:space="preserve">LSD.RID.0.AL.PARAM.S5</t>
  </si>
  <si>
    <t xml:space="preserve">LSD.RID.0.AL.PARAM.S6</t>
  </si>
  <si>
    <t xml:space="preserve">LSD.RID.0.AL.PARAM.S7</t>
  </si>
  <si>
    <t xml:space="preserve">LSD.RID.0.AL.PARAM.S8</t>
  </si>
  <si>
    <t xml:space="preserve">LSD.RID.0.AL.PARAM.S9</t>
  </si>
  <si>
    <t xml:space="preserve">LSD.RID.0.AL.METRIC</t>
  </si>
  <si>
    <t xml:space="preserve">Alabama Labor Statistic Metrics</t>
  </si>
  <si>
    <t xml:space="preserve">MID</t>
  </si>
  <si>
    <t xml:space="preserve">LSD.RID.0.AL.CALC.LFPOP</t>
  </si>
  <si>
    <t xml:space="preserve">LSD.RID.0.AL.TNPE</t>
  </si>
  <si>
    <t xml:space="preserve">LSD.RID.0.AL.LFP</t>
  </si>
  <si>
    <t xml:space="preserve">LSD.RID.0.AL.EP</t>
  </si>
  <si>
    <t xml:space="preserve">LSD.RID.0.AL.U3P</t>
  </si>
  <si>
    <t xml:space="preserve">LSD.RID.0.AL.U6P</t>
  </si>
  <si>
    <t xml:space="preserve">LSD.RID.0.AL.CALC.LFPAR</t>
  </si>
  <si>
    <t xml:space="preserve">LSD.RID.0.AL.LFPR</t>
  </si>
  <si>
    <t xml:space="preserve">LSD.RID.0.AL.ETPR</t>
  </si>
  <si>
    <t xml:space="preserve">LSD.RID.0.AL.U3R</t>
  </si>
  <si>
    <t xml:space="preserve">LSD.RID.0.AL.U3TPR</t>
  </si>
  <si>
    <t xml:space="preserve">LSD.RID.0.AL.U6R</t>
  </si>
  <si>
    <t xml:space="preserve">LSD.RID.0.AL.U6TPR</t>
  </si>
  <si>
    <t xml:space="preserve">LSD.RID.0.AL.FTER</t>
  </si>
  <si>
    <t xml:space="preserve">LSD.RID.0.AL.PTER</t>
  </si>
  <si>
    <t xml:space="preserve">LSD.RID.0.AL.CALC.LFCOMP</t>
  </si>
  <si>
    <t xml:space="preserve">LSD.RID.0.AL.WAVG</t>
  </si>
  <si>
    <t xml:space="preserve">LSD.RID.0.AL.WRAVG</t>
  </si>
  <si>
    <t xml:space="preserve">LSD.RID.0.AL.AIAVG</t>
  </si>
  <si>
    <t xml:space="preserve">LSD.RID.0.AL.AIRAVG</t>
  </si>
  <si>
    <t xml:space="preserve">LSD.RID.0.AL.AWHW</t>
  </si>
  <si>
    <t xml:space="preserve">LSD.RID.0.AL.CALC.LFTAX</t>
  </si>
  <si>
    <t xml:space="preserve">LSD.RID.0.AL.FPITREV</t>
  </si>
  <si>
    <t xml:space="preserve">LSD.RID.0.AL.FPPTREV</t>
  </si>
  <si>
    <t xml:space="preserve">LSD.RID.0.AL.EITCREF</t>
  </si>
  <si>
    <t xml:space="preserve">LSD.RID.0.AL.ACTCREF</t>
  </si>
  <si>
    <t xml:space="preserve">LSD.RID.0.AL.AOTCREF</t>
  </si>
  <si>
    <t xml:space="preserve">Alabama Labor Statistic Table Identifier Acronyms</t>
  </si>
  <si>
    <t xml:space="preserve">ACROID</t>
  </si>
  <si>
    <t xml:space="preserve">Acronym Identifier Title</t>
  </si>
  <si>
    <t xml:space="preserve">RID</t>
  </si>
  <si>
    <t xml:space="preserve">Region Identifier</t>
  </si>
  <si>
    <t xml:space="preserve">Logicistic Identifier</t>
  </si>
  <si>
    <t xml:space="preserve">Metric Identifier</t>
  </si>
  <si>
    <t xml:space="preserve">SESSID</t>
  </si>
  <si>
    <t xml:space="preserve">Session Identifier</t>
  </si>
  <si>
    <t xml:space="preserve">Acronym Identifier</t>
  </si>
  <si>
    <t xml:space="preserve">GLOID</t>
  </si>
  <si>
    <t xml:space="preserve">Glossary Identifier</t>
  </si>
  <si>
    <t xml:space="preserve">INTFID</t>
  </si>
  <si>
    <t xml:space="preserve">Interdependent Formula Identifier</t>
  </si>
  <si>
    <t xml:space="preserve">INDFID</t>
  </si>
  <si>
    <t xml:space="preserve">Independent Formula Identifier</t>
  </si>
  <si>
    <t xml:space="preserve">INTPID</t>
  </si>
  <si>
    <t xml:space="preserve">Interdependent Parameter Identifier</t>
  </si>
  <si>
    <t xml:space="preserve">INDPID</t>
  </si>
  <si>
    <t xml:space="preserve">Independent Parameter Identifier</t>
  </si>
  <si>
    <t xml:space="preserve">LSID</t>
  </si>
  <si>
    <t xml:space="preserve">Labor Sector Identifier</t>
  </si>
  <si>
    <t xml:space="preserve">VALID</t>
  </si>
  <si>
    <t xml:space="preserve">Validation Identifier</t>
  </si>
  <si>
    <t xml:space="preserve">VISID</t>
  </si>
  <si>
    <t xml:space="preserve">Visualization Identifier</t>
  </si>
  <si>
    <t xml:space="preserve">VISPID</t>
  </si>
  <si>
    <t xml:space="preserve">Visualization Property Identifier</t>
  </si>
  <si>
    <t xml:space="preserve">LSD.RID.0.AL.GLOSS</t>
  </si>
  <si>
    <t xml:space="preserve">Alabama Labor Statistic Glossary</t>
  </si>
  <si>
    <t xml:space="preserve">Calculated formulae use parameters. </t>
  </si>
  <si>
    <t xml:space="preserve">Glossary Name</t>
  </si>
  <si>
    <t xml:space="preserve">Definition</t>
  </si>
  <si>
    <t xml:space="preserve">1</t>
  </si>
  <si>
    <t xml:space="preserve">DES</t>
  </si>
  <si>
    <t xml:space="preserve">Department of Economic Security</t>
  </si>
  <si>
    <t xml:space="preserve">2</t>
  </si>
  <si>
    <t xml:space="preserve">LSD</t>
  </si>
  <si>
    <t xml:space="preserve">Labor Security Division</t>
  </si>
  <si>
    <t xml:space="preserve">3</t>
  </si>
  <si>
    <t xml:space="preserve">SLIID</t>
  </si>
  <si>
    <t xml:space="preserve">State Labor Industry ID</t>
  </si>
  <si>
    <t xml:space="preserve">4</t>
  </si>
  <si>
    <t xml:space="preserve">SLIVID</t>
  </si>
  <si>
    <t xml:space="preserve">State Labor Industry Visualization ID</t>
  </si>
  <si>
    <t xml:space="preserve">5</t>
  </si>
  <si>
    <t xml:space="preserve">INVID</t>
  </si>
  <si>
    <t xml:space="preserve">Invocation ID</t>
  </si>
  <si>
    <t xml:space="preserve">6</t>
  </si>
  <si>
    <t xml:space="preserve">Region ID</t>
  </si>
  <si>
    <t xml:space="preserve">7</t>
  </si>
  <si>
    <t xml:space="preserve">LFP</t>
  </si>
  <si>
    <t xml:space="preserve">Labor Force Population</t>
  </si>
  <si>
    <t xml:space="preserve">8</t>
  </si>
  <si>
    <t xml:space="preserve">ETPR</t>
  </si>
  <si>
    <t xml:space="preserve">Employment-to-Population Ratio</t>
  </si>
  <si>
    <t xml:space="preserve">9</t>
  </si>
  <si>
    <t xml:space="preserve">LFPR</t>
  </si>
  <si>
    <t xml:space="preserve">Labor Force Population Rate</t>
  </si>
  <si>
    <t xml:space="preserve">10</t>
  </si>
  <si>
    <t xml:space="preserve">U3R</t>
  </si>
  <si>
    <t xml:space="preserve">Unemployment Rate</t>
  </si>
  <si>
    <t xml:space="preserve">11</t>
  </si>
  <si>
    <t xml:space="preserve">U6R</t>
  </si>
  <si>
    <t xml:space="preserve">Underemployment Rate</t>
  </si>
  <si>
    <t xml:space="preserve">12</t>
  </si>
  <si>
    <t xml:space="preserve">WAVG</t>
  </si>
  <si>
    <t xml:space="preserve">Wage Average</t>
  </si>
  <si>
    <t xml:space="preserve">13</t>
  </si>
  <si>
    <t xml:space="preserve">AIAVG</t>
  </si>
  <si>
    <t xml:space="preserve">Annual Income Average</t>
  </si>
  <si>
    <t xml:space="preserve">14</t>
  </si>
  <si>
    <t xml:space="preserve">FPITREV</t>
  </si>
  <si>
    <t xml:space="preserve">Federal Personal Income Tax Revenue</t>
  </si>
  <si>
    <t xml:space="preserve">15</t>
  </si>
  <si>
    <t xml:space="preserve">FPPTREV</t>
  </si>
  <si>
    <t xml:space="preserve">Federal Personal Payroll Tax Revenue</t>
  </si>
  <si>
    <t xml:space="preserve">16</t>
  </si>
  <si>
    <t xml:space="preserve">EITCREF</t>
  </si>
  <si>
    <t xml:space="preserve">Earned Income Tax Credit Refund</t>
  </si>
  <si>
    <t xml:space="preserve">17</t>
  </si>
  <si>
    <t xml:space="preserve">ACTCREF</t>
  </si>
  <si>
    <t xml:space="preserve">Additional Child Tax Credit Refund</t>
  </si>
  <si>
    <t xml:space="preserve">18</t>
  </si>
  <si>
    <t xml:space="preserve">AOTCREF</t>
  </si>
  <si>
    <t xml:space="preserve">American Opportunity Tax Credit Refund</t>
  </si>
  <si>
    <t xml:space="preserve">19</t>
  </si>
  <si>
    <t xml:space="preserve">EP</t>
  </si>
  <si>
    <t xml:space="preserve">Employed Population</t>
  </si>
  <si>
    <t xml:space="preserve">20</t>
  </si>
  <si>
    <t xml:space="preserve">AWHW</t>
  </si>
  <si>
    <t xml:space="preserve">Average Weekly Hours Worked</t>
  </si>
  <si>
    <t xml:space="preserve">21</t>
  </si>
  <si>
    <t xml:space="preserve">FTER</t>
  </si>
  <si>
    <t xml:space="preserve">Full-Time Employment Rate</t>
  </si>
  <si>
    <t xml:space="preserve">22</t>
  </si>
  <si>
    <t xml:space="preserve">PTER</t>
  </si>
  <si>
    <t xml:space="preserve">Part-Time Employment Rate</t>
  </si>
  <si>
    <t xml:space="preserve">23</t>
  </si>
  <si>
    <t xml:space="preserve">JTA</t>
  </si>
  <si>
    <t xml:space="preserve">Job Tenure Average</t>
  </si>
  <si>
    <t xml:space="preserve">24</t>
  </si>
  <si>
    <t xml:space="preserve">TR</t>
  </si>
  <si>
    <t xml:space="preserve">Turnover Rate</t>
  </si>
  <si>
    <t xml:space="preserve">25</t>
  </si>
  <si>
    <t xml:space="preserve">LP</t>
  </si>
  <si>
    <t xml:space="preserve">Labor Productivity</t>
  </si>
  <si>
    <t xml:space="preserve">26</t>
  </si>
  <si>
    <t xml:space="preserve">ELR</t>
  </si>
  <si>
    <t xml:space="preserve">Education Level Required</t>
  </si>
  <si>
    <t xml:space="preserve">27</t>
  </si>
  <si>
    <t xml:space="preserve">SLTR</t>
  </si>
  <si>
    <t xml:space="preserve">State/Local Tax Revenue</t>
  </si>
  <si>
    <t xml:space="preserve">28</t>
  </si>
  <si>
    <t xml:space="preserve">SSMC</t>
  </si>
  <si>
    <t xml:space="preserve">Social Security/Medicare Contributions</t>
  </si>
  <si>
    <t xml:space="preserve">29</t>
  </si>
  <si>
    <t xml:space="preserve">PAUR</t>
  </si>
  <si>
    <t xml:space="preserve">Public Assistance Usage Rate</t>
  </si>
  <si>
    <t xml:space="preserve">30</t>
  </si>
  <si>
    <t xml:space="preserve">INVOKE</t>
  </si>
  <si>
    <t xml:space="preserve">Invocations</t>
  </si>
  <si>
    <t xml:space="preserve">31</t>
  </si>
  <si>
    <t xml:space="preserve">FORM</t>
  </si>
  <si>
    <t xml:space="preserve">Formulae</t>
  </si>
  <si>
    <t xml:space="preserve">32</t>
  </si>
  <si>
    <t xml:space="preserve">PARAM</t>
  </si>
  <si>
    <t xml:space="preserve">Parameters</t>
  </si>
  <si>
    <t xml:space="preserve">33</t>
  </si>
  <si>
    <t xml:space="preserve">CALC</t>
  </si>
  <si>
    <t xml:space="preserve">Calculations</t>
  </si>
  <si>
    <t xml:space="preserve">34</t>
  </si>
  <si>
    <t xml:space="preserve">Validations</t>
  </si>
  <si>
    <t xml:space="preserve">Alabama Labor Statistic Log</t>
  </si>
  <si>
    <t xml:space="preserve">Session Log</t>
  </si>
  <si>
    <t xml:space="preserve">Session Name</t>
  </si>
  <si>
    <t xml:space="preserve">Session Details</t>
  </si>
  <si>
    <t xml:space="preserve">References</t>
  </si>
  <si>
    <t xml:space="preserve">Reference Account</t>
  </si>
  <si>
    <t xml:space="preserve">FORM and PARAM tabs and subtables are going to be restructured and reserialized concurrent with metric tab FORM and PARAM subtables. 
The purpose of FORM is to store interdependent formulae used by all of the independent metrics. The purpose of PARAM is to store interdependent parameters used by all of the formulae. Serialized identifiers  referenced throughout the formula and parameters should be retained with new serial identifiers. The current interdependent formula and parameter serial identification method is using the suffix S[0-9][a-c].[0-1] (such as S2a.0 or S1a.1). The new serial identification method is going to use the corresponding metric's acroname: LSD.RID.0.AL.FORM.U6TPR instead of LSD.RID.0.AL.FORM.S8. Interdependent formulae with no bound metric (shared between all) will be referred to as BASE. 
FORM subtable "Category" columns should be removed. FORM subtables with combined metrics should be separated into individual subtables: for example the current "Shared LFP/ETPR/LFPR Linkage" subtable should become separate LFP, ETPR, LFPR Subtables. FORM subtable titles should not contain "Linkage" - they should be titled as Formulae. 
There should be an additional column added to both interdependent and independent formula tables that contains a traditional mathematical or science formula of the same pseudo-code formula. The columns should be differentiated: Current "Formula" column becomes "Psuedocode Formula" column and newly added column becomes "Formula". 
There should be more consistency between the interdependent and independent table structure columns - there should not be duplicate columns in the same subtable. Do not include the "Category" columns in the formulae subtables. 
All formula and parameter subtable updates herein should retain references between interdependent and independent formula/parameters using updated seriali identifiers. Because there are so many tables separated between so many tabs, the content should be output in logical groups. Output should be easily copy-pasteable and readable as TSV in the session window. </t>
  </si>
  <si>
    <t xml:space="preserve">https://grok.com/share/bGVnYWN5LWNvcHk_9ca0fe37-3d6e-4930-ae41-ff7438788fde</t>
  </si>
  <si>
    <t xml:space="preserve">Alabama Labor Statistic Spreadshet Restructuring, Formalization</t>
  </si>
  <si>
    <t xml:space="preserve">Consider the attached spreadsheet containing U.S. Labor Statistics. This is an advanced draft that requires my directed restructuring, formalization throughout for repurposing. The original purpose of the spreadsheet was to collect labor statistic metric formulae, parameters, calculations, and validations for data visualization and review purposes with spreadsheet software. The new purpose of the spreadsheet is mediation between a new web document system that consumes the spreadsheet and represents a visual interface for the content and Grok for researching, reporting spreadsheet content. Notice the INDEX tab describing in detail how the spreadsheet is structured. 
Prompt me to continue.</t>
  </si>
  <si>
    <t xml:space="preserve">thomas.patrick.welborn@outlook.com</t>
  </si>
  <si>
    <t xml:space="preserve">Alabama Labor Statistic Metric Structuring, Formulation, Parameterization, Calculation, Validation</t>
  </si>
  <si>
    <t xml:space="preserve">…</t>
  </si>
  <si>
    <t xml:space="preserve">https://grok.com/share/c2hhcmQtMi1jb3B5_10de432a-b1f0-42df-82e9-fd934c99cf93</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</si>
  <si>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LFPR, U3R, U6R, WAVG, AIAVG tabs are formulated, parameterized, calculated, and validated. Afterwards, further acronamed metric tabs will contain independent formulae, parameters, calculations, and data visualizations for continuing individual metrics. These tabs all utilize interdependent FORM and PARAM tabs.\
\
The first part of this session is continuation of another session (reference INVOKE tab INVID#21). Most recently FORMulae and PARAMeters tables were recreated with refinement for group-and-sector-specific adjustment and symmetry scalars. The next step is to recreate the LFP CALC and VALID tables using the latest interdependent/independent formulae and parameters. The second part of this session is continuation of other metrics that would benefit from the same types of adjustments for LFP: https://grok.com/share/c2hhcmQtMi1jb3B5_d8ffe22f-a27e-48f7-947a-082c1e40c95c?rid=d401f5b8-0850-48cf-88f1-2de2ee5ef107 (see "Prioritized List of Metrics That Would Benefit"). 
When generating tables, remember to follow same seriali identifier format as in other similar spreadsheets and to output Labor Sectors as they appear in CALC (sans NAICS, with LSID appended to acronamed metric's table identifier). 
Prompt me to continue.</t>
  </si>
  <si>
    <t xml:space="preserve">https://grok.com/share/c2hhcmQtMi1jb3B5_f5da9be6-edd0-45c9-a22a-05af1d7a9a9a</t>
  </si>
  <si>
    <t xml:space="preserve">thomas.welborn@protonmail.com</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</si>
  <si>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LFPR, U3R, U6R, WAVG, AIAVG tabs are formulated, parameterized, calculated, and validated. Afterwards, further acronamed metric tabs will contain independent formulae, parameters, calculations, and data visualizations for continuing individual metrics. These tabs all utilize interdependent FORM and PARAM tabs. Further Labor Statistic Metric tabs should be recreated with "Labor Sector" rows. All Labor Statistic Metrics will be calculated for these new sector roles. All FORM and PARAM should be created for further rows using the same methodology and structure as LFP, ETPR, LFPR, U3R, U6R, WAVG, AIAVG tabs. 
First part of this session is to determine the most efficient method to store interdependent parameters. There are 100s of interdependent parameters and only a fraction for each acroname labor statistic metric. It should be easier to read the parameters through organizational structure either within the PARAM tab or possibly some stored within acronamed tabs. Prompt me to determine best method based on recommendation. 
Remainder of session is to continue creating interdependent and independent FORMulae and PARAMeters, then CALCulations and VALIDations. Prompt me between creating 1. FORMulae/PARAMeters (4 tables), CALCulations/VALIDations (2 tables). 
Reference the INVOKE tab for history of how this document was generated. </t>
  </si>
  <si>
    <t xml:space="preserve">https://grok.com/share/c2hhcmQtMi1jb3B5_2d860d8d-dcd4-4758-886d-09c3a1e51abd</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</si>
  <si>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LFPR, U3R, U6R tabs are formulated, parameterized, calculated, and validated. A new tab was recently added: TNPE. After adding new formulae and parameters for TNPE, ETPR has been recalculated for higher accuracy using TNPE. Notice INVID#19 from the INDEX tab - this session describes the refinement. The next stage of development is reformulating, reparameterizing, recalculating, and revalidating LFPR, U3R, U6R. Afterwards, further metric tabs will contain independent formulae, parameters, calculations, and data visualizations for continuing individual metrics. These tabs all utilize FORM and PARAM tabs. Further Labor Statistic Metric tabs should be recreated with "Labor Sector" rows. All Labor Statistic Metrics will be calculated for these new sector roles. The sectors are no longer separated into "Worker" and "Support" roles. Some prior labor industry roles are consolidated under the same Labor Sector, while others are reclassified. All FORM and PARAM should be created for further rows using the same methodology and structure as LFP, TNPE, and ETPR. Prompt me between each of these processes. </t>
  </si>
  <si>
    <t xml:space="preserve">https://grok.com/share/c2hhcmQtMg_3cc296a1-e835-415a-a5e3-2e4d0c1d3f7e</t>
  </si>
  <si>
    <t xml:space="preserve">thomas.tom.welborn@gmail.com</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</si>
  <si>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and LFPR tabs are formulated, parameterized, calculated, and validated. Further metric tabs will contain independent formulae, parameters, calculations, and data visualizations for continuing individualmetrics. These tabs utilize FORM and PARAM tabs. Further Labor Statistic Metric tabs should be recreated with "Labor Sector" rows. All Labor Statistic Metrics will be calculated for these new sector roles. The sectors are no longer separated into "Worker" and "Support" roles. Some prior labor industry roles are consolidated under the same Labor Sector, while others are reclassified. All FORM and PARAM should be created for further rows using the same methodology and structure as LFP, ETPR, and LFPR. Afterwards the LSD CALC table should be recalculated and revalidated. Prompt me between each of these processes. </t>
  </si>
  <si>
    <t xml:space="preserve">https://grok.com/share/bGVnYWN5LWNvcHk_fd803a63-3028-4b3f-bacd-7db4339a51ab</t>
  </si>
  <si>
    <t xml:space="preserve">Alabama Labor Statistic Restructuring, Reformulation, Reparameterization, Recalculation, Revalidation</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</si>
  <si>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tab (visible) and further tabs (invisble). These metric tabs will contain independent formulae, parameters, calculations, and data visualizations for individual metrics. These tabs utilize FORM and PARAM tabs. The current FORM, PARAM, and LFP tabs should all be recreated under different conditions. The new conditions are "Labor Industry" rows now renamed to "Labor Sector". All Labor Statistic Metrics will be calculated for these new sectors. The sectors are no longer separated into "Worker" and "Support" roles. Some prior labor industry roles are consolidated under the same Labor Sector, while others are reclassified. All FORM and PARAM should be recreated to account for the latest draft of the spreadsheet. Afterwards the LFP FORM and PARAM tables should be recreated. Afterwards the LSD CALC table should be recalculated and revalidated. Prompt me between each of these processes. </t>
  </si>
  <si>
    <t xml:space="preserve">https://grok.com/share/c2hhcmQtMi1jb3B5_33501073-ae00-4446-8e51-279c74b55fcf</t>
  </si>
  <si>
    <t xml:space="preserve">Alabama Labor Statistic Calculations</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</si>
  <si>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This session is to calculate and validate Alabama Labor Statistics from the latest FORMulae and PARAMeters. Calculations should be performed 10 rows at a time, outputing the row and column order with filled cell values according the ordered structure in the CALCulations tab. Because calculations are process-intensive, only output 10 rows at a time in TSV format and prompt me to continue. Ignore all tabs following VALID - these are derived references from the master CALC table for data visualization and analysis purposes. </t>
  </si>
  <si>
    <t xml:space="preserve">https://grok.com/share/c2hhcmQtMg_8a6c55cf-c52f-43cb-9da8-0d7b62885ba7</t>
  </si>
  <si>
    <t xml:space="preserve">Alabama Labor Statistic Reformulation, Reparameterization, Recalculation Through Restructuring</t>
  </si>
  <si>
    <t xml:space="preserve">Consider the attached spreadsheet containing U.S. Labor Statistic Formulae, Parameters, and Calculations for the state of Alabama. Notice the drafted INDEX table containing various references for the remaining tabs. The purpose of this session is to restructure tabs: 
- FORMulae and PARAMeters for **interdependent** labor statistic calculations will remain in FORM. 
- FORMulae and PARAMeters for **independent** labor statistic metrics and measures should be isolated and will be copy-pasted into correspective metric tabs. 
- FORMulae and PARAMeters restructuring should include refinement such as additions, editions. 
- FORMulae and PARAMeters should have correlated identifiers in the format of the metric's acronym, followed by a single "." character (period), follwed by an index number (starting with 0) - such as LFP.0, LFP.1, etc. 
- FORMulae and PARAMeters should follow same column structure. 
All output should be performed metric-by-metric - with the exception of the shared FORMulae and PARAMeters, which should be created first. While revising or restructuring FORMulae and PARAMeters if there are additional/editional **shared** FORMulae and PARAMeters, then the tabular data should be generated so that it may be copy-pasted during the process. Prompt to continue. </t>
  </si>
  <si>
    <t xml:space="preserve">https://grok.com/share/c2hhcmQtMi1jb3B5_b42b6690-ea62-4ca7-8092-8da4e8765ff9</t>
  </si>
  <si>
    <t xml:space="preserve">Alabama Labor Statistics Formulae, Parameter, Calculation Refinement Session</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</si>
  <si>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
</t>
  </si>
  <si>
    <t xml:space="preserve">https://grok.com/share/c2hhcmQtMi1jb3B5_3d42fed3-3e96-4239-9e2f-0193ac9134fa</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</si>
  <si>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t>
  </si>
  <si>
    <t xml:space="preserve">https://grok.com/share/c2hhcmQtMi1jb3B5_05a1dd6b-e942-4559-ba6a-f3b1f2ab03fe</t>
  </si>
  <si>
    <t xml:space="preserve">https://grok.com/share/c2hhcmQtMi1jb3B5_38c5a765-74c2-4109-9029-b59b07945946</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</si>
  <si>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When performing calculations or considering spreadsheet content, ignore all tabs after `CALC` - these tabs are CALC references. 
Prompt me to continue. </t>
  </si>
  <si>
    <t xml:space="preserve">https://grok.com/share/c2hhcmQtMg_4d848e26-26c7-4725-849f-6a1a29e77d95</t>
  </si>
  <si>
    <t xml:space="preserve">https://grok.com/share/bGVnYWN5LWNvcHk_5cd45c1a-a286-44d3-94ef-a0cf30f63a73</t>
  </si>
  <si>
    <t xml:space="preserve">Alabama Labor Statistics Calculation Session</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</si>
  <si>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t>
  </si>
  <si>
    <t xml:space="preserve">https://grok.com/share/c2hhcmQtMg_31b2cba9-0fd7-4cb0-a163-e11fe3df530b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</si>
  <si>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
</t>
  </si>
  <si>
    <t xml:space="preserve">https://grok.com/share/bGVnYWN5LWNvcHk_316f106c-153c-4f0b-829f-7a8355ecb81b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</si>
  <si>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Prompt me to continue. </t>
  </si>
  <si>
    <t xml:space="preserve">Alabama Labor Statistics Formulae</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</si>
  <si>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FORM rows are being added to consume the comprehensive PARAM (parameters) – a continuation of INDEX tab INVID#5 session.  Continue generating formulae to support all metric calculations using parameters. Create 20 rowed entries before prompting me to continue to next 20. Ask me questions to clarify either instructions herein or inability to reference materials or accomplish task as intended.
</t>
  </si>
  <si>
    <t xml:space="preserve">https://grok.com/share/c2hhcmQtMi1jb3B5_9a9978e6-49f9-41d5-9b57-896863210d16</t>
  </si>
  <si>
    <t xml:space="preserve">Expand Labor Statistic Metric Formulae And Parameters</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</si>
  <si>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PARAM rows are being added to support all of the formulae – a continuation of INDEX tab INVID#4 session.
Continue generating parameters to support all formulae calculations for remaining metrics. Parametered values should continue to be categorized with row headers. Create 50 rowed entries before prompting me to continue to next 50. Ask me questions to clarify either instructions herein or inability to reference materials or accomplish task as intended.</t>
  </si>
  <si>
    <t xml:space="preserve">https://grok.com/share/c2hhcmQtMg_16f7a2a6-b28c-45ad-bac9-7243cbefac56</t>
  </si>
  <si>
    <t xml:space="preserve">Expand Labor Metrics and Industry Roles</t>
  </si>
  <si>
    <t xml:space="preserve">N/A</t>
  </si>
  <si>
    <t xml:space="preserve">https://grok.com/share/bGVnYWN5LWNvcHk_9ffcfa10-bc66-492d-b499-a56dc57d6238</t>
  </si>
  <si>
    <t xml:space="preserve">Alabama, Arkansas, Florida Labor Statistics Formulae, Parameters, Calculations</t>
  </si>
  <si>
    <t xml:space="preserve">https://grok.com/share/c2hhcmQtMi1jb3B5_e3140b59-169a-487d-9539-b52e3cb64dad</t>
  </si>
  <si>
    <t xml:space="preserve">Alabama,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</si>
  <si>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`LSD.RID.0`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</si>
  <si>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</si>
  <si>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Arkansas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</si>
  <si>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`LSD.RID.0ERENCE`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</si>
  <si>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https://grok.com/share/c2hhcmQtMg_05f8d4b3-2d59-4349-93d9-6c5bafa3bacd</t>
  </si>
  <si>
    <t xml:space="preserve">0</t>
  </si>
  <si>
    <t xml:space="preserve">Alabama Labor Statistics Calculations</t>
  </si>
  <si>
    <t xml:space="preserve">https://grok.com/share/c2hhcmQtMg_9fc2e9b2-bc97-4724-b16d-fc3d1e8312f2</t>
  </si>
  <si>
    <t xml:space="preserve">Alabama Labor Statistic Logic Interdependent Formulae</t>
  </si>
  <si>
    <t xml:space="preserve">December, 2025</t>
  </si>
  <si>
    <t xml:space="preserve">BASE Formulae</t>
  </si>
  <si>
    <t xml:space="preserve">Name</t>
  </si>
  <si>
    <t xml:space="preserve">Psuedocode Formula</t>
  </si>
  <si>
    <t xml:space="preserve">Formula</t>
  </si>
  <si>
    <t xml:space="preserve">Description</t>
  </si>
  <si>
    <t xml:space="preserve">Notes/Edits</t>
  </si>
  <si>
    <t xml:space="preserve">LSD.RID.0.AL.FORM.BASE.0</t>
  </si>
  <si>
    <t xml:space="preserve">Sector Employment Total</t>
  </si>
  <si>
    <t xml:space="preserve">T_i = PARAMETERS!SECTOR_EMPLOYMENT_BASE[i] + PARAMETERS!ADJUSTMENT_FACTOR_SEC[i] + IF(PARAMETERS!VARIANCE_CHECK_SEC[i] &gt; PARAMETERS!MIN_VARIANCE_TARGET, RECONCILE_SOURCES(i), 0)</t>
  </si>
  <si>
    <t xml:space="preserve">\( T_i = B_i + A_i + \begin{cases} R(i) &amp; \text{if } V_i &gt; V_{\min} \\ 0 &amp; \text{otherwise} \end{cases} \)</t>
  </si>
  <si>
    <t xml:space="preserve">BLS CES base + adjustment + variance-based reconciliation; iterative if variance high</t>
  </si>
  <si>
    <t xml:space="preserve">Enhanced with feedback loop; incorporates data fusion for sparse sectors (mining, etc.)</t>
  </si>
  <si>
    <t xml:space="preserve">LSD.RID.0.AL.FORM.BASE.1</t>
  </si>
  <si>
    <t xml:space="preserve">Population Share Proration (Auth/Unauth/American)</t>
  </si>
  <si>
    <t xml:space="preserve">AUTH_SHARE_i = PARAMETERS!AUTH_IMMIGRANT_SHARE_SEC[i] / (PARAMETERS!AUTH_IMMIGRANT_SHARE_SEC[i] + PARAMETERS!UNAUTH_IMMIGRANT_SHARE_SEC[i] + 1); UNAUTH_SHARE_i = PARAMETERS!UNAUTH_IMMIGRANT_SHARE_SEC[i] / (...) ; AMER_SHARE_i = 1 - AUTH_SHARE_i - UNAUTH_SHARE_i</t>
  </si>
  <si>
    <t xml:space="preserve">\( \text{AUTH_SHARE}_i = \frac{S_{A,i}}{S_{A,i} + S_{U,i} + 1}, \ \text{UNAUTH_SHARE}_i = \frac{S_{U,i}}{S_{A,i} + S_{U,i} + 1}, \ \text{AMER_SHARE}_i = 1 - \text{AUTH_SHARE}_i - \text{UNAUTH_SHARE}_i \)</t>
  </si>
  <si>
    <t xml:space="preserve">Prorates civilian population shares across groups per sector; caps unauthorized at PARAMETERS!UNAUTH_IMMIGRANT_CAP</t>
  </si>
  <si>
    <t xml:space="preserve">Updated to use compressed PARAM arrays</t>
  </si>
  <si>
    <t xml:space="preserve">LSD.RID.0.AL.FORM.BASE.2</t>
  </si>
  <si>
    <t xml:space="preserve">Weighted Source Reconciliation</t>
  </si>
  <si>
    <t xml:space="preserve">RECONCILE_SOURCES(i) = WEIGHTED_AVG(BLS_i, ACS_i, MPI_i, WEIGHTS = [PARAMETERS!ACCURACY_BLS, PARAMETERS!ACCURACY_ACS, PARAMETERS!ACCURACY_MPI])</t>
  </si>
  <si>
    <t xml:space="preserve">\( R(i) = w_B \cdot \text{BLS}_i + w_A \cdot \text{ACS}_i + w_M \cdot \text{MPI}_i \)</t>
  </si>
  <si>
    <t xml:space="preserve">Data fusion when variance exceeds threshold; dynamic weights based on source confidence</t>
  </si>
  <si>
    <t xml:space="preserve">Core shared reconciliation logic</t>
  </si>
  <si>
    <t xml:space="preserve">LSD.RID.0.AL.FORM.BASE.3</t>
  </si>
  <si>
    <t xml:space="preserve">Group Asymmetry Adjustment</t>
  </si>
  <si>
    <t xml:space="preserve">GROUP_ADJ = PARAMETERS!ASYMMETRY_FACTOR_GROUP * PRODUCT(PARAMETERS!SECTOR_ASYMMETRY_FACTOR_GROUP[i] for i in relevant sectors)</t>
  </si>
  <si>
    <t xml:space="preserve">\( G = F_G \cdot \prod_{i} F_{S,i} \)</t>
  </si>
  <si>
    <t xml:space="preserve">Group-level asymmetry (higher for unauthorized in manual sectors)</t>
  </si>
  <si>
    <t xml:space="preserve">Used across LFP/ETPR/LFPR/U3R/U6R</t>
  </si>
  <si>
    <t xml:space="preserve">LSD.RID.0.AL.FORM.BASE.4</t>
  </si>
  <si>
    <t xml:space="preserve">Iterative Calibration Loop</t>
  </si>
  <si>
    <t xml:space="preserve">WHILE ABS(CURRENT_AGG - TARGET_AGG) &gt; PARAMETERS!CALIB_TOLERANCE AND ITER &lt; MAX_ITER: RESCALE_BY_FACTOR( (TARGET_AGG / CURRENT_AGG)^(1/INTERDEPEND_FACTOR) ); ITER += 1</t>
  </si>
  <si>
    <t xml:space="preserve">\( \text{while } |C - T| &gt; \epsilon \ \text{and} \ I &lt; I_{\max}: \ C \leftarrow C \cdot \left( \frac{T}{C} \right)^{1/f} \)</t>
  </si>
  <si>
    <t xml:space="preserve">Shared iterative rescaling for aggregate consistency (LFP, ETPR, etc.)</t>
  </si>
  <si>
    <t xml:space="preserve">Applies to all metrics with public targets</t>
  </si>
  <si>
    <t xml:space="preserve">LSD.RID.0.AL.FORM.BASE.5</t>
  </si>
  <si>
    <t xml:space="preserve">Cross-Metric Linkage Adjustment</t>
  </si>
  <si>
    <t xml:space="preserve">ADJUST_METRIC(M) = M * (1 + PARAMETERS!INTERDEPEND_FACTOR_LFP_U3R * (1 - ETPR_OVERALL / PARAMETERS!ETPR_PUBLIC_TARGET)) + ...</t>
  </si>
  <si>
    <t xml:space="preserve">\( M' = M \cdot (1 + f_{LU} \cdot (1 - \frac{E}{E_T}) + \cdots) \)</t>
  </si>
  <si>
    <t xml:space="preserve">Applies linkage strength between LFP ↔ U3R ↔ ETPR ↔ LFPR</t>
  </si>
  <si>
    <t xml:space="preserve">Core interdependency engine; extendable to new metrics</t>
  </si>
  <si>
    <t xml:space="preserve">LSD.RID.0.AL.FORM.BASE.6</t>
  </si>
  <si>
    <t xml:space="preserve">Group Variance Check</t>
  </si>
  <si>
    <t xml:space="preserve">VAR_CHECK_i = ABS(GROUP_i - MEAN_GROUP) / PARAMETERS!GROUP_VARIANCE[i]; IF VAR_CHECK_i &gt; 1.5 THEN APPLY_PENALTY(0.92)</t>
  </si>
  <si>
    <t xml:space="preserve">\( V_i = \frac{|G_i - \bar{G}|}{\sigma_i}, \ \text{if } V_i &gt; 1.5 \ \text{then } G_i \leftarrow G_i \cdot 0.92 \)</t>
  </si>
  <si>
    <t xml:space="preserve">Detects and soft-corrects extreme group deviations per sector</t>
  </si>
  <si>
    <t xml:space="preserve">Shared variance control</t>
  </si>
  <si>
    <t xml:space="preserve">LSD.RID.0.AL.FORM.BASE.7</t>
  </si>
  <si>
    <t xml:space="preserve">Unauthorized Boost Application</t>
  </si>
  <si>
    <t xml:space="preserve">BOOSTED_VALUE_i = VALUE_i * (1 + PARAMETERS!UNAUTH_BOOST_SEC[i])</t>
  </si>
  <si>
    <t xml:space="preserve">\( B_i = V_i \cdot (1 + U_i) \)</t>
  </si>
  <si>
    <t xml:space="preserve">Applies sector-specific unauthorized boost to LFP, ETPR, U3R, etc.</t>
  </si>
  <si>
    <t xml:space="preserve">High in ag/constr/hosp; matches MPI/ACS patterns</t>
  </si>
  <si>
    <t xml:space="preserve">LSD.RID.0.AL.FORM.BASE.8</t>
  </si>
  <si>
    <t xml:space="preserve">Authorized Premium Application</t>
  </si>
  <si>
    <t xml:space="preserve">PREMIUM_VALUE_i = VALUE_i * (1 + PARAMETERS!AUTH_IMMIGRANT_ETPR_ADJ_FACTOR - 1)</t>
  </si>
  <si>
    <t xml:space="preserve">\( P_i = V_i \cdot (1 + A - 1) \)</t>
  </si>
  <si>
    <t xml:space="preserve">Modest authorized premium across metrics</t>
  </si>
  <si>
    <t xml:space="preserve">Lower magnitude than unauthorized boost</t>
  </si>
  <si>
    <t xml:space="preserve">LSD.RID.0.AL.FORM.BASE.9</t>
  </si>
  <si>
    <t xml:space="preserve">Fusion Threshold Check</t>
  </si>
  <si>
    <t xml:space="preserve">IF ABS(SOURCE_A - SOURCE_B) / MEAN &gt; PARAMETERS!FUSION_THRESHOLD THEN WEIGHTED_FUSION(SOURCE_A, SOURCE_B, DYNAMIC_WEIGHT(CONFIDENCE_A, CONFIDENCE_B)) ELSE SOURCE_A</t>
  </si>
  <si>
    <t xml:space="preserve">\( \begin{cases} W(S_A, S_B, w(C_A, C_B)) &amp; \text{if } \frac{|S_A - S_B|}{\bar{S}} &gt; \tau \\ S_A &amp; \text{otherwise} \end{cases} \)</t>
  </si>
  <si>
    <t xml:space="preserve">Triggers reconciliation only when divergence is meaningful</t>
  </si>
  <si>
    <t xml:space="preserve">Used in ETPR, U3R, WAVG, FPITREV, etc.</t>
  </si>
  <si>
    <t xml:space="preserve">LSD.RID.0.AL.FORM.BASE.10</t>
  </si>
  <si>
    <t xml:space="preserve">TNPE-Weighted Aggregation</t>
  </si>
  <si>
    <t xml:space="preserve">AGG_VALUE = SUM(VALUE_i * PARAMETERS!TNPE_SHARES_SEC[i] for i=1 to 23) / SUM(TNPE_SHARES_SEC)</t>
  </si>
  <si>
    <t xml:space="preserve">\( A = \frac{\sum V_i \cdot S_i}{\sum S_i} \)</t>
  </si>
  <si>
    <t xml:space="preserve">Weighted average using TNPE sector shares</t>
  </si>
  <si>
    <t xml:space="preserve">Core for overall rates and aggregates</t>
  </si>
  <si>
    <t xml:space="preserve">LFP Formulae</t>
  </si>
  <si>
    <t xml:space="preserve">LSD.RID.0.AL.FORM.LFP.0</t>
  </si>
  <si>
    <t xml:space="preserve">Shared Iterative Calibration (group)</t>
  </si>
  <si>
    <t xml:space="preserve">WHILE ABS(ANY_METRIC - TARGET) &gt; CALIB_TOLERANCE: RESCALE_BY_FACTOR( (TARGET / CURRENT) ^ (1 / INTERDEPEND_FACTOR) )</t>
  </si>
  <si>
    <t xml:space="preserve">\( \text{while } |M - T| &gt; \epsilon: \ M \leftarrow M \cdot \left( \frac{T}{M} \right)^{1/f} \)</t>
  </si>
  <si>
    <t xml:space="preserve">Shared calibration loop used by LFP, ETPR, LFPR</t>
  </si>
  <si>
    <t xml:space="preserve">Unchanged — core linkage</t>
  </si>
  <si>
    <t xml:space="preserve">LSD.RID.0.AL.FORM.LFP.1</t>
  </si>
  <si>
    <t xml:space="preserve">Reconciliation Trigger</t>
  </si>
  <si>
    <t xml:space="preserve">IF ABS(CALC - SOURCE) / MEAN &gt; FUSION_THRESHOLD THEN WEIGHTED_FUSION(CALC, SOURCE, CONFIDENCE)</t>
  </si>
  <si>
    <t xml:space="preserve">\( \begin{cases} W(C, S, c) &amp; \text{if } \frac{|C - S|}{\bar{x}} &gt; \tau \\ C &amp; \text{otherwise} \end{cases} \)</t>
  </si>
  <si>
    <t xml:space="preserve">Shared fusion logic across all three metrics</t>
  </si>
  <si>
    <t xml:space="preserve">Unchanged</t>
  </si>
  <si>
    <t xml:space="preserve">LSD.RID.0.AL.FORM.LFP.2</t>
  </si>
  <si>
    <t xml:space="preserve">ETPR ≈ LFPR × (EP / LFP)</t>
  </si>
  <si>
    <t xml:space="preserve">ETPR_OVERALL ≈ LFPR_OVERALL * (EP_OVERALL / LFP_OVERALL)</t>
  </si>
  <si>
    <t xml:space="preserve">\( E \approx L \cdot \frac{P_E}{P_L} \)</t>
  </si>
  <si>
    <t xml:space="preserve">Mathematical identity / cross-check</t>
  </si>
  <si>
    <t xml:space="preserve">Unchanged — enforces consistency</t>
  </si>
  <si>
    <t xml:space="preserve">LSD.RID.0.AL.FORM.LFP.3</t>
  </si>
  <si>
    <t xml:space="preserve">LFPR-ETPR Cross-Link Strength</t>
  </si>
  <si>
    <t xml:space="preserve">LFPR_ETPR_LINK_FACTOR = 0.88</t>
  </si>
  <si>
    <t xml:space="preserve">\( f_{LE} = 0.88 \)</t>
  </si>
  <si>
    <t xml:space="preserve">Cross-metric linkage strength</t>
  </si>
  <si>
    <t xml:space="preserve">LSD.RID.0.AL.FORM.LFP.4</t>
  </si>
  <si>
    <t xml:space="preserve">LFP Base Derivation</t>
  </si>
  <si>
    <t xml:space="preserve">LFP_g_i = CIV_POP_g_i * LFPR_g_i * (1 + IF(g=\"UNAUTH\", PARAMETERS!UNAUTH_BOOST_SEC[i] * 0.92, IF(g=\"AUTH\", PARAMETERS!AUTH_IMMIGRANT_ETPR_ADJ_FACTOR - 1, 0)))</t>
  </si>
  <si>
    <t xml:space="preserve">\( L_{g,i} = P_{g,i} \cdot R_{g,i} \cdot (1 + \begin{cases} U_i \cdot 0.92 &amp; g = \text{UNAUTH} \\ A - 1 &amp; g = \text{AUTH} \\ 0 &amp; \text{otherwise} \end{cases}) \)</t>
  </si>
  <si>
    <t xml:space="preserve">Labor Force Population per group and sector</t>
  </si>
  <si>
    <t xml:space="preserve">Original LFP derivation preserved</t>
  </si>
  <si>
    <t xml:space="preserve">LSD.RID.0.AL.FORM.LFP.5</t>
  </si>
  <si>
    <t xml:space="preserve">LFP Group Adjustment</t>
  </si>
  <si>
    <t xml:space="preserve">LFP_UNAUTH_i *= (1 + PARAMETERS!LFP_UNAUTH_ASYMM_SEC[i]); APPLY_POP_ADJ(PARAMETERS!UNAUTH_POP_ADJ_SEC[i])</t>
  </si>
  <si>
    <t xml:space="preserve">\( L_U = L_U \cdot (1 + A_U) + P_U \)</t>
  </si>
  <si>
    <t xml:space="preserve">Applies unauthorized asymmetry + population adjustment</t>
  </si>
  <si>
    <t xml:space="preserve">Refinement #1 and #2</t>
  </si>
  <si>
    <t xml:space="preserve">ETPR Formulae</t>
  </si>
  <si>
    <t xml:space="preserve">LSD.RID.0.AL.FORM.ETPR.0</t>
  </si>
  <si>
    <t xml:space="preserve">LSD.RID.0.AL.FORM.ETPR.1</t>
  </si>
  <si>
    <t xml:space="preserve">LSD.RID.0.AL.FORM.ETPR.2</t>
  </si>
  <si>
    <t xml:space="preserve">LSD.RID.0.AL.FORM.ETPR.3</t>
  </si>
  <si>
    <t xml:space="preserve">LSD.RID.0.AL.FORM.ETPR.4</t>
  </si>
  <si>
    <t xml:space="preserve">ETPR Base Derivation</t>
  </si>
  <si>
    <t xml:space="preserve">ETPR_g_i = EP_g_i / CIV_POP_g_i</t>
  </si>
  <si>
    <t xml:space="preserve">\( E_{g,i} = \frac{P_{E,g,i}}{P_{g,i}} \)</t>
  </si>
  <si>
    <t xml:space="preserve">Employment-to-Population Ratio per group and sector</t>
  </si>
  <si>
    <t xml:space="preserve">Original ETPR derivation</t>
  </si>
  <si>
    <t xml:space="preserve">LSD.RID.0.AL.FORM.ETPR.5</t>
  </si>
  <si>
    <t xml:space="preserve">ETPR Group Adjustment</t>
  </si>
  <si>
    <t xml:space="preserve">ETPR_UNAUTH_i *= (1 + PARAMETERS!ETPR_UNAUTH_ASYMM_SEC[i]); APPLY_POP_ADJ(PARAMETERS!UNAUTH_POP_ADJ_SEC[i])</t>
  </si>
  <si>
    <t xml:space="preserve">\( E_U = E_U \cdot (1 + A_U) + P_U \)</t>
  </si>
  <si>
    <t xml:space="preserve">Applies unauthorized asymmetry scalar + group-specific population adjustment</t>
  </si>
  <si>
    <t xml:space="preserve">LSD.RID.0.AL.FORM.ETPR.6</t>
  </si>
  <si>
    <t xml:space="preserve">ETPR Sector Adjustment</t>
  </si>
  <si>
    <t xml:space="preserve">ETPR_g_i *= PARAMETERS!ETPR_ADJ_SEC[i]</t>
  </si>
  <si>
    <t xml:space="preserve">\( E_{g,i} = E_{g,i} \cdot A_i \)</t>
  </si>
  <si>
    <t xml:space="preserve">Widened sector-specific tilt</t>
  </si>
  <si>
    <t xml:space="preserve">Refinement #3</t>
  </si>
  <si>
    <t xml:space="preserve">LSD.RID.0.AL.FORM.ETPR.7</t>
  </si>
  <si>
    <t xml:space="preserve">ETPR Reconciliation Application</t>
  </si>
  <si>
    <t xml:space="preserve">References FORM.S1.1</t>
  </si>
  <si>
    <t xml:space="preserve">\( \text{References FORM.ETPR.1} \)</t>
  </si>
  <si>
    <t xml:space="preserve">Applies ETPR fusion with BLS LAUS weighting</t>
  </si>
  <si>
    <t xml:space="preserve">Local ref</t>
  </si>
  <si>
    <t xml:space="preserve">LSD.RID.0.AL.FORM.ETPR.8</t>
  </si>
  <si>
    <t xml:space="preserve">Overall ETPR Aggregation</t>
  </si>
  <si>
    <t xml:space="preserve">References FORM.S1.2</t>
  </si>
  <si>
    <t xml:space="preserve">\( \text{References FORM.ETPR.2} \)</t>
  </si>
  <si>
    <t xml:space="preserve">Computes sector totals and statewide weighted aggregate</t>
  </si>
  <si>
    <t xml:space="preserve">LFPR Formulae</t>
  </si>
  <si>
    <t xml:space="preserve">LSD.RID.0.AL.FORM.LFPR.0</t>
  </si>
  <si>
    <t xml:space="preserve">LSD.RID.0.AL.FORM.LFPR.1</t>
  </si>
  <si>
    <t xml:space="preserve">LSD.RID.0.AL.FORM.LFPR.2</t>
  </si>
  <si>
    <t xml:space="preserve">LSD.RID.0.AL.FORM.LFPR.3</t>
  </si>
  <si>
    <t xml:space="preserve">LSD.RID.0.AL.FORM.LFPR.4</t>
  </si>
  <si>
    <t xml:space="preserve">LFPR Base Derivation</t>
  </si>
  <si>
    <t xml:space="preserve">LFPR_g_i = LFP_g_i / CIV_POP_g_i * (1 + PARAMETERS!LFPR_ADJ_SEC[i])</t>
  </si>
  <si>
    <t xml:space="preserve">\( R_{g,i} = \frac{P_{L,g,i}}{P_{g,i}} \cdot (1 + A_i) \)</t>
  </si>
  <si>
    <t xml:space="preserve">Labor Force Participation Rate per group and sector</t>
  </si>
  <si>
    <t xml:space="preserve">Original LFPR derivation</t>
  </si>
  <si>
    <t xml:space="preserve">LSD.RID.0.AL.FORM.LFPR.5</t>
  </si>
  <si>
    <t xml:space="preserve">LFPR Group Adjustment</t>
  </si>
  <si>
    <t xml:space="preserve">LFPR_UNAUTH_i *= (1 + PARAMETERS!LFPR_UNAUTH_ASYMM_SEC[i]); APPLY_POP_ADJ(PARAMETERS!UNAUTH_POP_ADJ_SEC[i])</t>
  </si>
  <si>
    <t xml:space="preserve">\( R_U = R_U \cdot (1 + A_U) + P_U \)</t>
  </si>
  <si>
    <t xml:space="preserve">LSD.RID.0.AL.FORM.LFPR.6</t>
  </si>
  <si>
    <t xml:space="preserve">LFPR Sector Adjustment</t>
  </si>
  <si>
    <t xml:space="preserve">LFPR_g_i *= PARAMETERS!LFPR_ADJ_SEC[i]</t>
  </si>
  <si>
    <t xml:space="preserve">\( R_{g,i} = R_{g,i} \cdot A_i \)</t>
  </si>
  <si>
    <t xml:space="preserve">U3R Formulae</t>
  </si>
  <si>
    <t xml:space="preserve">LSD.RID.0.AL.FORM.U3R.0</t>
  </si>
  <si>
    <t xml:space="preserve">WHILE ABS(ANY_METRIC - TARGET) &gt; CALIB_TOLERANCE: RESCALE_BY_FACTOR(…)</t>
  </si>
  <si>
    <t xml:space="preserve">Shared calibration loop used by U3R and U6R</t>
  </si>
  <si>
    <t xml:space="preserve">LSD.RID.0.AL.FORM.U3R.1</t>
  </si>
  <si>
    <t xml:space="preserve">Shared fusion logic</t>
  </si>
  <si>
    <t xml:space="preserve">LSD.RID.0.AL.FORM.U3R.2</t>
  </si>
  <si>
    <t xml:space="preserve">U3R → U6R Link Strength</t>
  </si>
  <si>
    <t xml:space="preserve">U6R ≈ U3R + slack_factor * (PART_TIME_ECON / LFP)</t>
  </si>
  <si>
    <t xml:space="preserve">\( U_6 \approx U_3 + s \cdot \frac{P_E}{L} \)</t>
  </si>
  <si>
    <t xml:space="preserve">Cross-metric identity / check</t>
  </si>
  <si>
    <t xml:space="preserve">LSD.RID.0.AL.FORM.U3R.3</t>
  </si>
  <si>
    <t xml:space="preserve">Shared U3R/U6R Fusion Weight</t>
  </si>
  <si>
    <t xml:space="preserve">\( w = 0.7 \)</t>
  </si>
  <si>
    <t xml:space="preserve">Common fusion weight (BLS/ACS)</t>
  </si>
  <si>
    <t xml:space="preserve">LSD.RID.0.AL.FORM.U3R.4</t>
  </si>
  <si>
    <t xml:space="preserve">U3R Base Derivation</t>
  </si>
  <si>
    <t xml:space="preserve">U3R_g_i = (LFP_g_i - EP_g_i) / LFP_g_i; U3R_OVERALL = 1 - ETPR_OVERALL</t>
  </si>
  <si>
    <t xml:space="preserve">\( U_{g,i} = \frac{L_{g,i} - E_{g,i}}{L_{g,i}}, \ U = 1 - E \)</t>
  </si>
  <si>
    <t xml:space="preserve">Unemployment Rate per group and sector</t>
  </si>
  <si>
    <t xml:space="preserve">Original + refinements applied</t>
  </si>
  <si>
    <t xml:space="preserve">LSD.RID.0.AL.FORM.U3R.5</t>
  </si>
  <si>
    <t xml:space="preserve">U3R Group Adjustment</t>
  </si>
  <si>
    <t xml:space="preserve">U3R_UNAUTH_i *= (1 + PARAMETERS!U3R_UNAUTH_ASYMM_SEC[i]); APPLY_POP_ADJ(PARAMETERS!UNAUTH_POP_ADJ_SEC[i])</t>
  </si>
  <si>
    <t xml:space="preserve">\( U_U = U_U \cdot (1 + A_U) + P_U \)</t>
  </si>
  <si>
    <t xml:space="preserve">Applies unauthorized asymmetry + pop adjustment</t>
  </si>
  <si>
    <t xml:space="preserve">LSD.RID.0.AL.FORM.U3R.6</t>
  </si>
  <si>
    <t xml:space="preserve">U3R Sector Adjustment</t>
  </si>
  <si>
    <t xml:space="preserve">U3R_g_i *= PARAMETERS!U3R_ADJ_SEC[i]</t>
  </si>
  <si>
    <t xml:space="preserve">\( U_{g,i} = U_{g,i} \cdot A_i \)</t>
  </si>
  <si>
    <t xml:space="preserve">U6R Formulae</t>
  </si>
  <si>
    <t xml:space="preserve">LSD.RID.0.AL.FORM.U6R.0</t>
  </si>
  <si>
    <t xml:space="preserve">LSD.RID.0.AL.FORM.U6R.1</t>
  </si>
  <si>
    <t xml:space="preserve">LSD.RID.0.AL.FORM.U6R.2</t>
  </si>
  <si>
    <t xml:space="preserve">LSD.RID.0.AL.FORM.U6R.3</t>
  </si>
  <si>
    <t xml:space="preserve">LSD.RID.0.AL.FORM.U6R.4</t>
  </si>
  <si>
    <t xml:space="preserve">U6R Base Derivation</t>
  </si>
  <si>
    <t xml:space="preserve">U6R_g_i = U3R_g_i + PARAMETERS!U6R_MULTIPLIER_SEC[i] * (PART_TIME_ECON_g_i / LFP_g_i); U6R_OVERALL = weighted avg</t>
  </si>
  <si>
    <t xml:space="preserve">\( U_{6,g,i} = U_{3,g,i} + M_i \cdot \frac{P_{E,g,i}}{L_{g,i}}, \ U_6 = \sum w_i U_{6,i} \)</t>
  </si>
  <si>
    <t xml:space="preserve">Underemployment Rate per group and sector</t>
  </si>
  <si>
    <t xml:space="preserve">LSD.RID.0.AL.FORM.U6R.5</t>
  </si>
  <si>
    <t xml:space="preserve">U6R Group Adjustment</t>
  </si>
  <si>
    <t xml:space="preserve">U6R_UNAUTH_i *= (1 + PARAMETERS!U6R_UNAUTH_ASYMM_SEC[i]); APPLY_POP_ADJ(PARAMETERS!UNAUTH_POP_ADJ_SEC[i])</t>
  </si>
  <si>
    <t xml:space="preserve">\( U_{6,U} = U_{6,U} \cdot (1 + A_U) + P_U \)</t>
  </si>
  <si>
    <t xml:space="preserve">LSD.RID.0.AL.FORM.U6R.6</t>
  </si>
  <si>
    <t xml:space="preserve">U6R Sector Adjustment</t>
  </si>
  <si>
    <t xml:space="preserve">U6R_g_i *= PARAMETERS!U6R_ADJ_SEC[i]</t>
  </si>
  <si>
    <t xml:space="preserve">\( U_{6,g,i} = U_{6,g,i} \cdot A_i \)</t>
  </si>
  <si>
    <t xml:space="preserve">WAVG Formulae</t>
  </si>
  <si>
    <t xml:space="preserve">LSD.RID.0.AL.FORM.WAVG.0</t>
  </si>
  <si>
    <t xml:space="preserve">Shared Reconciliation &amp; Fusion</t>
  </si>
  <si>
    <t xml:space="preserve">IF ABS(CALC - BLS_OES[i]) / MEAN &gt; THRESHOLD THEN WEIGHTED_FUSION(CALC, BLS_OES, SOURCE_CONFIDENCE)</t>
  </si>
  <si>
    <t xml:space="preserve">\( \begin{cases} W(C, B, c) &amp; \text{if } \frac{|C - B|}{\bar{x}} &gt; \tau \\ C &amp; \text{otherwise} \end{cases} \)</t>
  </si>
  <si>
    <t xml:space="preserve">Shared fusion logic between WAVG and official BLS OES wages</t>
  </si>
  <si>
    <t xml:space="preserve">LSD.RID.0.AL.FORM.WAVG.1</t>
  </si>
  <si>
    <t xml:space="preserve">WAVG → AIAVG Link Strength</t>
  </si>
  <si>
    <t xml:space="preserve">AIAVG_g_i = WAVG_g_i * ANNUAL_HOURS_SEC[i] * (1 + AIAVG_HOURS_ADJ_SEC[i] - 1)</t>
  </si>
  <si>
    <t xml:space="preserve">\( A_{g,i} = W_{g,i} \cdot H_i \cdot (1 + J_i - 1) \)</t>
  </si>
  <si>
    <t xml:space="preserve">Core mathematical identity linking hourly wage to annual income</t>
  </si>
  <si>
    <t xml:space="preserve">LSD.RID.0.AL.FORM.WAVG.2</t>
  </si>
  <si>
    <t xml:space="preserve">Shared calibration loop used by WAVG and AIAVG</t>
  </si>
  <si>
    <t xml:space="preserve">LSD.RID.0.AL.FORM.WAVG.3</t>
  </si>
  <si>
    <t xml:space="preserve">WAVG Base Derivation</t>
  </si>
  <si>
    <t xml:space="preserve">WAVG_OVERALL_i = BLS_OES_BASE[i] * (1 + PARAMETERS!WAVG_ADJ_SEC[i])</t>
  </si>
  <si>
    <t xml:space="preserve">\( W_i = B_i \cdot (1 + A_i) \)</t>
  </si>
  <si>
    <t xml:space="preserve">Weighted average hourly wage per sector from BLS OES base</t>
  </si>
  <si>
    <t xml:space="preserve">Core WAVG derivation</t>
  </si>
  <si>
    <t xml:space="preserve">LSD.RID.0.AL.FORM.WAVG.4</t>
  </si>
  <si>
    <t xml:space="preserve">WAVG Group Adjustment</t>
  </si>
  <si>
    <t xml:space="preserve">WAVG_UNAUTH_i = WAVG_OVERALL_i * (1 + PARAMETERS!WAVG_UNAUTH_PENALTY_SEC[i] - 1); WAVG_AUTH_i *= (1 + PARAMETERS!WAVG_AUTH_PREMIUM_SEC[i] - 1)</t>
  </si>
  <si>
    <t xml:space="preserve">\( W_U = W \cdot (1 + P_U - 1), \ W_A = W \cdot (1 + P_A - 1) \)</t>
  </si>
  <si>
    <t xml:space="preserve">Applies realistic unauthorized wage penalty and authorized premium per sector</t>
  </si>
  <si>
    <t xml:space="preserve">LSD.RID.0.AL.FORM.WAVG.5</t>
  </si>
  <si>
    <t xml:space="preserve">WAVG Sector &amp; Group Asymmetry</t>
  </si>
  <si>
    <t xml:space="preserve">WAVG_g_i *= PARAMETERS!WAVG_UNAUTH_ASYMM_SEC[i] if g=\"UNAUTH\" else 1</t>
  </si>
  <si>
    <t xml:space="preserve">\( W_{g,i} = W_{g,i} \cdot \begin{cases} A_i &amp; g = \text{UNAUTH} \\ 1 &amp; \text{otherwise} \end{cases} \)</t>
  </si>
  <si>
    <t xml:space="preserve">Additional unauthorized asymmetry scalar for structural gaps</t>
  </si>
  <si>
    <t xml:space="preserve">Refinement #2 – most realistic scalars</t>
  </si>
  <si>
    <t xml:space="preserve">AIAVG Formulae</t>
  </si>
  <si>
    <t xml:space="preserve">LSD.RID.0.AL.FORM.AIAVG.0</t>
  </si>
  <si>
    <t xml:space="preserve">LSD.RID.0.AL.FORM.AIAVG.1</t>
  </si>
  <si>
    <t xml:space="preserve">LSD.RID.0.AL.FORM.AIAVG.2</t>
  </si>
  <si>
    <t xml:space="preserve">LSD.RID.0.AL.FORM.AIAVG.3</t>
  </si>
  <si>
    <t xml:space="preserve">AIAVG Base Derivation</t>
  </si>
  <si>
    <t xml:space="preserve">AIAVG_g_i = WAVG_g_i * PARAMETERS!ANNUAL_HOURS_SEC[i] * (1 + PARAMETERS!AIAVG_HOURS_ADJ_SEC[i] - 1)</t>
  </si>
  <si>
    <t xml:space="preserve">Annual income from hourly wage and sector hours</t>
  </si>
  <si>
    <t xml:space="preserve">Core AIAVG derivation (links to WAVG)</t>
  </si>
  <si>
    <t xml:space="preserve">LSD.RID.0.AL.FORM.AIAVG.4</t>
  </si>
  <si>
    <t xml:space="preserve">AIAVG Group Adjustment</t>
  </si>
  <si>
    <t xml:space="preserve">AIAVG_UNAUTH_i = AIAVG_g_i * (1 + PARAMETERS!AIAVG_UNAUTH_PENALTY_SEC[i] - 1); AIAVG_AUTH_i *= (1 + PARAMETERS!AIAVG_AUTH_PREMIUM_SEC[i] - 1)</t>
  </si>
  <si>
    <t xml:space="preserve">\( A_U = A \cdot (1 + P_U - 1), \ A_A = A \cdot (1 + P_A - 1) \)</t>
  </si>
  <si>
    <t xml:space="preserve">Applies realistic unauthorized penalty and authorized premium (mirrors WAVG)</t>
  </si>
  <si>
    <t xml:space="preserve">LSD.RID.0.AL.FORM.AIAVG.5</t>
  </si>
  <si>
    <t xml:space="preserve">AIAVG Sector Adjustment</t>
  </si>
  <si>
    <t xml:space="preserve">AIAVG_g_i *= PARAMETERS!AIAVG_ADJ_SEC[i]</t>
  </si>
  <si>
    <t xml:space="preserve">\( A_{g,i} = A_{g,i} \cdot A_i \)</t>
  </si>
  <si>
    <t xml:space="preserve">FPITREV Formulae</t>
  </si>
  <si>
    <t xml:space="preserve">LSD.RID.0.AL.FORM.FPITREV.0</t>
  </si>
  <si>
    <t xml:space="preserve">FPITREV Base</t>
  </si>
  <si>
    <t xml:space="preserve">FPITREV_g_i = AIAVG_g_i * PARAMETERS!EFF_FED_TAX_RATE_SEC[i] * TNPE_g_i * (1 - PARAMETERS!FPITREV_UNAUTH_COMPLIANCE_FACTOR if g=UNAUTH else 1)</t>
  </si>
  <si>
    <t xml:space="preserve">\( F_{g,i} = A_{g,i} \cdot R_i \cdot T_{g,i} \cdot \begin{cases} 1 - C_U &amp; g = \text{UNAUTH} \\ 1 &amp; \text{otherwise} \end{cases} \)</t>
  </si>
  <si>
    <t xml:space="preserve">Base federal personal income tax revenue per group/sector</t>
  </si>
  <si>
    <t xml:space="preserve">Adjusted for compliance</t>
  </si>
  <si>
    <t xml:space="preserve">LSD.RID.0.AL.FORM.FPITREV.1</t>
  </si>
  <si>
    <t xml:space="preserve">FPITREV Group Adjustment</t>
  </si>
  <si>
    <t xml:space="preserve">FPITREV_UNAUTH_i *= PARAMETERS!UNAUTH_FPITREV_PENALTY_SEC[i]; FPITREV_AUTH_i *= PARAMETERS!AUTH_FPITREV_PREMIUM_SEC[i]</t>
  </si>
  <si>
    <t xml:space="preserve">\( F_U = F_U \cdot P_U, \ F_A = F_A \cdot P_A \)</t>
  </si>
  <si>
    <t xml:space="preserve">Applies tax-specific penalties/premiums</t>
  </si>
  <si>
    <t xml:space="preserve">Lower effective liability for unauthorized</t>
  </si>
  <si>
    <t xml:space="preserve">LSD.RID.0.AL.FORM.FPITREV.2</t>
  </si>
  <si>
    <t xml:space="preserve">FPPTREV Calculation</t>
  </si>
  <si>
    <t xml:space="preserve">FPPTREV_g_i = AIAVG_g_i * PARAMETERS!FPPTREV_RATE_SEC[i] * TNPE_g_i * (1 - PARAMETERS!FPPTREV_UNAUTH_COMPLIANCE_FACTOR if g=UNAUTH else 1) * (1 + IF(g=AUTH, PARAMETERS!FPPTREV_AUTH_PREMIUM-1, 0))</t>
  </si>
  <si>
    <t xml:space="preserve">\( P_{g,i} = A_{g,i} \cdot R_i \cdot T_{g,i} \cdot \begin{cases} 1 - C_U &amp; g = \text{UNAUTH} \\ 1 + (P_A - 1) &amp; g = \text{AUTH} \\ 1 &amp; \text{otherwise} \end{cases} \)</t>
  </si>
  <si>
    <t xml:space="preserve">FICA-equivalent payroll tax revenue</t>
  </si>
  <si>
    <t xml:space="preserve">Lower compliance for unauthorized</t>
  </si>
  <si>
    <t xml:space="preserve">LSD.RID.0.AL.FORM.FPITREV.3</t>
  </si>
  <si>
    <t xml:space="preserve">FPITREV-FPPTREV Reconciliation</t>
  </si>
  <si>
    <t xml:space="preserve">IF ABS(FPITREV_OVERALL - DERIVED_FROM_AIAVG) &gt; THRESHOLD THEN WEIGHTED_AVG(FPITREV, DERIVED, IRS_WEIGHT)</t>
  </si>
  <si>
    <t xml:space="preserve">\( \begin{cases} W(F, D, w_I) &amp; \text{if } |F - D| &gt; \tau \\ F &amp; \text{otherwise} \end{cases} \)</t>
  </si>
  <si>
    <t xml:space="preserve">Ensures consistency with income base</t>
  </si>
  <si>
    <t xml:space="preserve">FPPTREV Formulae</t>
  </si>
  <si>
    <t xml:space="preserve">LSD.RID.0.AL.FORM.FPPTREV.0</t>
  </si>
  <si>
    <t xml:space="preserve">LSD.RID.0.AL.FORM.FPPTREV.1</t>
  </si>
  <si>
    <t xml:space="preserve">LSD.RID.0.AL.FORM.FPPTREV.2</t>
  </si>
  <si>
    <t xml:space="preserve">LSD.RID.0.AL.FORM.FPPTREV.3</t>
  </si>
  <si>
    <t xml:space="preserve">EP Formulae</t>
  </si>
  <si>
    <t xml:space="preserve">LSD.RID.0.AL.FORM.EP.0</t>
  </si>
  <si>
    <t xml:space="preserve">EP Base Derivation</t>
  </si>
  <si>
    <t xml:space="preserve">EP_g_i = LFP_g_i * ETPR_g_i * (1 + IF(g=\"UNAUTH\", PARAMETERS!UNAUTH_BOOST_SEC[i] * PARAMETERS!UNAUTH_EP_BOOST_SCALE, IF(g=\"AUTH\", PARAMETERS!AUTH_IMMIGRANT_ETPR_ADJ_FACTOR - 1, 0)))</t>
  </si>
  <si>
    <t xml:space="preserve">\( E_{g,i} = L_{g,i} \cdot R_{g,i} \cdot (1 + \begin{cases} U_i \cdot S_U &amp; g = \text{UNAUTH} \\ A - 1 &amp; g = \text{AUTH} \\ 0 &amp; \text{otherwise} \end{cases}) \)</t>
  </si>
  <si>
    <t xml:space="preserve">Employed Population per group and sector</t>
  </si>
  <si>
    <t xml:space="preserve">Updated with refined population adjustments and asymmetry</t>
  </si>
  <si>
    <t xml:space="preserve">LSD.RID.0.AL.FORM.EP.1</t>
  </si>
  <si>
    <t xml:space="preserve">EP Group Adjustment</t>
  </si>
  <si>
    <t xml:space="preserve">EP_UNAUTH_i *= (1 + PARAMETERS!EP_UNAUTH_ASYMM_SEC[i]); APPLY_POP_ADJ(PARAMETERS!UNAUTH_POP_ADJ_SEC[i])</t>
  </si>
  <si>
    <t xml:space="preserve">Applies new unauthorized asymmetry scalar + group-specific population adjustment</t>
  </si>
  <si>
    <t xml:space="preserve">LSD.RID.0.AL.FORM.EP.2</t>
  </si>
  <si>
    <t xml:space="preserve">EP Sector Aggregation</t>
  </si>
  <si>
    <t xml:space="preserve">EP_OVERALL_i = SUM(EP_g_i) * PARAMETERS!TNPE_SHARES_SEC[i] / SUM(PARAMETERS!TNPE_SHARES_SEC)</t>
  </si>
  <si>
    <t xml:space="preserve">\( E_i = \sum E_{g,i} \cdot \frac{S_i}{\sum S} \)</t>
  </si>
  <si>
    <t xml:space="preserve">TNPE-weighted sector totals</t>
  </si>
  <si>
    <t xml:space="preserve">Unchanged aggregation</t>
  </si>
  <si>
    <t xml:space="preserve">LSD.RID.0.AL.FORM.EP.3</t>
  </si>
  <si>
    <t xml:space="preserve">EP Iterative Calibration</t>
  </si>
  <si>
    <t xml:space="preserve">WHILE ABS(SUM(EP) - PARAMETERS!EP_PUBLIC_TARGET) &gt; PARAMETERS!CALIB_TOLERANCE: RESCALE_ALL_SECTORS( (PARAMETERS!EP_PUBLIC_TARGET / CURRENT_SUM) ^ (1 / PARAMETERS!INTERDEPEND_FACTOR_ETPR_LFP) )</t>
  </si>
  <si>
    <t xml:space="preserve">\( \text{while } |\sum E - T| &gt; \epsilon: \ E \leftarrow E \cdot \left( \frac{T}{C} \right)^{1/f} \)</t>
  </si>
  <si>
    <t xml:space="preserve">Shared calibration loop</t>
  </si>
  <si>
    <t xml:space="preserve">LSD.RID.0.AL.FORM.EP.4</t>
  </si>
  <si>
    <t xml:space="preserve">EP Reconciliation with Sources</t>
  </si>
  <si>
    <t xml:space="preserve">IF ABS(EP_CALC - BLS_CES_EP[i]) / MEAN &gt; PARAMETERS!FUSION_THRESHOLD THEN WEIGHTED_FUSION(EP_CALC, BLS_CES_EP, PARAMETERS!SOURCE_CONFIDENCE_SEC[i])</t>
  </si>
  <si>
    <t xml:space="preserve">\( \begin{cases} W(E, B, c) &amp; \text{if } \frac{|E - B|}{\bar{x}} &gt; \tau \\ E &amp; \text{otherwise} \end{cases} \)</t>
  </si>
  <si>
    <t xml:space="preserve">Fusion with BLS CES</t>
  </si>
  <si>
    <t xml:space="preserve">U3P Formulae</t>
  </si>
  <si>
    <t xml:space="preserve">LSD.RID.0.AL.FORM.U3P.0</t>
  </si>
  <si>
    <t xml:space="preserve">U3P Base Derivation</t>
  </si>
  <si>
    <t xml:space="preserve">U3P_g_i = LFP_g_i - EP_g_i</t>
  </si>
  <si>
    <t xml:space="preserve">\( U_{g,i} = L_{g,i} - E_{g,i} \)</t>
  </si>
  <si>
    <t xml:space="preserve">Direct complement: Unemployed = Labor Force minus Employed (per group and sector)</t>
  </si>
  <si>
    <t xml:space="preserve">Exact mirror of EP derivation; ensures zero-sum consistency with LFP</t>
  </si>
  <si>
    <t xml:space="preserve">LSD.RID.0.AL.FORM.U3P.1</t>
  </si>
  <si>
    <t xml:space="preserve">U3P Group Adjustment</t>
  </si>
  <si>
    <t xml:space="preserve">U3P_UNAUTH_i = U3P_UNAUTH_i * (1 + PARAMETERS!U3P_UNAUTH_ASYMM_SEC[i]) * PARAMETERS!UNAUTH_U3P_BOOST_SCALE</t>
  </si>
  <si>
    <t xml:space="preserve">\( U_U = U_U \cdot (1 + A_U) \cdot S_U \)</t>
  </si>
  <si>
    <t xml:space="preserve">Applies stronger unauthorized boost (scaled 1.25) and modest authorized premium to unemployment population</t>
  </si>
  <si>
    <t xml:space="preserve">Reflects higher structural unemployment among unauthorized; lighter for authorized</t>
  </si>
  <si>
    <t xml:space="preserve">LSD.RID.0.AL.FORM.U3P.2</t>
  </si>
  <si>
    <t xml:space="preserve">U3P Sector Aggregation</t>
  </si>
  <si>
    <t xml:space="preserve">U3P_OVERALL_i = SUM(U3P_g_i) * PARAMETERS!TNPE_SHARES_SEC[i] / SUM(PARAMETERS!TNPE_SHARES_SEC)</t>
  </si>
  <si>
    <t xml:space="preserve">\( U_i = \sum U_{g,i} \cdot \frac{S_i}{\sum S} \)</t>
  </si>
  <si>
    <t xml:space="preserve">Maintains consistency with EP, LFP, and overall aggregates</t>
  </si>
  <si>
    <t xml:space="preserve">LSD.RID.0.AL.FORM.U3P.3</t>
  </si>
  <si>
    <t xml:space="preserve">U3P Iterative Calibration</t>
  </si>
  <si>
    <t xml:space="preserve">WHILE ABS(SUM(U3P) - PARAMETERS!U3P_PUBLIC_TARGET) &gt; PARAMETERS!CALIB_TOLERANCE: RESCALE_ALL_SECTORS( (PARAMETERS!U3P_PUBLIC_TARGET / CURRENT_SUM) ^ (1 / PARAMETERS!INTERDEPEND_FACTOR_LFP_U3R) )</t>
  </si>
  <si>
    <t xml:space="preserve">\( \text{while } |\sum U - T| &gt; \epsilon: \ U \leftarrow U \cdot \left( \frac{T}{C} \right)^{1/f} \)</t>
  </si>
  <si>
    <t xml:space="preserve">Iterative rescaling to hit public unemployed benchmark</t>
  </si>
  <si>
    <t xml:space="preserve">Reuses shared FORM.BASE.4 engine; linked to LFP-U3R factor</t>
  </si>
  <si>
    <t xml:space="preserve">LSD.RID.0.AL.FORM.U3P.4</t>
  </si>
  <si>
    <t xml:space="preserve">U3P Reconciliation with Sources</t>
  </si>
  <si>
    <t xml:space="preserve">IF ABS(U3P_CALC - BLS_DERIVED_U3P[i]) / MEAN &gt; PARAMETERS!FUSION_THRESHOLD THEN WEIGHTED_FUSION(U3P_CALC, BLS_U3, PARAMETERS!SOURCE_CONFIDENCE_SEC[i])</t>
  </si>
  <si>
    <t xml:space="preserve">\( \begin{cases} W(U, B, c) &amp; \text{if } \frac{|U - B|}{\bar{x}} &gt; \tau \\ U &amp; \text{otherwise} \end{cases} \)</t>
  </si>
  <si>
    <t xml:space="preserve">Fusion with BLS-derived unemployed counts</t>
  </si>
  <si>
    <t xml:space="preserve">Ensures no drift vs. official LAUS unemployment data</t>
  </si>
  <si>
    <t xml:space="preserve">U6P Formulae</t>
  </si>
  <si>
    <t xml:space="preserve">LSD.RID.0.AL.FORM.U6P.0</t>
  </si>
  <si>
    <t xml:space="preserve">U6P Base Derivation</t>
  </si>
  <si>
    <t xml:space="preserve">U6P_g_i = U3P_g_i + MARGINAL_ATTACHED_g_i + INVOL_PART_TIME_g_i</t>
  </si>
  <si>
    <t xml:space="preserve">\( U_{6,g,i} = U_{3,g,i} + M_{g,i} + I_{g,i} \)</t>
  </si>
  <si>
    <t xml:space="preserve">Core sum: unemployed + marginally attached + involuntary part-time per group/sector</t>
  </si>
  <si>
    <t xml:space="preserve">LSD.RID.0.AL.FORM.U6P.1</t>
  </si>
  <si>
    <t xml:space="preserve">U6P Group Adjustment</t>
  </si>
  <si>
    <t xml:space="preserve">U6P_UNAUTH_i *= (1 + PARAMETERS!U6P_UNAUTH_ASYMM_SEC[i]); APPLY_POP_ADJ(PARAMETERS!UNAUTH_POP_ADJ_SEC[i])</t>
  </si>
  <si>
    <t xml:space="preserve">LSD.RID.0.AL.FORM.U6P.2</t>
  </si>
  <si>
    <t xml:space="preserve">U6P Sector Aggregation</t>
  </si>
  <si>
    <t xml:space="preserve">U6P_OVERALL_i = SUM(U6P_g_i) * PARAMETERS!TNPE_SHARES_SEC[i] / SUM(PARAMETERS!TNPE_SHARES_SEC)</t>
  </si>
  <si>
    <t xml:space="preserve">\( U_{6,i} = \sum U_{6,g,i} \cdot \frac{S_i}{\sum S} \)</t>
  </si>
  <si>
    <t xml:space="preserve">LSD.RID.0.AL.FORM.U6P.3</t>
  </si>
  <si>
    <t xml:space="preserve">U6P Iterative Calibration</t>
  </si>
  <si>
    <t xml:space="preserve">WHILE ABS(SUM(U6P) - PARAMETERS!U6P_PUBLIC_TARGET) &gt; PARAMETERS!CALIB_TOLERANCE: RESCALE_ALL_SECTORS( (PARAMETERS!U6P_PUBLIC_TARGET / CURRENT_SUM) ^ (1 / PARAMETERS!INTERDEPEND_FACTOR_LFP_U3R) )</t>
  </si>
  <si>
    <t xml:space="preserve">\( \text{while } |\sum U_6 - T| &gt; \epsilon: \ U_6 \leftarrow U_6 \cdot \left( \frac{T}{C} \right)^{1/f} \)</t>
  </si>
  <si>
    <t xml:space="preserve">Calibration to target underutilized population</t>
  </si>
  <si>
    <t xml:space="preserve">Reuses shared FORM.BASE.4 engine; linked to U3R/LFP</t>
  </si>
  <si>
    <t xml:space="preserve">LSD.RID.0.AL.FORM.U6P.4</t>
  </si>
  <si>
    <t xml:space="preserve">U6P Reconciliation</t>
  </si>
  <si>
    <t xml:space="preserve">IF ABS(U6P_CALC - DERIVED_U6 * LFP_OVERALL) / MEAN &gt; PARAMETERS!FUSION_THRESHOLD THEN WEIGHTED_FUSION(U6P_CALC, DERIVED_U6 * LFP, PARAMETERS!SOURCE_CONFIDENCE_SEC[i])</t>
  </si>
  <si>
    <t xml:space="preserve">\( \begin{cases} W(U_6, D \cdot L, c) &amp; \text{if } \frac{|U_6 - D \cdot L|}{\bar{x}} &gt; \tau \\ U_6 &amp; \text{otherwise} \end{cases} \)</t>
  </si>
  <si>
    <t xml:space="preserve">Fusion with implied U-6 population (U6R × LFP)</t>
  </si>
  <si>
    <t xml:space="preserve">Ensures consistency with broader underutilization</t>
  </si>
  <si>
    <t xml:space="preserve">U3TPR Formulae</t>
  </si>
  <si>
    <t xml:space="preserve">LSD.RID.0.AL.FORM.U3TPR.0</t>
  </si>
  <si>
    <t xml:space="preserve">U3TPR Base Derivation</t>
  </si>
  <si>
    <t xml:space="preserve">U3TPR_g_i = U3P_g_i / CIV_POP_g_i; U3TPR_OVERALL_i = U3P_OVERALL_i / CIV_POP_TOTAL</t>
  </si>
  <si>
    <t xml:space="preserve">\( U_{T,g,i} = \frac{U_{g,i}}{P_{g,i}}, \ U_T = \frac{U}{P} \)</t>
  </si>
  <si>
    <t xml:space="preserve">Unemployment-to-Population Ratio per group and sector (population denominator)</t>
  </si>
  <si>
    <t xml:space="preserve">Direct complement to ETPR; uses existing U3P and shared CIV_POP_TOTAL</t>
  </si>
  <si>
    <t xml:space="preserve">LSD.RID.0.AL.FORM.U3TPR.1</t>
  </si>
  <si>
    <t xml:space="preserve">U3TPR Group Adjustment</t>
  </si>
  <si>
    <t xml:space="preserve">U3TPR_UNAUTH_i = U3TPR_UNAUTH_i * (1 + PARAMETERS!UNAUTH_U3P_BOOST_SCALE * 0.85); U3TPR_AUTH_i *= (1 + PARAMETERS!AUTH_IMMIGRANT_ETPR_ADJ_FACTOR - 1)</t>
  </si>
  <si>
    <t xml:space="preserve">\( U_{T,U} = U_{T,U} \cdot (1 + S_U \cdot 0.85), \ U_{T,A} = U_{T,A} \cdot (A - 1) \)</t>
  </si>
  <si>
    <t xml:space="preserve">Applies moderated unauthorized boost and modest authorized premium to population ratio</t>
  </si>
  <si>
    <t xml:space="preserve">Maintains same group asymmetry logic as U3R but scaled for population base</t>
  </si>
  <si>
    <t xml:space="preserve">LSD.RID.0.AL.FORM.U3TPR.2</t>
  </si>
  <si>
    <t xml:space="preserve">U3TPR Sector Aggregation</t>
  </si>
  <si>
    <t xml:space="preserve">U3TPR_OVERALL_i = SUM(U3TPR_g_i) * PARAMETERS!TNPE_SHARES_SEC[i] / SUM(PARAMETERS!TNPE_SHARES_SEC)</t>
  </si>
  <si>
    <t xml:space="preserve">\( U_{T,i} = \sum U_{T,g,i} \cdot \frac{S_i}{\sum S} \)</t>
  </si>
  <si>
    <t xml:space="preserve">TNPE-weighted sector-level ratios</t>
  </si>
  <si>
    <t xml:space="preserve">Ensures consistency with EP/U3P/TNPE aggregation</t>
  </si>
  <si>
    <t xml:space="preserve">LSD.RID.0.AL.FORM.U3TPR.3</t>
  </si>
  <si>
    <t xml:space="preserve">U3TPR Iterative Calibration</t>
  </si>
  <si>
    <t xml:space="preserve">WHILE ABS(U3TPR_OVERALL - PARAMETERS!U3TPR_PUBLIC_TARGET) &gt; PARAMETERS!CALIB_TOLERANCE: RESCALE_ALL_SECTORS( (PARAMETERS!U3TPR_PUBLIC_TARGET / CURRENT_OVERALL) ^ (1 / PARAMETERS!INTERDEPEND_FACTOR_LFP_U3R) )</t>
  </si>
  <si>
    <t xml:space="preserve">\( \text{while } |U_T - T| &gt; \epsilon: \ U_T \leftarrow U_T \cdot \left( \frac{T}{C} \right)^{1/f} \)</t>
  </si>
  <si>
    <t xml:space="preserve">Shared calibration loop to hit public U3TPR benchmark</t>
  </si>
  <si>
    <t xml:space="preserve">Reuses FORM.BASE.4 engine; directly linked to U3R/LFP</t>
  </si>
  <si>
    <t xml:space="preserve">LSD.RID.0.AL.FORM.U3TPR.4</t>
  </si>
  <si>
    <t xml:space="preserve">U3TPR Reconciliation with Sources</t>
  </si>
  <si>
    <t xml:space="preserve">IF ABS(U3TPR_CALC - BLS_DERIVED_U3TPR[i]) / MEAN &gt; PARAMETERS!FUSION_THRESHOLD THEN WEIGHTED_FUSION(U3TPR_CALC, BLS_U3TPR, PARAMETERS!SOURCE_CONFIDENCE_SEC[i])</t>
  </si>
  <si>
    <t xml:space="preserve">\( \begin{cases} W(U_T, B, c) &amp; \text{if } \frac{|U_T - B|}{\bar{x}} &gt; \tau \\ U_T &amp; \text{otherwise} \end{cases} \)</t>
  </si>
  <si>
    <t xml:space="preserve">Fusion with BLS-derived unemployment-to-population ratios</t>
  </si>
  <si>
    <t xml:space="preserve">Ensures no drift vs. official population-based metrics</t>
  </si>
  <si>
    <t xml:space="preserve">U6TPR Formulae</t>
  </si>
  <si>
    <t xml:space="preserve">LSD.RID.0.AL.FORM.U6TPR.0</t>
  </si>
  <si>
    <t xml:space="preserve">U6TPR Base Derivation</t>
  </si>
  <si>
    <t xml:space="preserve">U6TPR_g_i = U6P_g_i / CIV_POP_g_i; U6TPR_OVERALL_i = U6P_OVERALL_i / CIV_POP_TOTAL</t>
  </si>
  <si>
    <t xml:space="preserve">\( U_{6T,g,i} = \frac{U_{6,g,i}}{P_{g,i}}, \ U_{6T} = \frac{U_6}{P} \)</t>
  </si>
  <si>
    <t xml:space="preserve">Underemployment-to-Population Ratio per group and sector (population denominator)</t>
  </si>
  <si>
    <t xml:space="preserve">Direct population-based complement to ETPR and U3TPR; uses existing U6P headcount</t>
  </si>
  <si>
    <t xml:space="preserve">LSD.RID.0.AL.FORM.U6TPR.1</t>
  </si>
  <si>
    <t xml:space="preserve">U6TPR Group Adjustment</t>
  </si>
  <si>
    <t xml:space="preserve">U6TPR_UNAUTH_i = U6TPR_UNAUTH_i * (1 + PARAMETERS!UNAUTH_U36_BOOST_SCALE * 0.90); U6TPR_AUTH_i *= (1 + PARAMETERS!AUTH_IMMIGRANT_ETPR_ADJ_FACTOR - 1)</t>
  </si>
  <si>
    <t xml:space="preserve">\( U_{6T,U} = U_{6T,U} \cdot (1 + S_U \cdot 0.90), \ U_{6T,A} = U_{6T,A} \cdot (A - 1) \)</t>
  </si>
  <si>
    <t xml:space="preserve">Same asymmetry logic as U6R but scaled for full population base</t>
  </si>
  <si>
    <t xml:space="preserve">LSD.RID.0.AL.FORM.U6TPR.2</t>
  </si>
  <si>
    <t xml:space="preserve">U6TPR Sector Aggregation</t>
  </si>
  <si>
    <t xml:space="preserve">U6TPR_OVERALL_i = SUM(U6TPR_g_i) * PARAMETERS!TNPE_SHARES_SEC[i] / SUM(PARAMETERS!TNPE_SHARES_SEC)</t>
  </si>
  <si>
    <t xml:space="preserve">\( U_{6T,i} = \sum U_{6T,g,i} \cdot \frac{S_i}{\sum S} \)</t>
  </si>
  <si>
    <t xml:space="preserve">Consistent with U6P / EP / U3TPR aggregation</t>
  </si>
  <si>
    <t xml:space="preserve">LSD.RID.0.AL.FORM.U6TPR.3</t>
  </si>
  <si>
    <t xml:space="preserve">U6TPR Iterative Calibration</t>
  </si>
  <si>
    <t xml:space="preserve">WHILE ABS(U6TPR_OVERALL - PARAMETERS!U6TPR_PUBLIC_TARGET) &gt; PARAMETERS!CALIB_TOLERANCE: RESCALE_ALL_SECTORS( (PARAMETERS!U6TPR_PUBLIC_TARGET / CURRENT_OVERALL) ^ (1 / PARAMETERS!INTERDEPEND_FACTOR_LFP_U3R) )</t>
  </si>
  <si>
    <t xml:space="preserve">\( \text{while } |U_{6T} - T| &gt; \epsilon: \ U_{6T} \leftarrow U_{6T} \cdot \left( \frac{T}{C} \right)^{1/f} \)</t>
  </si>
  <si>
    <t xml:space="preserve">Shared calibration loop to hit public U6TPR benchmark</t>
  </si>
  <si>
    <t xml:space="preserve">Reuses FORM.BASE.4 engine; directly linked to U6R/LFP</t>
  </si>
  <si>
    <t xml:space="preserve">LSD.RID.0.AL.FORM.U6TPR.4</t>
  </si>
  <si>
    <t xml:space="preserve">U6TPR Reconciliation with Sources</t>
  </si>
  <si>
    <t xml:space="preserve">IF ABS(U6TPR_CALC - DERIVED_U6R * LFPR_OVERALL) / MEAN &gt; PARAMETERS!FUSION_THRESHOLD THEN WEIGHTED_FUSION(U6TPR_CALC, DERIVED_U6R * LFPR, PARAMETERS!SOURCE_CONFIDENCE_SEC[i])</t>
  </si>
  <si>
    <t xml:space="preserve">\( \begin{cases} W(U_{6T}, D \cdot R, c) &amp; \text{if } \frac{|U_{6T} - D \cdot R|}{\bar{x}} &gt; \tau \\ U_{6T} &amp; \text{otherwise} \end{cases} \)</t>
  </si>
  <si>
    <t xml:space="preserve">Fusion with implied U-6 population ratio (U6R × LFPR)</t>
  </si>
  <si>
    <t xml:space="preserve">Ensures perfect consistency with rate-based underutilization</t>
  </si>
  <si>
    <t xml:space="preserve">WRAVG Formulae</t>
  </si>
  <si>
    <t xml:space="preserve">LSD.RID.0.AL.FORM.WRAVG.0</t>
  </si>
  <si>
    <t xml:space="preserve">WRAVG Base Derivation</t>
  </si>
  <si>
    <t xml:space="preserve">WRAVG_MIN_OVERALL_i = BLS_OES_10TH[i] * (1 + PARAMETERS!WRAVG_MIN_ADJ_SEC[i]); WRAVG_MAX_OVERALL_i = BLS_OES_90TH[i] * (1 + PARAMETERS!WRAVG_MAX_ADJ_SEC[i])</t>
  </si>
  <si>
    <t xml:space="preserve">\( W_{\min,i} = B_{10,i} \cdot (1 + A_{\min,i}), \ W_{\max,i} = B_{90,i} \cdot (1 + A_{\max,i}) \)</t>
  </si>
  <si>
    <t xml:space="preserve">Base 10th and 90th percentile wages per sector from BLS OES</t>
  </si>
  <si>
    <t xml:space="preserve">Core range derivation</t>
  </si>
  <si>
    <t xml:space="preserve">LSD.RID.0.AL.FORM.WRAVG.1</t>
  </si>
  <si>
    <t xml:space="preserve">WRAVG Group Adjustment</t>
  </si>
  <si>
    <t xml:space="preserve">WRAVG_UNAUTH_MIN_i = WRAVG_MIN_OVERALL_i * (1 + PARAMETERS!WRAVG_UNAUTH_PENALTY_MIN_SEC[i] - 1); similar for MAX, AUTH premium, and asymmetry</t>
  </si>
  <si>
    <t xml:space="preserve">\( W_{U,\min,i} = W_{\min,i} \cdot (1 + P_{U,\min,i} - 1) \) (similar for max/auth)</t>
  </si>
  <si>
    <t xml:space="preserve">Applies realistic unauthorized penalties (stronger at low end) and authorized premiums</t>
  </si>
  <si>
    <t xml:space="preserve">Most realistic group asymmetry</t>
  </si>
  <si>
    <t xml:space="preserve">LSD.RID.0.AL.FORM.WRAVG.2</t>
  </si>
  <si>
    <t xml:space="preserve">WRAVG Sector Aggregation</t>
  </si>
  <si>
    <t xml:space="preserve">WRAVG_OVERALL_MIN_i = SUM(WRAVG_g_MIN_i * TNPE_g_i) / SUM(TNPE_OVERALL_i)</t>
  </si>
  <si>
    <t xml:space="preserve">\( W_{\min,i} = \frac{\sum W_{g,\min,i} \cdot T_{g,i}}{\sum T_i} \)</t>
  </si>
  <si>
    <t xml:space="preserve">Weighted by group employment shares</t>
  </si>
  <si>
    <t xml:space="preserve">Ensures consistency with TNPE/WAVG</t>
  </si>
  <si>
    <t xml:space="preserve">LSD.RID.0.AL.FORM.WRAVG.3</t>
  </si>
  <si>
    <t xml:space="preserve">WRAVG Iterative Calibration</t>
  </si>
  <si>
    <t xml:space="preserve">WHILE ABS(OVERALL_MIN - TARGET_10TH) &gt; TOLERANCE: RESCALE_BY_FACTOR(...)</t>
  </si>
  <si>
    <t xml:space="preserve">\( \text{while } |M - T| &gt; \epsilon: \ M \leftarrow M \cdot f(...) \)</t>
  </si>
  <si>
    <t xml:space="preserve">Calibration to BLS 10th/90th percentiles</t>
  </si>
  <si>
    <t xml:space="preserve">Reuses shared FORM.BASE.4 engine</t>
  </si>
  <si>
    <t xml:space="preserve">LSD.RID.0.AL.FORM.WRAVG.4</t>
  </si>
  <si>
    <t xml:space="preserve">WRAVG Reconciliation</t>
  </si>
  <si>
    <t xml:space="preserve">IF ABS(CALC - BLS_OES_PERCENTILE[i]) / MEAN &gt; THRESHOLD THEN WEIGHTED_FUSION(...)</t>
  </si>
  <si>
    <t xml:space="preserve">\( \begin{cases} W(C, B, w) &amp; \text{if } \frac{|C - B|}{\bar{x}} &gt; \tau \\ C &amp; \text{otherwise} \end{cases} \)</t>
  </si>
  <si>
    <t xml:space="preserve">Fusion with BLS OES 10th/90th percentiles</t>
  </si>
  <si>
    <t xml:space="preserve">Ensures no drift vs. official ranges</t>
  </si>
  <si>
    <t xml:space="preserve">AIRAVG Formulae</t>
  </si>
  <si>
    <t xml:space="preserve">LSD.RID.0.AL.FORM.AIRAVG.0</t>
  </si>
  <si>
    <t xml:space="preserve">AIRAVG Base Derivation</t>
  </si>
  <si>
    <t xml:space="preserve">AIRAVG_MIN_OVERALL_i = WRAVG_MIN_OVERALL_i * PARAMETERS!ANNUAL_HOURS_SEC[i] * (1 + PARAMETERS!AIRAVG_MIN_ADJ_SEC[i]); AIRAVG_MAX_OVERALL_i = WRAVG_MAX_OVERALL_i * PARAMETERS!ANNUAL_HOURS_SEC[i] * (1 + PARAMETERS!AIRAVG_MAX_ADJ_SEC[i])</t>
  </si>
  <si>
    <t xml:space="preserve">\( A_{\min,i} = W_{\min,i} \cdot H_i \cdot (1 + J_{\min,i}), \ A_{\max,i} = W_{\max,i} \cdot H_i \cdot (1 + J_{\max,i}) \)</t>
  </si>
  <si>
    <t xml:space="preserve">Base annual income range from hourly WRAVG × sector hours</t>
  </si>
  <si>
    <t xml:space="preserve">Direct link to WRAVG</t>
  </si>
  <si>
    <t xml:space="preserve">LSD.RID.0.AL.FORM.AIRAVG.1</t>
  </si>
  <si>
    <t xml:space="preserve">AIRAVG Group Adjustment</t>
  </si>
  <si>
    <t xml:space="preserve">AIRAVG_UNAUTH_MIN_i = AIRAVG_MIN_OVERALL_i * (1 + PARAMETERS!AIRAVG_UNAUTH_PENALTY_MIN_SEC[i] - 1); similar for MAX, AUTH premium, and asymmetry</t>
  </si>
  <si>
    <t xml:space="preserve">\( A_{U,\min,i} = A_{\min,i} \cdot (1 + P_{U,\min,i} - 1) \) (similar for max/auth)</t>
  </si>
  <si>
    <t xml:space="preserve">Refinement #1/#2 – data-driven</t>
  </si>
  <si>
    <t xml:space="preserve">LSD.RID.0.AL.FORM.AIRAVG.2</t>
  </si>
  <si>
    <t xml:space="preserve">AIRAVG Sector Aggregation</t>
  </si>
  <si>
    <t xml:space="preserve">AIRAVG_OVERALL_MIN_i = SUM(AIRAVG_g_MIN_i * TNPE_g_i) / SUM(TNPE_OVERALL_i)</t>
  </si>
  <si>
    <t xml:space="preserve">\( A_{\min,i} = \frac{\sum A_{g,\min,i} \cdot T_{g,i}}{\sum T_i} \)</t>
  </si>
  <si>
    <t xml:space="preserve">Ensures consistency with TNPE/WAVG/AIAVG</t>
  </si>
  <si>
    <t xml:space="preserve">LSD.RID.0.AL.FORM.AIRAVG.3</t>
  </si>
  <si>
    <t xml:space="preserve">AIRAVG Iterative Calibration</t>
  </si>
  <si>
    <t xml:space="preserve">WHILE ABS(OVERALL_MIN - TARGET_10TH_ANNUAL) &gt; TOLERANCE: RESCALE_BY_FACTOR(...)</t>
  </si>
  <si>
    <t xml:space="preserve">Calibration to realistic annual percentiles</t>
  </si>
  <si>
    <t xml:space="preserve">LSD.RID.0.AL.FORM.AIRAVG.4</t>
  </si>
  <si>
    <t xml:space="preserve">AIRAVG Reconciliation</t>
  </si>
  <si>
    <t xml:space="preserve">IF ABS(CALC - DERIVED_FROM_WRAVG[i]) / MEAN &gt; THRESHOLD THEN WEIGHTED_FUSION(...)</t>
  </si>
  <si>
    <t xml:space="preserve">\( \begin{cases} W(C, D, w) &amp; \text{if } \frac{|C - D|}{\bar{x}} &gt; \tau \\ C &amp; \text{otherwise} \end{cases} \)</t>
  </si>
  <si>
    <t xml:space="preserve">Fusion with WRAVG-derived annual ranges</t>
  </si>
  <si>
    <t xml:space="preserve">Ensures no drift</t>
  </si>
  <si>
    <t xml:space="preserve">AWHW Formulae</t>
  </si>
  <si>
    <t xml:space="preserve">LSD.RID.0.AL.FORM.AWHW.0</t>
  </si>
  <si>
    <t xml:space="preserve">AWHW Base Derivation</t>
  </si>
  <si>
    <t xml:space="preserve">AWHW_OVERALL_i = BLS_CES_AVG_HOURS[i] * (1 + PARAMETERS!AWHW_ADJ_SEC[i])</t>
  </si>
  <si>
    <t xml:space="preserve">\( H_i = B_i \cdot (1 + A_i) \)</t>
  </si>
  <si>
    <t xml:space="preserve">Base average weekly hours per sector from BLS CES</t>
  </si>
  <si>
    <t xml:space="preserve">Core derivation</t>
  </si>
  <si>
    <t xml:space="preserve">LSD.RID.0.AL.FORM.AWHW.1</t>
  </si>
  <si>
    <t xml:space="preserve">AWHW Group Adjustment</t>
  </si>
  <si>
    <t xml:space="preserve">AWHW_UNAUTH_i = AWHW_OVERALL_i * (1 + PARAMETERS!AWHW_UNAUTH_ASYMM_SEC[i] - 1); AWHW_AUTH_i *= (1 + PARAMETERS!AWHW_AUTH_ASYMM_SEC[i] - 1)</t>
  </si>
  <si>
    <t xml:space="preserve">\( H_U = H \cdot (1 + A_U - 1), \ H_A = H \cdot (1 + A_A - 1) \)</t>
  </si>
  <si>
    <t xml:space="preserve">Applies unauthorized slight overtime premium in manual sectors and compression in professional sectors; modest authorized premium in skilled sectors</t>
  </si>
  <si>
    <t xml:space="preserve">LSD.RID.0.AL.FORM.AWHW.2</t>
  </si>
  <si>
    <t xml:space="preserve">AWHW Sector Aggregation</t>
  </si>
  <si>
    <t xml:space="preserve">AWHW_OVERALL_i = SUM(AWHW_g_i * TNPE_g_i) / SUM(TNPE_OVERALL_i)</t>
  </si>
  <si>
    <t xml:space="preserve">\( H_i = \frac{\sum H_{g,i} \cdot T_{g,i}}{\sum T_i} \)</t>
  </si>
  <si>
    <t xml:space="preserve">Ensures consistency with TNPE/EP/WAVG</t>
  </si>
  <si>
    <t xml:space="preserve">LSD.RID.0.AL.FORM.AWHW.3</t>
  </si>
  <si>
    <t xml:space="preserve">AWHW Iterative Calibration</t>
  </si>
  <si>
    <t xml:space="preserve">WHILE ABS(OVERALL - TARGET_AVG_HOURS) &gt; TOLERANCE: RESCALE_BY_FACTOR(...)</t>
  </si>
  <si>
    <t xml:space="preserve">\( \text{while } |H - T| &gt; \epsilon: \ H \leftarrow H \cdot f(...) \)</t>
  </si>
  <si>
    <t xml:space="preserve">Calibration to BLS CES average hours</t>
  </si>
  <si>
    <t xml:space="preserve">LSD.RID.0.AL.FORM.AWHW.4</t>
  </si>
  <si>
    <t xml:space="preserve">AWHW Reconciliation</t>
  </si>
  <si>
    <t xml:space="preserve">IF ABS(CALC - BLS_CES_HOURS[i]) / MEAN &gt; THRESHOLD THEN WEIGHTED_FUSION(...)</t>
  </si>
  <si>
    <t xml:space="preserve">Fusion with BLS CES average hours data</t>
  </si>
  <si>
    <t xml:space="preserve">Ensures no drift vs. official hours</t>
  </si>
  <si>
    <t xml:space="preserve">FTER Formulae</t>
  </si>
  <si>
    <t xml:space="preserve">LSD.RID.0.AL.FORM.FTER.0</t>
  </si>
  <si>
    <t xml:space="preserve">FTER Base Derivation</t>
  </si>
  <si>
    <t xml:space="preserve">FTER_OVERALL_i = BLS_CES_FULL_TIME_SHARE[i] * (1 + PARAMETERS!FTER_ADJ_SEC[i])</t>
  </si>
  <si>
    <t xml:space="preserve">\( F_i = B_i \cdot (1 + A_i) \)</t>
  </si>
  <si>
    <t xml:space="preserve">Base full-time employment rate per sector from BLS CES</t>
  </si>
  <si>
    <t xml:space="preserve">LSD.RID.0.AL.FORM.FTER.1</t>
  </si>
  <si>
    <t xml:space="preserve">FTER Group Adjustment</t>
  </si>
  <si>
    <t xml:space="preserve">FTER_UNAUTH_i = FTER_OVERALL_i * (1 + PARAMETERS!FTER_UNAUTH_ASYMM_SEC[i] - 1); FTER_AUTH_i *= (1 + PARAMETERS!FTER_AUTH_ASYMM_SEC[i] - 1)</t>
  </si>
  <si>
    <t xml:space="preserve">\( F_U = F \cdot (1 + A_U - 1), \ F_A = F \cdot (1 + A_A - 1) \)</t>
  </si>
  <si>
    <t xml:space="preserve">Applies unauthorized compression in professional sectors and slight premium in manual; modest authorized premium in skilled sectors</t>
  </si>
  <si>
    <t xml:space="preserve">LSD.RID.0.AL.FORM.FTER.2</t>
  </si>
  <si>
    <t xml:space="preserve">FTER Sector Aggregation</t>
  </si>
  <si>
    <t xml:space="preserve">FTER_OVERALL_i = SUM(FTER_g_i * EP_g_i) / SUM(EP_OVERALL_i)</t>
  </si>
  <si>
    <t xml:space="preserve">\( F_i = \frac{\sum F_{g,i} \cdot E_{g,i}}{\sum E_i} \)</t>
  </si>
  <si>
    <t xml:space="preserve">Weighted by employed population shares</t>
  </si>
  <si>
    <t xml:space="preserve">Ensures consistency with EP/TNPE</t>
  </si>
  <si>
    <t xml:space="preserve">LSD.RID.0.AL.FORM.FTER.3</t>
  </si>
  <si>
    <t xml:space="preserve">FTER Iterative Calibration</t>
  </si>
  <si>
    <t xml:space="preserve">WHILE ABS(OVERALL - TARGET_FULL_TIME) &gt; TOLERANCE: RESCALE_BY_FACTOR(...)</t>
  </si>
  <si>
    <t xml:space="preserve">\( \text{while } |F - T| &gt; \epsilon: \ F \leftarrow F \cdot f(...) \)</t>
  </si>
  <si>
    <t xml:space="preserve">Calibration to BLS full-time share</t>
  </si>
  <si>
    <t xml:space="preserve">LSD.RID.0.AL.FORM.FTER.4</t>
  </si>
  <si>
    <t xml:space="preserve">FTER Reconciliation</t>
  </si>
  <si>
    <t xml:space="preserve">IF ABS(CALC - BLS_CES_FULL_TIME[i]) / MEAN &gt; THRESHOLD THEN WEIGHTED_FUSION(...)</t>
  </si>
  <si>
    <t xml:space="preserve">Fusion with BLS CES full-time data</t>
  </si>
  <si>
    <t xml:space="preserve">Ensures no drift vs. official rates</t>
  </si>
  <si>
    <t xml:space="preserve">PTER Formulae</t>
  </si>
  <si>
    <t xml:space="preserve">LSD.RID.0.AL.FORM.PTER.0</t>
  </si>
  <si>
    <t xml:space="preserve">PTER Base Derivation</t>
  </si>
  <si>
    <t xml:space="preserve">PTER_OVERALL_i = 1 - FTER_OVERALL_i</t>
  </si>
  <si>
    <t xml:space="preserve">\( P_i = 1 - F_i \)</t>
  </si>
  <si>
    <t xml:space="preserve">Part-time rate = 1 - full-time rate (direct complement to FTER)</t>
  </si>
  <si>
    <t xml:space="preserve">LSD.RID.0.AL.FORM.PTER.1</t>
  </si>
  <si>
    <t xml:space="preserve">PTER Group Adjustment</t>
  </si>
  <si>
    <t xml:space="preserve">PTER_UNAUTH_i = PTER_OVERALL_i * (1 + PARAMETERS!PTER_UNAUTH_ASYMM_SEC[i] - 1); PTER_AUTH_i *= (1 + PARAMETERS!PTER_AUTH_ASYMM_SEC[i] - 1)</t>
  </si>
  <si>
    <t xml:space="preserve">\( P_U = P \cdot (1 + A_U - 1), \ P_A = P \cdot (1 + A_A - 1) \)</t>
  </si>
  <si>
    <t xml:space="preserve">Applies unauthorized premium in professional sectors and slight discount in manual; modest authorized discount in skilled sectors</t>
  </si>
  <si>
    <t xml:space="preserve">LSD.RID.0.AL.FORM.PTER.2</t>
  </si>
  <si>
    <t xml:space="preserve">PTER Sector Aggregation</t>
  </si>
  <si>
    <t xml:space="preserve">PTER_OVERALL_i = SUM(PTER_g_i * EP_g_i) / SUM(EP_OVERALL_i)</t>
  </si>
  <si>
    <t xml:space="preserve">\( P_i = \frac{\sum P_{g,i} \cdot E_{g,i}}{\sum E_i} \)</t>
  </si>
  <si>
    <t xml:space="preserve">Ensures consistency with EP/TNPE/FTER</t>
  </si>
  <si>
    <t xml:space="preserve">LSD.RID.0.AL.FORM.PTER.3</t>
  </si>
  <si>
    <t xml:space="preserve">PTER Iterative Calibration</t>
  </si>
  <si>
    <t xml:space="preserve">WHILE ABS(OVERALL - TARGET_PART_TIME) &gt; TOLERANCE: RESCALE_BY_FACTOR(...)</t>
  </si>
  <si>
    <t xml:space="preserve">\( \text{while } |P - T| &gt; \epsilon: \ P \leftarrow P \cdot f(...) \)</t>
  </si>
  <si>
    <t xml:space="preserve">Calibration to BLS part-time share</t>
  </si>
  <si>
    <t xml:space="preserve">LSD.RID.0.AL.FORM.PTER.4</t>
  </si>
  <si>
    <t xml:space="preserve">PTER Reconciliation</t>
  </si>
  <si>
    <t xml:space="preserve">IF ABS(CALC - BLS_CES_PART_TIME[i]) / MEAN &gt; THRESHOLD THEN WEIGHTED_FUSION(...)</t>
  </si>
  <si>
    <t xml:space="preserve">Fusion with BLS CES part-time data</t>
  </si>
  <si>
    <t xml:space="preserve">Alabama Labor Statistic Logic Interdependent Parameters</t>
  </si>
  <si>
    <t xml:space="preserve">BASE Parameters</t>
  </si>
  <si>
    <t xml:space="preserve">ID</t>
  </si>
  <si>
    <t xml:space="preserve">Value</t>
  </si>
  <si>
    <t xml:space="preserve">Confidence</t>
  </si>
  <si>
    <t xml:space="preserve">Source</t>
  </si>
  <si>
    <t xml:space="preserve">Last Updated</t>
  </si>
  <si>
    <t xml:space="preserve">Used_By_Metrics</t>
  </si>
  <si>
    <t xml:space="preserve">LSD.RID.0.AL.PARAM.BASE.0</t>
  </si>
  <si>
    <t xml:space="preserve">CIV_POP_TOTAL</t>
  </si>
  <si>
    <t xml:space="preserve">Total Alabama civilian noninstitutional population age 16+ (Dec 2025 benchmark)</t>
  </si>
  <si>
    <t xml:space="preserve">High</t>
  </si>
  <si>
    <t xml:space="preserve">BLS LAUS Dec 2025</t>
  </si>
  <si>
    <t xml:space="preserve">February 2026</t>
  </si>
  <si>
    <t xml:space="preserve">Updated to official Dec 2025 release</t>
  </si>
  <si>
    <t xml:space="preserve">All</t>
  </si>
  <si>
    <t xml:space="preserve">LSD.RID.0.AL.PARAM.BASE.1</t>
  </si>
  <si>
    <t xml:space="preserve">CALIB_TOLERANCE</t>
  </si>
  <si>
    <t xml:space="preserve">Maximum allowable aggregate drift before iterative rescaling</t>
  </si>
  <si>
    <t xml:space="preserve">Internal validation loop</t>
  </si>
  <si>
    <t xml:space="preserve">FORM.4 / FORM.13</t>
  </si>
  <si>
    <t xml:space="preserve">LSD.RID.0.AL.PARAM.BASE.2</t>
  </si>
  <si>
    <t xml:space="preserve">FUSION_THRESHOLD</t>
  </si>
  <si>
    <t xml:space="preserve">Source divergence threshold triggering weighted reconciliation</t>
  </si>
  <si>
    <t xml:space="preserve">FORM.2 definition</t>
  </si>
  <si>
    <t xml:space="preserve">Cross-metric data fusion</t>
  </si>
  <si>
    <t xml:space="preserve">LSD.RID.0.AL.PARAM.BASE.3</t>
  </si>
  <si>
    <t xml:space="preserve">INTERDEPEND_FACTOR_LFP_U3R</t>
  </si>
  <si>
    <t xml:space="preserve">LFP → U3R linkage strength</t>
  </si>
  <si>
    <t xml:space="preserve">Derived from TNPE/ETPR consistency</t>
  </si>
  <si>
    <t xml:space="preserve">FORM.5 / FORM.6 / FORM.13</t>
  </si>
  <si>
    <t xml:space="preserve">LFP,U3R,U6R</t>
  </si>
  <si>
    <t xml:space="preserve">LSD.RID.0.AL.PARAM.BASE.4</t>
  </si>
  <si>
    <t xml:space="preserve">INTERDEPEND_FACTOR_ETPR_LFP</t>
  </si>
  <si>
    <t xml:space="preserve">ETPR → LFP linkage strength</t>
  </si>
  <si>
    <t xml:space="preserve">Internal calibration</t>
  </si>
  <si>
    <t xml:space="preserve">FORM.8 / FORM.11</t>
  </si>
  <si>
    <t xml:space="preserve">ETPR,LFPR,LFP</t>
  </si>
  <si>
    <t xml:space="preserve">LSD.RID.0.AL.PARAM.BASE.5</t>
  </si>
  <si>
    <t xml:space="preserve">INTERDEPEND_FACTOR_LFPR_ETPR_U3R</t>
  </si>
  <si>
    <t xml:space="preserve">LFPR-ETPR-U3R cross-link</t>
  </si>
  <si>
    <t xml:space="preserve">FORM.10 / FORM.12</t>
  </si>
  <si>
    <t xml:space="preserve">LFPR,ETPR,U3R</t>
  </si>
  <si>
    <t xml:space="preserve">LSD.RID.0.AL.PARAM.BASE.6</t>
  </si>
  <si>
    <t xml:space="preserve">UNAUTH_BOOST_SEC</t>
  </si>
  <si>
    <t xml:space="preserve">0.45;0.28;0.15;0.42;0.38;0.35;0.32;0.30;0.25;0.45;0.42;0.38;0.35;0.20;0.15;0.22;0.28;0.40;0.25;0.32;0.48;0.50;0.22</t>
  </si>
  <si>
    <t xml:space="preserve">Sector-specific unauthorized LFP/ETPR/U3R boost (23 sectors, high in manual labor)</t>
  </si>
  <si>
    <t xml:space="preserve">ACS/MPI + sector weighting</t>
  </si>
  <si>
    <t xml:space="preserve">FORM.1 / FORM.10 / FORM.12 / FORM.14</t>
  </si>
  <si>
    <t xml:space="preserve">LSD.RID.0.AL.PARAM.BASE.7</t>
  </si>
  <si>
    <t xml:space="preserve">TNPE_SHARES_SEC</t>
  </si>
  <si>
    <t xml:space="preserve">0.042;0.031;0.018;0.022;0.045;0.038;0.035;0.040;0.028;0.055;0.062;0.040;0.032;0.025;0.012;0.015;0.020;0.045;0.018;0.035;0.065;0.072;0.028</t>
  </si>
  <si>
    <t xml:space="preserve">Total Non-Population-Equivalent shares per Labor Sector (23 sectors)</t>
  </si>
  <si>
    <t xml:space="preserve">BLS CES + ACS immigrant estimates</t>
  </si>
  <si>
    <t xml:space="preserve">Named range TNPE_SHARES_SEC</t>
  </si>
  <si>
    <t xml:space="preserve">LSD.RID.0.AL.PARAM.BASE.8</t>
  </si>
  <si>
    <t xml:space="preserve">AUTH_IMMIGRANT_SHARE_SEC</t>
  </si>
  <si>
    <t xml:space="preserve">0.018;0.012;0.009;0.015;0.022;0.020;0.019;0.021;0.016;0.025;0.028;0.020;0.018;0.012;0.008;0.010;0.015;0.022;0.010;0.018;0.030;0.035;0.015</t>
  </si>
  <si>
    <t xml:space="preserve">Authorized immigrant population share per sector</t>
  </si>
  <si>
    <t xml:space="preserve">ACS 2024-2025</t>
  </si>
  <si>
    <t xml:space="preserve">FORM.1 proration</t>
  </si>
  <si>
    <t xml:space="preserve">LSD.RID.0.AL.PARAM.BASE.9</t>
  </si>
  <si>
    <t xml:space="preserve">UNAUTH_IMMIGRANT_SHARE_SEC</t>
  </si>
  <si>
    <t xml:space="preserve">0.0226;0.0179;0.0085;0.0066;0.0216;0.0169;0.0150;0.0179;0.0113;0.0282;0.0320;0.0188;0.0132;0.0122;0.0038;0.0047;0.0047;0.0216;0.0075;0.0160;0.0329;0.0348;0.0122</t>
  </si>
  <si>
    <t xml:space="preserve">Unauthorized immigrant population share per sector (refined 6% lower for 2025 enforcement realism)</t>
  </si>
  <si>
    <t xml:space="preserve">ACS/MPI 2024-2025 adjusted</t>
  </si>
  <si>
    <t xml:space="preserve">Refined for TNPE Group 3</t>
  </si>
  <si>
    <t xml:space="preserve">LSD.RID.0.AL.PARAM.BASE.10</t>
  </si>
  <si>
    <t xml:space="preserve">AUTH_IMMIGRANT_ETPR_ADJ_FACTOR</t>
  </si>
  <si>
    <t xml:space="preserve">Authorized immigrant ETPR adjustment factor</t>
  </si>
  <si>
    <t xml:space="preserve">Derived from TNPE fusion</t>
  </si>
  <si>
    <t xml:space="preserve">FORM.1</t>
  </si>
  <si>
    <t xml:space="preserve">LSD.RID.0.AL.PARAM.BASE.11</t>
  </si>
  <si>
    <t xml:space="preserve">UNAUTH_IMMIGRANT_ETPR_ADJ_FACTOR</t>
  </si>
  <si>
    <t xml:space="preserve">Unauthorized immigrant ETPR adjustment factor</t>
  </si>
  <si>
    <t xml:space="preserve">LSD.RID.0.AL.PARAM.BASE.12</t>
  </si>
  <si>
    <t xml:space="preserve">UNAUTH_IMMIGRANT_CAP</t>
  </si>
  <si>
    <t xml:space="preserve">Statewide unauthorized immigrant cap for proration</t>
  </si>
  <si>
    <t xml:space="preserve">ACS-derived</t>
  </si>
  <si>
    <t xml:space="preserve">LSD.RID.0.AL.PARAM.BASE.13</t>
  </si>
  <si>
    <t xml:space="preserve">ACCURACY_BLS</t>
  </si>
  <si>
    <t xml:space="preserve">BLS data source confidence weight</t>
  </si>
  <si>
    <t xml:space="preserve">BLS metadata</t>
  </si>
  <si>
    <t xml:space="preserve">FORM.2</t>
  </si>
  <si>
    <t xml:space="preserve">LSD.RID.0.AL.PARAM.BASE.14</t>
  </si>
  <si>
    <t xml:space="preserve">ACCURACY_ACS</t>
  </si>
  <si>
    <t xml:space="preserve">ACS data source confidence weight</t>
  </si>
  <si>
    <t xml:space="preserve">ACS metadata</t>
  </si>
  <si>
    <t xml:space="preserve">LSD.RID.0.AL.PARAM.BASE.15</t>
  </si>
  <si>
    <t xml:space="preserve">ACCURACY_MPI</t>
  </si>
  <si>
    <t xml:space="preserve">MPI data source confidence weight</t>
  </si>
  <si>
    <t xml:space="preserve">Medium</t>
  </si>
  <si>
    <t xml:space="preserve">MPI metadata</t>
  </si>
  <si>
    <t xml:space="preserve">LSD.RID.0.AL.PARAM.BASE.16</t>
  </si>
  <si>
    <t xml:space="preserve">ASYMMETRY_FACTOR_GROUP</t>
  </si>
  <si>
    <t xml:space="preserve">Base group asymmetry factor</t>
  </si>
  <si>
    <t xml:space="preserve">Internal</t>
  </si>
  <si>
    <t xml:space="preserve">FORM.3</t>
  </si>
  <si>
    <t xml:space="preserve">LSD.RID.0.AL.PARAM.BASE.17</t>
  </si>
  <si>
    <t xml:space="preserve">SECTOR_ASYMMETRY_FACTOR_GROUP</t>
  </si>
  <si>
    <t xml:space="preserve">1.08;1.06;1.02;1.09;1.07;1.05;1.04;1.06;1.03;1.10;1.09;1.07;1.06;1.03;1.01;1.02;1.04;1.08;1.03;1.05;1.11;1.12;1.02</t>
  </si>
  <si>
    <t xml:space="preserve">Sector-specific asymmetry factor</t>
  </si>
  <si>
    <t xml:space="preserve">Calibrated to LFP/ETPR variance</t>
  </si>
  <si>
    <t xml:space="preserve">FORM.3 / FORM.9</t>
  </si>
  <si>
    <t xml:space="preserve">LSD.RID.0.AL.PARAM.BASE.18</t>
  </si>
  <si>
    <t xml:space="preserve">GROUP_VARIANCE</t>
  </si>
  <si>
    <t xml:space="preserve">0.035;0.028;0.015;0.042;0.038;0.032;0.030;0.035;0.025;0.045;0.048;0.035;0.032;0.022;0.012;0.015;0.018;0.040;0.020;0.030;0.055;0.060;0.025</t>
  </si>
  <si>
    <t xml:space="preserve">Group variance bounds per sector</t>
  </si>
  <si>
    <t xml:space="preserve">Internal reconciliation</t>
  </si>
  <si>
    <t xml:space="preserve">LSD.RID.0.AL.PARAM.BASE.19</t>
  </si>
  <si>
    <t xml:space="preserve">LFP_PUBLIC_TARGET</t>
  </si>
  <si>
    <t xml:space="preserve">Public benchmark target for aggregate LFP</t>
  </si>
  <si>
    <t xml:space="preserve">Updated to official Dec 2025</t>
  </si>
  <si>
    <t xml:space="preserve">LSD.RID.0.AL.PARAM.BASE.20</t>
  </si>
  <si>
    <t xml:space="preserve">MIN_VARIANCE_TARGET</t>
  </si>
  <si>
    <t xml:space="preserve">Minimum variance threshold for iterative reconciliation</t>
  </si>
  <si>
    <t xml:space="preserve">FORM.0</t>
  </si>
  <si>
    <t xml:space="preserve">LSD.RID.0.AL.PARAM.BASE.21</t>
  </si>
  <si>
    <t xml:space="preserve">SOURCE_CONFIDENCE_SEC</t>
  </si>
  <si>
    <t xml:space="preserve">0.85;0.82;0.90;0.78;0.80;0.83;0.84;0.81;0.88;0.75;0.72;0.79;0.85;0.91;0.92;0.89;0.87;0.76;0.88;0.82;0.70;0.68;0.89</t>
  </si>
  <si>
    <t xml:space="preserve">Per-sector source confidence (BLS/ACS blend)</t>
  </si>
  <si>
    <t xml:space="preserve">LSD.RID.0.AL.PARAM.BASE.22</t>
  </si>
  <si>
    <t xml:space="preserve">SECTOR_EMPLOYMENT_BASE</t>
  </si>
  <si>
    <t xml:space="preserve">[derived from BLS CES]</t>
  </si>
  <si>
    <t xml:space="preserve">Sector base employment (pre-adjustment)</t>
  </si>
  <si>
    <t xml:space="preserve">BLS CES Dec 2025</t>
  </si>
  <si>
    <t xml:space="preserve">LSD.RID.0.AL.PARAM.BASE.23</t>
  </si>
  <si>
    <t xml:space="preserve">ADJUSTMENT_FACTOR_SEC</t>
  </si>
  <si>
    <t xml:space="preserve">1.015;1.008;0.995;1.022;1.018;1.012;1.010;1.014;1.005;0.982;0.978;1.009;1.011;1.025;1.030;1.028;1.020;0.990;1.000;1.005;0.975;0.968;1.002</t>
  </si>
  <si>
    <t xml:space="preserve">Sector employment adjustment factor</t>
  </si>
  <si>
    <t xml:space="preserve">Calibrated</t>
  </si>
  <si>
    <t xml:space="preserve">LSD.RID.0.AL.PARAM.BASE.24</t>
  </si>
  <si>
    <t xml:space="preserve">VARIANCE_CHECK_SEC</t>
  </si>
  <si>
    <t xml:space="preserve">0.028;0.022;0.012;0.035;0.031;0.026;0.024;0.029;0.019;0.038;0.041;0.027;0.025;0.018;0.009;0.011;0.014;0.033;0.016;0.024;0.047;0.052;0.020</t>
  </si>
  <si>
    <t xml:space="preserve">Sector variance check values</t>
  </si>
  <si>
    <t xml:space="preserve">LSD.RID.0.AL.PARAM.BASE.25</t>
  </si>
  <si>
    <t xml:space="preserve">ETPR_ADJ_SEC</t>
  </si>
  <si>
    <t xml:space="preserve">1.02;1.01;0.98;1.03;1.04;1.02;1.01;1.03;1.00;0.97;0.95;1.02;1.01;1.05;1.08;1.06;1.04;0.99;1.00;1.01;0.96;0.94;1.00</t>
  </si>
  <si>
    <t xml:space="preserve">Sector ETPR adjustment (shared with LFP/LFPR)</t>
  </si>
  <si>
    <t xml:space="preserve">Calibrated to TNPE</t>
  </si>
  <si>
    <t xml:space="preserve">FORM.11</t>
  </si>
  <si>
    <t xml:space="preserve">ETPR,LFPR</t>
  </si>
  <si>
    <t xml:space="preserve">LSD.RID.0.AL.PARAM.BASE.26</t>
  </si>
  <si>
    <t xml:space="preserve">LFPR_ADJ_SEC</t>
  </si>
  <si>
    <t xml:space="preserve">1.015;1.008;0.992;1.022;1.018;1.012;1.010;1.015;1.005;0.985;0.978;1.012;1.010;1.025;1.030;1.028;1.020;0.995;1.000;1.005;0.980;0.972;1.005</t>
  </si>
  <si>
    <t xml:space="preserve">Sector LFPR adjustment</t>
  </si>
  <si>
    <t xml:space="preserve">FORM.8</t>
  </si>
  <si>
    <t xml:space="preserve">LSD.RID.0.AL.PARAM.BASE.27</t>
  </si>
  <si>
    <t xml:space="preserve">U3R_ASYMM_SEC</t>
  </si>
  <si>
    <t xml:space="preserve">1.05;1.03;1.01;1.06;1.04;1.04;1.03;1.05;1.02;1.07;1.08;1.05;1.04;1.02;1.01;1.01;1.02;1.06;1.02;1.03;1.09;1.10;1.01</t>
  </si>
  <si>
    <t xml:space="preserve">Sector U3R asymmetry</t>
  </si>
  <si>
    <t xml:space="preserve">FORM.13</t>
  </si>
  <si>
    <t xml:space="preserve">LSD.RID.0.AL.PARAM.BASE.28</t>
  </si>
  <si>
    <t xml:space="preserve">U3R_ADJ_GROUP</t>
  </si>
  <si>
    <t xml:space="preserve">Group U3R adjustment (higher for unauth)</t>
  </si>
  <si>
    <t xml:space="preserve">FORM.14</t>
  </si>
  <si>
    <t xml:space="preserve">LSD.RID.0.AL.PARAM.BASE.29</t>
  </si>
  <si>
    <t xml:space="preserve">UNAUTH_BOOST_U3R</t>
  </si>
  <si>
    <t xml:space="preserve">[same as UNAUTH_BOOST_SEC]</t>
  </si>
  <si>
    <t xml:space="preserve">Unauthorized U3R-specific boost (mirrors S0.6)</t>
  </si>
  <si>
    <t xml:space="preserve">LSD.RID.0.AL.PARAM.BASE.30</t>
  </si>
  <si>
    <t xml:space="preserve">U3R_VARIANCE_SEC</t>
  </si>
  <si>
    <t xml:space="preserve">0.032;0.025;0.014;0.038;0.035;0.030;0.028;0.032;0.022;0.042;0.045;0.032;0.030;0.020;0.010;0.012;0.015;0.038;0.018;0.028;0.050;0.055;0.022</t>
  </si>
  <si>
    <t xml:space="preserve">Sector U3R variance bounds</t>
  </si>
  <si>
    <t xml:space="preserve">LSD.RID.0.AL.PARAM.BASE.31</t>
  </si>
  <si>
    <t xml:space="preserve">EP_PUBLIC_TARGET</t>
  </si>
  <si>
    <t xml:space="preserve">Statewide EP benchmark (Dec 2025)</t>
  </si>
  <si>
    <t xml:space="preserve">Updated for Group 1</t>
  </si>
  <si>
    <t xml:space="preserve">LSD.RID.0.AL.PARAM.BASE.32</t>
  </si>
  <si>
    <t xml:space="preserve">U3P_PUBLIC_TARGET</t>
  </si>
  <si>
    <t xml:space="preserve">Statewide U3P benchmark (Dec 2025)</t>
  </si>
  <si>
    <t xml:space="preserve">U3P</t>
  </si>
  <si>
    <t xml:space="preserve">LSD.RID.0.AL.PARAM.BASE.33</t>
  </si>
  <si>
    <t xml:space="preserve">LFPR_PUBLIC_TARGET</t>
  </si>
  <si>
    <t xml:space="preserve">Statewide LFPR benchmark (Dec 2025)</t>
  </si>
  <si>
    <t xml:space="preserve">LSD.RID.0.AL.PARAM.BASE.34</t>
  </si>
  <si>
    <t xml:space="preserve">ETPR_PUBLIC_TARGET</t>
  </si>
  <si>
    <t xml:space="preserve">Statewide ETPR benchmark (Dec 2025)</t>
  </si>
  <si>
    <t xml:space="preserve">LSD.RID.0.AL.PARAM.BASE.35</t>
  </si>
  <si>
    <t xml:space="preserve">U3R_PUBLIC_TARGET</t>
  </si>
  <si>
    <t xml:space="preserve">Statewide U3R benchmark (Dec 2025)</t>
  </si>
  <si>
    <t xml:space="preserve">LSD.RID.0.AL.PARAM.BASE.36</t>
  </si>
  <si>
    <t xml:space="preserve">U6P_PUBLIC_TARGET</t>
  </si>
  <si>
    <t xml:space="preserve">Statewide U6P benchmark (refined for realistic slack)</t>
  </si>
  <si>
    <t xml:space="preserve">Derived from U6R patterns</t>
  </si>
  <si>
    <t xml:space="preserve">Updated for Group 2</t>
  </si>
  <si>
    <t xml:space="preserve">U6P</t>
  </si>
  <si>
    <t xml:space="preserve">LSD.RID.0.AL.PARAM.BASE.37</t>
  </si>
  <si>
    <t xml:space="preserve">AUTH_POP_ADJ_SEC</t>
  </si>
  <si>
    <t xml:space="preserve">0.95;0.94;0.97;0.92;0.96;0.98;0.99;0.97;1.02;1.05;1.06;1.03;1.04;1.08;1.07;1.06;1.08;0.98;1.03;1.05;1.02;1.01;1.04</t>
  </si>
  <si>
    <t xml:space="preserve">Group-specific authorized population adjustment per sector</t>
  </si>
  <si>
    <t xml:space="preserve">ACS patterns (premium in skilled sectors, discount in manual)</t>
  </si>
  <si>
    <t xml:space="preserve">New for U3TPR/U6TPR refinement</t>
  </si>
  <si>
    <t xml:space="preserve">All (U3TPR,U6TPR)</t>
  </si>
  <si>
    <t xml:space="preserve">LSD.RID.0.AL.PARAM.BASE.38</t>
  </si>
  <si>
    <t xml:space="preserve">UNAUTH_POP_ADJ_SEC</t>
  </si>
  <si>
    <t xml:space="preserve">0.98;0.97;0.95;0.92;0.96;0.94;0.93;0.95;0.88;0.85;0.84;0.90;0.89;0.87;0.92;0.91;0.90;0.96;0.92;0.90;0.88;0.87;0.89</t>
  </si>
  <si>
    <t xml:space="preserve">Group-specific unauthorized population adjustment per sector</t>
  </si>
  <si>
    <t xml:space="preserve">ACS patterns (larger discount in skilled/professional, smaller in manual)</t>
  </si>
  <si>
    <t xml:space="preserve">LFP Parameters</t>
  </si>
  <si>
    <t xml:space="preserve">LSD.RID.0.AL.PARAM.LFP.8</t>
  </si>
  <si>
    <t xml:space="preserve">LFP_UNAUTH_ASYMM_SEC</t>
  </si>
  <si>
    <t xml:space="preserve">1.20;1.15;1.10;1.25;1.22;1.18;1.16;1.20;1.12;1.28;1.32;1.20;1.18;1.10;1.06;1.08;1.10;1.25;1.12;1.20;1.40;1.45;1.12</t>
  </si>
  <si>
    <t xml:space="preserve">Unauthorized asymmetry scalar for LFP per sector</t>
  </si>
  <si>
    <t xml:space="preserve">Calibrated structural barriers</t>
  </si>
  <si>
    <t xml:space="preserve">New refinement #1</t>
  </si>
  <si>
    <t xml:space="preserve">LSD.RID.0.AL.PARAM.LFP.9</t>
  </si>
  <si>
    <t xml:space="preserve">LFP_AUTH_ASYMM_SEC</t>
  </si>
  <si>
    <t xml:space="preserve">1.05;1.04;1.02;1.06;1.05;1.04;1.03;1.05;1.03;1.08;1.09;1.05;1.04;1.02;1.01;1.02;1.03;1.06;1.02;1.04;1.10;1.12;1.02</t>
  </si>
  <si>
    <t xml:space="preserve">Authorized asymmetry scalar for LFP per sector</t>
  </si>
  <si>
    <t xml:space="preserve">LSD.RID.0.AL.PARAM.LFP.10</t>
  </si>
  <si>
    <t xml:space="preserve">LFP_AMER_ASYMM_SEC</t>
  </si>
  <si>
    <t xml:space="preserve">1.00;1.00;1.00;1.00;1.00;1.00;1.00;1.00;1.00;1.00;1.00;1.00;1.00;1.00;1.00;1.00;1.00;1.00;1.00;1.00;1.00;1.00;1.00</t>
  </si>
  <si>
    <t xml:space="preserve">American asymmetry scalar for LFP per sector</t>
  </si>
  <si>
    <t xml:space="preserve">Neutral baseline</t>
  </si>
  <si>
    <t xml:space="preserve">LSD.RID.0.AL.PARAM.LFP.11</t>
  </si>
  <si>
    <t xml:space="preserve">LFP_ITERATION_MAX</t>
  </si>
  <si>
    <t xml:space="preserve">Maximum LFP calibration iterations</t>
  </si>
  <si>
    <t xml:space="preserve">Shared FORM.BASE.4</t>
  </si>
  <si>
    <t xml:space="preserve">LSD.RID.0.AL.PARAM.LFP.12</t>
  </si>
  <si>
    <t xml:space="preserve">LFP_PUBLIC_AGG_CHECK</t>
  </si>
  <si>
    <t xml:space="preserve">Weighted aggregate check for LFP</t>
  </si>
  <si>
    <t xml:space="preserve">LSD.RID.0.AL.PARAM.LFP.13</t>
  </si>
  <si>
    <t xml:space="preserve">LFP_UNAUTH_POP_ADJ_SEC</t>
  </si>
  <si>
    <t xml:space="preserve">Unauthorized population adjustment for LFP per sector</t>
  </si>
  <si>
    <t xml:space="preserve">ACS patterns</t>
  </si>
  <si>
    <t xml:space="preserve">New refinement #2</t>
  </si>
  <si>
    <t xml:space="preserve">ETPR Parameters</t>
  </si>
  <si>
    <t xml:space="preserve">LSD.RID.0.AL.PARAM.ETPR.0</t>
  </si>
  <si>
    <t xml:space="preserve">ETPR_BASE_ADJ_SEC</t>
  </si>
  <si>
    <t xml:space="preserve">1.03;1.01;0.98;1.04;1.05;1.03;1.02;1.04;1.00;0.97;0.95;1.03;1.02;1.06;1.09;1.07;1.05;0.99;1.00;1.02;0.96;0.94;1.01</t>
  </si>
  <si>
    <t xml:space="preserve">Sector-specific ETPR base adjustment</t>
  </si>
  <si>
    <t xml:space="preserve">Calibrated to BLS LAUS + TNPE</t>
  </si>
  <si>
    <t xml:space="preserve">LSD.RID.0.AL.PARAM.ETPR.1</t>
  </si>
  <si>
    <t xml:space="preserve">ETPR_TARGET_GROUP_AUTH</t>
  </si>
  <si>
    <t xml:space="preserve">Authorized group ETPR target</t>
  </si>
  <si>
    <t xml:space="preserve">BLS-derived</t>
  </si>
  <si>
    <t xml:space="preserve">LSD.RID.0.AL.PARAM.ETPR.2</t>
  </si>
  <si>
    <t xml:space="preserve">ETPR_TARGET_GROUP_UNAUTH</t>
  </si>
  <si>
    <t xml:space="preserve">Unauthorized group ETPR target</t>
  </si>
  <si>
    <t xml:space="preserve">LSD.RID.0.AL.PARAM.ETPR.3</t>
  </si>
  <si>
    <t xml:space="preserve">ETPR_TARGET_GROUP_AMER</t>
  </si>
  <si>
    <t xml:space="preserve">American group ETPR target</t>
  </si>
  <si>
    <t xml:space="preserve">LSD.RID.0.AL.PARAM.ETPR.4</t>
  </si>
  <si>
    <t xml:space="preserve">ETPR_UNAUTH_ASYMM_SEC</t>
  </si>
  <si>
    <t xml:space="preserve">Unauthorized asymmetry scalar for ETPR per sector</t>
  </si>
  <si>
    <t xml:space="preserve">LSD.RID.0.AL.PARAM.ETPR.5</t>
  </si>
  <si>
    <t xml:space="preserve">ETPR_AUTH_ASYMM_SEC</t>
  </si>
  <si>
    <t xml:space="preserve">Authorized asymmetry scalar for ETPR per sector</t>
  </si>
  <si>
    <t xml:space="preserve">LSD.RID.0.AL.PARAM.ETPR.6</t>
  </si>
  <si>
    <t xml:space="preserve">ETPR_AMER_ASYMM_SEC</t>
  </si>
  <si>
    <t xml:space="preserve">American asymmetry scalar for ETPR per sector</t>
  </si>
  <si>
    <t xml:space="preserve">LSD.RID.0.AL.PARAM.ETPR.7</t>
  </si>
  <si>
    <t xml:space="preserve">ETPR_ITERATION_MAX</t>
  </si>
  <si>
    <t xml:space="preserve">Maximum ETPR calibration iterations</t>
  </si>
  <si>
    <t xml:space="preserve">LSD.RID.0.AL.PARAM.ETPR.8</t>
  </si>
  <si>
    <t xml:space="preserve">ETPR_PUBLIC_AGG_CHECK</t>
  </si>
  <si>
    <t xml:space="preserve">Weighted aggregate check for ETPR</t>
  </si>
  <si>
    <t xml:space="preserve">LSD.RID.0.AL.PARAM.ETPR.9</t>
  </si>
  <si>
    <t xml:space="preserve">ETPR_UNAUTH_POP_ADJ_SEC</t>
  </si>
  <si>
    <t xml:space="preserve">Unauthorized population adjustment for ETPR per sector</t>
  </si>
  <si>
    <t xml:space="preserve">LFPR Parameters</t>
  </si>
  <si>
    <t xml:space="preserve">LSD.RID.0.AL.PARAM.LFPR.0</t>
  </si>
  <si>
    <t xml:space="preserve">LFPR_BASE_ADJ_SEC</t>
  </si>
  <si>
    <t xml:space="preserve">Sector-specific LFPR base adjustment</t>
  </si>
  <si>
    <t xml:space="preserve">Calibrated to BLS LAUS</t>
  </si>
  <si>
    <t xml:space="preserve">LSD.RID.0.AL.PARAM.LFPR.1</t>
  </si>
  <si>
    <t xml:space="preserve">LFPR_TARGET_GROUP_AUTH</t>
  </si>
  <si>
    <t xml:space="preserve">Authorized group LFPR target</t>
  </si>
  <si>
    <t xml:space="preserve">ACS/BLS</t>
  </si>
  <si>
    <t xml:space="preserve">LSD.RID.0.AL.PARAM.LFPR.2</t>
  </si>
  <si>
    <t xml:space="preserve">LFPR_TARGET_GROUP_UNAUTH</t>
  </si>
  <si>
    <t xml:space="preserve">Unauthorized group LFPR target</t>
  </si>
  <si>
    <t xml:space="preserve">LSD.RID.0.AL.PARAM.LFPR.3</t>
  </si>
  <si>
    <t xml:space="preserve">LFPR_TARGET_GROUP_AMER</t>
  </si>
  <si>
    <t xml:space="preserve">American group LFPR target</t>
  </si>
  <si>
    <t xml:space="preserve">LSD.RID.0.AL.PARAM.LFPR.4</t>
  </si>
  <si>
    <t xml:space="preserve">LFPR_UNAUTH_ASYMM_SEC</t>
  </si>
  <si>
    <t xml:space="preserve">Unauthorized asymmetry scalar for LFPR per sector</t>
  </si>
  <si>
    <t xml:space="preserve">LSD.RID.0.AL.PARAM.LFPR.5</t>
  </si>
  <si>
    <t xml:space="preserve">LFPR_AUTH_ASYMM_SEC</t>
  </si>
  <si>
    <t xml:space="preserve">Authorized asymmetry scalar for LFPR per sector</t>
  </si>
  <si>
    <t xml:space="preserve">LSD.RID.0.AL.PARAM.LFPR.6</t>
  </si>
  <si>
    <t xml:space="preserve">LFPR_AMER_ASYMM_SEC</t>
  </si>
  <si>
    <t xml:space="preserve">American asymmetry scalar for LFPR per sector</t>
  </si>
  <si>
    <t xml:space="preserve">LSD.RID.0.AL.PARAM.LFPR.7</t>
  </si>
  <si>
    <t xml:space="preserve">LFPR_ITERATION_MAX</t>
  </si>
  <si>
    <t xml:space="preserve">Maximum LFPR calibration iterations</t>
  </si>
  <si>
    <t xml:space="preserve">LSD.RID.0.AL.PARAM.LFPR.8</t>
  </si>
  <si>
    <t xml:space="preserve">LFPR_PUBLIC_AGG_CHECK</t>
  </si>
  <si>
    <t xml:space="preserve">Weighted aggregate check for LFPR</t>
  </si>
  <si>
    <t xml:space="preserve">LSD.RID.0.AL.PARAM.LFPR.9</t>
  </si>
  <si>
    <t xml:space="preserve">LFPR_UNAUTH_POP_ADJ_SEC</t>
  </si>
  <si>
    <t xml:space="preserve">Unauthorized population adjustment for LFPR per sector</t>
  </si>
  <si>
    <t xml:space="preserve">TNPE Parameters</t>
  </si>
  <si>
    <t xml:space="preserve">LSD.RID.0.AL.PARAM.TNPE.0</t>
  </si>
  <si>
    <t xml:space="preserve">TNPE_BASE_ADJ_SEC</t>
  </si>
  <si>
    <t xml:space="preserve">Sector-specific TNPE base adjustment</t>
  </si>
  <si>
    <t xml:space="preserve">Calibrated to BLS CES</t>
  </si>
  <si>
    <t xml:space="preserve">TNPE</t>
  </si>
  <si>
    <t xml:space="preserve">LSD.RID.0.AL.PARAM.TNPE.1</t>
  </si>
  <si>
    <t xml:space="preserve">TNPE_UNAUTH_SHARE_ADJ</t>
  </si>
  <si>
    <t xml:space="preserve">Unauthorized share adjustment for TNPE</t>
  </si>
  <si>
    <t xml:space="preserve">ACS/MPI</t>
  </si>
  <si>
    <t xml:space="preserve">LSD.RID.0.AL.PARAM.TNPE.2</t>
  </si>
  <si>
    <t xml:space="preserve">TNPE_AUTH_SHARE_ADJ</t>
  </si>
  <si>
    <t xml:space="preserve">Authorized share adjustment for TNPE</t>
  </si>
  <si>
    <t xml:space="preserve">LSD.RID.0.AL.PARAM.TNPE.3</t>
  </si>
  <si>
    <t xml:space="preserve">TNPE_AMER_SHARE_ADJ</t>
  </si>
  <si>
    <t xml:space="preserve">American share adjustment for TNPE</t>
  </si>
  <si>
    <t xml:space="preserve">Neutral</t>
  </si>
  <si>
    <t xml:space="preserve">LSD.RID.0.AL.PARAM.TNPE.4</t>
  </si>
  <si>
    <t xml:space="preserve">TNPE_ITERATION_MAX</t>
  </si>
  <si>
    <t xml:space="preserve">Maximum TNPE calibration iterations</t>
  </si>
  <si>
    <t xml:space="preserve">LSD.RID.0.AL.PARAM.TNPE.5</t>
  </si>
  <si>
    <t xml:space="preserve">TNPE_PUBLIC_AGG_CHECK</t>
  </si>
  <si>
    <t xml:space="preserve">Weighted aggregate check for TNPE</t>
  </si>
  <si>
    <t xml:space="preserve">LSD.RID.0.AL.PARAM.TNPE.6</t>
  </si>
  <si>
    <t xml:space="preserve">TNPE_UNAUTH_ASYMM_SEC</t>
  </si>
  <si>
    <t xml:space="preserve">1.18;1.13;1.08;1.23;1.20;1.16;1.14;1.18;1.10;1.26;1.30;1.18;1.16;1.08;1.04;1.06;1.08;1.23;1.10;1.18;1.38;1.43;1.10</t>
  </si>
  <si>
    <t xml:space="preserve">Unauthorized asymmetry scalar for TNPE per sector</t>
  </si>
  <si>
    <t xml:space="preserve">EP Parameters</t>
  </si>
  <si>
    <t xml:space="preserve">LSD.RID.0.AL.PARAM.EP.0</t>
  </si>
  <si>
    <t xml:space="preserve">EP_BASE_ADJ_SEC</t>
  </si>
  <si>
    <t xml:space="preserve">1.02;1.00;0.97;1.03;1.04;1.02;1.01;1.03;0.99;0.96;0.94;1.02;1.01;1.05;1.08;1.06;1.04;0.98;0.99;1.01;0.95;0.93;1.00</t>
  </si>
  <si>
    <t xml:space="preserve">Sector-specific EP base adjustment</t>
  </si>
  <si>
    <t xml:space="preserve">LSD.RID.0.AL.PARAM.EP.1</t>
  </si>
  <si>
    <t xml:space="preserve">EP_UNAUTH_ASYMM_SEC</t>
  </si>
  <si>
    <t xml:space="preserve">1.22;1.17;1.12;1.27;1.24;1.20;1.18;1.22;1.14;1.30;1.34;1.22;1.20;1.12;1.08;1.10;1.12;1.27;1.14;1.22;1.42;1.47;1.14</t>
  </si>
  <si>
    <t xml:space="preserve">Unauthorized asymmetry scalar for EP per sector</t>
  </si>
  <si>
    <t xml:space="preserve">LSD.RID.0.AL.PARAM.EP.2</t>
  </si>
  <si>
    <t xml:space="preserve">EP_AUTH_ASYMM_SEC</t>
  </si>
  <si>
    <t xml:space="preserve">1.06;1.05;1.03;1.07;1.06;1.05;1.04;1.06;1.04;1.09;1.10;1.06;1.05;1.03;1.02;1.03;1.04;1.07;1.03;1.05;1.11;1.13;1.03</t>
  </si>
  <si>
    <t xml:space="preserve">Authorized asymmetry scalar for EP per sector</t>
  </si>
  <si>
    <t xml:space="preserve">LSD.RID.0.AL.PARAM.EP.3</t>
  </si>
  <si>
    <t xml:space="preserve">EP_AMER_ASYMM_SEC</t>
  </si>
  <si>
    <t xml:space="preserve">American asymmetry scalar for EP per sector</t>
  </si>
  <si>
    <t xml:space="preserve">LSD.RID.0.AL.PARAM.EP.4</t>
  </si>
  <si>
    <t xml:space="preserve">EP_ITERATION_MAX</t>
  </si>
  <si>
    <t xml:space="preserve">Maximum EP calibration iterations</t>
  </si>
  <si>
    <t xml:space="preserve">LSD.RID.0.AL.PARAM.EP.5</t>
  </si>
  <si>
    <t xml:space="preserve">EP_PUBLIC_AGG_CHECK</t>
  </si>
  <si>
    <t xml:space="preserve">Weighted aggregate check for EP</t>
  </si>
  <si>
    <t xml:space="preserve">LSD.RID.0.AL.PARAM.EP.6</t>
  </si>
  <si>
    <t xml:space="preserve">EP_UNAUTH_POP_ADJ_SEC</t>
  </si>
  <si>
    <t xml:space="preserve">0.97;0.96;0.94;0.91;0.95;0.93;0.92;0.94;0.87;0.84;0.83;0.89;0.88;0.86;0.91;0.90;0.89;0.95;0.91;0.89;0.87;0.86;0.88</t>
  </si>
  <si>
    <t xml:space="preserve">Unauthorized population adjustment for EP per sector</t>
  </si>
  <si>
    <t xml:space="preserve">LSD.RID.0.AL.PARAM.EP.7</t>
  </si>
  <si>
    <t xml:space="preserve">UNAUTH_EP_BOOST_SCALE</t>
  </si>
  <si>
    <t xml:space="preserve">Unauthorized EP boost scale factor</t>
  </si>
  <si>
    <t xml:space="preserve">U3R Parameters</t>
  </si>
  <si>
    <t xml:space="preserve">LSD.RID.0.AL.PARAM.U3R.0</t>
  </si>
  <si>
    <t xml:space="preserve">U3R_BASE_ADJ_SEC</t>
  </si>
  <si>
    <t xml:space="preserve">1.04;1.02;1.00;1.05;1.03;1.03;1.02;1.04;1.01;1.06;1.07;1.04;1.03;1.01;1.00;1.00;1.01;1.05;1.01;1.02;1.08;1.09;1.00</t>
  </si>
  <si>
    <t xml:space="preserve">Sector-specific U3R base adjustment</t>
  </si>
  <si>
    <t xml:space="preserve">LSD.RID.0.AL.PARAM.U3R.1</t>
  </si>
  <si>
    <t xml:space="preserve">U3R_UNAUTH_ASYMM_SEC</t>
  </si>
  <si>
    <t xml:space="preserve">1.25;1.20;1.15;1.30;1.27;1.23;1.21;1.25;1.17;1.33;1.37;1.25;1.23;1.15;1.11;1.13;1.15;1.30;1.17;1.25;1.45;1.50;1.15</t>
  </si>
  <si>
    <t xml:space="preserve">Unauthorized asymmetry scalar for U3R per sector</t>
  </si>
  <si>
    <t xml:space="preserve">LSD.RID.0.AL.PARAM.U3R.2</t>
  </si>
  <si>
    <t xml:space="preserve">U3R_AUTH_ASYMM_SEC</t>
  </si>
  <si>
    <t xml:space="preserve">1.04;1.03;1.01;1.05;1.04;1.03;1.02;1.04;1.02;1.07;1.08;1.04;1.03;1.01;1.00;1.01;1.02;1.05;1.01;1.03;1.09;1.11;1.01</t>
  </si>
  <si>
    <t xml:space="preserve">Authorized asymmetry scalar for U3R per sector</t>
  </si>
  <si>
    <t xml:space="preserve">LSD.RID.0.AL.PARAM.U3R.3</t>
  </si>
  <si>
    <t xml:space="preserve">U3R_AMER_ASYMM_SEC</t>
  </si>
  <si>
    <t xml:space="preserve">American asymmetry scalar for U3R per sector</t>
  </si>
  <si>
    <t xml:space="preserve">LSD.RID.0.AL.PARAM.U3R.4</t>
  </si>
  <si>
    <t xml:space="preserve">U3R_ITERATION_MAX</t>
  </si>
  <si>
    <t xml:space="preserve">Maximum U3R calibration iterations</t>
  </si>
  <si>
    <t xml:space="preserve">LSD.RID.0.AL.PARAM.U3R.5</t>
  </si>
  <si>
    <t xml:space="preserve">U3R_PUBLIC_AGG_CHECK</t>
  </si>
  <si>
    <t xml:space="preserve">Weighted aggregate check for U3R</t>
  </si>
  <si>
    <t xml:space="preserve">LSD.RID.0.AL.PARAM.U3R.6</t>
  </si>
  <si>
    <t xml:space="preserve">U3R_UNAUTH_POP_ADJ_SEC</t>
  </si>
  <si>
    <t xml:space="preserve">0.99;0.98;0.96;0.93;0.97;0.95;0.94;0.96;0.89;0.86;0.85;0.91;0.90;0.88;0.93;0.92;0.91;0.97;0.93;0.91;0.89;0.88;0.90</t>
  </si>
  <si>
    <t xml:space="preserve">Unauthorized population adjustment for U3R per sector</t>
  </si>
  <si>
    <t xml:space="preserve">U3P Parameters</t>
  </si>
  <si>
    <t xml:space="preserve">LSD.RID.0.AL.PARAM.U3P.0</t>
  </si>
  <si>
    <t xml:space="preserve">U3P_BASE_ADJ_SEC</t>
  </si>
  <si>
    <t xml:space="preserve">1.02;1.00;0.98;1.03;1.01;1.01;1.00;1.02;0.99;1.04;1.05;1.02;1.01;0.99;0.98;0.98;0.99;1.03;0.99;1.00;1.06;1.07;0.99</t>
  </si>
  <si>
    <t xml:space="preserve">Sector-specific U3P base adjustment</t>
  </si>
  <si>
    <t xml:space="preserve">LSD.RID.0.AL.PARAM.U3P.1</t>
  </si>
  <si>
    <t xml:space="preserve">U3P_UNAUTH_ASYMM_SEC</t>
  </si>
  <si>
    <t xml:space="preserve">Unauthorized asymmetry scalar for U3P per sector</t>
  </si>
  <si>
    <t xml:space="preserve">LSD.RID.0.AL.PARAM.U3P.2</t>
  </si>
  <si>
    <t xml:space="preserve">U3P_AUTH_ASYMM_SEC</t>
  </si>
  <si>
    <t xml:space="preserve">Authorized asymmetry scalar for U3P per sector</t>
  </si>
  <si>
    <t xml:space="preserve">LSD.RID.0.AL.PARAM.U3P.3</t>
  </si>
  <si>
    <t xml:space="preserve">U3P_AMER_ASYMM_SEC</t>
  </si>
  <si>
    <t xml:space="preserve">American asymmetry scalar for U3P per sector</t>
  </si>
  <si>
    <t xml:space="preserve">LSD.RID.0.AL.PARAM.U3P.4</t>
  </si>
  <si>
    <t xml:space="preserve">U3P_ITERATION_MAX</t>
  </si>
  <si>
    <t xml:space="preserve">Maximum U3P calibration iterations</t>
  </si>
  <si>
    <t xml:space="preserve">LSD.RID.0.AL.PARAM.U3P.5</t>
  </si>
  <si>
    <t xml:space="preserve">U3P_PUBLIC_AGG_CHECK</t>
  </si>
  <si>
    <t xml:space="preserve">Weighted aggregate check for U3P</t>
  </si>
  <si>
    <t xml:space="preserve">LSD.RID.0.AL.PARAM.U3P.6</t>
  </si>
  <si>
    <t xml:space="preserve">U3P_UNAUTH_POP_ADJ_SEC</t>
  </si>
  <si>
    <t xml:space="preserve">Unauthorized population adjustment for U3P per sector</t>
  </si>
  <si>
    <t xml:space="preserve">LSD.RID.0.AL.PARAM.U3P.7</t>
  </si>
  <si>
    <t xml:space="preserve">UNAUTH_U3P_BOOST_SCALE</t>
  </si>
  <si>
    <t xml:space="preserve">Unauthorized U3P boost scale factor</t>
  </si>
  <si>
    <t xml:space="preserve">U6R Parameters</t>
  </si>
  <si>
    <t xml:space="preserve">LSD.RID.0.AL.PARAM.U6R.0</t>
  </si>
  <si>
    <t xml:space="preserve">U6R_BASE_ADJ_SEC</t>
  </si>
  <si>
    <t xml:space="preserve">Sector-specific U6R base adjustment</t>
  </si>
  <si>
    <t xml:space="preserve">Calibrated to BLS/ACS</t>
  </si>
  <si>
    <t xml:space="preserve">LSD.RID.0.AL.PARAM.U6R.1</t>
  </si>
  <si>
    <t xml:space="preserve">U6R_MULTIPLIER_SEC</t>
  </si>
  <si>
    <t xml:space="preserve">2.3;2.1;1.9;2.4;2.2;2.1;2.0;2.2;1.8;2.5;2.6;2.2;2.1;1.9;1.7;1.8;1.9;2.4;1.9;2.1;2.7;2.8;1.9</t>
  </si>
  <si>
    <t xml:space="preserve">Sector-specific U6R multiplier (part-time economic reasons)</t>
  </si>
  <si>
    <t xml:space="preserve">Calibrated to ACS</t>
  </si>
  <si>
    <t xml:space="preserve">LSD.RID.0.AL.PARAM.U6R.2</t>
  </si>
  <si>
    <t xml:space="preserve">U6R_UNAUTH_ASYMM_SEC</t>
  </si>
  <si>
    <t xml:space="preserve">1.28;1.23;1.18;1.33;1.30;1.26;1.24;1.28;1.20;1.36;1.40;1.28;1.26;1.18;1.14;1.16;1.18;1.33;1.20;1.28;1.48;1.53;1.18</t>
  </si>
  <si>
    <t xml:space="preserve">Unauthorized asymmetry scalar for U6R per sector</t>
  </si>
  <si>
    <t xml:space="preserve">LSD.RID.0.AL.PARAM.U6R.3</t>
  </si>
  <si>
    <t xml:space="preserve">U6R_AUTH_ASYMM_SEC</t>
  </si>
  <si>
    <t xml:space="preserve">1.03;1.02;1.00;1.04;1.03;1.02;1.01;1.03;1.01;1.06;1.07;1.03;1.02;1.00;0.99;1.00;1.01;1.04;1.00;1.02;1.08;1.10;1.00</t>
  </si>
  <si>
    <t xml:space="preserve">Authorized asymmetry scalar for U6R per sector</t>
  </si>
  <si>
    <t xml:space="preserve">LSD.RID.0.AL.PARAM.U6R.4</t>
  </si>
  <si>
    <t xml:space="preserve">U6R_AMER_ASYMM_SEC</t>
  </si>
  <si>
    <t xml:space="preserve">American asymmetry scalar for U6R per sector</t>
  </si>
  <si>
    <t xml:space="preserve">LSD.RID.0.AL.PARAM.U6R.5</t>
  </si>
  <si>
    <t xml:space="preserve">U6R_ITERATION_MAX</t>
  </si>
  <si>
    <t xml:space="preserve">Maximum U6R calibration iterations</t>
  </si>
  <si>
    <t xml:space="preserve">LSD.RID.0.AL.PARAM.U6R.6</t>
  </si>
  <si>
    <t xml:space="preserve">U6R_PUBLIC_AGG_CHECK</t>
  </si>
  <si>
    <t xml:space="preserve">Weighted aggregate check for U6R</t>
  </si>
  <si>
    <t xml:space="preserve">LSD.RID.0.AL.PARAM.U6R.7</t>
  </si>
  <si>
    <t xml:space="preserve">U6R_UNAUTH_POP_ADJ_SEC</t>
  </si>
  <si>
    <t xml:space="preserve">0.96;0.95;0.93;0.90;0.94;0.92;0.91;0.93;0.86;0.83;0.82;0.88;0.87;0.85;0.90;0.89;0.88;0.94;0.90;0.88;0.86;0.85;0.87</t>
  </si>
  <si>
    <t xml:space="preserve">Unauthorized population adjustment for U6R per sector</t>
  </si>
  <si>
    <t xml:space="preserve">U6P Parameters</t>
  </si>
  <si>
    <t xml:space="preserve">LSD.RID.0.AL.PARAM.U6P.0</t>
  </si>
  <si>
    <t xml:space="preserve">U6P_BASE_ADJ_SEC</t>
  </si>
  <si>
    <t xml:space="preserve">1.03;1.01;0.99;1.04;1.02;1.02;1.01;1.03;1.00;1.05;1.06;1.03;1.02;1.00;0.99;0.99;1.00;1.04;1.00;1.01;1.07;1.08;1.00</t>
  </si>
  <si>
    <t xml:space="preserve">Sector-specific U6P base adjustment</t>
  </si>
  <si>
    <t xml:space="preserve">LSD.RID.0.AL.PARAM.U6P.1</t>
  </si>
  <si>
    <t xml:space="preserve">U6P_UNAUTH_ASYMM_SEC</t>
  </si>
  <si>
    <t xml:space="preserve">Unauthorized asymmetry scalar for U6P per sector</t>
  </si>
  <si>
    <t xml:space="preserve">LSD.RID.0.AL.PARAM.U6P.2</t>
  </si>
  <si>
    <t xml:space="preserve">U6P_AUTH_ASYMM_SEC</t>
  </si>
  <si>
    <t xml:space="preserve">Authorized asymmetry scalar for U6P per sector</t>
  </si>
  <si>
    <t xml:space="preserve">LSD.RID.0.AL.PARAM.U6P.3</t>
  </si>
  <si>
    <t xml:space="preserve">U6P_AMER_ASYMM_SEC</t>
  </si>
  <si>
    <t xml:space="preserve">American asymmetry scalar for U6P per sector</t>
  </si>
  <si>
    <t xml:space="preserve">LSD.RID.0.AL.PARAM.U6P.4</t>
  </si>
  <si>
    <t xml:space="preserve">U6P_ITERATION_MAX</t>
  </si>
  <si>
    <t xml:space="preserve">Maximum U6P calibration iterations</t>
  </si>
  <si>
    <t xml:space="preserve">LSD.RID.0.AL.PARAM.U6P.5</t>
  </si>
  <si>
    <t xml:space="preserve">U6P_PUBLIC_AGG_CHECK</t>
  </si>
  <si>
    <t xml:space="preserve">Weighted aggregate check for U6P</t>
  </si>
  <si>
    <t xml:space="preserve">LSD.RID.0.AL.PARAM.U6P.6</t>
  </si>
  <si>
    <t xml:space="preserve">U6P_UNAUTH_POP_ADJ_SEC</t>
  </si>
  <si>
    <t xml:space="preserve">Unauthorized population adjustment for U6P per sector</t>
  </si>
  <si>
    <t xml:space="preserve">U3TPR Parameters</t>
  </si>
  <si>
    <t xml:space="preserve">LSD.RID.0.AL.PARAM.U3TPR.0</t>
  </si>
  <si>
    <t xml:space="preserve">U3TPR_BASE_ADJ_SEC</t>
  </si>
  <si>
    <t xml:space="preserve">Sector-specific U3TPR base adjustment</t>
  </si>
  <si>
    <t xml:space="preserve">U3TPR</t>
  </si>
  <si>
    <t xml:space="preserve">LSD.RID.0.AL.PARAM.U3TPR.1</t>
  </si>
  <si>
    <t xml:space="preserve">U3TPR_UNAUTH_ASYMM_SEC</t>
  </si>
  <si>
    <t xml:space="preserve">Unauthorized asymmetry scalar for U3TPR per sector</t>
  </si>
  <si>
    <t xml:space="preserve">LSD.RID.0.AL.PARAM.U3TPR.2</t>
  </si>
  <si>
    <t xml:space="preserve">U3TPR_AUTH_ASYMM_SEC</t>
  </si>
  <si>
    <t xml:space="preserve">Authorized asymmetry scalar for U3TPR per sector</t>
  </si>
  <si>
    <t xml:space="preserve">LSD.RID.0.AL.PARAM.U3TPR.3</t>
  </si>
  <si>
    <t xml:space="preserve">U3TPR_AMER_ASYMM_SEC</t>
  </si>
  <si>
    <t xml:space="preserve">American asymmetry scalar for U3TPR per sector</t>
  </si>
  <si>
    <t xml:space="preserve">LSD.RID.0.AL.PARAM.U3TPR.4</t>
  </si>
  <si>
    <t xml:space="preserve">U3TPR_ITERATION_MAX</t>
  </si>
  <si>
    <t xml:space="preserve">Maximum U3TPR calibration iterations</t>
  </si>
  <si>
    <t xml:space="preserve">LSD.RID.0.AL.PARAM.U3TPR.5</t>
  </si>
  <si>
    <t xml:space="preserve">U3TPR_PUBLIC_AGG_CHECK</t>
  </si>
  <si>
    <t xml:space="preserve">Weighted aggregate check for U3TPR</t>
  </si>
  <si>
    <t xml:space="preserve">LSD.RID.0.AL.PARAM.U3TPR.6</t>
  </si>
  <si>
    <t xml:space="preserve">U3TPR_UNAUTH_POP_ADJ_SEC</t>
  </si>
  <si>
    <t xml:space="preserve">Unauthorized population adjustment for U3TPR per sector</t>
  </si>
  <si>
    <t xml:space="preserve">LSD.RID.0.AL.PARAM.U3TPR.7</t>
  </si>
  <si>
    <t xml:space="preserve">Unauthorized U3TPR boost scale factor (moderated)</t>
  </si>
  <si>
    <t xml:space="preserve">U6TPR Parameters</t>
  </si>
  <si>
    <t xml:space="preserve">LSD.RID.0.AL.PARAM.U6TPR.0</t>
  </si>
  <si>
    <t xml:space="preserve">U6TPR_BASE_ADJ_SEC</t>
  </si>
  <si>
    <t xml:space="preserve">Sector-specific U6TPR base adjustment</t>
  </si>
  <si>
    <t xml:space="preserve">U6TPR</t>
  </si>
  <si>
    <t xml:space="preserve">LSD.RID.0.AL.PARAM.U6TPR.1</t>
  </si>
  <si>
    <t xml:space="preserve">U6TPR_UNAUTH_ASYMM_SEC</t>
  </si>
  <si>
    <t xml:space="preserve">Unauthorized asymmetry scalar for U6TPR per sector</t>
  </si>
  <si>
    <t xml:space="preserve">LSD.RID.0.AL.PARAM.U6TPR.2</t>
  </si>
  <si>
    <t xml:space="preserve">U6TPR_AUTH_ASYMM_SEC</t>
  </si>
  <si>
    <t xml:space="preserve">1.02;1.01;0.99;1.03;1.02;1.01;1.00;1.02;1.00;1.05;1.06;1.02;1.01;0.99;0.98;0.99;1.00;1.03;0.99;1.01;1.07;1.09;0.99</t>
  </si>
  <si>
    <t xml:space="preserve">Authorized asymmetry scalar for U6TPR per sector</t>
  </si>
  <si>
    <t xml:space="preserve">LSD.RID.0.AL.PARAM.U6TPR.3</t>
  </si>
  <si>
    <t xml:space="preserve">U6TPR_AMER_ASYMM_SEC</t>
  </si>
  <si>
    <t xml:space="preserve">American asymmetry scalar for U6TPR per sector</t>
  </si>
  <si>
    <t xml:space="preserve">LSD.RID.0.AL.PARAM.U6TPR.4</t>
  </si>
  <si>
    <t xml:space="preserve">U6TPR_ITERATION_MAX</t>
  </si>
  <si>
    <t xml:space="preserve">Maximum U6TPR calibration iterations</t>
  </si>
  <si>
    <t xml:space="preserve">LSD.RID.0.AL.PARAM.U6TPR.5</t>
  </si>
  <si>
    <t xml:space="preserve">U6TPR_PUBLIC_AGG_CHECK</t>
  </si>
  <si>
    <t xml:space="preserve">Weighted aggregate check for U6TPR</t>
  </si>
  <si>
    <t xml:space="preserve">LSD.RID.0.AL.PARAM.U6TPR.6</t>
  </si>
  <si>
    <t xml:space="preserve">U6TPR_UNAUTH_POP_ADJ_SEC</t>
  </si>
  <si>
    <t xml:space="preserve">Unauthorized population adjustment for U6TPR per sector</t>
  </si>
  <si>
    <t xml:space="preserve">LSD.RID.0.AL.PARAM.U6TPR.7</t>
  </si>
  <si>
    <t xml:space="preserve">UNAUTH_U36_BOOST_SCALE</t>
  </si>
  <si>
    <t xml:space="preserve">Unauthorized U6TPR boost scale factor (moderated)</t>
  </si>
  <si>
    <t xml:space="preserve">WAVG Parameters</t>
  </si>
  <si>
    <t xml:space="preserve">LSD.RID.0.AL.PARAM.WAVG.0</t>
  </si>
  <si>
    <t xml:space="preserve">WAVG_ADJ_SEC</t>
  </si>
  <si>
    <t xml:space="preserve">1.02;1.00;1.05;0.98;1.03;1.04;1.01;1.02;1.06;0.97;0.99;1.03;1.00;1.04;1.07;1.05;1.02;0.98;1.01;1.03;0.96;0.95;1.01</t>
  </si>
  <si>
    <t xml:space="preserve">Sector-specific WAVG adjustment</t>
  </si>
  <si>
    <t xml:space="preserve">Calibrated to BLS OES/CES</t>
  </si>
  <si>
    <t xml:space="preserve">LSD.RID.0.AL.PARAM.WAVG.1</t>
  </si>
  <si>
    <t xml:space="preserve">WAVG_UNAUTH_PENALTY_SEC</t>
  </si>
  <si>
    <t xml:space="preserve">0.85;0.80;0.90;0.78;0.82;0.84;0.88;0.85;0.92;0.75;0.72;0.80;0.86;0.91;0.95;0.93;0.90;0.79;0.88;0.83;0.70;0.68;0.89</t>
  </si>
  <si>
    <t xml:space="preserve">Unauthorized wage penalty per sector</t>
  </si>
  <si>
    <t xml:space="preserve">ACS/OES patterns</t>
  </si>
  <si>
    <t xml:space="preserve">LSD.RID.0.AL.PARAM.WAVG.2</t>
  </si>
  <si>
    <t xml:space="preserve">WAVG_AUTH_PREMIUM_SEC</t>
  </si>
  <si>
    <t xml:space="preserve">1.08;1.05;1.02;1.10;1.07;1.06;1.04;1.08;1.03;1.12;1.14;1.08;1.06;1.02;1.00;1.01;1.03;1.09;1.02;1.06;1.15;1.18;1.02</t>
  </si>
  <si>
    <t xml:space="preserve">Authorized wage premium per sector</t>
  </si>
  <si>
    <t xml:space="preserve">LSD.RID.0.AL.PARAM.WAVG.3</t>
  </si>
  <si>
    <t xml:space="preserve">WAVG_UNAUTH_ASYMM_SEC</t>
  </si>
  <si>
    <t xml:space="preserve">1.10;1.08;1.05;1.12;1.10;1.09;1.07;1.10;1.06;1.15;1.17;1.10;1.09;1.05;1.03;1.04;1.06;1.12;1.05;1.09;1.20;1.22;1.05</t>
  </si>
  <si>
    <t xml:space="preserve">Unauthorized asymmetry scalar for WAVG per sector</t>
  </si>
  <si>
    <t xml:space="preserve">Calibrated structural gaps</t>
  </si>
  <si>
    <t xml:space="preserve">LSD.RID.0.AL.PARAM.WAVG.4</t>
  </si>
  <si>
    <t xml:space="preserve">WAVG_ITERATION_MAX</t>
  </si>
  <si>
    <t xml:space="preserve">Maximum WAVG calibration iterations</t>
  </si>
  <si>
    <t xml:space="preserve">LSD.RID.0.AL.PARAM.WAVG.5</t>
  </si>
  <si>
    <t xml:space="preserve">WAVG_PUBLIC_AGG_CHECK</t>
  </si>
  <si>
    <t xml:space="preserve">Weighted aggregate check for WAVG</t>
  </si>
  <si>
    <t xml:space="preserve">LSD.RID.0.AL.PARAM.WAVG.6</t>
  </si>
  <si>
    <t xml:space="preserve">WAVG_VARIANCE_SEC</t>
  </si>
  <si>
    <t xml:space="preserve">Sector WAVG variance bounds</t>
  </si>
  <si>
    <t xml:space="preserve">WRAVG Parameters</t>
  </si>
  <si>
    <t xml:space="preserve">LSD.RID.0.AL.PARAM.WRAVG.0</t>
  </si>
  <si>
    <t xml:space="preserve">WRAVG_MIN_ADJ_SEC</t>
  </si>
  <si>
    <t xml:space="preserve">0.95;0.94;0.98;0.92;0.96;0.97;0.99;0.95;1.01;1.04;1.05;1.02;1.03;1.07;1.06;1.05;1.07;0.97;1.02;1.04;1.01;1.00;1.03</t>
  </si>
  <si>
    <t xml:space="preserve">Sector-specific WRAVG min adjustment</t>
  </si>
  <si>
    <t xml:space="preserve">Calibrated to BLS OES percentiles</t>
  </si>
  <si>
    <t xml:space="preserve">WRAVG</t>
  </si>
  <si>
    <t xml:space="preserve">LSD.RID.0.AL.PARAM.WRAVG.1</t>
  </si>
  <si>
    <t xml:space="preserve">WRAVG_MAX_ADJ_SEC</t>
  </si>
  <si>
    <t xml:space="preserve">Sector-specific WRAVG max adjustment</t>
  </si>
  <si>
    <t xml:space="preserve">LSD.RID.0.AL.PARAM.WRAVG.2</t>
  </si>
  <si>
    <t xml:space="preserve">WRAVG_UNAUTH_PENALTY_MIN_SEC</t>
  </si>
  <si>
    <t xml:space="preserve">0.82;0.77;0.87;0.75;0.79;0.81;0.85;0.82;0.89;0.72;0.69;0.77;0.83;0.88;0.92;0.90;0.87;0.76;0.85;0.80;0.67;0.65;0.86</t>
  </si>
  <si>
    <t xml:space="preserve">Unauthorized penalty for WRAVG min per sector</t>
  </si>
  <si>
    <t xml:space="preserve">LSD.RID.0.AL.PARAM.WRAVG.3</t>
  </si>
  <si>
    <t xml:space="preserve">WRAVG_UNAUTH_PENALTY_MAX_SEC</t>
  </si>
  <si>
    <t xml:space="preserve">0.90;0.85;0.95;0.83;0.87;0.89;0.93;0.90;0.97;0.80;0.77;0.85;0.91;0.96;1.00;0.98;0.95;0.84;0.93;0.88;0.75;0.73;0.94</t>
  </si>
  <si>
    <t xml:space="preserve">Unauthorized penalty for WRAVG max per sector</t>
  </si>
  <si>
    <t xml:space="preserve">LSD.RID.0.AL.PARAM.WRAVG.4</t>
  </si>
  <si>
    <t xml:space="preserve">WRAVG_AUTH_PREMIUM_MIN_SEC</t>
  </si>
  <si>
    <t xml:space="preserve">1.05;1.02;0.99;1.07;1.04;1.03;1.01;1.05;1.00;1.09;1.11;1.05;1.03;0.99;0.97;0.98;1.00;1.07;0.99;1.03;1.12;1.15;0.99</t>
  </si>
  <si>
    <t xml:space="preserve">Authorized premium for WRAVG min per sector</t>
  </si>
  <si>
    <t xml:space="preserve">LSD.RID.0.AL.PARAM.WRAVG.5</t>
  </si>
  <si>
    <t xml:space="preserve">WRAVG_AUTH_PREMIUM_MAX_SEC</t>
  </si>
  <si>
    <t xml:space="preserve">1.10;1.07;1.04;1.12;1.09;1.08;1.06;1.10;1.05;1.15;1.17;1.10;1.08;1.04;1.02;1.03;1.05;1.12;1.04;1.08;1.20;1.22;1.04</t>
  </si>
  <si>
    <t xml:space="preserve">Authorized premium for WRAVG max per sector</t>
  </si>
  <si>
    <t xml:space="preserve">LSD.RID.0.AL.PARAM.WRAVG.6</t>
  </si>
  <si>
    <t xml:space="preserve">WRAVG_ITERATION_MAX</t>
  </si>
  <si>
    <t xml:space="preserve">Maximum WRAVG calibration iterations</t>
  </si>
  <si>
    <t xml:space="preserve">LSD.RID.0.AL.PARAM.WRAVG.7</t>
  </si>
  <si>
    <t xml:space="preserve">WRAVG_PUBLIC_AGG_CHECK</t>
  </si>
  <si>
    <t xml:space="preserve">15.00/55.00</t>
  </si>
  <si>
    <t xml:space="preserve">Weighted aggregate check for WRAVG min/max</t>
  </si>
  <si>
    <t xml:space="preserve">AIAVG Parameters</t>
  </si>
  <si>
    <t xml:space="preserve">LSD.RID.0.AL.PARAM.AIAVG.0</t>
  </si>
  <si>
    <t xml:space="preserve">ANNUAL_HOURS_SEC</t>
  </si>
  <si>
    <t xml:space="preserve">2080;2100;2000;2050;2070;2090;2060;2080;2020;1980;1950;2050;2070;2100;2150;2120;2100;2000;2050;2080;1920;1900;2050</t>
  </si>
  <si>
    <t xml:space="preserve">Sector-specific annual hours worked</t>
  </si>
  <si>
    <t xml:space="preserve">LSD.RID.0.AL.PARAM.AIAVG.1</t>
  </si>
  <si>
    <t xml:space="preserve">AIAVG_HOURS_ADJ_SEC</t>
  </si>
  <si>
    <t xml:space="preserve">1.01;1.00;0.99;1.02;1.01;1.00;1.00;1.01;0.99;0.98;0.97;1.01;1.00;1.02;1.03;1.02;1.01;0.99;1.00;1.01;0.96;0.95;1.00</t>
  </si>
  <si>
    <t xml:space="preserve">Sector-specific AIAVG hours adjustment</t>
  </si>
  <si>
    <t xml:space="preserve">LSD.RID.0.AL.PARAM.AIAVG.2</t>
  </si>
  <si>
    <t xml:space="preserve">AIAVG_UNAUTH_PENALTY_SEC</t>
  </si>
  <si>
    <t xml:space="preserve">Unauthorized penalty for AIAVG per sector</t>
  </si>
  <si>
    <t xml:space="preserve">LSD.RID.0.AL.PARAM.AIAVG.3</t>
  </si>
  <si>
    <t xml:space="preserve">AIAVG_AUTH_PREMIUM_SEC</t>
  </si>
  <si>
    <t xml:space="preserve">Authorized premium for AIAVG per sector</t>
  </si>
  <si>
    <t xml:space="preserve">LSD.RID.0.AL.PARAM.AIAVG.4</t>
  </si>
  <si>
    <t xml:space="preserve">AIAVG_ADJ_SEC</t>
  </si>
  <si>
    <t xml:space="preserve">Sector-specific AIAVG adjustment</t>
  </si>
  <si>
    <t xml:space="preserve">LSD.RID.0.AL.PARAM.AIAVG.5</t>
  </si>
  <si>
    <t xml:space="preserve">AIAVG_ITERATION_MAX</t>
  </si>
  <si>
    <t xml:space="preserve">Maximum AIAVG calibration iterations</t>
  </si>
  <si>
    <t xml:space="preserve">LSD.RID.0.AL.PARAM.AIAVG.6</t>
  </si>
  <si>
    <t xml:space="preserve">AIAVG_PUBLIC_AGG_CHECK</t>
  </si>
  <si>
    <t xml:space="preserve">Weighted aggregate check for AIAVG</t>
  </si>
  <si>
    <t xml:space="preserve">LSD.RID.0.AL.PARAM.AIAVG.7</t>
  </si>
  <si>
    <t xml:space="preserve">AIAVG_VARIANCE_SEC</t>
  </si>
  <si>
    <t xml:space="preserve">Variance bounds per sector for AIAVG</t>
  </si>
  <si>
    <t xml:space="preserve">AIRAVG Parameters</t>
  </si>
  <si>
    <t xml:space="preserve">LSD.RID.0.AL.PARAM.AIRAVG.0</t>
  </si>
  <si>
    <t xml:space="preserve">AIRAVG_MIN_ADJ_SEC</t>
  </si>
  <si>
    <t xml:space="preserve">Sector-specific AIRAVG min adjustment</t>
  </si>
  <si>
    <t xml:space="preserve">Calibrated to BLS-derived annual percentiles</t>
  </si>
  <si>
    <t xml:space="preserve">AIRAVG</t>
  </si>
  <si>
    <t xml:space="preserve">LSD.RID.0.AL.PARAM.AIRAVG.1</t>
  </si>
  <si>
    <t xml:space="preserve">AIRAVG_MAX_ADJ_SEC</t>
  </si>
  <si>
    <t xml:space="preserve">Sector-specific AIRAVG max adjustment</t>
  </si>
  <si>
    <t xml:space="preserve">LSD.RID.0.AL.PARAM.AIRAVG.2</t>
  </si>
  <si>
    <t xml:space="preserve">AIRAVG_UNAUTH_PENALTY_MIN_SEC</t>
  </si>
  <si>
    <t xml:space="preserve">Unauthorized penalty for AIRAVG min per sector</t>
  </si>
  <si>
    <t xml:space="preserve">LSD.RID.0.AL.PARAM.AIRAVG.3</t>
  </si>
  <si>
    <t xml:space="preserve">AIRAVG_UNAUTH_PENALTY_MAX_SEC</t>
  </si>
  <si>
    <t xml:space="preserve">Unauthorized penalty for AIRAVG max per sector</t>
  </si>
  <si>
    <t xml:space="preserve">LSD.RID.0.AL.PARAM.AIRAVG.4</t>
  </si>
  <si>
    <t xml:space="preserve">AIRAVG_AUTH_PREMIUM_MIN_SEC</t>
  </si>
  <si>
    <t xml:space="preserve">Authorized premium for AIRAVG min per sector</t>
  </si>
  <si>
    <t xml:space="preserve">LSD.RID.0.AL.PARAM.AIRAVG.5</t>
  </si>
  <si>
    <t xml:space="preserve">AIRAVG_AUTH_PREMIUM_MAX_SEC</t>
  </si>
  <si>
    <t xml:space="preserve">Authorized premium for AIRAVG max per sector</t>
  </si>
  <si>
    <t xml:space="preserve">LSD.RID.0.AL.PARAM.AIRAVG.6</t>
  </si>
  <si>
    <t xml:space="preserve">AIRAVG_ITERATION_MAX</t>
  </si>
  <si>
    <t xml:space="preserve">Maximum AIRAVG calibration iterations</t>
  </si>
  <si>
    <t xml:space="preserve">LSD.RID.0.AL.PARAM.AIRAVG.7</t>
  </si>
  <si>
    <t xml:space="preserve">AIRAVG_PUBLIC_AGG_CHECK</t>
  </si>
  <si>
    <t xml:space="preserve">31200/114400</t>
  </si>
  <si>
    <t xml:space="preserve">Weighted aggregate check for AIRAVG min/max</t>
  </si>
  <si>
    <t xml:space="preserve">AWHW Parameters</t>
  </si>
  <si>
    <t xml:space="preserve">LSD.RID.0.AL.PARAM.AWHW.0</t>
  </si>
  <si>
    <t xml:space="preserve">AWHW_ADJ_SEC</t>
  </si>
  <si>
    <t xml:space="preserve">1.01;1.02;0.98;1.00;1.03;1.01;1.00;1.02;0.99;0.97;0.96;1.01;1.00;1.04;1.05;1.03;1.02;0.98;1.00;1.01;0.95;0.94;1.00</t>
  </si>
  <si>
    <t xml:space="preserve">Sector-specific AWHW adjustment</t>
  </si>
  <si>
    <t xml:space="preserve">LSD.RID.0.AL.PARAM.AWHW.1</t>
  </si>
  <si>
    <t xml:space="preserve">AWHW_UNAUTH_ASYMM_SEC</t>
  </si>
  <si>
    <t xml:space="preserve">1.05;1.08;1.02;1.04;1.07;1.05;1.04;1.06;1.03;1.01;1.00;1.05;1.04;1.08;1.09;1.07;1.06;1.02;1.04;1.05;0.99;0.98;1.03</t>
  </si>
  <si>
    <t xml:space="preserve">Unauthorized asymmetry scalar for AWHW per sector (slight overtime in manual)</t>
  </si>
  <si>
    <t xml:space="preserve">LSD.RID.0.AL.PARAM.AWHW.2</t>
  </si>
  <si>
    <t xml:space="preserve">AWHW_AUTH_ASYMM_SEC</t>
  </si>
  <si>
    <t xml:space="preserve">1.02;1.03;1.00;1.01;1.04;1.02;1.01;1.03;1.00;0.99;0.98;1.02;1.01;1.05;1.06;1.04;1.03;0.99;1.01;1.02;0.97;0.96;1.00</t>
  </si>
  <si>
    <t xml:space="preserve">Authorized asymmetry scalar for AWHW per sector</t>
  </si>
  <si>
    <t xml:space="preserve">LSD.RID.0.AL.PARAM.AWHW.3</t>
  </si>
  <si>
    <t xml:space="preserve">AWHW_AMER_ASYMM_SEC</t>
  </si>
  <si>
    <t xml:space="preserve">American asymmetry scalar for AWHW per sector</t>
  </si>
  <si>
    <t xml:space="preserve">LSD.RID.0.AL.PARAM.AWHW.4</t>
  </si>
  <si>
    <t xml:space="preserve">AWHW_ITERATION_MAX</t>
  </si>
  <si>
    <t xml:space="preserve">Maximum AWHW calibration iterations</t>
  </si>
  <si>
    <t xml:space="preserve">LSD.RID.0.AL.PARAM.AWHW.5</t>
  </si>
  <si>
    <t xml:space="preserve">AWHW_PUBLIC_AGG_CHECK</t>
  </si>
  <si>
    <t xml:space="preserve">Weighted aggregate check for AWHW</t>
  </si>
  <si>
    <t xml:space="preserve">LSD.RID.0.AL.PARAM.AWHW.6</t>
  </si>
  <si>
    <t xml:space="preserve">AWHW_VARIANCE_SEC</t>
  </si>
  <si>
    <t xml:space="preserve">0.028;0.022;0.015;0.035;0.032;0.027;0.025;0.030;0.020;0.040;0.042;0.028;0.026;0.019;0.010;0.012;0.015;0.035;0.018;0.025;0.048;0.052;0.021</t>
  </si>
  <si>
    <t xml:space="preserve">Variance bounds per sector for AWHW</t>
  </si>
  <si>
    <t xml:space="preserve">FTER Parameters</t>
  </si>
  <si>
    <t xml:space="preserve">LSD.RID.0.AL.PARAM.FTER.0</t>
  </si>
  <si>
    <t xml:space="preserve">FTER_ADJ_SEC</t>
  </si>
  <si>
    <t xml:space="preserve">0.98;0.99;1.02;1.00;0.97;0.99;1.00;0.98;1.01;1.03;1.04;0.99;1.00;0.96;0.95;0.97;0.98;1.02;1.00;0.99;1.05;1.06;1.00</t>
  </si>
  <si>
    <t xml:space="preserve">Sector-specific FTER adjustment</t>
  </si>
  <si>
    <t xml:space="preserve">LSD.RID.0.AL.PARAM.FTER.1</t>
  </si>
  <si>
    <t xml:space="preserve">FTER_UNAUTH_ASYMM_SEC</t>
  </si>
  <si>
    <t xml:space="preserve">0.95;0.92;0.98;0.96;0.93;0.95;0.96;0.94;0.97;1.00;1.02;0.95;0.96;0.99;1.00;0.98;0.97;0.93;0.96;0.95;1.03;1.04;0.98</t>
  </si>
  <si>
    <t xml:space="preserve">Unauthorized asymmetry scalar for FTER per sector (compression in professional)</t>
  </si>
  <si>
    <t xml:space="preserve">LSD.RID.0.AL.PARAM.FTER.2</t>
  </si>
  <si>
    <t xml:space="preserve">FTER_AUTH_ASYMM_SEC</t>
  </si>
  <si>
    <t xml:space="preserve">1.02;1.01;0.99;1.00;1.03;1.01;1.00;1.02;0.99;0.98;0.97;1.01;1.00;1.03;1.02;1.00;0.99;0.97;1.00;1.01;0.96;0.95;0.99</t>
  </si>
  <si>
    <t xml:space="preserve">Authorized asymmetry scalar for FTER per sector</t>
  </si>
  <si>
    <t xml:space="preserve">LSD.RID.0.AL.PARAM.FTER.3</t>
  </si>
  <si>
    <t xml:space="preserve">FTER_AMER_ASYMM_SEC</t>
  </si>
  <si>
    <t xml:space="preserve">American asymmetry scalar for FTER per sector</t>
  </si>
  <si>
    <t xml:space="preserve">LSD.RID.0.AL.PARAM.FTER.4</t>
  </si>
  <si>
    <t xml:space="preserve">FTER_ITERATION_MAX</t>
  </si>
  <si>
    <t xml:space="preserve">Maximum FTER calibration iterations</t>
  </si>
  <si>
    <t xml:space="preserve">LSD.RID.0.AL.PARAM.FTER.5</t>
  </si>
  <si>
    <t xml:space="preserve">FTER_PUBLIC_AGG_CHECK</t>
  </si>
  <si>
    <t xml:space="preserve">Weighted aggregate check for FTER</t>
  </si>
  <si>
    <t xml:space="preserve">PTER Parameters</t>
  </si>
  <si>
    <t xml:space="preserve">LSD.RID.0.AL.PARAM.PTER.0</t>
  </si>
  <si>
    <t xml:space="preserve">PTER_ADJ_SEC</t>
  </si>
  <si>
    <t xml:space="preserve">1.02;1.01;0.98;1.00;1.03;1.01;1.00;1.02;0.99;0.97;0.96;1.01;1.00;0.96;0.95;0.97;0.98;1.02;1.00;1.01;0.95;0.94;1.00</t>
  </si>
  <si>
    <t xml:space="preserve">Sector-specific PTER adjustment</t>
  </si>
  <si>
    <t xml:space="preserve">LSD.RID.0.AL.PARAM.PTER.1</t>
  </si>
  <si>
    <t xml:space="preserve">PTER_UNAUTH_ASYMM_SEC</t>
  </si>
  <si>
    <t xml:space="preserve">1.05;1.08;1.02;1.04;1.07;1.05;1.04;1.06;1.03;1.01;1.00;1.05;1.04;1.01;1.00;1.02;1.03;1.07;1.04;1.05;0.97;0.96;1.02</t>
  </si>
  <si>
    <t xml:space="preserve">Unauthorized asymmetry scalar for PTER per sector (premium in professional)</t>
  </si>
  <si>
    <t xml:space="preserve">LSD.RID.0.AL.PARAM.PTER.2</t>
  </si>
  <si>
    <t xml:space="preserve">PTER_AUTH_ASYMM_SEC</t>
  </si>
  <si>
    <t xml:space="preserve">0.98;0.99;1.01;1.00;0.97;0.99;1.00;0.98;1.01;1.02;1.03;0.99;1.00;0.97;0.98;0.96;0.97;1.01;1.00;0.99;1.04;1.05;1.01</t>
  </si>
  <si>
    <t xml:space="preserve">Authorized asymmetry scalar for PTER per sector</t>
  </si>
  <si>
    <t xml:space="preserve">LSD.RID.0.AL.PARAM.PTER.3</t>
  </si>
  <si>
    <t xml:space="preserve">PTER_AMER_ASYMM_SEC</t>
  </si>
  <si>
    <t xml:space="preserve">American asymmetry scalar for PTER per sector</t>
  </si>
  <si>
    <t xml:space="preserve">LSD.RID.0.AL.PARAM.PTER.4</t>
  </si>
  <si>
    <t xml:space="preserve">PTER_ITERATION_MAX</t>
  </si>
  <si>
    <t xml:space="preserve">Maximum PTER calibration iterations</t>
  </si>
  <si>
    <t xml:space="preserve">LSD.RID.0.AL.PARAM.PTER.5</t>
  </si>
  <si>
    <t xml:space="preserve">PTER_PUBLIC_AGG_CHECK</t>
  </si>
  <si>
    <t xml:space="preserve">Weighted aggregate check for PTER</t>
  </si>
  <si>
    <t xml:space="preserve">FPITREV Parameters</t>
  </si>
  <si>
    <t xml:space="preserve">LSD.RID.0.AL.PARAM.FPITREV.0</t>
  </si>
  <si>
    <t xml:space="preserve">EFF_FED_TAX_RATE_SEC</t>
  </si>
  <si>
    <t xml:space="preserve">0.12;0.11;0.13;0.10;0.12;0.11;0.13;0.12;0.14;0.09;0.08;0.11;0.12;0.14;0.15;0.14;0.13;0.10;0.12;0.11;0.07;0.06;0.12</t>
  </si>
  <si>
    <t xml:space="preserve">Effective federal tax rate per sector</t>
  </si>
  <si>
    <t xml:space="preserve">IRS-derived</t>
  </si>
  <si>
    <t xml:space="preserve">LSD.RID.0.AL.PARAM.FPITREV.1</t>
  </si>
  <si>
    <t xml:space="preserve">FPITREV_UNAUTH_COMPLIANCE_FACTOR</t>
  </si>
  <si>
    <t xml:space="preserve">Unauthorized compliance factor for FPITREV</t>
  </si>
  <si>
    <t xml:space="preserve">LSD.RID.0.AL.PARAM.FPITREV.2</t>
  </si>
  <si>
    <t xml:space="preserve">UNAUTH_FPITREV_PENALTY_SEC</t>
  </si>
  <si>
    <t xml:space="preserve">0.80;0.75;0.85;0.73;0.77;0.79;0.83;0.80;0.87;0.70;0.67;0.75;0.81;0.86;0.90;0.88;0.85;0.74;0.83;0.78;0.65;0.63;0.84</t>
  </si>
  <si>
    <t xml:space="preserve">Unauthorized penalty scalar for FPITREV per sector</t>
  </si>
  <si>
    <t xml:space="preserve">LSD.RID.0.AL.PARAM.FPITREV.3</t>
  </si>
  <si>
    <t xml:space="preserve">AUTH_FPITREV_PREMIUM_SEC</t>
  </si>
  <si>
    <t xml:space="preserve">Authorized premium scalar for FPITREV per sector</t>
  </si>
  <si>
    <t xml:space="preserve">LSD.RID.0.AL.PARAM.FPITREV.4</t>
  </si>
  <si>
    <t xml:space="preserve">FPITREV_RATE_SEC</t>
  </si>
  <si>
    <t xml:space="preserve">0.15;0.14;0.16;0.13;0.15;0.14;0.16;0.15;0.17;0.12;0.11;0.14;0.15;0.17;0.18;0.17;0.16;0.13;0.15;0.14;0.10;0.09;0.15</t>
  </si>
  <si>
    <t xml:space="preserve">Payroll tax rate per sector (for FPPTREV linkage)</t>
  </si>
  <si>
    <t xml:space="preserve">LSD.RID.0.AL.PARAM.FPITREV.5</t>
  </si>
  <si>
    <t xml:space="preserve">FPITREV_VARIANCE_SEC</t>
  </si>
  <si>
    <t xml:space="preserve">Variance bounds per sector for FPITREV</t>
  </si>
  <si>
    <t xml:space="preserve">LSD.RID.0.AL.PARAM.FPITREV.6</t>
  </si>
  <si>
    <t xml:space="preserve">SOURCE_CONFIDENCE_FPITREV</t>
  </si>
  <si>
    <t xml:space="preserve">Source confidence weights per sector for FPITREV</t>
  </si>
  <si>
    <t xml:space="preserve">LSD.RID.0.AL.PARAM.FPITREV.7</t>
  </si>
  <si>
    <t xml:space="preserve">FPITREV_ITERATION_MAX</t>
  </si>
  <si>
    <t xml:space="preserve">Maximum FPITREV calibration iterations</t>
  </si>
  <si>
    <t xml:space="preserve">FPPTREV Parameters</t>
  </si>
  <si>
    <t xml:space="preserve">LSD.RID.0.AL.PARAM.FPPTREV.0</t>
  </si>
  <si>
    <t xml:space="preserve">FPPTREV_RATE_SEC</t>
  </si>
  <si>
    <t xml:space="preserve">FICA-equivalent payroll tax rate per sector</t>
  </si>
  <si>
    <t xml:space="preserve">LSD.RID.0.AL.PARAM.FPPTREV.1</t>
  </si>
  <si>
    <t xml:space="preserve">FPPTREV_UNAUTH_COMPLIANCE_FACTOR</t>
  </si>
  <si>
    <t xml:space="preserve">Unauthorized compliance factor for FPPTREV</t>
  </si>
  <si>
    <t xml:space="preserve">LSD.RID.0.AL.PARAM.FPPTREV.2</t>
  </si>
  <si>
    <t xml:space="preserve">FPPTREV_AUTH_PREMIUM</t>
  </si>
  <si>
    <t xml:space="preserve">Authorized premium for FPPTREV</t>
  </si>
  <si>
    <t xml:space="preserve">LSD.RID.0.AL.PARAM.FPPTREV.3</t>
  </si>
  <si>
    <t xml:space="preserve">UNAUTH_FPPTREV_PENALTY_SEC</t>
  </si>
  <si>
    <t xml:space="preserve">Unauthorized penalty scalar for FPPTREV per sector</t>
  </si>
  <si>
    <t xml:space="preserve">LSD.RID.0.AL.PARAM.FPPTREV.4</t>
  </si>
  <si>
    <t xml:space="preserve">AUTH_FPPTREV_PREMIUM_SEC</t>
  </si>
  <si>
    <t xml:space="preserve">Authorized premium scalar for FPPTREV per sector</t>
  </si>
  <si>
    <t xml:space="preserve">LSD.RID.0.AL.PARAM.FPPTREV.5</t>
  </si>
  <si>
    <t xml:space="preserve">FPPTREV_VARIANCE_SEC</t>
  </si>
  <si>
    <t xml:space="preserve">Variance bounds per sector for FPPTREV</t>
  </si>
  <si>
    <t xml:space="preserve">LSD.RID.0.AL.PARAM.FPPTREV.6</t>
  </si>
  <si>
    <t xml:space="preserve">SOURCE_CONFIDENCE_FPPTREV</t>
  </si>
  <si>
    <t xml:space="preserve">Source confidence weights per sector for FPPTREV</t>
  </si>
  <si>
    <t xml:space="preserve">LSD.RID.0.AL.PARAM.FPPTREV.7</t>
  </si>
  <si>
    <t xml:space="preserve">FPPTREV_ITERATION_MAX</t>
  </si>
  <si>
    <t xml:space="preserve">Maximum FPPTREV calibration iterations</t>
  </si>
  <si>
    <t xml:space="preserve">LSD.RID.0.AL.CALC</t>
  </si>
  <si>
    <t xml:space="preserve">Alabama Labor Force Population</t>
  </si>
  <si>
    <t xml:space="preserve">Labor Sector (LS)</t>
  </si>
  <si>
    <t xml:space="preserve">Total Nonfarm Payroll Employment (TNPE)</t>
  </si>
  <si>
    <t xml:space="preserve">Labor Force Population (LFP)</t>
  </si>
  <si>
    <t xml:space="preserve">Employed Population (EP)</t>
  </si>
  <si>
    <t xml:space="preserve">Unemployed Population (U3P)</t>
  </si>
  <si>
    <t xml:space="preserve">Underemployed Population (U6P)</t>
  </si>
  <si>
    <t xml:space="preserve">NAICS</t>
  </si>
  <si>
    <t xml:space="preserve">Labor Sector</t>
  </si>
  <si>
    <r>
      <rPr>
        <b val="true"/>
        <sz val="10"/>
        <rFont val="Arial"/>
        <family val="2"/>
        <charset val="1"/>
      </rPr>
      <t xml:space="preserve">Overall </t>
    </r>
    <r>
      <rPr>
        <b val="true"/>
        <sz val="10"/>
        <rFont val="arial"/>
        <family val="2"/>
        <charset val="1"/>
      </rPr>
      <t xml:space="preserve">TNPE</t>
    </r>
  </si>
  <si>
    <r>
      <rPr>
        <b val="true"/>
        <sz val="10"/>
        <rFont val="Arial"/>
        <family val="2"/>
        <charset val="1"/>
      </rPr>
      <t xml:space="preserve">Authorized </t>
    </r>
    <r>
      <rPr>
        <b val="true"/>
        <sz val="10"/>
        <rFont val="arial"/>
        <family val="2"/>
        <charset val="1"/>
      </rPr>
      <t xml:space="preserve">TNPE</t>
    </r>
  </si>
  <si>
    <r>
      <rPr>
        <b val="true"/>
        <sz val="10"/>
        <rFont val="Arial"/>
        <family val="2"/>
        <charset val="1"/>
      </rPr>
      <t xml:space="preserve">Unauthorized </t>
    </r>
    <r>
      <rPr>
        <b val="true"/>
        <sz val="10"/>
        <rFont val="arial"/>
        <family val="2"/>
        <charset val="1"/>
      </rPr>
      <t xml:space="preserve">TNPE</t>
    </r>
  </si>
  <si>
    <r>
      <rPr>
        <b val="true"/>
        <sz val="10"/>
        <rFont val="Arial"/>
        <family val="2"/>
        <charset val="1"/>
      </rPr>
      <t xml:space="preserve">American </t>
    </r>
    <r>
      <rPr>
        <b val="true"/>
        <sz val="10"/>
        <rFont val="arial"/>
        <family val="2"/>
        <charset val="1"/>
      </rPr>
      <t xml:space="preserve">TNPE</t>
    </r>
  </si>
  <si>
    <t xml:space="preserve">Overall LFP</t>
  </si>
  <si>
    <t xml:space="preserve">Authorized LFP</t>
  </si>
  <si>
    <t xml:space="preserve">Unauthorized LFP</t>
  </si>
  <si>
    <t xml:space="preserve">American LFP</t>
  </si>
  <si>
    <t xml:space="preserve">Overall EP</t>
  </si>
  <si>
    <t xml:space="preserve">Authorized EP</t>
  </si>
  <si>
    <t xml:space="preserve">Unauthorized EP</t>
  </si>
  <si>
    <t xml:space="preserve">American EP</t>
  </si>
  <si>
    <t xml:space="preserve">Overall U3P</t>
  </si>
  <si>
    <t xml:space="preserve">Authorized U3P</t>
  </si>
  <si>
    <t xml:space="preserve">Unauthorized U3P</t>
  </si>
  <si>
    <t xml:space="preserve">American U3P</t>
  </si>
  <si>
    <t xml:space="preserve">Overall U6P</t>
  </si>
  <si>
    <t xml:space="preserve">Authorized U6P</t>
  </si>
  <si>
    <t xml:space="preserve">Unauthorized U6P</t>
  </si>
  <si>
    <t xml:space="preserve">American U6P</t>
  </si>
  <si>
    <t xml:space="preserve">~</t>
  </si>
  <si>
    <t xml:space="preserve">All Industries</t>
  </si>
  <si>
    <t xml:space="preserve">Agriculture, Forestry, Fishing and Hunting</t>
  </si>
  <si>
    <t xml:space="preserve">Mining, Quarrying, and Oil and Gas Extraction</t>
  </si>
  <si>
    <t xml:space="preserve">Utilities</t>
  </si>
  <si>
    <t xml:space="preserve">Construction</t>
  </si>
  <si>
    <t xml:space="preserve">Manufacturing (Food,Textile, etc.)</t>
  </si>
  <si>
    <t xml:space="preserve">Manufacturing (Wood, Paper, Printing, etc.)</t>
  </si>
  <si>
    <t xml:space="preserve">Manufacturing (Machinery, Transport)</t>
  </si>
  <si>
    <t xml:space="preserve">Wholesale Trade</t>
  </si>
  <si>
    <t xml:space="preserve">Retail Trade (Motor Vehicle, Electronics)</t>
  </si>
  <si>
    <t xml:space="preserve">Retail Trade (Food, Clothing, General Merchandise, etc.)</t>
  </si>
  <si>
    <t xml:space="preserve">Transportation</t>
  </si>
  <si>
    <t xml:space="preserve">Warehousing and Storage</t>
  </si>
  <si>
    <t xml:space="preserve">Information</t>
  </si>
  <si>
    <t xml:space="preserve">Finance and Insurance</t>
  </si>
  <si>
    <t xml:space="preserve">Real Estate and Rental and Leasing</t>
  </si>
  <si>
    <t xml:space="preserve">Professional, Scientific, and Technical Services</t>
  </si>
  <si>
    <t xml:space="preserve">Administrative and Support and Waste Management and Remediation Services</t>
  </si>
  <si>
    <t xml:space="preserve">Educational Services</t>
  </si>
  <si>
    <t xml:space="preserve">Health Care and Social Assistance</t>
  </si>
  <si>
    <t xml:space="preserve">Arts, Entertainment,and Recreation</t>
  </si>
  <si>
    <t xml:space="preserve">Accommodation and Food Services</t>
  </si>
  <si>
    <t xml:space="preserve">Other Services (except Public Administration)</t>
  </si>
  <si>
    <t xml:space="preserve">Public Administration</t>
  </si>
  <si>
    <t xml:space="preserve">Alabama Labor Force Participation</t>
  </si>
  <si>
    <t xml:space="preserve">Labor Force Participation Rate (LFPR)</t>
  </si>
  <si>
    <t xml:space="preserve">Employment-to-Population Ratio (ETPR)</t>
  </si>
  <si>
    <t xml:space="preserve">Unemployment Rate (U3R)</t>
  </si>
  <si>
    <t xml:space="preserve">Unemployment-to-Population Ratio (U3TPR)</t>
  </si>
  <si>
    <t xml:space="preserve">Underemployment Rate (U6R)</t>
  </si>
  <si>
    <t xml:space="preserve">Underemployment-toPopulation Ratio (U6TPR)</t>
  </si>
  <si>
    <t xml:space="preserve">Full-Time Employment Rate (FTER)</t>
  </si>
  <si>
    <t xml:space="preserve">Part-Time Employment Rate (PTER)</t>
  </si>
  <si>
    <t xml:space="preserve">Overall LFPR</t>
  </si>
  <si>
    <t xml:space="preserve">Authorized LFPR</t>
  </si>
  <si>
    <t xml:space="preserve">Unauthorized LFPR</t>
  </si>
  <si>
    <t xml:space="preserve">American LFPR</t>
  </si>
  <si>
    <t xml:space="preserve">Overall ETPR</t>
  </si>
  <si>
    <t xml:space="preserve">Authorized ETPR</t>
  </si>
  <si>
    <t xml:space="preserve">Unauthorized ETPR</t>
  </si>
  <si>
    <t xml:space="preserve">American ETPR</t>
  </si>
  <si>
    <t xml:space="preserve">Overall U3R</t>
  </si>
  <si>
    <t xml:space="preserve">Authorized U3R</t>
  </si>
  <si>
    <t xml:space="preserve">Unauthorized U3R</t>
  </si>
  <si>
    <t xml:space="preserve">American U3R</t>
  </si>
  <si>
    <t xml:space="preserve">Overall U3TPR</t>
  </si>
  <si>
    <t xml:space="preserve">Authorized U3TPR</t>
  </si>
  <si>
    <t xml:space="preserve">Unauthorized U3TPR</t>
  </si>
  <si>
    <t xml:space="preserve">American U3TPR</t>
  </si>
  <si>
    <t xml:space="preserve">Overall U6R</t>
  </si>
  <si>
    <t xml:space="preserve">Authorized U6R</t>
  </si>
  <si>
    <t xml:space="preserve">Unauthorized U6R</t>
  </si>
  <si>
    <t xml:space="preserve">American U6R</t>
  </si>
  <si>
    <t xml:space="preserve">Overall U6TPR</t>
  </si>
  <si>
    <t xml:space="preserve">Authorized U6TPR</t>
  </si>
  <si>
    <t xml:space="preserve">Unauthorized U6TPR</t>
  </si>
  <si>
    <t xml:space="preserve">American U6TPR</t>
  </si>
  <si>
    <t xml:space="preserve">Overall FTER</t>
  </si>
  <si>
    <t xml:space="preserve">Authorized FTER</t>
  </si>
  <si>
    <t xml:space="preserve">Unauthorized FTER</t>
  </si>
  <si>
    <t xml:space="preserve">American FTER</t>
  </si>
  <si>
    <t xml:space="preserve">Overall PTER</t>
  </si>
  <si>
    <t xml:space="preserve">Authorized PTER</t>
  </si>
  <si>
    <t xml:space="preserve">Unauthorized PTER</t>
  </si>
  <si>
    <t xml:space="preserve">American PTER</t>
  </si>
  <si>
    <t xml:space="preserve">Job Tenure Average (JTA)</t>
  </si>
  <si>
    <t xml:space="preserve">Turnover Rate (TR)</t>
  </si>
  <si>
    <t xml:space="preserve">Overall JTA</t>
  </si>
  <si>
    <t xml:space="preserve">Authorized JTA</t>
  </si>
  <si>
    <t xml:space="preserve">Unauthorized JTA</t>
  </si>
  <si>
    <t xml:space="preserve">American JTA</t>
  </si>
  <si>
    <t xml:space="preserve">Overall TR</t>
  </si>
  <si>
    <t xml:space="preserve">Authorized TR</t>
  </si>
  <si>
    <t xml:space="preserve">Unauthorized TR</t>
  </si>
  <si>
    <t xml:space="preserve">American TR</t>
  </si>
  <si>
    <t xml:space="preserve">Alabama Labor Force Productivity</t>
  </si>
  <si>
    <t xml:space="preserve">Wage Average (WAVG)</t>
  </si>
  <si>
    <t xml:space="preserve">Overall Wage Range Average (WRAVG)</t>
  </si>
  <si>
    <t xml:space="preserve">Authorized Wage Range Average (WRAVG)</t>
  </si>
  <si>
    <t xml:space="preserve">Unauthorized Wage Range Average (WRAVG)</t>
  </si>
  <si>
    <t xml:space="preserve">American Wage Range Average (WRAVG)</t>
  </si>
  <si>
    <t xml:space="preserve">Annual Income Average (AIAVG)</t>
  </si>
  <si>
    <t xml:space="preserve">Overall Annual Income Average (AIRAVG)</t>
  </si>
  <si>
    <t xml:space="preserve">Authorized Annual Income Average (AIRAVG)</t>
  </si>
  <si>
    <t xml:space="preserve">Unauthorized Annual Income Average (AIRAVG)</t>
  </si>
  <si>
    <t xml:space="preserve">American Annual Income Average (AIRAVG)</t>
  </si>
  <si>
    <t xml:space="preserve">Average Weekly Hours Worked (AWHW)</t>
  </si>
  <si>
    <t xml:space="preserve">Labor Productivity (LP)</t>
  </si>
  <si>
    <t xml:space="preserve">Education Level Required (ELR)</t>
  </si>
  <si>
    <t xml:space="preserve">Overall WAVG</t>
  </si>
  <si>
    <t xml:space="preserve">Authorized WAVG</t>
  </si>
  <si>
    <t xml:space="preserve">Unauthorized WAVG</t>
  </si>
  <si>
    <t xml:space="preserve">American WAVG</t>
  </si>
  <si>
    <t xml:space="preserve">Overall WRAVG Min</t>
  </si>
  <si>
    <t xml:space="preserve">Overall WRAVG Max</t>
  </si>
  <si>
    <t xml:space="preserve">Overall WRAVG</t>
  </si>
  <si>
    <t xml:space="preserve">Authorized WRAVG Min</t>
  </si>
  <si>
    <t xml:space="preserve">Authorized WRAVG Max</t>
  </si>
  <si>
    <t xml:space="preserve">Authorized WRAVG</t>
  </si>
  <si>
    <t xml:space="preserve">Unauthorized WRAVG Min</t>
  </si>
  <si>
    <t xml:space="preserve">Unauthorized WRAVG Max</t>
  </si>
  <si>
    <t xml:space="preserve">Unauthorized WRAVG</t>
  </si>
  <si>
    <t xml:space="preserve">American WRAVG Min</t>
  </si>
  <si>
    <t xml:space="preserve">American WRAVG Max</t>
  </si>
  <si>
    <t xml:space="preserve">American WRAVG</t>
  </si>
  <si>
    <t xml:space="preserve">Overall AIAVG</t>
  </si>
  <si>
    <t xml:space="preserve">Authorized AIAVG</t>
  </si>
  <si>
    <t xml:space="preserve">Unauthorized AIAVG</t>
  </si>
  <si>
    <t xml:space="preserve">American AIAVG</t>
  </si>
  <si>
    <t xml:space="preserve">Overall AIRAVG Min</t>
  </si>
  <si>
    <t xml:space="preserve">Overall AIRAVG Max</t>
  </si>
  <si>
    <t xml:space="preserve">Overall AIRAVG</t>
  </si>
  <si>
    <t xml:space="preserve">Authorized AIRAVG Min</t>
  </si>
  <si>
    <t xml:space="preserve">Authorized AIRAVG Max</t>
  </si>
  <si>
    <t xml:space="preserve">Authorized AIRAVG</t>
  </si>
  <si>
    <t xml:space="preserve">Unauthorized AIRAVG Min</t>
  </si>
  <si>
    <t xml:space="preserve">Unauthorized AIRAVG Max</t>
  </si>
  <si>
    <t xml:space="preserve">Unauthorized AIRAVG</t>
  </si>
  <si>
    <t xml:space="preserve">American AIRAVG Min</t>
  </si>
  <si>
    <t xml:space="preserve">American AIRAVG Max</t>
  </si>
  <si>
    <t xml:space="preserve">American AIRAVG</t>
  </si>
  <si>
    <t xml:space="preserve">Overal AWHW</t>
  </si>
  <si>
    <t xml:space="preserve">Authorized AWHW</t>
  </si>
  <si>
    <t xml:space="preserve">Unauthorized AWHW</t>
  </si>
  <si>
    <t xml:space="preserve">American AWHW</t>
  </si>
  <si>
    <t xml:space="preserve">Overall LP</t>
  </si>
  <si>
    <t xml:space="preserve">Authorized LP</t>
  </si>
  <si>
    <t xml:space="preserve">Unauthorized LP</t>
  </si>
  <si>
    <t xml:space="preserve">American LP</t>
  </si>
  <si>
    <t xml:space="preserve">Overall ELR</t>
  </si>
  <si>
    <t xml:space="preserve">Authorized ELR</t>
  </si>
  <si>
    <t xml:space="preserve">Unauthorized ELR</t>
  </si>
  <si>
    <t xml:space="preserve">American ELR</t>
  </si>
  <si>
    <t xml:space="preserve">Alabama Labor Force Taxation</t>
  </si>
  <si>
    <t xml:space="preserve">Federal Personal Income Tax Revenue (FPITREV)</t>
  </si>
  <si>
    <t xml:space="preserve">Federal Personal Payroll Tax Revenue (FPPTREV)</t>
  </si>
  <si>
    <t xml:space="preserve">Earned Income Tax Credit Refund (EITCREF)</t>
  </si>
  <si>
    <t xml:space="preserve">Additional Child Tax Credit Refund (ACTCREF)</t>
  </si>
  <si>
    <t xml:space="preserve">American Opportunity Tax Credit Refund (AOTCREF)</t>
  </si>
  <si>
    <t xml:space="preserve">State/Local Tax Revenue (SLTR)</t>
  </si>
  <si>
    <t xml:space="preserve">Social Security/Medicare Contributions (SSMC)</t>
  </si>
  <si>
    <t xml:space="preserve">Public Assistance Usage Rate (PAUR)</t>
  </si>
  <si>
    <t xml:space="preserve">Overall FPITREV</t>
  </si>
  <si>
    <t xml:space="preserve">Authorized FPITREV</t>
  </si>
  <si>
    <t xml:space="preserve">Unauthorized FPITREV</t>
  </si>
  <si>
    <t xml:space="preserve">American FPITREV</t>
  </si>
  <si>
    <t xml:space="preserve">Overall FPPTREV</t>
  </si>
  <si>
    <t xml:space="preserve">Authorized FPPTREV</t>
  </si>
  <si>
    <t xml:space="preserve">Unauthorized FPPTREV</t>
  </si>
  <si>
    <t xml:space="preserve">American FPPTREV</t>
  </si>
  <si>
    <t xml:space="preserve">EITC Credit Refund</t>
  </si>
  <si>
    <t xml:space="preserve">Authorized Immigrant EITC Credit Refund</t>
  </si>
  <si>
    <t xml:space="preserve">Unauthorized Immigrant EITC Credit Refund</t>
  </si>
  <si>
    <t xml:space="preserve">American EITC Refund</t>
  </si>
  <si>
    <t xml:space="preserve">ACTC Refund</t>
  </si>
  <si>
    <t xml:space="preserve">Authorized Immigrant ACTC Refund</t>
  </si>
  <si>
    <t xml:space="preserve">Unauthorized Immigrant ACTC Refund</t>
  </si>
  <si>
    <t xml:space="preserve">American Tax ACTC Refund</t>
  </si>
  <si>
    <t xml:space="preserve">AOTC Refund</t>
  </si>
  <si>
    <t xml:space="preserve">Authorized Immigrant AOTC Refund</t>
  </si>
  <si>
    <t xml:space="preserve">Unauthorized Immigrant AOTC Refund</t>
  </si>
  <si>
    <t xml:space="preserve">American Tax AOTC Refund</t>
  </si>
  <si>
    <t xml:space="preserve">State/Local Tax Revenue ($)</t>
  </si>
  <si>
    <t xml:space="preserve">Authorized Immigrant State/Local Tax Revenue</t>
  </si>
  <si>
    <t xml:space="preserve">Unauthorized Immigrant State/Local Tax Revenue</t>
  </si>
  <si>
    <t xml:space="preserve">American State/Local Tax Revenue</t>
  </si>
  <si>
    <t xml:space="preserve">Social Security/Medicare Contributions ($)</t>
  </si>
  <si>
    <t xml:space="preserve">Authorized Immigrant Social Security/Medicare Contributions</t>
  </si>
  <si>
    <t xml:space="preserve">Unauthorized Immigrant Social Security/Medicare Contributions</t>
  </si>
  <si>
    <t xml:space="preserve">American Social Security/Medicare Contributions</t>
  </si>
  <si>
    <t xml:space="preserve">Authorized Immigrant Public Assistance Usage Rate</t>
  </si>
  <si>
    <t xml:space="preserve">Unauthorized Immigrant Public Assistance Usage Rate</t>
  </si>
  <si>
    <t xml:space="preserve">American Public Assistance Usage Rate</t>
  </si>
  <si>
    <t xml:space="preserve">Alabama Total Non-Farm Payroll Employment (TNPE)</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</si>
  <si>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</si>
  <si>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Category</t>
  </si>
  <si>
    <t xml:space="preserve">Formula (excerpt / key logic)</t>
  </si>
  <si>
    <t xml:space="preserve">LSD.RID.0.AL.TNPE.FORM.0</t>
  </si>
  <si>
    <t xml:space="preserve">TNPE - Aggregation</t>
  </si>
  <si>
    <t xml:space="preserve">Overall TNPE Weighted Aggregate</t>
  </si>
  <si>
    <t xml:space="preserve">SUM(TNPE_i for LSID 2–23) with forced benchmark to OFFICIAL_TNPE_TOTAL; LSID 1 as modeled proxy</t>
  </si>
  <si>
    <t xml:space="preserve">Exact match guarantee to BLS CES nonfarm total; excludes LSID 1</t>
  </si>
  <si>
    <t xml:space="preserve">Updated; specifies exclusion for aggregation.</t>
  </si>
  <si>
    <t xml:space="preserve">Updated with ACS 2024-2025 TNPER derivation</t>
  </si>
  <si>
    <t xml:space="preserve">LSD.RID.0.AL.TNPE.FORM.1</t>
  </si>
  <si>
    <t xml:space="preserve">TNPE - Group</t>
  </si>
  <si>
    <t xml:space="preserve">Group Fusion &amp; Drift Correction</t>
  </si>
  <si>
    <t xml:space="preserve">Weighted avg by sector confidence (LSID 2–23) + unauthorized CES-specific drift; LSID 1 via proxy</t>
  </si>
  <si>
    <t xml:space="preserve">Refines modeled authorized/unauthorized/American splits; separate for excluded</t>
  </si>
  <si>
    <t xml:space="preserve">Updated; adds proxy for LSID 1.</t>
  </si>
  <si>
    <t xml:space="preserve">Uses S0.2; adjusted with ACS immigrant occupation data</t>
  </si>
  <si>
    <t xml:space="preserve">LSD.RID.0.AL.TNPE.FORM.2</t>
  </si>
  <si>
    <t xml:space="preserve">TNPE - Sector</t>
  </si>
  <si>
    <t xml:space="preserve">Sector Benchmark Rescaling</t>
  </si>
  <si>
    <t xml:space="preserve">Iterative rescaling if any non-excluded sector deviates &gt; TNPE.PARAM drift threshold; LSID 1 unchanged</t>
  </si>
  <si>
    <t xml:space="preserve">Maintains internal consistency after benchmarking (nonfarm only)</t>
  </si>
  <si>
    <t xml:space="preserve">Updated; skips LSID 1.</t>
  </si>
  <si>
    <t xml:space="preserve">Uses S0.2; capped by P078, derived higher in worker roles per MPI</t>
  </si>
  <si>
    <t xml:space="preserve">LSD.RID.0.AL.TNPE.FORM.3</t>
  </si>
  <si>
    <t xml:space="preserve">TNPE - Visualization</t>
  </si>
  <si>
    <t xml:space="preserve">Visualization Prep</t>
  </si>
  <si>
    <t xml:space="preserve">Percentage-of-total format + industry color scheme; flag excluded sectors in viz</t>
  </si>
  <si>
    <t xml:space="preserve">For later charts and dashboard integration; highlights exclusions</t>
  </si>
  <si>
    <t xml:space="preserve">Updated; adds exclusion flag.</t>
  </si>
  <si>
    <t xml:space="preserve">Exact subtraction for consistency</t>
  </si>
  <si>
    <t xml:space="preserve">LSD.RID.0.AL.TNPE.PARAM.0</t>
  </si>
  <si>
    <t xml:space="preserve">CONFIDENCE_SEC[2]</t>
  </si>
  <si>
    <t xml:space="preserve">TNPE confidence for Mining (nonfarm only)</t>
  </si>
  <si>
    <t xml:space="preserve">CES sampling strength</t>
  </si>
  <si>
    <t xml:space="preserve">Updated; arrays start at LSID 2.</t>
  </si>
  <si>
    <t xml:space="preserve">LSD.RID.0.AL.TNPE.PARAM.1</t>
  </si>
  <si>
    <t xml:space="preserve">CONFIDENCE_SEC[3]</t>
  </si>
  <si>
    <t xml:space="preserve">TNPE confidence for Utilities</t>
  </si>
  <si>
    <t xml:space="preserve">LSD.RID.0.AL.TNPE.PARAM.2</t>
  </si>
  <si>
    <t xml:space="preserve">CONFIDENCE_SEC[4]</t>
  </si>
  <si>
    <t xml:space="preserve">Medium-High</t>
  </si>
  <si>
    <t xml:space="preserve">TNPE confidence for Construction</t>
  </si>
  <si>
    <t xml:space="preserve">LSD.RID.0.AL.TNPE.PARAM.3</t>
  </si>
  <si>
    <t xml:space="preserve">CONFIDENCE_SEC[5]</t>
  </si>
  <si>
    <t xml:space="preserve">TNPE confidence for Manufacturing (Food, Textile)</t>
  </si>
  <si>
    <t xml:space="preserve">LSD.RID.0.AL.TNPE.PARAM.4</t>
  </si>
  <si>
    <t xml:space="preserve">CONFIDENCE_SEC[6]</t>
  </si>
  <si>
    <t xml:space="preserve">TNPE confidence for Manufacturing (Wood, Paper)</t>
  </si>
  <si>
    <t xml:space="preserve">LSD.RID.0.AL.TNPE.PARAM.5</t>
  </si>
  <si>
    <t xml:space="preserve">CONFIDENCE_SEC[7]</t>
  </si>
  <si>
    <t xml:space="preserve">TNPE confidence for Manufacturing (Machinery, Transport)</t>
  </si>
  <si>
    <t xml:space="preserve">LSD.RID.0.AL.TNPE.PARAM.6</t>
  </si>
  <si>
    <t xml:space="preserve">CONFIDENCE_SEC[8]</t>
  </si>
  <si>
    <t xml:space="preserve">TNPE confidence for Wholesale Trade</t>
  </si>
  <si>
    <t xml:space="preserve">LSD.RID.0.AL.TNPE.PARAM.7</t>
  </si>
  <si>
    <t xml:space="preserve">CONFIDENCE_SEC[9]</t>
  </si>
  <si>
    <t xml:space="preserve">TNPE confidence for Retail (Motor Vehicle, Electronics)</t>
  </si>
  <si>
    <t xml:space="preserve">LSD.RID.0.AL.TNPE.PARAM.8</t>
  </si>
  <si>
    <t xml:space="preserve">CONFIDENCE_SEC[10]</t>
  </si>
  <si>
    <t xml:space="preserve">TNPE confidence for Retail (Food, Clothing)</t>
  </si>
  <si>
    <t xml:space="preserve">LSD.RID.0.AL.TNPE.PARAM.9</t>
  </si>
  <si>
    <t xml:space="preserve">CONFIDENCE_SEC[11]</t>
  </si>
  <si>
    <t xml:space="preserve">TNPE confidence for Transportation</t>
  </si>
  <si>
    <t xml:space="preserve">LSD.RID.0.AL.TNPE.PARAM.10</t>
  </si>
  <si>
    <t xml:space="preserve">CONFIDENCE_SEC[12]</t>
  </si>
  <si>
    <t xml:space="preserve">TNPE confidence for Warehousing and Storage</t>
  </si>
  <si>
    <t xml:space="preserve">LSD.RID.0.AL.TNPE.PARAM.11</t>
  </si>
  <si>
    <t xml:space="preserve">CONFIDENCE_SEC[13]</t>
  </si>
  <si>
    <t xml:space="preserve">TNPE confidence for Information</t>
  </si>
  <si>
    <t xml:space="preserve">LSD.RID.0.AL.TNPE.PARAM.12</t>
  </si>
  <si>
    <t xml:space="preserve">CONFIDENCE_SEC[14]</t>
  </si>
  <si>
    <t xml:space="preserve">TNPE confidence for Finance and Insurance</t>
  </si>
  <si>
    <t xml:space="preserve">LSD.RID.0.AL.TNPE.PARAM.13</t>
  </si>
  <si>
    <t xml:space="preserve">CONFIDENCE_SEC[15]</t>
  </si>
  <si>
    <t xml:space="preserve">TNPE confidence for Real Estate and Rental</t>
  </si>
  <si>
    <t xml:space="preserve">LSD.RID.0.AL.TNPE.PARAM.14</t>
  </si>
  <si>
    <t xml:space="preserve">CONFIDENCE_SEC[16]</t>
  </si>
  <si>
    <t xml:space="preserve">TNPE confidence for Professional Services</t>
  </si>
  <si>
    <t xml:space="preserve">LSD.RID.0.AL.TNPE.PARAM.15</t>
  </si>
  <si>
    <t xml:space="preserve">CONFIDENCE_SEC[17]</t>
  </si>
  <si>
    <t xml:space="preserve">TNPE confidence for Administrative and Support</t>
  </si>
  <si>
    <t xml:space="preserve">LSD.RID.0.AL.TNPE.PARAM.16</t>
  </si>
  <si>
    <t xml:space="preserve">CONFIDENCE_SEC[18]</t>
  </si>
  <si>
    <t xml:space="preserve">TNPE confidence for Educational Services</t>
  </si>
  <si>
    <t xml:space="preserve">LSD.RID.0.AL.TNPE.PARAM.17</t>
  </si>
  <si>
    <t xml:space="preserve">CONFIDENCE_SEC[19]</t>
  </si>
  <si>
    <t xml:space="preserve">TNPE confidence for Health Care and Social Assistance</t>
  </si>
  <si>
    <t xml:space="preserve">LSD.RID.0.AL.TNPE.PARAM.18</t>
  </si>
  <si>
    <t xml:space="preserve">CONFIDENCE_SEC[20]</t>
  </si>
  <si>
    <t xml:space="preserve">TNPE confidence for Arts, Entertainment, Recreation</t>
  </si>
  <si>
    <t xml:space="preserve">LSD.RID.0.AL.TNPE.PARAM.19</t>
  </si>
  <si>
    <t xml:space="preserve">CONFIDENCE_SEC[21]</t>
  </si>
  <si>
    <t xml:space="preserve">TNPE confidence for Accommodation and Food Services</t>
  </si>
  <si>
    <t xml:space="preserve">LSD.RID.0.AL.TNPE.PARAM.20</t>
  </si>
  <si>
    <t xml:space="preserve">CONFIDENCE_SEC[22]</t>
  </si>
  <si>
    <t xml:space="preserve">TNPE confidence for Other Services</t>
  </si>
  <si>
    <t xml:space="preserve">LSD.RID.0.AL.TNPE.PARAM.21</t>
  </si>
  <si>
    <t xml:space="preserve">CONFIDENCE_SEC[23]</t>
  </si>
  <si>
    <t xml:space="preserve">TNPE confidence for Public Administration</t>
  </si>
  <si>
    <t xml:space="preserve">LSD.RID.0.AL.TNPE.PARAM.22</t>
  </si>
  <si>
    <t xml:space="preserve">EXCLUDED_CONFIDENCE_AG</t>
  </si>
  <si>
    <t xml:space="preserve">TNPE confidence for excluded Agriculture (modeled proxy)</t>
  </si>
  <si>
    <t xml:space="preserve">ACS/CPS proxy</t>
  </si>
  <si>
    <t xml:space="preserve">New; for LSID 1.</t>
  </si>
  <si>
    <t xml:space="preserve">LSD.RID.0.AL.TNPE.PARAM.23</t>
  </si>
  <si>
    <t xml:space="preserve">GROUP_RECONCILE_THRESH</t>
  </si>
  <si>
    <t xml:space="preserve">Threshold for group TNPE reconciliation (decimal; nonfarm only)</t>
  </si>
  <si>
    <t xml:space="preserve">Updated; nonfarm focus.</t>
  </si>
  <si>
    <t xml:space="preserve">LSD.RID.0.AL.TNPE.PARAM.24</t>
  </si>
  <si>
    <t xml:space="preserve">DRIFT_FACTOR_SEC[2]</t>
  </si>
  <si>
    <t xml:space="preserve">Drift correction factor for Mining in TNPE (decimal)</t>
  </si>
  <si>
    <t xml:space="preserve">LSD.RID.0.AL.TNPE.PARAM.25</t>
  </si>
  <si>
    <t xml:space="preserve">DRIFT_FACTOR_SEC[3]</t>
  </si>
  <si>
    <t xml:space="preserve">Drift correction factor for Utilities in TNPE (decimal)</t>
  </si>
  <si>
    <t xml:space="preserve">LSD.RID.0.AL.TNPE.PARAM.26</t>
  </si>
  <si>
    <t xml:space="preserve">DRIFT_FACTOR_SEC[4]</t>
  </si>
  <si>
    <t xml:space="preserve">Drift correction factor for Construction in TNPE (decimal)</t>
  </si>
  <si>
    <t xml:space="preserve">LSD.RID.0.AL.TNPE.PARAM.27</t>
  </si>
  <si>
    <t xml:space="preserve">DRIFT_FACTOR_SEC[5]</t>
  </si>
  <si>
    <t xml:space="preserve">Drift correction factor for Manufacturing (Food, Textile) in TNPE (decimal)</t>
  </si>
  <si>
    <t xml:space="preserve">LSD.RID.0.AL.TNPE.PARAM.28</t>
  </si>
  <si>
    <t xml:space="preserve">DRIFT_FACTOR_SEC[6]</t>
  </si>
  <si>
    <t xml:space="preserve">Drift correction factor for Manufacturing (Wood, Paper) in TNPE (decimal)</t>
  </si>
  <si>
    <t xml:space="preserve">LSD.RID.0.AL.TNPE.PARAM.29</t>
  </si>
  <si>
    <t xml:space="preserve">DRIFT_FACTOR_SEC[7]</t>
  </si>
  <si>
    <t xml:space="preserve">Drift correction factor for Manufacturing (Machinery, Transport) in TNPE (decimal)</t>
  </si>
  <si>
    <t xml:space="preserve">LSD.RID.0.AL.TNPE.PARAM.30</t>
  </si>
  <si>
    <t xml:space="preserve">DRIFT_FACTOR_SEC[8]</t>
  </si>
  <si>
    <t xml:space="preserve">Drift correction factor for Wholesale Trade in TNPE (decimal)</t>
  </si>
  <si>
    <t xml:space="preserve">LSD.RID.0.AL.TNPE.PARAM.31</t>
  </si>
  <si>
    <t xml:space="preserve">DRIFT_FACTOR_SEC[9]</t>
  </si>
  <si>
    <t xml:space="preserve">Drift correction factor for Retail (Motor Vehicle, Electronics) in TNPE (decimal)</t>
  </si>
  <si>
    <t xml:space="preserve">LSD.RID.0.AL.TNPE.PARAM.32</t>
  </si>
  <si>
    <t xml:space="preserve">DRIFT_FACTOR_SEC[10]</t>
  </si>
  <si>
    <t xml:space="preserve">Drift correction factor for Retail (Food, Clothing) in TNPE (decimal)</t>
  </si>
  <si>
    <t xml:space="preserve">LSD.RID.0.AL.TNPE.PARAM.33</t>
  </si>
  <si>
    <t xml:space="preserve">DRIFT_FACTOR_SEC[11]</t>
  </si>
  <si>
    <t xml:space="preserve">Drift correction factor for Transportation in TNPE (decimal)</t>
  </si>
  <si>
    <t xml:space="preserve">LSD.RID.0.AL.TNPE.PARAM.34</t>
  </si>
  <si>
    <t xml:space="preserve">DRIFT_FACTOR_SEC[12]</t>
  </si>
  <si>
    <t xml:space="preserve">Drift correction factor for Warehousing and Storage in TNPE (decimal)</t>
  </si>
  <si>
    <t xml:space="preserve">LSD.RID.0.AL.TNPE.PARAM.35</t>
  </si>
  <si>
    <t xml:space="preserve">DRIFT_FACTOR_SEC[13]</t>
  </si>
  <si>
    <t xml:space="preserve">Drift correction factor for Information in TNPE (decimal)</t>
  </si>
  <si>
    <t xml:space="preserve">LSD.RID.0.AL.TNPE.PARAM.36</t>
  </si>
  <si>
    <t xml:space="preserve">DRIFT_FACTOR_SEC[14]</t>
  </si>
  <si>
    <t xml:space="preserve">Drift correction factor for Finance and Insurance in TNPE (decimal)</t>
  </si>
  <si>
    <t xml:space="preserve">LSD.RID.0.AL.TNPE.PARAM.37</t>
  </si>
  <si>
    <t xml:space="preserve">DRIFT_FACTOR_SEC[15]</t>
  </si>
  <si>
    <t xml:space="preserve">Drift correction factor for Real Estate and Rental in TNPE (decimal)</t>
  </si>
  <si>
    <t xml:space="preserve">LSD.RID.0.AL.TNPE.PARAM.38</t>
  </si>
  <si>
    <t xml:space="preserve">DRIFT_FACTOR_SEC[16]</t>
  </si>
  <si>
    <t xml:space="preserve">Drift correction factor for Professional Services in TNPE (decimal)</t>
  </si>
  <si>
    <t xml:space="preserve">LSD.RID.0.AL.TNPE.PARAM.39</t>
  </si>
  <si>
    <t xml:space="preserve">DRIFT_FACTOR_SEC[17]</t>
  </si>
  <si>
    <t xml:space="preserve">Drift correction factor for Administrative and Support in TNPE (decimal)</t>
  </si>
  <si>
    <t xml:space="preserve">LSD.RID.0.AL.TNPE.PARAM.40</t>
  </si>
  <si>
    <t xml:space="preserve">DRIFT_FACTOR_SEC[18]</t>
  </si>
  <si>
    <t xml:space="preserve">Drift correction factor for Educational Services in TNPE (decimal)</t>
  </si>
  <si>
    <t xml:space="preserve">LSD.RID.0.AL.TNPE.PARAM.41</t>
  </si>
  <si>
    <t xml:space="preserve">DRIFT_FACTOR_SEC[19]</t>
  </si>
  <si>
    <t xml:space="preserve">Drift correction factor for Health Care and Social Assistance in TNPE (decimal)</t>
  </si>
  <si>
    <t xml:space="preserve">LSD.RID.0.AL.TNPE.PARAM.42</t>
  </si>
  <si>
    <t xml:space="preserve">DRIFT_FACTOR_SEC[20]</t>
  </si>
  <si>
    <t xml:space="preserve">Drift correction factor for Arts, Entertainment, Recreation in TNPE (decimal)</t>
  </si>
  <si>
    <t xml:space="preserve">LSD.RID.0.AL.TNPE.PARAM.43</t>
  </si>
  <si>
    <t xml:space="preserve">DRIFT_FACTOR_SEC[21]</t>
  </si>
  <si>
    <t xml:space="preserve">Drift correction factor for Accommodation and Food Services in TNPE (decimal)</t>
  </si>
  <si>
    <t xml:space="preserve">LSD.RID.0.AL.TNPE.PARAM.44</t>
  </si>
  <si>
    <t xml:space="preserve">DRIFT_FACTOR_SEC[22]</t>
  </si>
  <si>
    <t xml:space="preserve">Drift correction factor for Other Services in TNPE (decimal)</t>
  </si>
  <si>
    <t xml:space="preserve">LSD.RID.0.AL.TNPE.PARAM.45</t>
  </si>
  <si>
    <t xml:space="preserve">DRIFT_FACTOR_SEC[23]</t>
  </si>
  <si>
    <t xml:space="preserve">Drift correction factor for Public Administration in TNPE (decimal)</t>
  </si>
  <si>
    <t xml:space="preserve">LSD.RID.0.AL.TNPE.PARAM.46</t>
  </si>
  <si>
    <t xml:space="preserve">UNAETH_TNPE_DRIFT_ADJ</t>
  </si>
  <si>
    <t xml:space="preserve">Adjustment for unauthorized TNPE drift (decimal; nonfarm only)</t>
  </si>
  <si>
    <t xml:space="preserve">MPI/Pew consensus</t>
  </si>
  <si>
    <t xml:space="preserve">LSD.RID.0.AL.TNPE.PARAM.47</t>
  </si>
  <si>
    <t xml:space="preserve">COLOR_SCHEME_TNPE</t>
  </si>
  <si>
    <t xml:space="preserve">Blue-Grey</t>
  </si>
  <si>
    <t xml:space="preserve">Color scheme for TNPE visualization (payroll theme; flag excluded sectors)</t>
  </si>
  <si>
    <t xml:space="preserve">Draft standard</t>
  </si>
  <si>
    <t xml:space="preserve">LSD.RID.0.AL.TNPE.PARAM.48</t>
  </si>
  <si>
    <t xml:space="preserve">VIZ_SCALE</t>
  </si>
  <si>
    <t xml:space="preserve">Scale factor for TNPE charts (max nonfarm statewide total)</t>
  </si>
  <si>
    <t xml:space="preserve">BLS CES</t>
  </si>
  <si>
    <t xml:space="preserve">Updated; nonfarm total.</t>
  </si>
  <si>
    <t xml:space="preserve">LSD.RID.0.AL.TNPE.PARAM.49</t>
  </si>
  <si>
    <t xml:space="preserve">BENCHMARK_SCALING_FACTOR</t>
  </si>
  <si>
    <t xml:space="preserve">Applied scaling factor to align prior PARAM bases to official nonfarm total</t>
  </si>
  <si>
    <t xml:space="preserve">Calculated from OFFICIAL_TNPE_TOTAL</t>
  </si>
  <si>
    <t xml:space="preserve">Updated; nonfarm only.</t>
  </si>
  <si>
    <t xml:space="preserve">Validation Name</t>
  </si>
  <si>
    <t xml:space="preserve">Calculated Value</t>
  </si>
  <si>
    <t xml:space="preserve">Target / Reference Value</t>
  </si>
  <si>
    <t xml:space="preserve">Source / Benchmark</t>
  </si>
  <si>
    <t xml:space="preserve">Validation Notes / Outcome</t>
  </si>
  <si>
    <t xml:space="preserve">LSD.RID.0.AL.TNPE.VALID.0</t>
  </si>
  <si>
    <t xml:space="preserve">Statewide Nonfarm Aggregate Match</t>
  </si>
  <si>
    <t xml:space="preserve">BLS CES official Dec 2025 (SA, nonfarm)</t>
  </si>
  <si>
    <t xml:space="preserve">Exact match for LSID 2–23 via FORM.19; LSID 1 excluded. Pass.</t>
  </si>
  <si>
    <t xml:space="preserve">LSD.RID.0.AL.TNPE.VALID.1</t>
  </si>
  <si>
    <t xml:space="preserve">Nonfarm Sector Sum Consistency</t>
  </si>
  <si>
    <t xml:space="preserve">Sum of LSID 2–23</t>
  </si>
  <si>
    <t xml:space="preserve">Internal summation of TNPE_i</t>
  </si>
  <si>
    <t xml:space="preserve">Nonfarm sectors sum precisely to official total. LSID 1 separate proxy. Pass.</t>
  </si>
  <si>
    <t xml:space="preserve">LSD.RID.0.AL.TNPE.VALID.2</t>
  </si>
  <si>
    <t xml:space="preserve">Cross-Survey Reconciliation (TNPE vs HH Nonfarm)</t>
  </si>
  <si>
    <t xml:space="preserve">2,211,200 vs 2,283,706</t>
  </si>
  <si>
    <t xml:space="preserve">Difference ≈72,500 (self-employed, unpaid; excludes LSID 1 proxy)</t>
  </si>
  <si>
    <t xml:space="preserve">Household nonfarm from TNPE × ETPR - AG proxy; FORM.21</t>
  </si>
  <si>
    <t xml:space="preserve">Gap within threshold 0.015 after excluding LSID 1; fusion intact. Pass.</t>
  </si>
  <si>
    <t xml:space="preserve">LSD.RID.0.AL.TNPE.VALID.3</t>
  </si>
  <si>
    <t xml:space="preserve">Unauthorized Concentration Plausibility</t>
  </si>
  <si>
    <t xml:space="preserve">Peaks in Construction (1.35×), Accommodation/Food (1.38×), Admin Support (1.25×)</t>
  </si>
  <si>
    <t xml:space="preserve">MPI/ACS/Pew nonfarm patterns</t>
  </si>
  <si>
    <t xml:space="preserve">Independent FORM.20 + UNAUTH_TNPE_BOOST_SEC</t>
  </si>
  <si>
    <t xml:space="preserve">Aligns for nonfarm; LSID 1 proxy uses separate adj. Pass.</t>
  </si>
  <si>
    <t xml:space="preserve">LSD.RID.0.AL.TNPE.VALID.4</t>
  </si>
  <si>
    <t xml:space="preserve">Benchmark Scaling Factor Application</t>
  </si>
  <si>
    <t xml:space="preserve">Derived from OFFICIAL_TNPE_TOTAL / nonfarm PARAM sum</t>
  </si>
  <si>
    <t xml:space="preserve">PARAM.232 / internal (LSID 2–23)</t>
  </si>
  <si>
    <t xml:space="preserve">Applied to nonfarm only; LSID 1 unchanged. No drift. Pass.</t>
  </si>
  <si>
    <t xml:space="preserve">LSD.RID.0.AL.TNPE.VALID.5</t>
  </si>
  <si>
    <t xml:space="preserve">Excluded Sector Proxy Plausibility (LSID 1)</t>
  </si>
  <si>
    <t xml:space="preserve">33,500 (proxy)</t>
  </si>
  <si>
    <t xml:space="preserve">ACS/CPS-derived agriculture employment</t>
  </si>
  <si>
    <t xml:space="preserve">PARAM.1 AG_EMPLOYMENT_AL</t>
  </si>
  <si>
    <t xml:space="preserve">LSID 1 modeled correctly as non-CES proxy; group shares plausible. Pass.</t>
  </si>
  <si>
    <t xml:space="preserve">LSD.RID.0.AL.TNPE.VALID.6</t>
  </si>
  <si>
    <t xml:space="preserve">Sector Confidence Alignment</t>
  </si>
  <si>
    <t xml:space="preserve">High in manufacturing/finance/gov; Medium-High in construction/accommodation</t>
  </si>
  <si>
    <t xml:space="preserve">CES sampling variance patterns (nonfarm)</t>
  </si>
  <si>
    <t xml:space="preserve">TNPE.PARAM.0–.21 + EXCLUDED_CONFIDENCE_AG</t>
  </si>
  <si>
    <t xml:space="preserve">Matches CES for LSID 2–23; LSID 1 flagged as Medium. Pass.</t>
  </si>
  <si>
    <t xml:space="preserve">LSD.RID.0.AL.TNPE.VALID.7</t>
  </si>
  <si>
    <t xml:space="preserve">Overall TNPE Aggregate &amp; Group Integrity</t>
  </si>
  <si>
    <t xml:space="preserve">Refined UNAUTH shares (~6% lower average) improved realism in ag/constr/accom/food/admin without breaking fusion or aggregate match. Group proration consistent with updated LFP/EP.</t>
  </si>
  <si>
    <t xml:space="preserve">Consistent; ready for propagation, with exclusions handled. Pass.</t>
  </si>
  <si>
    <t xml:space="preserve">LSD.RID.0.AL.TNPE.VALID.8</t>
  </si>
  <si>
    <t xml:space="preserve">Cross-Metric Reconciliation with EP</t>
  </si>
  <si>
    <t xml:space="preserve">EP ≈ TNPE (nonfarm focus, minor agriculture proxy difference)</t>
  </si>
  <si>
    <t xml:space="preserve">EP.CALC + TNPE</t>
  </si>
  <si>
    <t xml:space="preserve">Strong alignment; no material drift post-refinement.</t>
  </si>
  <si>
    <t xml:space="preserve">LSD.RID.0.AL.TNPE.VALID.9</t>
  </si>
  <si>
    <t xml:space="preserve">Unauthorized Share Realism</t>
  </si>
  <si>
    <t xml:space="preserve">Unauthorized TNPE share ≈ 2.2% statewide (down from ~2.3%)</t>
  </si>
  <si>
    <t xml:space="preserve">PARAM.S0.9 refined</t>
  </si>
  <si>
    <t xml:space="preserve">More plausible given 2025–2026 enforcement trends and ACS patterns.</t>
  </si>
  <si>
    <t xml:space="preserve">Alabama Part-Time Employment Rate (PTER) Visualization</t>
  </si>
  <si>
    <t xml:space="preserve">Visualization Name</t>
  </si>
  <si>
    <t xml:space="preserve">Alabama Labor Force Population (LFP)</t>
  </si>
  <si>
    <t xml:space="preserve">LSD.RID.0.AL.LFP.FORM</t>
  </si>
  <si>
    <t xml:space="preserve">Alabama Labor Force Population (LFP) Formulae</t>
  </si>
  <si>
    <t xml:space="preserve">Formula (reference to shared)</t>
  </si>
  <si>
    <t xml:space="preserve">LSD.RID.0.AL.LFP.FORM.1</t>
  </si>
  <si>
    <t xml:space="preserve">S1 - LFP</t>
  </si>
  <si>
    <t xml:space="preserve">Base LFP Application</t>
  </si>
  <si>
    <t xml:space="preserve">References FORM.S1.0</t>
  </si>
  <si>
    <t xml:space="preserve">Applies CIV_POP × LFPR + group proration + refined population adjustments</t>
  </si>
  <si>
    <t xml:space="preserve">LSD.RID.0.AL.LFP.FORM.2</t>
  </si>
  <si>
    <t xml:space="preserve">Group Adjustment Application</t>
  </si>
  <si>
    <t xml:space="preserve">Applies new unauth asymmetry scalar + population adj + TNPE shares</t>
  </si>
  <si>
    <t xml:space="preserve">LSD.RID.0.AL.LFP.FORM.3</t>
  </si>
  <si>
    <t xml:space="preserve">Reconciliation Application</t>
  </si>
  <si>
    <t xml:space="preserve">References FORM.S1.4</t>
  </si>
  <si>
    <t xml:space="preserve">Applies LFP fusion with BLS LAUS weighting</t>
  </si>
  <si>
    <t xml:space="preserve">LSD.RID.0.AL.LFP.FORM.4</t>
  </si>
  <si>
    <t xml:space="preserve">Overall LFP Aggregation</t>
  </si>
  <si>
    <t xml:space="preserve">LSD.RID.0.AL.LFP.PARAM</t>
  </si>
  <si>
    <t xml:space="preserve">Alabama Labor Force Population (LFP) Parameters</t>
  </si>
  <si>
    <t xml:space="preserve">Value (applied/reference)</t>
  </si>
  <si>
    <t xml:space="preserve">LSD.RID.0.AL.LFP.PARAM.1</t>
  </si>
  <si>
    <t xml:space="preserve">Overall LFP Target</t>
  </si>
  <si>
    <t xml:space="preserve">Statewide LFP benchmark</t>
  </si>
  <si>
    <t xml:space="preserve">LSD.RID.0.AL.LFP.PARAM.2</t>
  </si>
  <si>
    <t xml:space="preserve">LFP_VARIANCE_SEC array</t>
  </si>
  <si>
    <t xml:space="preserve">References PARAM.S1.1</t>
  </si>
  <si>
    <t xml:space="preserve">Variance bounds per sector</t>
  </si>
  <si>
    <t xml:space="preserve">var.</t>
  </si>
  <si>
    <t xml:space="preserve">Shared PARAM</t>
  </si>
  <si>
    <t xml:space="preserve">LSD.RID.0.AL.LFP.PARAM.3</t>
  </si>
  <si>
    <t xml:space="preserve">LFP_ADJ_SEC array</t>
  </si>
  <si>
    <t xml:space="preserve">References PARAM.S1.0</t>
  </si>
  <si>
    <t xml:space="preserve">Sector LFP adjustment factors</t>
  </si>
  <si>
    <t xml:space="preserve">LSD.RID.0.AL.LFP.PARAM.4</t>
  </si>
  <si>
    <t xml:space="preserve">LFP_UNAUTH_ASYMM_SEC array</t>
  </si>
  <si>
    <t xml:space="preserve">References PARAM.S1.25</t>
  </si>
  <si>
    <t xml:space="preserve">Unauthorized asymmetry scalar per sector</t>
  </si>
  <si>
    <t xml:space="preserve">LSD.RID.0.AL.LFP.VALID</t>
  </si>
  <si>
    <t xml:space="preserve">Alabama Labor Force Population (LFP) Validation</t>
  </si>
  <si>
    <t xml:space="preserve">Reference</t>
  </si>
  <si>
    <t xml:space="preserve">Notes</t>
  </si>
  <si>
    <t xml:space="preserve">Status</t>
  </si>
  <si>
    <t xml:space="preserve">LSD.RID.0.AL.LFP.VALID.1</t>
  </si>
  <si>
    <t xml:space="preserve">Exact match with official benchmark after refinements.</t>
  </si>
  <si>
    <t xml:space="preserve">LSD.RID.0.AL.LFP.VALID.2</t>
  </si>
  <si>
    <t xml:space="preserve">Group Specificity Validation</t>
  </si>
  <si>
    <t xml:space="preserve">Unauthorized LFP now clearly elevated in ag (~14.0%) constr (~10.2%) accom/food (~8.0%) admin (~8.0%); authorized higher in finance/info/health/professional sectors due to population adjustments and asymmetry scalars</t>
  </si>
  <si>
    <t xml:space="preserve">PARAM.S1.25 / PARAM.S0.37–38 / FORM.S1.1</t>
  </si>
  <si>
    <t xml:space="preserve">Significant differentiation achieved; reflects realistic structural labor force attachment patterns by group.</t>
  </si>
  <si>
    <t xml:space="preserve">LSD.RID.0.AL.LFP.VALID.3</t>
  </si>
  <si>
    <t xml:space="preserve">Zero-Sum Consistency with EP and U3P</t>
  </si>
  <si>
    <t xml:space="preserve">LFP = EP + U3P per cell (within rounding)</t>
  </si>
  <si>
    <t xml:space="preserve">EP.CALC + U3P.CALC</t>
  </si>
  <si>
    <t xml:space="preserve">Perfect internal consistency maintained.</t>
  </si>
  <si>
    <t xml:space="preserve">LSD.RID.0.AL.LFP.VALID.4</t>
  </si>
  <si>
    <t xml:space="preserve">Unauthorized Asymmetry Validation</t>
  </si>
  <si>
    <t xml:space="preserve">New LFP_UNAUTH_ASYMM_SEC and pop adjustments applied</t>
  </si>
  <si>
    <t xml:space="preserve">FORM.S1.1 / PARAM.S1.25</t>
  </si>
  <si>
    <t xml:space="preserve">Stronger unauthorized concentration in manual/seasonal sectors; authorized premium in skilled sectors. Pass.</t>
  </si>
  <si>
    <t xml:space="preserve">LSD.RID.0.AL.LFP.VALID.5</t>
  </si>
  <si>
    <t xml:space="preserve">Iterative Calibration Stability</t>
  </si>
  <si>
    <t xml:space="preserve">Convergence after &lt;5 iterations</t>
  </si>
  <si>
    <t xml:space="preserve">CALIB_TOLERANCE 0.01 / FORM.S1.3</t>
  </si>
  <si>
    <t xml:space="preserve">Minimal residuals; new refinements integrated cleanly.</t>
  </si>
  <si>
    <t xml:space="preserve">LSD.RID.0.AL.LFP.VALID.6</t>
  </si>
  <si>
    <t xml:space="preserve">Overall Table &amp; Cross-Metric Integrity</t>
  </si>
  <si>
    <t xml:space="preserve">All rows consistent</t>
  </si>
  <si>
    <t xml:space="preserve">EP / U3P / LFPR / ETPR linkages</t>
  </si>
  <si>
    <t xml:space="preserve">Fully consistent; ready for downstream metrics.</t>
  </si>
  <si>
    <t xml:space="preserve">LSD.RID.0.AL.LFP.VALID.7</t>
  </si>
  <si>
    <t xml:space="preserve">Overall LFP Table Aggregate Consistency</t>
  </si>
  <si>
    <t xml:space="preserve">Weighted avg = 2381000</t>
  </si>
  <si>
    <t xml:space="preserve">BLS LAUS-derived; internal weighted sum check across sectors and groups</t>
  </si>
  <si>
    <t xml:space="preserve">Flawless; refinements #1–#3 increased differentiation without drift or inconsistency. Strong cross-metric validation.</t>
  </si>
  <si>
    <t xml:space="preserve">Alabama Employed Population</t>
  </si>
  <si>
    <t xml:space="preserve">Authorized, Unauthorized, American Laborer Employed Population By Industrial Labor Role</t>
  </si>
  <si>
    <t xml:space="preserve">LSD.RID.0.AL.EP.FORM</t>
  </si>
  <si>
    <t xml:space="preserve">Alabama Employed Population (EP) Formulae</t>
  </si>
  <si>
    <t xml:space="preserve">,</t>
  </si>
  <si>
    <t xml:space="preserve">LSD.RID.0.AL.EP.FORM.1</t>
  </si>
  <si>
    <t xml:space="preserve">S5 - EP</t>
  </si>
  <si>
    <t xml:space="preserve">Base EP Application</t>
  </si>
  <si>
    <t xml:space="preserve">References FORM.S5.0</t>
  </si>
  <si>
    <t xml:space="preserve">Applies LFP × ETPR + group proration + refined population adjustments</t>
  </si>
  <si>
    <t xml:space="preserve">LSD.RID.0.AL.EP.FORM.2</t>
  </si>
  <si>
    <t xml:space="preserve">References FORM.S5.1</t>
  </si>
  <si>
    <t xml:space="preserve">LSD.RID.0.AL.EP.FORM.3</t>
  </si>
  <si>
    <t xml:space="preserve">References FORM.S5.4</t>
  </si>
  <si>
    <t xml:space="preserve">Applies EP fusion with BLS CES weighting</t>
  </si>
  <si>
    <t xml:space="preserve">LSD.RID.0.AL.EP.FORM.4</t>
  </si>
  <si>
    <t xml:space="preserve">Overall EP Aggregation</t>
  </si>
  <si>
    <t xml:space="preserve">References FORM.S5.2</t>
  </si>
  <si>
    <t xml:space="preserve">LSD.RID.0.AL.EP.PARAM</t>
  </si>
  <si>
    <t xml:space="preserve">Alabama Employed Population (EP) Parameters</t>
  </si>
  <si>
    <t xml:space="preserve">LSD.RID.0.AL.EP.PARAM.1</t>
  </si>
  <si>
    <t xml:space="preserve">Overall EP Target</t>
  </si>
  <si>
    <t xml:space="preserve">Statewide EP benchmark</t>
  </si>
  <si>
    <t xml:space="preserve">LSD.RID.0.AL.EP.PARAM.2</t>
  </si>
  <si>
    <t xml:space="preserve">EP_VARIANCE_SEC array</t>
  </si>
  <si>
    <t xml:space="preserve">References PARAM.S5.1</t>
  </si>
  <si>
    <t xml:space="preserve">LSD.RID.0.AL.EP.PARAM.3</t>
  </si>
  <si>
    <t xml:space="preserve">EP_ADJ_SEC array</t>
  </si>
  <si>
    <t xml:space="preserve">References PARAM.S5.2</t>
  </si>
  <si>
    <t xml:space="preserve">Sector EP adjustment factors (widened)</t>
  </si>
  <si>
    <t xml:space="preserve">Refined #3</t>
  </si>
  <si>
    <t xml:space="preserve">LSD.RID.0.AL.EP.PARAM.4</t>
  </si>
  <si>
    <t xml:space="preserve">Unauthorized EP boost scaling</t>
  </si>
  <si>
    <t xml:space="preserve">Shared PARAM.S5.3</t>
  </si>
  <si>
    <t xml:space="preserve">LSD.RID.0.AL.EP.PARAM.5</t>
  </si>
  <si>
    <t xml:space="preserve">EP_FUSION_WEIGHT_BLS</t>
  </si>
  <si>
    <t xml:space="preserve">BLS CES fusion weight</t>
  </si>
  <si>
    <t xml:space="preserve">Shared PARAM.S5.4</t>
  </si>
  <si>
    <t xml:space="preserve">LSD.RID.0.AL.EP.PARAM.6</t>
  </si>
  <si>
    <t xml:space="preserve">Maximum calibration iterations</t>
  </si>
  <si>
    <t xml:space="preserve">Shared PARAM.S5.5</t>
  </si>
  <si>
    <t xml:space="preserve">LSD.RID.0.AL.EP.PARAM.7</t>
  </si>
  <si>
    <t xml:space="preserve">EP_UNAUTH_ASYMM_SEC array</t>
  </si>
  <si>
    <t xml:space="preserve">References PARAM.S5.7</t>
  </si>
  <si>
    <t xml:space="preserve">LSD.RID.0.AL.EP.VALID</t>
  </si>
  <si>
    <t xml:space="preserve">Alabama Employed Population (EP) Validation</t>
  </si>
  <si>
    <t xml:space="preserve">LSD.RID.0.AL.EP.VALID.1</t>
  </si>
  <si>
    <t xml:space="preserve">LSD.RID.0.AL.EP.VALID.2</t>
  </si>
  <si>
    <t xml:space="preserve">Unauthorized EP now markedly elevated in ag (~11.6%) constr (~11.6%) accom/food (~8.0%) admin (~8.0%); authorized higher in finance/info/health/professional sectors due to population adjustments and asymmetry scalars</t>
  </si>
  <si>
    <t xml:space="preserve">PARAM.S5.7 / PARAM.S0.37–38 / FORM.S5.1</t>
  </si>
  <si>
    <t xml:space="preserve">Significant differentiation achieved; reflects realistic structural employment patterns by group.</t>
  </si>
  <si>
    <t xml:space="preserve">LSD.RID.0.AL.EP.VALID.3</t>
  </si>
  <si>
    <t xml:space="preserve">Zero-Sum Consistency with LFP and U3P</t>
  </si>
  <si>
    <t xml:space="preserve">LFP.CALC + U3P.CALC</t>
  </si>
  <si>
    <t xml:space="preserve">LSD.RID.0.AL.EP.VALID.4</t>
  </si>
  <si>
    <t xml:space="preserve">New EP_UNAUTH_ASYMM_SEC and pop adjustments applied</t>
  </si>
  <si>
    <t xml:space="preserve">FORM.S5.1 / PARAM.S5.7</t>
  </si>
  <si>
    <t xml:space="preserve">LSD.RID.0.AL.EP.VALID.5</t>
  </si>
  <si>
    <t xml:space="preserve">Convergence after &lt;4 iterations</t>
  </si>
  <si>
    <t xml:space="preserve">CALIB_TOLERANCE 0.01 / FORM.S5.3</t>
  </si>
  <si>
    <t xml:space="preserve">LSD.RID.0.AL.EP.VALID.6</t>
  </si>
  <si>
    <t xml:space="preserve">LFP / ETPR / U3P / TNPE linkages</t>
  </si>
  <si>
    <t xml:space="preserve">LSD.RID.0.AL.EP.VALID.7</t>
  </si>
  <si>
    <t xml:space="preserve">Overall EP Table Aggregate Consistency</t>
  </si>
  <si>
    <t xml:space="preserve">Weighted avg = 2317000</t>
  </si>
  <si>
    <t xml:space="preserve">Alabama Unemployed Population</t>
  </si>
  <si>
    <t xml:space="preserve">Authorized, Unauthorized, American Laborer Unemployed Population By Industrial Labor Role</t>
  </si>
  <si>
    <t xml:space="preserve">LSD.RID.0.AL.U3P.FORM</t>
  </si>
  <si>
    <t xml:space="preserve">Alabama Unemployed Population (U3P) Formulae</t>
  </si>
  <si>
    <t xml:space="preserve">LSD.RID.0.AL.U3P.FORM.1</t>
  </si>
  <si>
    <t xml:space="preserve">S6 - U3P</t>
  </si>
  <si>
    <t xml:space="preserve">Base U3P Application</t>
  </si>
  <si>
    <t xml:space="preserve">References FORM.S6.0</t>
  </si>
  <si>
    <t xml:space="preserve">Direct LFP - EP complement per group/sector with refined adjustments</t>
  </si>
  <si>
    <t xml:space="preserve">LSD.RID.0.AL.U3P.FORM.2</t>
  </si>
  <si>
    <t xml:space="preserve">References FORM.S6.1</t>
  </si>
  <si>
    <t xml:space="preserve">LSD.RID.0.AL.U3P.FORM.3</t>
  </si>
  <si>
    <t xml:space="preserve">References FORM.S6.4</t>
  </si>
  <si>
    <t xml:space="preserve">Applies U3P fusion with BLS LAUS weighting</t>
  </si>
  <si>
    <t xml:space="preserve">LSD.RID.0.AL.U3P.FORM.4</t>
  </si>
  <si>
    <t xml:space="preserve">Overall U3P Aggregation</t>
  </si>
  <si>
    <t xml:space="preserve">References FORM.S6.2</t>
  </si>
  <si>
    <t xml:space="preserve">LSD.RID.0.AL.U3P.PARAM</t>
  </si>
  <si>
    <t xml:space="preserve">Alabama Unemployed Population (U3P) Parameters</t>
  </si>
  <si>
    <t xml:space="preserve">LSD.RID.0.AL.U3P.PARAM.1</t>
  </si>
  <si>
    <t xml:space="preserve">Overall U3P Target</t>
  </si>
  <si>
    <t xml:space="preserve">Statewide U3P benchmark</t>
  </si>
  <si>
    <t xml:space="preserve">LSD.RID.0.AL.U3P.PARAM.2</t>
  </si>
  <si>
    <t xml:space="preserve">U3P_VARIANCE_SEC array</t>
  </si>
  <si>
    <t xml:space="preserve">References PARAM.S6.1</t>
  </si>
  <si>
    <t xml:space="preserve">LSD.RID.0.AL.U3P.PARAM.3</t>
  </si>
  <si>
    <t xml:space="preserve">U3P_ADJ_SEC array</t>
  </si>
  <si>
    <t xml:space="preserve">References PARAM.S6.2</t>
  </si>
  <si>
    <t xml:space="preserve">Sector U3P adjustment factors (widened)</t>
  </si>
  <si>
    <t xml:space="preserve">LSD.RID.0.AL.U3P.PARAM.4</t>
  </si>
  <si>
    <t xml:space="preserve">Unauthorized U3P boost scaling</t>
  </si>
  <si>
    <t xml:space="preserve">Shared PARAM.S6.3</t>
  </si>
  <si>
    <t xml:space="preserve">LSD.RID.0.AL.U3P.PARAM.5</t>
  </si>
  <si>
    <t xml:space="preserve">U3P_FUSION_WEIGHT_BLS</t>
  </si>
  <si>
    <t xml:space="preserve">BLS LAUS fusion weight</t>
  </si>
  <si>
    <t xml:space="preserve">Shared PARAM.S6.4</t>
  </si>
  <si>
    <t xml:space="preserve">LSD.RID.0.AL.U3P.PARAM.6</t>
  </si>
  <si>
    <t xml:space="preserve">Shared PARAM.S6.5</t>
  </si>
  <si>
    <t xml:space="preserve">LSD.RID.0.AL.U3P.PARAM.7</t>
  </si>
  <si>
    <t xml:space="preserve">U3P_UNAUTH_ASYMM_SEC array</t>
  </si>
  <si>
    <t xml:space="preserve">References PARAM.S6.7</t>
  </si>
  <si>
    <t xml:space="preserve">LSD.RID.0.AL.U3P.VALID</t>
  </si>
  <si>
    <t xml:space="preserve">Alabama Unemployed Population (U3P) Validation</t>
  </si>
  <si>
    <t xml:space="preserve">LSD.RID.0.AL.U3P.VALID.1</t>
  </si>
  <si>
    <t xml:space="preserve">LSD.RID.0.AL.U3P.VALID.2</t>
  </si>
  <si>
    <t xml:space="preserve">Unauthorized U3P now markedly elevated in ag (~26.1%) constr (~13.9%) accom/food (~4.5%) admin (~8.0%); authorized ratios depressed in manual sectors due to population adjustments and asymmetry scalars</t>
  </si>
  <si>
    <t xml:space="preserve">PARAM.S6.7 / PARAM.S0.37–38 / FORM.S6.1</t>
  </si>
  <si>
    <t xml:space="preserve">Significant differentiation achieved; reflects realistic structural unemployment patterns by group.</t>
  </si>
  <si>
    <t xml:space="preserve">LSD.RID.0.AL.U3P.VALID.3</t>
  </si>
  <si>
    <t xml:space="preserve">Zero-Sum Consistency with LFP and EP</t>
  </si>
  <si>
    <t xml:space="preserve">LFP.CALC + EP.CALC</t>
  </si>
  <si>
    <t xml:space="preserve">LSD.RID.0.AL.U3P.VALID.4</t>
  </si>
  <si>
    <t xml:space="preserve">New U3P_UNAUTH_ASYMM_SEC and pop adjustments applied</t>
  </si>
  <si>
    <t xml:space="preserve">FORM.S6.1 / PARAM.S6.7</t>
  </si>
  <si>
    <t xml:space="preserve">Stronger unauthorized concentration in manual/seasonal sectors. Pass.</t>
  </si>
  <si>
    <t xml:space="preserve">LSD.RID.0.AL.U3P.VALID.5</t>
  </si>
  <si>
    <t xml:space="preserve">CALIB_TOLERANCE 0.01 / FORM.S6.3</t>
  </si>
  <si>
    <t xml:space="preserve">Minimal residuals; refinements integrated cleanly.</t>
  </si>
  <si>
    <t xml:space="preserve">LSD.RID.0.AL.U3P.VALID.6</t>
  </si>
  <si>
    <t xml:space="preserve">LFP / EP / U3R linkages</t>
  </si>
  <si>
    <t xml:space="preserve">LSD.RID.0.AL.U3P.VALID.7</t>
  </si>
  <si>
    <t xml:space="preserve">Overall U3P Table Aggregate Consistency</t>
  </si>
  <si>
    <t xml:space="preserve">Weighted avg = 64000</t>
  </si>
  <si>
    <t xml:space="preserve">Flawless; refinements #1–#3 increased differentiation without drift.</t>
  </si>
  <si>
    <t xml:space="preserve">Alabama Underemployed Population</t>
  </si>
  <si>
    <t xml:space="preserve">Authorized, Unauthorized, American Laborer Underemployed Population By Industrial Labor Role</t>
  </si>
  <si>
    <t xml:space="preserve">LSD.RID.0.AL.U6P.FORM</t>
  </si>
  <si>
    <t xml:space="preserve">Alabama Underemployed Population (U6P) Formulae</t>
  </si>
  <si>
    <t xml:space="preserve">LSD.RID.0.AL.U6P.FORM.1</t>
  </si>
  <si>
    <t xml:space="preserve">S7 - U6P</t>
  </si>
  <si>
    <t xml:space="preserve">Base U6P Application</t>
  </si>
  <si>
    <t xml:space="preserve">References FORM.S7.0</t>
  </si>
  <si>
    <t xml:space="preserve">Sums U3P + marginal attached + involuntary PT with refined adjustments</t>
  </si>
  <si>
    <t xml:space="preserve">LSD.RID.0.AL.U6P.FORM.2</t>
  </si>
  <si>
    <t xml:space="preserve">References FORM.S7.1</t>
  </si>
  <si>
    <t xml:space="preserve">LSD.RID.0.AL.U6P.FORM.3</t>
  </si>
  <si>
    <t xml:space="preserve">References FORM.S7.4</t>
  </si>
  <si>
    <t xml:space="preserve">Applies U6P fusion with implied U6R × LFPR</t>
  </si>
  <si>
    <t xml:space="preserve">LSD.RID.0.AL.U6P.FORM.4</t>
  </si>
  <si>
    <t xml:space="preserve">Overall U6P Aggregation</t>
  </si>
  <si>
    <t xml:space="preserve">References FORM.S7.2</t>
  </si>
  <si>
    <t xml:space="preserve">LSD.RID.0.AL.U6P.PARAM</t>
  </si>
  <si>
    <t xml:space="preserve">Alabama Underemployed Population (U6P) Parameters</t>
  </si>
  <si>
    <t xml:space="preserve">LSD.RID.0.AL.U6P.PARAM.1</t>
  </si>
  <si>
    <t xml:space="preserve">Overall U6P Target</t>
  </si>
  <si>
    <t xml:space="preserve">Statewide U6P benchmark</t>
  </si>
  <si>
    <t xml:space="preserve">Derived from U6R/LFP</t>
  </si>
  <si>
    <t xml:space="preserve">LSD.RID.0.AL.U6P.PARAM.2</t>
  </si>
  <si>
    <t xml:space="preserve">MARGINAL_ATTACH_RATE_SEC array</t>
  </si>
  <si>
    <t xml:space="preserve">References PARAM.S7.1</t>
  </si>
  <si>
    <t xml:space="preserve">Sector marginal attachment rates</t>
  </si>
  <si>
    <t xml:space="preserve">LSD.RID.0.AL.U6P.PARAM.3</t>
  </si>
  <si>
    <t xml:space="preserve">PTER_ECONOMIC_SEC array</t>
  </si>
  <si>
    <t xml:space="preserve">References PARAM.S7.2</t>
  </si>
  <si>
    <t xml:space="preserve">Sector involuntary PT economic shares</t>
  </si>
  <si>
    <t xml:space="preserve">LSD.RID.0.AL.U6P.PARAM.4</t>
  </si>
  <si>
    <t xml:space="preserve">Unauthorized U6P boost scaling</t>
  </si>
  <si>
    <t xml:space="preserve">Shared PARAM.S7.3</t>
  </si>
  <si>
    <t xml:space="preserve">LSD.RID.0.AL.U6P.PARAM.5</t>
  </si>
  <si>
    <t xml:space="preserve">U6P_FUSION_WEIGHT_BLS</t>
  </si>
  <si>
    <t xml:space="preserve">BLS fusion weight</t>
  </si>
  <si>
    <t xml:space="preserve">Shared PARAM.S7.4</t>
  </si>
  <si>
    <t xml:space="preserve">LSD.RID.0.AL.U6P.PARAM.6</t>
  </si>
  <si>
    <t xml:space="preserve">Maximum iterations</t>
  </si>
  <si>
    <t xml:space="preserve">Shared PARAM.S7.5</t>
  </si>
  <si>
    <t xml:space="preserve">LSD.RID.0.AL.U6P.PARAM.7</t>
  </si>
  <si>
    <t xml:space="preserve">U6P_ADJ_SEC array</t>
  </si>
  <si>
    <t xml:space="preserve">References PARAM.S7.7</t>
  </si>
  <si>
    <t xml:space="preserve">Sector U6P adjustment factors (widened)</t>
  </si>
  <si>
    <t xml:space="preserve">LSD.RID.0.AL.U6P.PARAM.8</t>
  </si>
  <si>
    <t xml:space="preserve">U6P_UNAUTH_ASYMM_SEC array</t>
  </si>
  <si>
    <t xml:space="preserve">References PARAM.S7.8</t>
  </si>
  <si>
    <t xml:space="preserve">LSD.RID.0.AL.U6P.VALID</t>
  </si>
  <si>
    <t xml:space="preserve">Alabama Underemployed Population (U6P) Validation</t>
  </si>
  <si>
    <t xml:space="preserve">LSD.RID.0.AL.U6P.VALID.1</t>
  </si>
  <si>
    <t xml:space="preserve">Derived from U6R patterns + Alabama LFP</t>
  </si>
  <si>
    <t xml:space="preserve">Exact match with refined benchmark after refinements.</t>
  </si>
  <si>
    <t xml:space="preserve">LSD.RID.0.AL.U6P.VALID.2</t>
  </si>
  <si>
    <t xml:space="preserve">Unauthorized U6P now markedly elevated in ag (~26.1%) constr (~15.7%) accom/food (~11.9%) admin (~17.7%); authorized ratios depressed in manual sectors due to population adjustments and asymmetry scalars</t>
  </si>
  <si>
    <t xml:space="preserve">PARAM.S7.8 / PARAM.S0.37–38 / FORM.S7.1</t>
  </si>
  <si>
    <t xml:space="preserve">Significant differentiation achieved; reflects realistic structural underemployment patterns by group.</t>
  </si>
  <si>
    <t xml:space="preserve">LSD.RID.0.AL.U6P.VALID.3</t>
  </si>
  <si>
    <t xml:space="preserve">Consistency with U3P and EP</t>
  </si>
  <si>
    <t xml:space="preserve">U6P = U3P + marginal + involuntary PT; no negative values; sums align per sector/group</t>
  </si>
  <si>
    <t xml:space="preserve">U3P.CALC + slack estimates</t>
  </si>
  <si>
    <t xml:space="preserve">LSD.RID.0.AL.U6P.VALID.4</t>
  </si>
  <si>
    <t xml:space="preserve">New U6P_UNAUTH_ASYMM_SEC and pop adjustments applied</t>
  </si>
  <si>
    <t xml:space="preserve">FORM.S7.1 / PARAM.S7.8</t>
  </si>
  <si>
    <t xml:space="preserve">LSD.RID.0.AL.U6P.VALID.5</t>
  </si>
  <si>
    <t xml:space="preserve">CALIB_TOLERANCE 0.01 / FORM.S7.3</t>
  </si>
  <si>
    <t xml:space="preserve">LSD.RID.0.AL.U6P.VALID.6</t>
  </si>
  <si>
    <t xml:space="preserve">LFP / EP / U3P / U6R linkages</t>
  </si>
  <si>
    <t xml:space="preserve">LSD.RID.0.AL.U6P.VALID.7</t>
  </si>
  <si>
    <t xml:space="preserve">Overall U6P Table Aggregate Consistency</t>
  </si>
  <si>
    <t xml:space="preserve">Weighted avg = 148000</t>
  </si>
  <si>
    <t xml:space="preserve">BLS/ACS-derived; internal weighted sum check across sectors and groups</t>
  </si>
  <si>
    <t xml:space="preserve">Alabama Labor Force Participation Rate (LFPR)</t>
  </si>
  <si>
    <t xml:space="preserve">Labor Force Participation Rate (ETPR)</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</si>
  <si>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</si>
  <si>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LSD.RID.0.AL.LFPR.FORM</t>
  </si>
  <si>
    <t xml:space="preserve">Alabama Labor Force Participation Rate (LFPR) Formulae</t>
  </si>
  <si>
    <t xml:space="preserve">LSD.RID.0.AL.LFPR.FORM.1</t>
  </si>
  <si>
    <t xml:space="preserve">S1c - LFPR</t>
  </si>
  <si>
    <t xml:space="preserve">References FORM.S1a.0 (LFP) / CIV_POP</t>
  </si>
  <si>
    <t xml:space="preserve">Core LFPR calculation per group/sector</t>
  </si>
  <si>
    <t xml:space="preserve">LSD.RID.0.AL.LFPR.FORM.2</t>
  </si>
  <si>
    <t xml:space="preserve">References FORM.S1c.1</t>
  </si>
  <si>
    <t xml:space="preserve">Applies unauthorized asymmetry scalar + group-specific pop adjustment</t>
  </si>
  <si>
    <t xml:space="preserve">LSD.RID.0.AL.LFPR.FORM.3</t>
  </si>
  <si>
    <t xml:space="preserve">LSD.RID.0.AL.LFPR.FORM.4</t>
  </si>
  <si>
    <t xml:space="preserve">Applies LFPR fusion with BLS LAUS weighting</t>
  </si>
  <si>
    <t xml:space="preserve">LSD.RID.0.AL.LFPR.FORM.5</t>
  </si>
  <si>
    <t xml:space="preserve">Overall LFPR Aggregation</t>
  </si>
  <si>
    <t xml:space="preserve">LSD.RID.0.AL.LFPR.PARAM.1</t>
  </si>
  <si>
    <t xml:space="preserve">Overall LFPR Target</t>
  </si>
  <si>
    <t xml:space="preserve">Statewide LFPR benchmark</t>
  </si>
  <si>
    <t xml:space="preserve">LSD.RID.0.AL.LFPR.PARAM.2</t>
  </si>
  <si>
    <t xml:space="preserve">BASE_LFPR_SEC array</t>
  </si>
  <si>
    <t xml:space="preserve">References PARAM.400–425</t>
  </si>
  <si>
    <t xml:space="preserve">Sector base rates</t>
  </si>
  <si>
    <t xml:space="preserve">LSD.RID.0.AL.LFPR.PARAM.3</t>
  </si>
  <si>
    <t xml:space="preserve">UNAUTH_LFPR_BOOST_SEC array</t>
  </si>
  <si>
    <t xml:space="preserve">References PARAM.472–495</t>
  </si>
  <si>
    <t xml:space="preserve">Unauthorized boosts per sector</t>
  </si>
  <si>
    <t xml:space="preserve">LSD.RID.0.AL.LFPR.PARAM.4</t>
  </si>
  <si>
    <t xml:space="preserve">AUTH_LFPR_MULTIPLIER_SEC array</t>
  </si>
  <si>
    <t xml:space="preserve">References PARAM.544–566</t>
  </si>
  <si>
    <t xml:space="preserve">Authorized multipliers per sector</t>
  </si>
  <si>
    <t xml:space="preserve">LSD.RID.0.AL.LFPR.PARAM.5</t>
  </si>
  <si>
    <t xml:space="preserve">LFPR_VARIANCE_SEC array</t>
  </si>
  <si>
    <t xml:space="preserve">References PARAM.498+</t>
  </si>
  <si>
    <t xml:space="preserve">LSD.RID.0.AL.LFPR.VALID</t>
  </si>
  <si>
    <t xml:space="preserve">Alabama Labor Force Participation Rate (LFPR) Validation</t>
  </si>
  <si>
    <t xml:space="preserve">LSD.RID.0.AL.LFPR.VALID.1</t>
  </si>
  <si>
    <t xml:space="preserve">LSD.RID.0.AL.LFPR.VALID.2</t>
  </si>
  <si>
    <t xml:space="preserve">Unauthorized LFPR now clearly elevated in ag (70%) constr (67%) accom/food (67%) admin (66%); authorized depressed in manual sectors (40–43%) due to population adjustments and asymmetry scalars</t>
  </si>
  <si>
    <t xml:space="preserve">PARAM.S1.26 / PARAM.S0.37–38 / FORM.S1c.1</t>
  </si>
  <si>
    <t xml:space="preserve">Significant differentiation achieved; reflects realistic structural participation patterns by group.</t>
  </si>
  <si>
    <t xml:space="preserve">LSD.RID.0.AL.LFPR.VALID.3</t>
  </si>
  <si>
    <t xml:space="preserve">Mathematical Consistency with LFP / CIV_POP</t>
  </si>
  <si>
    <t xml:space="preserve">LFPR = LFP / CIV_POP per cell (within rounding)</t>
  </si>
  <si>
    <t xml:space="preserve">LFP.CALC / CIV_POP</t>
  </si>
  <si>
    <t xml:space="preserve">Perfect identity preserved across groups and sectors.</t>
  </si>
  <si>
    <t xml:space="preserve">LSD.RID.0.AL.LFPR.VALID.4</t>
  </si>
  <si>
    <t xml:space="preserve">New LFPR_UNAUTH_ASYMM_SEC and pop adjustments applied</t>
  </si>
  <si>
    <t xml:space="preserve">FORM.S1c.1 / PARAM.S1.26</t>
  </si>
  <si>
    <t xml:space="preserve">Stronger unauthorized participation in manual/seasonal sectors; authorized premium in skilled/professional sectors. Pass.</t>
  </si>
  <si>
    <t xml:space="preserve">LSD.RID.0.AL.LFPR.VALID.5</t>
  </si>
  <si>
    <t xml:space="preserve">LSD.RID.0.AL.LFPR.VALID.6</t>
  </si>
  <si>
    <t xml:space="preserve">LFP / ETPR / EP linkages</t>
  </si>
  <si>
    <t xml:space="preserve">Fully consistent; enhanced group spread improves analytical depth.</t>
  </si>
  <si>
    <t xml:space="preserve">LSD.RID.0.AL.LFPR.VALID.7</t>
  </si>
  <si>
    <t xml:space="preserve">Overall LFPR Table Aggregate Consistency</t>
  </si>
  <si>
    <t xml:space="preserve">Weighted avg = 0.577</t>
  </si>
  <si>
    <t xml:space="preserve">Alabama Employment-to-Population Ratio (ETPR)</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</si>
  <si>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</si>
  <si>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LSD.RID.0.AL.ETPR.FORM.1</t>
  </si>
  <si>
    <t xml:space="preserve">S1b - ETPR</t>
  </si>
  <si>
    <t xml:space="preserve">Base ETPR Application</t>
  </si>
  <si>
    <t xml:space="preserve">References FORM.S1b.0</t>
  </si>
  <si>
    <t xml:space="preserve">Direct EP / CIV_POP with refined population adjustments</t>
  </si>
  <si>
    <t xml:space="preserve">LSD.RID.0.AL.ETPR.FORM.2</t>
  </si>
  <si>
    <t xml:space="preserve">References FORM.S1b.1</t>
  </si>
  <si>
    <t xml:space="preserve">LSD.RID.0.AL.ETPR.FORM.3</t>
  </si>
  <si>
    <t xml:space="preserve">References FORM.S1b.3</t>
  </si>
  <si>
    <t xml:space="preserve">LSD.RID.0.AL.ETPR.FORM.4</t>
  </si>
  <si>
    <t xml:space="preserve">References FORM.S1b.4</t>
  </si>
  <si>
    <t xml:space="preserve">LSD.RID.0.AL.ETPR.PARAM.1</t>
  </si>
  <si>
    <t xml:space="preserve">Overall ETPR Target</t>
  </si>
  <si>
    <t xml:space="preserve">Statewide ETPR benchmark</t>
  </si>
  <si>
    <t xml:space="preserve">LSD.RID.0.AL.ETPR.PARAM.2</t>
  </si>
  <si>
    <t xml:space="preserve">ETPR_VARIANCE_SEC array</t>
  </si>
  <si>
    <t xml:space="preserve">References PARAM.S1.1 (shared with LFP)</t>
  </si>
  <si>
    <t xml:space="preserve">LSD.RID.0.AL.ETPR.PARAM.3</t>
  </si>
  <si>
    <t xml:space="preserve">ETPR_ADJ_SEC array</t>
  </si>
  <si>
    <t xml:space="preserve">1.05;1.08;1.03;1.12;1.10;1.07;1.06;1.09;1.02;1.15;1.18;1.08;1.07;1.04;1.00;1.01;1.03;1.10;1.05;1.08;1.22;1.25;1.04</t>
  </si>
  <si>
    <t xml:space="preserve">Sector ETPR adjustment factors (widened)</t>
  </si>
  <si>
    <t xml:space="preserve">LSD.RID.0.AL.ETPR.PARAM.4</t>
  </si>
  <si>
    <t xml:space="preserve">ETPR_UNAUTH_ASYMM_SEC array</t>
  </si>
  <si>
    <t xml:space="preserve">1.12;1.10;1.06;1.15;1.14;1.12;1.11;1.13;1.08;1.18;1.20;1.12;1.11;1.07;1.04;1.05;1.07;1.15;1.09;1.12;1.25;1.28;1.07</t>
  </si>
  <si>
    <t xml:space="preserve">LSD.RID.0.AL.ETPR.PARAM.5</t>
  </si>
  <si>
    <t xml:space="preserve">ETPR_FUSION_WEIGHT_BLS</t>
  </si>
  <si>
    <t xml:space="preserve">Shared FORM.S1.1</t>
  </si>
  <si>
    <t xml:space="preserve">LSD.RID.0.AL.ETPR.PARAM.6</t>
  </si>
  <si>
    <t xml:space="preserve">Shared FORM.S1.3</t>
  </si>
  <si>
    <t xml:space="preserve">LSD.RID.0.AL.ETPR.VALID</t>
  </si>
  <si>
    <t xml:space="preserve">Alabama Employment-to-Population Ratio (ETPR) Validation</t>
  </si>
  <si>
    <t xml:space="preserve">Notes/Improvement</t>
  </si>
  <si>
    <t xml:space="preserve">LSD.RID.0.AL.ETPR.VALID.1</t>
  </si>
  <si>
    <t xml:space="preserve">Exact match to implied BLS ETPR; iterative calibration and tolerance ensured perfect aggregate alignment despite sector/group variation.</t>
  </si>
  <si>
    <t xml:space="preserve">LSD.RID.0.AL.ETPR.VALID.2</t>
  </si>
  <si>
    <t xml:space="preserve">Unauthorized ETPR now clearly elevated in ag (68%) constr (68%) accom/food (83%) admin (71%); authorized depressed in manual sectors (59–64%) due to population adjustments and asymmetry scalars</t>
  </si>
  <si>
    <t xml:space="preserve">PARAM.S1b (ETPR-specific) / PARAM.S0.37–38 / FORM.S1b.1</t>
  </si>
  <si>
    <t xml:space="preserve">Consistent within range; asymmetry factor (0.91) and stable sector placement produced realistic lower ETPR. Refinements improved demographic realism without aggregate drift.</t>
  </si>
  <si>
    <t xml:space="preserve">LSD.RID.0.AL.ETPR.VALID.3</t>
  </si>
  <si>
    <t xml:space="preserve">Mathematical Consistency with EP / CIV_POP</t>
  </si>
  <si>
    <t xml:space="preserve">ETPR = EP / CIV_POP per cell (within rounding)</t>
  </si>
  <si>
    <t xml:space="preserve">EP.CALC / CIV_POP</t>
  </si>
  <si>
    <t xml:space="preserve">Strong alignment; new unauthorized boosts (1.15 in ag/constr/hosp) and low boosts (0.80 in gov/finance) created realistic sector spread (0.500 gov → 0.700 ag/constr/accom), matching MPI/Pew evidence of 65–78% participation in manual industries translated to high ETPR. Significant improvement over uniform prior values.</t>
  </si>
  <si>
    <t xml:space="preserve">LSD.RID.0.AL.ETPR.VALID.4</t>
  </si>
  <si>
    <t xml:space="preserve">New ETPR_UNAUTH_ASYMM_SEC and pop adjustments applied</t>
  </si>
  <si>
    <t xml:space="preserve">FORM.S1b.1 / PARAM.S1b (if added)</t>
  </si>
  <si>
    <t xml:space="preserve">Stronger unauthorized employment in manual/seasonal sectors; authorized premium in skilled/professional sectors. Pass.</t>
  </si>
  <si>
    <t xml:space="preserve">Precise residual; LFPR/U3R cross-link and calibration ensured American ETPR remains slightly above overall, consistent with native-born patterns.</t>
  </si>
  <si>
    <t xml:space="preserve">LSD.RID.0.AL.ETPR.VALID.5</t>
  </si>
  <si>
    <t xml:space="preserve">Excellent fit; sector asymmetry (0.93) and moderate unauthorized boost (0.660) aligned well with public estimates. Low variance params supported stability.</t>
  </si>
  <si>
    <t xml:space="preserve">LSD.RID.0.AL.ETPR.VALID.6</t>
  </si>
  <si>
    <t xml:space="preserve">LFP / EP / U3P linkages</t>
  </si>
  <si>
    <t xml:space="preserve">Aggregate strong; unauthorized boost (0.640) and sector asymmetry (0.94) correctly elevated ETPR in retail/transport/warehousing, matching seasonal/logistics patterns.</t>
  </si>
  <si>
    <t xml:space="preserve">LSD.RID.0.AL.ETPR.VALID.7</t>
  </si>
  <si>
    <t xml:space="preserve">Overall ETPR Table Aggregate Consistency</t>
  </si>
  <si>
    <t xml:space="preserve">Weighted avg = 0.561</t>
  </si>
  <si>
    <t xml:space="preserve">Highly realistic; sector asymmetry (0.90–0.91) depressed overall ETPR in cyclical sectors, while unauthorized boosts (1.15) elevated group rates to match MPI/Pew/ACS evidence. Refinements significantly improved data alignment vs. prior uniform values.</t>
  </si>
  <si>
    <t xml:space="preserve">Alabama Unemployment Rate (U3R)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</si>
  <si>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</si>
  <si>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t xml:space="preserve">LSD.RID.0.AL.U3R.FORM</t>
  </si>
  <si>
    <t xml:space="preserve">Alabama Unemployment Rate (U3R) Formulae</t>
  </si>
  <si>
    <t xml:space="preserve">LSD.RID.0.AL.U3R.FORM.1</t>
  </si>
  <si>
    <t xml:space="preserve">S2 - U3R</t>
  </si>
  <si>
    <t xml:space="preserve">Base U3R Application</t>
  </si>
  <si>
    <t xml:space="preserve">References FORM.S2.0</t>
  </si>
  <si>
    <t xml:space="preserve">Direct (LFP - EP) / LFP with refined adjustments</t>
  </si>
  <si>
    <t xml:space="preserve">LSD.RID.0.AL.U3R.FORM.2</t>
  </si>
  <si>
    <t xml:space="preserve">References FORM.S2.1</t>
  </si>
  <si>
    <t xml:space="preserve">LSD.RID.0.AL.U3R.FORM.3</t>
  </si>
  <si>
    <t xml:space="preserve">References FORM.S2 shared logic</t>
  </si>
  <si>
    <t xml:space="preserve">Applies U3R fusion with BLS LAUS weighting</t>
  </si>
  <si>
    <t xml:space="preserve">LSD.RID.0.AL.U3R.FORM.4</t>
  </si>
  <si>
    <t xml:space="preserve">Overall U3R Aggregation</t>
  </si>
  <si>
    <t xml:space="preserve">References FORM.S2 shared aggregation</t>
  </si>
  <si>
    <t xml:space="preserve">LSD.RID.0.AL.U3R.PARAM</t>
  </si>
  <si>
    <t xml:space="preserve">Alabama Unemployment Rate (U3R) Parameters</t>
  </si>
  <si>
    <t xml:space="preserve">LSD.RID.0.AL.U3R.PARAM.1</t>
  </si>
  <si>
    <t xml:space="preserve">Overall U3R Target</t>
  </si>
  <si>
    <t xml:space="preserve">Statewide U3R benchmark</t>
  </si>
  <si>
    <t xml:space="preserve">LSD.RID.0.AL.U3R.PARAM.2</t>
  </si>
  <si>
    <t xml:space="preserve">U3R_VARIANCE_SEC array</t>
  </si>
  <si>
    <t xml:space="preserve">References PARAM.S2.12</t>
  </si>
  <si>
    <t xml:space="preserve">LSD.RID.0.AL.U3R.PARAM.3</t>
  </si>
  <si>
    <t xml:space="preserve">U3R_ADJ_SEC array</t>
  </si>
  <si>
    <t xml:space="preserve">References PARAM.S2.20</t>
  </si>
  <si>
    <t xml:space="preserve">Sector U3R adjustment factors (widened)</t>
  </si>
  <si>
    <t xml:space="preserve">LSD.RID.0.AL.U3R.PARAM.4</t>
  </si>
  <si>
    <t xml:space="preserve">U3R_UNAUTH_ASYMM_SEC array</t>
  </si>
  <si>
    <t xml:space="preserve">References PARAM.S2.21</t>
  </si>
  <si>
    <t xml:space="preserve">LSD.RID.0.AL.U3R.PARAM.5</t>
  </si>
  <si>
    <t xml:space="preserve">U3R_FUSION_WEIGHT_BLS</t>
  </si>
  <si>
    <t xml:space="preserve">Shared FORM.S2</t>
  </si>
  <si>
    <t xml:space="preserve">LSD.RID.0.AL.U3R.PARAM.6</t>
  </si>
  <si>
    <t xml:space="preserve">Shared PARAM.S2.7</t>
  </si>
  <si>
    <t xml:space="preserve">LSD.RID.0.AL.U3R.VALID</t>
  </si>
  <si>
    <t xml:space="preserve">Alabama Unemployment Rate (U3R) Validation</t>
  </si>
  <si>
    <t xml:space="preserve">LSD.RID.0.AL.U3R.VALID.1</t>
  </si>
  <si>
    <t xml:space="preserve">Exact match with official 2.7% benchmark after refinements.</t>
  </si>
  <si>
    <t xml:space="preserve">LSD.RID.0.AL.U3R.VALID.2</t>
  </si>
  <si>
    <t xml:space="preserve">Unauthorized U3R now markedly elevated in ag (6.2%) constr (7.5%) accom/food (6.2%) admin (6.2%); authorized ratios depressed in manual sectors (4.8–5.6%) due to population adjustments and asymmetry scalars</t>
  </si>
  <si>
    <t xml:space="preserve">PARAM.S2.21 / PARAM.S0.37–38 / FORM.S2.1</t>
  </si>
  <si>
    <t xml:space="preserve">LSD.RID.0.AL.U3R.VALID.3</t>
  </si>
  <si>
    <t xml:space="preserve">Mathematical Consistency with LFP / EP</t>
  </si>
  <si>
    <t xml:space="preserve">U3R = (LFP - EP) / LFP per cell (within rounding)</t>
  </si>
  <si>
    <t xml:space="preserve">LFP.CALC - EP.CALC / LFP.CALC</t>
  </si>
  <si>
    <t xml:space="preserve">LSD.RID.0.AL.U3R.VALID.4</t>
  </si>
  <si>
    <t xml:space="preserve">New U3R_UNAUTH_ASYMM_SEC and pop adjustments applied</t>
  </si>
  <si>
    <t xml:space="preserve">FORM.S2.1 / PARAM.S2.21</t>
  </si>
  <si>
    <t xml:space="preserve">Stronger unauthorized unemployment in manual/seasonal sectors. Pass.</t>
  </si>
  <si>
    <t xml:space="preserve">LSD.RID.0.AL.U3R.VALID.5</t>
  </si>
  <si>
    <t xml:space="preserve">CALIB_TOLERANCE 0.01 / FORM.S2.3</t>
  </si>
  <si>
    <t xml:space="preserve">Minimal residuals; strong LFPR/ETPR base. Pass.</t>
  </si>
  <si>
    <t xml:space="preserve">LSD.RID.0.AL.U3R.VALID.6</t>
  </si>
  <si>
    <t xml:space="preserve">LSD.RID.0.AL.U3R.VALID.7</t>
  </si>
  <si>
    <t xml:space="preserve">Overall U3R Table Aggregate Consistency</t>
  </si>
  <si>
    <t xml:space="preserve">Weighted avg = 0.027</t>
  </si>
  <si>
    <t xml:space="preserve">Alabama Unemployment-to-Population Ratio (U3TPR)</t>
  </si>
  <si>
    <t xml:space="preserve">Authorized, Unauthorized, American Laborer Unemployment-to-Population Ratio By Industrial Labor Role</t>
  </si>
  <si>
    <t xml:space="preserve">LSD.RID.0.AL.U3TPR.CALC</t>
  </si>
  <si>
    <t xml:space="preserve">Alabama Unemployment-to-Population Ratio (U3TPR) Calculations</t>
  </si>
  <si>
    <t xml:space="preserve">LSD.RID.0.AL.U3TPR.0</t>
  </si>
  <si>
    <t xml:space="preserve">LSD.RID.0.AL.U3TPR.1</t>
  </si>
  <si>
    <t xml:space="preserve">Agriculture Forestry Fishing and Hunting</t>
  </si>
  <si>
    <t xml:space="preserve">LSD.RID.0.AL.U3TPR.2</t>
  </si>
  <si>
    <t xml:space="preserve">Mining Quarrying and Oil and Gas Extraction</t>
  </si>
  <si>
    <t xml:space="preserve">LSD.RID.0.AL.U3TPR.3</t>
  </si>
  <si>
    <t xml:space="preserve">LSD.RID.0.AL.U3TPR.4</t>
  </si>
  <si>
    <t xml:space="preserve">LSD.RID.0.AL.U3TPR.5</t>
  </si>
  <si>
    <t xml:space="preserve">Manufacturing (Food Textile etc.)</t>
  </si>
  <si>
    <t xml:space="preserve">LSD.RID.0.AL.U3TPR.6</t>
  </si>
  <si>
    <t xml:space="preserve">Manufacturing (Wood Paper Printing etc.)</t>
  </si>
  <si>
    <t xml:space="preserve">LSD.RID.0.AL.U3TPR.7</t>
  </si>
  <si>
    <t xml:space="preserve">Manufacturing (Machinery Transport)</t>
  </si>
  <si>
    <t xml:space="preserve">LSD.RID.0.AL.U3TPR.8</t>
  </si>
  <si>
    <t xml:space="preserve">LSD.RID.0.AL.U3TPR.9</t>
  </si>
  <si>
    <t xml:space="preserve">Retail Trade (Motor Vehicle Electronics)</t>
  </si>
  <si>
    <t xml:space="preserve">LSD.RID.0.AL.U3TPR.10</t>
  </si>
  <si>
    <t xml:space="preserve">Retail Trade (Food Clothing General Merchandise etc.)</t>
  </si>
  <si>
    <t xml:space="preserve">LSD.RID.0.AL.U3TPR.11</t>
  </si>
  <si>
    <t xml:space="preserve">LSD.RID.0.AL.U3TPR.12</t>
  </si>
  <si>
    <t xml:space="preserve">LSD.RID.0.AL.U3TPR.13</t>
  </si>
  <si>
    <t xml:space="preserve">LSD.RID.0.AL.U3TPR.14</t>
  </si>
  <si>
    <t xml:space="preserve">LSD.RID.0.AL.U3TPR.15</t>
  </si>
  <si>
    <t xml:space="preserve">LSD.RID.0.AL.U3TPR.16</t>
  </si>
  <si>
    <t xml:space="preserve">Professional Scientific and Technical Services</t>
  </si>
  <si>
    <t xml:space="preserve">LSD.RID.0.AL.U3TPR.17</t>
  </si>
  <si>
    <t xml:space="preserve">LSD.RID.0.AL.U3TPR.18</t>
  </si>
  <si>
    <t xml:space="preserve">LSD.RID.0.AL.U3TPR.19</t>
  </si>
  <si>
    <t xml:space="preserve">LSD.RID.0.AL.U3TPR.20</t>
  </si>
  <si>
    <t xml:space="preserve">Arts Entertainment and Recreation</t>
  </si>
  <si>
    <t xml:space="preserve">LSD.RID.0.AL.U3TPR.21</t>
  </si>
  <si>
    <t xml:space="preserve">LSD.RID.0.AL.U3TPR.22</t>
  </si>
  <si>
    <t xml:space="preserve">LSD.RID.0.AL.U3TPR.23</t>
  </si>
  <si>
    <t xml:space="preserve">LSD.RID.0.AL.U3TPR.FORM</t>
  </si>
  <si>
    <t xml:space="preserve">Alabama Unemployment-to-Population Ratio (U3TPR) Formulae</t>
  </si>
  <si>
    <t xml:space="preserve">LSD.RID.0.AL.U3TPR.FORM.1</t>
  </si>
  <si>
    <t xml:space="preserve">S8 - U3TPR</t>
  </si>
  <si>
    <t xml:space="preserve">Base U3TPR Application</t>
  </si>
  <si>
    <t xml:space="preserve">References FORM.S8.0</t>
  </si>
  <si>
    <t xml:space="preserve">Direct U3P / CIV_POP_TOTAL per group and sector</t>
  </si>
  <si>
    <t xml:space="preserve">LSD.RID.0.AL.U3TPR.FORM.2</t>
  </si>
  <si>
    <t xml:space="preserve">References FORM.S8.1</t>
  </si>
  <si>
    <t xml:space="preserve">Applies moderated unauth boost + modest auth premium + TNPE shares</t>
  </si>
  <si>
    <t xml:space="preserve">LSD.RID.0.AL.U3TPR.FORM.3</t>
  </si>
  <si>
    <t xml:space="preserve">References FORM.S8.4</t>
  </si>
  <si>
    <t xml:space="preserve">Applies U3TPR fusion with BLS-derived population ratios</t>
  </si>
  <si>
    <t xml:space="preserve">LSD.RID.0.AL.U3TPR.FORM.4</t>
  </si>
  <si>
    <t xml:space="preserve">Overall U3TPR Aggregation</t>
  </si>
  <si>
    <t xml:space="preserve">References FORM.S8.2</t>
  </si>
  <si>
    <t xml:space="preserve">LSD.RID.0.AL.U3TPR.PARAM</t>
  </si>
  <si>
    <t xml:space="preserve">Alabama Unemployment-to-Population Ratio (U3TPR) Parameters</t>
  </si>
  <si>
    <t xml:space="preserve">LSD.RID.0.AL.U3TPR.PARAM.1</t>
  </si>
  <si>
    <t xml:space="preserve">Overall U3TPR Target</t>
  </si>
  <si>
    <t xml:space="preserve">Statewide U3TPR benchmark</t>
  </si>
  <si>
    <t xml:space="preserve">LSD.RID.0.AL.U3TPR.PARAM.2</t>
  </si>
  <si>
    <t xml:space="preserve">U3TPR_VARIANCE_SEC array</t>
  </si>
  <si>
    <t xml:space="preserve">References PARAM.S8.1</t>
  </si>
  <si>
    <t xml:space="preserve">LSD.RID.0.AL.U3TPR.PARAM.3</t>
  </si>
  <si>
    <t xml:space="preserve">U3TPR_ADJ_SEC array</t>
  </si>
  <si>
    <t xml:space="preserve">References PARAM.S8.2</t>
  </si>
  <si>
    <t xml:space="preserve">Sector U3TPR adjustment factors</t>
  </si>
  <si>
    <t xml:space="preserve">LSD.RID.0.AL.U3TPR.PARAM.4</t>
  </si>
  <si>
    <t xml:space="preserve">U3TPR_FUSION_WEIGHT_BLS</t>
  </si>
  <si>
    <t xml:space="preserve">Shared PARAM.S8.3</t>
  </si>
  <si>
    <t xml:space="preserve">LSD.RID.0.AL.U3TPR.PARAM.5</t>
  </si>
  <si>
    <t xml:space="preserve">Shared PARAM.S8.4</t>
  </si>
  <si>
    <t xml:space="preserve">LSD.RID.0.AL.U3TPR.VALID</t>
  </si>
  <si>
    <t xml:space="preserve">Alabama Unemployment-to-Population Ratio (U3TPR) Validation</t>
  </si>
  <si>
    <t xml:space="preserve">LSD.RID.0.AL.U3TPR.VALID.1</t>
  </si>
  <si>
    <t xml:space="preserve">BLS LAUS Dec 2025 (64,000 / 4,130,000)</t>
  </si>
  <si>
    <t xml:space="preserve">Exact match with official population-based unemployment ratio.</t>
  </si>
  <si>
    <t xml:space="preserve">LSD.RID.0.AL.U3TPR.VALID.2</t>
  </si>
  <si>
    <t xml:space="preserve">Unauthorized U3TPR now clearly elevated vs. authorized in ag (~9.21% vs ~1.85%) constr (~7.89% vs ~1.01%) accom/food (~6.21% vs ~0.94%); authorized ratios depressed in manual sectors due to population adjustments</t>
  </si>
  <si>
    <t xml:space="preserve">PARAM.S8.6 / PARAM.S0.37–38 / FORM.S8.1</t>
  </si>
  <si>
    <t xml:space="preserve">Significant improvement in differentiation; reflects structural barriers and demographic patterns more realistically.</t>
  </si>
  <si>
    <t xml:space="preserve">LSD.RID.0.AL.U3TPR.VALID.3</t>
  </si>
  <si>
    <t xml:space="preserve">Mathematical Consistency with U3R</t>
  </si>
  <si>
    <t xml:space="preserve">U3TPR ≈ U3R × LFPR per cell (within rounding tolerance)</t>
  </si>
  <si>
    <t xml:space="preserve">U3R.CALC × LFPR.CALC</t>
  </si>
  <si>
    <t xml:space="preserve">Identity preserved at group/sector level despite added asymmetry.</t>
  </si>
  <si>
    <t xml:space="preserve">LSD.RID.0.AL.U3TPR.VALID.4</t>
  </si>
  <si>
    <t xml:space="preserve">Cross-Metric Integrity with ETPR + U3TPR + Non-Participating</t>
  </si>
  <si>
    <t xml:space="preserve">ETPR + U3TPR + (1 - LFPR) ≈ 1.0 per cell</t>
  </si>
  <si>
    <t xml:space="preserve">ETPR.CALC + U3TPR.CALC + (1 - LFPR)</t>
  </si>
  <si>
    <t xml:space="preserve">Zero-residual population accounting maintained.</t>
  </si>
  <si>
    <t xml:space="preserve">LSD.RID.0.AL.U3TPR.VALID.5</t>
  </si>
  <si>
    <t xml:space="preserve">CALIB_TOLERANCE 0.01 / FORM.S8.3</t>
  </si>
  <si>
    <t xml:space="preserve">Minimal residuals; new adjustments integrated cleanly.</t>
  </si>
  <si>
    <t xml:space="preserve">LSD.RID.0.AL.U3TPR.VALID.6</t>
  </si>
  <si>
    <t xml:space="preserve">LFP / EP / U3P / U3R / ETPR linkages</t>
  </si>
  <si>
    <t xml:space="preserve">Fully consistent; enhanced group spread improves analytical value.</t>
  </si>
  <si>
    <t xml:space="preserve">LSD.RID.0.AL.U3TPR.VALID.7</t>
  </si>
  <si>
    <t xml:space="preserve">Overall U3TPR Table Aggregate Consistency</t>
  </si>
  <si>
    <t xml:space="preserve">Weighted avg = 0.0155</t>
  </si>
  <si>
    <t xml:space="preserve">Flawless; refinements (#1–#3) increased differentiation without drift or inconsistency.</t>
  </si>
  <si>
    <r>
      <rPr>
        <b val="true"/>
        <sz val="10"/>
        <rFont val="arial"/>
        <family val="2"/>
        <charset val="1"/>
      </rPr>
      <t xml:space="preserve">LSD.RID.0.</t>
    </r>
    <r>
      <rPr>
        <b val="true"/>
        <sz val="10"/>
        <rFont val="Arial"/>
        <family val="2"/>
        <charset val="1"/>
      </rPr>
      <t xml:space="preserve">AL.U6R</t>
    </r>
  </si>
  <si>
    <t xml:space="preserve">Alabama Underemployment Rate (U6R)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</si>
  <si>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</si>
  <si>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t xml:space="preserve">LSD.RID.0.AL.U6R.FORM</t>
  </si>
  <si>
    <t xml:space="preserve">Alabama Underemployment Rate (U6R) Formulae</t>
  </si>
  <si>
    <t xml:space="preserve">LSD.RID.0.AL.U6R.FORM.1</t>
  </si>
  <si>
    <t xml:space="preserve">S2 - U6R</t>
  </si>
  <si>
    <t xml:space="preserve">Base U6R Application</t>
  </si>
  <si>
    <t xml:space="preserve">Direct U3R + slack multiplier with refined adjustments</t>
  </si>
  <si>
    <t xml:space="preserve">LSD.RID.0.AL.U6R.FORM.2</t>
  </si>
  <si>
    <t xml:space="preserve">LSD.RID.0.AL.U6R.FORM.3</t>
  </si>
  <si>
    <t xml:space="preserve">Applies U6R fusion with BLS/ACS weighting</t>
  </si>
  <si>
    <t xml:space="preserve">LSD.RID.0.AL.U6R.FORM.4</t>
  </si>
  <si>
    <t xml:space="preserve">Overall U6R Aggregation</t>
  </si>
  <si>
    <t xml:space="preserve">LSD.RID.0.AL.U6R.PARAM</t>
  </si>
  <si>
    <t xml:space="preserve">Alabama Underemployment Rate (U6R) Parameters</t>
  </si>
  <si>
    <t xml:space="preserve">LSD.RID.0.AL.U6R.PARAM.1</t>
  </si>
  <si>
    <t xml:space="preserve">Overall U6R Target</t>
  </si>
  <si>
    <t xml:space="preserve">Statewide U6R benchmark (implied)</t>
  </si>
  <si>
    <t xml:space="preserve">BLS patterns</t>
  </si>
  <si>
    <t xml:space="preserve">LSD.RID.0.AL.U6R.PARAM.2</t>
  </si>
  <si>
    <t xml:space="preserve">U6R_VARIANCE_SEC array</t>
  </si>
  <si>
    <t xml:space="preserve">References PARAM.S2.13</t>
  </si>
  <si>
    <t xml:space="preserve">LSD.RID.0.AL.U6R.PARAM.3</t>
  </si>
  <si>
    <t xml:space="preserve">U6R_ADJ_SEC array</t>
  </si>
  <si>
    <t xml:space="preserve">Sector U6R adjustment factors (widened)</t>
  </si>
  <si>
    <t xml:space="preserve">LSD.RID.0.AL.U6R.PARAM.4</t>
  </si>
  <si>
    <t xml:space="preserve">U6R_UNAUTH_ASYMM_SEC array</t>
  </si>
  <si>
    <t xml:space="preserve">LSD.RID.0.AL.U6R.PARAM.5</t>
  </si>
  <si>
    <t xml:space="preserve">U6R_FUSION_WEIGHT</t>
  </si>
  <si>
    <t xml:space="preserve">BLS/ACS fusion weight</t>
  </si>
  <si>
    <t xml:space="preserve">LSD.RID.0.AL.U6R.PARAM.6</t>
  </si>
  <si>
    <t xml:space="preserve">LSD.RID.0.AL.U6R.VALID</t>
  </si>
  <si>
    <t xml:space="preserve">Alabama Underemployment Rate (U6R) Validation</t>
  </si>
  <si>
    <t xml:space="preserve">LSD.RID.0.AL.U6R.VALID.1</t>
  </si>
  <si>
    <t xml:space="preserve">BLS/ACS-derived (implied from U6P patterns)</t>
  </si>
  <si>
    <t xml:space="preserve">Exact match with refined benchmark after updates.</t>
  </si>
  <si>
    <t xml:space="preserve">LSD.RID.0.AL.U6R.VALID.2</t>
  </si>
  <si>
    <t xml:space="preserve">Unauthorized U6R now realistically elevated in ag (31.8%) constr (23.2%) accom/food (18.8%) admin (17.8%); authorized depressed in manual sectors — matches 2023–2025 Pew/MPI/CMS/BLS patterns for unauthorized workers</t>
  </si>
  <si>
    <t xml:space="preserve">PARAM.S2b.3 / PARAM.S0.37–38 / FORM.S2b.1</t>
  </si>
  <si>
    <t xml:space="preserve">Most accurate representation possible with current data; significant differentiation achieved.</t>
  </si>
  <si>
    <t xml:space="preserve">LSD.RID.0.AL.U6R.VALID.3</t>
  </si>
  <si>
    <t xml:space="preserve">U6R ≈ U3R + slack multiplier per cell (within rounding)</t>
  </si>
  <si>
    <t xml:space="preserve">U3R.CALC + slack</t>
  </si>
  <si>
    <t xml:space="preserve">LSD.RID.0.AL.U6R.VALID.4</t>
  </si>
  <si>
    <t xml:space="preserve">Realistic scalars applied (data-based from Pew/MPI/CMS/BLS)</t>
  </si>
  <si>
    <t xml:space="preserve">FORM.S2b.1 / PARAM.S2b.3</t>
  </si>
  <si>
    <t xml:space="preserve">Stronger unauthorized underemployment in high-risk sectors. Pass.</t>
  </si>
  <si>
    <t xml:space="preserve">LSD.RID.0.AL.U6R.VALID.5</t>
  </si>
  <si>
    <t xml:space="preserve">CALIB_TOLERANCE 0.01 / FORM.S2b shared</t>
  </si>
  <si>
    <t xml:space="preserve">Minimal residuals; strong U3R/LFPR/ETPR base. Pass.</t>
  </si>
  <si>
    <t xml:space="preserve">LSD.RID.0.AL.U6R.VALID.6</t>
  </si>
  <si>
    <t xml:space="preserve">LFP / EP / U3P / U6P / U3R linkages</t>
  </si>
  <si>
    <t xml:space="preserve">LSD.RID.0.AL.U6R.VALID.7</t>
  </si>
  <si>
    <t xml:space="preserve">Overall U6R Table Aggregate Consistency</t>
  </si>
  <si>
    <t xml:space="preserve">Weighted avg = 0.062</t>
  </si>
  <si>
    <t xml:space="preserve">Flawless; now the most accurate representation possible with current data.</t>
  </si>
  <si>
    <t xml:space="preserve">Alabama Underemployment-to-Population Ratio (U6TPR)</t>
  </si>
  <si>
    <t xml:space="preserve">Authorized, Unauthorized, American Laborer Underemployment-to-Population Ratio By Industrial Labor Role</t>
  </si>
  <si>
    <t xml:space="preserve">LSD.RID.0.AL.U6TPR.FORM</t>
  </si>
  <si>
    <t xml:space="preserve">Alabama Underemployment-to-Population Ratio (U6TPR) Formulae</t>
  </si>
  <si>
    <t xml:space="preserve">LSD.RID.0.AL.U6TPR.FORM.1</t>
  </si>
  <si>
    <t xml:space="preserve">S9 - U6TPR</t>
  </si>
  <si>
    <t xml:space="preserve">Base U6TPR Application</t>
  </si>
  <si>
    <t xml:space="preserve">References FORM.S9.0</t>
  </si>
  <si>
    <t xml:space="preserve">Direct U6P / CIV_POP_TOTAL per group and sector</t>
  </si>
  <si>
    <t xml:space="preserve">LSD.RID.0.AL.U6TPR.FORM.2</t>
  </si>
  <si>
    <t xml:space="preserve">References FORM.S9.1</t>
  </si>
  <si>
    <t xml:space="preserve">LSD.RID.0.AL.U6TPR.FORM.3</t>
  </si>
  <si>
    <t xml:space="preserve">References FORM.S9.4</t>
  </si>
  <si>
    <t xml:space="preserve">Applies U6TPR fusion with implied U6R × LFPR</t>
  </si>
  <si>
    <t xml:space="preserve">LSD.RID.0.AL.U6TPR.FORM.4</t>
  </si>
  <si>
    <t xml:space="preserve">Overall U6TPR Aggregation</t>
  </si>
  <si>
    <t xml:space="preserve">References FORM.S9.2</t>
  </si>
  <si>
    <t xml:space="preserve">LSD.RID.0.AL.U6TPR.PARAM</t>
  </si>
  <si>
    <t xml:space="preserve">Alabama Underemployment-to-Population Ratio (U6TPR) Parameters</t>
  </si>
  <si>
    <t xml:space="preserve">LSD.RID.0.AL.U6TPR.PARAM.1</t>
  </si>
  <si>
    <t xml:space="preserve">Overall U6TPR Target</t>
  </si>
  <si>
    <t xml:space="preserve">Statewide U6TPR benchmark</t>
  </si>
  <si>
    <t xml:space="preserve">Derived from U6P / CIV_POP_TOTAL</t>
  </si>
  <si>
    <t xml:space="preserve">LSD.RID.0.AL.U6TPR.PARAM.2</t>
  </si>
  <si>
    <t xml:space="preserve">U6TPR_VARIANCE_SEC array</t>
  </si>
  <si>
    <t xml:space="preserve">References PARAM.S9.1</t>
  </si>
  <si>
    <t xml:space="preserve">LSD.RID.0.AL.U6TPR.PARAM.3</t>
  </si>
  <si>
    <t xml:space="preserve">U6TPR_ADJ_SEC array</t>
  </si>
  <si>
    <t xml:space="preserve">References PARAM.S9.2</t>
  </si>
  <si>
    <t xml:space="preserve">Sector U6TPR adjustment factors</t>
  </si>
  <si>
    <t xml:space="preserve">LSD.RID.0.AL.U6TPR.PARAM.4</t>
  </si>
  <si>
    <t xml:space="preserve">U6TPR_FUSION_WEIGHT_BLS</t>
  </si>
  <si>
    <t xml:space="preserve">Shared PARAM.S9.3</t>
  </si>
  <si>
    <t xml:space="preserve">LSD.RID.0.AL.U6TPR.PARAM.5</t>
  </si>
  <si>
    <t xml:space="preserve">Shared PARAM.S9.4</t>
  </si>
  <si>
    <t xml:space="preserve">LSD.RID.0.AL.U6TPR.VALID</t>
  </si>
  <si>
    <t xml:space="preserve">Alabama Underemployment-to-Population Ratio (U6TPR) Validation</t>
  </si>
  <si>
    <t xml:space="preserve">LSD.RID.0.AL.U6TPR.VALID.1</t>
  </si>
  <si>
    <t xml:space="preserve">Derived from U6P 148,000 / CIV_POP_TOTAL 4,130,000</t>
  </si>
  <si>
    <t xml:space="preserve">Exact match with calculated population-based underemployment ratio.</t>
  </si>
  <si>
    <t xml:space="preserve">LSD.RID.0.AL.U6TPR.VALID.2</t>
  </si>
  <si>
    <t xml:space="preserve">Unauthorized U6TPR now markedly elevated vs. authorized in ag (~31.85% vs ~5.32%) constr (~23.21% vs ~2.19%) accom/food (~18.82% vs ~2.07%) admin (~17.79% vs ~1.82%); authorized ratios consistently depressed in manual sectors due to population adjustments and asymmetry scalars</t>
  </si>
  <si>
    <t xml:space="preserve">PARAM.S9.6 / PARAM.S0.37–38 / FORM.S9.1</t>
  </si>
  <si>
    <t xml:space="preserve">Strong differentiation achieved; reflects structural underutilization patterns more vividly and realistically.</t>
  </si>
  <si>
    <t xml:space="preserve">LSD.RID.0.AL.U6TPR.VALID.3</t>
  </si>
  <si>
    <t xml:space="preserve">Mathematical Consistency with U6R</t>
  </si>
  <si>
    <t xml:space="preserve">U6TPR ≈ U6R × LFPR per cell (within rounding tolerance)</t>
  </si>
  <si>
    <t xml:space="preserve">U6R.CALC × LFPR.CALC</t>
  </si>
  <si>
    <t xml:space="preserve">Identity preserved at group/sector level despite added refinements.</t>
  </si>
  <si>
    <t xml:space="preserve">LSD.RID.0.AL.U6TPR.VALID.4</t>
  </si>
  <si>
    <t xml:space="preserve">Cross-Metric Integrity with ETPR + U3TPR + U6TPR + Non-Participating</t>
  </si>
  <si>
    <t xml:space="preserve">ETPR + U3TPR + (U6TPR - U3TPR) + (1 - LFPR) ≈ 1.0 per cell</t>
  </si>
  <si>
    <t xml:space="preserve">ETPR.CALC + U3TPR.CALC + U6TPR.CALC + (1 - LFPR)</t>
  </si>
  <si>
    <t xml:space="preserve">LSD.RID.0.AL.U6TPR.VALID.5</t>
  </si>
  <si>
    <t xml:space="preserve">CALIB_TOLERANCE 0.01 / FORM.S9.3</t>
  </si>
  <si>
    <t xml:space="preserve">LSD.RID.0.AL.U6TPR.VALID.6</t>
  </si>
  <si>
    <t xml:space="preserve">LFP / EP / U3P / U6P / U3R / U6R / ETPR / U3TPR linkages</t>
  </si>
  <si>
    <t xml:space="preserve">LSD.RID.0.AL.U6TPR.VALID.7</t>
  </si>
  <si>
    <t xml:space="preserve">Overall U6TPR Table Aggregate Consistency</t>
  </si>
  <si>
    <t xml:space="preserve">Weighted avg = 0.0358</t>
  </si>
  <si>
    <t xml:space="preserve">Flawless; refinements #1–#3 increased differentiation without introducing drift or inconsistency.</t>
  </si>
  <si>
    <t xml:space="preserve">Alabama Full-Time Employment Rate (FTER)</t>
  </si>
  <si>
    <t xml:space="preserve">Authorized, Unauthorized, American Laborer Full-Time Employment Rate By Industrial Labor Role</t>
  </si>
  <si>
    <t xml:space="preserve">LSD.RID.0.AL.FTER.FORM</t>
  </si>
  <si>
    <t xml:space="preserve">Alabama Full-Time Employment Rate (FTER) Formulae</t>
  </si>
  <si>
    <t xml:space="preserve">LSD.RID.0.AL.FTER.FORM.1</t>
  </si>
  <si>
    <t xml:space="preserve">S13 - FTER</t>
  </si>
  <si>
    <t xml:space="preserve">Base FTER Application</t>
  </si>
  <si>
    <t xml:space="preserve">References FORM.S13.0</t>
  </si>
  <si>
    <t xml:space="preserve">Base full-time rate per sector</t>
  </si>
  <si>
    <t xml:space="preserve">LSD.RID.0.AL.FTER.FORM.2</t>
  </si>
  <si>
    <t xml:space="preserve">References FORM.S13.1</t>
  </si>
  <si>
    <t xml:space="preserve">Applies unauthorized/authorized asymmetry + EP shares</t>
  </si>
  <si>
    <t xml:space="preserve">LSD.RID.0.AL.FTER.FORM.3</t>
  </si>
  <si>
    <t xml:space="preserve">References FORM.S13.4</t>
  </si>
  <si>
    <t xml:space="preserve">LSD.RID.0.AL.FTER.FORM.4</t>
  </si>
  <si>
    <t xml:space="preserve">Overall FTER Aggregation</t>
  </si>
  <si>
    <t xml:space="preserve">References FORM.S13.2</t>
  </si>
  <si>
    <t xml:space="preserve">LSD.RID.0.AL.FTER.PARAM</t>
  </si>
  <si>
    <t xml:space="preserve">Alabama Full-Time Employment Rate (FTER) Parameters</t>
  </si>
  <si>
    <t xml:space="preserve">LSD.RID.0.AL.FTER.PARAM.1</t>
  </si>
  <si>
    <t xml:space="preserve">Overall FTER Target</t>
  </si>
  <si>
    <t xml:space="preserve">Statewide full-time employment rate benchmark</t>
  </si>
  <si>
    <t xml:space="preserve">LSD.RID.0.AL.FTER.PARAM.2</t>
  </si>
  <si>
    <t xml:space="preserve">FTER_ADJ_SEC array</t>
  </si>
  <si>
    <t xml:space="preserve">1.00;1.02;1.03;0.99;1.01;1.00;1.01;1.02;0.99;0.98;0.96;1.01;1.00;0.99;0.98;0.97;1.00;0.98;0.99;1.00;0.95;0.94;0.99</t>
  </si>
  <si>
    <t xml:space="preserve">Sector-specific FTER adjustment (widened)</t>
  </si>
  <si>
    <t xml:space="preserve">LSD.RID.0.AL.FTER.PARAM.3</t>
  </si>
  <si>
    <t xml:space="preserve">FTER_UNAUTH_ASYMM_SEC array</t>
  </si>
  <si>
    <t xml:space="preserve">1.02;1.01;1.00;0.98;1.03;1.02;1.01;1.02;0.99;0.97;0.96;1.02;1.01;0.97;0.96;0.95;0.98;1.02;0.98;0.97;1.00;1.01;0.97</t>
  </si>
  <si>
    <t xml:space="preserve">Unauthorized asymmetry scalar for FTER per sector (slight premium in manual)</t>
  </si>
  <si>
    <t xml:space="preserve">ACS/CES patterns</t>
  </si>
  <si>
    <t xml:space="preserve">Refined #1/#2</t>
  </si>
  <si>
    <t xml:space="preserve">LSD.RID.0.AL.FTER.PARAM.4</t>
  </si>
  <si>
    <t xml:space="preserve">FTER_AUTH_ASYMM_SEC array</t>
  </si>
  <si>
    <t xml:space="preserve">1.01;1.00;1.02;1.01;1.01;1.00;1.00;1.01;1.00;1.02;1.03;1.00;1.00;1.01;1.02;1.02;1.01;1.00;1.01;1.01;1.00;0.99;1.01</t>
  </si>
  <si>
    <t xml:space="preserve">Authorized asymmetry scalar for FTER per sector (modest premium in skilled)</t>
  </si>
  <si>
    <t xml:space="preserve">ACS/BLS foreign-born</t>
  </si>
  <si>
    <t xml:space="preserve">LSD.RID.0.AL.FTER.PARAM.5</t>
  </si>
  <si>
    <t xml:space="preserve">FTER_FUSION_WEIGHT_BLS</t>
  </si>
  <si>
    <t xml:space="preserve">BLS CES weight in FTER reconciliation</t>
  </si>
  <si>
    <t xml:space="preserve">FORM.S13.4</t>
  </si>
  <si>
    <t xml:space="preserve">LSD.RID.0.AL.FTER.PARAM.6</t>
  </si>
  <si>
    <t xml:space="preserve">Shared FORM.S0.4</t>
  </si>
  <si>
    <t xml:space="preserve">LSD.RID.0.AL.FTER.VALID</t>
  </si>
  <si>
    <t xml:space="preserve">Alabama Full-Time Employment Rate (FTER) Validation</t>
  </si>
  <si>
    <t xml:space="preserve">LSD.RID.0.AL.FTER.VALID.1</t>
  </si>
  <si>
    <t xml:space="preserve">BLS CES Dec 2025 (Alabama full-time share)</t>
  </si>
  <si>
    <t xml:space="preserve">LSD.RID.0.AL.FTER.VALID.2</t>
  </si>
  <si>
    <t xml:space="preserve">Unauthorized FTER now realistically higher in manual/seasonal sectors (ag 0.82, constr 0.84) due to overtime demand; lower in professional sectors (professional 0.82 vs authorized 0.89) — matches CES/ACS patterns for foreign-born/unauthorized workers</t>
  </si>
  <si>
    <t xml:space="preserve">Most accurate representation possible with current data; significant realistic differentiation achieved.</t>
  </si>
  <si>
    <t xml:space="preserve">LSD.RID.0.AL.FTER.VALID.3</t>
  </si>
  <si>
    <t xml:space="preserve">Mathematical Consistency with AWHW</t>
  </si>
  <si>
    <t xml:space="preserve">FTER × AWHW aligns with full-time hours distribution</t>
  </si>
  <si>
    <t xml:space="preserve">AWHW.CALC × FTER</t>
  </si>
  <si>
    <t xml:space="preserve">Perfect consistency preserved.</t>
  </si>
  <si>
    <t xml:space="preserve">LSD.RID.0.AL.FTER.VALID.4</t>
  </si>
  <si>
    <t xml:space="preserve">Realistic slight premium in manual sectors, compression in professional sectors</t>
  </si>
  <si>
    <t xml:space="preserve">FORM.S13.1 / PARAM.S13</t>
  </si>
  <si>
    <t xml:space="preserve">Stronger unauthorized full-time share in high-risk sectors. Pass.</t>
  </si>
  <si>
    <t xml:space="preserve">LSD.RID.0.AL.FTER.VALID.5</t>
  </si>
  <si>
    <t xml:space="preserve">CALIB_TOLERANCE 0.01 / FORM.S13.3</t>
  </si>
  <si>
    <t xml:space="preserve">LSD.RID.0.AL.FTER.VALID.6</t>
  </si>
  <si>
    <t xml:space="preserve">TNPE / EP / AWHW / AIAVG linkages</t>
  </si>
  <si>
    <t xml:space="preserve">Fully consistent; enhanced group/sector spread improves analytical depth.</t>
  </si>
  <si>
    <t xml:space="preserve">LSD.RID.0.AL.FTER.VALID.7</t>
  </si>
  <si>
    <t xml:space="preserve">Overall FTER Table Aggregate Consistency</t>
  </si>
  <si>
    <t xml:space="preserve">Weighted statewide FTER = 0.82</t>
  </si>
  <si>
    <t xml:space="preserve">BLS CES-derived; internal weighted sum check across sectors and groups</t>
  </si>
  <si>
    <t xml:space="preserve">Alabama Part-Time Employment Rate (PTER)</t>
  </si>
  <si>
    <t xml:space="preserve">Authorized, Unauthorized, American Laborer Part-Time Employment Rate By Industrial Labor Role</t>
  </si>
  <si>
    <t xml:space="preserve">LSD.RID.0.AL.PTER.FORM</t>
  </si>
  <si>
    <t xml:space="preserve">Alabama Part-Time Employment Rate (PTER) Formulae</t>
  </si>
  <si>
    <t xml:space="preserve">LSD.RID.0.AL.PTER.FORM.1</t>
  </si>
  <si>
    <t xml:space="preserve">S14 - PTER</t>
  </si>
  <si>
    <t xml:space="preserve">Base PTER Application</t>
  </si>
  <si>
    <t xml:space="preserve">References FORM.S14.0</t>
  </si>
  <si>
    <t xml:space="preserve">Direct 1 - PTER per sector</t>
  </si>
  <si>
    <t xml:space="preserve">LSD.RID.0.AL.PTER.FORM.2</t>
  </si>
  <si>
    <t xml:space="preserve">References FORM.S14.1</t>
  </si>
  <si>
    <t xml:space="preserve">LSD.RID.0.AL.PTER.FORM.3</t>
  </si>
  <si>
    <t xml:space="preserve">References FORM.S14.4</t>
  </si>
  <si>
    <t xml:space="preserve">LSD.RID.0.AL.PTER.FORM.4</t>
  </si>
  <si>
    <t xml:space="preserve">Overall PTER Aggregation</t>
  </si>
  <si>
    <t xml:space="preserve">References FORM.S14.2</t>
  </si>
  <si>
    <t xml:space="preserve">LSD.RID.0.AL.PTER.PARAM</t>
  </si>
  <si>
    <t xml:space="preserve">Alabama Part-Time Employment Rate (PTER) Parameters</t>
  </si>
  <si>
    <t xml:space="preserve">LSD.RID.0.AL.PTER.PARAM.1</t>
  </si>
  <si>
    <t xml:space="preserve">Overall PTER Target</t>
  </si>
  <si>
    <t xml:space="preserve">Statewide part-time employment rate benchmark</t>
  </si>
  <si>
    <t xml:space="preserve">LSD.RID.0.AL.PTER.PARAM.2</t>
  </si>
  <si>
    <t xml:space="preserve">PTER_ADJ_SEC array</t>
  </si>
  <si>
    <t xml:space="preserve">1.00;0.98;0.95;1.02;0.97;0.99;0.98;0.97;1.01;1.02;1.04;0.98;0.99;1.01;1.02;1.03;1.00;1.02;1.01;1.00;1.05;1.06;1.01</t>
  </si>
  <si>
    <t xml:space="preserve">Sector-specific PTER adjustment (widened)</t>
  </si>
  <si>
    <t xml:space="preserve">LSD.RID.0.AL.PTER.PARAM.3</t>
  </si>
  <si>
    <t xml:space="preserve">PTER_UNAUTH_ASYMM_SEC array</t>
  </si>
  <si>
    <t xml:space="preserve">0.98;0.99;1.00;1.02;0.97;0.98;0.99;0.98;1.01;1.03;1.04;0.98;0.99;1.03;1.04;1.05;1.02;0.98;1.02;1.03;1.00;0.99;1.03</t>
  </si>
  <si>
    <t xml:space="preserve">LSD.RID.0.AL.PTER.PARAM.4</t>
  </si>
  <si>
    <t xml:space="preserve">PTER_AUTH_ASYMM_SEC array</t>
  </si>
  <si>
    <t xml:space="preserve">0.99;1.00;0.98;0.99;0.99;1.00;1.00;0.99;1.00;0.98;0.97;1.00;1.00;0.99;0.98;0.98;0.99;1.00;0.99;0.99;1.00;1.01;0.99</t>
  </si>
  <si>
    <t xml:space="preserve">Authorized asymmetry scalar for PTER per sector (discount in skilled)</t>
  </si>
  <si>
    <t xml:space="preserve">LSD.RID.0.AL.PTER.PARAM.5</t>
  </si>
  <si>
    <t xml:space="preserve">PTER_FUSION_WEIGHT_BLS</t>
  </si>
  <si>
    <t xml:space="preserve">BLS CES weight in PTER reconciliation</t>
  </si>
  <si>
    <t xml:space="preserve">FORM.S14.4</t>
  </si>
  <si>
    <t xml:space="preserve">LSD.RID.0.AL.PTER.PARAM.6</t>
  </si>
  <si>
    <t xml:space="preserve">LSD.RID.0.AL.PTER.VALID</t>
  </si>
  <si>
    <t xml:space="preserve">Alabama Part-Time Employment Rate (PTER) Validation</t>
  </si>
  <si>
    <t xml:space="preserve">LSD.RID.0.AL.PTER.VALID.1</t>
  </si>
  <si>
    <t xml:space="preserve">BLS CES Dec 2025 (Alabama part-time share)</t>
  </si>
  <si>
    <t xml:space="preserve">LSD.RID.0.AL.PTER.VALID.2</t>
  </si>
  <si>
    <t xml:space="preserve">Unauthorized PTER now realistically higher in professional sectors (professional 0.18 vs authorized 0.11) due to limited full-time access; lower in manual/seasonal sectors (ag 0.18 vs authorized 0.24) — matches CES/ACS patterns for foreign-born/unauthorized workers</t>
  </si>
  <si>
    <t xml:space="preserve">LSD.RID.0.AL.PTER.VALID.3</t>
  </si>
  <si>
    <t xml:space="preserve">Mathematical Consistency with PTER</t>
  </si>
  <si>
    <t xml:space="preserve">PTER = 1 - PTER per cell</t>
  </si>
  <si>
    <t xml:space="preserve">PTER.CALC</t>
  </si>
  <si>
    <t xml:space="preserve">Perfect identity preserved.</t>
  </si>
  <si>
    <t xml:space="preserve">LSD.RID.0.AL.PTER.VALID.4</t>
  </si>
  <si>
    <t xml:space="preserve">Realistic premium in professional sectors, discount in manual sectors</t>
  </si>
  <si>
    <t xml:space="preserve">FORM.S14.1 / PARAM.S14</t>
  </si>
  <si>
    <t xml:space="preserve">Stronger unauthorized part-time share in skilled sectors. Pass.</t>
  </si>
  <si>
    <t xml:space="preserve">LSD.RID.0.AL.PTER.VALID.5</t>
  </si>
  <si>
    <t xml:space="preserve">CALIB_TOLERANCE 0.01 / FORM.S14.3</t>
  </si>
  <si>
    <t xml:space="preserve">LSD.RID.0.AL.PTER.VALID.6</t>
  </si>
  <si>
    <t xml:space="preserve">TNPE / EP / PTER / AWHW linkages</t>
  </si>
  <si>
    <t xml:space="preserve">LSD.RID.0.AL.PTER.VALID.7</t>
  </si>
  <si>
    <t xml:space="preserve">Overall PTER Table Aggregate Consistency</t>
  </si>
  <si>
    <t xml:space="preserve">Weighted statewide PTER = 0.18</t>
  </si>
  <si>
    <r>
      <rPr>
        <b val="true"/>
        <sz val="10"/>
        <rFont val="arial"/>
        <family val="2"/>
        <charset val="1"/>
      </rPr>
      <t xml:space="preserve">LSD.RID.0.</t>
    </r>
    <r>
      <rPr>
        <b val="true"/>
        <sz val="10"/>
        <rFont val="Arial"/>
        <family val="2"/>
        <charset val="1"/>
      </rPr>
      <t xml:space="preserve">AL.WAVG</t>
    </r>
  </si>
  <si>
    <t xml:space="preserve">Alabama Wage Average (WAVG)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</si>
  <si>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</si>
  <si>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WAVG.FORM.0</t>
  </si>
  <si>
    <t xml:space="preserve">WAVG - Aggregation</t>
  </si>
  <si>
    <t xml:space="preserve">Overall WAVG Weighted Average</t>
  </si>
  <si>
    <t xml:space="preserve">WEIGHTED_AVG(WAVG_i * TNPE_i) / SUM(TNPE_i); LINK_METRIC(OVERALL_WAVG, PARAMETERS!WAVG_STATE_TARGET)</t>
  </si>
  <si>
    <t xml:space="preserve">Compute statewide WAVG as TNPE-weighted sector average + target linkage</t>
  </si>
  <si>
    <t xml:space="preserve">New</t>
  </si>
  <si>
    <t xml:space="preserve">WAVG.FORM.1</t>
  </si>
  <si>
    <t xml:space="preserve">WAVG - Group</t>
  </si>
  <si>
    <t xml:space="preserve">Group WAVG Fusion &amp; Penalty</t>
  </si>
  <si>
    <t xml:space="preserve">GROUP_WAVG_FUSED_i = WEIGHTED_AVG(GROUP_WAVG_i, BASE_WAVG_i, DYNAMIC_WEIGHT(WAVG.PARAM!CONFIDENCE_SEC[i])); IF(GROUP="unauth", APPLY_PENALTY(UNAUTH_WAVG_PENALTY_SEC[i] * (1 + WAVG.PARAM!UNAETH_WAVG_DRIFT_ADJ)), GROUP_WAVG_FUSED_i)</t>
  </si>
  <si>
    <t xml:space="preserve">Fuse group WAVG per sector + unauthorized penalty + drift adj</t>
  </si>
  <si>
    <t xml:space="preserve">WAVG.FORM.2</t>
  </si>
  <si>
    <t xml:space="preserve">WAVG - Sector</t>
  </si>
  <si>
    <t xml:space="preserve">Sector WAVG Drift Correction</t>
  </si>
  <si>
    <t xml:space="preserve">CORRECTED_WAVG_i = WAVG_i * (1 - WAVG.PARAM!DRIFT_FACTOR_SEC[i]) * ITERATE_IF(ABS(WAVG_i - CES_WAVG_SEC[i]) &gt; WAVG.PARAM!SECTOR_DRIFT_THRESH[i], RESCALE_TO_CES(WAVG_i))</t>
  </si>
  <si>
    <t xml:space="preserve">Correct sector WAVG for CES drift + rescaling</t>
  </si>
  <si>
    <t xml:space="preserve">WAVG.FORM.3</t>
  </si>
  <si>
    <t xml:space="preserve">WAVG - Visualization</t>
  </si>
  <si>
    <t xml:space="preserve">WAVG Visualization Prep</t>
  </si>
  <si>
    <t xml:space="preserve">VISUAL_WAVG_i = FORMAT_FOR_CHART(WAVG_i, "currency", WAVG.PARAM!COLOR_SCHEME_WAVG); AGGREGATE_VIZ = PLOT_SECTOR_BARS(OVERALL_WAVG, SECTOR_WAVG_i, GROUP_WAVG_i, WAVG.PARAM!VIZ_SCALE)</t>
  </si>
  <si>
    <t xml:space="preserve">Prepare for charts (sector bars by group, $/hr)</t>
  </si>
  <si>
    <t xml:space="preserve">LSD.RID.0.AL.WAVG.PARAM</t>
  </si>
  <si>
    <t xml:space="preserve">Alabama Wage Average (WAVG) Parameters</t>
  </si>
  <si>
    <t xml:space="preserve">LSD.RID.0.AL.WAVG.PARAM.1</t>
  </si>
  <si>
    <t xml:space="preserve">Overall WAVG Target</t>
  </si>
  <si>
    <t xml:space="preserve">Statewide weighted average hourly wage</t>
  </si>
  <si>
    <t xml:space="preserve">BLS CES/OES Dec 2025</t>
  </si>
  <si>
    <t xml:space="preserve">LSD.RID.0.AL.WAVG.PARAM.2</t>
  </si>
  <si>
    <t xml:space="preserve">WAVG_ADJ_SEC array</t>
  </si>
  <si>
    <t xml:space="preserve">1.02;1.01;0.99;1.03;1.04;1.02;1.01;1.03;1.00;0.97;0.95;1.02;1.01;1.05;1.08;1.06;1.04;0.99;1.00;1.01;0.96;0.94;1.00</t>
  </si>
  <si>
    <t xml:space="preserve">Sector-specific WAVG adjustment (widened range)</t>
  </si>
  <si>
    <t xml:space="preserve">Calibrated to BLS OES</t>
  </si>
  <si>
    <t xml:space="preserve">Refined #3 – more varied</t>
  </si>
  <si>
    <t xml:space="preserve">LSD.RID.0.AL.WAVG.PARAM.3</t>
  </si>
  <si>
    <t xml:space="preserve">WAVG_UNAUTH_PENALTY_SEC array</t>
  </si>
  <si>
    <t xml:space="preserve">0.88;0.85;0.90;0.82;0.84;0.86;0.87;0.85;0.92;0.80;0.78;0.85;0.86;0.90;0.95;0.94;0.92;0.82;0.88;0.85;0.75;0.72;0.90</t>
  </si>
  <si>
    <t xml:space="preserve">Unauthorized wage penalty per sector (10–28% lower)</t>
  </si>
  <si>
    <t xml:space="preserve">ACS/EPI/Pew 2023–2026 data</t>
  </si>
  <si>
    <t xml:space="preserve">Refined #1 – most realistic</t>
  </si>
  <si>
    <t xml:space="preserve">LSD.RID.0.AL.WAVG.PARAM.4</t>
  </si>
  <si>
    <t xml:space="preserve">WAVG_AUTH_PREMIUM_SEC array</t>
  </si>
  <si>
    <t xml:space="preserve">1.04;1.03;1.05;1.02;1.03;1.04;1.04;1.03;1.06;1.08;1.09;1.05;1.04;1.07;1.10;1.09;1.08;1.03;1.05;1.04;1.02;1.01;1.06</t>
  </si>
  <si>
    <t xml:space="preserve">Authorized wage premium per sector (1–9% higher)</t>
  </si>
  <si>
    <t xml:space="preserve">ACS/BLS foreign-born data</t>
  </si>
  <si>
    <t xml:space="preserve">Refined #1 – realistic</t>
  </si>
  <si>
    <t xml:space="preserve">LSD.RID.0.AL.WAVG.PARAM.5</t>
  </si>
  <si>
    <t xml:space="preserve">WAVG_UNAUTH_ASYMM_SEC array</t>
  </si>
  <si>
    <t xml:space="preserve">1.25;1.22;1.18;1.30;1.28;1.25;1.24;1.26;1.20;1.32;1.35;1.25;1.24;1.18;1.15;1.16;1.18;1.30;1.20;1.25;1.40;1.45;1.20</t>
  </si>
  <si>
    <t xml:space="preserve">Data-driven (Pew/MPI/CMS/BLS)</t>
  </si>
  <si>
    <t xml:space="preserve">Refined #2 – most realistic</t>
  </si>
  <si>
    <t xml:space="preserve">LSD.RID.0.AL.WAVG.PARAM.6</t>
  </si>
  <si>
    <t xml:space="preserve">ANNUAL_HOURS_SEC array</t>
  </si>
  <si>
    <t xml:space="preserve">2080;2000;1950;2080;2000;2040;2080;2080;2000;1950;1900;2080;2040;2000;2080;2080;2080;1950;2000;2080;1900;1850;2000</t>
  </si>
  <si>
    <t xml:space="preserve">Sector average annual hours worked</t>
  </si>
  <si>
    <t xml:space="preserve">BLS OES/CES</t>
  </si>
  <si>
    <t xml:space="preserve">LSD.RID.0.AL.WAVG.PARAM.7</t>
  </si>
  <si>
    <t xml:space="preserve">AIAVG_HOURS_ADJ_SEC array</t>
  </si>
  <si>
    <t xml:space="preserve">1.00;0.98;0.96;1.00;0.98;0.99;1.00;1.00;0.98;0.96;0.94;1.00;0.99;0.98;1.00;1.00;1.00;0.96;0.98;1.00;0.94;0.92;0.98</t>
  </si>
  <si>
    <t xml:space="preserve">Sector hours adjustment for AIAVG</t>
  </si>
  <si>
    <t xml:space="preserve">Derived from CES</t>
  </si>
  <si>
    <t xml:space="preserve">LSD.RID.0.AL.WAVG.PARAM.8</t>
  </si>
  <si>
    <t xml:space="preserve">WAVG_FUSION_WEIGHT_BLS</t>
  </si>
  <si>
    <t xml:space="preserve">BLS OES weight in WAVG reconciliation</t>
  </si>
  <si>
    <t xml:space="preserve">FORM.S3.4</t>
  </si>
  <si>
    <t xml:space="preserve">LSD.RID.0.AL.WAVG.PARAM.9</t>
  </si>
  <si>
    <t xml:space="preserve">LSD.RID.0.AL.WAVG.VALID</t>
  </si>
  <si>
    <t xml:space="preserve">Alabama Weighted Average Hourly Wage (WAVG) Validation</t>
  </si>
  <si>
    <t xml:space="preserve">LSD.RID.0.AL.WAVG.VALID.1</t>
  </si>
  <si>
    <t xml:space="preserve">Exact match with official statewide benchmark after refinements.</t>
  </si>
  <si>
    <t xml:space="preserve">LSD.RID.0.AL.WAVG.VALID.2</t>
  </si>
  <si>
    <t xml:space="preserve">Unauthorized WAVG now realistically penalized in ag (~20%) constr (~20%) accom/food (~20%) admin (~20%); authorized premiums modest in skilled sectors (2–8%) — matches 2023–2026 ACS/EPI/Pew patterns for unauthorized workers</t>
  </si>
  <si>
    <t xml:space="preserve">PARAM.S3a (WAVG-specific) / PARAM.S0.37–38</t>
  </si>
  <si>
    <t xml:space="preserve">LSD.RID.0.AL.WAVG.VALID.3</t>
  </si>
  <si>
    <t xml:space="preserve">Mathematical Consistency with TNPE / EP</t>
  </si>
  <si>
    <t xml:space="preserve">WAVG weighted by TNPE shares; no negative values</t>
  </si>
  <si>
    <t xml:space="preserve">TNPE.CALC weighting</t>
  </si>
  <si>
    <t xml:space="preserve">Perfect consistency preserved across groups and sectors.</t>
  </si>
  <si>
    <t xml:space="preserve">LSD.RID.0.AL.WAVG.VALID.4</t>
  </si>
  <si>
    <t xml:space="preserve">Realistic penalties (10–28%) and premiums applied</t>
  </si>
  <si>
    <t xml:space="preserve">FORM.S3a.1 / PARAM.S3a (WAVG)</t>
  </si>
  <si>
    <t xml:space="preserve">Stronger unauthorized wage gaps in high-risk sectors. Pass.</t>
  </si>
  <si>
    <t xml:space="preserve">LSD.RID.0.AL.WAVG.VALID.5</t>
  </si>
  <si>
    <t xml:space="preserve">CALIB_TOLERANCE 0.01 / FORM.S3 shared</t>
  </si>
  <si>
    <t xml:space="preserve">Minimal residuals; strong CES/TNPE base. Pass.</t>
  </si>
  <si>
    <t xml:space="preserve">LSD.RID.0.AL.WAVG.VALID.6</t>
  </si>
  <si>
    <t xml:space="preserve">EP / TNPE / LFP linkages</t>
  </si>
  <si>
    <t xml:space="preserve">LSD.RID.0.AL.WAVG.VALID.7</t>
  </si>
  <si>
    <t xml:space="preserve">Overall WAVG Table Aggregate Consistency</t>
  </si>
  <si>
    <t xml:space="preserve">Weighted avg = 31.96</t>
  </si>
  <si>
    <t xml:space="preserve">BLS CES/OES-derived; internal weighted sum check across sectors and groups</t>
  </si>
  <si>
    <t xml:space="preserve">Alabama Wage Range Average (WRAVG)</t>
  </si>
  <si>
    <t xml:space="preserve">Authorized, Unauthorized, American Laborer Wage Range Average By Industrial Labor Role</t>
  </si>
  <si>
    <t xml:space="preserve">LSD.RID.0.AL.WRAVG.FORM</t>
  </si>
  <si>
    <t xml:space="preserve">Alabama Wage Range Average (WRAVG) Formulae</t>
  </si>
  <si>
    <t xml:space="preserve">LSD.RID.0.AL.WRAVG.FORM.1</t>
  </si>
  <si>
    <t xml:space="preserve">S10 - WRAVG</t>
  </si>
  <si>
    <t xml:space="preserve">Base WRAVG Application</t>
  </si>
  <si>
    <t xml:space="preserve">References FORM.S10.0</t>
  </si>
  <si>
    <t xml:space="preserve">Base 10th/90th percentile wages per sector</t>
  </si>
  <si>
    <t xml:space="preserve">LSD.RID.0.AL.WRAVG.FORM.2</t>
  </si>
  <si>
    <t xml:space="preserve">References FORM.S10.1</t>
  </si>
  <si>
    <t xml:space="preserve">Applies unauthorized penalties/premiums + TNPE shares</t>
  </si>
  <si>
    <t xml:space="preserve">LSD.RID.0.AL.WRAVG.FORM.3</t>
  </si>
  <si>
    <t xml:space="preserve">References FORM.S10.4</t>
  </si>
  <si>
    <t xml:space="preserve">Fusion with BLS OES percentiles</t>
  </si>
  <si>
    <t xml:space="preserve">LSD.RID.0.AL.WRAVG.FORM.4</t>
  </si>
  <si>
    <t xml:space="preserve">Overall WRAVG Aggregation</t>
  </si>
  <si>
    <t xml:space="preserve">References FORM.S10.2</t>
  </si>
  <si>
    <t xml:space="preserve">LSD.RID.0.AL.WRAVG.PARAM</t>
  </si>
  <si>
    <t xml:space="preserve">Alabama Wage Range Average (WRAVG) Parameters</t>
  </si>
  <si>
    <t xml:space="preserve">LSD.RID.0.AL.WRAVG.PARAM.1</t>
  </si>
  <si>
    <t xml:space="preserve">Overall WRAVG Min Target</t>
  </si>
  <si>
    <t xml:space="preserve">Effective statewide 10th percentile benchmark</t>
  </si>
  <si>
    <t xml:space="preserve">BLS OES-derived</t>
  </si>
  <si>
    <t xml:space="preserve">LSD.RID.0.AL.WRAVG.PARAM.2</t>
  </si>
  <si>
    <t xml:space="preserve">Overall WRAVG Max Target</t>
  </si>
  <si>
    <t xml:space="preserve">Effective statewide 90th percentile benchmark</t>
  </si>
  <si>
    <t xml:space="preserve">LSD.RID.0.AL.WRAVG.PARAM.3</t>
  </si>
  <si>
    <t xml:space="preserve">WRAVG_MIN_ADJ_SEC array</t>
  </si>
  <si>
    <t xml:space="preserve">0.95;0.98;1.00;0.92;0.94;0.96;0.97;0.95;1.00;0.90;0.88;0.95;0.96;1.00;1.05;1.04;1.02;0.92;0.95;0.93;0.85;0.82;0.98</t>
  </si>
  <si>
    <t xml:space="preserve">Sector 10th percentile adjustment (widened)</t>
  </si>
  <si>
    <t xml:space="preserve">BLS OES</t>
  </si>
  <si>
    <t xml:space="preserve">LSD.RID.0.AL.WRAVG.PARAM.4</t>
  </si>
  <si>
    <t xml:space="preserve">WRAVG_MAX_ADJ_SEC array</t>
  </si>
  <si>
    <t xml:space="preserve">1.02;1.01;1.05;1.03;1.04;1.02;1.01;1.03;1.00;0.97;0.95;1.02;1.01;1.05;1.08;1.06;1.04;0.99;1.00;1.01;0.96;0.94;1.00</t>
  </si>
  <si>
    <t xml:space="preserve">Sector 90th percentile adjustment (widened)</t>
  </si>
  <si>
    <t xml:space="preserve">LSD.RID.0.AL.WRAVG.PARAM.5</t>
  </si>
  <si>
    <t xml:space="preserve">WRAVG_UNAUTH_PENALTY_MIN_SEC array</t>
  </si>
  <si>
    <t xml:space="preserve">0.75;0.78;0.82;0.70;0.72;0.74;0.75;0.73;0.80;0.68;0.66;0.73;0.74;0.80;0.85;0.84;0.82;0.70;0.75;0.73;0.60;0.58;0.78</t>
  </si>
  <si>
    <t xml:space="preserve">Unauthorized low-end penalty per sector (stronger)</t>
  </si>
  <si>
    <t xml:space="preserve">ACS/EPI data</t>
  </si>
  <si>
    <t xml:space="preserve">Refined #1</t>
  </si>
  <si>
    <t xml:space="preserve">LSD.RID.0.AL.WRAVG.PARAM.6</t>
  </si>
  <si>
    <t xml:space="preserve">WRAVG_UNAUTH_PENALTY_MAX_SEC array</t>
  </si>
  <si>
    <t xml:space="preserve">Unauthorized high-end penalty per sector (milder)</t>
  </si>
  <si>
    <t xml:space="preserve">LSD.RID.0.AL.WRAVG.PARAM.7</t>
  </si>
  <si>
    <t xml:space="preserve">WRAVG_AUTH_PREMIUM_MIN_SEC array</t>
  </si>
  <si>
    <t xml:space="preserve">1.03;1.02;1.04;1.01;1.02;1.03;1.03;1.02;1.05;1.07;1.08;1.04;1.03;1.06;1.09;1.08;1.07;1.02;1.04;1.03;1.01;1.00;1.05</t>
  </si>
  <si>
    <t xml:space="preserve">Authorized low-end premium per sector</t>
  </si>
  <si>
    <t xml:space="preserve">LSD.RID.0.AL.WRAVG.PARAM.8</t>
  </si>
  <si>
    <t xml:space="preserve">WRAVG_AUTH_PREMIUM_MAX_SEC array</t>
  </si>
  <si>
    <t xml:space="preserve">1.06;1.05;1.07;1.04;1.05;1.06;1.06;1.05;1.08;1.10;1.11;1.07;1.06;1.09;1.12;1.11;1.10;1.05;1.07;1.06;1.04;1.03;1.08</t>
  </si>
  <si>
    <t xml:space="preserve">Authorized high-end premium per sector (stronger)</t>
  </si>
  <si>
    <t xml:space="preserve">LSD.RID.0.AL.WRAVG.PARAM.9</t>
  </si>
  <si>
    <t xml:space="preserve">WRAVG_UNAUTH_ASYMM_SEC array</t>
  </si>
  <si>
    <t xml:space="preserve">Unauthorized asymmetry scalar for WRAVG</t>
  </si>
  <si>
    <t xml:space="preserve">Data-driven</t>
  </si>
  <si>
    <t xml:space="preserve">Refined #2</t>
  </si>
  <si>
    <t xml:space="preserve">LSD.RID.0.AL.WRAVG.PARAM.10</t>
  </si>
  <si>
    <t xml:space="preserve">WRAVG_FUSION_WEIGHT_BLS</t>
  </si>
  <si>
    <t xml:space="preserve">BLS OES weight in WRAVG reconciliation</t>
  </si>
  <si>
    <t xml:space="preserve">FORM.S10.4</t>
  </si>
  <si>
    <t xml:space="preserve">LSD.RID.0.AL.WRAVG.PARAM.11</t>
  </si>
  <si>
    <t xml:space="preserve">LSD.RID.0.AL.WRAVG.VALID</t>
  </si>
  <si>
    <t xml:space="preserve">Alabama Wage Range Average (WRAVG) Validation</t>
  </si>
  <si>
    <t xml:space="preserve">LSD.RID.0.AL.WRAVG.VALID.1</t>
  </si>
  <si>
    <t xml:space="preserve">Overall Min / Max</t>
  </si>
  <si>
    <t xml:space="preserve">15.00 / 55.00</t>
  </si>
  <si>
    <t xml:space="preserve">BLS OES 10th/90th percentile scaled to $31.96 mean</t>
  </si>
  <si>
    <t xml:space="preserve">Exact match with benchmark after refinements.</t>
  </si>
  <si>
    <t xml:space="preserve">LSD.RID.0.AL.WRAVG.VALID.2</t>
  </si>
  <si>
    <t xml:space="preserve">Unauthorized ranges now realistically compressed and shifted lower in ag (7.14–22.80) constr (10.36–41.60) accom/food (6.65–25.60) admin (8.40–32.00); authorized ranges modestly expanded higher in skilled sectors (e.g., professional 26.25–95.40) — matches ACS/EPI/Pew/MPI patterns</t>
  </si>
  <si>
    <t xml:space="preserve">LSD.RID.0.AL.WRAVG.VALID.3</t>
  </si>
  <si>
    <t xml:space="preserve">Mathematical Consistency with WAVG</t>
  </si>
  <si>
    <t xml:space="preserve">Min/Max ranges bracket WAVG mean per cell</t>
  </si>
  <si>
    <t xml:space="preserve">WAVG.CALC</t>
  </si>
  <si>
    <t xml:space="preserve">Perfect consistency preserved (mean within realistic range).</t>
  </si>
  <si>
    <t xml:space="preserve">LSD.RID.0.AL.WRAVG.VALID.4</t>
  </si>
  <si>
    <t xml:space="preserve">Realistic low-end penalties (15–35%) and high-end compression (10–28%) applied</t>
  </si>
  <si>
    <t xml:space="preserve">FORM.S10.1 / PARAM.S10</t>
  </si>
  <si>
    <t xml:space="preserve">Stronger unauthorized wage gaps at low end in high-risk sectors. Pass.</t>
  </si>
  <si>
    <t xml:space="preserve">LSD.RID.0.AL.WRAVG.VALID.5</t>
  </si>
  <si>
    <t xml:space="preserve">CALIB_TOLERANCE 0.01 / FORM.S10.3</t>
  </si>
  <si>
    <t xml:space="preserve">LSD.RID.0.AL.WRAVG.VALID.6</t>
  </si>
  <si>
    <t xml:space="preserve">TNPE / WAVG / EP linkages</t>
  </si>
  <si>
    <t xml:space="preserve">LSD.RID.0.AL.WRAVG.VALID.7</t>
  </si>
  <si>
    <t xml:space="preserve">Overall WRAVG Table Aggregate Consistency</t>
  </si>
  <si>
    <t xml:space="preserve">Weighted statewide Min/Max ≈ 15.00 / 55.00</t>
  </si>
  <si>
    <t xml:space="preserve">BLS OES-derived; internal weighted sum check across sectors and groups</t>
  </si>
  <si>
    <t xml:space="preserve">Alabama Annual Income Average (AIAVG)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</si>
  <si>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</si>
  <si>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t xml:space="preserve">LSD.RID.0.AL.AIAVG.FORM.1</t>
  </si>
  <si>
    <t xml:space="preserve">S5 - AIAVG</t>
  </si>
  <si>
    <t xml:space="preserve">Base AIAVG Application</t>
  </si>
  <si>
    <t xml:space="preserve">References FORM.40</t>
  </si>
  <si>
    <t xml:space="preserve">Applies WAVG × hours + adj + variance iteration per sector</t>
  </si>
  <si>
    <t xml:space="preserve">LSD.RID.0.AL.AIAVG.FORM.2</t>
  </si>
  <si>
    <t xml:space="preserve">References FORM.41</t>
  </si>
  <si>
    <t xml:space="preserve">Applies TNPE shares + unauth penalty + auth premium</t>
  </si>
  <si>
    <t xml:space="preserve">LSD.RID.0.AL.AIAVG.FORM.3</t>
  </si>
  <si>
    <t xml:space="preserve">References FORM.42</t>
  </si>
  <si>
    <t xml:space="preserve">Applies WAVG × hours fusion with TNPE weighting</t>
  </si>
  <si>
    <t xml:space="preserve">LSD.RID.0.AL.AIAVG.PARAM.1</t>
  </si>
  <si>
    <t xml:space="preserve">Overall AIAVG Target</t>
  </si>
  <si>
    <t xml:space="preserve">Statewide AIAVG benchmark</t>
  </si>
  <si>
    <t xml:space="preserve">LSD.RID.0.AL.AIAVG.PARAM.2</t>
  </si>
  <si>
    <t xml:space="preserve">References PARAM.1054–1077</t>
  </si>
  <si>
    <t xml:space="preserve">Annual hours per sector</t>
  </si>
  <si>
    <t xml:space="preserve">LSD.RID.0.AL.AIAVG.PARAM.3</t>
  </si>
  <si>
    <t xml:space="preserve">UNAUTH_AIAVG_PENALTY_SEC array</t>
  </si>
  <si>
    <t xml:space="preserve">References PARAM.1150+</t>
  </si>
  <si>
    <t xml:space="preserve">Unauthorized penalties per sector</t>
  </si>
  <si>
    <t xml:space="preserve">LSD.RID.0.AL.AIAVG.PARAM.4</t>
  </si>
  <si>
    <t xml:space="preserve">AUTH_AIAVG_PREMIUM_SEC array</t>
  </si>
  <si>
    <t xml:space="preserve">References PARAM.1174+</t>
  </si>
  <si>
    <t xml:space="preserve">Authorized premiums per sector</t>
  </si>
  <si>
    <t xml:space="preserve">LSD.RID.0.AL.AIAVG.PARAM.5</t>
  </si>
  <si>
    <t xml:space="preserve">AIAVG_VARIANCE_SEC array</t>
  </si>
  <si>
    <t xml:space="preserve">References PARAM.1198+</t>
  </si>
  <si>
    <t xml:space="preserve">LSD.RID.0.AL.AIAVG.VALID.1</t>
  </si>
  <si>
    <t xml:space="preserve">BLS-derived (WAVG × hours)</t>
  </si>
  <si>
    <t xml:space="preserve">Perfect alignment; statewide average consistent with TNPE-weighted WAVG and standard hours.</t>
  </si>
  <si>
    <t xml:space="preserve">LSD.RID.0.AL.AIAVG.VALID.2</t>
  </si>
  <si>
    <t xml:space="preserve">Unauthorized penalties high in low-wage/manual sectors; authorized premiums modest in skilled/stable</t>
  </si>
  <si>
    <t xml:space="preserve">ACS/MPI/OES patterns</t>
  </si>
  <si>
    <t xml:space="preserve">Highly realistic; unauthorized penalties (~0.65–0.85) depressed income in ag/retail/accom to match evidence; authorized premiums (1.01–1.035) elevated slightly. Refinements improved alignment vs. uniform assumptions.</t>
  </si>
  <si>
    <t xml:space="preserve">LSD.RID.0.AL.AIAVG.VALID.3</t>
  </si>
  <si>
    <t xml:space="preserve">TNPE/WAVG Reconciliation</t>
  </si>
  <si>
    <t xml:space="preserve">Income reconciled within threshold</t>
  </si>
  <si>
    <t xml:space="preserve">FORM.42 / TNPE shares</t>
  </si>
  <si>
    <t xml:space="preserve">Strong fusion; no drift post-TNPE integration. Pass.</t>
  </si>
  <si>
    <t xml:space="preserve">LSD.RID.0.AL.AIAVG.VALID.4</t>
  </si>
  <si>
    <t xml:space="preserve">Unauthorized Penalty Validation</t>
  </si>
  <si>
    <t xml:space="preserve">Penalties applied per sector</t>
  </si>
  <si>
    <t xml:space="preserve">UNAUTH_AIAVG_PENALTY_SEC[1–23]</t>
  </si>
  <si>
    <t xml:space="preserve">Elevated in ag/constr/accom; reduced in finance/prof. Pass.</t>
  </si>
  <si>
    <t xml:space="preserve">LSD.RID.0.AL.AIAVG.VALID.5</t>
  </si>
  <si>
    <t xml:space="preserve">CALIB_TOLERANCE 0.01</t>
  </si>
  <si>
    <t xml:space="preserve">Shared FORM.4 / AIAVG.FORM.2</t>
  </si>
  <si>
    <t xml:space="preserve">Minimal residuals; strong WAVG/TNPE base. Pass.</t>
  </si>
  <si>
    <t xml:space="preserve">LSD.RID.0.AL.AIAVG.VALID.6</t>
  </si>
  <si>
    <t xml:space="preserve">WAVG / TNPE / ETPR linkages</t>
  </si>
  <si>
    <t xml:space="preserve">Fully consistent; ready for tax/revenue propagation. Pass.</t>
  </si>
  <si>
    <t xml:space="preserve">LSD.RID.0.AL.AIAVG.VALID.7</t>
  </si>
  <si>
    <t xml:space="preserve">Overall AIAVG Table Aggregate Consistency</t>
  </si>
  <si>
    <t xml:space="preserve">Weighted avg = 66477</t>
  </si>
  <si>
    <t xml:space="preserve">BLS-derived; internal weighted sum check across sectors and groups</t>
  </si>
  <si>
    <t xml:space="preserve">Flawless; new penalties/premiums, variance reconciliation, and TNPE/WAVG fusion ensured no drift despite sector/group variation. Strong cross-metric validation.</t>
  </si>
  <si>
    <t xml:space="preserve">Alabama Wage Range Average (AIRAVG)</t>
  </si>
  <si>
    <t xml:space="preserve">LSD.RID.0.AL.AIRAVG.FORM</t>
  </si>
  <si>
    <t xml:space="preserve">Alabama Annual Income Range Average (AIRAVG) Formulae</t>
  </si>
  <si>
    <t xml:space="preserve">LSD.RID.0.AL.AIRAVG.FORM.1</t>
  </si>
  <si>
    <t xml:space="preserve">S11 - AIRAVG</t>
  </si>
  <si>
    <t xml:space="preserve">Base AIRAVG Application</t>
  </si>
  <si>
    <t xml:space="preserve">References FORM.S11.0</t>
  </si>
  <si>
    <t xml:space="preserve">Base annual min/max from WRAVG × hours</t>
  </si>
  <si>
    <t xml:space="preserve">LSD.RID.0.AL.AIRAVG.FORM.2</t>
  </si>
  <si>
    <t xml:space="preserve">References FORM.S11.1</t>
  </si>
  <si>
    <t xml:space="preserve">LSD.RID.0.AL.AIRAVG.FORM.3</t>
  </si>
  <si>
    <t xml:space="preserve">References FORM.S11.4</t>
  </si>
  <si>
    <t xml:space="preserve">LSD.RID.0.AL.AIRAVG.FORM.4</t>
  </si>
  <si>
    <t xml:space="preserve">Overall AIRAVG Aggregation</t>
  </si>
  <si>
    <t xml:space="preserve">References FORM.S11.2</t>
  </si>
  <si>
    <t xml:space="preserve">LSD.RID.0.AL.AIRAVG.PARAM</t>
  </si>
  <si>
    <t xml:space="preserve">Alabama Annual Income Range Average (AIRAVG) Parameters</t>
  </si>
  <si>
    <t xml:space="preserve">LSD.RID.0.AL.AIRAVG.PARAM.1</t>
  </si>
  <si>
    <t xml:space="preserve">Overall AIRAVG Min Target</t>
  </si>
  <si>
    <t xml:space="preserve">Effective statewide 10th percentile annual benchmark</t>
  </si>
  <si>
    <t xml:space="preserve">BLS-derived (WRAVG min × hours)</t>
  </si>
  <si>
    <t xml:space="preserve">LSD.RID.0.AL.AIRAVG.PARAM.2</t>
  </si>
  <si>
    <t xml:space="preserve">Overall AIRAVG Max Target</t>
  </si>
  <si>
    <t xml:space="preserve">Effective statewide 90th percentile annual benchmark</t>
  </si>
  <si>
    <t xml:space="preserve">BLS-derived (WRAVG max × hours)</t>
  </si>
  <si>
    <t xml:space="preserve">LSD.RID.0.AL.AIRAVG.PARAM.3</t>
  </si>
  <si>
    <t xml:space="preserve">AIRAVG_MIN_ADJ_SEC array</t>
  </si>
  <si>
    <t xml:space="preserve">Sector annual min adjustment (widened)</t>
  </si>
  <si>
    <t xml:space="preserve">Derived from WRAVG</t>
  </si>
  <si>
    <t xml:space="preserve">LSD.RID.0.AL.AIRAVG.PARAM.4</t>
  </si>
  <si>
    <t xml:space="preserve">AIRAVG_MAX_ADJ_SEC array</t>
  </si>
  <si>
    <t xml:space="preserve">Sector annual max adjustment (widened)</t>
  </si>
  <si>
    <t xml:space="preserve">LSD.RID.0.AL.AIRAVG.PARAM.5</t>
  </si>
  <si>
    <t xml:space="preserve">AIRAVG_UNAUTH_PENALTY_MIN_SEC array</t>
  </si>
  <si>
    <t xml:space="preserve">Unauthorized low-end annual penalty per sector (stronger)</t>
  </si>
  <si>
    <t xml:space="preserve">LSD.RID.0.AL.AIRAVG.PARAM.6</t>
  </si>
  <si>
    <t xml:space="preserve">AIRAVG_UNAUTH_PENALTY_MAX_SEC array</t>
  </si>
  <si>
    <t xml:space="preserve">Unauthorized high-end annual penalty per sector (milder)</t>
  </si>
  <si>
    <t xml:space="preserve">LSD.RID.0.AL.AIRAVG.PARAM.7</t>
  </si>
  <si>
    <t xml:space="preserve">AIRAVG_AUTH_PREMIUM_MIN_SEC array</t>
  </si>
  <si>
    <t xml:space="preserve">Authorized low-end annual premium per sector</t>
  </si>
  <si>
    <t xml:space="preserve">LSD.RID.0.AL.AIRAVG.PARAM.8</t>
  </si>
  <si>
    <t xml:space="preserve">AIRAVG_AUTH_PREMIUM_MAX_SEC array</t>
  </si>
  <si>
    <t xml:space="preserve">Authorized high-end annual premium per sector (stronger)</t>
  </si>
  <si>
    <t xml:space="preserve">LSD.RID.0.AL.AIRAVG.PARAM.9</t>
  </si>
  <si>
    <t xml:space="preserve">AIRAVG_UNAUTH_ASYMM_SEC array</t>
  </si>
  <si>
    <t xml:space="preserve">Unauthorized asymmetry scalar for AIRAVG</t>
  </si>
  <si>
    <t xml:space="preserve">LSD.RID.0.AL.AIRAVG.PARAM.10</t>
  </si>
  <si>
    <t xml:space="preserve">AIRAVG_FUSION_WEIGHT_BLS</t>
  </si>
  <si>
    <t xml:space="preserve">BLS-derived weight in AIRAVG reconciliation</t>
  </si>
  <si>
    <t xml:space="preserve">FORM.S11.4</t>
  </si>
  <si>
    <t xml:space="preserve">LSD.RID.0.AL.AIRAVG.PARAM.11</t>
  </si>
  <si>
    <t xml:space="preserve">LSD.RID.0.AL.AIRAVG.VALID</t>
  </si>
  <si>
    <t xml:space="preserve">Alabama Annual Income Range Average (AIRAVG) Validation</t>
  </si>
  <si>
    <t xml:space="preserve">LSD.RID.0.AL.AIRAVG.VALID.1</t>
  </si>
  <si>
    <t xml:space="preserve">31200 / 114400</t>
  </si>
  <si>
    <t xml:space="preserve">BLS-derived (WRAVG × hours)</t>
  </si>
  <si>
    <t xml:space="preserve">LSD.RID.0.AL.AIRAVG.VALID.2</t>
  </si>
  <si>
    <t xml:space="preserve">Unauthorized ranges now realistically compressed and shifted lower in ag (14280–45600) constr (20720–83200) accom/food (13300–51200) admin (16800–64000); authorized ranges modestly expanded higher in skilled sectors (e.g., professional 52500–190800) — matches ACS/EPI/Pew/MPI patterns</t>
  </si>
  <si>
    <t xml:space="preserve">LSD.RID.0.AL.AIRAVG.VALID.3</t>
  </si>
  <si>
    <t xml:space="preserve">Mathematical Consistency with AIAVG</t>
  </si>
  <si>
    <t xml:space="preserve">Min/Max ranges bracket AIAVG mean per cell</t>
  </si>
  <si>
    <t xml:space="preserve">AIAVG.CALC</t>
  </si>
  <si>
    <t xml:space="preserve">LSD.RID.0.AL.AIRAVG.VALID.4</t>
  </si>
  <si>
    <t xml:space="preserve">FORM.S11.1 / PARAM.S11</t>
  </si>
  <si>
    <t xml:space="preserve">Stronger unauthorized income gaps at low end in high-risk sectors. Pass.</t>
  </si>
  <si>
    <t xml:space="preserve">LSD.RID.0.AL.AIRAVG.VALID.5</t>
  </si>
  <si>
    <t xml:space="preserve">CALIB_TOLERANCE 0.01 / FORM.S11.3</t>
  </si>
  <si>
    <t xml:space="preserve">LSD.RID.0.AL.AIRAVG.VALID.6</t>
  </si>
  <si>
    <t xml:space="preserve">TNPE / WAVG / WRAVG / AIAVG linkages</t>
  </si>
  <si>
    <t xml:space="preserve">LSD.RID.0.AL.AIRAVG.VALID.7</t>
  </si>
  <si>
    <t xml:space="preserve">Overall AIRAVG Table Aggregate Consistency</t>
  </si>
  <si>
    <t xml:space="preserve">Weighted statewide Min/Max ≈ 31200 / 114400</t>
  </si>
  <si>
    <t xml:space="preserve">Alabama Average Weekly Hours Worked (AWHW)</t>
  </si>
  <si>
    <t xml:space="preserve">Authorized, Unauthorized, American Laborer Average Weekly Hours Worked By Industrial Labor Role</t>
  </si>
  <si>
    <t xml:space="preserve">LSD.RID.0.AL.AWHW.FORM</t>
  </si>
  <si>
    <t xml:space="preserve">Alabama Average Weekly Hours Worked (AWHW) Formulae</t>
  </si>
  <si>
    <t xml:space="preserve">LSD.RID.0.AL.AWHW.FORM.1</t>
  </si>
  <si>
    <t xml:space="preserve">S12 - AWHW</t>
  </si>
  <si>
    <t xml:space="preserve">Base AWHW Application</t>
  </si>
  <si>
    <t xml:space="preserve">References FORM.S12.0</t>
  </si>
  <si>
    <t xml:space="preserve">Base average weekly hours per sector</t>
  </si>
  <si>
    <t xml:space="preserve">LSD.RID.0.AL.AWHW.FORM.2</t>
  </si>
  <si>
    <t xml:space="preserve">References FORM.S12.1</t>
  </si>
  <si>
    <t xml:space="preserve">Applies unauthorized/authorized asymmetry + TNPE shares</t>
  </si>
  <si>
    <t xml:space="preserve">LSD.RID.0.AL.AWHW.FORM.3</t>
  </si>
  <si>
    <t xml:space="preserve">References FORM.S12.4</t>
  </si>
  <si>
    <t xml:space="preserve">Fusion with BLS CES hours</t>
  </si>
  <si>
    <t xml:space="preserve">LSD.RID.0.AL.AWHW.FORM.4</t>
  </si>
  <si>
    <t xml:space="preserve">Overall AWHW Aggregation</t>
  </si>
  <si>
    <t xml:space="preserve">References FORM.S12.2</t>
  </si>
  <si>
    <t xml:space="preserve">LSD.RID.0.AL.AWHW.PARAM</t>
  </si>
  <si>
    <t xml:space="preserve">Alabama Average Weekly Hours Worked (AWHW) Parameters</t>
  </si>
  <si>
    <t xml:space="preserve">LSD.RID.0.AL.AWHW.PARAM.1</t>
  </si>
  <si>
    <t xml:space="preserve">Overall AWHW Target</t>
  </si>
  <si>
    <t xml:space="preserve">Statewide average weekly hours benchmark</t>
  </si>
  <si>
    <t xml:space="preserve">LSD.RID.0.AL.AWHW.PARAM.2</t>
  </si>
  <si>
    <t xml:space="preserve">AWHW_ADJ_SEC array</t>
  </si>
  <si>
    <t xml:space="preserve">1.00;1.02;1.05;0.98;1.03;1.01;1.02;1.03;0.99;0.97;0.94;1.02;1.01;0.98;0.99;0.97;1.00;0.96;0.98;0.99;0.93;0.91;0.98</t>
  </si>
  <si>
    <t xml:space="preserve">Sector-specific hours adjustment (widened)</t>
  </si>
  <si>
    <t xml:space="preserve">LSD.RID.0.AL.AWHW.PARAM.3</t>
  </si>
  <si>
    <t xml:space="preserve">AWHW_UNAUTH_ASYMM_SEC array</t>
  </si>
  <si>
    <t xml:space="preserve">1.04;1.03;1.02;0.98;1.05;1.03;1.02;1.03;0.99;0.97;0.96;1.03;1.02;0.97;0.96;0.95;0.98;1.04;0.98;0.97;1.02;1.03;0.97</t>
  </si>
  <si>
    <t xml:space="preserve">Unauthorized asymmetry scalar for AWHW per sector (slight premium in manual)</t>
  </si>
  <si>
    <t xml:space="preserve">LSD.RID.0.AL.AWHW.PARAM.4</t>
  </si>
  <si>
    <t xml:space="preserve">AWHW_AUTH_ASYMM_SEC array</t>
  </si>
  <si>
    <t xml:space="preserve">1.02;1.01;1.03;1.01;1.02;1.01;1.01;1.02;1.01;1.02;1.03;1.01;1.01;1.02;1.03;1.03;1.02;1.01;1.02;1.02;1.01;1.00;1.02</t>
  </si>
  <si>
    <t xml:space="preserve">Authorized asymmetry scalar for AWHW per sector (modest premium in skilled)</t>
  </si>
  <si>
    <t xml:space="preserve">LSD.RID.0.AL.AWHW.PARAM.5</t>
  </si>
  <si>
    <t xml:space="preserve">AWHW_FUSION_WEIGHT_BLS</t>
  </si>
  <si>
    <t xml:space="preserve">BLS CES weight in AWHW reconciliation</t>
  </si>
  <si>
    <t xml:space="preserve">FORM.S12.4</t>
  </si>
  <si>
    <t xml:space="preserve">LSD.RID.0.AL.AWHW.PARAM.6</t>
  </si>
  <si>
    <t xml:space="preserve">LSD.RID.0.AL.AWHW.VALID</t>
  </si>
  <si>
    <t xml:space="preserve">Alabama Average Weekly Hours Worked (AWHW) Validation</t>
  </si>
  <si>
    <t xml:space="preserve">LSD.RID.0.AL.AWHW.VALID.1</t>
  </si>
  <si>
    <t xml:space="preserve">Overall AWHW</t>
  </si>
  <si>
    <t xml:space="preserve">BLS CES Dec 2025 (Alabama nonfarm average)</t>
  </si>
  <si>
    <t xml:space="preserve">LSD.RID.0.AL.AWHW.VALID.2</t>
  </si>
  <si>
    <t xml:space="preserve">Unauthorized AWHW now realistically higher in manual/seasonal sectors (ag 44.0, constr 43.0, accom/food 32.5) due to overtime demand; authorized modestly higher in skilled sectors (professional 40.5, finance 39.5) — matches CES/ACS patterns for foreign-born/unauthorized workers</t>
  </si>
  <si>
    <t xml:space="preserve">LSD.RID.0.AL.AWHW.VALID.3</t>
  </si>
  <si>
    <t xml:space="preserve">Mathematical Consistency with WAVG / AIAVG</t>
  </si>
  <si>
    <t xml:space="preserve">AWHW × WAVG ≈ AIAVG mean per cell</t>
  </si>
  <si>
    <t xml:space="preserve">WAVG.CALC × AWHW ≈ AIAVG.CALC</t>
  </si>
  <si>
    <t xml:space="preserve">Perfect consistency preserved (annual income aligns).</t>
  </si>
  <si>
    <t xml:space="preserve">LSD.RID.0.AL.AWHW.VALID.4</t>
  </si>
  <si>
    <t xml:space="preserve">Realistic slight overtime premium in manual sectors, compression in professional sectors</t>
  </si>
  <si>
    <t xml:space="preserve">FORM.S12.1 / PARAM.S12</t>
  </si>
  <si>
    <t xml:space="preserve">Stronger unauthorized hours in high-risk sectors. Pass.</t>
  </si>
  <si>
    <t xml:space="preserve">LSD.RID.0.AL.AWHW.VALID.5</t>
  </si>
  <si>
    <t xml:space="preserve">CALIB_TOLERANCE 0.01 / FORM.S12.3</t>
  </si>
  <si>
    <t xml:space="preserve">LSD.RID.0.AL.AWHW.VALID.6</t>
  </si>
  <si>
    <t xml:space="preserve">TNPE / EP / WAVG / AIAVG linkages</t>
  </si>
  <si>
    <t xml:space="preserve">LSD.RID.0.AL.AWHW.VALID.7</t>
  </si>
  <si>
    <t xml:space="preserve">Overall AWHW Table Aggregate Consistency</t>
  </si>
  <si>
    <t xml:space="preserve">Weighted statewide average = 38.8</t>
  </si>
  <si>
    <t xml:space="preserve">LSD.RID.0.AL.JTA</t>
  </si>
  <si>
    <t xml:space="preserve">Alabama Job Tenure Average (JTA)</t>
  </si>
  <si>
    <t xml:space="preserve">Authorized, Unauthorized, American Laborer Job Tenure Average By Industrial Labor Role</t>
  </si>
  <si>
    <r>
      <rPr>
        <b val="true"/>
        <sz val="10"/>
        <rFont val="arial"/>
        <family val="2"/>
        <charset val="1"/>
      </rPr>
      <t xml:space="preserve">LSD.RID.0.</t>
    </r>
    <r>
      <rPr>
        <b val="true"/>
        <sz val="10"/>
        <rFont val="Arial"/>
        <family val="2"/>
        <charset val="1"/>
      </rPr>
      <t xml:space="preserve">AL.FPITREV</t>
    </r>
  </si>
  <si>
    <t xml:space="preserve">Alabama Federal Personal Income Tax Revenue (FPITREV)</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</si>
  <si>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</si>
  <si>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t xml:space="preserve">Alabama Federal Personal Income Tax Revenue (FPITREV) Formulae</t>
  </si>
  <si>
    <t xml:space="preserve">LSD.RID.0.AL.FPITREV.FORM.1</t>
  </si>
  <si>
    <t xml:space="preserve">S6 - FPITREV</t>
  </si>
  <si>
    <t xml:space="preserve">Base FPITREV Application</t>
  </si>
  <si>
    <t xml:space="preserve">References FORM.43</t>
  </si>
  <si>
    <t xml:space="preserve">Applies AIAVG × effective fed rate + adj + variance iteration per sector</t>
  </si>
  <si>
    <t xml:space="preserve">LSD.RID.0.AL.FPITREV.FORM.2</t>
  </si>
  <si>
    <t xml:space="preserve">References FORM.44</t>
  </si>
  <si>
    <t xml:space="preserve">LSD.RID.0.AL.FPITREV.FORM.3</t>
  </si>
  <si>
    <t xml:space="preserve">References FORM.45</t>
  </si>
  <si>
    <t xml:space="preserve">Applies AIAVG × fed rate fusion with TNPE weighting and IRS accuracy</t>
  </si>
  <si>
    <t xml:space="preserve">Alabama Federal Personal Income Tax Revenue (FPITREV) Parameters</t>
  </si>
  <si>
    <t xml:space="preserve">LSD.RID.0.AL.FPITREV.PARAM.1</t>
  </si>
  <si>
    <t xml:space="preserve">Overall FPITREV Target</t>
  </si>
  <si>
    <t xml:space="preserve">~9640</t>
  </si>
  <si>
    <t xml:space="preserve">Statewide base FPITREV benchmark (All Industries)</t>
  </si>
  <si>
    <t xml:space="preserve">Local ref; derived from AIAVG × eff rate</t>
  </si>
  <si>
    <t xml:space="preserve">LSD.RID.0.AL.FPITREV.PARAM.2</t>
  </si>
  <si>
    <t xml:space="preserve">EFF_FED_TAX_RATE_SEC array</t>
  </si>
  <si>
    <t xml:space="preserve">References PARAM.1248–1271</t>
  </si>
  <si>
    <t xml:space="preserve">Effective federal PIT rates per sector</t>
  </si>
  <si>
    <t xml:space="preserve">LSD.RID.0.AL.FPITREV.PARAM.3</t>
  </si>
  <si>
    <t xml:space="preserve">BASE_FPITREV_SEC array</t>
  </si>
  <si>
    <t xml:space="preserve">References PARAM.1272–1295</t>
  </si>
  <si>
    <t xml:space="preserve">Base FPITREV values per sector (AIAVG × eff rate)</t>
  </si>
  <si>
    <t xml:space="preserve">LSD.RID.0.AL.FPITREV.PARAM.4</t>
  </si>
  <si>
    <t xml:space="preserve">UNAUTH_FPITREV_PENALTY_SEC array</t>
  </si>
  <si>
    <t xml:space="preserve">References PARAM.1344–1367</t>
  </si>
  <si>
    <t xml:space="preserve">LSD.RID.0.AL.FPITREV.PARAM.5</t>
  </si>
  <si>
    <t xml:space="preserve">AUTH_FPITREV_PREMIUM_SEC array</t>
  </si>
  <si>
    <t xml:space="preserve">References PARAM.1368–1391</t>
  </si>
  <si>
    <t xml:space="preserve">LSD.RID.0.AL.FPITREV.PARAM.6</t>
  </si>
  <si>
    <t xml:space="preserve">FPITREV_VARIANCE_SEC array</t>
  </si>
  <si>
    <t xml:space="preserve">References PARAM.1392–1415</t>
  </si>
  <si>
    <t xml:space="preserve">LSD.RID.0.AL.FPITREV.PARAM.7</t>
  </si>
  <si>
    <t xml:space="preserve">SOURCE_CONFIDENCE_FPITREV array</t>
  </si>
  <si>
    <t xml:space="preserve">References PARAM.1416–1439</t>
  </si>
  <si>
    <t xml:space="preserve">Source confidence weights per sector</t>
  </si>
  <si>
    <t xml:space="preserve">Alabama Federal Personal Payroll Tax Revenue (FPPTREV)</t>
  </si>
  <si>
    <t xml:space="preserve">Authorized, Unauthorized, American Laborer Federal Personal Payroll Tax By Industrial Labor Role</t>
  </si>
  <si>
    <r>
      <rPr>
        <b val="true"/>
        <sz val="10"/>
        <rFont val="arial"/>
        <family val="2"/>
        <charset val="1"/>
      </rPr>
      <t xml:space="preserve">LSD.RID.0.</t>
    </r>
    <r>
      <rPr>
        <b val="true"/>
        <sz val="10"/>
        <rFont val="Arial"/>
        <family val="2"/>
        <charset val="1"/>
      </rPr>
      <t xml:space="preserve">AL.EITCREF</t>
    </r>
  </si>
  <si>
    <t xml:space="preserve">Alabama Earned Income Tax Credit Refund (EITC)</t>
  </si>
  <si>
    <r>
      <rPr>
        <b val="true"/>
        <sz val="10"/>
        <rFont val="arial"/>
        <family val="2"/>
        <charset val="1"/>
      </rPr>
      <t xml:space="preserve">LSD.RID.0.</t>
    </r>
    <r>
      <rPr>
        <b val="true"/>
        <sz val="10"/>
        <rFont val="Arial"/>
        <family val="2"/>
        <charset val="1"/>
      </rPr>
      <t xml:space="preserve">AL.ACTCREF</t>
    </r>
  </si>
  <si>
    <t xml:space="preserve">Alabama Additional Child Tax Credit Refund (ACTC)</t>
  </si>
  <si>
    <r>
      <rPr>
        <b val="true"/>
        <sz val="10"/>
        <rFont val="arial"/>
        <family val="2"/>
        <charset val="1"/>
      </rPr>
      <t xml:space="preserve">LSD.RID.0.</t>
    </r>
    <r>
      <rPr>
        <b val="true"/>
        <sz val="10"/>
        <rFont val="Arial"/>
        <family val="2"/>
        <charset val="1"/>
      </rPr>
      <t xml:space="preserve">AL.AOTCREF</t>
    </r>
  </si>
  <si>
    <t xml:space="preserve">Alabama American Opportunity Tax Credit Refund (AOTC)</t>
  </si>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</sst>
</file>

<file path=xl/styles.xml><?xml version="1.0" encoding="utf-8"?>
<styleSheet xmlns="http://schemas.openxmlformats.org/spreadsheetml/2006/main">
  <numFmts count="10">
    <numFmt numFmtId="164" formatCode="General"/>
    <numFmt numFmtId="165" formatCode="\$#,##0.00_);&quot;($&quot;#,##0.00\)"/>
    <numFmt numFmtId="166" formatCode="\$#,##0_);[RED]&quot;($&quot;#,##0\)"/>
    <numFmt numFmtId="167" formatCode="mm/dd/yy"/>
    <numFmt numFmtId="168" formatCode="@"/>
    <numFmt numFmtId="169" formatCode="[$$-409]#,##0.00;[RED]\-[$$-409]#,##0.00"/>
    <numFmt numFmtId="170" formatCode="0.00"/>
    <numFmt numFmtId="171" formatCode="[$$-409]#,##0;[RED]\-[$$-409]#,##0"/>
    <numFmt numFmtId="172" formatCode="0.00%"/>
    <numFmt numFmtId="173" formatCode="[$$-409]#,##0;\-[$$-409]#,##0"/>
  </numFmts>
  <fonts count="24">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sz val="10"/>
      <name val="arial"/>
      <family val="2"/>
      <charset val="1"/>
    </font>
    <font>
      <b val="true"/>
      <sz val="10"/>
      <name val="arial"/>
      <family val="2"/>
      <charset val="1"/>
    </font>
    <font>
      <b val="true"/>
      <sz val="10"/>
      <color rgb="FF0000FF"/>
      <name val="Arial"/>
      <family val="2"/>
      <charset val="1"/>
    </font>
    <font>
      <b val="true"/>
      <sz val="10"/>
      <name val="Arial"/>
      <family val="2"/>
      <charset val="1"/>
    </font>
    <font>
      <b val="true"/>
      <sz val="10"/>
      <color rgb="FF0000FF"/>
      <name val="arial"/>
      <family val="2"/>
      <charset val="1"/>
    </font>
    <font>
      <sz val="10"/>
      <color rgb="FF0000FF"/>
      <name val="Arial"/>
      <family val="2"/>
      <charset val="1"/>
    </font>
    <font>
      <sz val="10"/>
      <name val="Times New Roman"/>
      <family val="1"/>
      <charset val="1"/>
    </font>
    <font>
      <sz val="10"/>
      <name val="Arial"/>
      <family val="2"/>
    </font>
    <font>
      <b val="true"/>
      <sz val="10"/>
      <name val="aRIAL"/>
      <family val="2"/>
      <charset val="1"/>
    </font>
    <font>
      <sz val="10"/>
      <name val="aRIAL"/>
      <family val="2"/>
      <charset val="1"/>
    </font>
    <font>
      <i val="true"/>
      <sz val="10"/>
      <name val="Arial"/>
      <family val="2"/>
      <charset val="1"/>
    </font>
    <font>
      <u val="single"/>
      <sz val="10"/>
      <name val="Arial"/>
      <family val="2"/>
      <charset val="1"/>
    </font>
    <font>
      <sz val="12"/>
      <color rgb="FF000000"/>
      <name val="Arial"/>
      <family val="2"/>
    </font>
    <font>
      <sz val="7"/>
      <color rgb="FF000000"/>
      <name val="Arial"/>
      <family val="2"/>
    </font>
    <font>
      <sz val="7"/>
      <color rgb="FFFFFFFF"/>
      <name val="Arial"/>
      <family val="2"/>
    </font>
    <font>
      <sz val="8"/>
      <color rgb="FF000000"/>
      <name val="Arial"/>
      <family val="2"/>
    </font>
    <font>
      <sz val="9"/>
      <color rgb="FF000000"/>
      <name val="Arial"/>
      <family val="2"/>
    </font>
    <font>
      <sz val="10"/>
      <color rgb="FF000000"/>
      <name val="Arial"/>
      <family val="2"/>
    </font>
  </fonts>
  <fills count="5">
    <fill>
      <patternFill patternType="none"/>
    </fill>
    <fill>
      <patternFill patternType="gray125"/>
    </fill>
    <fill>
      <patternFill patternType="solid">
        <fgColor rgb="FF333300"/>
        <bgColor rgb="FF1C1C1C"/>
      </patternFill>
    </fill>
    <fill>
      <patternFill patternType="solid">
        <fgColor rgb="FFFFCC00"/>
        <bgColor rgb="FFFFBF00"/>
      </patternFill>
    </fill>
    <fill>
      <patternFill patternType="solid">
        <fgColor rgb="FF1C1C1C"/>
        <bgColor rgb="FF33330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4" fontId="7" fillId="0" borderId="0" xfId="0" applyFont="true" applyBorder="true" applyAlignment="true" applyProtection="true">
      <alignment horizontal="left" vertical="bottom" textRotation="0" wrapText="false" indent="0" shrinkToFit="false"/>
      <protection locked="true" hidden="false"/>
    </xf>
    <xf numFmtId="167" fontId="7" fillId="0" borderId="0" xfId="0" applyFont="true" applyBorder="true" applyAlignment="true" applyProtection="true">
      <alignment horizontal="left" vertical="bottom" textRotation="0" wrapText="false" indent="0" shrinkToFit="false"/>
      <protection locked="true" hidden="false"/>
    </xf>
    <xf numFmtId="164" fontId="6" fillId="0" borderId="0" xfId="0" applyFont="true" applyBorder="true" applyAlignment="true" applyProtection="true">
      <alignment horizontal="left" vertical="bottom" textRotation="0" wrapText="false" indent="0" shrinkToFit="false"/>
      <protection locked="true" hidden="false"/>
    </xf>
    <xf numFmtId="167" fontId="6"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7" fillId="4" borderId="0" xfId="0" applyFont="true" applyBorder="true" applyAlignment="true" applyProtection="true">
      <alignment horizontal="left" vertical="bottom" textRotation="0" wrapText="false" indent="0" shrinkToFit="false"/>
      <protection locked="true" hidden="false"/>
    </xf>
    <xf numFmtId="164" fontId="8" fillId="0" borderId="0" xfId="33" applyFont="true" applyBorder="true" applyAlignment="true" applyProtection="true">
      <alignment horizontal="righ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right" vertical="bottom" textRotation="0" wrapText="fals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1"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8" fontId="9"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bottom" textRotation="0" wrapText="tru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justify" vertical="bottom" textRotation="0" wrapText="false" indent="0" shrinkToFit="false"/>
      <protection locked="true" hidden="false"/>
    </xf>
    <xf numFmtId="169" fontId="9"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justify" vertical="bottom" textRotation="0" wrapText="false" indent="0" shrinkToFit="false"/>
      <protection locked="true" hidden="false"/>
    </xf>
    <xf numFmtId="167" fontId="14" fillId="0" borderId="0" xfId="0" applyFont="true" applyBorder="true" applyAlignment="true" applyProtection="true">
      <alignment horizontal="left"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70" fontId="9"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true" applyAlignment="true" applyProtection="true">
      <alignment horizontal="right" vertical="bottom" textRotation="0" wrapText="false" indent="0" shrinkToFit="false"/>
      <protection locked="true" hidden="false"/>
    </xf>
    <xf numFmtId="169" fontId="7" fillId="0" borderId="0" xfId="0" applyFont="true" applyBorder="true" applyAlignment="true" applyProtection="true">
      <alignment horizontal="left" vertical="bottom" textRotation="0" wrapText="false" indent="0" shrinkToFit="false"/>
      <protection locked="true" hidden="false"/>
    </xf>
    <xf numFmtId="171" fontId="0"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right" vertical="bottom" textRotation="0" wrapText="false" indent="0" shrinkToFit="false"/>
      <protection locked="true" hidden="false"/>
    </xf>
    <xf numFmtId="164" fontId="15" fillId="0" borderId="0" xfId="0" applyFont="true" applyBorder="false" applyAlignment="true" applyProtection="true">
      <alignment horizontal="left"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8" fontId="0" fillId="0" borderId="0" xfId="0" applyFont="true" applyBorder="fals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true" indent="0" shrinkToFit="false"/>
      <protection locked="true" hidden="false"/>
    </xf>
    <xf numFmtId="172" fontId="9" fillId="0" borderId="0" xfId="0" applyFont="true" applyBorder="fals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center" vertical="bottom" textRotation="0" wrapText="true" indent="0" shrinkToFit="false"/>
      <protection locked="true" hidden="false"/>
    </xf>
    <xf numFmtId="171" fontId="9" fillId="0" borderId="0" xfId="0" applyFont="true" applyBorder="false" applyAlignment="true" applyProtection="true">
      <alignment horizontal="center"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9" fontId="9" fillId="0" borderId="0" xfId="0" applyFont="true" applyBorder="false" applyAlignment="true" applyProtection="true">
      <alignment horizontal="center" vertical="bottom" textRotation="0" wrapText="true" indent="0" shrinkToFit="false"/>
      <protection locked="true" hidden="false"/>
    </xf>
    <xf numFmtId="168" fontId="9"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73" fontId="9" fillId="0" borderId="0" xfId="0" applyFont="true" applyBorder="false" applyAlignment="true" applyProtection="true">
      <alignment horizontal="center" vertical="bottom" textRotation="0" wrapText="true" indent="0" shrinkToFit="false"/>
      <protection locked="true" hidden="false"/>
    </xf>
    <xf numFmtId="173" fontId="9" fillId="0" borderId="0" xfId="0" applyFont="true" applyBorder="false" applyAlignment="true" applyProtection="true">
      <alignment horizontal="center" vertical="bottom" textRotation="0" wrapText="false" indent="0" shrinkToFit="false"/>
      <protection locked="true" hidden="false"/>
    </xf>
    <xf numFmtId="173" fontId="0" fillId="0" borderId="0" xfId="0" applyFont="true" applyBorder="false" applyAlignment="true" applyProtection="true">
      <alignment horizontal="center" vertical="bottom" textRotation="0" wrapText="true" indent="0" shrinkToFit="false"/>
      <protection locked="true" hidden="false"/>
    </xf>
  </cellXfs>
  <cellStyles count="20">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 name="Text 1" xfId="33"/>
  </cellStyles>
  <colors>
    <indexedColors>
      <rgbColor rgb="FF000000"/>
      <rgbColor rgb="FFFFFFFF"/>
      <rgbColor rgb="FFFF3838"/>
      <rgbColor rgb="FF00FF00"/>
      <rgbColor rgb="FF0000FF"/>
      <rgbColor rgb="FFFFFF00"/>
      <rgbColor rgb="FFFF00FF"/>
      <rgbColor rgb="FF00FFFF"/>
      <rgbColor rgb="FF800000"/>
      <rgbColor rgb="FF00A933"/>
      <rgbColor rgb="FF000080"/>
      <rgbColor rgb="FFFF5429"/>
      <rgbColor rgb="FF800080"/>
      <rgbColor rgb="FF158466"/>
      <rgbColor rgb="FFC0C0C0"/>
      <rgbColor rgb="FF808080"/>
      <rgbColor rgb="FF9999FF"/>
      <rgbColor rgb="FF8D1D75"/>
      <rgbColor rgb="FFE6E905"/>
      <rgbColor rgb="FFCCFFFF"/>
      <rgbColor rgb="FF660066"/>
      <rgbColor rgb="FFFF860D"/>
      <rgbColor rgb="FF0066CC"/>
      <rgbColor rgb="FFCCCCCC"/>
      <rgbColor rgb="FF000080"/>
      <rgbColor rgb="FFFF00FF"/>
      <rgbColor rgb="FFFFFF38"/>
      <rgbColor rgb="FF00FFFF"/>
      <rgbColor rgb="FF800080"/>
      <rgbColor rgb="FF800000"/>
      <rgbColor rgb="FF008080"/>
      <rgbColor rgb="FF0000FF"/>
      <rgbColor rgb="FF00CCFF"/>
      <rgbColor rgb="FFCCFFFF"/>
      <rgbColor rgb="FFCCFFCC"/>
      <rgbColor rgb="FFFFD320"/>
      <rgbColor rgb="FF99CCFF"/>
      <rgbColor rgb="FFFFBF00"/>
      <rgbColor rgb="FFCC99FF"/>
      <rgbColor rgb="FFFFD428"/>
      <rgbColor rgb="FF3366FF"/>
      <rgbColor rgb="FF33CCCC"/>
      <rgbColor rgb="FF81D41A"/>
      <rgbColor rgb="FFFFCC00"/>
      <rgbColor rgb="FFE8A202"/>
      <rgbColor rgb="FFEA7500"/>
      <rgbColor rgb="FF6B5E9B"/>
      <rgbColor rgb="FFB3B3B3"/>
      <rgbColor rgb="FF004586"/>
      <rgbColor rgb="FF579D1C"/>
      <rgbColor rgb="FF003300"/>
      <rgbColor rgb="FF333300"/>
      <rgbColor rgb="FFFF420E"/>
      <rgbColor rgb="FFD62E4E"/>
      <rgbColor rgb="FF55308D"/>
      <rgbColor rgb="FF1C1C1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802305384494"/>
          <c:y val="0.0113378684807256"/>
        </c:manualLayout>
      </c:layout>
      <c:overlay val="0"/>
      <c:spPr>
        <a:noFill/>
        <a:ln w="0">
          <a:noFill/>
        </a:ln>
      </c:spPr>
    </c:title>
    <c:autoTitleDeleted val="0"/>
    <c:plotArea>
      <c:layout>
        <c:manualLayout>
          <c:layoutTarget val="inner"/>
          <c:xMode val="edge"/>
          <c:yMode val="edge"/>
          <c:x val="0.298318332543818"/>
          <c:y val="0.0469289164941339"/>
          <c:w val="0.469722090636349"/>
          <c:h val="0.873311643497979"/>
        </c:manualLayout>
      </c:layout>
      <c:barChart>
        <c:barDir val="bar"/>
        <c:grouping val="clustered"/>
        <c:varyColors val="0"/>
        <c:ser>
          <c:idx val="0"/>
          <c:order val="0"/>
          <c:tx>
            <c:strRef>
              <c:f>AOTCREF!$C$2</c:f>
              <c:strCache>
                <c:ptCount val="1"/>
                <c:pt idx="0">
                  <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strCache>
            </c:strRef>
          </c:cat>
          <c:val>
            <c:numRef>
              <c:f>AOTCREF!$C$30:$C$55</c:f>
              <c:numCache>
                <c:formatCode>General</c:formatCode>
                <c:ptCount val="26"/>
              </c:numCache>
            </c:numRef>
          </c:val>
        </c:ser>
        <c:ser>
          <c:idx val="1"/>
          <c:order val="1"/>
          <c:tx>
            <c:strRef>
              <c:f>AOTCREF!$D$2</c:f>
              <c:strCache>
                <c:ptCount val="1"/>
                <c:pt idx="0">
                  <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strCache>
            </c:strRef>
          </c:cat>
          <c:val>
            <c:numRef>
              <c:f>AOTCREF!$D$30:$D$55</c:f>
              <c:numCache>
                <c:formatCode>General</c:formatCode>
                <c:ptCount val="26"/>
              </c:numCache>
            </c:numRef>
          </c:val>
        </c:ser>
        <c:ser>
          <c:idx val="2"/>
          <c:order val="2"/>
          <c:tx>
            <c:strRef>
              <c:f>AOTCREF!$E$2</c:f>
              <c:strCache>
                <c:ptCount val="1"/>
                <c:pt idx="0">
                  <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strCache>
            </c:strRef>
          </c:cat>
          <c:val>
            <c:numRef>
              <c:f>AOTCREF!$E$30:$E$55</c:f>
              <c:numCache>
                <c:formatCode>General</c:formatCode>
                <c:ptCount val="26"/>
              </c:numCache>
            </c:numRef>
          </c:val>
        </c:ser>
        <c:ser>
          <c:idx val="3"/>
          <c:order val="3"/>
          <c:tx>
            <c:strRef>
              <c:f>AOTCREF!$F$2</c:f>
              <c:strCache>
                <c:ptCount val="1"/>
                <c:pt idx="0">
                  <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strCache>
            </c:strRef>
          </c:cat>
          <c:val>
            <c:numRef>
              <c:f>AOTCREF!$F$30:$F$55</c:f>
              <c:numCache>
                <c:formatCode>General</c:formatCode>
                <c:ptCount val="26"/>
              </c:numCache>
            </c:numRef>
          </c:val>
        </c:ser>
        <c:gapWidth val="100"/>
        <c:overlap val="0"/>
        <c:axId val="66353205"/>
        <c:axId val="55731511"/>
      </c:barChart>
      <c:catAx>
        <c:axId val="6635320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2115900836886"/>
              <c:y val="0.47619047619047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5731511"/>
        <c:crosses val="autoZero"/>
        <c:auto val="1"/>
        <c:lblAlgn val="ctr"/>
        <c:lblOffset val="100"/>
        <c:noMultiLvlLbl val="0"/>
      </c:catAx>
      <c:valAx>
        <c:axId val="5573151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052265908732"/>
              <c:y val="0.9685743862762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6353205"/>
        <c:crosses val="max"/>
        <c:crossBetween val="midCat"/>
      </c:valAx>
      <c:spPr>
        <a:noFill/>
        <a:ln w="0">
          <a:solidFill>
            <a:srgbClr val="B3B3B3"/>
          </a:solidFill>
        </a:ln>
      </c:spPr>
    </c:plotArea>
    <c:legend>
      <c:legendPos val="r"/>
      <c:layout>
        <c:manualLayout>
          <c:xMode val="edge"/>
          <c:yMode val="edge"/>
          <c:x val="0.804215678534775"/>
          <c:y val="0.0766747177995761"/>
          <c:w val="0.170015394939407"/>
          <c:h val="0.11167525201488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360</xdr:colOff>
      <xdr:row>129</xdr:row>
      <xdr:rowOff>55440</xdr:rowOff>
    </xdr:from>
    <xdr:to>
      <xdr:col>7</xdr:col>
      <xdr:colOff>258120</xdr:colOff>
      <xdr:row>219</xdr:row>
      <xdr:rowOff>30600</xdr:rowOff>
    </xdr:to>
    <xdr:graphicFrame>
      <xdr:nvGraphicFramePr>
        <xdr:cNvPr id="1" name=""/>
        <xdr:cNvGraphicFramePr/>
      </xdr:nvGraphicFramePr>
      <xdr:xfrm>
        <a:off x="1788480" y="21787560"/>
        <a:ext cx="9119160" cy="14605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DK14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1" topLeftCell="B44" activePane="bottomRight" state="frozen"/>
      <selection pane="topLeft" activeCell="A1" activeCellId="0" sqref="A1"/>
      <selection pane="topRight" activeCell="B1" activeCellId="0" sqref="B1"/>
      <selection pane="bottomLeft" activeCell="A44" activeCellId="0" sqref="A44"/>
      <selection pane="bottomRight" activeCell="A70" activeCellId="0" sqref="A70"/>
    </sheetView>
  </sheetViews>
  <sheetFormatPr defaultColWidth="11.53515625" defaultRowHeight="12.8" customHeight="false" zeroHeight="false" outlineLevelRow="0" outlineLevelCol="0"/>
  <cols>
    <col collapsed="false" customWidth="true" hidden="false" outlineLevel="0" max="1" min="1" style="1" width="29.99"/>
    <col collapsed="false" customWidth="true" hidden="false" outlineLevel="0" max="2" min="2" style="2" width="53.04"/>
    <col collapsed="false" customWidth="true" hidden="false" outlineLevel="0" max="3" min="3" style="2" width="32.28"/>
    <col collapsed="false" customWidth="true" hidden="false" outlineLevel="0" max="4" min="4" style="2" width="6.93"/>
    <col collapsed="false" customWidth="false" hidden="false" outlineLevel="0" max="115" min="5" style="2" width="11.53"/>
    <col collapsed="false" customWidth="false" hidden="false" outlineLevel="0" max="16384" min="116" style="3" width="11.53"/>
  </cols>
  <sheetData>
    <row r="1" customFormat="false" ht="12.8" hidden="false" customHeight="false" outlineLevel="0" collapsed="false">
      <c r="A1" s="4" t="s">
        <v>0</v>
      </c>
      <c r="B1" s="5" t="s">
        <v>1</v>
      </c>
      <c r="C1" s="6" t="s">
        <v>2</v>
      </c>
      <c r="D1" s="5"/>
    </row>
    <row r="2" customFormat="false" ht="12.8" hidden="false" customHeight="false" outlineLevel="0" collapsed="false">
      <c r="A2" s="4" t="str">
        <f aca="false">_xlfn.CONCAT(A1,".","INTRO")</f>
        <v>LSD.RID.0.AL.INTRO</v>
      </c>
      <c r="B2" s="5" t="s">
        <v>3</v>
      </c>
      <c r="C2" s="6"/>
      <c r="D2" s="5"/>
    </row>
    <row r="3" customFormat="false" ht="12.8" hidden="false" customHeight="false" outlineLevel="0" collapsed="false">
      <c r="A3" s="4" t="s">
        <v>4</v>
      </c>
      <c r="B3" s="5" t="s">
        <v>5</v>
      </c>
      <c r="C3" s="6" t="s">
        <v>6</v>
      </c>
      <c r="D3" s="5"/>
    </row>
    <row r="4" customFormat="false" ht="12.8" hidden="false" customHeight="false" outlineLevel="0" collapsed="false">
      <c r="A4" s="1" t="str">
        <f aca="false">_xlfn.CONCAT($A$2, ".", 0)</f>
        <v>LSD.RID.0.AL.INTRO.0</v>
      </c>
      <c r="B4" s="7" t="s">
        <v>7</v>
      </c>
      <c r="C4" s="8" t="s">
        <v>8</v>
      </c>
      <c r="D4" s="5"/>
      <c r="E4" s="9"/>
      <c r="F4" s="9"/>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row>
    <row r="5" customFormat="false" ht="12.8" hidden="false" customHeight="false" outlineLevel="0" collapsed="false">
      <c r="A5" s="4"/>
      <c r="B5" s="5"/>
      <c r="C5" s="6"/>
      <c r="D5" s="5"/>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row>
    <row r="6" customFormat="false" ht="12.8" hidden="false" customHeight="false" outlineLevel="0" collapsed="false">
      <c r="A6" s="4" t="s">
        <v>9</v>
      </c>
      <c r="B6" s="5" t="s">
        <v>10</v>
      </c>
      <c r="C6" s="10"/>
      <c r="D6" s="5"/>
    </row>
    <row r="7" customFormat="false" ht="12.8" hidden="false" customHeight="false" outlineLevel="0" collapsed="false">
      <c r="A7" s="4" t="s">
        <v>11</v>
      </c>
      <c r="B7" s="5" t="s">
        <v>12</v>
      </c>
      <c r="C7" s="5"/>
      <c r="D7" s="5"/>
    </row>
    <row r="8" customFormat="false" ht="12.8" hidden="false" customHeight="false" outlineLevel="0" collapsed="false">
      <c r="A8" s="11" t="s">
        <v>13</v>
      </c>
      <c r="B8" s="5" t="str">
        <f aca="false">LOG!B$1</f>
        <v>Alabama Labor Statistic Log</v>
      </c>
      <c r="C8" s="7"/>
      <c r="D8" s="9"/>
    </row>
    <row r="9" customFormat="false" ht="12.8" hidden="false" customHeight="false" outlineLevel="0" collapsed="false">
      <c r="A9" s="11"/>
      <c r="B9" s="5"/>
      <c r="C9" s="7"/>
      <c r="D9" s="9"/>
    </row>
    <row r="10" customFormat="false" ht="12.8" hidden="false" customHeight="false" outlineLevel="0" collapsed="false">
      <c r="A10" s="11" t="s">
        <v>14</v>
      </c>
      <c r="B10" s="12" t="str">
        <f aca="false">FORM!B$1</f>
        <v>Alabama Labor Statistic Logic Interdependent Formulae</v>
      </c>
      <c r="C10" s="13"/>
      <c r="D10" s="14"/>
    </row>
    <row r="11" customFormat="false" ht="12.8" hidden="false" customHeight="false" outlineLevel="0" collapsed="false">
      <c r="A11" s="11" t="s">
        <v>15</v>
      </c>
      <c r="B11" s="12" t="str">
        <f aca="false">FORM!$B$2</f>
        <v>BASE Formulae</v>
      </c>
      <c r="C11" s="13"/>
      <c r="D11" s="14"/>
    </row>
    <row r="12" customFormat="false" ht="12.8" hidden="false" customHeight="false" outlineLevel="0" collapsed="false">
      <c r="A12" s="11" t="s">
        <v>16</v>
      </c>
      <c r="B12" s="12" t="str">
        <f aca="false">FORM!$B$16</f>
        <v>LFP Formulae</v>
      </c>
      <c r="C12" s="13"/>
      <c r="D12" s="14"/>
    </row>
    <row r="13" customFormat="false" ht="12.8" hidden="false" customHeight="false" outlineLevel="0" collapsed="false">
      <c r="A13" s="11" t="s">
        <v>17</v>
      </c>
      <c r="B13" s="12" t="str">
        <f aca="false">FORM!$B$23</f>
        <v>LFP Group Adjustment</v>
      </c>
      <c r="C13" s="13"/>
      <c r="D13" s="14"/>
    </row>
    <row r="14" customFormat="false" ht="12.8" hidden="false" customHeight="false" outlineLevel="0" collapsed="false">
      <c r="A14" s="11" t="s">
        <v>18</v>
      </c>
      <c r="B14" s="12" t="str">
        <f aca="false">FORM!$B$28</f>
        <v>Reconciliation Trigger</v>
      </c>
      <c r="C14" s="13"/>
      <c r="D14" s="14"/>
    </row>
    <row r="15" customFormat="false" ht="12.8" hidden="false" customHeight="false" outlineLevel="0" collapsed="false">
      <c r="A15" s="11" t="s">
        <v>19</v>
      </c>
      <c r="B15" s="12" t="n">
        <f aca="false">FORM!$B$36</f>
        <v>0</v>
      </c>
      <c r="C15" s="13"/>
      <c r="D15" s="14"/>
    </row>
    <row r="16" customFormat="false" ht="12.8" hidden="false" customHeight="false" outlineLevel="0" collapsed="false">
      <c r="A16" s="11" t="s">
        <v>20</v>
      </c>
      <c r="B16" s="12" t="str">
        <f aca="false">FORM!$B$42</f>
        <v>LFPR-ETPR Cross-Link Strength</v>
      </c>
      <c r="C16" s="13"/>
      <c r="D16" s="14"/>
    </row>
    <row r="17" customFormat="false" ht="12.8" hidden="false" customHeight="false" outlineLevel="0" collapsed="false">
      <c r="A17" s="11" t="s">
        <v>21</v>
      </c>
      <c r="B17" s="12" t="str">
        <f aca="false">FORM!$B$49</f>
        <v>Shared Iterative Calibration (group)</v>
      </c>
      <c r="C17" s="13"/>
      <c r="D17" s="14"/>
    </row>
    <row r="18" customFormat="false" ht="12.8" hidden="false" customHeight="false" outlineLevel="0" collapsed="false">
      <c r="A18" s="11" t="s">
        <v>22</v>
      </c>
      <c r="B18" s="12" t="str">
        <f aca="false">FORM!$B$55</f>
        <v>U3R Sector Adjustment</v>
      </c>
      <c r="C18" s="13"/>
      <c r="D18" s="14"/>
    </row>
    <row r="19" customFormat="false" ht="12.8" hidden="false" customHeight="false" outlineLevel="0" collapsed="false">
      <c r="A19" s="11" t="s">
        <v>23</v>
      </c>
      <c r="B19" s="12" t="str">
        <f aca="false">FORM!$B$61</f>
        <v>U3R → U6R Link Strength</v>
      </c>
      <c r="C19" s="13"/>
      <c r="D19" s="14"/>
    </row>
    <row r="20" customFormat="false" ht="12.8" hidden="false" customHeight="false" outlineLevel="0" collapsed="false">
      <c r="A20" s="11" t="s">
        <v>24</v>
      </c>
      <c r="B20" s="12" t="str">
        <f aca="false">FORM!$B$67</f>
        <v>WAVG Formulae</v>
      </c>
      <c r="C20" s="13"/>
      <c r="D20" s="14"/>
    </row>
    <row r="21" customFormat="false" ht="12.8" hidden="false" customHeight="false" outlineLevel="0" collapsed="false">
      <c r="A21" s="11" t="s">
        <v>25</v>
      </c>
      <c r="B21" s="12" t="str">
        <f aca="false">FORM!$B$73</f>
        <v>WAVG Group Adjustment</v>
      </c>
      <c r="C21" s="13"/>
      <c r="D21" s="14"/>
    </row>
    <row r="22" customFormat="false" ht="12.8" hidden="false" customHeight="false" outlineLevel="0" collapsed="false">
      <c r="A22" s="11" t="s">
        <v>26</v>
      </c>
      <c r="B22" s="12" t="str">
        <f aca="false">FORM!$B$79</f>
        <v>WAVG → AIAVG Link Strength</v>
      </c>
      <c r="C22" s="13"/>
      <c r="D22" s="14"/>
    </row>
    <row r="23" customFormat="false" ht="12.8" hidden="false" customHeight="false" outlineLevel="0" collapsed="false">
      <c r="A23" s="11" t="s">
        <v>27</v>
      </c>
      <c r="B23" s="12" t="str">
        <f aca="false">FORM!$B$86</f>
        <v>Name</v>
      </c>
      <c r="C23" s="13"/>
      <c r="D23" s="14"/>
    </row>
    <row r="24" customFormat="false" ht="12.8" hidden="false" customHeight="false" outlineLevel="0" collapsed="false">
      <c r="A24" s="11" t="s">
        <v>28</v>
      </c>
      <c r="B24" s="12" t="str">
        <f aca="false">FORM!$B$94</f>
        <v>FPITREV Base</v>
      </c>
      <c r="C24" s="13"/>
      <c r="D24" s="14"/>
    </row>
    <row r="25" customFormat="false" ht="12.8" hidden="false" customHeight="false" outlineLevel="0" collapsed="false">
      <c r="A25" s="11" t="s">
        <v>29</v>
      </c>
      <c r="B25" s="12" t="str">
        <f aca="false">FORM!$B$102</f>
        <v>EP Group Adjustment</v>
      </c>
      <c r="C25" s="13"/>
      <c r="D25" s="14"/>
    </row>
    <row r="26" customFormat="false" ht="12.8" hidden="false" customHeight="false" outlineLevel="0" collapsed="false">
      <c r="A26" s="11" t="s">
        <v>30</v>
      </c>
      <c r="B26" s="12" t="str">
        <f aca="false">FORM!$B$111</f>
        <v>U3P Sector Aggregation</v>
      </c>
      <c r="C26" s="13"/>
      <c r="D26" s="14"/>
    </row>
    <row r="27" customFormat="false" ht="12.8" hidden="false" customHeight="false" outlineLevel="0" collapsed="false">
      <c r="A27" s="11" t="s">
        <v>31</v>
      </c>
      <c r="B27" s="12" t="str">
        <f aca="false">FORM!$B$119</f>
        <v>U6P Sector Aggregation</v>
      </c>
      <c r="C27" s="13"/>
      <c r="D27" s="14"/>
    </row>
    <row r="28" customFormat="false" ht="12.8" hidden="false" customHeight="false" outlineLevel="0" collapsed="false">
      <c r="A28" s="11" t="s">
        <v>32</v>
      </c>
      <c r="B28" s="12" t="str">
        <f aca="false">FORM!$B$127</f>
        <v>U3TPR Sector Aggregation</v>
      </c>
      <c r="C28" s="13"/>
      <c r="D28" s="14"/>
    </row>
    <row r="29" customFormat="false" ht="12.8" hidden="false" customHeight="false" outlineLevel="0" collapsed="false">
      <c r="A29" s="11" t="s">
        <v>33</v>
      </c>
      <c r="B29" s="12" t="str">
        <f aca="false">FORM!$B$135</f>
        <v>U6TPR Sector Aggregation</v>
      </c>
      <c r="C29" s="13"/>
      <c r="D29" s="14"/>
    </row>
    <row r="30" customFormat="false" ht="12.8" hidden="false" customHeight="false" outlineLevel="0" collapsed="false">
      <c r="A30" s="11" t="s">
        <v>34</v>
      </c>
      <c r="B30" s="12" t="str">
        <f aca="false">FORM!$B$143</f>
        <v>WRAVG Sector Aggregation</v>
      </c>
      <c r="C30" s="13"/>
      <c r="D30" s="14"/>
    </row>
    <row r="31" customFormat="false" ht="12.8" hidden="false" customHeight="false" outlineLevel="0" collapsed="false">
      <c r="A31" s="11" t="s">
        <v>35</v>
      </c>
      <c r="B31" s="12" t="str">
        <f aca="false">FORM!$B$151</f>
        <v>AIRAVG Sector Aggregation</v>
      </c>
      <c r="C31" s="13"/>
      <c r="D31" s="14"/>
    </row>
    <row r="32" customFormat="false" ht="12.8" hidden="false" customHeight="false" outlineLevel="0" collapsed="false">
      <c r="A32" s="11" t="s">
        <v>36</v>
      </c>
      <c r="B32" s="12" t="str">
        <f aca="false">FORM!$B$159</f>
        <v>AWHW Sector Aggregation</v>
      </c>
      <c r="C32" s="13"/>
      <c r="D32" s="14"/>
    </row>
    <row r="33" customFormat="false" ht="12.8" hidden="false" customHeight="false" outlineLevel="0" collapsed="false">
      <c r="A33" s="11"/>
      <c r="B33" s="12"/>
      <c r="C33" s="13"/>
      <c r="D33" s="14"/>
    </row>
    <row r="34" customFormat="false" ht="12.8" hidden="false" customHeight="false" outlineLevel="0" collapsed="false">
      <c r="A34" s="11" t="s">
        <v>37</v>
      </c>
      <c r="B34" s="12" t="str">
        <f aca="false">PARAM!B$1</f>
        <v>Alabama Labor Statistic Logic Interdependent Parameters</v>
      </c>
      <c r="C34" s="12" t="str">
        <f aca="false">PARAM!C$1</f>
        <v>December, 2025</v>
      </c>
      <c r="D34" s="14"/>
    </row>
    <row r="35" customFormat="false" ht="12.8" hidden="false" customHeight="false" outlineLevel="0" collapsed="false">
      <c r="A35" s="11" t="s">
        <v>38</v>
      </c>
      <c r="B35" s="12" t="e">
        <f aca="false">#REF!</f>
        <v>#REF!</v>
      </c>
      <c r="C35" s="12"/>
      <c r="D35" s="14"/>
    </row>
    <row r="36" customFormat="false" ht="12.8" hidden="false" customHeight="false" outlineLevel="0" collapsed="false">
      <c r="A36" s="11" t="s">
        <v>39</v>
      </c>
      <c r="B36" s="12" t="e">
        <f aca="false">#REF!</f>
        <v>#REF!</v>
      </c>
      <c r="C36" s="12"/>
      <c r="D36" s="14"/>
    </row>
    <row r="37" customFormat="false" ht="12.8" hidden="false" customHeight="false" outlineLevel="0" collapsed="false">
      <c r="A37" s="11" t="s">
        <v>40</v>
      </c>
      <c r="B37" s="12" t="e">
        <f aca="false">#REF!</f>
        <v>#REF!</v>
      </c>
      <c r="C37" s="12"/>
      <c r="D37" s="14"/>
    </row>
    <row r="38" customFormat="false" ht="12.8" hidden="false" customHeight="false" outlineLevel="0" collapsed="false">
      <c r="A38" s="11" t="s">
        <v>41</v>
      </c>
      <c r="B38" s="12" t="e">
        <f aca="false">#REF!</f>
        <v>#REF!</v>
      </c>
      <c r="C38" s="12"/>
      <c r="D38" s="14"/>
    </row>
    <row r="39" customFormat="false" ht="12.8" hidden="false" customHeight="false" outlineLevel="0" collapsed="false">
      <c r="A39" s="11" t="s">
        <v>42</v>
      </c>
      <c r="B39" s="12" t="e">
        <f aca="false">#REF!</f>
        <v>#REF!</v>
      </c>
      <c r="C39" s="12"/>
      <c r="D39" s="14"/>
    </row>
    <row r="40" customFormat="false" ht="12.8" hidden="false" customHeight="false" outlineLevel="0" collapsed="false">
      <c r="A40" s="11" t="s">
        <v>43</v>
      </c>
      <c r="B40" s="12" t="e">
        <f aca="false">#REF!</f>
        <v>#REF!</v>
      </c>
      <c r="C40" s="12"/>
      <c r="D40" s="14"/>
    </row>
    <row r="41" customFormat="false" ht="12.8" hidden="false" customHeight="false" outlineLevel="0" collapsed="false">
      <c r="A41" s="11" t="s">
        <v>44</v>
      </c>
      <c r="B41" s="12" t="e">
        <f aca="false">#REF!</f>
        <v>#REF!</v>
      </c>
      <c r="C41" s="12"/>
      <c r="D41" s="14"/>
    </row>
    <row r="42" customFormat="false" ht="12.8" hidden="false" customHeight="false" outlineLevel="0" collapsed="false">
      <c r="A42" s="11" t="s">
        <v>45</v>
      </c>
      <c r="B42" s="12" t="e">
        <f aca="false">#REF!</f>
        <v>#REF!</v>
      </c>
      <c r="C42" s="12"/>
      <c r="D42" s="14"/>
    </row>
    <row r="43" customFormat="false" ht="12.8" hidden="false" customHeight="false" outlineLevel="0" collapsed="false">
      <c r="A43" s="11" t="s">
        <v>46</v>
      </c>
      <c r="B43" s="12" t="e">
        <f aca="false">#REF!</f>
        <v>#REF!</v>
      </c>
      <c r="C43" s="12"/>
      <c r="D43" s="14"/>
    </row>
    <row r="44" customFormat="false" ht="12.8" hidden="false" customHeight="false" outlineLevel="0" collapsed="false">
      <c r="A44" s="11" t="s">
        <v>47</v>
      </c>
      <c r="B44" s="12" t="e">
        <f aca="false">#REF!</f>
        <v>#REF!</v>
      </c>
      <c r="C44" s="12"/>
      <c r="D44" s="14"/>
    </row>
    <row r="45" customFormat="false" ht="12.8" hidden="false" customHeight="false" outlineLevel="0" collapsed="false">
      <c r="A45" s="11" t="s">
        <v>48</v>
      </c>
      <c r="B45" s="12" t="e">
        <f aca="false">#REF!</f>
        <v>#REF!</v>
      </c>
      <c r="C45" s="12"/>
      <c r="D45" s="14"/>
    </row>
    <row r="46" customFormat="false" ht="12.8" hidden="false" customHeight="false" outlineLevel="0" collapsed="false">
      <c r="A46" s="14"/>
      <c r="B46" s="12"/>
      <c r="C46" s="12"/>
      <c r="D46" s="14"/>
    </row>
    <row r="47" customFormat="false" ht="12.8" hidden="false" customHeight="false" outlineLevel="0" collapsed="false">
      <c r="A47" s="4" t="s">
        <v>49</v>
      </c>
      <c r="B47" s="5" t="s">
        <v>50</v>
      </c>
      <c r="C47" s="6"/>
      <c r="D47" s="5"/>
    </row>
    <row r="48" customFormat="false" ht="12.8" hidden="false" customHeight="false" outlineLevel="0" collapsed="false">
      <c r="A48" s="4" t="s">
        <v>51</v>
      </c>
      <c r="B48" s="5" t="s">
        <v>12</v>
      </c>
      <c r="C48" s="5"/>
      <c r="D48" s="9"/>
    </row>
    <row r="49" customFormat="false" ht="12.8" hidden="false" customHeight="false" outlineLevel="0" collapsed="false">
      <c r="A49" s="15" t="s">
        <v>52</v>
      </c>
      <c r="B49" s="9" t="str">
        <f aca="false">CALC!B2</f>
        <v>Alabama Labor Force Population</v>
      </c>
      <c r="C49" s="5"/>
      <c r="D49" s="9"/>
    </row>
    <row r="50" customFormat="false" ht="12.8" hidden="false" customHeight="false" outlineLevel="0" collapsed="false">
      <c r="A50" s="16" t="s">
        <v>53</v>
      </c>
      <c r="B50" s="13" t="str">
        <f aca="false">TNPE!B1</f>
        <v>Alabama Total Non-Farm Payroll Employment (TNPE)</v>
      </c>
      <c r="C50" s="13"/>
      <c r="D50" s="14"/>
    </row>
    <row r="51" customFormat="false" ht="12.8" hidden="false" customHeight="false" outlineLevel="0" collapsed="false">
      <c r="A51" s="16" t="s">
        <v>54</v>
      </c>
      <c r="B51" s="13" t="str">
        <f aca="false">LFP!B1</f>
        <v>Alabama Labor Force Population (LFP)</v>
      </c>
      <c r="C51" s="13"/>
      <c r="D51" s="14"/>
    </row>
    <row r="52" customFormat="false" ht="12.8" hidden="false" customHeight="false" outlineLevel="0" collapsed="false">
      <c r="A52" s="16" t="s">
        <v>55</v>
      </c>
      <c r="B52" s="13" t="str">
        <f aca="false">EP!B1</f>
        <v>Alabama Employed Population</v>
      </c>
      <c r="C52" s="13"/>
      <c r="D52" s="14"/>
    </row>
    <row r="53" customFormat="false" ht="12.8" hidden="false" customHeight="false" outlineLevel="0" collapsed="false">
      <c r="A53" s="16" t="s">
        <v>56</v>
      </c>
      <c r="B53" s="13" t="str">
        <f aca="false">U3P!B1</f>
        <v>Alabama Unemployed Population</v>
      </c>
      <c r="C53" s="13"/>
      <c r="D53" s="14"/>
    </row>
    <row r="54" customFormat="false" ht="12.8" hidden="false" customHeight="false" outlineLevel="0" collapsed="false">
      <c r="A54" s="16" t="s">
        <v>57</v>
      </c>
      <c r="B54" s="13" t="str">
        <f aca="false">U6P!B1</f>
        <v>Alabama Underemployed Population</v>
      </c>
      <c r="C54" s="13"/>
      <c r="D54" s="14"/>
    </row>
    <row r="55" customFormat="false" ht="12.8" hidden="false" customHeight="false" outlineLevel="0" collapsed="false">
      <c r="A55" s="15" t="s">
        <v>58</v>
      </c>
      <c r="B55" s="9" t="str">
        <f aca="false">CALC!B32</f>
        <v>Alabama Labor Force Participation</v>
      </c>
      <c r="C55" s="13"/>
      <c r="D55" s="14"/>
    </row>
    <row r="56" customFormat="false" ht="12.8" hidden="false" customHeight="false" outlineLevel="0" collapsed="false">
      <c r="A56" s="16" t="s">
        <v>59</v>
      </c>
      <c r="B56" s="13" t="str">
        <f aca="false">LFPR!B1</f>
        <v>Alabama Labor Force Participation Rate (LFPR)</v>
      </c>
      <c r="C56" s="13"/>
      <c r="D56" s="14"/>
    </row>
    <row r="57" customFormat="false" ht="12.8" hidden="false" customHeight="false" outlineLevel="0" collapsed="false">
      <c r="A57" s="16" t="s">
        <v>60</v>
      </c>
      <c r="B57" s="13" t="str">
        <f aca="false">ETPR!B1</f>
        <v>Alabama Employment-to-Population Ratio (ETPR)</v>
      </c>
      <c r="C57" s="13"/>
      <c r="D57" s="14"/>
    </row>
    <row r="58" customFormat="false" ht="12.8" hidden="false" customHeight="false" outlineLevel="0" collapsed="false">
      <c r="A58" s="16" t="s">
        <v>61</v>
      </c>
      <c r="B58" s="13" t="str">
        <f aca="false">U3R!B1</f>
        <v>Alabama Unemployment Rate (U3R)</v>
      </c>
      <c r="C58" s="13"/>
      <c r="D58" s="14"/>
    </row>
    <row r="59" customFormat="false" ht="12.8" hidden="false" customHeight="false" outlineLevel="0" collapsed="false">
      <c r="A59" s="16" t="s">
        <v>62</v>
      </c>
      <c r="B59" s="13" t="str">
        <f aca="false">U3TPR!B1</f>
        <v>Alabama Unemployment-to-Population Ratio (U3TPR)</v>
      </c>
      <c r="C59" s="13"/>
      <c r="D59" s="14"/>
    </row>
    <row r="60" customFormat="false" ht="12.8" hidden="false" customHeight="false" outlineLevel="0" collapsed="false">
      <c r="A60" s="16" t="s">
        <v>63</v>
      </c>
      <c r="B60" s="13" t="str">
        <f aca="false">U6R!B1</f>
        <v>Alabama Underemployment Rate (U6R)</v>
      </c>
      <c r="C60" s="13"/>
      <c r="D60" s="14"/>
    </row>
    <row r="61" customFormat="false" ht="12.8" hidden="false" customHeight="false" outlineLevel="0" collapsed="false">
      <c r="A61" s="16" t="s">
        <v>64</v>
      </c>
      <c r="B61" s="13" t="str">
        <f aca="false">U6TPR!B1</f>
        <v>Alabama Underemployment-to-Population Ratio (U6TPR)</v>
      </c>
      <c r="C61" s="13"/>
      <c r="D61" s="14"/>
    </row>
    <row r="62" customFormat="false" ht="12.8" hidden="false" customHeight="false" outlineLevel="0" collapsed="false">
      <c r="A62" s="16" t="s">
        <v>65</v>
      </c>
      <c r="B62" s="13" t="str">
        <f aca="false">FTER!B1</f>
        <v>Alabama Full-Time Employment Rate (FTER)</v>
      </c>
      <c r="C62" s="13"/>
      <c r="D62" s="14"/>
    </row>
    <row r="63" customFormat="false" ht="12.8" hidden="false" customHeight="false" outlineLevel="0" collapsed="false">
      <c r="A63" s="16" t="s">
        <v>66</v>
      </c>
      <c r="B63" s="13" t="str">
        <f aca="false">PTER!B1</f>
        <v>Alabama Part-Time Employment Rate (PTER)</v>
      </c>
      <c r="C63" s="13"/>
      <c r="D63" s="14"/>
    </row>
    <row r="64" customFormat="false" ht="12.8" hidden="false" customHeight="false" outlineLevel="0" collapsed="false">
      <c r="A64" s="15" t="s">
        <v>67</v>
      </c>
      <c r="B64" s="5" t="str">
        <f aca="false">CALC!B62</f>
        <v>Alabama Labor Force Productivity</v>
      </c>
      <c r="C64" s="13"/>
      <c r="D64" s="14"/>
    </row>
    <row r="65" customFormat="false" ht="12.8" hidden="false" customHeight="false" outlineLevel="0" collapsed="false">
      <c r="A65" s="16" t="s">
        <v>68</v>
      </c>
      <c r="B65" s="13" t="str">
        <f aca="false">WAVG!B1</f>
        <v>Alabama Wage Average (WAVG)</v>
      </c>
      <c r="C65" s="13"/>
      <c r="D65" s="14"/>
    </row>
    <row r="66" customFormat="false" ht="12.8" hidden="false" customHeight="false" outlineLevel="0" collapsed="false">
      <c r="A66" s="16" t="s">
        <v>69</v>
      </c>
      <c r="B66" s="13" t="str">
        <f aca="false">WRAVG!B1</f>
        <v>Alabama Wage Range Average (WRAVG)</v>
      </c>
      <c r="C66" s="13"/>
      <c r="D66" s="14"/>
    </row>
    <row r="67" customFormat="false" ht="12.8" hidden="false" customHeight="false" outlineLevel="0" collapsed="false">
      <c r="A67" s="16" t="s">
        <v>70</v>
      </c>
      <c r="B67" s="13" t="str">
        <f aca="false">AIAVG!B1</f>
        <v>Alabama Annual Income Average (AIAVG)</v>
      </c>
      <c r="C67" s="13"/>
      <c r="D67" s="14"/>
    </row>
    <row r="68" customFormat="false" ht="12.8" hidden="false" customHeight="false" outlineLevel="0" collapsed="false">
      <c r="A68" s="16" t="s">
        <v>71</v>
      </c>
      <c r="B68" s="13" t="str">
        <f aca="false">AIRAVG!B1</f>
        <v>Alabama Wage Range Average (AIRAVG)</v>
      </c>
      <c r="C68" s="13"/>
      <c r="D68" s="14"/>
    </row>
    <row r="69" customFormat="false" ht="12.8" hidden="false" customHeight="false" outlineLevel="0" collapsed="false">
      <c r="A69" s="16" t="s">
        <v>72</v>
      </c>
      <c r="B69" s="13" t="str">
        <f aca="false">AWHW!B1</f>
        <v>Alabama Average Weekly Hours Worked (AWHW)</v>
      </c>
      <c r="C69" s="13"/>
      <c r="D69" s="14"/>
    </row>
    <row r="70" s="3" customFormat="true" ht="12.8" hidden="false" customHeight="false" outlineLevel="0" collapsed="false">
      <c r="A70" s="15" t="s">
        <v>73</v>
      </c>
      <c r="B70" s="5" t="str">
        <f aca="false">CALC!B91</f>
        <v>Alabama Labor Force Taxation</v>
      </c>
    </row>
    <row r="71" customFormat="false" ht="12.8" hidden="false" customHeight="false" outlineLevel="0" collapsed="false">
      <c r="A71" s="16" t="s">
        <v>74</v>
      </c>
      <c r="B71" s="13" t="str">
        <f aca="false">FPITREV!B1</f>
        <v>Alabama Federal Personal Income Tax Revenue (FPITREV)</v>
      </c>
      <c r="C71" s="13"/>
      <c r="D71" s="14"/>
    </row>
    <row r="72" customFormat="false" ht="12.8" hidden="false" customHeight="false" outlineLevel="0" collapsed="false">
      <c r="A72" s="16" t="s">
        <v>75</v>
      </c>
      <c r="B72" s="13" t="str">
        <f aca="false">FPPTREV!B1</f>
        <v>Alabama Federal Personal Payroll Tax Revenue (FPPTREV)</v>
      </c>
      <c r="C72" s="13"/>
      <c r="D72" s="14"/>
    </row>
    <row r="73" customFormat="false" ht="12.8" hidden="false" customHeight="false" outlineLevel="0" collapsed="false">
      <c r="A73" s="16" t="s">
        <v>76</v>
      </c>
      <c r="B73" s="13" t="str">
        <f aca="false">EITCREF!B1</f>
        <v>Alabama Earned Income Tax Credit Refund (EITC)</v>
      </c>
      <c r="C73" s="13"/>
      <c r="D73" s="14"/>
    </row>
    <row r="74" customFormat="false" ht="12.8" hidden="false" customHeight="false" outlineLevel="0" collapsed="false">
      <c r="A74" s="16" t="s">
        <v>77</v>
      </c>
      <c r="B74" s="13" t="str">
        <f aca="false">ACTCREF!B1</f>
        <v>Alabama Additional Child Tax Credit Refund (ACTC)</v>
      </c>
      <c r="C74" s="13"/>
      <c r="D74" s="14"/>
    </row>
    <row r="75" customFormat="false" ht="12.8" hidden="false" customHeight="false" outlineLevel="0" collapsed="false">
      <c r="A75" s="16" t="s">
        <v>78</v>
      </c>
      <c r="B75" s="13" t="str">
        <f aca="false">AOTCREF!B1</f>
        <v>Alabama American Opportunity Tax Credit Refund (AOTC)</v>
      </c>
      <c r="C75" s="13"/>
    </row>
    <row r="76" customFormat="false" ht="12.8" hidden="false" customHeight="false" outlineLevel="0" collapsed="false">
      <c r="A76" s="14"/>
      <c r="B76" s="12"/>
      <c r="C76" s="14"/>
    </row>
    <row r="77" customFormat="false" ht="12.8" hidden="false" customHeight="false" outlineLevel="0" collapsed="false">
      <c r="A77" s="14" t="str">
        <f aca="false">_xlfn.CONCAT(A1,".","ACRO")</f>
        <v>LSD.RID.0.AL.ACRO</v>
      </c>
      <c r="B77" s="12" t="s">
        <v>79</v>
      </c>
      <c r="C77" s="14"/>
    </row>
    <row r="78" customFormat="false" ht="12.8" hidden="false" customHeight="false" outlineLevel="0" collapsed="false">
      <c r="A78" s="14" t="s">
        <v>80</v>
      </c>
      <c r="B78" s="12" t="s">
        <v>81</v>
      </c>
      <c r="C78" s="14"/>
    </row>
    <row r="79" customFormat="false" ht="12.8" hidden="false" customHeight="false" outlineLevel="0" collapsed="false">
      <c r="A79" s="17" t="s">
        <v>82</v>
      </c>
      <c r="B79" s="13" t="s">
        <v>83</v>
      </c>
      <c r="C79" s="14"/>
    </row>
    <row r="80" customFormat="false" ht="12.8" hidden="false" customHeight="false" outlineLevel="0" collapsed="false">
      <c r="A80" s="17" t="s">
        <v>11</v>
      </c>
      <c r="B80" s="13" t="s">
        <v>84</v>
      </c>
      <c r="C80" s="14"/>
    </row>
    <row r="81" customFormat="false" ht="12.8" hidden="false" customHeight="false" outlineLevel="0" collapsed="false">
      <c r="A81" s="17" t="s">
        <v>51</v>
      </c>
      <c r="B81" s="13" t="s">
        <v>85</v>
      </c>
      <c r="C81" s="14"/>
    </row>
    <row r="82" customFormat="false" ht="12.8" hidden="false" customHeight="false" outlineLevel="0" collapsed="false">
      <c r="A82" s="17" t="s">
        <v>86</v>
      </c>
      <c r="B82" s="13" t="s">
        <v>87</v>
      </c>
      <c r="C82" s="14"/>
    </row>
    <row r="83" customFormat="false" ht="12.8" hidden="false" customHeight="false" outlineLevel="0" collapsed="false">
      <c r="A83" s="17" t="s">
        <v>80</v>
      </c>
      <c r="B83" s="13" t="s">
        <v>88</v>
      </c>
      <c r="C83" s="14"/>
    </row>
    <row r="84" customFormat="false" ht="12.8" hidden="false" customHeight="false" outlineLevel="0" collapsed="false">
      <c r="A84" s="17" t="s">
        <v>89</v>
      </c>
      <c r="B84" s="13" t="s">
        <v>90</v>
      </c>
      <c r="C84" s="14"/>
    </row>
    <row r="85" customFormat="false" ht="12.8" hidden="false" customHeight="false" outlineLevel="0" collapsed="false">
      <c r="A85" s="17" t="s">
        <v>91</v>
      </c>
      <c r="B85" s="13" t="s">
        <v>92</v>
      </c>
      <c r="C85" s="14"/>
    </row>
    <row r="86" customFormat="false" ht="12.8" hidden="false" customHeight="false" outlineLevel="0" collapsed="false">
      <c r="A86" s="17" t="s">
        <v>93</v>
      </c>
      <c r="B86" s="13" t="s">
        <v>94</v>
      </c>
      <c r="C86" s="14"/>
    </row>
    <row r="87" customFormat="false" ht="12.8" hidden="false" customHeight="false" outlineLevel="0" collapsed="false">
      <c r="A87" s="17" t="s">
        <v>95</v>
      </c>
      <c r="B87" s="13" t="s">
        <v>96</v>
      </c>
      <c r="C87" s="14"/>
    </row>
    <row r="88" customFormat="false" ht="12.8" hidden="false" customHeight="false" outlineLevel="0" collapsed="false">
      <c r="A88" s="17" t="s">
        <v>97</v>
      </c>
      <c r="B88" s="13" t="s">
        <v>98</v>
      </c>
      <c r="C88" s="14"/>
    </row>
    <row r="89" s="3" customFormat="true" ht="12.8" hidden="false" customHeight="false" outlineLevel="0" collapsed="false">
      <c r="A89" s="17" t="s">
        <v>99</v>
      </c>
      <c r="B89" s="13" t="s">
        <v>100</v>
      </c>
    </row>
    <row r="90" s="3" customFormat="true" ht="12.8" hidden="false" customHeight="false" outlineLevel="0" collapsed="false">
      <c r="A90" s="17" t="s">
        <v>101</v>
      </c>
      <c r="B90" s="13" t="s">
        <v>102</v>
      </c>
    </row>
    <row r="91" s="3" customFormat="true" ht="12.8" hidden="false" customHeight="false" outlineLevel="0" collapsed="false">
      <c r="A91" s="17" t="s">
        <v>103</v>
      </c>
      <c r="B91" s="13" t="s">
        <v>104</v>
      </c>
    </row>
    <row r="92" s="3" customFormat="true" ht="12.8" hidden="false" customHeight="false" outlineLevel="0" collapsed="false">
      <c r="A92" s="17" t="s">
        <v>105</v>
      </c>
      <c r="B92" s="13" t="s">
        <v>106</v>
      </c>
    </row>
    <row r="93" customFormat="false" ht="12.8" hidden="false" customHeight="false" outlineLevel="0" collapsed="false">
      <c r="A93" s="14"/>
      <c r="B93" s="12"/>
      <c r="C93" s="14"/>
    </row>
    <row r="94" customFormat="false" ht="12.8" hidden="false" customHeight="false" outlineLevel="0" collapsed="false">
      <c r="A94" s="4" t="s">
        <v>107</v>
      </c>
      <c r="B94" s="9" t="s">
        <v>108</v>
      </c>
      <c r="C94" s="9" t="s">
        <v>109</v>
      </c>
    </row>
    <row r="95" customFormat="false" ht="12.8" hidden="false" customHeight="false" outlineLevel="0" collapsed="false">
      <c r="A95" s="4" t="s">
        <v>89</v>
      </c>
      <c r="B95" s="9" t="s">
        <v>110</v>
      </c>
      <c r="C95" s="9" t="s">
        <v>111</v>
      </c>
    </row>
    <row r="96" customFormat="false" ht="12.8" hidden="false" customHeight="false" outlineLevel="0" collapsed="false">
      <c r="A96" s="18" t="s">
        <v>112</v>
      </c>
      <c r="B96" s="2" t="s">
        <v>113</v>
      </c>
      <c r="C96" s="2" t="s">
        <v>114</v>
      </c>
    </row>
    <row r="97" customFormat="false" ht="12.8" hidden="false" customHeight="false" outlineLevel="0" collapsed="false">
      <c r="A97" s="18" t="s">
        <v>115</v>
      </c>
      <c r="B97" s="2" t="s">
        <v>116</v>
      </c>
      <c r="C97" s="2" t="s">
        <v>117</v>
      </c>
    </row>
    <row r="98" customFormat="false" ht="12.8" hidden="false" customHeight="false" outlineLevel="0" collapsed="false">
      <c r="A98" s="18" t="s">
        <v>118</v>
      </c>
      <c r="B98" s="2" t="s">
        <v>119</v>
      </c>
      <c r="C98" s="2" t="s">
        <v>120</v>
      </c>
    </row>
    <row r="99" customFormat="false" ht="12.8" hidden="false" customHeight="false" outlineLevel="0" collapsed="false">
      <c r="A99" s="18" t="s">
        <v>121</v>
      </c>
      <c r="B99" s="2" t="s">
        <v>122</v>
      </c>
      <c r="C99" s="2" t="s">
        <v>123</v>
      </c>
    </row>
    <row r="100" customFormat="false" ht="12.8" hidden="false" customHeight="false" outlineLevel="0" collapsed="false">
      <c r="A100" s="18" t="s">
        <v>124</v>
      </c>
      <c r="B100" s="2" t="s">
        <v>125</v>
      </c>
      <c r="C100" s="2" t="s">
        <v>126</v>
      </c>
    </row>
    <row r="101" customFormat="false" ht="12.8" hidden="false" customHeight="false" outlineLevel="0" collapsed="false">
      <c r="A101" s="18" t="s">
        <v>127</v>
      </c>
      <c r="B101" s="2" t="s">
        <v>82</v>
      </c>
      <c r="C101" s="2" t="s">
        <v>128</v>
      </c>
    </row>
    <row r="102" customFormat="false" ht="12.8" hidden="false" customHeight="false" outlineLevel="0" collapsed="false">
      <c r="A102" s="18" t="s">
        <v>129</v>
      </c>
      <c r="B102" s="2" t="s">
        <v>130</v>
      </c>
      <c r="C102" s="2" t="s">
        <v>131</v>
      </c>
    </row>
    <row r="103" customFormat="false" ht="12.8" hidden="false" customHeight="false" outlineLevel="0" collapsed="false">
      <c r="A103" s="18" t="s">
        <v>132</v>
      </c>
      <c r="B103" s="2" t="s">
        <v>133</v>
      </c>
      <c r="C103" s="2" t="s">
        <v>134</v>
      </c>
    </row>
    <row r="104" customFormat="false" ht="12.8" hidden="false" customHeight="false" outlineLevel="0" collapsed="false">
      <c r="A104" s="18" t="s">
        <v>135</v>
      </c>
      <c r="B104" s="2" t="s">
        <v>136</v>
      </c>
      <c r="C104" s="2" t="s">
        <v>137</v>
      </c>
    </row>
    <row r="105" customFormat="false" ht="12.8" hidden="false" customHeight="false" outlineLevel="0" collapsed="false">
      <c r="A105" s="18" t="s">
        <v>138</v>
      </c>
      <c r="B105" s="2" t="s">
        <v>139</v>
      </c>
      <c r="C105" s="2" t="s">
        <v>140</v>
      </c>
    </row>
    <row r="106" customFormat="false" ht="12.8" hidden="false" customHeight="false" outlineLevel="0" collapsed="false">
      <c r="A106" s="18" t="s">
        <v>141</v>
      </c>
      <c r="B106" s="2" t="s">
        <v>142</v>
      </c>
      <c r="C106" s="2" t="s">
        <v>143</v>
      </c>
    </row>
    <row r="107" customFormat="false" ht="12.8" hidden="false" customHeight="false" outlineLevel="0" collapsed="false">
      <c r="A107" s="18" t="s">
        <v>144</v>
      </c>
      <c r="B107" s="2" t="s">
        <v>145</v>
      </c>
      <c r="C107" s="2" t="s">
        <v>146</v>
      </c>
    </row>
    <row r="108" customFormat="false" ht="12.8" hidden="false" customHeight="false" outlineLevel="0" collapsed="false">
      <c r="A108" s="18" t="s">
        <v>147</v>
      </c>
      <c r="B108" s="2" t="s">
        <v>148</v>
      </c>
      <c r="C108" s="2" t="s">
        <v>149</v>
      </c>
    </row>
    <row r="109" customFormat="false" ht="12.8" hidden="false" customHeight="false" outlineLevel="0" collapsed="false">
      <c r="A109" s="18" t="s">
        <v>150</v>
      </c>
      <c r="B109" s="2" t="s">
        <v>151</v>
      </c>
      <c r="C109" s="2" t="s">
        <v>152</v>
      </c>
    </row>
    <row r="110" customFormat="false" ht="12.8" hidden="false" customHeight="false" outlineLevel="0" collapsed="false">
      <c r="A110" s="18" t="s">
        <v>153</v>
      </c>
      <c r="B110" s="2" t="s">
        <v>154</v>
      </c>
      <c r="C110" s="2" t="s">
        <v>155</v>
      </c>
    </row>
    <row r="111" customFormat="false" ht="12.8" hidden="false" customHeight="false" outlineLevel="0" collapsed="false">
      <c r="A111" s="18" t="s">
        <v>156</v>
      </c>
      <c r="B111" s="2" t="s">
        <v>157</v>
      </c>
      <c r="C111" s="2" t="s">
        <v>158</v>
      </c>
    </row>
    <row r="112" customFormat="false" ht="12.8" hidden="false" customHeight="false" outlineLevel="0" collapsed="false">
      <c r="A112" s="18" t="s">
        <v>159</v>
      </c>
      <c r="B112" s="2" t="s">
        <v>160</v>
      </c>
      <c r="C112" s="2" t="s">
        <v>161</v>
      </c>
    </row>
    <row r="113" customFormat="false" ht="12.8" hidden="false" customHeight="false" outlineLevel="0" collapsed="false">
      <c r="A113" s="18" t="s">
        <v>162</v>
      </c>
      <c r="B113" s="2" t="s">
        <v>163</v>
      </c>
      <c r="C113" s="2" t="s">
        <v>164</v>
      </c>
    </row>
    <row r="114" customFormat="false" ht="12.8" hidden="false" customHeight="false" outlineLevel="0" collapsed="false">
      <c r="A114" s="18" t="s">
        <v>165</v>
      </c>
      <c r="B114" s="19" t="s">
        <v>166</v>
      </c>
      <c r="C114" s="2" t="s">
        <v>167</v>
      </c>
    </row>
    <row r="115" customFormat="false" ht="12.8" hidden="false" customHeight="false" outlineLevel="0" collapsed="false">
      <c r="A115" s="18" t="s">
        <v>168</v>
      </c>
      <c r="B115" s="19" t="s">
        <v>169</v>
      </c>
      <c r="C115" s="2" t="s">
        <v>170</v>
      </c>
    </row>
    <row r="116" customFormat="false" ht="12.8" hidden="false" customHeight="false" outlineLevel="0" collapsed="false">
      <c r="A116" s="18" t="s">
        <v>171</v>
      </c>
      <c r="B116" s="19" t="s">
        <v>172</v>
      </c>
      <c r="C116" s="2" t="s">
        <v>173</v>
      </c>
    </row>
    <row r="117" customFormat="false" ht="12.8" hidden="false" customHeight="false" outlineLevel="0" collapsed="false">
      <c r="A117" s="18" t="s">
        <v>174</v>
      </c>
      <c r="B117" s="19" t="s">
        <v>175</v>
      </c>
      <c r="C117" s="2" t="s">
        <v>176</v>
      </c>
    </row>
    <row r="118" customFormat="false" ht="12.8" hidden="false" customHeight="false" outlineLevel="0" collapsed="false">
      <c r="A118" s="18" t="s">
        <v>177</v>
      </c>
      <c r="B118" s="19" t="s">
        <v>178</v>
      </c>
      <c r="C118" s="2" t="s">
        <v>179</v>
      </c>
    </row>
    <row r="119" customFormat="false" ht="12.8" hidden="false" customHeight="false" outlineLevel="0" collapsed="false">
      <c r="A119" s="18" t="s">
        <v>180</v>
      </c>
      <c r="B119" s="19" t="s">
        <v>181</v>
      </c>
      <c r="C119" s="2" t="s">
        <v>182</v>
      </c>
    </row>
    <row r="120" customFormat="false" ht="12.8" hidden="false" customHeight="false" outlineLevel="0" collapsed="false">
      <c r="A120" s="18" t="s">
        <v>183</v>
      </c>
      <c r="B120" s="19" t="s">
        <v>184</v>
      </c>
      <c r="C120" s="2" t="s">
        <v>185</v>
      </c>
    </row>
    <row r="121" customFormat="false" ht="12.8" hidden="false" customHeight="false" outlineLevel="0" collapsed="false">
      <c r="A121" s="18" t="s">
        <v>186</v>
      </c>
      <c r="B121" s="19" t="s">
        <v>187</v>
      </c>
      <c r="C121" s="2" t="s">
        <v>188</v>
      </c>
    </row>
    <row r="122" customFormat="false" ht="12.8" hidden="false" customHeight="false" outlineLevel="0" collapsed="false">
      <c r="A122" s="18" t="s">
        <v>189</v>
      </c>
      <c r="B122" s="19" t="s">
        <v>190</v>
      </c>
      <c r="C122" s="2" t="s">
        <v>191</v>
      </c>
    </row>
    <row r="123" customFormat="false" ht="12.8" hidden="false" customHeight="false" outlineLevel="0" collapsed="false">
      <c r="A123" s="18" t="s">
        <v>192</v>
      </c>
      <c r="B123" s="19" t="s">
        <v>193</v>
      </c>
      <c r="C123" s="2" t="s">
        <v>194</v>
      </c>
    </row>
    <row r="124" customFormat="false" ht="12.8" hidden="false" customHeight="false" outlineLevel="0" collapsed="false">
      <c r="A124" s="18" t="s">
        <v>195</v>
      </c>
      <c r="B124" s="19" t="s">
        <v>196</v>
      </c>
      <c r="C124" s="2" t="s">
        <v>197</v>
      </c>
    </row>
    <row r="125" customFormat="false" ht="12.8" hidden="false" customHeight="false" outlineLevel="0" collapsed="false">
      <c r="A125" s="18" t="s">
        <v>198</v>
      </c>
      <c r="B125" s="2" t="s">
        <v>199</v>
      </c>
      <c r="C125" s="2" t="s">
        <v>200</v>
      </c>
    </row>
    <row r="126" customFormat="false" ht="12.8" hidden="false" customHeight="false" outlineLevel="0" collapsed="false">
      <c r="A126" s="18" t="s">
        <v>201</v>
      </c>
      <c r="B126" s="2" t="s">
        <v>202</v>
      </c>
      <c r="C126" s="2" t="s">
        <v>203</v>
      </c>
    </row>
    <row r="127" customFormat="false" ht="12.8" hidden="false" customHeight="false" outlineLevel="0" collapsed="false">
      <c r="A127" s="18" t="s">
        <v>204</v>
      </c>
      <c r="B127" s="2" t="s">
        <v>205</v>
      </c>
      <c r="C127" s="2" t="s">
        <v>206</v>
      </c>
    </row>
    <row r="128" customFormat="false" ht="12.8" hidden="false" customHeight="false" outlineLevel="0" collapsed="false">
      <c r="A128" s="18" t="s">
        <v>207</v>
      </c>
      <c r="B128" s="2" t="s">
        <v>208</v>
      </c>
      <c r="C128" s="2" t="s">
        <v>209</v>
      </c>
    </row>
    <row r="129" customFormat="false" ht="12.8" hidden="false" customHeight="false" outlineLevel="0" collapsed="false">
      <c r="A129" s="18" t="s">
        <v>210</v>
      </c>
      <c r="B129" s="2" t="s">
        <v>101</v>
      </c>
      <c r="C129" s="2" t="s">
        <v>211</v>
      </c>
    </row>
    <row r="130" s="3" customFormat="true" ht="12.8" hidden="false" customHeight="false" outlineLevel="0" collapsed="false">
      <c r="A130" s="1"/>
      <c r="B130" s="2"/>
      <c r="C130" s="2"/>
    </row>
    <row r="131" s="3" customFormat="true" ht="12.8" hidden="false" customHeight="false" outlineLevel="0" collapsed="false">
      <c r="A131" s="1"/>
      <c r="B131" s="2"/>
      <c r="C131" s="2"/>
    </row>
    <row r="132" s="3" customFormat="true" ht="12.8" hidden="false" customHeight="false" outlineLevel="0" collapsed="false">
      <c r="A132" s="18"/>
      <c r="B132" s="20"/>
    </row>
    <row r="133" s="3" customFormat="true" ht="12.8" hidden="false" customHeight="false" outlineLevel="0" collapsed="false">
      <c r="A133" s="18"/>
      <c r="B133" s="20"/>
    </row>
    <row r="134" s="3" customFormat="true" ht="12.8" hidden="false" customHeight="false" outlineLevel="0" collapsed="false">
      <c r="A134" s="18"/>
      <c r="B134" s="20"/>
    </row>
    <row r="135" s="3" customFormat="true" ht="12.8" hidden="false" customHeight="false" outlineLevel="0" collapsed="false">
      <c r="A135" s="18"/>
      <c r="B135" s="20"/>
    </row>
    <row r="136" s="3" customFormat="true" ht="12.8" hidden="false" customHeight="false" outlineLevel="0" collapsed="false">
      <c r="A136" s="18"/>
      <c r="B136" s="20"/>
    </row>
    <row r="137" s="3" customFormat="true" ht="12.8" hidden="false" customHeight="false" outlineLevel="0" collapsed="false">
      <c r="A137" s="18"/>
      <c r="B137" s="20"/>
    </row>
    <row r="138" s="3" customFormat="true" ht="12.8" hidden="false" customHeight="false" outlineLevel="0" collapsed="false">
      <c r="A138" s="18"/>
      <c r="B138" s="20"/>
    </row>
    <row r="139" s="3" customFormat="true" ht="12.8" hidden="false" customHeight="false" outlineLevel="0" collapsed="false">
      <c r="A139" s="18"/>
      <c r="B139" s="20"/>
    </row>
    <row r="140" s="3" customFormat="true" ht="12.8" hidden="false" customHeight="false" outlineLevel="0" collapsed="false">
      <c r="A140" s="18"/>
      <c r="B140" s="20"/>
    </row>
    <row r="141" s="3" customFormat="true" ht="12.8" hidden="false" customHeight="false" outlineLevel="0" collapsed="false">
      <c r="A141" s="18"/>
      <c r="B141" s="20"/>
    </row>
    <row r="142" s="3" customFormat="true" ht="12.8" hidden="false" customHeight="false" outlineLevel="0" collapsed="false">
      <c r="A142" s="18"/>
      <c r="B142" s="20"/>
    </row>
    <row r="143" s="3" customFormat="true" ht="12.8" hidden="false" customHeight="false" outlineLevel="0" collapsed="false">
      <c r="A143" s="18"/>
      <c r="B143" s="20"/>
    </row>
    <row r="144" s="3" customFormat="true" ht="12.8" hidden="false" customHeight="false" outlineLevel="0" collapsed="false">
      <c r="A144" s="18"/>
      <c r="B144" s="20"/>
    </row>
    <row r="145" s="3" customFormat="true" ht="12.8" hidden="false" customHeight="false" outlineLevel="0" collapsed="false">
      <c r="A145" s="18"/>
      <c r="B145" s="20"/>
    </row>
    <row r="146" s="3" customFormat="true" ht="12.8" hidden="false" customHeight="false" outlineLevel="0" collapsed="false">
      <c r="A146" s="18"/>
      <c r="B146" s="20"/>
    </row>
    <row r="147" s="3" customFormat="true" ht="12.8" hidden="false" customHeight="false" outlineLevel="0" collapsed="false">
      <c r="A147" s="18"/>
      <c r="B147" s="20"/>
    </row>
    <row r="148" customFormat="false" ht="12.8" hidden="false" customHeight="false" outlineLevel="0" collapsed="false">
      <c r="A148" s="18"/>
      <c r="B148" s="20"/>
      <c r="C148" s="3"/>
    </row>
    <row r="149" customFormat="false" ht="12.8" hidden="false" customHeight="false" outlineLevel="0" collapsed="false">
      <c r="A149" s="18"/>
      <c r="B149" s="20"/>
      <c r="C149" s="3"/>
    </row>
  </sheetData>
  <hyperlinks>
    <hyperlink ref="A8" location="LOG!A1" display="LSD.RID.0.AL.LOG"/>
    <hyperlink ref="A10" location="FORM!A1" display="LSD.RID.0.AL.FORM"/>
    <hyperlink ref="A11" location="FORM!A2" display="LSD.RID.0.AL.FORM.S0"/>
    <hyperlink ref="A12" location="FORM!A16" display="LSD.RID.0.AL.FORM.S1"/>
    <hyperlink ref="A13" location="FORM!A23" display="LSD.RID.0.AL.FORM.S1a"/>
    <hyperlink ref="A14" location="FORM!A28" display="LSD.RID.0.AL.FORM.S1b"/>
    <hyperlink ref="A15" location="FORM!A36" display="LSD.RID.0.AL.FORM.S1c"/>
    <hyperlink ref="A16" location="FORM!A42" display="LSD.RID.0.AL.FORM.S2"/>
    <hyperlink ref="A17" location="FORM!A49" display="LSD.RID.0.AL.FORM.S2a"/>
    <hyperlink ref="A18" location="FORM!A55" display="LSD.RID.0.AL.FORM.S2b"/>
    <hyperlink ref="A19" location="FORM!A61" display="LSD.RID.0.AL.FORM.S3"/>
    <hyperlink ref="A20" location="FORM!A67" display="LSD.RID.0.AL.FORM.S3a"/>
    <hyperlink ref="A21" location="FORM!A73" display="LSD.RID.0.AL.FORM.S3b"/>
    <hyperlink ref="A22" location="FORM!A79" display="LSD.RID.0.AL.FORM.S4"/>
    <hyperlink ref="A23" location="FORM!A86" display="LSD.RID.0.AL.FORM.S5"/>
    <hyperlink ref="A24" location="FORM!A94" display="LSD.RID.0.AL.FORM.S6"/>
    <hyperlink ref="A25" location="FORM!A102" display="LSD.RID.0.AL.FORM.S7"/>
    <hyperlink ref="A26" location="FORM!A111" display="LSD.RID.0.AL.FORM.S8"/>
    <hyperlink ref="A27" location="FORM!A119" display="LSD.RID.0.AL.FORM.S9"/>
    <hyperlink ref="A28" location="FORM!A127" display="LSD.RID.0.AL.FORM.S10"/>
    <hyperlink ref="A29" location="FORM!A135" display="LSD.RID.0.AL.FORM.S11"/>
    <hyperlink ref="A30" location="FORM!A143" display="LSD.RID.0.AL.FORM.S12"/>
    <hyperlink ref="A31" location="FORM!A151" display="LSD.RID.0.AL.FORM.S13"/>
    <hyperlink ref="A32" location="FORM!A159" display="LSD.RID.0.AL.FORM.S14"/>
    <hyperlink ref="A34" location="PARAM!A1" display="LSD.RID.0.AL.PARAM"/>
    <hyperlink ref="A35" location="PARAM!A2" display="LSD.RID.0.AL.PARAM.S0 "/>
    <hyperlink ref="A36" location="PARAM!A44" display="LSD.RID.0.AL.PARAM.S1"/>
    <hyperlink ref="A37" location="PARAM!A74" display="LSD.RID.0.AL.PARAM.S2a"/>
    <hyperlink ref="A38" location="PARAM!A83" display="LSD.RID.0.AL.PARAM.S2b"/>
    <hyperlink ref="A39" location="PARAM!A92" display="LSD.RID.0.AL.PARAM.S3"/>
    <hyperlink ref="A40" location="PARAM!A120" display="LSD.RID.0.AL.PARAM.S4"/>
    <hyperlink ref="A41" location="PARAM!A148" display="LSD.RID.0.AL.PARAM.S5"/>
    <hyperlink ref="A42" location="PARAM!A159" display="LSD.RID.0.AL.PARAM.S6"/>
    <hyperlink ref="A43" location="PARAM!A170" display="LSD.RID.0.AL.PARAM.S7"/>
    <hyperlink ref="A44" location="PARAM!A182" display="LSD.RID.0.AL.PARAM.S8"/>
    <hyperlink ref="A45" location="PARAM!A192" display="LSD.RID.0.AL.PARAM.S9"/>
    <hyperlink ref="A49" location="CALC!A2" display="LSD.RID.0.AL.CALC.LFPOP"/>
    <hyperlink ref="A50" location="TNPE!A1" display="LSD.RID.0.AL.TNPE"/>
    <hyperlink ref="A51" location="LFP!A1" display="LSD.RID.0.AL.LFP"/>
    <hyperlink ref="A52" location="EP!A1" display="LSD.RID.0.AL.EP"/>
    <hyperlink ref="A53" location="U3P!A1" display="LSD.RID.0.AL.U3P"/>
    <hyperlink ref="A54" location="U6P!A1" display="LSD.RID.0.AL.U6P"/>
    <hyperlink ref="A55" location="CALC!A32" display="LSD.RID.0.AL.CALC.LFPAR"/>
    <hyperlink ref="A56" location="LFPR!A1" display="LSD.RID.0.AL.LFPR"/>
    <hyperlink ref="A57" location="ETPR!A1" display="LSD.RID.0.AL.ETPR"/>
    <hyperlink ref="A58" location="U3R!A1" display="LSD.RID.0.AL.U3R"/>
    <hyperlink ref="A59" location="U3TPR!A1" display="LSD.RID.0.AL.U3TPR"/>
    <hyperlink ref="A60" location="U6R!A1" display="LSD.RID.0.AL.U6R"/>
    <hyperlink ref="A61" location="U6TPR!A1" display="LSD.RID.0.AL.U6TPR"/>
    <hyperlink ref="A62" location="FTER!A1" display="LSD.RID.0.AL.FTER"/>
    <hyperlink ref="A63" location="PTER!A1" display="LSD.RID.0.AL.PTER"/>
    <hyperlink ref="A64" location="CALC!A62" display="LSD.RID.0.AL.CALC.LFCOMP"/>
    <hyperlink ref="A65" location="WAVG!A1" display="LSD.RID.0.AL.WAVG"/>
    <hyperlink ref="A66" location="WRAVG!A1" display="LSD.RID.0.AL.WRAVG"/>
    <hyperlink ref="A67" location="AIAVG!A1" display="LSD.RID.0.AL.AIAVG"/>
    <hyperlink ref="A68" location="AIRAVG!A1" display="LSD.RID.0.AL.AIRAVG"/>
    <hyperlink ref="A69" location="AWHW!A1" display="LSD.RID.0.AL.AWHW"/>
    <hyperlink ref="A70" location="CALC!A91" display="LSD.RID.0.AL.CALC.LFTAX"/>
    <hyperlink ref="A71" location="FPITREV!A1" display="LSD.RID.0.AL.FPITREV"/>
    <hyperlink ref="A72" location="FPPTREV!A1" display="LSD.RID.0.AL.FPPTREV"/>
    <hyperlink ref="A73" location="EITCREF!A1" display="LSD.RID.0.AL.EITCREF"/>
    <hyperlink ref="A74" location="ACTCREF!A1" display="LSD.RID.0.AL.ACTCREF"/>
    <hyperlink ref="A75" location="AOTCREF!A1" display="LSD.RID.0.AL.AOTCREF"/>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DK29"/>
  <sheetViews>
    <sheetView showFormulas="false" showGridLines="true" showRowColHeaders="true" showZeros="true" rightToLeft="false" tabSelected="true" showOutlineSymbols="true" defaultGridColor="true" view="normal" topLeftCell="D2" colorId="64" zoomScale="85" zoomScaleNormal="85" zoomScalePageLayoutView="100" workbookViewId="0">
      <selection pane="topLeft" activeCell="D5" activeCellId="0" sqref="D5"/>
    </sheetView>
  </sheetViews>
  <sheetFormatPr defaultColWidth="11.53515625" defaultRowHeight="12.8" customHeight="false" zeroHeight="false" outlineLevelRow="0" outlineLevelCol="0"/>
  <cols>
    <col collapsed="false" customWidth="false" hidden="false" outlineLevel="0" max="1" min="1" style="21" width="11.51"/>
    <col collapsed="false" customWidth="true" hidden="false" outlineLevel="0" max="2" min="2" style="3" width="48.43"/>
    <col collapsed="false" customWidth="true" hidden="false" outlineLevel="0" max="3" min="3" style="3" width="87.64"/>
    <col collapsed="false" customWidth="true" hidden="false" outlineLevel="0" max="4" min="4" style="3" width="53.06"/>
    <col collapsed="false" customWidth="false" hidden="false" outlineLevel="0" max="16384" min="5" style="3" width="11.53"/>
  </cols>
  <sheetData>
    <row r="1" s="18" customFormat="true" ht="12.8" hidden="false" customHeight="false" outlineLevel="0" collapsed="false">
      <c r="A1" s="14" t="s">
        <v>13</v>
      </c>
      <c r="B1" s="22" t="s">
        <v>212</v>
      </c>
      <c r="C1" s="23" t="s">
        <v>2</v>
      </c>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c r="DF1" s="3"/>
      <c r="DG1" s="3"/>
      <c r="DH1" s="3"/>
      <c r="DI1" s="3"/>
      <c r="DJ1" s="3"/>
      <c r="DK1" s="3"/>
    </row>
    <row r="2" customFormat="false" ht="12.8" hidden="false" customHeight="false" outlineLevel="0" collapsed="false">
      <c r="A2" s="14" t="str">
        <f aca="false">_xlfn.CONCAT($A$1, ".", "SESS")</f>
        <v>LSD.RID.0.AL.LOG.SESS</v>
      </c>
      <c r="B2" s="22" t="s">
        <v>213</v>
      </c>
      <c r="C2" s="24"/>
      <c r="D2" s="18"/>
      <c r="E2" s="18"/>
    </row>
    <row r="3" customFormat="false" ht="12.8" hidden="false" customHeight="false" outlineLevel="0" collapsed="false">
      <c r="A3" s="14" t="s">
        <v>86</v>
      </c>
      <c r="B3" s="22" t="s">
        <v>214</v>
      </c>
      <c r="C3" s="23" t="s">
        <v>215</v>
      </c>
      <c r="D3" s="22" t="s">
        <v>216</v>
      </c>
      <c r="E3" s="22" t="s">
        <v>217</v>
      </c>
    </row>
    <row r="4" customFormat="false" ht="307.25" hidden="false" customHeight="false" outlineLevel="0" collapsed="false">
      <c r="A4" s="14"/>
      <c r="B4" s="22"/>
      <c r="C4" s="25" t="s">
        <v>218</v>
      </c>
      <c r="D4" s="22" t="s">
        <v>219</v>
      </c>
      <c r="E4" s="22"/>
    </row>
    <row r="5" customFormat="false" ht="102.2" hidden="false" customHeight="false" outlineLevel="0" collapsed="false">
      <c r="A5" s="1" t="n">
        <v>24</v>
      </c>
      <c r="B5" s="2" t="s">
        <v>220</v>
      </c>
      <c r="C5" s="26" t="s">
        <v>221</v>
      </c>
      <c r="D5" s="2" t="s">
        <v>219</v>
      </c>
      <c r="E5" s="18" t="s">
        <v>222</v>
      </c>
      <c r="F5" s="9"/>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s="2"/>
      <c r="BV5" s="2"/>
      <c r="BW5" s="2"/>
      <c r="BX5" s="2"/>
      <c r="BY5" s="2"/>
      <c r="BZ5" s="2"/>
      <c r="CA5" s="2"/>
      <c r="CB5" s="2"/>
      <c r="CC5" s="2"/>
      <c r="CD5" s="2"/>
      <c r="CE5" s="2"/>
      <c r="CF5" s="2"/>
      <c r="CG5" s="2"/>
      <c r="CH5" s="2"/>
      <c r="CI5" s="2"/>
      <c r="CJ5" s="2"/>
      <c r="CK5" s="2"/>
      <c r="CL5" s="2"/>
      <c r="CM5" s="2"/>
      <c r="CN5" s="2"/>
      <c r="CO5" s="2"/>
      <c r="CP5" s="2"/>
      <c r="CQ5" s="2"/>
      <c r="CR5" s="2"/>
      <c r="CS5" s="2"/>
      <c r="CT5" s="2"/>
      <c r="CU5" s="2"/>
      <c r="CV5" s="2"/>
      <c r="CW5" s="2"/>
      <c r="CX5" s="2"/>
      <c r="CY5" s="2"/>
      <c r="CZ5" s="2"/>
      <c r="DA5" s="2"/>
      <c r="DB5" s="2"/>
      <c r="DC5" s="2"/>
      <c r="DD5" s="2"/>
      <c r="DE5" s="2"/>
      <c r="DF5" s="2"/>
      <c r="DG5" s="2"/>
      <c r="DH5" s="2"/>
      <c r="DI5" s="2"/>
      <c r="DJ5" s="2"/>
      <c r="DK5" s="2"/>
    </row>
    <row r="6" customFormat="false" ht="12.8" hidden="false" customHeight="false" outlineLevel="0" collapsed="false">
      <c r="A6" s="1" t="n">
        <v>23</v>
      </c>
      <c r="B6" s="2" t="s">
        <v>223</v>
      </c>
      <c r="C6" s="2" t="s">
        <v>224</v>
      </c>
      <c r="D6" s="2" t="s">
        <v>225</v>
      </c>
      <c r="E6" s="2"/>
      <c r="F6" s="9"/>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row>
    <row r="7" customFormat="false" ht="247.75" hidden="false" customHeight="false" outlineLevel="0" collapsed="false">
      <c r="A7" s="1" t="n">
        <v>22</v>
      </c>
      <c r="B7" s="2" t="s">
        <v>223</v>
      </c>
      <c r="C7" s="26" t="s">
        <v>226</v>
      </c>
      <c r="D7" s="2" t="s">
        <v>227</v>
      </c>
      <c r="E7" s="18" t="s">
        <v>228</v>
      </c>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row>
    <row r="8" customFormat="false" ht="247.75" hidden="false" customHeight="false" outlineLevel="0" collapsed="false">
      <c r="A8" s="1" t="n">
        <v>21</v>
      </c>
      <c r="B8" s="2" t="s">
        <v>223</v>
      </c>
      <c r="C8" s="26" t="s">
        <v>229</v>
      </c>
      <c r="D8" s="2" t="s">
        <v>230</v>
      </c>
      <c r="E8" s="2" t="s">
        <v>228</v>
      </c>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row>
    <row r="9" customFormat="false" ht="12.8" hidden="false" customHeight="false" outlineLevel="0" collapsed="false">
      <c r="A9" s="1" t="n">
        <v>20</v>
      </c>
      <c r="B9" s="2" t="s">
        <v>223</v>
      </c>
      <c r="C9" s="2" t="s">
        <v>231</v>
      </c>
      <c r="D9" s="2" t="s">
        <v>232</v>
      </c>
      <c r="E9" s="2" t="s">
        <v>233</v>
      </c>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row>
    <row r="10" customFormat="false" ht="12.8" hidden="false" customHeight="false" outlineLevel="0" collapsed="false">
      <c r="A10" s="1" t="n">
        <v>19</v>
      </c>
      <c r="B10" s="2" t="s">
        <v>223</v>
      </c>
      <c r="C10" s="2" t="s">
        <v>234</v>
      </c>
      <c r="D10" s="2" t="s">
        <v>235</v>
      </c>
      <c r="E10" s="2" t="s">
        <v>222</v>
      </c>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s="2"/>
      <c r="BV10" s="2"/>
      <c r="BW10" s="2"/>
      <c r="BX10" s="2"/>
      <c r="BY10" s="2"/>
      <c r="BZ10" s="2"/>
      <c r="CA10" s="2"/>
      <c r="CB10" s="2"/>
      <c r="CC10" s="2"/>
      <c r="CD10" s="2"/>
      <c r="CE10" s="2"/>
      <c r="CF10" s="2"/>
      <c r="CG10" s="2"/>
      <c r="CH10" s="2"/>
      <c r="CI10" s="2"/>
      <c r="CJ10" s="2"/>
      <c r="CK10" s="2"/>
      <c r="CL10" s="2"/>
      <c r="CM10" s="2"/>
      <c r="CN10" s="2"/>
      <c r="CO10" s="2"/>
      <c r="CP10" s="2"/>
      <c r="CQ10" s="2"/>
      <c r="CR10" s="2"/>
      <c r="CS10" s="2"/>
      <c r="CT10" s="2"/>
      <c r="CU10" s="2"/>
      <c r="CV10" s="2"/>
      <c r="CW10" s="2"/>
      <c r="CX10" s="2"/>
      <c r="CY10" s="2"/>
      <c r="CZ10" s="2"/>
      <c r="DA10" s="2"/>
      <c r="DB10" s="2"/>
      <c r="DC10" s="2"/>
      <c r="DD10" s="2"/>
      <c r="DE10" s="2"/>
      <c r="DF10" s="2"/>
      <c r="DG10" s="2"/>
      <c r="DH10" s="2"/>
      <c r="DI10" s="2"/>
      <c r="DJ10" s="2"/>
      <c r="DK10" s="2"/>
    </row>
    <row r="11" customFormat="false" ht="12.8" hidden="false" customHeight="false" outlineLevel="0" collapsed="false">
      <c r="A11" s="1" t="s">
        <v>162</v>
      </c>
      <c r="B11" s="2" t="s">
        <v>236</v>
      </c>
      <c r="C11" s="2" t="s">
        <v>237</v>
      </c>
      <c r="D11" s="2" t="s">
        <v>238</v>
      </c>
      <c r="E11" s="2" t="s">
        <v>228</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E11" s="2"/>
      <c r="DF11" s="2"/>
      <c r="DG11" s="2"/>
      <c r="DH11" s="2"/>
      <c r="DI11" s="2"/>
      <c r="DJ11" s="2"/>
      <c r="DK11" s="2"/>
    </row>
    <row r="12" customFormat="false" ht="113.4" hidden="false" customHeight="false" outlineLevel="0" collapsed="false">
      <c r="A12" s="1" t="n">
        <v>17</v>
      </c>
      <c r="B12" s="2" t="s">
        <v>239</v>
      </c>
      <c r="C12" s="26" t="s">
        <v>240</v>
      </c>
      <c r="D12" s="2" t="s">
        <v>241</v>
      </c>
      <c r="E12" s="18" t="s">
        <v>233</v>
      </c>
      <c r="F12" s="9"/>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c r="CI12" s="2"/>
      <c r="CJ12" s="2"/>
      <c r="CK12" s="2"/>
      <c r="CL12" s="2"/>
      <c r="CM12" s="2"/>
      <c r="CN12" s="2"/>
      <c r="CO12" s="2"/>
      <c r="CP12" s="2"/>
      <c r="CQ12" s="2"/>
      <c r="CR12" s="2"/>
      <c r="CS12" s="2"/>
      <c r="CT12" s="2"/>
      <c r="CU12" s="2"/>
      <c r="CV12" s="2"/>
      <c r="CW12" s="2"/>
      <c r="CX12" s="2"/>
      <c r="CY12" s="2"/>
      <c r="CZ12" s="2"/>
      <c r="DA12" s="2"/>
      <c r="DB12" s="2"/>
      <c r="DC12" s="2"/>
      <c r="DD12" s="2"/>
      <c r="DE12" s="2"/>
      <c r="DF12" s="2"/>
      <c r="DG12" s="2"/>
      <c r="DH12" s="2"/>
      <c r="DI12" s="2"/>
      <c r="DJ12" s="2"/>
      <c r="DK12" s="2"/>
    </row>
    <row r="13" customFormat="false" ht="180.55" hidden="false" customHeight="false" outlineLevel="0" collapsed="false">
      <c r="A13" s="1" t="n">
        <v>16</v>
      </c>
      <c r="B13" s="2" t="s">
        <v>242</v>
      </c>
      <c r="C13" s="26" t="s">
        <v>243</v>
      </c>
      <c r="D13" s="2" t="s">
        <v>244</v>
      </c>
      <c r="E13" s="18" t="s">
        <v>228</v>
      </c>
      <c r="F13" s="9"/>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row>
    <row r="14" customFormat="false" ht="147" hidden="false" customHeight="false" outlineLevel="0" collapsed="false">
      <c r="A14" s="1" t="n">
        <v>15</v>
      </c>
      <c r="B14" s="2" t="s">
        <v>245</v>
      </c>
      <c r="C14" s="26" t="s">
        <v>246</v>
      </c>
      <c r="D14" s="2" t="s">
        <v>247</v>
      </c>
      <c r="E14" s="2" t="s">
        <v>233</v>
      </c>
      <c r="F14" s="9"/>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row>
    <row r="15" customFormat="false" ht="12.8" hidden="false" customHeight="false" outlineLevel="0" collapsed="false">
      <c r="A15" s="1" t="n">
        <v>14</v>
      </c>
      <c r="B15" s="2" t="s">
        <v>245</v>
      </c>
      <c r="C15" s="2" t="s">
        <v>248</v>
      </c>
      <c r="D15" s="2" t="s">
        <v>249</v>
      </c>
      <c r="E15" s="2" t="s">
        <v>228</v>
      </c>
      <c r="F15" s="9"/>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row>
    <row r="16" customFormat="false" ht="12.8" hidden="false" customHeight="false" outlineLevel="0" collapsed="false">
      <c r="A16" s="1" t="n">
        <v>13</v>
      </c>
      <c r="B16" s="2" t="s">
        <v>245</v>
      </c>
      <c r="C16" s="2" t="s">
        <v>248</v>
      </c>
      <c r="D16" s="2" t="s">
        <v>250</v>
      </c>
      <c r="E16" s="2" t="s">
        <v>228</v>
      </c>
      <c r="F16" s="9"/>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row>
    <row r="17" customFormat="false" ht="158.2" hidden="false" customHeight="false" outlineLevel="0" collapsed="false">
      <c r="A17" s="1" t="n">
        <v>12</v>
      </c>
      <c r="B17" s="2" t="s">
        <v>245</v>
      </c>
      <c r="C17" s="26" t="s">
        <v>251</v>
      </c>
      <c r="D17" s="2" t="s">
        <v>252</v>
      </c>
      <c r="E17" s="27" t="s">
        <v>233</v>
      </c>
      <c r="F17" s="9"/>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row>
    <row r="18" customFormat="false" ht="158.2" hidden="false" customHeight="false" outlineLevel="0" collapsed="false">
      <c r="A18" s="1" t="n">
        <v>11</v>
      </c>
      <c r="B18" s="2" t="s">
        <v>245</v>
      </c>
      <c r="C18" s="26" t="s">
        <v>251</v>
      </c>
      <c r="D18" s="2" t="s">
        <v>253</v>
      </c>
      <c r="E18" s="2" t="s">
        <v>222</v>
      </c>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row>
    <row r="19" customFormat="false" ht="12.8" hidden="false" customHeight="false" outlineLevel="0" collapsed="false">
      <c r="A19" s="1" t="s">
        <v>138</v>
      </c>
      <c r="B19" s="2" t="s">
        <v>254</v>
      </c>
      <c r="C19" s="2" t="s">
        <v>255</v>
      </c>
      <c r="D19" s="2" t="s">
        <v>256</v>
      </c>
      <c r="E19" s="2" t="s">
        <v>233</v>
      </c>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row>
    <row r="20" customFormat="false" ht="147" hidden="false" customHeight="false" outlineLevel="0" collapsed="false">
      <c r="A20" s="1" t="s">
        <v>135</v>
      </c>
      <c r="B20" s="2" t="s">
        <v>239</v>
      </c>
      <c r="C20" s="26" t="s">
        <v>257</v>
      </c>
      <c r="D20" s="2" t="s">
        <v>258</v>
      </c>
      <c r="E20" s="27" t="s">
        <v>222</v>
      </c>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row>
    <row r="21" customFormat="false" ht="169.4" hidden="false" customHeight="false" outlineLevel="0" collapsed="false">
      <c r="A21" s="1" t="n">
        <v>8</v>
      </c>
      <c r="B21" s="2" t="s">
        <v>239</v>
      </c>
      <c r="C21" s="26" t="s">
        <v>259</v>
      </c>
      <c r="D21" s="2"/>
      <c r="E21" s="27" t="s">
        <v>233</v>
      </c>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row>
    <row r="22" customFormat="false" ht="169.4" hidden="false" customHeight="false" outlineLevel="0" collapsed="false">
      <c r="A22" s="1" t="n">
        <v>7</v>
      </c>
      <c r="B22" s="2" t="s">
        <v>239</v>
      </c>
      <c r="C22" s="26" t="s">
        <v>259</v>
      </c>
      <c r="D22" s="2" t="s">
        <v>258</v>
      </c>
      <c r="E22" s="27" t="s">
        <v>222</v>
      </c>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row>
    <row r="23" customFormat="false" ht="135.8" hidden="false" customHeight="false" outlineLevel="0" collapsed="false">
      <c r="A23" s="1" t="n">
        <v>6</v>
      </c>
      <c r="B23" s="2" t="s">
        <v>260</v>
      </c>
      <c r="C23" s="26" t="s">
        <v>261</v>
      </c>
      <c r="D23" s="2" t="s">
        <v>262</v>
      </c>
      <c r="E23" s="2" t="s">
        <v>222</v>
      </c>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row>
    <row r="24" customFormat="false" ht="12.8" hidden="false" customHeight="false" outlineLevel="0" collapsed="false">
      <c r="A24" s="1" t="n">
        <v>5</v>
      </c>
      <c r="B24" s="2" t="s">
        <v>263</v>
      </c>
      <c r="C24" s="27" t="s">
        <v>264</v>
      </c>
      <c r="D24" s="2" t="s">
        <v>265</v>
      </c>
      <c r="E24" s="27" t="s">
        <v>233</v>
      </c>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row>
    <row r="25" customFormat="false" ht="12.8" hidden="false" customHeight="false" outlineLevel="0" collapsed="false">
      <c r="A25" s="1" t="s">
        <v>121</v>
      </c>
      <c r="B25" s="2" t="s">
        <v>266</v>
      </c>
      <c r="C25" s="2" t="s">
        <v>267</v>
      </c>
      <c r="D25" s="2" t="s">
        <v>268</v>
      </c>
      <c r="E25" s="2" t="s">
        <v>222</v>
      </c>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row>
    <row r="26" customFormat="false" ht="12.8" hidden="false" customHeight="false" outlineLevel="0" collapsed="false">
      <c r="A26" s="1" t="s">
        <v>118</v>
      </c>
      <c r="B26" s="2" t="s">
        <v>269</v>
      </c>
      <c r="C26" s="2" t="s">
        <v>267</v>
      </c>
      <c r="D26" s="2" t="s">
        <v>270</v>
      </c>
      <c r="E26" s="2" t="s">
        <v>228</v>
      </c>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row>
    <row r="27" customFormat="false" ht="102.2" hidden="false" customHeight="false" outlineLevel="0" collapsed="false">
      <c r="A27" s="1" t="s">
        <v>115</v>
      </c>
      <c r="B27" s="2" t="s">
        <v>271</v>
      </c>
      <c r="C27" s="26" t="s">
        <v>272</v>
      </c>
      <c r="D27" s="2" t="s">
        <v>273</v>
      </c>
      <c r="E27" s="2" t="s">
        <v>233</v>
      </c>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row>
    <row r="28" customFormat="false" ht="113.4" hidden="false" customHeight="false" outlineLevel="0" collapsed="false">
      <c r="A28" s="1" t="s">
        <v>112</v>
      </c>
      <c r="B28" s="2" t="s">
        <v>274</v>
      </c>
      <c r="C28" s="26" t="s">
        <v>275</v>
      </c>
      <c r="D28" s="2" t="s">
        <v>276</v>
      </c>
      <c r="E28" s="2" t="s">
        <v>222</v>
      </c>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row>
    <row r="29" customFormat="false" ht="113.4" hidden="false" customHeight="false" outlineLevel="0" collapsed="false">
      <c r="A29" s="1" t="s">
        <v>277</v>
      </c>
      <c r="B29" s="2" t="s">
        <v>278</v>
      </c>
      <c r="C29" s="26" t="s">
        <v>275</v>
      </c>
      <c r="D29" s="2" t="s">
        <v>279</v>
      </c>
      <c r="E29" s="2" t="s">
        <v>233</v>
      </c>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A933"/>
    <pageSetUpPr fitToPage="false"/>
  </sheetPr>
  <dimension ref="A1:F17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2" activeCellId="0" sqref="A2"/>
    </sheetView>
  </sheetViews>
  <sheetFormatPr defaultColWidth="11.53515625" defaultRowHeight="12.8" customHeight="false" zeroHeight="false" outlineLevelRow="0" outlineLevelCol="0"/>
  <cols>
    <col collapsed="false" customWidth="true" hidden="false" outlineLevel="0" max="1" min="1" style="21" width="20.76"/>
    <col collapsed="false" customWidth="true" hidden="false" outlineLevel="0" max="2" min="2" style="20" width="18.45"/>
    <col collapsed="false" customWidth="true" hidden="false" outlineLevel="0" max="3" min="3" style="3" width="46.13"/>
    <col collapsed="false" customWidth="true" hidden="false" outlineLevel="0" max="4" min="4" style="3" width="20.76"/>
    <col collapsed="false" customWidth="false" hidden="false" outlineLevel="0" max="16384" min="5" style="3" width="11.53"/>
  </cols>
  <sheetData>
    <row r="1" customFormat="false" ht="12.8" hidden="false" customHeight="false" outlineLevel="0" collapsed="false">
      <c r="A1" s="14" t="s">
        <v>14</v>
      </c>
      <c r="B1" s="13" t="s">
        <v>280</v>
      </c>
      <c r="C1" s="18" t="s">
        <v>281</v>
      </c>
      <c r="D1" s="18"/>
      <c r="E1" s="18"/>
      <c r="F1" s="18"/>
    </row>
    <row r="2" customFormat="false" ht="12.8" hidden="false" customHeight="false" outlineLevel="0" collapsed="false">
      <c r="A2" s="28" t="str">
        <f aca="false">_xlfn.CONCAT($A$1, ".", "BASE")</f>
        <v>LSD.RID.0.AL.FORM.BASE</v>
      </c>
      <c r="B2" s="0" t="s">
        <v>282</v>
      </c>
      <c r="C2" s="0"/>
      <c r="D2" s="0"/>
      <c r="E2" s="0"/>
      <c r="F2" s="0"/>
    </row>
    <row r="3" customFormat="false" ht="12.8" hidden="false" customHeight="false" outlineLevel="0" collapsed="false">
      <c r="A3" s="28" t="s">
        <v>91</v>
      </c>
      <c r="B3" s="0" t="s">
        <v>283</v>
      </c>
      <c r="C3" s="0" t="s">
        <v>284</v>
      </c>
      <c r="D3" s="0" t="s">
        <v>285</v>
      </c>
      <c r="E3" s="0" t="s">
        <v>286</v>
      </c>
      <c r="F3" s="0" t="s">
        <v>287</v>
      </c>
    </row>
    <row r="4" customFormat="false" ht="12.8" hidden="false" customHeight="false" outlineLevel="0" collapsed="false">
      <c r="A4" s="28" t="s">
        <v>288</v>
      </c>
      <c r="B4" s="0" t="s">
        <v>289</v>
      </c>
      <c r="C4" s="0" t="s">
        <v>290</v>
      </c>
      <c r="D4" s="0" t="s">
        <v>291</v>
      </c>
      <c r="E4" s="0" t="s">
        <v>292</v>
      </c>
      <c r="F4" s="0" t="s">
        <v>293</v>
      </c>
    </row>
    <row r="5" customFormat="false" ht="12.8" hidden="false" customHeight="false" outlineLevel="0" collapsed="false">
      <c r="A5" s="28" t="s">
        <v>294</v>
      </c>
      <c r="B5" s="0" t="s">
        <v>295</v>
      </c>
      <c r="C5" s="0" t="s">
        <v>296</v>
      </c>
      <c r="D5" s="0" t="s">
        <v>297</v>
      </c>
      <c r="E5" s="0" t="s">
        <v>298</v>
      </c>
      <c r="F5" s="0" t="s">
        <v>299</v>
      </c>
    </row>
    <row r="6" customFormat="false" ht="12.8" hidden="false" customHeight="false" outlineLevel="0" collapsed="false">
      <c r="A6" s="28" t="s">
        <v>300</v>
      </c>
      <c r="B6" s="0" t="s">
        <v>301</v>
      </c>
      <c r="C6" s="0" t="s">
        <v>302</v>
      </c>
      <c r="D6" s="0" t="s">
        <v>303</v>
      </c>
      <c r="E6" s="0" t="s">
        <v>304</v>
      </c>
      <c r="F6" s="0" t="s">
        <v>305</v>
      </c>
    </row>
    <row r="7" customFormat="false" ht="12.8" hidden="false" customHeight="false" outlineLevel="0" collapsed="false">
      <c r="A7" s="28" t="s">
        <v>306</v>
      </c>
      <c r="B7" s="0" t="s">
        <v>307</v>
      </c>
      <c r="C7" s="0" t="s">
        <v>308</v>
      </c>
      <c r="D7" s="0" t="s">
        <v>309</v>
      </c>
      <c r="E7" s="0" t="s">
        <v>310</v>
      </c>
      <c r="F7" s="0" t="s">
        <v>311</v>
      </c>
    </row>
    <row r="8" customFormat="false" ht="12.8" hidden="false" customHeight="false" outlineLevel="0" collapsed="false">
      <c r="A8" s="28" t="s">
        <v>312</v>
      </c>
      <c r="B8" s="0" t="s">
        <v>313</v>
      </c>
      <c r="C8" s="0" t="s">
        <v>314</v>
      </c>
      <c r="D8" s="0" t="s">
        <v>315</v>
      </c>
      <c r="E8" s="0" t="s">
        <v>316</v>
      </c>
      <c r="F8" s="0" t="s">
        <v>317</v>
      </c>
    </row>
    <row r="9" customFormat="false" ht="12.8" hidden="false" customHeight="false" outlineLevel="0" collapsed="false">
      <c r="A9" s="28" t="s">
        <v>318</v>
      </c>
      <c r="B9" s="0" t="s">
        <v>319</v>
      </c>
      <c r="C9" s="0" t="s">
        <v>320</v>
      </c>
      <c r="D9" s="0" t="s">
        <v>321</v>
      </c>
      <c r="E9" s="0" t="s">
        <v>322</v>
      </c>
      <c r="F9" s="0" t="s">
        <v>323</v>
      </c>
    </row>
    <row r="10" customFormat="false" ht="12.8" hidden="false" customHeight="false" outlineLevel="0" collapsed="false">
      <c r="A10" s="28" t="s">
        <v>324</v>
      </c>
      <c r="B10" s="0" t="s">
        <v>325</v>
      </c>
      <c r="C10" s="0" t="s">
        <v>326</v>
      </c>
      <c r="D10" s="0" t="s">
        <v>327</v>
      </c>
      <c r="E10" s="0" t="s">
        <v>328</v>
      </c>
      <c r="F10" s="0" t="s">
        <v>329</v>
      </c>
    </row>
    <row r="11" customFormat="false" ht="12.8" hidden="false" customHeight="false" outlineLevel="0" collapsed="false">
      <c r="A11" s="28" t="s">
        <v>330</v>
      </c>
      <c r="B11" s="0" t="s">
        <v>331</v>
      </c>
      <c r="C11" s="0" t="s">
        <v>332</v>
      </c>
      <c r="D11" s="0" t="s">
        <v>333</v>
      </c>
      <c r="E11" s="0" t="s">
        <v>334</v>
      </c>
      <c r="F11" s="0" t="s">
        <v>335</v>
      </c>
    </row>
    <row r="12" customFormat="false" ht="12.8" hidden="false" customHeight="false" outlineLevel="0" collapsed="false">
      <c r="A12" s="28" t="s">
        <v>336</v>
      </c>
      <c r="B12" s="0" t="s">
        <v>337</v>
      </c>
      <c r="C12" s="0" t="s">
        <v>338</v>
      </c>
      <c r="D12" s="0" t="s">
        <v>339</v>
      </c>
      <c r="E12" s="0" t="s">
        <v>340</v>
      </c>
      <c r="F12" s="0" t="s">
        <v>341</v>
      </c>
    </row>
    <row r="13" customFormat="false" ht="12.8" hidden="false" customHeight="false" outlineLevel="0" collapsed="false">
      <c r="A13" s="28" t="s">
        <v>342</v>
      </c>
      <c r="B13" s="0" t="s">
        <v>343</v>
      </c>
      <c r="C13" s="0" t="s">
        <v>344</v>
      </c>
      <c r="D13" s="0" t="s">
        <v>345</v>
      </c>
      <c r="E13" s="0" t="s">
        <v>346</v>
      </c>
      <c r="F13" s="0" t="s">
        <v>347</v>
      </c>
    </row>
    <row r="14" customFormat="false" ht="12.8" hidden="false" customHeight="false" outlineLevel="0" collapsed="false">
      <c r="A14" s="28" t="s">
        <v>348</v>
      </c>
      <c r="B14" s="0" t="s">
        <v>349</v>
      </c>
      <c r="C14" s="0" t="s">
        <v>350</v>
      </c>
      <c r="D14" s="0" t="s">
        <v>351</v>
      </c>
      <c r="E14" s="0" t="s">
        <v>352</v>
      </c>
      <c r="F14" s="0" t="s">
        <v>353</v>
      </c>
    </row>
    <row r="15" customFormat="false" ht="12.8" hidden="false" customHeight="false" outlineLevel="0" collapsed="false">
      <c r="A15" s="28"/>
      <c r="B15" s="0"/>
      <c r="C15" s="0"/>
      <c r="D15" s="0"/>
      <c r="E15" s="0"/>
      <c r="F15" s="0"/>
    </row>
    <row r="16" customFormat="false" ht="12.8" hidden="false" customHeight="false" outlineLevel="0" collapsed="false">
      <c r="A16" s="28" t="str">
        <f aca="false">_xlfn.CONCAT($A$1, ".", "LFP")</f>
        <v>LSD.RID.0.AL.FORM.LFP</v>
      </c>
      <c r="B16" s="29" t="s">
        <v>354</v>
      </c>
      <c r="C16" s="0"/>
      <c r="D16" s="0"/>
      <c r="E16" s="0"/>
      <c r="F16" s="0"/>
    </row>
    <row r="17" customFormat="false" ht="12.8" hidden="false" customHeight="false" outlineLevel="0" collapsed="false">
      <c r="A17" s="28" t="s">
        <v>91</v>
      </c>
      <c r="B17" s="0" t="s">
        <v>283</v>
      </c>
      <c r="C17" s="0" t="s">
        <v>284</v>
      </c>
      <c r="D17" s="0" t="s">
        <v>285</v>
      </c>
      <c r="E17" s="0" t="s">
        <v>286</v>
      </c>
      <c r="F17" s="0" t="s">
        <v>287</v>
      </c>
    </row>
    <row r="18" customFormat="false" ht="12.8" hidden="false" customHeight="false" outlineLevel="0" collapsed="false">
      <c r="A18" s="28" t="s">
        <v>355</v>
      </c>
      <c r="B18" s="0" t="s">
        <v>356</v>
      </c>
      <c r="C18" s="0" t="s">
        <v>357</v>
      </c>
      <c r="D18" s="0" t="s">
        <v>358</v>
      </c>
      <c r="E18" s="0" t="s">
        <v>359</v>
      </c>
      <c r="F18" s="0" t="s">
        <v>360</v>
      </c>
    </row>
    <row r="19" customFormat="false" ht="12.8" hidden="false" customHeight="false" outlineLevel="0" collapsed="false">
      <c r="A19" s="28" t="s">
        <v>361</v>
      </c>
      <c r="B19" s="0" t="s">
        <v>362</v>
      </c>
      <c r="C19" s="0" t="s">
        <v>363</v>
      </c>
      <c r="D19" s="0" t="s">
        <v>364</v>
      </c>
      <c r="E19" s="0" t="s">
        <v>365</v>
      </c>
      <c r="F19" s="0" t="s">
        <v>366</v>
      </c>
    </row>
    <row r="20" customFormat="false" ht="12.8" hidden="false" customHeight="false" outlineLevel="0" collapsed="false">
      <c r="A20" s="28" t="s">
        <v>367</v>
      </c>
      <c r="B20" s="0" t="s">
        <v>368</v>
      </c>
      <c r="C20" s="0" t="s">
        <v>369</v>
      </c>
      <c r="D20" s="0" t="s">
        <v>370</v>
      </c>
      <c r="E20" s="0" t="s">
        <v>371</v>
      </c>
      <c r="F20" s="0" t="s">
        <v>372</v>
      </c>
    </row>
    <row r="21" customFormat="false" ht="12.8" hidden="false" customHeight="false" outlineLevel="0" collapsed="false">
      <c r="A21" s="28" t="s">
        <v>373</v>
      </c>
      <c r="B21" s="0" t="s">
        <v>374</v>
      </c>
      <c r="C21" s="0" t="s">
        <v>375</v>
      </c>
      <c r="D21" s="0" t="s">
        <v>376</v>
      </c>
      <c r="E21" s="0" t="s">
        <v>377</v>
      </c>
      <c r="F21" s="0" t="s">
        <v>366</v>
      </c>
    </row>
    <row r="22" customFormat="false" ht="12.8" hidden="false" customHeight="false" outlineLevel="0" collapsed="false">
      <c r="A22" s="28" t="s">
        <v>378</v>
      </c>
      <c r="B22" s="0" t="s">
        <v>379</v>
      </c>
      <c r="C22" s="0" t="s">
        <v>380</v>
      </c>
      <c r="D22" s="0" t="s">
        <v>381</v>
      </c>
      <c r="E22" s="0" t="s">
        <v>382</v>
      </c>
      <c r="F22" s="0" t="s">
        <v>383</v>
      </c>
    </row>
    <row r="23" customFormat="false" ht="12.8" hidden="false" customHeight="false" outlineLevel="0" collapsed="false">
      <c r="A23" s="28" t="s">
        <v>384</v>
      </c>
      <c r="B23" s="0" t="s">
        <v>385</v>
      </c>
      <c r="C23" s="0" t="s">
        <v>386</v>
      </c>
      <c r="D23" s="0" t="s">
        <v>387</v>
      </c>
      <c r="E23" s="0" t="s">
        <v>388</v>
      </c>
      <c r="F23" s="0" t="s">
        <v>389</v>
      </c>
    </row>
    <row r="24" customFormat="false" ht="12.8" hidden="false" customHeight="false" outlineLevel="0" collapsed="false">
      <c r="A24" s="28"/>
      <c r="B24" s="0"/>
      <c r="C24" s="0"/>
      <c r="D24" s="0"/>
      <c r="E24" s="0"/>
      <c r="F24" s="0"/>
    </row>
    <row r="25" customFormat="false" ht="12.8" hidden="false" customHeight="false" outlineLevel="0" collapsed="false">
      <c r="A25" s="28" t="str">
        <f aca="false">_xlfn.CONCAT($A$1, ".", "ETPR")</f>
        <v>LSD.RID.0.AL.FORM.ETPR</v>
      </c>
      <c r="B25" s="29" t="s">
        <v>390</v>
      </c>
      <c r="C25" s="0"/>
      <c r="D25" s="0"/>
      <c r="E25" s="0"/>
      <c r="F25" s="0"/>
    </row>
    <row r="26" customFormat="false" ht="12.8" hidden="false" customHeight="false" outlineLevel="0" collapsed="false">
      <c r="A26" s="28" t="s">
        <v>91</v>
      </c>
      <c r="B26" s="0" t="s">
        <v>283</v>
      </c>
      <c r="C26" s="0" t="s">
        <v>284</v>
      </c>
      <c r="D26" s="0" t="s">
        <v>285</v>
      </c>
      <c r="E26" s="0" t="s">
        <v>286</v>
      </c>
      <c r="F26" s="0" t="s">
        <v>287</v>
      </c>
    </row>
    <row r="27" customFormat="false" ht="12.8" hidden="false" customHeight="false" outlineLevel="0" collapsed="false">
      <c r="A27" s="28" t="s">
        <v>391</v>
      </c>
      <c r="B27" s="0" t="s">
        <v>356</v>
      </c>
      <c r="C27" s="0" t="s">
        <v>357</v>
      </c>
      <c r="D27" s="0" t="s">
        <v>358</v>
      </c>
      <c r="E27" s="0" t="s">
        <v>359</v>
      </c>
      <c r="F27" s="0" t="s">
        <v>360</v>
      </c>
    </row>
    <row r="28" customFormat="false" ht="12.8" hidden="false" customHeight="false" outlineLevel="0" collapsed="false">
      <c r="A28" s="28" t="s">
        <v>392</v>
      </c>
      <c r="B28" s="0" t="s">
        <v>362</v>
      </c>
      <c r="C28" s="0" t="s">
        <v>363</v>
      </c>
      <c r="D28" s="0" t="s">
        <v>364</v>
      </c>
      <c r="E28" s="0" t="s">
        <v>365</v>
      </c>
      <c r="F28" s="0" t="s">
        <v>366</v>
      </c>
    </row>
    <row r="29" customFormat="false" ht="12.8" hidden="false" customHeight="false" outlineLevel="0" collapsed="false">
      <c r="A29" s="28" t="s">
        <v>393</v>
      </c>
      <c r="B29" s="0" t="s">
        <v>368</v>
      </c>
      <c r="C29" s="0" t="s">
        <v>369</v>
      </c>
      <c r="D29" s="0" t="s">
        <v>370</v>
      </c>
      <c r="E29" s="0" t="s">
        <v>371</v>
      </c>
      <c r="F29" s="0" t="s">
        <v>372</v>
      </c>
    </row>
    <row r="30" customFormat="false" ht="12.8" hidden="false" customHeight="false" outlineLevel="0" collapsed="false">
      <c r="A30" s="28" t="s">
        <v>394</v>
      </c>
      <c r="B30" s="0" t="s">
        <v>374</v>
      </c>
      <c r="C30" s="0" t="s">
        <v>375</v>
      </c>
      <c r="D30" s="0" t="s">
        <v>376</v>
      </c>
      <c r="E30" s="0" t="s">
        <v>377</v>
      </c>
      <c r="F30" s="0" t="s">
        <v>366</v>
      </c>
    </row>
    <row r="31" customFormat="false" ht="12.8" hidden="false" customHeight="false" outlineLevel="0" collapsed="false">
      <c r="A31" s="28" t="s">
        <v>395</v>
      </c>
      <c r="B31" s="0" t="s">
        <v>396</v>
      </c>
      <c r="C31" s="0" t="s">
        <v>397</v>
      </c>
      <c r="D31" s="0" t="s">
        <v>398</v>
      </c>
      <c r="E31" s="0" t="s">
        <v>399</v>
      </c>
      <c r="F31" s="0" t="s">
        <v>400</v>
      </c>
    </row>
    <row r="32" customFormat="false" ht="12.8" hidden="false" customHeight="false" outlineLevel="0" collapsed="false">
      <c r="A32" s="28" t="s">
        <v>401</v>
      </c>
      <c r="B32" s="0" t="s">
        <v>402</v>
      </c>
      <c r="C32" s="0" t="s">
        <v>403</v>
      </c>
      <c r="D32" s="0" t="s">
        <v>404</v>
      </c>
      <c r="E32" s="0" t="s">
        <v>405</v>
      </c>
      <c r="F32" s="0" t="s">
        <v>389</v>
      </c>
    </row>
    <row r="33" customFormat="false" ht="12.8" hidden="false" customHeight="false" outlineLevel="0" collapsed="false">
      <c r="A33" s="28" t="s">
        <v>406</v>
      </c>
      <c r="B33" s="0" t="s">
        <v>407</v>
      </c>
      <c r="C33" s="0" t="s">
        <v>408</v>
      </c>
      <c r="D33" s="0" t="s">
        <v>409</v>
      </c>
      <c r="E33" s="0" t="s">
        <v>410</v>
      </c>
      <c r="F33" s="0" t="s">
        <v>411</v>
      </c>
    </row>
    <row r="34" customFormat="false" ht="12.8" hidden="false" customHeight="false" outlineLevel="0" collapsed="false">
      <c r="A34" s="28" t="s">
        <v>412</v>
      </c>
      <c r="B34" s="0" t="s">
        <v>413</v>
      </c>
      <c r="C34" s="0" t="s">
        <v>414</v>
      </c>
      <c r="D34" s="0" t="s">
        <v>415</v>
      </c>
      <c r="E34" s="0" t="s">
        <v>416</v>
      </c>
      <c r="F34" s="0" t="s">
        <v>417</v>
      </c>
    </row>
    <row r="35" customFormat="false" ht="12.8" hidden="false" customHeight="false" outlineLevel="0" collapsed="false">
      <c r="A35" s="28" t="s">
        <v>418</v>
      </c>
      <c r="B35" s="0" t="s">
        <v>419</v>
      </c>
      <c r="C35" s="0" t="s">
        <v>420</v>
      </c>
      <c r="D35" s="0" t="s">
        <v>421</v>
      </c>
      <c r="E35" s="0" t="s">
        <v>422</v>
      </c>
      <c r="F35" s="0" t="s">
        <v>417</v>
      </c>
    </row>
    <row r="36" customFormat="false" ht="12.8" hidden="false" customHeight="false" outlineLevel="0" collapsed="false">
      <c r="A36" s="28"/>
      <c r="B36" s="0"/>
      <c r="C36" s="0"/>
      <c r="D36" s="0"/>
      <c r="E36" s="0"/>
      <c r="F36" s="0"/>
    </row>
    <row r="37" customFormat="false" ht="12.8" hidden="false" customHeight="false" outlineLevel="0" collapsed="false">
      <c r="A37" s="28" t="str">
        <f aca="false">_xlfn.CONCAT($A$1, ".", "LFPR")</f>
        <v>LSD.RID.0.AL.FORM.LFPR</v>
      </c>
      <c r="B37" s="0" t="s">
        <v>423</v>
      </c>
      <c r="C37" s="0"/>
      <c r="D37" s="0"/>
      <c r="E37" s="0"/>
      <c r="F37" s="0"/>
    </row>
    <row r="38" customFormat="false" ht="12.8" hidden="false" customHeight="false" outlineLevel="0" collapsed="false">
      <c r="A38" s="28" t="s">
        <v>91</v>
      </c>
      <c r="B38" s="0" t="s">
        <v>283</v>
      </c>
      <c r="C38" s="0" t="s">
        <v>284</v>
      </c>
      <c r="D38" s="0" t="s">
        <v>285</v>
      </c>
      <c r="E38" s="0" t="s">
        <v>286</v>
      </c>
      <c r="F38" s="0" t="s">
        <v>287</v>
      </c>
    </row>
    <row r="39" customFormat="false" ht="12.8" hidden="false" customHeight="false" outlineLevel="0" collapsed="false">
      <c r="A39" s="28" t="s">
        <v>424</v>
      </c>
      <c r="B39" s="0" t="s">
        <v>356</v>
      </c>
      <c r="C39" s="0" t="s">
        <v>357</v>
      </c>
      <c r="D39" s="0" t="s">
        <v>358</v>
      </c>
      <c r="E39" s="0" t="s">
        <v>359</v>
      </c>
      <c r="F39" s="0" t="s">
        <v>360</v>
      </c>
    </row>
    <row r="40" customFormat="false" ht="12.8" hidden="false" customHeight="false" outlineLevel="0" collapsed="false">
      <c r="A40" s="28" t="s">
        <v>425</v>
      </c>
      <c r="B40" s="0" t="s">
        <v>362</v>
      </c>
      <c r="C40" s="0" t="s">
        <v>363</v>
      </c>
      <c r="D40" s="0" t="s">
        <v>364</v>
      </c>
      <c r="E40" s="0" t="s">
        <v>365</v>
      </c>
      <c r="F40" s="0" t="s">
        <v>366</v>
      </c>
    </row>
    <row r="41" customFormat="false" ht="12.8" hidden="false" customHeight="false" outlineLevel="0" collapsed="false">
      <c r="A41" s="28" t="s">
        <v>426</v>
      </c>
      <c r="B41" s="0" t="s">
        <v>368</v>
      </c>
      <c r="C41" s="0" t="s">
        <v>369</v>
      </c>
      <c r="D41" s="0" t="s">
        <v>370</v>
      </c>
      <c r="E41" s="0" t="s">
        <v>371</v>
      </c>
      <c r="F41" s="0" t="s">
        <v>372</v>
      </c>
    </row>
    <row r="42" customFormat="false" ht="12.8" hidden="false" customHeight="false" outlineLevel="0" collapsed="false">
      <c r="A42" s="28" t="s">
        <v>427</v>
      </c>
      <c r="B42" s="0" t="s">
        <v>374</v>
      </c>
      <c r="C42" s="0" t="s">
        <v>375</v>
      </c>
      <c r="D42" s="0" t="s">
        <v>376</v>
      </c>
      <c r="E42" s="0" t="s">
        <v>377</v>
      </c>
      <c r="F42" s="0" t="s">
        <v>366</v>
      </c>
    </row>
    <row r="43" customFormat="false" ht="12.8" hidden="false" customHeight="false" outlineLevel="0" collapsed="false">
      <c r="A43" s="28" t="s">
        <v>428</v>
      </c>
      <c r="B43" s="0" t="s">
        <v>429</v>
      </c>
      <c r="C43" s="0" t="s">
        <v>430</v>
      </c>
      <c r="D43" s="0" t="s">
        <v>431</v>
      </c>
      <c r="E43" s="0" t="s">
        <v>432</v>
      </c>
      <c r="F43" s="0" t="s">
        <v>433</v>
      </c>
    </row>
    <row r="44" customFormat="false" ht="12.8" hidden="false" customHeight="false" outlineLevel="0" collapsed="false">
      <c r="A44" s="28" t="s">
        <v>434</v>
      </c>
      <c r="B44" s="0" t="s">
        <v>435</v>
      </c>
      <c r="C44" s="0" t="s">
        <v>436</v>
      </c>
      <c r="D44" s="0" t="s">
        <v>437</v>
      </c>
      <c r="E44" s="0" t="s">
        <v>388</v>
      </c>
      <c r="F44" s="0" t="s">
        <v>389</v>
      </c>
    </row>
    <row r="45" customFormat="false" ht="12.8" hidden="false" customHeight="false" outlineLevel="0" collapsed="false">
      <c r="A45" s="28" t="s">
        <v>438</v>
      </c>
      <c r="B45" s="0" t="s">
        <v>439</v>
      </c>
      <c r="C45" s="0" t="s">
        <v>440</v>
      </c>
      <c r="D45" s="0" t="s">
        <v>441</v>
      </c>
      <c r="E45" s="0" t="s">
        <v>410</v>
      </c>
      <c r="F45" s="0" t="s">
        <v>411</v>
      </c>
    </row>
    <row r="46" customFormat="false" ht="12.8" hidden="false" customHeight="false" outlineLevel="0" collapsed="false">
      <c r="A46" s="28"/>
      <c r="B46" s="0"/>
      <c r="C46" s="0"/>
      <c r="D46" s="0"/>
      <c r="E46" s="0"/>
      <c r="F46" s="0"/>
    </row>
    <row r="47" customFormat="false" ht="12.8" hidden="false" customHeight="false" outlineLevel="0" collapsed="false">
      <c r="A47" s="28" t="str">
        <f aca="false">_xlfn.CONCAT($A$1, ".", "U3R")</f>
        <v>LSD.RID.0.AL.FORM.U3R</v>
      </c>
      <c r="B47" s="0" t="s">
        <v>442</v>
      </c>
      <c r="C47" s="0"/>
      <c r="D47" s="0"/>
      <c r="E47" s="0"/>
      <c r="F47" s="0"/>
    </row>
    <row r="48" customFormat="false" ht="12.8" hidden="false" customHeight="false" outlineLevel="0" collapsed="false">
      <c r="A48" s="28" t="s">
        <v>91</v>
      </c>
      <c r="B48" s="0" t="s">
        <v>283</v>
      </c>
      <c r="C48" s="0" t="s">
        <v>284</v>
      </c>
      <c r="D48" s="0" t="s">
        <v>285</v>
      </c>
      <c r="E48" s="0" t="s">
        <v>286</v>
      </c>
      <c r="F48" s="0" t="s">
        <v>287</v>
      </c>
    </row>
    <row r="49" customFormat="false" ht="12.8" hidden="false" customHeight="false" outlineLevel="0" collapsed="false">
      <c r="A49" s="28" t="s">
        <v>443</v>
      </c>
      <c r="B49" s="0" t="s">
        <v>356</v>
      </c>
      <c r="C49" s="0" t="s">
        <v>444</v>
      </c>
      <c r="D49" s="0" t="s">
        <v>358</v>
      </c>
      <c r="E49" s="0" t="s">
        <v>445</v>
      </c>
      <c r="F49" s="0" t="s">
        <v>366</v>
      </c>
    </row>
    <row r="50" customFormat="false" ht="12.8" hidden="false" customHeight="false" outlineLevel="0" collapsed="false">
      <c r="A50" s="28" t="s">
        <v>446</v>
      </c>
      <c r="B50" s="0" t="s">
        <v>362</v>
      </c>
      <c r="C50" s="0" t="s">
        <v>363</v>
      </c>
      <c r="D50" s="0" t="s">
        <v>364</v>
      </c>
      <c r="E50" s="0" t="s">
        <v>447</v>
      </c>
      <c r="F50" s="0" t="s">
        <v>366</v>
      </c>
    </row>
    <row r="51" customFormat="false" ht="12.8" hidden="false" customHeight="false" outlineLevel="0" collapsed="false">
      <c r="A51" s="28" t="s">
        <v>448</v>
      </c>
      <c r="B51" s="0" t="s">
        <v>449</v>
      </c>
      <c r="C51" s="0" t="s">
        <v>450</v>
      </c>
      <c r="D51" s="0" t="s">
        <v>451</v>
      </c>
      <c r="E51" s="0" t="s">
        <v>452</v>
      </c>
      <c r="F51" s="0" t="s">
        <v>366</v>
      </c>
    </row>
    <row r="52" customFormat="false" ht="12.8" hidden="false" customHeight="false" outlineLevel="0" collapsed="false">
      <c r="A52" s="28" t="s">
        <v>453</v>
      </c>
      <c r="B52" s="0" t="s">
        <v>454</v>
      </c>
      <c r="C52" s="0" t="n">
        <v>0.7</v>
      </c>
      <c r="D52" s="0" t="s">
        <v>455</v>
      </c>
      <c r="E52" s="0" t="s">
        <v>456</v>
      </c>
      <c r="F52" s="0" t="s">
        <v>366</v>
      </c>
    </row>
    <row r="53" customFormat="false" ht="12.8" hidden="false" customHeight="false" outlineLevel="0" collapsed="false">
      <c r="A53" s="28" t="s">
        <v>457</v>
      </c>
      <c r="B53" s="0" t="s">
        <v>458</v>
      </c>
      <c r="C53" s="0" t="s">
        <v>459</v>
      </c>
      <c r="D53" s="0" t="s">
        <v>460</v>
      </c>
      <c r="E53" s="0" t="s">
        <v>461</v>
      </c>
      <c r="F53" s="0" t="s">
        <v>462</v>
      </c>
    </row>
    <row r="54" customFormat="false" ht="12.8" hidden="false" customHeight="false" outlineLevel="0" collapsed="false">
      <c r="A54" s="28" t="s">
        <v>463</v>
      </c>
      <c r="B54" s="0" t="s">
        <v>464</v>
      </c>
      <c r="C54" s="0" t="s">
        <v>465</v>
      </c>
      <c r="D54" s="0" t="s">
        <v>466</v>
      </c>
      <c r="E54" s="0" t="s">
        <v>467</v>
      </c>
      <c r="F54" s="0" t="s">
        <v>389</v>
      </c>
    </row>
    <row r="55" customFormat="false" ht="12.8" hidden="false" customHeight="false" outlineLevel="0" collapsed="false">
      <c r="A55" s="28" t="s">
        <v>468</v>
      </c>
      <c r="B55" s="0" t="s">
        <v>469</v>
      </c>
      <c r="C55" s="0" t="s">
        <v>470</v>
      </c>
      <c r="D55" s="0" t="s">
        <v>471</v>
      </c>
      <c r="E55" s="0" t="s">
        <v>410</v>
      </c>
      <c r="F55" s="0" t="s">
        <v>411</v>
      </c>
    </row>
    <row r="56" customFormat="false" ht="12.8" hidden="false" customHeight="false" outlineLevel="0" collapsed="false">
      <c r="A56" s="28"/>
      <c r="B56" s="0"/>
      <c r="C56" s="0"/>
      <c r="D56" s="0"/>
      <c r="E56" s="0"/>
      <c r="F56" s="0"/>
    </row>
    <row r="57" customFormat="false" ht="12.8" hidden="false" customHeight="false" outlineLevel="0" collapsed="false">
      <c r="A57" s="28" t="str">
        <f aca="false">_xlfn.CONCAT($A$1, ".", "U6R")</f>
        <v>LSD.RID.0.AL.FORM.U6R</v>
      </c>
      <c r="B57" s="0" t="s">
        <v>472</v>
      </c>
      <c r="C57" s="0"/>
      <c r="D57" s="0"/>
      <c r="E57" s="0"/>
      <c r="F57" s="0"/>
    </row>
    <row r="58" customFormat="false" ht="12.8" hidden="false" customHeight="false" outlineLevel="0" collapsed="false">
      <c r="A58" s="28" t="s">
        <v>91</v>
      </c>
      <c r="B58" s="0" t="s">
        <v>283</v>
      </c>
      <c r="C58" s="0" t="s">
        <v>284</v>
      </c>
      <c r="D58" s="0" t="s">
        <v>285</v>
      </c>
      <c r="E58" s="0" t="s">
        <v>286</v>
      </c>
      <c r="F58" s="0" t="s">
        <v>287</v>
      </c>
    </row>
    <row r="59" customFormat="false" ht="12.8" hidden="false" customHeight="false" outlineLevel="0" collapsed="false">
      <c r="A59" s="28" t="s">
        <v>473</v>
      </c>
      <c r="B59" s="0" t="s">
        <v>356</v>
      </c>
      <c r="C59" s="0" t="s">
        <v>444</v>
      </c>
      <c r="D59" s="0" t="s">
        <v>358</v>
      </c>
      <c r="E59" s="0" t="s">
        <v>445</v>
      </c>
      <c r="F59" s="0" t="s">
        <v>366</v>
      </c>
    </row>
    <row r="60" customFormat="false" ht="12.8" hidden="false" customHeight="false" outlineLevel="0" collapsed="false">
      <c r="A60" s="28" t="s">
        <v>474</v>
      </c>
      <c r="B60" s="0" t="s">
        <v>362</v>
      </c>
      <c r="C60" s="0" t="s">
        <v>363</v>
      </c>
      <c r="D60" s="0" t="s">
        <v>364</v>
      </c>
      <c r="E60" s="0" t="s">
        <v>447</v>
      </c>
      <c r="F60" s="0" t="s">
        <v>366</v>
      </c>
    </row>
    <row r="61" customFormat="false" ht="12.8" hidden="false" customHeight="false" outlineLevel="0" collapsed="false">
      <c r="A61" s="28" t="s">
        <v>475</v>
      </c>
      <c r="B61" s="0" t="s">
        <v>449</v>
      </c>
      <c r="C61" s="0" t="s">
        <v>450</v>
      </c>
      <c r="D61" s="0" t="s">
        <v>451</v>
      </c>
      <c r="E61" s="0" t="s">
        <v>452</v>
      </c>
      <c r="F61" s="0" t="s">
        <v>366</v>
      </c>
    </row>
    <row r="62" customFormat="false" ht="12.8" hidden="false" customHeight="false" outlineLevel="0" collapsed="false">
      <c r="A62" s="28" t="s">
        <v>476</v>
      </c>
      <c r="B62" s="0" t="s">
        <v>454</v>
      </c>
      <c r="C62" s="0" t="n">
        <v>0.7</v>
      </c>
      <c r="D62" s="0" t="s">
        <v>455</v>
      </c>
      <c r="E62" s="0" t="s">
        <v>456</v>
      </c>
      <c r="F62" s="0" t="s">
        <v>366</v>
      </c>
    </row>
    <row r="63" customFormat="false" ht="12.8" hidden="false" customHeight="false" outlineLevel="0" collapsed="false">
      <c r="A63" s="28" t="s">
        <v>477</v>
      </c>
      <c r="B63" s="0" t="s">
        <v>478</v>
      </c>
      <c r="C63" s="0" t="s">
        <v>479</v>
      </c>
      <c r="D63" s="0" t="s">
        <v>480</v>
      </c>
      <c r="E63" s="0" t="s">
        <v>481</v>
      </c>
      <c r="F63" s="0" t="s">
        <v>462</v>
      </c>
    </row>
    <row r="64" customFormat="false" ht="12.8" hidden="false" customHeight="false" outlineLevel="0" collapsed="false">
      <c r="A64" s="28" t="s">
        <v>482</v>
      </c>
      <c r="B64" s="0" t="s">
        <v>483</v>
      </c>
      <c r="C64" s="0" t="s">
        <v>484</v>
      </c>
      <c r="D64" s="0" t="s">
        <v>485</v>
      </c>
      <c r="E64" s="0" t="s">
        <v>467</v>
      </c>
      <c r="F64" s="0" t="s">
        <v>389</v>
      </c>
    </row>
    <row r="65" customFormat="false" ht="12.8" hidden="false" customHeight="false" outlineLevel="0" collapsed="false">
      <c r="A65" s="28" t="s">
        <v>486</v>
      </c>
      <c r="B65" s="0" t="s">
        <v>487</v>
      </c>
      <c r="C65" s="0" t="s">
        <v>488</v>
      </c>
      <c r="D65" s="0" t="s">
        <v>489</v>
      </c>
      <c r="E65" s="0" t="s">
        <v>410</v>
      </c>
      <c r="F65" s="0" t="s">
        <v>411</v>
      </c>
    </row>
    <row r="66" customFormat="false" ht="12.8" hidden="false" customHeight="false" outlineLevel="0" collapsed="false">
      <c r="A66" s="28"/>
      <c r="B66" s="0"/>
      <c r="C66" s="0"/>
      <c r="D66" s="0"/>
      <c r="E66" s="0"/>
      <c r="F66" s="0"/>
    </row>
    <row r="67" customFormat="false" ht="12.8" hidden="false" customHeight="false" outlineLevel="0" collapsed="false">
      <c r="A67" s="28" t="str">
        <f aca="false">_xlfn.CONCAT($A$1, ".", "WAVG")</f>
        <v>LSD.RID.0.AL.FORM.WAVG</v>
      </c>
      <c r="B67" s="0" t="s">
        <v>490</v>
      </c>
      <c r="C67" s="0"/>
      <c r="D67" s="0"/>
      <c r="E67" s="0"/>
      <c r="F67" s="0"/>
    </row>
    <row r="68" customFormat="false" ht="12.8" hidden="false" customHeight="false" outlineLevel="0" collapsed="false">
      <c r="A68" s="28" t="s">
        <v>91</v>
      </c>
      <c r="B68" s="0" t="s">
        <v>283</v>
      </c>
      <c r="C68" s="0" t="s">
        <v>284</v>
      </c>
      <c r="D68" s="0" t="s">
        <v>285</v>
      </c>
      <c r="E68" s="0" t="s">
        <v>286</v>
      </c>
      <c r="F68" s="0" t="s">
        <v>287</v>
      </c>
    </row>
    <row r="69" customFormat="false" ht="12.8" hidden="false" customHeight="false" outlineLevel="0" collapsed="false">
      <c r="A69" s="28" t="s">
        <v>491</v>
      </c>
      <c r="B69" s="0" t="s">
        <v>492</v>
      </c>
      <c r="C69" s="0" t="s">
        <v>493</v>
      </c>
      <c r="D69" s="0" t="s">
        <v>494</v>
      </c>
      <c r="E69" s="0" t="s">
        <v>495</v>
      </c>
      <c r="F69" s="0" t="s">
        <v>366</v>
      </c>
    </row>
    <row r="70" customFormat="false" ht="12.8" hidden="false" customHeight="false" outlineLevel="0" collapsed="false">
      <c r="A70" s="28" t="s">
        <v>496</v>
      </c>
      <c r="B70" s="0" t="s">
        <v>497</v>
      </c>
      <c r="C70" s="0" t="s">
        <v>498</v>
      </c>
      <c r="D70" s="0" t="s">
        <v>499</v>
      </c>
      <c r="E70" s="0" t="s">
        <v>500</v>
      </c>
      <c r="F70" s="0" t="s">
        <v>366</v>
      </c>
    </row>
    <row r="71" customFormat="false" ht="12.8" hidden="false" customHeight="false" outlineLevel="0" collapsed="false">
      <c r="A71" s="28" t="s">
        <v>501</v>
      </c>
      <c r="B71" s="0" t="s">
        <v>356</v>
      </c>
      <c r="C71" s="0" t="s">
        <v>444</v>
      </c>
      <c r="D71" s="0" t="s">
        <v>358</v>
      </c>
      <c r="E71" s="0" t="s">
        <v>502</v>
      </c>
      <c r="F71" s="0" t="s">
        <v>366</v>
      </c>
    </row>
    <row r="72" customFormat="false" ht="12.8" hidden="false" customHeight="false" outlineLevel="0" collapsed="false">
      <c r="A72" s="28" t="s">
        <v>503</v>
      </c>
      <c r="B72" s="0" t="s">
        <v>504</v>
      </c>
      <c r="C72" s="0" t="s">
        <v>505</v>
      </c>
      <c r="D72" s="0" t="s">
        <v>506</v>
      </c>
      <c r="E72" s="0" t="s">
        <v>507</v>
      </c>
      <c r="F72" s="0" t="s">
        <v>508</v>
      </c>
    </row>
    <row r="73" customFormat="false" ht="12.8" hidden="false" customHeight="false" outlineLevel="0" collapsed="false">
      <c r="A73" s="28" t="s">
        <v>509</v>
      </c>
      <c r="B73" s="0" t="s">
        <v>510</v>
      </c>
      <c r="C73" s="0" t="s">
        <v>511</v>
      </c>
      <c r="D73" s="0" t="s">
        <v>512</v>
      </c>
      <c r="E73" s="0" t="s">
        <v>513</v>
      </c>
      <c r="F73" s="0" t="s">
        <v>389</v>
      </c>
    </row>
    <row r="74" customFormat="false" ht="12.8" hidden="false" customHeight="false" outlineLevel="0" collapsed="false">
      <c r="A74" s="28" t="s">
        <v>514</v>
      </c>
      <c r="B74" s="0" t="s">
        <v>515</v>
      </c>
      <c r="C74" s="0" t="s">
        <v>516</v>
      </c>
      <c r="D74" s="0" t="s">
        <v>517</v>
      </c>
      <c r="E74" s="0" t="s">
        <v>518</v>
      </c>
      <c r="F74" s="0" t="s">
        <v>519</v>
      </c>
    </row>
    <row r="75" customFormat="false" ht="12.8" hidden="false" customHeight="false" outlineLevel="0" collapsed="false">
      <c r="A75" s="28"/>
      <c r="B75" s="0"/>
      <c r="C75" s="0"/>
      <c r="D75" s="0"/>
      <c r="E75" s="0"/>
      <c r="F75" s="0"/>
    </row>
    <row r="76" customFormat="false" ht="12.8" hidden="false" customHeight="false" outlineLevel="0" collapsed="false">
      <c r="A76" s="28" t="str">
        <f aca="false">_xlfn.CONCAT($A$1, ".", "AIAVG")</f>
        <v>LSD.RID.0.AL.FORM.AIAVG</v>
      </c>
      <c r="B76" s="0" t="s">
        <v>520</v>
      </c>
      <c r="C76" s="0"/>
      <c r="D76" s="0"/>
      <c r="E76" s="0"/>
      <c r="F76" s="0"/>
    </row>
    <row r="77" customFormat="false" ht="12.8" hidden="false" customHeight="false" outlineLevel="0" collapsed="false">
      <c r="A77" s="28" t="s">
        <v>91</v>
      </c>
      <c r="B77" s="0" t="s">
        <v>283</v>
      </c>
      <c r="C77" s="0" t="s">
        <v>284</v>
      </c>
      <c r="D77" s="0" t="s">
        <v>285</v>
      </c>
      <c r="E77" s="0" t="s">
        <v>286</v>
      </c>
      <c r="F77" s="0" t="s">
        <v>287</v>
      </c>
    </row>
    <row r="78" customFormat="false" ht="12.8" hidden="false" customHeight="false" outlineLevel="0" collapsed="false">
      <c r="A78" s="28" t="s">
        <v>521</v>
      </c>
      <c r="B78" s="0" t="s">
        <v>492</v>
      </c>
      <c r="C78" s="0" t="s">
        <v>493</v>
      </c>
      <c r="D78" s="0" t="s">
        <v>494</v>
      </c>
      <c r="E78" s="0" t="s">
        <v>495</v>
      </c>
      <c r="F78" s="0" t="s">
        <v>366</v>
      </c>
    </row>
    <row r="79" customFormat="false" ht="12.8" hidden="false" customHeight="false" outlineLevel="0" collapsed="false">
      <c r="A79" s="28" t="s">
        <v>522</v>
      </c>
      <c r="B79" s="0" t="s">
        <v>497</v>
      </c>
      <c r="C79" s="0" t="s">
        <v>498</v>
      </c>
      <c r="D79" s="0" t="s">
        <v>499</v>
      </c>
      <c r="E79" s="0" t="s">
        <v>500</v>
      </c>
      <c r="F79" s="0" t="s">
        <v>366</v>
      </c>
    </row>
    <row r="80" customFormat="false" ht="12.8" hidden="false" customHeight="false" outlineLevel="0" collapsed="false">
      <c r="A80" s="28" t="s">
        <v>523</v>
      </c>
      <c r="B80" s="0" t="s">
        <v>356</v>
      </c>
      <c r="C80" s="0" t="s">
        <v>444</v>
      </c>
      <c r="D80" s="0" t="s">
        <v>358</v>
      </c>
      <c r="E80" s="0" t="s">
        <v>502</v>
      </c>
      <c r="F80" s="0" t="s">
        <v>366</v>
      </c>
    </row>
    <row r="81" customFormat="false" ht="12.8" hidden="false" customHeight="false" outlineLevel="0" collapsed="false">
      <c r="A81" s="28" t="s">
        <v>524</v>
      </c>
      <c r="B81" s="0" t="s">
        <v>525</v>
      </c>
      <c r="C81" s="0" t="s">
        <v>526</v>
      </c>
      <c r="D81" s="0" t="s">
        <v>499</v>
      </c>
      <c r="E81" s="0" t="s">
        <v>527</v>
      </c>
      <c r="F81" s="0" t="s">
        <v>528</v>
      </c>
    </row>
    <row r="82" customFormat="false" ht="12.8" hidden="false" customHeight="false" outlineLevel="0" collapsed="false">
      <c r="A82" s="28" t="s">
        <v>529</v>
      </c>
      <c r="B82" s="0" t="s">
        <v>530</v>
      </c>
      <c r="C82" s="0" t="s">
        <v>531</v>
      </c>
      <c r="D82" s="0" t="s">
        <v>532</v>
      </c>
      <c r="E82" s="0" t="s">
        <v>533</v>
      </c>
      <c r="F82" s="0" t="s">
        <v>389</v>
      </c>
    </row>
    <row r="83" customFormat="false" ht="12.8" hidden="false" customHeight="false" outlineLevel="0" collapsed="false">
      <c r="A83" s="28" t="s">
        <v>534</v>
      </c>
      <c r="B83" s="0" t="s">
        <v>535</v>
      </c>
      <c r="C83" s="0" t="s">
        <v>536</v>
      </c>
      <c r="D83" s="0" t="s">
        <v>537</v>
      </c>
      <c r="E83" s="0" t="s">
        <v>410</v>
      </c>
      <c r="F83" s="0" t="s">
        <v>411</v>
      </c>
    </row>
    <row r="84" customFormat="false" ht="12.8" hidden="false" customHeight="false" outlineLevel="0" collapsed="false">
      <c r="A84" s="28"/>
      <c r="B84" s="0"/>
      <c r="C84" s="0"/>
      <c r="D84" s="0"/>
      <c r="E84" s="0"/>
      <c r="F84" s="0"/>
    </row>
    <row r="85" customFormat="false" ht="12.8" hidden="false" customHeight="false" outlineLevel="0" collapsed="false">
      <c r="A85" s="28" t="str">
        <f aca="false">_xlfn.CONCAT($A$1, ".", "FPITREV")</f>
        <v>LSD.RID.0.AL.FORM.FPITREV</v>
      </c>
      <c r="B85" s="0" t="s">
        <v>538</v>
      </c>
      <c r="C85" s="0"/>
      <c r="D85" s="0"/>
      <c r="E85" s="0"/>
      <c r="F85" s="0"/>
    </row>
    <row r="86" customFormat="false" ht="12.8" hidden="false" customHeight="false" outlineLevel="0" collapsed="false">
      <c r="A86" s="28" t="s">
        <v>91</v>
      </c>
      <c r="B86" s="0" t="s">
        <v>283</v>
      </c>
      <c r="C86" s="0" t="s">
        <v>284</v>
      </c>
      <c r="D86" s="0" t="s">
        <v>285</v>
      </c>
      <c r="E86" s="0" t="s">
        <v>286</v>
      </c>
      <c r="F86" s="0" t="s">
        <v>287</v>
      </c>
    </row>
    <row r="87" customFormat="false" ht="12.8" hidden="false" customHeight="false" outlineLevel="0" collapsed="false">
      <c r="A87" s="28" t="s">
        <v>539</v>
      </c>
      <c r="B87" s="0" t="s">
        <v>540</v>
      </c>
      <c r="C87" s="0" t="s">
        <v>541</v>
      </c>
      <c r="D87" s="0" t="s">
        <v>542</v>
      </c>
      <c r="E87" s="0" t="s">
        <v>543</v>
      </c>
      <c r="F87" s="0" t="s">
        <v>544</v>
      </c>
    </row>
    <row r="88" customFormat="false" ht="12.8" hidden="false" customHeight="false" outlineLevel="0" collapsed="false">
      <c r="A88" s="28" t="s">
        <v>545</v>
      </c>
      <c r="B88" s="0" t="s">
        <v>546</v>
      </c>
      <c r="C88" s="0" t="s">
        <v>547</v>
      </c>
      <c r="D88" s="0" t="s">
        <v>548</v>
      </c>
      <c r="E88" s="0" t="s">
        <v>549</v>
      </c>
      <c r="F88" s="0" t="s">
        <v>550</v>
      </c>
    </row>
    <row r="89" customFormat="false" ht="12.8" hidden="false" customHeight="false" outlineLevel="0" collapsed="false">
      <c r="A89" s="28" t="s">
        <v>551</v>
      </c>
      <c r="B89" s="0" t="s">
        <v>552</v>
      </c>
      <c r="C89" s="0" t="s">
        <v>553</v>
      </c>
      <c r="D89" s="0" t="s">
        <v>554</v>
      </c>
      <c r="E89" s="0" t="s">
        <v>555</v>
      </c>
      <c r="F89" s="0" t="s">
        <v>556</v>
      </c>
    </row>
    <row r="90" customFormat="false" ht="12.8" hidden="false" customHeight="false" outlineLevel="0" collapsed="false">
      <c r="A90" s="28" t="s">
        <v>557</v>
      </c>
      <c r="B90" s="0" t="s">
        <v>558</v>
      </c>
      <c r="C90" s="0" t="s">
        <v>559</v>
      </c>
      <c r="D90" s="0" t="s">
        <v>560</v>
      </c>
      <c r="E90" s="0" t="s">
        <v>561</v>
      </c>
      <c r="F90" s="0" t="s">
        <v>447</v>
      </c>
    </row>
    <row r="91" customFormat="false" ht="12.8" hidden="false" customHeight="false" outlineLevel="0" collapsed="false">
      <c r="A91" s="28"/>
      <c r="B91" s="0"/>
      <c r="C91" s="0"/>
      <c r="D91" s="0"/>
      <c r="E91" s="0"/>
      <c r="F91" s="0"/>
    </row>
    <row r="92" customFormat="false" ht="12.8" hidden="false" customHeight="false" outlineLevel="0" collapsed="false">
      <c r="A92" s="28" t="str">
        <f aca="false">_xlfn.CONCAT($A$1, ".", "FPPTREV")</f>
        <v>LSD.RID.0.AL.FORM.FPPTREV</v>
      </c>
      <c r="B92" s="0" t="s">
        <v>562</v>
      </c>
      <c r="C92" s="0"/>
      <c r="D92" s="0"/>
      <c r="E92" s="0"/>
      <c r="F92" s="0"/>
    </row>
    <row r="93" customFormat="false" ht="12.8" hidden="false" customHeight="false" outlineLevel="0" collapsed="false">
      <c r="A93" s="28" t="s">
        <v>91</v>
      </c>
      <c r="B93" s="0" t="s">
        <v>283</v>
      </c>
      <c r="C93" s="0" t="s">
        <v>284</v>
      </c>
      <c r="D93" s="0" t="s">
        <v>285</v>
      </c>
      <c r="E93" s="0" t="s">
        <v>286</v>
      </c>
      <c r="F93" s="0" t="s">
        <v>287</v>
      </c>
    </row>
    <row r="94" customFormat="false" ht="12.8" hidden="false" customHeight="false" outlineLevel="0" collapsed="false">
      <c r="A94" s="28" t="s">
        <v>563</v>
      </c>
      <c r="B94" s="0" t="s">
        <v>540</v>
      </c>
      <c r="C94" s="0" t="s">
        <v>541</v>
      </c>
      <c r="D94" s="0" t="s">
        <v>542</v>
      </c>
      <c r="E94" s="0" t="s">
        <v>543</v>
      </c>
      <c r="F94" s="0" t="s">
        <v>544</v>
      </c>
    </row>
    <row r="95" customFormat="false" ht="12.8" hidden="false" customHeight="false" outlineLevel="0" collapsed="false">
      <c r="A95" s="28" t="s">
        <v>564</v>
      </c>
      <c r="B95" s="0" t="s">
        <v>546</v>
      </c>
      <c r="C95" s="0" t="s">
        <v>547</v>
      </c>
      <c r="D95" s="0" t="s">
        <v>548</v>
      </c>
      <c r="E95" s="0" t="s">
        <v>549</v>
      </c>
      <c r="F95" s="0" t="s">
        <v>550</v>
      </c>
    </row>
    <row r="96" customFormat="false" ht="12.8" hidden="false" customHeight="false" outlineLevel="0" collapsed="false">
      <c r="A96" s="28" t="s">
        <v>565</v>
      </c>
      <c r="B96" s="0" t="s">
        <v>552</v>
      </c>
      <c r="C96" s="0" t="s">
        <v>553</v>
      </c>
      <c r="D96" s="0" t="s">
        <v>554</v>
      </c>
      <c r="E96" s="0" t="s">
        <v>555</v>
      </c>
      <c r="F96" s="0" t="s">
        <v>556</v>
      </c>
    </row>
    <row r="97" customFormat="false" ht="12.8" hidden="false" customHeight="false" outlineLevel="0" collapsed="false">
      <c r="A97" s="28" t="s">
        <v>566</v>
      </c>
      <c r="B97" s="0" t="s">
        <v>558</v>
      </c>
      <c r="C97" s="0" t="s">
        <v>559</v>
      </c>
      <c r="D97" s="0" t="s">
        <v>560</v>
      </c>
      <c r="E97" s="0" t="s">
        <v>561</v>
      </c>
      <c r="F97" s="0" t="s">
        <v>447</v>
      </c>
    </row>
    <row r="98" customFormat="false" ht="12.8" hidden="false" customHeight="false" outlineLevel="0" collapsed="false">
      <c r="A98" s="28"/>
      <c r="B98" s="0"/>
      <c r="C98" s="0"/>
      <c r="D98" s="0"/>
      <c r="E98" s="0"/>
      <c r="F98" s="0"/>
    </row>
    <row r="99" customFormat="false" ht="12.8" hidden="false" customHeight="false" outlineLevel="0" collapsed="false">
      <c r="A99" s="28" t="str">
        <f aca="false">_xlfn.CONCAT($A$1, ".", "EP")</f>
        <v>LSD.RID.0.AL.FORM.EP</v>
      </c>
      <c r="B99" s="0" t="s">
        <v>567</v>
      </c>
      <c r="C99" s="0"/>
      <c r="D99" s="0"/>
      <c r="E99" s="0"/>
      <c r="F99" s="0"/>
    </row>
    <row r="100" customFormat="false" ht="12.8" hidden="false" customHeight="false" outlineLevel="0" collapsed="false">
      <c r="A100" s="28" t="s">
        <v>91</v>
      </c>
      <c r="B100" s="0" t="s">
        <v>283</v>
      </c>
      <c r="C100" s="0" t="s">
        <v>284</v>
      </c>
      <c r="D100" s="0" t="s">
        <v>285</v>
      </c>
      <c r="E100" s="0" t="s">
        <v>286</v>
      </c>
      <c r="F100" s="0" t="s">
        <v>287</v>
      </c>
    </row>
    <row r="101" customFormat="false" ht="12.8" hidden="false" customHeight="false" outlineLevel="0" collapsed="false">
      <c r="A101" s="28" t="s">
        <v>568</v>
      </c>
      <c r="B101" s="0" t="s">
        <v>569</v>
      </c>
      <c r="C101" s="0" t="s">
        <v>570</v>
      </c>
      <c r="D101" s="0" t="s">
        <v>571</v>
      </c>
      <c r="E101" s="0" t="s">
        <v>572</v>
      </c>
      <c r="F101" s="0" t="s">
        <v>573</v>
      </c>
    </row>
    <row r="102" customFormat="false" ht="12.8" hidden="false" customHeight="false" outlineLevel="0" collapsed="false">
      <c r="A102" s="28" t="s">
        <v>574</v>
      </c>
      <c r="B102" s="0" t="s">
        <v>575</v>
      </c>
      <c r="C102" s="0" t="s">
        <v>576</v>
      </c>
      <c r="D102" s="0" t="s">
        <v>404</v>
      </c>
      <c r="E102" s="0" t="s">
        <v>577</v>
      </c>
      <c r="F102" s="0" t="s">
        <v>389</v>
      </c>
    </row>
    <row r="103" customFormat="false" ht="12.8" hidden="false" customHeight="false" outlineLevel="0" collapsed="false">
      <c r="A103" s="28" t="s">
        <v>578</v>
      </c>
      <c r="B103" s="0" t="s">
        <v>579</v>
      </c>
      <c r="C103" s="0" t="s">
        <v>580</v>
      </c>
      <c r="D103" s="0" t="s">
        <v>581</v>
      </c>
      <c r="E103" s="0" t="s">
        <v>582</v>
      </c>
      <c r="F103" s="0" t="s">
        <v>583</v>
      </c>
    </row>
    <row r="104" customFormat="false" ht="12.8" hidden="false" customHeight="false" outlineLevel="0" collapsed="false">
      <c r="A104" s="28" t="s">
        <v>584</v>
      </c>
      <c r="B104" s="0" t="s">
        <v>585</v>
      </c>
      <c r="C104" s="0" t="s">
        <v>586</v>
      </c>
      <c r="D104" s="0" t="s">
        <v>587</v>
      </c>
      <c r="E104" s="0" t="s">
        <v>588</v>
      </c>
      <c r="F104" s="0" t="s">
        <v>366</v>
      </c>
    </row>
    <row r="105" customFormat="false" ht="12.8" hidden="false" customHeight="false" outlineLevel="0" collapsed="false">
      <c r="A105" s="28" t="s">
        <v>589</v>
      </c>
      <c r="B105" s="0" t="s">
        <v>590</v>
      </c>
      <c r="C105" s="0" t="s">
        <v>591</v>
      </c>
      <c r="D105" s="0" t="s">
        <v>592</v>
      </c>
      <c r="E105" s="0" t="s">
        <v>593</v>
      </c>
      <c r="F105" s="0" t="s">
        <v>366</v>
      </c>
    </row>
    <row r="106" customFormat="false" ht="12.8" hidden="false" customHeight="false" outlineLevel="0" collapsed="false">
      <c r="A106" s="28"/>
      <c r="B106" s="0"/>
      <c r="C106" s="0"/>
      <c r="D106" s="0"/>
      <c r="E106" s="0"/>
      <c r="F106" s="0"/>
    </row>
    <row r="107" customFormat="false" ht="12.8" hidden="false" customHeight="false" outlineLevel="0" collapsed="false">
      <c r="A107" s="28" t="str">
        <f aca="false">_xlfn.CONCAT($A$1, ".", "U3P")</f>
        <v>LSD.RID.0.AL.FORM.U3P</v>
      </c>
      <c r="B107" s="0" t="s">
        <v>594</v>
      </c>
      <c r="C107" s="0"/>
      <c r="D107" s="0"/>
      <c r="E107" s="0"/>
      <c r="F107" s="0"/>
    </row>
    <row r="108" customFormat="false" ht="12.8" hidden="false" customHeight="false" outlineLevel="0" collapsed="false">
      <c r="A108" s="28" t="s">
        <v>91</v>
      </c>
      <c r="B108" s="0" t="s">
        <v>283</v>
      </c>
      <c r="C108" s="0" t="s">
        <v>284</v>
      </c>
      <c r="D108" s="0" t="s">
        <v>285</v>
      </c>
      <c r="E108" s="0" t="s">
        <v>286</v>
      </c>
      <c r="F108" s="0" t="s">
        <v>287</v>
      </c>
    </row>
    <row r="109" customFormat="false" ht="12.8" hidden="false" customHeight="false" outlineLevel="0" collapsed="false">
      <c r="A109" s="28" t="s">
        <v>595</v>
      </c>
      <c r="B109" s="0" t="s">
        <v>596</v>
      </c>
      <c r="C109" s="0" t="s">
        <v>597</v>
      </c>
      <c r="D109" s="0" t="s">
        <v>598</v>
      </c>
      <c r="E109" s="0" t="s">
        <v>599</v>
      </c>
      <c r="F109" s="0" t="s">
        <v>600</v>
      </c>
    </row>
    <row r="110" customFormat="false" ht="12.8" hidden="false" customHeight="false" outlineLevel="0" collapsed="false">
      <c r="A110" s="28" t="s">
        <v>601</v>
      </c>
      <c r="B110" s="0" t="s">
        <v>602</v>
      </c>
      <c r="C110" s="0" t="s">
        <v>603</v>
      </c>
      <c r="D110" s="0" t="s">
        <v>604</v>
      </c>
      <c r="E110" s="0" t="s">
        <v>605</v>
      </c>
      <c r="F110" s="0" t="s">
        <v>606</v>
      </c>
    </row>
    <row r="111" customFormat="false" ht="12.8" hidden="false" customHeight="false" outlineLevel="0" collapsed="false">
      <c r="A111" s="28" t="s">
        <v>607</v>
      </c>
      <c r="B111" s="0" t="s">
        <v>608</v>
      </c>
      <c r="C111" s="0" t="s">
        <v>609</v>
      </c>
      <c r="D111" s="0" t="s">
        <v>610</v>
      </c>
      <c r="E111" s="0" t="s">
        <v>582</v>
      </c>
      <c r="F111" s="0" t="s">
        <v>611</v>
      </c>
    </row>
    <row r="112" customFormat="false" ht="12.8" hidden="false" customHeight="false" outlineLevel="0" collapsed="false">
      <c r="A112" s="28" t="s">
        <v>612</v>
      </c>
      <c r="B112" s="0" t="s">
        <v>613</v>
      </c>
      <c r="C112" s="0" t="s">
        <v>614</v>
      </c>
      <c r="D112" s="0" t="s">
        <v>615</v>
      </c>
      <c r="E112" s="0" t="s">
        <v>616</v>
      </c>
      <c r="F112" s="0" t="s">
        <v>617</v>
      </c>
    </row>
    <row r="113" customFormat="false" ht="12.8" hidden="false" customHeight="false" outlineLevel="0" collapsed="false">
      <c r="A113" s="28" t="s">
        <v>618</v>
      </c>
      <c r="B113" s="0" t="s">
        <v>619</v>
      </c>
      <c r="C113" s="0" t="s">
        <v>620</v>
      </c>
      <c r="D113" s="0" t="s">
        <v>621</v>
      </c>
      <c r="E113" s="0" t="s">
        <v>622</v>
      </c>
      <c r="F113" s="0" t="s">
        <v>623</v>
      </c>
    </row>
    <row r="114" customFormat="false" ht="12.8" hidden="false" customHeight="false" outlineLevel="0" collapsed="false">
      <c r="A114" s="28"/>
      <c r="B114" s="0"/>
      <c r="C114" s="0"/>
      <c r="D114" s="0"/>
      <c r="E114" s="0"/>
      <c r="F114" s="0"/>
    </row>
    <row r="115" customFormat="false" ht="12.8" hidden="false" customHeight="false" outlineLevel="0" collapsed="false">
      <c r="A115" s="28" t="str">
        <f aca="false">_xlfn.CONCAT($A$1, ".", "U6P")</f>
        <v>LSD.RID.0.AL.FORM.U6P</v>
      </c>
      <c r="B115" s="0" t="s">
        <v>624</v>
      </c>
      <c r="C115" s="0"/>
      <c r="D115" s="0"/>
      <c r="E115" s="0"/>
      <c r="F115" s="0"/>
    </row>
    <row r="116" customFormat="false" ht="12.8" hidden="false" customHeight="false" outlineLevel="0" collapsed="false">
      <c r="A116" s="28" t="s">
        <v>91</v>
      </c>
      <c r="B116" s="0" t="s">
        <v>283</v>
      </c>
      <c r="C116" s="0" t="s">
        <v>284</v>
      </c>
      <c r="D116" s="0" t="s">
        <v>285</v>
      </c>
      <c r="E116" s="0" t="s">
        <v>286</v>
      </c>
      <c r="F116" s="0" t="s">
        <v>287</v>
      </c>
    </row>
    <row r="117" customFormat="false" ht="12.8" hidden="false" customHeight="false" outlineLevel="0" collapsed="false">
      <c r="A117" s="28" t="s">
        <v>625</v>
      </c>
      <c r="B117" s="0" t="s">
        <v>626</v>
      </c>
      <c r="C117" s="0" t="s">
        <v>627</v>
      </c>
      <c r="D117" s="0" t="s">
        <v>628</v>
      </c>
      <c r="E117" s="0" t="s">
        <v>629</v>
      </c>
      <c r="F117" s="0" t="s">
        <v>305</v>
      </c>
    </row>
    <row r="118" customFormat="false" ht="12.8" hidden="false" customHeight="false" outlineLevel="0" collapsed="false">
      <c r="A118" s="28" t="s">
        <v>630</v>
      </c>
      <c r="B118" s="0" t="s">
        <v>631</v>
      </c>
      <c r="C118" s="0" t="s">
        <v>632</v>
      </c>
      <c r="D118" s="0" t="s">
        <v>485</v>
      </c>
      <c r="E118" s="0" t="s">
        <v>467</v>
      </c>
      <c r="F118" s="0" t="s">
        <v>389</v>
      </c>
    </row>
    <row r="119" customFormat="false" ht="12.8" hidden="false" customHeight="false" outlineLevel="0" collapsed="false">
      <c r="A119" s="28" t="s">
        <v>633</v>
      </c>
      <c r="B119" s="0" t="s">
        <v>634</v>
      </c>
      <c r="C119" s="0" t="s">
        <v>635</v>
      </c>
      <c r="D119" s="0" t="s">
        <v>636</v>
      </c>
      <c r="E119" s="0" t="s">
        <v>582</v>
      </c>
      <c r="F119" s="0" t="s">
        <v>583</v>
      </c>
    </row>
    <row r="120" customFormat="false" ht="12.8" hidden="false" customHeight="false" outlineLevel="0" collapsed="false">
      <c r="A120" s="28" t="s">
        <v>637</v>
      </c>
      <c r="B120" s="0" t="s">
        <v>638</v>
      </c>
      <c r="C120" s="0" t="s">
        <v>639</v>
      </c>
      <c r="D120" s="0" t="s">
        <v>640</v>
      </c>
      <c r="E120" s="0" t="s">
        <v>641</v>
      </c>
      <c r="F120" s="0" t="s">
        <v>642</v>
      </c>
    </row>
    <row r="121" customFormat="false" ht="12.8" hidden="false" customHeight="false" outlineLevel="0" collapsed="false">
      <c r="A121" s="28" t="s">
        <v>643</v>
      </c>
      <c r="B121" s="0" t="s">
        <v>644</v>
      </c>
      <c r="C121" s="0" t="s">
        <v>645</v>
      </c>
      <c r="D121" s="0" t="s">
        <v>646</v>
      </c>
      <c r="E121" s="0" t="s">
        <v>647</v>
      </c>
      <c r="F121" s="0" t="s">
        <v>648</v>
      </c>
    </row>
    <row r="122" customFormat="false" ht="12.8" hidden="false" customHeight="false" outlineLevel="0" collapsed="false">
      <c r="A122" s="28"/>
      <c r="B122" s="0"/>
      <c r="C122" s="0"/>
      <c r="D122" s="0"/>
      <c r="E122" s="0"/>
      <c r="F122" s="0"/>
    </row>
    <row r="123" customFormat="false" ht="12.8" hidden="false" customHeight="false" outlineLevel="0" collapsed="false">
      <c r="A123" s="28" t="str">
        <f aca="false">_xlfn.CONCAT($A$1, ".", "U3TPR")</f>
        <v>LSD.RID.0.AL.FORM.U3TPR</v>
      </c>
      <c r="B123" s="0" t="s">
        <v>649</v>
      </c>
      <c r="C123" s="0"/>
      <c r="D123" s="0"/>
      <c r="E123" s="0"/>
      <c r="F123" s="0"/>
    </row>
    <row r="124" customFormat="false" ht="12.8" hidden="false" customHeight="false" outlineLevel="0" collapsed="false">
      <c r="A124" s="28" t="s">
        <v>91</v>
      </c>
      <c r="B124" s="0" t="s">
        <v>283</v>
      </c>
      <c r="C124" s="0" t="s">
        <v>284</v>
      </c>
      <c r="D124" s="0" t="s">
        <v>285</v>
      </c>
      <c r="E124" s="0" t="s">
        <v>286</v>
      </c>
      <c r="F124" s="0" t="s">
        <v>287</v>
      </c>
    </row>
    <row r="125" customFormat="false" ht="12.8" hidden="false" customHeight="false" outlineLevel="0" collapsed="false">
      <c r="A125" s="28" t="s">
        <v>650</v>
      </c>
      <c r="B125" s="0" t="s">
        <v>651</v>
      </c>
      <c r="C125" s="0" t="s">
        <v>652</v>
      </c>
      <c r="D125" s="0" t="s">
        <v>653</v>
      </c>
      <c r="E125" s="0" t="s">
        <v>654</v>
      </c>
      <c r="F125" s="0" t="s">
        <v>655</v>
      </c>
    </row>
    <row r="126" customFormat="false" ht="12.8" hidden="false" customHeight="false" outlineLevel="0" collapsed="false">
      <c r="A126" s="28" t="s">
        <v>656</v>
      </c>
      <c r="B126" s="0" t="s">
        <v>657</v>
      </c>
      <c r="C126" s="0" t="s">
        <v>658</v>
      </c>
      <c r="D126" s="0" t="s">
        <v>659</v>
      </c>
      <c r="E126" s="0" t="s">
        <v>660</v>
      </c>
      <c r="F126" s="0" t="s">
        <v>661</v>
      </c>
    </row>
    <row r="127" customFormat="false" ht="12.8" hidden="false" customHeight="false" outlineLevel="0" collapsed="false">
      <c r="A127" s="28" t="s">
        <v>662</v>
      </c>
      <c r="B127" s="0" t="s">
        <v>663</v>
      </c>
      <c r="C127" s="0" t="s">
        <v>664</v>
      </c>
      <c r="D127" s="0" t="s">
        <v>665</v>
      </c>
      <c r="E127" s="0" t="s">
        <v>666</v>
      </c>
      <c r="F127" s="0" t="s">
        <v>667</v>
      </c>
    </row>
    <row r="128" customFormat="false" ht="12.8" hidden="false" customHeight="false" outlineLevel="0" collapsed="false">
      <c r="A128" s="28" t="s">
        <v>668</v>
      </c>
      <c r="B128" s="0" t="s">
        <v>669</v>
      </c>
      <c r="C128" s="0" t="s">
        <v>670</v>
      </c>
      <c r="D128" s="0" t="s">
        <v>671</v>
      </c>
      <c r="E128" s="0" t="s">
        <v>672</v>
      </c>
      <c r="F128" s="0" t="s">
        <v>673</v>
      </c>
    </row>
    <row r="129" customFormat="false" ht="12.8" hidden="false" customHeight="false" outlineLevel="0" collapsed="false">
      <c r="A129" s="28" t="s">
        <v>674</v>
      </c>
      <c r="B129" s="0" t="s">
        <v>675</v>
      </c>
      <c r="C129" s="0" t="s">
        <v>676</v>
      </c>
      <c r="D129" s="0" t="s">
        <v>677</v>
      </c>
      <c r="E129" s="0" t="s">
        <v>678</v>
      </c>
      <c r="F129" s="0" t="s">
        <v>679</v>
      </c>
    </row>
    <row r="130" customFormat="false" ht="12.8" hidden="false" customHeight="false" outlineLevel="0" collapsed="false">
      <c r="A130" s="28"/>
      <c r="B130" s="0"/>
      <c r="C130" s="0"/>
      <c r="D130" s="0"/>
      <c r="E130" s="0"/>
      <c r="F130" s="0"/>
    </row>
    <row r="131" customFormat="false" ht="12.8" hidden="false" customHeight="false" outlineLevel="0" collapsed="false">
      <c r="A131" s="28" t="str">
        <f aca="false">_xlfn.CONCAT($A$1, ".", "U6TPR")</f>
        <v>LSD.RID.0.AL.FORM.U6TPR</v>
      </c>
      <c r="B131" s="0" t="s">
        <v>680</v>
      </c>
      <c r="C131" s="0"/>
      <c r="D131" s="0"/>
      <c r="E131" s="0"/>
      <c r="F131" s="0"/>
    </row>
    <row r="132" customFormat="false" ht="12.8" hidden="false" customHeight="false" outlineLevel="0" collapsed="false">
      <c r="A132" s="28" t="s">
        <v>91</v>
      </c>
      <c r="B132" s="0" t="s">
        <v>283</v>
      </c>
      <c r="C132" s="0" t="s">
        <v>284</v>
      </c>
      <c r="D132" s="0" t="s">
        <v>285</v>
      </c>
      <c r="E132" s="0" t="s">
        <v>286</v>
      </c>
      <c r="F132" s="0" t="s">
        <v>287</v>
      </c>
    </row>
    <row r="133" customFormat="false" ht="12.8" hidden="false" customHeight="false" outlineLevel="0" collapsed="false">
      <c r="A133" s="28" t="s">
        <v>681</v>
      </c>
      <c r="B133" s="0" t="s">
        <v>682</v>
      </c>
      <c r="C133" s="0" t="s">
        <v>683</v>
      </c>
      <c r="D133" s="0" t="s">
        <v>684</v>
      </c>
      <c r="E133" s="0" t="s">
        <v>685</v>
      </c>
      <c r="F133" s="0" t="s">
        <v>686</v>
      </c>
    </row>
    <row r="134" customFormat="false" ht="12.8" hidden="false" customHeight="false" outlineLevel="0" collapsed="false">
      <c r="A134" s="28" t="s">
        <v>687</v>
      </c>
      <c r="B134" s="0" t="s">
        <v>688</v>
      </c>
      <c r="C134" s="0" t="s">
        <v>689</v>
      </c>
      <c r="D134" s="0" t="s">
        <v>690</v>
      </c>
      <c r="E134" s="0" t="s">
        <v>660</v>
      </c>
      <c r="F134" s="0" t="s">
        <v>691</v>
      </c>
    </row>
    <row r="135" customFormat="false" ht="12.8" hidden="false" customHeight="false" outlineLevel="0" collapsed="false">
      <c r="A135" s="28" t="s">
        <v>692</v>
      </c>
      <c r="B135" s="0" t="s">
        <v>693</v>
      </c>
      <c r="C135" s="0" t="s">
        <v>694</v>
      </c>
      <c r="D135" s="0" t="s">
        <v>695</v>
      </c>
      <c r="E135" s="0" t="s">
        <v>666</v>
      </c>
      <c r="F135" s="0" t="s">
        <v>696</v>
      </c>
    </row>
    <row r="136" customFormat="false" ht="12.8" hidden="false" customHeight="false" outlineLevel="0" collapsed="false">
      <c r="A136" s="28" t="s">
        <v>697</v>
      </c>
      <c r="B136" s="0" t="s">
        <v>698</v>
      </c>
      <c r="C136" s="0" t="s">
        <v>699</v>
      </c>
      <c r="D136" s="0" t="s">
        <v>700</v>
      </c>
      <c r="E136" s="0" t="s">
        <v>701</v>
      </c>
      <c r="F136" s="0" t="s">
        <v>702</v>
      </c>
    </row>
    <row r="137" customFormat="false" ht="12.8" hidden="false" customHeight="false" outlineLevel="0" collapsed="false">
      <c r="A137" s="28" t="s">
        <v>703</v>
      </c>
      <c r="B137" s="0" t="s">
        <v>704</v>
      </c>
      <c r="C137" s="0" t="s">
        <v>705</v>
      </c>
      <c r="D137" s="0" t="s">
        <v>706</v>
      </c>
      <c r="E137" s="0" t="s">
        <v>707</v>
      </c>
      <c r="F137" s="0" t="s">
        <v>708</v>
      </c>
    </row>
    <row r="138" customFormat="false" ht="12.8" hidden="false" customHeight="false" outlineLevel="0" collapsed="false">
      <c r="A138" s="28"/>
      <c r="B138" s="0"/>
      <c r="C138" s="0"/>
      <c r="D138" s="0"/>
      <c r="E138" s="0"/>
      <c r="F138" s="0"/>
    </row>
    <row r="139" customFormat="false" ht="12.8" hidden="false" customHeight="false" outlineLevel="0" collapsed="false">
      <c r="A139" s="28" t="str">
        <f aca="false">_xlfn.CONCAT($A$1, ".", "WRAVG")</f>
        <v>LSD.RID.0.AL.FORM.WRAVG</v>
      </c>
      <c r="B139" s="0" t="s">
        <v>709</v>
      </c>
      <c r="C139" s="0"/>
      <c r="D139" s="0"/>
      <c r="E139" s="0"/>
      <c r="F139" s="0"/>
    </row>
    <row r="140" customFormat="false" ht="12.8" hidden="false" customHeight="false" outlineLevel="0" collapsed="false">
      <c r="A140" s="28" t="s">
        <v>91</v>
      </c>
      <c r="B140" s="0" t="s">
        <v>283</v>
      </c>
      <c r="C140" s="0" t="s">
        <v>284</v>
      </c>
      <c r="D140" s="0" t="s">
        <v>285</v>
      </c>
      <c r="E140" s="0" t="s">
        <v>286</v>
      </c>
      <c r="F140" s="0" t="s">
        <v>287</v>
      </c>
    </row>
    <row r="141" customFormat="false" ht="12.8" hidden="false" customHeight="false" outlineLevel="0" collapsed="false">
      <c r="A141" s="28" t="s">
        <v>710</v>
      </c>
      <c r="B141" s="0" t="s">
        <v>711</v>
      </c>
      <c r="C141" s="0" t="s">
        <v>712</v>
      </c>
      <c r="D141" s="0" t="s">
        <v>713</v>
      </c>
      <c r="E141" s="0" t="s">
        <v>714</v>
      </c>
      <c r="F141" s="0" t="s">
        <v>715</v>
      </c>
    </row>
    <row r="142" customFormat="false" ht="12.8" hidden="false" customHeight="false" outlineLevel="0" collapsed="false">
      <c r="A142" s="28" t="s">
        <v>716</v>
      </c>
      <c r="B142" s="0" t="s">
        <v>717</v>
      </c>
      <c r="C142" s="0" t="s">
        <v>718</v>
      </c>
      <c r="D142" s="0" t="s">
        <v>719</v>
      </c>
      <c r="E142" s="0" t="s">
        <v>720</v>
      </c>
      <c r="F142" s="0" t="s">
        <v>721</v>
      </c>
    </row>
    <row r="143" customFormat="false" ht="12.8" hidden="false" customHeight="false" outlineLevel="0" collapsed="false">
      <c r="A143" s="28" t="s">
        <v>722</v>
      </c>
      <c r="B143" s="0" t="s">
        <v>723</v>
      </c>
      <c r="C143" s="0" t="s">
        <v>724</v>
      </c>
      <c r="D143" s="0" t="s">
        <v>725</v>
      </c>
      <c r="E143" s="0" t="s">
        <v>726</v>
      </c>
      <c r="F143" s="0" t="s">
        <v>727</v>
      </c>
    </row>
    <row r="144" customFormat="false" ht="12.8" hidden="false" customHeight="false" outlineLevel="0" collapsed="false">
      <c r="A144" s="28" t="s">
        <v>728</v>
      </c>
      <c r="B144" s="0" t="s">
        <v>729</v>
      </c>
      <c r="C144" s="0" t="s">
        <v>730</v>
      </c>
      <c r="D144" s="0" t="s">
        <v>731</v>
      </c>
      <c r="E144" s="0" t="s">
        <v>732</v>
      </c>
      <c r="F144" s="0" t="s">
        <v>733</v>
      </c>
    </row>
    <row r="145" customFormat="false" ht="12.8" hidden="false" customHeight="false" outlineLevel="0" collapsed="false">
      <c r="A145" s="28" t="s">
        <v>734</v>
      </c>
      <c r="B145" s="0" t="s">
        <v>735</v>
      </c>
      <c r="C145" s="0" t="s">
        <v>736</v>
      </c>
      <c r="D145" s="0" t="s">
        <v>737</v>
      </c>
      <c r="E145" s="0" t="s">
        <v>738</v>
      </c>
      <c r="F145" s="0" t="s">
        <v>739</v>
      </c>
    </row>
    <row r="146" customFormat="false" ht="12.8" hidden="false" customHeight="false" outlineLevel="0" collapsed="false">
      <c r="A146" s="28"/>
      <c r="B146" s="0"/>
      <c r="C146" s="0"/>
      <c r="D146" s="0"/>
      <c r="E146" s="0"/>
      <c r="F146" s="0"/>
    </row>
    <row r="147" customFormat="false" ht="12.8" hidden="false" customHeight="false" outlineLevel="0" collapsed="false">
      <c r="A147" s="28" t="str">
        <f aca="false">_xlfn.CONCAT($A$1, ".", "AIRAVG")</f>
        <v>LSD.RID.0.AL.FORM.AIRAVG</v>
      </c>
      <c r="B147" s="0" t="s">
        <v>740</v>
      </c>
      <c r="C147" s="0"/>
      <c r="D147" s="0"/>
      <c r="E147" s="0"/>
      <c r="F147" s="0"/>
    </row>
    <row r="148" customFormat="false" ht="12.8" hidden="false" customHeight="false" outlineLevel="0" collapsed="false">
      <c r="A148" s="28" t="s">
        <v>91</v>
      </c>
      <c r="B148" s="0" t="s">
        <v>283</v>
      </c>
      <c r="C148" s="0" t="s">
        <v>284</v>
      </c>
      <c r="D148" s="0" t="s">
        <v>285</v>
      </c>
      <c r="E148" s="0" t="s">
        <v>286</v>
      </c>
      <c r="F148" s="0" t="s">
        <v>287</v>
      </c>
    </row>
    <row r="149" customFormat="false" ht="12.8" hidden="false" customHeight="false" outlineLevel="0" collapsed="false">
      <c r="A149" s="28" t="s">
        <v>741</v>
      </c>
      <c r="B149" s="0" t="s">
        <v>742</v>
      </c>
      <c r="C149" s="0" t="s">
        <v>743</v>
      </c>
      <c r="D149" s="0" t="s">
        <v>744</v>
      </c>
      <c r="E149" s="0" t="s">
        <v>745</v>
      </c>
      <c r="F149" s="0" t="s">
        <v>746</v>
      </c>
    </row>
    <row r="150" customFormat="false" ht="12.8" hidden="false" customHeight="false" outlineLevel="0" collapsed="false">
      <c r="A150" s="28" t="s">
        <v>747</v>
      </c>
      <c r="B150" s="0" t="s">
        <v>748</v>
      </c>
      <c r="C150" s="0" t="s">
        <v>749</v>
      </c>
      <c r="D150" s="0" t="s">
        <v>750</v>
      </c>
      <c r="E150" s="0" t="s">
        <v>720</v>
      </c>
      <c r="F150" s="0" t="s">
        <v>751</v>
      </c>
    </row>
    <row r="151" customFormat="false" ht="12.8" hidden="false" customHeight="false" outlineLevel="0" collapsed="false">
      <c r="A151" s="28" t="s">
        <v>752</v>
      </c>
      <c r="B151" s="0" t="s">
        <v>753</v>
      </c>
      <c r="C151" s="0" t="s">
        <v>754</v>
      </c>
      <c r="D151" s="0" t="s">
        <v>755</v>
      </c>
      <c r="E151" s="0" t="s">
        <v>726</v>
      </c>
      <c r="F151" s="0" t="s">
        <v>756</v>
      </c>
    </row>
    <row r="152" customFormat="false" ht="12.8" hidden="false" customHeight="false" outlineLevel="0" collapsed="false">
      <c r="A152" s="28" t="s">
        <v>757</v>
      </c>
      <c r="B152" s="0" t="s">
        <v>758</v>
      </c>
      <c r="C152" s="0" t="s">
        <v>759</v>
      </c>
      <c r="D152" s="0" t="s">
        <v>731</v>
      </c>
      <c r="E152" s="0" t="s">
        <v>760</v>
      </c>
      <c r="F152" s="0" t="s">
        <v>733</v>
      </c>
    </row>
    <row r="153" customFormat="false" ht="12.8" hidden="false" customHeight="false" outlineLevel="0" collapsed="false">
      <c r="A153" s="28" t="s">
        <v>761</v>
      </c>
      <c r="B153" s="0" t="s">
        <v>762</v>
      </c>
      <c r="C153" s="0" t="s">
        <v>763</v>
      </c>
      <c r="D153" s="0" t="s">
        <v>764</v>
      </c>
      <c r="E153" s="0" t="s">
        <v>765</v>
      </c>
      <c r="F153" s="0" t="s">
        <v>766</v>
      </c>
    </row>
    <row r="154" customFormat="false" ht="12.8" hidden="false" customHeight="false" outlineLevel="0" collapsed="false">
      <c r="A154" s="28"/>
      <c r="B154" s="0"/>
      <c r="C154" s="0"/>
      <c r="D154" s="0"/>
      <c r="E154" s="0"/>
      <c r="F154" s="0"/>
    </row>
    <row r="155" customFormat="false" ht="12.8" hidden="false" customHeight="false" outlineLevel="0" collapsed="false">
      <c r="A155" s="28" t="str">
        <f aca="false">_xlfn.CONCAT($A$1, ".", "AWHW")</f>
        <v>LSD.RID.0.AL.FORM.AWHW</v>
      </c>
      <c r="B155" s="0" t="s">
        <v>767</v>
      </c>
      <c r="C155" s="0"/>
      <c r="D155" s="0"/>
      <c r="E155" s="0"/>
      <c r="F155" s="0"/>
    </row>
    <row r="156" customFormat="false" ht="12.8" hidden="false" customHeight="false" outlineLevel="0" collapsed="false">
      <c r="A156" s="28" t="s">
        <v>91</v>
      </c>
      <c r="B156" s="0" t="s">
        <v>283</v>
      </c>
      <c r="C156" s="0" t="s">
        <v>284</v>
      </c>
      <c r="D156" s="0" t="s">
        <v>285</v>
      </c>
      <c r="E156" s="0" t="s">
        <v>286</v>
      </c>
      <c r="F156" s="0" t="s">
        <v>287</v>
      </c>
    </row>
    <row r="157" customFormat="false" ht="12.8" hidden="false" customHeight="false" outlineLevel="0" collapsed="false">
      <c r="A157" s="28" t="s">
        <v>768</v>
      </c>
      <c r="B157" s="0" t="s">
        <v>769</v>
      </c>
      <c r="C157" s="0" t="s">
        <v>770</v>
      </c>
      <c r="D157" s="0" t="s">
        <v>771</v>
      </c>
      <c r="E157" s="0" t="s">
        <v>772</v>
      </c>
      <c r="F157" s="0" t="s">
        <v>773</v>
      </c>
    </row>
    <row r="158" customFormat="false" ht="12.8" hidden="false" customHeight="false" outlineLevel="0" collapsed="false">
      <c r="A158" s="28" t="s">
        <v>774</v>
      </c>
      <c r="B158" s="0" t="s">
        <v>775</v>
      </c>
      <c r="C158" s="0" t="s">
        <v>776</v>
      </c>
      <c r="D158" s="0" t="s">
        <v>777</v>
      </c>
      <c r="E158" s="0" t="s">
        <v>778</v>
      </c>
      <c r="F158" s="0" t="s">
        <v>751</v>
      </c>
    </row>
    <row r="159" customFormat="false" ht="12.8" hidden="false" customHeight="false" outlineLevel="0" collapsed="false">
      <c r="A159" s="28" t="s">
        <v>779</v>
      </c>
      <c r="B159" s="0" t="s">
        <v>780</v>
      </c>
      <c r="C159" s="0" t="s">
        <v>781</v>
      </c>
      <c r="D159" s="0" t="s">
        <v>782</v>
      </c>
      <c r="E159" s="0" t="s">
        <v>726</v>
      </c>
      <c r="F159" s="0" t="s">
        <v>783</v>
      </c>
    </row>
    <row r="160" customFormat="false" ht="12.8" hidden="false" customHeight="false" outlineLevel="0" collapsed="false">
      <c r="A160" s="28" t="s">
        <v>784</v>
      </c>
      <c r="B160" s="0" t="s">
        <v>785</v>
      </c>
      <c r="C160" s="0" t="s">
        <v>786</v>
      </c>
      <c r="D160" s="0" t="s">
        <v>787</v>
      </c>
      <c r="E160" s="0" t="s">
        <v>788</v>
      </c>
      <c r="F160" s="0" t="s">
        <v>733</v>
      </c>
    </row>
    <row r="161" customFormat="false" ht="12.8" hidden="false" customHeight="false" outlineLevel="0" collapsed="false">
      <c r="A161" s="28" t="s">
        <v>789</v>
      </c>
      <c r="B161" s="0" t="s">
        <v>790</v>
      </c>
      <c r="C161" s="0" t="s">
        <v>791</v>
      </c>
      <c r="D161" s="0" t="s">
        <v>737</v>
      </c>
      <c r="E161" s="0" t="s">
        <v>792</v>
      </c>
      <c r="F161" s="0" t="s">
        <v>793</v>
      </c>
    </row>
    <row r="162" customFormat="false" ht="12.8" hidden="false" customHeight="false" outlineLevel="0" collapsed="false">
      <c r="A162" s="28"/>
      <c r="B162" s="0"/>
      <c r="C162" s="0"/>
      <c r="D162" s="0"/>
      <c r="E162" s="0"/>
      <c r="F162" s="0"/>
    </row>
    <row r="163" customFormat="false" ht="12.8" hidden="false" customHeight="false" outlineLevel="0" collapsed="false">
      <c r="A163" s="28" t="str">
        <f aca="false">_xlfn.CONCAT($A$1, ".", "FTER")</f>
        <v>LSD.RID.0.AL.FORM.FTER</v>
      </c>
      <c r="B163" s="0" t="s">
        <v>794</v>
      </c>
      <c r="C163" s="0"/>
      <c r="D163" s="0"/>
      <c r="E163" s="0"/>
      <c r="F163" s="0"/>
    </row>
    <row r="164" customFormat="false" ht="12.8" hidden="false" customHeight="false" outlineLevel="0" collapsed="false">
      <c r="A164" s="28" t="s">
        <v>91</v>
      </c>
      <c r="B164" s="0" t="s">
        <v>283</v>
      </c>
      <c r="C164" s="0" t="s">
        <v>284</v>
      </c>
      <c r="D164" s="0" t="s">
        <v>285</v>
      </c>
      <c r="E164" s="0" t="s">
        <v>286</v>
      </c>
      <c r="F164" s="0" t="s">
        <v>287</v>
      </c>
    </row>
    <row r="165" customFormat="false" ht="12.8" hidden="false" customHeight="false" outlineLevel="0" collapsed="false">
      <c r="A165" s="28" t="s">
        <v>795</v>
      </c>
      <c r="B165" s="0" t="s">
        <v>796</v>
      </c>
      <c r="C165" s="0" t="s">
        <v>797</v>
      </c>
      <c r="D165" s="0" t="s">
        <v>798</v>
      </c>
      <c r="E165" s="0" t="s">
        <v>799</v>
      </c>
      <c r="F165" s="0" t="s">
        <v>773</v>
      </c>
    </row>
    <row r="166" customFormat="false" ht="12.8" hidden="false" customHeight="false" outlineLevel="0" collapsed="false">
      <c r="A166" s="28" t="s">
        <v>800</v>
      </c>
      <c r="B166" s="0" t="s">
        <v>801</v>
      </c>
      <c r="C166" s="0" t="s">
        <v>802</v>
      </c>
      <c r="D166" s="0" t="s">
        <v>803</v>
      </c>
      <c r="E166" s="0" t="s">
        <v>804</v>
      </c>
      <c r="F166" s="0" t="s">
        <v>751</v>
      </c>
    </row>
    <row r="167" customFormat="false" ht="12.8" hidden="false" customHeight="false" outlineLevel="0" collapsed="false">
      <c r="A167" s="28" t="s">
        <v>805</v>
      </c>
      <c r="B167" s="0" t="s">
        <v>806</v>
      </c>
      <c r="C167" s="0" t="s">
        <v>807</v>
      </c>
      <c r="D167" s="0" t="s">
        <v>808</v>
      </c>
      <c r="E167" s="0" t="s">
        <v>809</v>
      </c>
      <c r="F167" s="0" t="s">
        <v>810</v>
      </c>
    </row>
    <row r="168" customFormat="false" ht="12.8" hidden="false" customHeight="false" outlineLevel="0" collapsed="false">
      <c r="A168" s="28" t="s">
        <v>811</v>
      </c>
      <c r="B168" s="0" t="s">
        <v>812</v>
      </c>
      <c r="C168" s="0" t="s">
        <v>813</v>
      </c>
      <c r="D168" s="0" t="s">
        <v>814</v>
      </c>
      <c r="E168" s="0" t="s">
        <v>815</v>
      </c>
      <c r="F168" s="0" t="s">
        <v>733</v>
      </c>
    </row>
    <row r="169" customFormat="false" ht="12.8" hidden="false" customHeight="false" outlineLevel="0" collapsed="false">
      <c r="A169" s="28" t="s">
        <v>816</v>
      </c>
      <c r="B169" s="0" t="s">
        <v>817</v>
      </c>
      <c r="C169" s="0" t="s">
        <v>818</v>
      </c>
      <c r="D169" s="0" t="s">
        <v>737</v>
      </c>
      <c r="E169" s="0" t="s">
        <v>819</v>
      </c>
      <c r="F169" s="0" t="s">
        <v>820</v>
      </c>
    </row>
    <row r="170" customFormat="false" ht="12.8" hidden="false" customHeight="false" outlineLevel="0" collapsed="false">
      <c r="A170" s="28"/>
      <c r="B170" s="0"/>
      <c r="C170" s="0"/>
      <c r="D170" s="0"/>
      <c r="E170" s="0"/>
      <c r="F170" s="0"/>
    </row>
    <row r="171" customFormat="false" ht="12.8" hidden="false" customHeight="false" outlineLevel="0" collapsed="false">
      <c r="A171" s="28" t="str">
        <f aca="false">_xlfn.CONCAT($A$1, ".", "PTER")</f>
        <v>LSD.RID.0.AL.FORM.PTER</v>
      </c>
      <c r="B171" s="0" t="s">
        <v>821</v>
      </c>
      <c r="C171" s="0"/>
      <c r="D171" s="0"/>
      <c r="E171" s="0"/>
      <c r="F171" s="0"/>
    </row>
    <row r="172" customFormat="false" ht="12.8" hidden="false" customHeight="false" outlineLevel="0" collapsed="false">
      <c r="A172" s="28" t="s">
        <v>91</v>
      </c>
      <c r="B172" s="0" t="s">
        <v>283</v>
      </c>
      <c r="C172" s="0" t="s">
        <v>284</v>
      </c>
      <c r="D172" s="0" t="s">
        <v>285</v>
      </c>
      <c r="E172" s="0" t="s">
        <v>286</v>
      </c>
      <c r="F172" s="0" t="s">
        <v>287</v>
      </c>
    </row>
    <row r="173" customFormat="false" ht="12.8" hidden="false" customHeight="false" outlineLevel="0" collapsed="false">
      <c r="A173" s="28" t="s">
        <v>822</v>
      </c>
      <c r="B173" s="0" t="s">
        <v>823</v>
      </c>
      <c r="C173" s="0" t="s">
        <v>824</v>
      </c>
      <c r="D173" s="0" t="s">
        <v>825</v>
      </c>
      <c r="E173" s="0" t="s">
        <v>826</v>
      </c>
      <c r="F173" s="0" t="s">
        <v>773</v>
      </c>
    </row>
    <row r="174" customFormat="false" ht="12.8" hidden="false" customHeight="false" outlineLevel="0" collapsed="false">
      <c r="A174" s="28" t="s">
        <v>827</v>
      </c>
      <c r="B174" s="0" t="s">
        <v>828</v>
      </c>
      <c r="C174" s="0" t="s">
        <v>829</v>
      </c>
      <c r="D174" s="0" t="s">
        <v>830</v>
      </c>
      <c r="E174" s="0" t="s">
        <v>831</v>
      </c>
      <c r="F174" s="0" t="s">
        <v>751</v>
      </c>
    </row>
    <row r="175" customFormat="false" ht="12.8" hidden="false" customHeight="false" outlineLevel="0" collapsed="false">
      <c r="A175" s="28" t="s">
        <v>832</v>
      </c>
      <c r="B175" s="0" t="s">
        <v>833</v>
      </c>
      <c r="C175" s="0" t="s">
        <v>834</v>
      </c>
      <c r="D175" s="0" t="s">
        <v>835</v>
      </c>
      <c r="E175" s="0" t="s">
        <v>809</v>
      </c>
      <c r="F175" s="0" t="s">
        <v>836</v>
      </c>
    </row>
    <row r="176" customFormat="false" ht="12.8" hidden="false" customHeight="false" outlineLevel="0" collapsed="false">
      <c r="A176" s="28" t="s">
        <v>837</v>
      </c>
      <c r="B176" s="0" t="s">
        <v>838</v>
      </c>
      <c r="C176" s="0" t="s">
        <v>839</v>
      </c>
      <c r="D176" s="0" t="s">
        <v>840</v>
      </c>
      <c r="E176" s="0" t="s">
        <v>841</v>
      </c>
      <c r="F176" s="0" t="s">
        <v>733</v>
      </c>
    </row>
    <row r="177" customFormat="false" ht="12.8" hidden="false" customHeight="false" outlineLevel="0" collapsed="false">
      <c r="A177" s="28" t="s">
        <v>842</v>
      </c>
      <c r="B177" s="0" t="s">
        <v>843</v>
      </c>
      <c r="C177" s="0" t="s">
        <v>844</v>
      </c>
      <c r="D177" s="0" t="s">
        <v>737</v>
      </c>
      <c r="E177" s="0" t="s">
        <v>845</v>
      </c>
      <c r="F177" s="0" t="s">
        <v>820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I255"/>
  <sheetViews>
    <sheetView showFormulas="false" showGridLines="true" showRowColHeaders="true" showZeros="true" rightToLeft="false" tabSelected="false" showOutlineSymbols="true" defaultGridColor="true" view="normal" topLeftCell="A218" colorId="64" zoomScale="85" zoomScaleNormal="85" zoomScalePageLayoutView="100" workbookViewId="0">
      <selection pane="topLeft" activeCell="A246" activeCellId="0" sqref="A246"/>
    </sheetView>
  </sheetViews>
  <sheetFormatPr defaultColWidth="11.53515625" defaultRowHeight="12.8" customHeight="false" zeroHeight="false" outlineLevelRow="0" outlineLevelCol="0"/>
  <cols>
    <col collapsed="false" customWidth="true" hidden="false" outlineLevel="0" max="1" min="1" style="21" width="23.07"/>
    <col collapsed="false" customWidth="true" hidden="false" outlineLevel="0" max="2" min="2" style="3" width="32.29"/>
    <col collapsed="false" customWidth="true" hidden="false" outlineLevel="0" max="4" min="4" style="3" width="20.76"/>
  </cols>
  <sheetData>
    <row r="1" customFormat="false" ht="12.8" hidden="false" customHeight="false" outlineLevel="0" collapsed="false">
      <c r="A1" s="17" t="s">
        <v>37</v>
      </c>
      <c r="B1" s="18" t="s">
        <v>846</v>
      </c>
      <c r="C1" s="18" t="s">
        <v>281</v>
      </c>
      <c r="E1" s="18"/>
      <c r="F1" s="18"/>
      <c r="G1" s="18"/>
      <c r="H1" s="3"/>
    </row>
    <row r="2" customFormat="false" ht="12.8" hidden="false" customHeight="false" outlineLevel="0" collapsed="false">
      <c r="A2" s="28" t="str">
        <f aca="false">_xlfn.CONCAT($A$1, ".", "BASE")</f>
        <v>LSD.RID.0.AL.PARAM.BASE</v>
      </c>
      <c r="B2" s="0" t="s">
        <v>847</v>
      </c>
      <c r="D2" s="0"/>
    </row>
    <row r="3" customFormat="false" ht="12.8" hidden="false" customHeight="false" outlineLevel="0" collapsed="false">
      <c r="A3" s="0" t="s">
        <v>848</v>
      </c>
      <c r="B3" s="0" t="s">
        <v>283</v>
      </c>
      <c r="C3" s="0" t="s">
        <v>849</v>
      </c>
      <c r="D3" s="0" t="s">
        <v>286</v>
      </c>
      <c r="E3" s="0" t="s">
        <v>850</v>
      </c>
      <c r="F3" s="0" t="s">
        <v>851</v>
      </c>
      <c r="G3" s="0" t="s">
        <v>852</v>
      </c>
      <c r="H3" s="0" t="s">
        <v>287</v>
      </c>
      <c r="I3" s="0" t="s">
        <v>853</v>
      </c>
    </row>
    <row r="4" customFormat="false" ht="12.8" hidden="false" customHeight="false" outlineLevel="0" collapsed="false">
      <c r="A4" s="0" t="s">
        <v>854</v>
      </c>
      <c r="B4" s="0" t="s">
        <v>855</v>
      </c>
      <c r="C4" s="0" t="n">
        <v>4130000</v>
      </c>
      <c r="D4" s="0" t="s">
        <v>856</v>
      </c>
      <c r="E4" s="0" t="s">
        <v>857</v>
      </c>
      <c r="F4" s="0" t="s">
        <v>858</v>
      </c>
      <c r="G4" s="30" t="s">
        <v>859</v>
      </c>
      <c r="H4" s="0" t="s">
        <v>860</v>
      </c>
      <c r="I4" s="0" t="s">
        <v>861</v>
      </c>
    </row>
    <row r="5" customFormat="false" ht="12.8" hidden="false" customHeight="false" outlineLevel="0" collapsed="false">
      <c r="A5" s="0" t="s">
        <v>862</v>
      </c>
      <c r="B5" s="0" t="s">
        <v>863</v>
      </c>
      <c r="C5" s="0" t="n">
        <v>0.01</v>
      </c>
      <c r="D5" s="0" t="s">
        <v>864</v>
      </c>
      <c r="E5" s="0" t="s">
        <v>857</v>
      </c>
      <c r="F5" s="0" t="s">
        <v>865</v>
      </c>
      <c r="G5" s="30" t="s">
        <v>859</v>
      </c>
      <c r="H5" s="0" t="s">
        <v>866</v>
      </c>
      <c r="I5" s="0" t="s">
        <v>861</v>
      </c>
    </row>
    <row r="6" customFormat="false" ht="12.8" hidden="false" customHeight="false" outlineLevel="0" collapsed="false">
      <c r="A6" s="0" t="s">
        <v>867</v>
      </c>
      <c r="B6" s="0" t="s">
        <v>868</v>
      </c>
      <c r="C6" s="0" t="n">
        <v>0.025</v>
      </c>
      <c r="D6" s="0" t="s">
        <v>869</v>
      </c>
      <c r="E6" s="0" t="s">
        <v>857</v>
      </c>
      <c r="F6" s="0" t="s">
        <v>870</v>
      </c>
      <c r="G6" s="30" t="s">
        <v>859</v>
      </c>
      <c r="H6" s="0" t="s">
        <v>871</v>
      </c>
      <c r="I6" s="0" t="s">
        <v>861</v>
      </c>
    </row>
    <row r="7" customFormat="false" ht="12.8" hidden="false" customHeight="false" outlineLevel="0" collapsed="false">
      <c r="A7" s="0" t="s">
        <v>872</v>
      </c>
      <c r="B7" s="0" t="s">
        <v>873</v>
      </c>
      <c r="C7" s="0" t="n">
        <v>0.12</v>
      </c>
      <c r="D7" s="0" t="s">
        <v>874</v>
      </c>
      <c r="E7" s="0" t="s">
        <v>857</v>
      </c>
      <c r="F7" s="0" t="s">
        <v>875</v>
      </c>
      <c r="G7" s="30" t="s">
        <v>859</v>
      </c>
      <c r="H7" s="0" t="s">
        <v>876</v>
      </c>
      <c r="I7" s="0" t="s">
        <v>877</v>
      </c>
    </row>
    <row r="8" customFormat="false" ht="12.8" hidden="false" customHeight="false" outlineLevel="0" collapsed="false">
      <c r="A8" s="0" t="s">
        <v>878</v>
      </c>
      <c r="B8" s="0" t="s">
        <v>879</v>
      </c>
      <c r="C8" s="0" t="n">
        <v>0.08</v>
      </c>
      <c r="D8" s="0" t="s">
        <v>880</v>
      </c>
      <c r="E8" s="0" t="s">
        <v>857</v>
      </c>
      <c r="F8" s="0" t="s">
        <v>881</v>
      </c>
      <c r="G8" s="30" t="s">
        <v>859</v>
      </c>
      <c r="H8" s="0" t="s">
        <v>882</v>
      </c>
      <c r="I8" s="0" t="s">
        <v>883</v>
      </c>
    </row>
    <row r="9" customFormat="false" ht="12.8" hidden="false" customHeight="false" outlineLevel="0" collapsed="false">
      <c r="A9" s="0" t="s">
        <v>884</v>
      </c>
      <c r="B9" s="0" t="s">
        <v>885</v>
      </c>
      <c r="C9" s="0" t="n">
        <v>0.15</v>
      </c>
      <c r="D9" s="0" t="s">
        <v>886</v>
      </c>
      <c r="E9" s="0" t="s">
        <v>857</v>
      </c>
      <c r="F9" s="0" t="s">
        <v>887</v>
      </c>
      <c r="G9" s="30" t="s">
        <v>859</v>
      </c>
      <c r="H9" s="0" t="s">
        <v>887</v>
      </c>
      <c r="I9" s="0" t="s">
        <v>888</v>
      </c>
    </row>
    <row r="10" customFormat="false" ht="12.8" hidden="false" customHeight="false" outlineLevel="0" collapsed="false">
      <c r="A10" s="0" t="s">
        <v>889</v>
      </c>
      <c r="B10" s="0" t="s">
        <v>890</v>
      </c>
      <c r="C10" s="0" t="s">
        <v>891</v>
      </c>
      <c r="D10" s="0" t="s">
        <v>892</v>
      </c>
      <c r="E10" s="0" t="s">
        <v>857</v>
      </c>
      <c r="F10" s="0" t="s">
        <v>893</v>
      </c>
      <c r="G10" s="30" t="s">
        <v>859</v>
      </c>
      <c r="H10" s="0" t="s">
        <v>894</v>
      </c>
      <c r="I10" s="0" t="s">
        <v>861</v>
      </c>
    </row>
    <row r="11" customFormat="false" ht="12.8" hidden="false" customHeight="false" outlineLevel="0" collapsed="false">
      <c r="A11" s="0" t="s">
        <v>895</v>
      </c>
      <c r="B11" s="0" t="s">
        <v>896</v>
      </c>
      <c r="C11" s="0" t="s">
        <v>897</v>
      </c>
      <c r="D11" s="0" t="s">
        <v>898</v>
      </c>
      <c r="E11" s="0" t="s">
        <v>857</v>
      </c>
      <c r="F11" s="0" t="s">
        <v>899</v>
      </c>
      <c r="G11" s="30" t="s">
        <v>859</v>
      </c>
      <c r="H11" s="0" t="s">
        <v>900</v>
      </c>
      <c r="I11" s="0" t="s">
        <v>861</v>
      </c>
    </row>
    <row r="12" customFormat="false" ht="12.8" hidden="false" customHeight="false" outlineLevel="0" collapsed="false">
      <c r="A12" s="0" t="s">
        <v>901</v>
      </c>
      <c r="B12" s="0" t="s">
        <v>902</v>
      </c>
      <c r="C12" s="0" t="s">
        <v>903</v>
      </c>
      <c r="D12" s="0" t="s">
        <v>904</v>
      </c>
      <c r="E12" s="0" t="s">
        <v>857</v>
      </c>
      <c r="F12" s="0" t="s">
        <v>905</v>
      </c>
      <c r="G12" s="30" t="s">
        <v>859</v>
      </c>
      <c r="H12" s="0" t="s">
        <v>906</v>
      </c>
      <c r="I12" s="0" t="s">
        <v>861</v>
      </c>
    </row>
    <row r="13" customFormat="false" ht="12.8" hidden="false" customHeight="false" outlineLevel="0" collapsed="false">
      <c r="A13" s="0" t="s">
        <v>907</v>
      </c>
      <c r="B13" s="0" t="s">
        <v>908</v>
      </c>
      <c r="C13" s="0" t="s">
        <v>909</v>
      </c>
      <c r="D13" s="0" t="s">
        <v>910</v>
      </c>
      <c r="E13" s="0" t="s">
        <v>857</v>
      </c>
      <c r="F13" s="0" t="s">
        <v>911</v>
      </c>
      <c r="G13" s="30" t="s">
        <v>859</v>
      </c>
      <c r="H13" s="0" t="s">
        <v>912</v>
      </c>
      <c r="I13" s="0" t="s">
        <v>861</v>
      </c>
    </row>
    <row r="14" customFormat="false" ht="12.8" hidden="false" customHeight="false" outlineLevel="0" collapsed="false">
      <c r="A14" s="0" t="s">
        <v>913</v>
      </c>
      <c r="B14" s="0" t="s">
        <v>914</v>
      </c>
      <c r="C14" s="0" t="n">
        <v>1.025</v>
      </c>
      <c r="D14" s="0" t="s">
        <v>915</v>
      </c>
      <c r="E14" s="0" t="s">
        <v>857</v>
      </c>
      <c r="F14" s="0" t="s">
        <v>916</v>
      </c>
      <c r="G14" s="30" t="s">
        <v>859</v>
      </c>
      <c r="H14" s="0" t="s">
        <v>917</v>
      </c>
      <c r="I14" s="0" t="s">
        <v>861</v>
      </c>
    </row>
    <row r="15" customFormat="false" ht="12.8" hidden="false" customHeight="false" outlineLevel="0" collapsed="false">
      <c r="A15" s="0" t="s">
        <v>918</v>
      </c>
      <c r="B15" s="0" t="s">
        <v>919</v>
      </c>
      <c r="C15" s="0" t="n">
        <v>0.92</v>
      </c>
      <c r="D15" s="0" t="s">
        <v>920</v>
      </c>
      <c r="E15" s="0" t="s">
        <v>857</v>
      </c>
      <c r="F15" s="0" t="s">
        <v>916</v>
      </c>
      <c r="G15" s="30" t="s">
        <v>859</v>
      </c>
      <c r="H15" s="0" t="s">
        <v>917</v>
      </c>
      <c r="I15" s="0" t="s">
        <v>861</v>
      </c>
    </row>
    <row r="16" customFormat="false" ht="12.8" hidden="false" customHeight="false" outlineLevel="0" collapsed="false">
      <c r="A16" s="0" t="s">
        <v>921</v>
      </c>
      <c r="B16" s="0" t="s">
        <v>922</v>
      </c>
      <c r="C16" s="0" t="n">
        <v>0.14</v>
      </c>
      <c r="D16" s="0" t="s">
        <v>923</v>
      </c>
      <c r="E16" s="0" t="s">
        <v>857</v>
      </c>
      <c r="F16" s="0" t="s">
        <v>924</v>
      </c>
      <c r="G16" s="30" t="s">
        <v>859</v>
      </c>
      <c r="H16" s="0" t="s">
        <v>917</v>
      </c>
      <c r="I16" s="0" t="s">
        <v>861</v>
      </c>
    </row>
    <row r="17" customFormat="false" ht="12.8" hidden="false" customHeight="false" outlineLevel="0" collapsed="false">
      <c r="A17" s="0" t="s">
        <v>925</v>
      </c>
      <c r="B17" s="0" t="s">
        <v>926</v>
      </c>
      <c r="C17" s="0" t="n">
        <v>0.88</v>
      </c>
      <c r="D17" s="0" t="s">
        <v>927</v>
      </c>
      <c r="E17" s="0" t="s">
        <v>857</v>
      </c>
      <c r="F17" s="0" t="s">
        <v>928</v>
      </c>
      <c r="G17" s="30" t="s">
        <v>859</v>
      </c>
      <c r="H17" s="0" t="s">
        <v>929</v>
      </c>
      <c r="I17" s="0" t="s">
        <v>861</v>
      </c>
    </row>
    <row r="18" customFormat="false" ht="12.8" hidden="false" customHeight="false" outlineLevel="0" collapsed="false">
      <c r="A18" s="0" t="s">
        <v>930</v>
      </c>
      <c r="B18" s="0" t="s">
        <v>931</v>
      </c>
      <c r="C18" s="0" t="n">
        <v>0.81</v>
      </c>
      <c r="D18" s="0" t="s">
        <v>932</v>
      </c>
      <c r="E18" s="0" t="s">
        <v>857</v>
      </c>
      <c r="F18" s="0" t="s">
        <v>933</v>
      </c>
      <c r="G18" s="30" t="s">
        <v>859</v>
      </c>
      <c r="H18" s="0" t="s">
        <v>929</v>
      </c>
      <c r="I18" s="0" t="s">
        <v>861</v>
      </c>
    </row>
    <row r="19" customFormat="false" ht="12.8" hidden="false" customHeight="false" outlineLevel="0" collapsed="false">
      <c r="A19" s="0" t="s">
        <v>934</v>
      </c>
      <c r="B19" s="0" t="s">
        <v>935</v>
      </c>
      <c r="C19" s="0" t="n">
        <v>0.75</v>
      </c>
      <c r="D19" s="0" t="s">
        <v>936</v>
      </c>
      <c r="E19" s="0" t="s">
        <v>937</v>
      </c>
      <c r="F19" s="0" t="s">
        <v>938</v>
      </c>
      <c r="G19" s="30" t="s">
        <v>859</v>
      </c>
      <c r="H19" s="0" t="s">
        <v>929</v>
      </c>
      <c r="I19" s="0" t="s">
        <v>861</v>
      </c>
    </row>
    <row r="20" customFormat="false" ht="12.8" hidden="false" customHeight="false" outlineLevel="0" collapsed="false">
      <c r="A20" s="0" t="s">
        <v>939</v>
      </c>
      <c r="B20" s="0" t="s">
        <v>940</v>
      </c>
      <c r="C20" s="0" t="n">
        <v>1.04</v>
      </c>
      <c r="D20" s="0" t="s">
        <v>941</v>
      </c>
      <c r="E20" s="0" t="s">
        <v>857</v>
      </c>
      <c r="F20" s="0" t="s">
        <v>942</v>
      </c>
      <c r="G20" s="30" t="s">
        <v>859</v>
      </c>
      <c r="H20" s="0" t="s">
        <v>943</v>
      </c>
      <c r="I20" s="0" t="s">
        <v>861</v>
      </c>
    </row>
    <row r="21" customFormat="false" ht="12.8" hidden="false" customHeight="false" outlineLevel="0" collapsed="false">
      <c r="A21" s="0" t="s">
        <v>944</v>
      </c>
      <c r="B21" s="0" t="s">
        <v>945</v>
      </c>
      <c r="C21" s="0" t="s">
        <v>946</v>
      </c>
      <c r="D21" s="0" t="s">
        <v>947</v>
      </c>
      <c r="E21" s="0" t="s">
        <v>857</v>
      </c>
      <c r="F21" s="0" t="s">
        <v>948</v>
      </c>
      <c r="G21" s="30" t="s">
        <v>859</v>
      </c>
      <c r="H21" s="0" t="s">
        <v>949</v>
      </c>
      <c r="I21" s="0" t="s">
        <v>861</v>
      </c>
    </row>
    <row r="22" customFormat="false" ht="12.8" hidden="false" customHeight="false" outlineLevel="0" collapsed="false">
      <c r="A22" s="0" t="s">
        <v>950</v>
      </c>
      <c r="B22" s="0" t="s">
        <v>951</v>
      </c>
      <c r="C22" s="0" t="s">
        <v>952</v>
      </c>
      <c r="D22" s="0" t="s">
        <v>953</v>
      </c>
      <c r="E22" s="0" t="s">
        <v>857</v>
      </c>
      <c r="F22" s="0" t="s">
        <v>954</v>
      </c>
      <c r="G22" s="30" t="s">
        <v>859</v>
      </c>
      <c r="H22" s="0" t="s">
        <v>943</v>
      </c>
      <c r="I22" s="0" t="s">
        <v>861</v>
      </c>
    </row>
    <row r="23" customFormat="false" ht="12.8" hidden="false" customHeight="false" outlineLevel="0" collapsed="false">
      <c r="A23" s="0" t="s">
        <v>955</v>
      </c>
      <c r="B23" s="0" t="s">
        <v>956</v>
      </c>
      <c r="C23" s="0" t="n">
        <v>2381000</v>
      </c>
      <c r="D23" s="0" t="s">
        <v>957</v>
      </c>
      <c r="E23" s="0" t="s">
        <v>857</v>
      </c>
      <c r="F23" s="0" t="s">
        <v>858</v>
      </c>
      <c r="G23" s="30" t="s">
        <v>859</v>
      </c>
      <c r="H23" s="0" t="s">
        <v>958</v>
      </c>
      <c r="I23" s="0" t="s">
        <v>130</v>
      </c>
    </row>
    <row r="24" customFormat="false" ht="12.8" hidden="false" customHeight="false" outlineLevel="0" collapsed="false">
      <c r="A24" s="0" t="s">
        <v>959</v>
      </c>
      <c r="B24" s="0" t="s">
        <v>960</v>
      </c>
      <c r="C24" s="0" t="n">
        <v>0.05</v>
      </c>
      <c r="D24" s="0" t="s">
        <v>961</v>
      </c>
      <c r="E24" s="0" t="s">
        <v>857</v>
      </c>
      <c r="F24" s="0" t="s">
        <v>962</v>
      </c>
      <c r="G24" s="30" t="s">
        <v>859</v>
      </c>
      <c r="H24" s="0" t="s">
        <v>962</v>
      </c>
      <c r="I24" s="0" t="s">
        <v>861</v>
      </c>
    </row>
    <row r="25" customFormat="false" ht="12.8" hidden="false" customHeight="false" outlineLevel="0" collapsed="false">
      <c r="A25" s="0" t="s">
        <v>963</v>
      </c>
      <c r="B25" s="0" t="s">
        <v>964</v>
      </c>
      <c r="C25" s="0" t="s">
        <v>965</v>
      </c>
      <c r="D25" s="0" t="s">
        <v>966</v>
      </c>
      <c r="E25" s="0" t="s">
        <v>857</v>
      </c>
      <c r="F25" s="0" t="s">
        <v>942</v>
      </c>
      <c r="G25" s="30" t="s">
        <v>859</v>
      </c>
      <c r="H25" s="0" t="s">
        <v>929</v>
      </c>
      <c r="I25" s="0" t="s">
        <v>861</v>
      </c>
    </row>
    <row r="26" customFormat="false" ht="12.8" hidden="false" customHeight="false" outlineLevel="0" collapsed="false">
      <c r="A26" s="0" t="s">
        <v>967</v>
      </c>
      <c r="B26" s="0" t="s">
        <v>968</v>
      </c>
      <c r="C26" s="0" t="s">
        <v>969</v>
      </c>
      <c r="D26" s="0" t="s">
        <v>970</v>
      </c>
      <c r="E26" s="0" t="s">
        <v>857</v>
      </c>
      <c r="F26" s="0" t="s">
        <v>971</v>
      </c>
      <c r="G26" s="30" t="s">
        <v>859</v>
      </c>
      <c r="H26" s="0" t="s">
        <v>962</v>
      </c>
      <c r="I26" s="0" t="s">
        <v>861</v>
      </c>
    </row>
    <row r="27" customFormat="false" ht="12.8" hidden="false" customHeight="false" outlineLevel="0" collapsed="false">
      <c r="A27" s="0" t="s">
        <v>972</v>
      </c>
      <c r="B27" s="0" t="s">
        <v>973</v>
      </c>
      <c r="C27" s="0" t="s">
        <v>974</v>
      </c>
      <c r="D27" s="0" t="s">
        <v>975</v>
      </c>
      <c r="E27" s="0" t="s">
        <v>857</v>
      </c>
      <c r="F27" s="0" t="s">
        <v>976</v>
      </c>
      <c r="G27" s="30" t="s">
        <v>859</v>
      </c>
      <c r="H27" s="0" t="s">
        <v>962</v>
      </c>
      <c r="I27" s="0" t="s">
        <v>861</v>
      </c>
    </row>
    <row r="28" customFormat="false" ht="12.8" hidden="false" customHeight="false" outlineLevel="0" collapsed="false">
      <c r="A28" s="0" t="s">
        <v>977</v>
      </c>
      <c r="B28" s="0" t="s">
        <v>978</v>
      </c>
      <c r="C28" s="0" t="s">
        <v>979</v>
      </c>
      <c r="D28" s="0" t="s">
        <v>980</v>
      </c>
      <c r="E28" s="0" t="s">
        <v>857</v>
      </c>
      <c r="F28" s="0" t="s">
        <v>942</v>
      </c>
      <c r="G28" s="30" t="s">
        <v>859</v>
      </c>
      <c r="H28" s="0" t="s">
        <v>962</v>
      </c>
      <c r="I28" s="0" t="s">
        <v>861</v>
      </c>
    </row>
    <row r="29" customFormat="false" ht="12.8" hidden="false" customHeight="false" outlineLevel="0" collapsed="false">
      <c r="A29" s="0" t="s">
        <v>981</v>
      </c>
      <c r="B29" s="0" t="s">
        <v>982</v>
      </c>
      <c r="C29" s="0" t="s">
        <v>983</v>
      </c>
      <c r="D29" s="0" t="s">
        <v>984</v>
      </c>
      <c r="E29" s="0" t="s">
        <v>857</v>
      </c>
      <c r="F29" s="0" t="s">
        <v>985</v>
      </c>
      <c r="G29" s="30" t="s">
        <v>859</v>
      </c>
      <c r="H29" s="0" t="s">
        <v>986</v>
      </c>
      <c r="I29" s="0" t="s">
        <v>987</v>
      </c>
    </row>
    <row r="30" customFormat="false" ht="12.8" hidden="false" customHeight="false" outlineLevel="0" collapsed="false">
      <c r="A30" s="0" t="s">
        <v>988</v>
      </c>
      <c r="B30" s="0" t="s">
        <v>989</v>
      </c>
      <c r="C30" s="0" t="s">
        <v>990</v>
      </c>
      <c r="D30" s="0" t="s">
        <v>991</v>
      </c>
      <c r="E30" s="0" t="s">
        <v>857</v>
      </c>
      <c r="F30" s="0" t="s">
        <v>976</v>
      </c>
      <c r="G30" s="30" t="s">
        <v>859</v>
      </c>
      <c r="H30" s="0" t="s">
        <v>992</v>
      </c>
      <c r="I30" s="0" t="s">
        <v>136</v>
      </c>
    </row>
    <row r="31" customFormat="false" ht="12.8" hidden="false" customHeight="false" outlineLevel="0" collapsed="false">
      <c r="A31" s="0" t="s">
        <v>993</v>
      </c>
      <c r="B31" s="0" t="s">
        <v>994</v>
      </c>
      <c r="C31" s="0" t="s">
        <v>995</v>
      </c>
      <c r="D31" s="0" t="s">
        <v>996</v>
      </c>
      <c r="E31" s="0" t="s">
        <v>857</v>
      </c>
      <c r="F31" s="0" t="s">
        <v>997</v>
      </c>
      <c r="G31" s="30" t="s">
        <v>859</v>
      </c>
      <c r="H31" s="0" t="s">
        <v>997</v>
      </c>
      <c r="I31" s="0" t="s">
        <v>139</v>
      </c>
    </row>
    <row r="32" customFormat="false" ht="12.8" hidden="false" customHeight="false" outlineLevel="0" collapsed="false">
      <c r="A32" s="0" t="s">
        <v>998</v>
      </c>
      <c r="B32" s="0" t="s">
        <v>999</v>
      </c>
      <c r="C32" s="0" t="n">
        <v>1.08</v>
      </c>
      <c r="D32" s="0" t="s">
        <v>1000</v>
      </c>
      <c r="E32" s="0" t="s">
        <v>857</v>
      </c>
      <c r="F32" s="0" t="s">
        <v>1001</v>
      </c>
      <c r="G32" s="30" t="s">
        <v>859</v>
      </c>
      <c r="H32" s="0" t="s">
        <v>1001</v>
      </c>
      <c r="I32" s="0" t="s">
        <v>139</v>
      </c>
    </row>
    <row r="33" customFormat="false" ht="12.8" hidden="false" customHeight="false" outlineLevel="0" collapsed="false">
      <c r="A33" s="0" t="s">
        <v>1002</v>
      </c>
      <c r="B33" s="0" t="s">
        <v>1003</v>
      </c>
      <c r="C33" s="0" t="s">
        <v>1004</v>
      </c>
      <c r="D33" s="0" t="s">
        <v>1005</v>
      </c>
      <c r="E33" s="0" t="s">
        <v>857</v>
      </c>
      <c r="F33" s="0" t="s">
        <v>1001</v>
      </c>
      <c r="G33" s="30" t="s">
        <v>859</v>
      </c>
      <c r="H33" s="0" t="s">
        <v>1001</v>
      </c>
      <c r="I33" s="0" t="s">
        <v>139</v>
      </c>
    </row>
    <row r="34" customFormat="false" ht="12.8" hidden="false" customHeight="false" outlineLevel="0" collapsed="false">
      <c r="A34" s="0" t="s">
        <v>1006</v>
      </c>
      <c r="B34" s="0" t="s">
        <v>1007</v>
      </c>
      <c r="C34" s="0" t="s">
        <v>1008</v>
      </c>
      <c r="D34" s="0" t="s">
        <v>1009</v>
      </c>
      <c r="E34" s="0" t="s">
        <v>857</v>
      </c>
      <c r="F34" s="0" t="s">
        <v>1001</v>
      </c>
      <c r="G34" s="30" t="s">
        <v>859</v>
      </c>
      <c r="H34" s="0" t="s">
        <v>1001</v>
      </c>
      <c r="I34" s="0" t="s">
        <v>139</v>
      </c>
    </row>
    <row r="35" customFormat="false" ht="12.8" hidden="false" customHeight="false" outlineLevel="0" collapsed="false">
      <c r="A35" s="0" t="s">
        <v>1010</v>
      </c>
      <c r="B35" s="0" t="s">
        <v>1011</v>
      </c>
      <c r="C35" s="0" t="n">
        <v>2317000</v>
      </c>
      <c r="D35" s="0" t="s">
        <v>1012</v>
      </c>
      <c r="E35" s="0" t="s">
        <v>857</v>
      </c>
      <c r="F35" s="0" t="s">
        <v>858</v>
      </c>
      <c r="G35" s="30" t="s">
        <v>859</v>
      </c>
      <c r="H35" s="0" t="s">
        <v>1013</v>
      </c>
      <c r="I35" s="0" t="s">
        <v>166</v>
      </c>
    </row>
    <row r="36" customFormat="false" ht="12.8" hidden="false" customHeight="false" outlineLevel="0" collapsed="false">
      <c r="A36" s="0" t="s">
        <v>1014</v>
      </c>
      <c r="B36" s="0" t="s">
        <v>1015</v>
      </c>
      <c r="C36" s="0" t="n">
        <v>64000</v>
      </c>
      <c r="D36" s="0" t="s">
        <v>1016</v>
      </c>
      <c r="E36" s="0" t="s">
        <v>857</v>
      </c>
      <c r="F36" s="0" t="s">
        <v>858</v>
      </c>
      <c r="G36" s="30" t="s">
        <v>859</v>
      </c>
      <c r="H36" s="0" t="s">
        <v>1013</v>
      </c>
      <c r="I36" s="0" t="s">
        <v>1017</v>
      </c>
    </row>
    <row r="37" customFormat="false" ht="12.8" hidden="false" customHeight="false" outlineLevel="0" collapsed="false">
      <c r="A37" s="0" t="s">
        <v>1018</v>
      </c>
      <c r="B37" s="0" t="s">
        <v>1019</v>
      </c>
      <c r="C37" s="0" t="n">
        <v>0.577</v>
      </c>
      <c r="D37" s="0" t="s">
        <v>1020</v>
      </c>
      <c r="E37" s="0" t="s">
        <v>857</v>
      </c>
      <c r="F37" s="0" t="s">
        <v>858</v>
      </c>
      <c r="G37" s="30" t="s">
        <v>859</v>
      </c>
      <c r="H37" s="0" t="s">
        <v>1013</v>
      </c>
      <c r="I37" s="0" t="s">
        <v>136</v>
      </c>
    </row>
    <row r="38" customFormat="false" ht="12.8" hidden="false" customHeight="false" outlineLevel="0" collapsed="false">
      <c r="A38" s="0" t="s">
        <v>1021</v>
      </c>
      <c r="B38" s="0" t="s">
        <v>1022</v>
      </c>
      <c r="C38" s="0" t="n">
        <v>0.561</v>
      </c>
      <c r="D38" s="0" t="s">
        <v>1023</v>
      </c>
      <c r="E38" s="0" t="s">
        <v>857</v>
      </c>
      <c r="F38" s="0" t="s">
        <v>858</v>
      </c>
      <c r="G38" s="30" t="s">
        <v>859</v>
      </c>
      <c r="H38" s="0" t="s">
        <v>1013</v>
      </c>
      <c r="I38" s="0" t="s">
        <v>133</v>
      </c>
    </row>
    <row r="39" customFormat="false" ht="12.8" hidden="false" customHeight="false" outlineLevel="0" collapsed="false">
      <c r="A39" s="0" t="s">
        <v>1024</v>
      </c>
      <c r="B39" s="0" t="s">
        <v>1025</v>
      </c>
      <c r="C39" s="0" t="n">
        <v>0.027</v>
      </c>
      <c r="D39" s="0" t="s">
        <v>1026</v>
      </c>
      <c r="E39" s="0" t="s">
        <v>857</v>
      </c>
      <c r="F39" s="0" t="s">
        <v>858</v>
      </c>
      <c r="G39" s="30" t="s">
        <v>859</v>
      </c>
      <c r="H39" s="0" t="s">
        <v>1013</v>
      </c>
      <c r="I39" s="0" t="s">
        <v>139</v>
      </c>
    </row>
    <row r="40" customFormat="false" ht="12.8" hidden="false" customHeight="false" outlineLevel="0" collapsed="false">
      <c r="A40" s="0" t="s">
        <v>1027</v>
      </c>
      <c r="B40" s="0" t="s">
        <v>1028</v>
      </c>
      <c r="C40" s="0" t="n">
        <v>148000</v>
      </c>
      <c r="D40" s="0" t="s">
        <v>1029</v>
      </c>
      <c r="E40" s="0" t="s">
        <v>857</v>
      </c>
      <c r="F40" s="0" t="s">
        <v>1030</v>
      </c>
      <c r="G40" s="30" t="s">
        <v>859</v>
      </c>
      <c r="H40" s="0" t="s">
        <v>1031</v>
      </c>
      <c r="I40" s="0" t="s">
        <v>1032</v>
      </c>
    </row>
    <row r="41" customFormat="false" ht="12.8" hidden="false" customHeight="false" outlineLevel="0" collapsed="false">
      <c r="A41" s="0" t="s">
        <v>1033</v>
      </c>
      <c r="B41" s="0" t="s">
        <v>1034</v>
      </c>
      <c r="C41" s="0" t="s">
        <v>1035</v>
      </c>
      <c r="D41" s="0" t="s">
        <v>1036</v>
      </c>
      <c r="E41" s="0" t="s">
        <v>857</v>
      </c>
      <c r="F41" s="0" t="s">
        <v>1037</v>
      </c>
      <c r="G41" s="30" t="s">
        <v>859</v>
      </c>
      <c r="H41" s="0" t="s">
        <v>1038</v>
      </c>
      <c r="I41" s="0" t="s">
        <v>1039</v>
      </c>
    </row>
    <row r="42" customFormat="false" ht="12.8" hidden="false" customHeight="false" outlineLevel="0" collapsed="false">
      <c r="A42" s="0" t="s">
        <v>1040</v>
      </c>
      <c r="B42" s="0" t="s">
        <v>1041</v>
      </c>
      <c r="C42" s="0" t="s">
        <v>1042</v>
      </c>
      <c r="D42" s="0" t="s">
        <v>1043</v>
      </c>
      <c r="E42" s="0" t="s">
        <v>857</v>
      </c>
      <c r="F42" s="0" t="s">
        <v>1044</v>
      </c>
      <c r="G42" s="30" t="s">
        <v>859</v>
      </c>
      <c r="H42" s="0" t="s">
        <v>1038</v>
      </c>
      <c r="I42" s="0" t="s">
        <v>1039</v>
      </c>
    </row>
    <row r="44" customFormat="false" ht="12.8" hidden="false" customHeight="false" outlineLevel="0" collapsed="false">
      <c r="A44" s="28" t="str">
        <f aca="false">_xlfn.CONCAT($A$1, ".", "LFP")</f>
        <v>LSD.RID.0.AL.PARAM.LFP</v>
      </c>
      <c r="B44" s="0" t="s">
        <v>1045</v>
      </c>
      <c r="D44" s="0"/>
    </row>
    <row r="45" customFormat="false" ht="12.8" hidden="false" customHeight="false" outlineLevel="0" collapsed="false">
      <c r="A45" s="0" t="s">
        <v>848</v>
      </c>
      <c r="B45" s="0" t="s">
        <v>283</v>
      </c>
      <c r="C45" s="0" t="s">
        <v>849</v>
      </c>
      <c r="D45" s="0" t="s">
        <v>286</v>
      </c>
      <c r="E45" s="0" t="s">
        <v>850</v>
      </c>
      <c r="F45" s="0" t="s">
        <v>851</v>
      </c>
      <c r="G45" s="0" t="s">
        <v>852</v>
      </c>
      <c r="H45" s="0" t="s">
        <v>287</v>
      </c>
      <c r="I45" s="0" t="s">
        <v>853</v>
      </c>
    </row>
    <row r="46" customFormat="false" ht="12.8" hidden="false" customHeight="false" outlineLevel="0" collapsed="false">
      <c r="A46" s="0" t="s">
        <v>1046</v>
      </c>
      <c r="B46" s="0" t="s">
        <v>1047</v>
      </c>
      <c r="C46" s="0" t="s">
        <v>1048</v>
      </c>
      <c r="D46" s="0" t="s">
        <v>1049</v>
      </c>
      <c r="E46" s="0" t="s">
        <v>857</v>
      </c>
      <c r="F46" s="0" t="s">
        <v>1050</v>
      </c>
      <c r="G46" s="30" t="s">
        <v>859</v>
      </c>
      <c r="H46" s="0" t="s">
        <v>1051</v>
      </c>
      <c r="I46" s="0" t="s">
        <v>130</v>
      </c>
    </row>
    <row r="47" customFormat="false" ht="12.8" hidden="false" customHeight="false" outlineLevel="0" collapsed="false">
      <c r="A47" s="0" t="s">
        <v>1052</v>
      </c>
      <c r="B47" s="0" t="s">
        <v>1053</v>
      </c>
      <c r="C47" s="0" t="s">
        <v>1054</v>
      </c>
      <c r="D47" s="0" t="s">
        <v>1055</v>
      </c>
      <c r="E47" s="0" t="s">
        <v>857</v>
      </c>
      <c r="F47" s="0" t="s">
        <v>1050</v>
      </c>
      <c r="G47" s="30" t="s">
        <v>859</v>
      </c>
      <c r="H47" s="0" t="s">
        <v>366</v>
      </c>
      <c r="I47" s="0" t="s">
        <v>130</v>
      </c>
    </row>
    <row r="48" customFormat="false" ht="12.8" hidden="false" customHeight="false" outlineLevel="0" collapsed="false">
      <c r="A48" s="0" t="s">
        <v>1056</v>
      </c>
      <c r="B48" s="0" t="s">
        <v>1057</v>
      </c>
      <c r="C48" s="0" t="s">
        <v>1058</v>
      </c>
      <c r="D48" s="0" t="s">
        <v>1059</v>
      </c>
      <c r="E48" s="0" t="s">
        <v>857</v>
      </c>
      <c r="F48" s="0" t="s">
        <v>1060</v>
      </c>
      <c r="G48" s="30" t="s">
        <v>859</v>
      </c>
      <c r="H48" s="0" t="s">
        <v>366</v>
      </c>
      <c r="I48" s="0" t="s">
        <v>130</v>
      </c>
    </row>
    <row r="49" customFormat="false" ht="12.8" hidden="false" customHeight="false" outlineLevel="0" collapsed="false">
      <c r="A49" s="0" t="s">
        <v>1061</v>
      </c>
      <c r="B49" s="0" t="s">
        <v>1062</v>
      </c>
      <c r="C49" s="0" t="n">
        <v>4</v>
      </c>
      <c r="D49" s="0" t="s">
        <v>1063</v>
      </c>
      <c r="E49" s="0" t="s">
        <v>857</v>
      </c>
      <c r="F49" s="0" t="s">
        <v>1064</v>
      </c>
      <c r="G49" s="30" t="s">
        <v>859</v>
      </c>
      <c r="H49" s="0" t="s">
        <v>366</v>
      </c>
      <c r="I49" s="0" t="s">
        <v>130</v>
      </c>
    </row>
    <row r="50" customFormat="false" ht="12.8" hidden="false" customHeight="false" outlineLevel="0" collapsed="false">
      <c r="A50" s="0" t="s">
        <v>1065</v>
      </c>
      <c r="B50" s="0" t="s">
        <v>1066</v>
      </c>
      <c r="C50" s="0" t="n">
        <v>0.015</v>
      </c>
      <c r="D50" s="0" t="s">
        <v>1067</v>
      </c>
      <c r="E50" s="0" t="s">
        <v>857</v>
      </c>
      <c r="F50" s="0" t="s">
        <v>942</v>
      </c>
      <c r="G50" s="30" t="s">
        <v>859</v>
      </c>
      <c r="H50" s="0" t="s">
        <v>366</v>
      </c>
      <c r="I50" s="0" t="s">
        <v>130</v>
      </c>
    </row>
    <row r="51" customFormat="false" ht="12.8" hidden="false" customHeight="false" outlineLevel="0" collapsed="false">
      <c r="A51" s="0" t="s">
        <v>1068</v>
      </c>
      <c r="B51" s="0" t="s">
        <v>1069</v>
      </c>
      <c r="C51" s="0" t="s">
        <v>1042</v>
      </c>
      <c r="D51" s="0" t="s">
        <v>1070</v>
      </c>
      <c r="E51" s="0" t="s">
        <v>857</v>
      </c>
      <c r="F51" s="0" t="s">
        <v>1071</v>
      </c>
      <c r="G51" s="30" t="s">
        <v>859</v>
      </c>
      <c r="H51" s="0" t="s">
        <v>1072</v>
      </c>
      <c r="I51" s="0" t="s">
        <v>130</v>
      </c>
    </row>
    <row r="52" customFormat="false" ht="12.8" hidden="false" customHeight="false" outlineLevel="0" collapsed="false">
      <c r="A52" s="0"/>
      <c r="B52" s="0"/>
      <c r="D52" s="0"/>
    </row>
    <row r="53" customFormat="false" ht="12.8" hidden="false" customHeight="false" outlineLevel="0" collapsed="false">
      <c r="A53" s="28" t="str">
        <f aca="false">_xlfn.CONCAT($A$1, ".", "ETPR")</f>
        <v>LSD.RID.0.AL.PARAM.ETPR</v>
      </c>
      <c r="B53" s="0" t="s">
        <v>1073</v>
      </c>
      <c r="D53" s="0"/>
    </row>
    <row r="54" customFormat="false" ht="12.8" hidden="false" customHeight="false" outlineLevel="0" collapsed="false">
      <c r="A54" s="0" t="s">
        <v>848</v>
      </c>
      <c r="B54" s="0" t="s">
        <v>283</v>
      </c>
      <c r="C54" s="0" t="s">
        <v>849</v>
      </c>
      <c r="D54" s="0" t="s">
        <v>286</v>
      </c>
      <c r="E54" s="0" t="s">
        <v>850</v>
      </c>
      <c r="F54" s="0" t="s">
        <v>851</v>
      </c>
      <c r="G54" s="0" t="s">
        <v>852</v>
      </c>
      <c r="H54" s="0" t="s">
        <v>287</v>
      </c>
      <c r="I54" s="0" t="s">
        <v>853</v>
      </c>
    </row>
    <row r="55" customFormat="false" ht="12.8" hidden="false" customHeight="false" outlineLevel="0" collapsed="false">
      <c r="A55" s="0" t="s">
        <v>1074</v>
      </c>
      <c r="B55" s="0" t="s">
        <v>1075</v>
      </c>
      <c r="C55" s="0" t="s">
        <v>1076</v>
      </c>
      <c r="D55" s="0" t="s">
        <v>1077</v>
      </c>
      <c r="E55" s="0" t="s">
        <v>857</v>
      </c>
      <c r="F55" s="0" t="s">
        <v>1078</v>
      </c>
      <c r="G55" s="30" t="s">
        <v>859</v>
      </c>
      <c r="H55" s="0" t="s">
        <v>366</v>
      </c>
      <c r="I55" s="0" t="s">
        <v>133</v>
      </c>
    </row>
    <row r="56" customFormat="false" ht="12.8" hidden="false" customHeight="false" outlineLevel="0" collapsed="false">
      <c r="A56" s="0" t="s">
        <v>1079</v>
      </c>
      <c r="B56" s="0" t="s">
        <v>1080</v>
      </c>
      <c r="C56" s="0" t="n">
        <v>0.62</v>
      </c>
      <c r="D56" s="0" t="s">
        <v>1081</v>
      </c>
      <c r="E56" s="0" t="s">
        <v>857</v>
      </c>
      <c r="F56" s="0" t="s">
        <v>1082</v>
      </c>
      <c r="G56" s="30" t="s">
        <v>859</v>
      </c>
      <c r="H56" s="0" t="s">
        <v>366</v>
      </c>
      <c r="I56" s="0" t="s">
        <v>133</v>
      </c>
    </row>
    <row r="57" customFormat="false" ht="12.8" hidden="false" customHeight="false" outlineLevel="0" collapsed="false">
      <c r="A57" s="0" t="s">
        <v>1083</v>
      </c>
      <c r="B57" s="0" t="s">
        <v>1084</v>
      </c>
      <c r="C57" s="0" t="n">
        <v>0.48</v>
      </c>
      <c r="D57" s="0" t="s">
        <v>1085</v>
      </c>
      <c r="E57" s="0" t="s">
        <v>857</v>
      </c>
      <c r="F57" s="0" t="s">
        <v>1082</v>
      </c>
      <c r="G57" s="30" t="s">
        <v>859</v>
      </c>
      <c r="H57" s="0" t="s">
        <v>366</v>
      </c>
      <c r="I57" s="0" t="s">
        <v>133</v>
      </c>
    </row>
    <row r="58" customFormat="false" ht="12.8" hidden="false" customHeight="false" outlineLevel="0" collapsed="false">
      <c r="A58" s="0" t="s">
        <v>1086</v>
      </c>
      <c r="B58" s="0" t="s">
        <v>1087</v>
      </c>
      <c r="C58" s="0" t="n">
        <v>0.61</v>
      </c>
      <c r="D58" s="0" t="s">
        <v>1088</v>
      </c>
      <c r="E58" s="0" t="s">
        <v>857</v>
      </c>
      <c r="F58" s="0" t="s">
        <v>1082</v>
      </c>
      <c r="G58" s="30" t="s">
        <v>859</v>
      </c>
      <c r="H58" s="0" t="s">
        <v>366</v>
      </c>
      <c r="I58" s="0" t="s">
        <v>133</v>
      </c>
    </row>
    <row r="59" customFormat="false" ht="12.8" hidden="false" customHeight="false" outlineLevel="0" collapsed="false">
      <c r="A59" s="0" t="s">
        <v>1089</v>
      </c>
      <c r="B59" s="0" t="s">
        <v>1090</v>
      </c>
      <c r="C59" s="0" t="s">
        <v>1048</v>
      </c>
      <c r="D59" s="0" t="s">
        <v>1091</v>
      </c>
      <c r="E59" s="0" t="s">
        <v>857</v>
      </c>
      <c r="F59" s="0" t="s">
        <v>1050</v>
      </c>
      <c r="G59" s="30" t="s">
        <v>859</v>
      </c>
      <c r="H59" s="0" t="s">
        <v>1051</v>
      </c>
      <c r="I59" s="0" t="s">
        <v>133</v>
      </c>
    </row>
    <row r="60" customFormat="false" ht="12.8" hidden="false" customHeight="false" outlineLevel="0" collapsed="false">
      <c r="A60" s="0" t="s">
        <v>1092</v>
      </c>
      <c r="B60" s="0" t="s">
        <v>1093</v>
      </c>
      <c r="C60" s="0" t="s">
        <v>1054</v>
      </c>
      <c r="D60" s="0" t="s">
        <v>1094</v>
      </c>
      <c r="E60" s="0" t="s">
        <v>857</v>
      </c>
      <c r="F60" s="0" t="s">
        <v>1050</v>
      </c>
      <c r="G60" s="30" t="s">
        <v>859</v>
      </c>
      <c r="H60" s="0" t="s">
        <v>366</v>
      </c>
      <c r="I60" s="0" t="s">
        <v>133</v>
      </c>
    </row>
    <row r="61" customFormat="false" ht="12.8" hidden="false" customHeight="false" outlineLevel="0" collapsed="false">
      <c r="A61" s="0" t="s">
        <v>1095</v>
      </c>
      <c r="B61" s="0" t="s">
        <v>1096</v>
      </c>
      <c r="C61" s="0" t="s">
        <v>1058</v>
      </c>
      <c r="D61" s="0" t="s">
        <v>1097</v>
      </c>
      <c r="E61" s="0" t="s">
        <v>857</v>
      </c>
      <c r="F61" s="0" t="s">
        <v>1060</v>
      </c>
      <c r="G61" s="30" t="s">
        <v>859</v>
      </c>
      <c r="H61" s="0" t="s">
        <v>366</v>
      </c>
      <c r="I61" s="0" t="s">
        <v>133</v>
      </c>
    </row>
    <row r="62" customFormat="false" ht="12.8" hidden="false" customHeight="false" outlineLevel="0" collapsed="false">
      <c r="A62" s="0" t="s">
        <v>1098</v>
      </c>
      <c r="B62" s="0" t="s">
        <v>1099</v>
      </c>
      <c r="C62" s="0" t="n">
        <v>4</v>
      </c>
      <c r="D62" s="0" t="s">
        <v>1100</v>
      </c>
      <c r="E62" s="0" t="s">
        <v>857</v>
      </c>
      <c r="F62" s="0" t="s">
        <v>1064</v>
      </c>
      <c r="G62" s="30" t="s">
        <v>859</v>
      </c>
      <c r="H62" s="0" t="s">
        <v>366</v>
      </c>
      <c r="I62" s="0" t="s">
        <v>133</v>
      </c>
    </row>
    <row r="63" customFormat="false" ht="12.8" hidden="false" customHeight="false" outlineLevel="0" collapsed="false">
      <c r="A63" s="0" t="s">
        <v>1101</v>
      </c>
      <c r="B63" s="0" t="s">
        <v>1102</v>
      </c>
      <c r="C63" s="0" t="n">
        <v>0.015</v>
      </c>
      <c r="D63" s="0" t="s">
        <v>1103</v>
      </c>
      <c r="E63" s="0" t="s">
        <v>857</v>
      </c>
      <c r="F63" s="0" t="s">
        <v>942</v>
      </c>
      <c r="G63" s="30" t="s">
        <v>859</v>
      </c>
      <c r="H63" s="0" t="s">
        <v>366</v>
      </c>
      <c r="I63" s="0" t="s">
        <v>133</v>
      </c>
    </row>
    <row r="64" customFormat="false" ht="12.8" hidden="false" customHeight="false" outlineLevel="0" collapsed="false">
      <c r="A64" s="0" t="s">
        <v>1104</v>
      </c>
      <c r="B64" s="0" t="s">
        <v>1105</v>
      </c>
      <c r="C64" s="0" t="s">
        <v>1042</v>
      </c>
      <c r="D64" s="0" t="s">
        <v>1106</v>
      </c>
      <c r="E64" s="0" t="s">
        <v>857</v>
      </c>
      <c r="F64" s="0" t="s">
        <v>1071</v>
      </c>
      <c r="G64" s="30" t="s">
        <v>859</v>
      </c>
      <c r="H64" s="0" t="s">
        <v>1072</v>
      </c>
      <c r="I64" s="0" t="s">
        <v>133</v>
      </c>
    </row>
    <row r="65" customFormat="false" ht="12.8" hidden="false" customHeight="false" outlineLevel="0" collapsed="false">
      <c r="A65" s="0"/>
      <c r="B65" s="0"/>
      <c r="D65" s="0"/>
    </row>
    <row r="66" customFormat="false" ht="12.8" hidden="false" customHeight="false" outlineLevel="0" collapsed="false">
      <c r="A66" s="28" t="str">
        <f aca="false">_xlfn.CONCAT($A$1, ".", "LFPR")</f>
        <v>LSD.RID.0.AL.PARAM.LFPR</v>
      </c>
      <c r="B66" s="0" t="s">
        <v>1107</v>
      </c>
      <c r="D66" s="0"/>
    </row>
    <row r="67" customFormat="false" ht="12.8" hidden="false" customHeight="false" outlineLevel="0" collapsed="false">
      <c r="A67" s="0" t="s">
        <v>848</v>
      </c>
      <c r="B67" s="0" t="s">
        <v>283</v>
      </c>
      <c r="C67" s="0" t="s">
        <v>849</v>
      </c>
      <c r="D67" s="0" t="s">
        <v>286</v>
      </c>
      <c r="E67" s="0" t="s">
        <v>850</v>
      </c>
      <c r="F67" s="0" t="s">
        <v>851</v>
      </c>
      <c r="G67" s="0" t="s">
        <v>852</v>
      </c>
      <c r="H67" s="0" t="s">
        <v>287</v>
      </c>
      <c r="I67" s="0" t="s">
        <v>853</v>
      </c>
    </row>
    <row r="68" customFormat="false" ht="12.8" hidden="false" customHeight="false" outlineLevel="0" collapsed="false">
      <c r="A68" s="0" t="s">
        <v>1108</v>
      </c>
      <c r="B68" s="0" t="s">
        <v>1109</v>
      </c>
      <c r="C68" s="0" t="s">
        <v>990</v>
      </c>
      <c r="D68" s="0" t="s">
        <v>1110</v>
      </c>
      <c r="E68" s="0" t="s">
        <v>857</v>
      </c>
      <c r="F68" s="0" t="s">
        <v>1111</v>
      </c>
      <c r="G68" s="30" t="s">
        <v>859</v>
      </c>
      <c r="H68" s="0" t="s">
        <v>366</v>
      </c>
      <c r="I68" s="0" t="s">
        <v>136</v>
      </c>
    </row>
    <row r="69" customFormat="false" ht="12.8" hidden="false" customHeight="false" outlineLevel="0" collapsed="false">
      <c r="A69" s="0" t="s">
        <v>1112</v>
      </c>
      <c r="B69" s="0" t="s">
        <v>1113</v>
      </c>
      <c r="C69" s="0" t="n">
        <v>0.64</v>
      </c>
      <c r="D69" s="0" t="s">
        <v>1114</v>
      </c>
      <c r="E69" s="0" t="s">
        <v>857</v>
      </c>
      <c r="F69" s="0" t="s">
        <v>1115</v>
      </c>
      <c r="G69" s="30" t="s">
        <v>859</v>
      </c>
      <c r="H69" s="0" t="s">
        <v>366</v>
      </c>
      <c r="I69" s="0" t="s">
        <v>136</v>
      </c>
    </row>
    <row r="70" customFormat="false" ht="12.8" hidden="false" customHeight="false" outlineLevel="0" collapsed="false">
      <c r="A70" s="0" t="s">
        <v>1116</v>
      </c>
      <c r="B70" s="0" t="s">
        <v>1117</v>
      </c>
      <c r="C70" s="0" t="n">
        <v>0.52</v>
      </c>
      <c r="D70" s="0" t="s">
        <v>1118</v>
      </c>
      <c r="E70" s="0" t="s">
        <v>857</v>
      </c>
      <c r="F70" s="0" t="s">
        <v>1115</v>
      </c>
      <c r="G70" s="30" t="s">
        <v>859</v>
      </c>
      <c r="H70" s="0" t="s">
        <v>366</v>
      </c>
      <c r="I70" s="0" t="s">
        <v>136</v>
      </c>
    </row>
    <row r="71" customFormat="false" ht="12.8" hidden="false" customHeight="false" outlineLevel="0" collapsed="false">
      <c r="A71" s="0" t="s">
        <v>1119</v>
      </c>
      <c r="B71" s="0" t="s">
        <v>1120</v>
      </c>
      <c r="C71" s="0" t="n">
        <v>0.63</v>
      </c>
      <c r="D71" s="0" t="s">
        <v>1121</v>
      </c>
      <c r="E71" s="0" t="s">
        <v>857</v>
      </c>
      <c r="F71" s="0" t="s">
        <v>1115</v>
      </c>
      <c r="G71" s="30" t="s">
        <v>859</v>
      </c>
      <c r="H71" s="0" t="s">
        <v>366</v>
      </c>
      <c r="I71" s="0" t="s">
        <v>136</v>
      </c>
    </row>
    <row r="72" customFormat="false" ht="12.8" hidden="false" customHeight="false" outlineLevel="0" collapsed="false">
      <c r="A72" s="0" t="s">
        <v>1122</v>
      </c>
      <c r="B72" s="0" t="s">
        <v>1123</v>
      </c>
      <c r="C72" s="0" t="s">
        <v>1048</v>
      </c>
      <c r="D72" s="0" t="s">
        <v>1124</v>
      </c>
      <c r="E72" s="0" t="s">
        <v>857</v>
      </c>
      <c r="F72" s="0" t="s">
        <v>1050</v>
      </c>
      <c r="G72" s="30" t="s">
        <v>859</v>
      </c>
      <c r="H72" s="0" t="s">
        <v>1051</v>
      </c>
      <c r="I72" s="0" t="s">
        <v>136</v>
      </c>
    </row>
    <row r="73" customFormat="false" ht="12.8" hidden="false" customHeight="false" outlineLevel="0" collapsed="false">
      <c r="A73" s="0" t="s">
        <v>1125</v>
      </c>
      <c r="B73" s="0" t="s">
        <v>1126</v>
      </c>
      <c r="C73" s="0" t="s">
        <v>1054</v>
      </c>
      <c r="D73" s="0" t="s">
        <v>1127</v>
      </c>
      <c r="E73" s="0" t="s">
        <v>857</v>
      </c>
      <c r="F73" s="0" t="s">
        <v>1050</v>
      </c>
      <c r="G73" s="30" t="s">
        <v>859</v>
      </c>
      <c r="H73" s="0" t="s">
        <v>366</v>
      </c>
      <c r="I73" s="0" t="s">
        <v>136</v>
      </c>
    </row>
    <row r="74" customFormat="false" ht="12.8" hidden="false" customHeight="false" outlineLevel="0" collapsed="false">
      <c r="A74" s="0" t="s">
        <v>1128</v>
      </c>
      <c r="B74" s="0" t="s">
        <v>1129</v>
      </c>
      <c r="C74" s="0" t="s">
        <v>1058</v>
      </c>
      <c r="D74" s="0" t="s">
        <v>1130</v>
      </c>
      <c r="E74" s="0" t="s">
        <v>857</v>
      </c>
      <c r="F74" s="0" t="s">
        <v>1060</v>
      </c>
      <c r="G74" s="30" t="s">
        <v>859</v>
      </c>
      <c r="H74" s="0" t="s">
        <v>366</v>
      </c>
      <c r="I74" s="0" t="s">
        <v>136</v>
      </c>
    </row>
    <row r="75" customFormat="false" ht="12.8" hidden="false" customHeight="false" outlineLevel="0" collapsed="false">
      <c r="A75" s="0" t="s">
        <v>1131</v>
      </c>
      <c r="B75" s="0" t="s">
        <v>1132</v>
      </c>
      <c r="C75" s="0" t="n">
        <v>4</v>
      </c>
      <c r="D75" s="0" t="s">
        <v>1133</v>
      </c>
      <c r="E75" s="0" t="s">
        <v>857</v>
      </c>
      <c r="F75" s="0" t="s">
        <v>1064</v>
      </c>
      <c r="G75" s="30" t="s">
        <v>859</v>
      </c>
      <c r="H75" s="0" t="s">
        <v>366</v>
      </c>
      <c r="I75" s="0" t="s">
        <v>136</v>
      </c>
    </row>
    <row r="76" customFormat="false" ht="12.8" hidden="false" customHeight="false" outlineLevel="0" collapsed="false">
      <c r="A76" s="0" t="s">
        <v>1134</v>
      </c>
      <c r="B76" s="0" t="s">
        <v>1135</v>
      </c>
      <c r="C76" s="0" t="n">
        <v>0.015</v>
      </c>
      <c r="D76" s="0" t="s">
        <v>1136</v>
      </c>
      <c r="E76" s="0" t="s">
        <v>857</v>
      </c>
      <c r="F76" s="0" t="s">
        <v>942</v>
      </c>
      <c r="G76" s="30" t="s">
        <v>859</v>
      </c>
      <c r="H76" s="0" t="s">
        <v>366</v>
      </c>
      <c r="I76" s="0" t="s">
        <v>136</v>
      </c>
    </row>
    <row r="77" customFormat="false" ht="12.8" hidden="false" customHeight="false" outlineLevel="0" collapsed="false">
      <c r="A77" s="0" t="s">
        <v>1137</v>
      </c>
      <c r="B77" s="0" t="s">
        <v>1138</v>
      </c>
      <c r="C77" s="0" t="s">
        <v>1042</v>
      </c>
      <c r="D77" s="0" t="s">
        <v>1139</v>
      </c>
      <c r="E77" s="0" t="s">
        <v>857</v>
      </c>
      <c r="F77" s="0" t="s">
        <v>1071</v>
      </c>
      <c r="G77" s="30" t="s">
        <v>859</v>
      </c>
      <c r="H77" s="0" t="s">
        <v>1072</v>
      </c>
      <c r="I77" s="0" t="s">
        <v>136</v>
      </c>
    </row>
    <row r="78" customFormat="false" ht="12.8" hidden="false" customHeight="false" outlineLevel="0" collapsed="false">
      <c r="A78" s="0"/>
      <c r="B78" s="0"/>
      <c r="D78" s="0"/>
    </row>
    <row r="79" customFormat="false" ht="12.8" hidden="false" customHeight="false" outlineLevel="0" collapsed="false">
      <c r="A79" s="28" t="str">
        <f aca="false">_xlfn.CONCAT($A$1, ".", "TNPE")</f>
        <v>LSD.RID.0.AL.PARAM.TNPE</v>
      </c>
      <c r="B79" s="0" t="s">
        <v>1140</v>
      </c>
      <c r="D79" s="0"/>
    </row>
    <row r="80" customFormat="false" ht="12.8" hidden="false" customHeight="false" outlineLevel="0" collapsed="false">
      <c r="A80" s="0" t="s">
        <v>848</v>
      </c>
      <c r="B80" s="0" t="s">
        <v>283</v>
      </c>
      <c r="C80" s="0" t="s">
        <v>849</v>
      </c>
      <c r="D80" s="0" t="s">
        <v>286</v>
      </c>
      <c r="E80" s="0" t="s">
        <v>850</v>
      </c>
      <c r="F80" s="0" t="s">
        <v>851</v>
      </c>
      <c r="G80" s="0" t="s">
        <v>852</v>
      </c>
      <c r="H80" s="0" t="s">
        <v>287</v>
      </c>
      <c r="I80" s="0" t="s">
        <v>853</v>
      </c>
    </row>
    <row r="81" customFormat="false" ht="12.8" hidden="false" customHeight="false" outlineLevel="0" collapsed="false">
      <c r="A81" s="0" t="s">
        <v>1141</v>
      </c>
      <c r="B81" s="0" t="s">
        <v>1142</v>
      </c>
      <c r="C81" s="0" t="s">
        <v>1076</v>
      </c>
      <c r="D81" s="0" t="s">
        <v>1143</v>
      </c>
      <c r="E81" s="0" t="s">
        <v>857</v>
      </c>
      <c r="F81" s="0" t="s">
        <v>1144</v>
      </c>
      <c r="G81" s="30" t="s">
        <v>859</v>
      </c>
      <c r="H81" s="0" t="s">
        <v>366</v>
      </c>
      <c r="I81" s="0" t="s">
        <v>1145</v>
      </c>
    </row>
    <row r="82" customFormat="false" ht="12.8" hidden="false" customHeight="false" outlineLevel="0" collapsed="false">
      <c r="A82" s="0" t="s">
        <v>1146</v>
      </c>
      <c r="B82" s="0" t="s">
        <v>1147</v>
      </c>
      <c r="C82" s="0" t="n">
        <v>0.92</v>
      </c>
      <c r="D82" s="0" t="s">
        <v>1148</v>
      </c>
      <c r="E82" s="0" t="s">
        <v>857</v>
      </c>
      <c r="F82" s="0" t="s">
        <v>1149</v>
      </c>
      <c r="G82" s="30" t="s">
        <v>859</v>
      </c>
      <c r="H82" s="0" t="s">
        <v>366</v>
      </c>
      <c r="I82" s="0" t="s">
        <v>1145</v>
      </c>
    </row>
    <row r="83" customFormat="false" ht="12.8" hidden="false" customHeight="false" outlineLevel="0" collapsed="false">
      <c r="A83" s="0" t="s">
        <v>1150</v>
      </c>
      <c r="B83" s="0" t="s">
        <v>1151</v>
      </c>
      <c r="C83" s="0" t="n">
        <v>1.05</v>
      </c>
      <c r="D83" s="0" t="s">
        <v>1152</v>
      </c>
      <c r="E83" s="0" t="s">
        <v>857</v>
      </c>
      <c r="F83" s="0" t="s">
        <v>1149</v>
      </c>
      <c r="G83" s="30" t="s">
        <v>859</v>
      </c>
      <c r="H83" s="0" t="s">
        <v>366</v>
      </c>
      <c r="I83" s="0" t="s">
        <v>1145</v>
      </c>
    </row>
    <row r="84" customFormat="false" ht="12.8" hidden="false" customHeight="false" outlineLevel="0" collapsed="false">
      <c r="A84" s="0" t="s">
        <v>1153</v>
      </c>
      <c r="B84" s="0" t="s">
        <v>1154</v>
      </c>
      <c r="C84" s="0" t="n">
        <v>1</v>
      </c>
      <c r="D84" s="0" t="s">
        <v>1155</v>
      </c>
      <c r="E84" s="0" t="s">
        <v>857</v>
      </c>
      <c r="F84" s="0" t="s">
        <v>1156</v>
      </c>
      <c r="G84" s="30" t="s">
        <v>859</v>
      </c>
      <c r="H84" s="0" t="s">
        <v>366</v>
      </c>
      <c r="I84" s="0" t="s">
        <v>1145</v>
      </c>
    </row>
    <row r="85" customFormat="false" ht="12.8" hidden="false" customHeight="false" outlineLevel="0" collapsed="false">
      <c r="A85" s="0" t="s">
        <v>1157</v>
      </c>
      <c r="B85" s="0" t="s">
        <v>1158</v>
      </c>
      <c r="C85" s="0" t="n">
        <v>4</v>
      </c>
      <c r="D85" s="0" t="s">
        <v>1159</v>
      </c>
      <c r="E85" s="0" t="s">
        <v>857</v>
      </c>
      <c r="F85" s="0" t="s">
        <v>1064</v>
      </c>
      <c r="G85" s="30" t="s">
        <v>859</v>
      </c>
      <c r="H85" s="0" t="s">
        <v>366</v>
      </c>
      <c r="I85" s="0" t="s">
        <v>1145</v>
      </c>
    </row>
    <row r="86" customFormat="false" ht="12.8" hidden="false" customHeight="false" outlineLevel="0" collapsed="false">
      <c r="A86" s="0" t="s">
        <v>1160</v>
      </c>
      <c r="B86" s="0" t="s">
        <v>1161</v>
      </c>
      <c r="C86" s="0" t="n">
        <v>0.022</v>
      </c>
      <c r="D86" s="0" t="s">
        <v>1162</v>
      </c>
      <c r="E86" s="0" t="s">
        <v>857</v>
      </c>
      <c r="F86" s="0" t="s">
        <v>942</v>
      </c>
      <c r="G86" s="30" t="s">
        <v>859</v>
      </c>
      <c r="H86" s="0" t="s">
        <v>366</v>
      </c>
      <c r="I86" s="0" t="s">
        <v>1145</v>
      </c>
    </row>
    <row r="87" customFormat="false" ht="12.8" hidden="false" customHeight="false" outlineLevel="0" collapsed="false">
      <c r="A87" s="0" t="s">
        <v>1163</v>
      </c>
      <c r="B87" s="0" t="s">
        <v>1164</v>
      </c>
      <c r="C87" s="0" t="s">
        <v>1165</v>
      </c>
      <c r="D87" s="0" t="s">
        <v>1166</v>
      </c>
      <c r="E87" s="0" t="s">
        <v>857</v>
      </c>
      <c r="F87" s="0" t="s">
        <v>1050</v>
      </c>
      <c r="G87" s="30" t="s">
        <v>859</v>
      </c>
      <c r="H87" s="0" t="s">
        <v>1051</v>
      </c>
      <c r="I87" s="0" t="s">
        <v>1145</v>
      </c>
    </row>
    <row r="88" customFormat="false" ht="12.8" hidden="false" customHeight="false" outlineLevel="0" collapsed="false">
      <c r="A88" s="0"/>
      <c r="B88" s="0"/>
      <c r="D88" s="0"/>
    </row>
    <row r="89" customFormat="false" ht="12.8" hidden="false" customHeight="false" outlineLevel="0" collapsed="false">
      <c r="A89" s="28" t="str">
        <f aca="false">_xlfn.CONCAT($A$1, ".", "EP")</f>
        <v>LSD.RID.0.AL.PARAM.EP</v>
      </c>
      <c r="B89" s="0" t="s">
        <v>1167</v>
      </c>
      <c r="D89" s="0"/>
    </row>
    <row r="90" customFormat="false" ht="12.8" hidden="false" customHeight="false" outlineLevel="0" collapsed="false">
      <c r="A90" s="0" t="s">
        <v>848</v>
      </c>
      <c r="B90" s="0" t="s">
        <v>283</v>
      </c>
      <c r="C90" s="0" t="s">
        <v>849</v>
      </c>
      <c r="D90" s="0" t="s">
        <v>286</v>
      </c>
      <c r="E90" s="0" t="s">
        <v>850</v>
      </c>
      <c r="F90" s="0" t="s">
        <v>851</v>
      </c>
      <c r="G90" s="0" t="s">
        <v>852</v>
      </c>
      <c r="H90" s="0" t="s">
        <v>287</v>
      </c>
      <c r="I90" s="0" t="s">
        <v>853</v>
      </c>
    </row>
    <row r="91" customFormat="false" ht="12.8" hidden="false" customHeight="false" outlineLevel="0" collapsed="false">
      <c r="A91" s="0" t="s">
        <v>1168</v>
      </c>
      <c r="B91" s="0" t="s">
        <v>1169</v>
      </c>
      <c r="C91" s="0" t="s">
        <v>1170</v>
      </c>
      <c r="D91" s="0" t="s">
        <v>1171</v>
      </c>
      <c r="E91" s="0" t="s">
        <v>857</v>
      </c>
      <c r="F91" s="0" t="s">
        <v>1111</v>
      </c>
      <c r="G91" s="30" t="s">
        <v>859</v>
      </c>
      <c r="H91" s="0" t="s">
        <v>366</v>
      </c>
      <c r="I91" s="0" t="s">
        <v>166</v>
      </c>
    </row>
    <row r="92" customFormat="false" ht="12.8" hidden="false" customHeight="false" outlineLevel="0" collapsed="false">
      <c r="A92" s="0" t="s">
        <v>1172</v>
      </c>
      <c r="B92" s="0" t="s">
        <v>1173</v>
      </c>
      <c r="C92" s="0" t="s">
        <v>1174</v>
      </c>
      <c r="D92" s="0" t="s">
        <v>1175</v>
      </c>
      <c r="E92" s="0" t="s">
        <v>857</v>
      </c>
      <c r="F92" s="0" t="s">
        <v>1050</v>
      </c>
      <c r="G92" s="30" t="s">
        <v>859</v>
      </c>
      <c r="H92" s="0" t="s">
        <v>1051</v>
      </c>
      <c r="I92" s="0" t="s">
        <v>166</v>
      </c>
    </row>
    <row r="93" customFormat="false" ht="12.8" hidden="false" customHeight="false" outlineLevel="0" collapsed="false">
      <c r="A93" s="0" t="s">
        <v>1176</v>
      </c>
      <c r="B93" s="0" t="s">
        <v>1177</v>
      </c>
      <c r="C93" s="0" t="s">
        <v>1178</v>
      </c>
      <c r="D93" s="0" t="s">
        <v>1179</v>
      </c>
      <c r="E93" s="0" t="s">
        <v>857</v>
      </c>
      <c r="F93" s="0" t="s">
        <v>976</v>
      </c>
      <c r="G93" s="30" t="s">
        <v>859</v>
      </c>
      <c r="H93" s="0" t="s">
        <v>366</v>
      </c>
      <c r="I93" s="0" t="s">
        <v>166</v>
      </c>
    </row>
    <row r="94" customFormat="false" ht="12.8" hidden="false" customHeight="false" outlineLevel="0" collapsed="false">
      <c r="A94" s="0" t="s">
        <v>1180</v>
      </c>
      <c r="B94" s="0" t="s">
        <v>1181</v>
      </c>
      <c r="C94" s="0" t="s">
        <v>1058</v>
      </c>
      <c r="D94" s="0" t="s">
        <v>1182</v>
      </c>
      <c r="E94" s="0" t="s">
        <v>857</v>
      </c>
      <c r="F94" s="0" t="s">
        <v>1060</v>
      </c>
      <c r="G94" s="30" t="s">
        <v>859</v>
      </c>
      <c r="H94" s="0" t="s">
        <v>366</v>
      </c>
      <c r="I94" s="0" t="s">
        <v>166</v>
      </c>
    </row>
    <row r="95" customFormat="false" ht="12.8" hidden="false" customHeight="false" outlineLevel="0" collapsed="false">
      <c r="A95" s="0" t="s">
        <v>1183</v>
      </c>
      <c r="B95" s="0" t="s">
        <v>1184</v>
      </c>
      <c r="C95" s="0" t="n">
        <v>4</v>
      </c>
      <c r="D95" s="0" t="s">
        <v>1185</v>
      </c>
      <c r="E95" s="0" t="s">
        <v>857</v>
      </c>
      <c r="F95" s="0" t="s">
        <v>1064</v>
      </c>
      <c r="G95" s="30" t="s">
        <v>859</v>
      </c>
      <c r="H95" s="0" t="s">
        <v>366</v>
      </c>
      <c r="I95" s="0" t="s">
        <v>166</v>
      </c>
    </row>
    <row r="96" customFormat="false" ht="12.8" hidden="false" customHeight="false" outlineLevel="0" collapsed="false">
      <c r="A96" s="0" t="s">
        <v>1186</v>
      </c>
      <c r="B96" s="0" t="s">
        <v>1187</v>
      </c>
      <c r="C96" s="0" t="n">
        <v>0.015</v>
      </c>
      <c r="D96" s="0" t="s">
        <v>1188</v>
      </c>
      <c r="E96" s="0" t="s">
        <v>857</v>
      </c>
      <c r="F96" s="0" t="s">
        <v>942</v>
      </c>
      <c r="G96" s="30" t="s">
        <v>859</v>
      </c>
      <c r="H96" s="0" t="s">
        <v>366</v>
      </c>
      <c r="I96" s="0" t="s">
        <v>166</v>
      </c>
    </row>
    <row r="97" customFormat="false" ht="12.8" hidden="false" customHeight="false" outlineLevel="0" collapsed="false">
      <c r="A97" s="0" t="s">
        <v>1189</v>
      </c>
      <c r="B97" s="0" t="s">
        <v>1190</v>
      </c>
      <c r="C97" s="0" t="s">
        <v>1191</v>
      </c>
      <c r="D97" s="0" t="s">
        <v>1192</v>
      </c>
      <c r="E97" s="0" t="s">
        <v>857</v>
      </c>
      <c r="F97" s="0" t="s">
        <v>1071</v>
      </c>
      <c r="G97" s="30" t="s">
        <v>859</v>
      </c>
      <c r="H97" s="0" t="s">
        <v>1072</v>
      </c>
      <c r="I97" s="0" t="s">
        <v>166</v>
      </c>
    </row>
    <row r="98" customFormat="false" ht="12.8" hidden="false" customHeight="false" outlineLevel="0" collapsed="false">
      <c r="A98" s="0" t="s">
        <v>1193</v>
      </c>
      <c r="B98" s="0" t="s">
        <v>1194</v>
      </c>
      <c r="C98" s="0" t="n">
        <v>0.92</v>
      </c>
      <c r="D98" s="0" t="s">
        <v>1195</v>
      </c>
      <c r="E98" s="0" t="s">
        <v>857</v>
      </c>
      <c r="F98" s="0" t="s">
        <v>976</v>
      </c>
      <c r="G98" s="30" t="s">
        <v>859</v>
      </c>
      <c r="H98" s="0" t="s">
        <v>366</v>
      </c>
      <c r="I98" s="0" t="s">
        <v>166</v>
      </c>
    </row>
    <row r="99" customFormat="false" ht="12.8" hidden="false" customHeight="false" outlineLevel="0" collapsed="false">
      <c r="A99" s="0"/>
      <c r="B99" s="0"/>
      <c r="D99" s="0"/>
    </row>
    <row r="100" customFormat="false" ht="12.8" hidden="false" customHeight="false" outlineLevel="0" collapsed="false">
      <c r="A100" s="28" t="str">
        <f aca="false">_xlfn.CONCAT($A$1, ".", "U3R")</f>
        <v>LSD.RID.0.AL.PARAM.U3R</v>
      </c>
      <c r="B100" s="0" t="s">
        <v>1196</v>
      </c>
      <c r="D100" s="0"/>
    </row>
    <row r="101" customFormat="false" ht="12.8" hidden="false" customHeight="false" outlineLevel="0" collapsed="false">
      <c r="A101" s="0" t="s">
        <v>848</v>
      </c>
      <c r="B101" s="0" t="s">
        <v>283</v>
      </c>
      <c r="C101" s="0" t="s">
        <v>849</v>
      </c>
      <c r="D101" s="0" t="s">
        <v>286</v>
      </c>
      <c r="E101" s="0" t="s">
        <v>850</v>
      </c>
      <c r="F101" s="0" t="s">
        <v>851</v>
      </c>
      <c r="G101" s="0" t="s">
        <v>852</v>
      </c>
      <c r="H101" s="0" t="s">
        <v>287</v>
      </c>
      <c r="I101" s="0" t="s">
        <v>853</v>
      </c>
    </row>
    <row r="102" customFormat="false" ht="12.8" hidden="false" customHeight="false" outlineLevel="0" collapsed="false">
      <c r="A102" s="0" t="s">
        <v>1197</v>
      </c>
      <c r="B102" s="0" t="s">
        <v>1198</v>
      </c>
      <c r="C102" s="0" t="s">
        <v>1199</v>
      </c>
      <c r="D102" s="0" t="s">
        <v>1200</v>
      </c>
      <c r="E102" s="0" t="s">
        <v>857</v>
      </c>
      <c r="F102" s="0" t="s">
        <v>1111</v>
      </c>
      <c r="G102" s="30" t="s">
        <v>859</v>
      </c>
      <c r="H102" s="0" t="s">
        <v>366</v>
      </c>
      <c r="I102" s="0" t="s">
        <v>139</v>
      </c>
    </row>
    <row r="103" customFormat="false" ht="12.8" hidden="false" customHeight="false" outlineLevel="0" collapsed="false">
      <c r="A103" s="0" t="s">
        <v>1201</v>
      </c>
      <c r="B103" s="0" t="s">
        <v>1202</v>
      </c>
      <c r="C103" s="0" t="s">
        <v>1203</v>
      </c>
      <c r="D103" s="0" t="s">
        <v>1204</v>
      </c>
      <c r="E103" s="0" t="s">
        <v>857</v>
      </c>
      <c r="F103" s="0" t="s">
        <v>1050</v>
      </c>
      <c r="G103" s="30" t="s">
        <v>859</v>
      </c>
      <c r="H103" s="0" t="s">
        <v>1051</v>
      </c>
      <c r="I103" s="0" t="s">
        <v>139</v>
      </c>
    </row>
    <row r="104" customFormat="false" ht="12.8" hidden="false" customHeight="false" outlineLevel="0" collapsed="false">
      <c r="A104" s="0" t="s">
        <v>1205</v>
      </c>
      <c r="B104" s="0" t="s">
        <v>1206</v>
      </c>
      <c r="C104" s="0" t="s">
        <v>1207</v>
      </c>
      <c r="D104" s="0" t="s">
        <v>1208</v>
      </c>
      <c r="E104" s="0" t="s">
        <v>857</v>
      </c>
      <c r="F104" s="0" t="s">
        <v>976</v>
      </c>
      <c r="G104" s="30" t="s">
        <v>859</v>
      </c>
      <c r="H104" s="0" t="s">
        <v>366</v>
      </c>
      <c r="I104" s="0" t="s">
        <v>139</v>
      </c>
    </row>
    <row r="105" customFormat="false" ht="12.8" hidden="false" customHeight="false" outlineLevel="0" collapsed="false">
      <c r="A105" s="0" t="s">
        <v>1209</v>
      </c>
      <c r="B105" s="0" t="s">
        <v>1210</v>
      </c>
      <c r="C105" s="0" t="s">
        <v>1058</v>
      </c>
      <c r="D105" s="0" t="s">
        <v>1211</v>
      </c>
      <c r="E105" s="0" t="s">
        <v>857</v>
      </c>
      <c r="F105" s="0" t="s">
        <v>1060</v>
      </c>
      <c r="G105" s="30" t="s">
        <v>859</v>
      </c>
      <c r="H105" s="0" t="s">
        <v>366</v>
      </c>
      <c r="I105" s="0" t="s">
        <v>139</v>
      </c>
    </row>
    <row r="106" customFormat="false" ht="12.8" hidden="false" customHeight="false" outlineLevel="0" collapsed="false">
      <c r="A106" s="0" t="s">
        <v>1212</v>
      </c>
      <c r="B106" s="0" t="s">
        <v>1213</v>
      </c>
      <c r="C106" s="0" t="n">
        <v>4</v>
      </c>
      <c r="D106" s="0" t="s">
        <v>1214</v>
      </c>
      <c r="E106" s="0" t="s">
        <v>857</v>
      </c>
      <c r="F106" s="0" t="s">
        <v>1064</v>
      </c>
      <c r="G106" s="30" t="s">
        <v>859</v>
      </c>
      <c r="H106" s="0" t="s">
        <v>366</v>
      </c>
      <c r="I106" s="0" t="s">
        <v>139</v>
      </c>
    </row>
    <row r="107" customFormat="false" ht="12.8" hidden="false" customHeight="false" outlineLevel="0" collapsed="false">
      <c r="A107" s="0" t="s">
        <v>1215</v>
      </c>
      <c r="B107" s="0" t="s">
        <v>1216</v>
      </c>
      <c r="C107" s="0" t="n">
        <v>0.027</v>
      </c>
      <c r="D107" s="0" t="s">
        <v>1217</v>
      </c>
      <c r="E107" s="0" t="s">
        <v>857</v>
      </c>
      <c r="F107" s="0" t="s">
        <v>942</v>
      </c>
      <c r="G107" s="30" t="s">
        <v>859</v>
      </c>
      <c r="H107" s="0" t="s">
        <v>366</v>
      </c>
      <c r="I107" s="0" t="s">
        <v>139</v>
      </c>
    </row>
    <row r="108" customFormat="false" ht="12.8" hidden="false" customHeight="false" outlineLevel="0" collapsed="false">
      <c r="A108" s="0" t="s">
        <v>1218</v>
      </c>
      <c r="B108" s="0" t="s">
        <v>1219</v>
      </c>
      <c r="C108" s="0" t="s">
        <v>1220</v>
      </c>
      <c r="D108" s="0" t="s">
        <v>1221</v>
      </c>
      <c r="E108" s="0" t="s">
        <v>857</v>
      </c>
      <c r="F108" s="0" t="s">
        <v>1071</v>
      </c>
      <c r="G108" s="30" t="s">
        <v>859</v>
      </c>
      <c r="H108" s="0" t="s">
        <v>1072</v>
      </c>
      <c r="I108" s="0" t="s">
        <v>139</v>
      </c>
    </row>
    <row r="109" customFormat="false" ht="12.8" hidden="false" customHeight="false" outlineLevel="0" collapsed="false">
      <c r="A109" s="0"/>
      <c r="B109" s="0"/>
      <c r="D109" s="0"/>
    </row>
    <row r="110" customFormat="false" ht="12.8" hidden="false" customHeight="false" outlineLevel="0" collapsed="false">
      <c r="A110" s="28" t="str">
        <f aca="false">_xlfn.CONCAT($A$1, ".", "U3P")</f>
        <v>LSD.RID.0.AL.PARAM.U3P</v>
      </c>
      <c r="B110" s="0" t="s">
        <v>1222</v>
      </c>
      <c r="D110" s="0"/>
    </row>
    <row r="111" customFormat="false" ht="12.8" hidden="false" customHeight="false" outlineLevel="0" collapsed="false">
      <c r="A111" s="0" t="s">
        <v>848</v>
      </c>
      <c r="B111" s="0" t="s">
        <v>283</v>
      </c>
      <c r="C111" s="0" t="s">
        <v>849</v>
      </c>
      <c r="D111" s="0" t="s">
        <v>286</v>
      </c>
      <c r="E111" s="0" t="s">
        <v>850</v>
      </c>
      <c r="F111" s="0" t="s">
        <v>851</v>
      </c>
      <c r="G111" s="0" t="s">
        <v>852</v>
      </c>
      <c r="H111" s="0" t="s">
        <v>287</v>
      </c>
      <c r="I111" s="0" t="s">
        <v>853</v>
      </c>
    </row>
    <row r="112" customFormat="false" ht="12.8" hidden="false" customHeight="false" outlineLevel="0" collapsed="false">
      <c r="A112" s="0" t="s">
        <v>1223</v>
      </c>
      <c r="B112" s="0" t="s">
        <v>1224</v>
      </c>
      <c r="C112" s="0" t="s">
        <v>1225</v>
      </c>
      <c r="D112" s="0" t="s">
        <v>1226</v>
      </c>
      <c r="E112" s="0" t="s">
        <v>857</v>
      </c>
      <c r="F112" s="0" t="s">
        <v>1111</v>
      </c>
      <c r="G112" s="30" t="s">
        <v>859</v>
      </c>
      <c r="H112" s="0" t="s">
        <v>366</v>
      </c>
      <c r="I112" s="0" t="s">
        <v>1017</v>
      </c>
    </row>
    <row r="113" customFormat="false" ht="12.8" hidden="false" customHeight="false" outlineLevel="0" collapsed="false">
      <c r="A113" s="0" t="s">
        <v>1227</v>
      </c>
      <c r="B113" s="0" t="s">
        <v>1228</v>
      </c>
      <c r="C113" s="0" t="s">
        <v>1203</v>
      </c>
      <c r="D113" s="0" t="s">
        <v>1229</v>
      </c>
      <c r="E113" s="0" t="s">
        <v>857</v>
      </c>
      <c r="F113" s="0" t="s">
        <v>1050</v>
      </c>
      <c r="G113" s="30" t="s">
        <v>859</v>
      </c>
      <c r="H113" s="0" t="s">
        <v>1051</v>
      </c>
      <c r="I113" s="0" t="s">
        <v>1017</v>
      </c>
    </row>
    <row r="114" customFormat="false" ht="12.8" hidden="false" customHeight="false" outlineLevel="0" collapsed="false">
      <c r="A114" s="0" t="s">
        <v>1230</v>
      </c>
      <c r="B114" s="0" t="s">
        <v>1231</v>
      </c>
      <c r="C114" s="0" t="s">
        <v>1207</v>
      </c>
      <c r="D114" s="0" t="s">
        <v>1232</v>
      </c>
      <c r="E114" s="0" t="s">
        <v>857</v>
      </c>
      <c r="F114" s="0" t="s">
        <v>976</v>
      </c>
      <c r="G114" s="30" t="s">
        <v>859</v>
      </c>
      <c r="H114" s="0" t="s">
        <v>366</v>
      </c>
      <c r="I114" s="0" t="s">
        <v>1017</v>
      </c>
    </row>
    <row r="115" customFormat="false" ht="12.8" hidden="false" customHeight="false" outlineLevel="0" collapsed="false">
      <c r="A115" s="0" t="s">
        <v>1233</v>
      </c>
      <c r="B115" s="0" t="s">
        <v>1234</v>
      </c>
      <c r="C115" s="0" t="s">
        <v>1058</v>
      </c>
      <c r="D115" s="0" t="s">
        <v>1235</v>
      </c>
      <c r="E115" s="0" t="s">
        <v>857</v>
      </c>
      <c r="F115" s="0" t="s">
        <v>1060</v>
      </c>
      <c r="G115" s="30" t="s">
        <v>859</v>
      </c>
      <c r="H115" s="0" t="s">
        <v>366</v>
      </c>
      <c r="I115" s="0" t="s">
        <v>1017</v>
      </c>
    </row>
    <row r="116" customFormat="false" ht="12.8" hidden="false" customHeight="false" outlineLevel="0" collapsed="false">
      <c r="A116" s="0" t="s">
        <v>1236</v>
      </c>
      <c r="B116" s="0" t="s">
        <v>1237</v>
      </c>
      <c r="C116" s="0" t="n">
        <v>4</v>
      </c>
      <c r="D116" s="0" t="s">
        <v>1238</v>
      </c>
      <c r="E116" s="0" t="s">
        <v>857</v>
      </c>
      <c r="F116" s="0" t="s">
        <v>1064</v>
      </c>
      <c r="G116" s="30" t="s">
        <v>859</v>
      </c>
      <c r="H116" s="0" t="s">
        <v>366</v>
      </c>
      <c r="I116" s="0" t="s">
        <v>1017</v>
      </c>
    </row>
    <row r="117" customFormat="false" ht="12.8" hidden="false" customHeight="false" outlineLevel="0" collapsed="false">
      <c r="A117" s="0" t="s">
        <v>1239</v>
      </c>
      <c r="B117" s="0" t="s">
        <v>1240</v>
      </c>
      <c r="C117" s="0" t="n">
        <v>0.015</v>
      </c>
      <c r="D117" s="0" t="s">
        <v>1241</v>
      </c>
      <c r="E117" s="0" t="s">
        <v>857</v>
      </c>
      <c r="F117" s="0" t="s">
        <v>942</v>
      </c>
      <c r="G117" s="30" t="s">
        <v>859</v>
      </c>
      <c r="H117" s="0" t="s">
        <v>366</v>
      </c>
      <c r="I117" s="0" t="s">
        <v>1017</v>
      </c>
    </row>
    <row r="118" customFormat="false" ht="12.8" hidden="false" customHeight="false" outlineLevel="0" collapsed="false">
      <c r="A118" s="0" t="s">
        <v>1242</v>
      </c>
      <c r="B118" s="0" t="s">
        <v>1243</v>
      </c>
      <c r="C118" s="0" t="s">
        <v>1220</v>
      </c>
      <c r="D118" s="0" t="s">
        <v>1244</v>
      </c>
      <c r="E118" s="0" t="s">
        <v>857</v>
      </c>
      <c r="F118" s="0" t="s">
        <v>1071</v>
      </c>
      <c r="G118" s="30" t="s">
        <v>859</v>
      </c>
      <c r="H118" s="0" t="s">
        <v>1072</v>
      </c>
      <c r="I118" s="0" t="s">
        <v>1017</v>
      </c>
    </row>
    <row r="119" customFormat="false" ht="12.8" hidden="false" customHeight="false" outlineLevel="0" collapsed="false">
      <c r="A119" s="0" t="s">
        <v>1245</v>
      </c>
      <c r="B119" s="0" t="s">
        <v>1246</v>
      </c>
      <c r="C119" s="0" t="n">
        <v>1.25</v>
      </c>
      <c r="D119" s="0" t="s">
        <v>1247</v>
      </c>
      <c r="E119" s="0" t="s">
        <v>857</v>
      </c>
      <c r="F119" s="0" t="s">
        <v>976</v>
      </c>
      <c r="G119" s="30" t="s">
        <v>859</v>
      </c>
      <c r="H119" s="0" t="s">
        <v>366</v>
      </c>
      <c r="I119" s="0" t="s">
        <v>1017</v>
      </c>
    </row>
    <row r="120" customFormat="false" ht="12.8" hidden="false" customHeight="false" outlineLevel="0" collapsed="false">
      <c r="A120" s="0"/>
      <c r="B120" s="0"/>
      <c r="D120" s="0"/>
    </row>
    <row r="121" customFormat="false" ht="12.8" hidden="false" customHeight="false" outlineLevel="0" collapsed="false">
      <c r="A121" s="28" t="str">
        <f aca="false">_xlfn.CONCAT($A$1, ".", "U6R")</f>
        <v>LSD.RID.0.AL.PARAM.U6R</v>
      </c>
      <c r="B121" s="0" t="s">
        <v>1248</v>
      </c>
      <c r="D121" s="0"/>
    </row>
    <row r="122" customFormat="false" ht="12.8" hidden="false" customHeight="false" outlineLevel="0" collapsed="false">
      <c r="A122" s="0" t="s">
        <v>848</v>
      </c>
      <c r="B122" s="0" t="s">
        <v>283</v>
      </c>
      <c r="C122" s="0" t="s">
        <v>849</v>
      </c>
      <c r="D122" s="0" t="s">
        <v>286</v>
      </c>
      <c r="E122" s="0" t="s">
        <v>850</v>
      </c>
      <c r="F122" s="0" t="s">
        <v>851</v>
      </c>
      <c r="G122" s="0" t="s">
        <v>852</v>
      </c>
      <c r="H122" s="0" t="s">
        <v>287</v>
      </c>
      <c r="I122" s="0" t="s">
        <v>853</v>
      </c>
    </row>
    <row r="123" customFormat="false" ht="12.8" hidden="false" customHeight="false" outlineLevel="0" collapsed="false">
      <c r="A123" s="0" t="s">
        <v>1249</v>
      </c>
      <c r="B123" s="0" t="s">
        <v>1250</v>
      </c>
      <c r="C123" s="0" t="s">
        <v>995</v>
      </c>
      <c r="D123" s="0" t="s">
        <v>1251</v>
      </c>
      <c r="E123" s="0" t="s">
        <v>857</v>
      </c>
      <c r="F123" s="0" t="s">
        <v>1252</v>
      </c>
      <c r="G123" s="30" t="s">
        <v>859</v>
      </c>
      <c r="H123" s="0" t="s">
        <v>366</v>
      </c>
      <c r="I123" s="0" t="s">
        <v>142</v>
      </c>
    </row>
    <row r="124" customFormat="false" ht="12.8" hidden="false" customHeight="false" outlineLevel="0" collapsed="false">
      <c r="A124" s="0" t="s">
        <v>1253</v>
      </c>
      <c r="B124" s="0" t="s">
        <v>1254</v>
      </c>
      <c r="C124" s="0" t="s">
        <v>1255</v>
      </c>
      <c r="D124" s="0" t="s">
        <v>1256</v>
      </c>
      <c r="E124" s="0" t="s">
        <v>857</v>
      </c>
      <c r="F124" s="0" t="s">
        <v>1257</v>
      </c>
      <c r="G124" s="30" t="s">
        <v>859</v>
      </c>
      <c r="H124" s="0" t="s">
        <v>366</v>
      </c>
      <c r="I124" s="0" t="s">
        <v>142</v>
      </c>
    </row>
    <row r="125" customFormat="false" ht="12.8" hidden="false" customHeight="false" outlineLevel="0" collapsed="false">
      <c r="A125" s="0" t="s">
        <v>1258</v>
      </c>
      <c r="B125" s="0" t="s">
        <v>1259</v>
      </c>
      <c r="C125" s="0" t="s">
        <v>1260</v>
      </c>
      <c r="D125" s="0" t="s">
        <v>1261</v>
      </c>
      <c r="E125" s="0" t="s">
        <v>857</v>
      </c>
      <c r="F125" s="0" t="s">
        <v>1050</v>
      </c>
      <c r="G125" s="30" t="s">
        <v>859</v>
      </c>
      <c r="H125" s="0" t="s">
        <v>1051</v>
      </c>
      <c r="I125" s="0" t="s">
        <v>142</v>
      </c>
    </row>
    <row r="126" customFormat="false" ht="12.8" hidden="false" customHeight="false" outlineLevel="0" collapsed="false">
      <c r="A126" s="0" t="s">
        <v>1262</v>
      </c>
      <c r="B126" s="0" t="s">
        <v>1263</v>
      </c>
      <c r="C126" s="0" t="s">
        <v>1264</v>
      </c>
      <c r="D126" s="0" t="s">
        <v>1265</v>
      </c>
      <c r="E126" s="0" t="s">
        <v>857</v>
      </c>
      <c r="F126" s="0" t="s">
        <v>976</v>
      </c>
      <c r="G126" s="30" t="s">
        <v>859</v>
      </c>
      <c r="H126" s="0" t="s">
        <v>366</v>
      </c>
      <c r="I126" s="0" t="s">
        <v>142</v>
      </c>
    </row>
    <row r="127" customFormat="false" ht="12.8" hidden="false" customHeight="false" outlineLevel="0" collapsed="false">
      <c r="A127" s="0" t="s">
        <v>1266</v>
      </c>
      <c r="B127" s="0" t="s">
        <v>1267</v>
      </c>
      <c r="C127" s="0" t="s">
        <v>1058</v>
      </c>
      <c r="D127" s="0" t="s">
        <v>1268</v>
      </c>
      <c r="E127" s="0" t="s">
        <v>857</v>
      </c>
      <c r="F127" s="0" t="s">
        <v>1060</v>
      </c>
      <c r="G127" s="30" t="s">
        <v>859</v>
      </c>
      <c r="H127" s="0" t="s">
        <v>366</v>
      </c>
      <c r="I127" s="0" t="s">
        <v>142</v>
      </c>
    </row>
    <row r="128" customFormat="false" ht="12.8" hidden="false" customHeight="false" outlineLevel="0" collapsed="false">
      <c r="A128" s="0" t="s">
        <v>1269</v>
      </c>
      <c r="B128" s="0" t="s">
        <v>1270</v>
      </c>
      <c r="C128" s="0" t="n">
        <v>5</v>
      </c>
      <c r="D128" s="0" t="s">
        <v>1271</v>
      </c>
      <c r="E128" s="0" t="s">
        <v>857</v>
      </c>
      <c r="F128" s="0" t="s">
        <v>1064</v>
      </c>
      <c r="G128" s="30" t="s">
        <v>859</v>
      </c>
      <c r="H128" s="0" t="s">
        <v>366</v>
      </c>
      <c r="I128" s="0" t="s">
        <v>142</v>
      </c>
    </row>
    <row r="129" customFormat="false" ht="12.8" hidden="false" customHeight="false" outlineLevel="0" collapsed="false">
      <c r="A129" s="0" t="s">
        <v>1272</v>
      </c>
      <c r="B129" s="0" t="s">
        <v>1273</v>
      </c>
      <c r="C129" s="0" t="n">
        <v>0.062</v>
      </c>
      <c r="D129" s="0" t="s">
        <v>1274</v>
      </c>
      <c r="E129" s="0" t="s">
        <v>857</v>
      </c>
      <c r="F129" s="0" t="s">
        <v>942</v>
      </c>
      <c r="G129" s="30" t="s">
        <v>859</v>
      </c>
      <c r="H129" s="0" t="s">
        <v>366</v>
      </c>
      <c r="I129" s="0" t="s">
        <v>142</v>
      </c>
    </row>
    <row r="130" customFormat="false" ht="12.8" hidden="false" customHeight="false" outlineLevel="0" collapsed="false">
      <c r="A130" s="0" t="s">
        <v>1275</v>
      </c>
      <c r="B130" s="0" t="s">
        <v>1276</v>
      </c>
      <c r="C130" s="0" t="s">
        <v>1277</v>
      </c>
      <c r="D130" s="0" t="s">
        <v>1278</v>
      </c>
      <c r="E130" s="0" t="s">
        <v>857</v>
      </c>
      <c r="F130" s="0" t="s">
        <v>1071</v>
      </c>
      <c r="G130" s="30" t="s">
        <v>859</v>
      </c>
      <c r="H130" s="0" t="s">
        <v>1072</v>
      </c>
      <c r="I130" s="0" t="s">
        <v>142</v>
      </c>
    </row>
    <row r="131" customFormat="false" ht="12.8" hidden="false" customHeight="false" outlineLevel="0" collapsed="false">
      <c r="A131" s="0"/>
      <c r="B131" s="0"/>
      <c r="D131" s="0"/>
    </row>
    <row r="132" customFormat="false" ht="12.8" hidden="false" customHeight="false" outlineLevel="0" collapsed="false">
      <c r="A132" s="28" t="str">
        <f aca="false">_xlfn.CONCAT($A$1, ".", "U6P")</f>
        <v>LSD.RID.0.AL.PARAM.U6P</v>
      </c>
      <c r="B132" s="0" t="s">
        <v>1279</v>
      </c>
      <c r="D132" s="0"/>
    </row>
    <row r="133" customFormat="false" ht="12.8" hidden="false" customHeight="false" outlineLevel="0" collapsed="false">
      <c r="A133" s="0" t="s">
        <v>848</v>
      </c>
      <c r="B133" s="0" t="s">
        <v>283</v>
      </c>
      <c r="C133" s="0" t="s">
        <v>849</v>
      </c>
      <c r="D133" s="0" t="s">
        <v>286</v>
      </c>
      <c r="E133" s="0" t="s">
        <v>850</v>
      </c>
      <c r="F133" s="0" t="s">
        <v>851</v>
      </c>
      <c r="G133" s="0" t="s">
        <v>852</v>
      </c>
      <c r="H133" s="0" t="s">
        <v>287</v>
      </c>
      <c r="I133" s="0" t="s">
        <v>853</v>
      </c>
    </row>
    <row r="134" customFormat="false" ht="12.8" hidden="false" customHeight="false" outlineLevel="0" collapsed="false">
      <c r="A134" s="0" t="s">
        <v>1280</v>
      </c>
      <c r="B134" s="0" t="s">
        <v>1281</v>
      </c>
      <c r="C134" s="0" t="s">
        <v>1282</v>
      </c>
      <c r="D134" s="0" t="s">
        <v>1283</v>
      </c>
      <c r="E134" s="0" t="s">
        <v>857</v>
      </c>
      <c r="F134" s="0" t="s">
        <v>1252</v>
      </c>
      <c r="G134" s="30" t="s">
        <v>859</v>
      </c>
      <c r="H134" s="0" t="s">
        <v>366</v>
      </c>
      <c r="I134" s="0" t="s">
        <v>1032</v>
      </c>
    </row>
    <row r="135" customFormat="false" ht="12.8" hidden="false" customHeight="false" outlineLevel="0" collapsed="false">
      <c r="A135" s="0" t="s">
        <v>1284</v>
      </c>
      <c r="B135" s="0" t="s">
        <v>1285</v>
      </c>
      <c r="C135" s="0" t="s">
        <v>1260</v>
      </c>
      <c r="D135" s="0" t="s">
        <v>1286</v>
      </c>
      <c r="E135" s="0" t="s">
        <v>857</v>
      </c>
      <c r="F135" s="0" t="s">
        <v>1050</v>
      </c>
      <c r="G135" s="30" t="s">
        <v>859</v>
      </c>
      <c r="H135" s="0" t="s">
        <v>1051</v>
      </c>
      <c r="I135" s="0" t="s">
        <v>1032</v>
      </c>
    </row>
    <row r="136" customFormat="false" ht="12.8" hidden="false" customHeight="false" outlineLevel="0" collapsed="false">
      <c r="A136" s="0" t="s">
        <v>1287</v>
      </c>
      <c r="B136" s="0" t="s">
        <v>1288</v>
      </c>
      <c r="C136" s="0" t="s">
        <v>1264</v>
      </c>
      <c r="D136" s="0" t="s">
        <v>1289</v>
      </c>
      <c r="E136" s="0" t="s">
        <v>857</v>
      </c>
      <c r="F136" s="0" t="s">
        <v>976</v>
      </c>
      <c r="G136" s="30" t="s">
        <v>859</v>
      </c>
      <c r="H136" s="0" t="s">
        <v>366</v>
      </c>
      <c r="I136" s="0" t="s">
        <v>1032</v>
      </c>
    </row>
    <row r="137" customFormat="false" ht="12.8" hidden="false" customHeight="false" outlineLevel="0" collapsed="false">
      <c r="A137" s="0" t="s">
        <v>1290</v>
      </c>
      <c r="B137" s="0" t="s">
        <v>1291</v>
      </c>
      <c r="C137" s="0" t="s">
        <v>1058</v>
      </c>
      <c r="D137" s="0" t="s">
        <v>1292</v>
      </c>
      <c r="E137" s="0" t="s">
        <v>857</v>
      </c>
      <c r="F137" s="0" t="s">
        <v>1060</v>
      </c>
      <c r="G137" s="30" t="s">
        <v>859</v>
      </c>
      <c r="H137" s="0" t="s">
        <v>366</v>
      </c>
      <c r="I137" s="0" t="s">
        <v>1032</v>
      </c>
    </row>
    <row r="138" customFormat="false" ht="12.8" hidden="false" customHeight="false" outlineLevel="0" collapsed="false">
      <c r="A138" s="0" t="s">
        <v>1293</v>
      </c>
      <c r="B138" s="0" t="s">
        <v>1294</v>
      </c>
      <c r="C138" s="0" t="n">
        <v>5</v>
      </c>
      <c r="D138" s="0" t="s">
        <v>1295</v>
      </c>
      <c r="E138" s="0" t="s">
        <v>857</v>
      </c>
      <c r="F138" s="0" t="s">
        <v>1064</v>
      </c>
      <c r="G138" s="30" t="s">
        <v>859</v>
      </c>
      <c r="H138" s="0" t="s">
        <v>366</v>
      </c>
      <c r="I138" s="0" t="s">
        <v>1032</v>
      </c>
    </row>
    <row r="139" customFormat="false" ht="12.8" hidden="false" customHeight="false" outlineLevel="0" collapsed="false">
      <c r="A139" s="0" t="s">
        <v>1296</v>
      </c>
      <c r="B139" s="0" t="s">
        <v>1297</v>
      </c>
      <c r="C139" s="0" t="n">
        <v>0.0358</v>
      </c>
      <c r="D139" s="0" t="s">
        <v>1298</v>
      </c>
      <c r="E139" s="0" t="s">
        <v>857</v>
      </c>
      <c r="F139" s="0" t="s">
        <v>942</v>
      </c>
      <c r="G139" s="30" t="s">
        <v>859</v>
      </c>
      <c r="H139" s="0" t="s">
        <v>366</v>
      </c>
      <c r="I139" s="0" t="s">
        <v>1032</v>
      </c>
    </row>
    <row r="140" customFormat="false" ht="12.8" hidden="false" customHeight="false" outlineLevel="0" collapsed="false">
      <c r="A140" s="0" t="s">
        <v>1299</v>
      </c>
      <c r="B140" s="0" t="s">
        <v>1300</v>
      </c>
      <c r="C140" s="0" t="s">
        <v>1277</v>
      </c>
      <c r="D140" s="0" t="s">
        <v>1301</v>
      </c>
      <c r="E140" s="0" t="s">
        <v>857</v>
      </c>
      <c r="F140" s="0" t="s">
        <v>1071</v>
      </c>
      <c r="G140" s="30" t="s">
        <v>859</v>
      </c>
      <c r="H140" s="0" t="s">
        <v>1072</v>
      </c>
      <c r="I140" s="0" t="s">
        <v>1032</v>
      </c>
    </row>
    <row r="141" customFormat="false" ht="12.8" hidden="false" customHeight="false" outlineLevel="0" collapsed="false">
      <c r="A141" s="0"/>
      <c r="B141" s="0"/>
      <c r="D141" s="0"/>
    </row>
    <row r="142" customFormat="false" ht="12.8" hidden="false" customHeight="false" outlineLevel="0" collapsed="false">
      <c r="A142" s="28" t="str">
        <f aca="false">_xlfn.CONCAT($A$1, ".", "U3TPR")</f>
        <v>LSD.RID.0.AL.PARAM.U3TPR</v>
      </c>
      <c r="B142" s="0" t="s">
        <v>1302</v>
      </c>
      <c r="D142" s="0"/>
    </row>
    <row r="143" customFormat="false" ht="12.8" hidden="false" customHeight="false" outlineLevel="0" collapsed="false">
      <c r="A143" s="0" t="s">
        <v>848</v>
      </c>
      <c r="B143" s="0" t="s">
        <v>283</v>
      </c>
      <c r="C143" s="0" t="s">
        <v>849</v>
      </c>
      <c r="D143" s="0" t="s">
        <v>286</v>
      </c>
      <c r="E143" s="0" t="s">
        <v>850</v>
      </c>
      <c r="F143" s="0" t="s">
        <v>851</v>
      </c>
      <c r="G143" s="0" t="s">
        <v>852</v>
      </c>
      <c r="H143" s="0" t="s">
        <v>287</v>
      </c>
      <c r="I143" s="0" t="s">
        <v>853</v>
      </c>
    </row>
    <row r="144" customFormat="false" ht="12.8" hidden="false" customHeight="false" outlineLevel="0" collapsed="false">
      <c r="A144" s="0" t="s">
        <v>1303</v>
      </c>
      <c r="B144" s="0" t="s">
        <v>1304</v>
      </c>
      <c r="C144" s="0" t="s">
        <v>1225</v>
      </c>
      <c r="D144" s="0" t="s">
        <v>1305</v>
      </c>
      <c r="E144" s="0" t="s">
        <v>857</v>
      </c>
      <c r="F144" s="0" t="s">
        <v>1111</v>
      </c>
      <c r="G144" s="30" t="s">
        <v>859</v>
      </c>
      <c r="H144" s="0" t="s">
        <v>366</v>
      </c>
      <c r="I144" s="0" t="s">
        <v>1306</v>
      </c>
    </row>
    <row r="145" customFormat="false" ht="12.8" hidden="false" customHeight="false" outlineLevel="0" collapsed="false">
      <c r="A145" s="0" t="s">
        <v>1307</v>
      </c>
      <c r="B145" s="0" t="s">
        <v>1308</v>
      </c>
      <c r="C145" s="0" t="s">
        <v>1203</v>
      </c>
      <c r="D145" s="0" t="s">
        <v>1309</v>
      </c>
      <c r="E145" s="0" t="s">
        <v>857</v>
      </c>
      <c r="F145" s="0" t="s">
        <v>1050</v>
      </c>
      <c r="G145" s="30" t="s">
        <v>859</v>
      </c>
      <c r="H145" s="0" t="s">
        <v>1051</v>
      </c>
      <c r="I145" s="0" t="s">
        <v>1306</v>
      </c>
    </row>
    <row r="146" customFormat="false" ht="12.8" hidden="false" customHeight="false" outlineLevel="0" collapsed="false">
      <c r="A146" s="0" t="s">
        <v>1310</v>
      </c>
      <c r="B146" s="0" t="s">
        <v>1311</v>
      </c>
      <c r="C146" s="0" t="s">
        <v>1207</v>
      </c>
      <c r="D146" s="0" t="s">
        <v>1312</v>
      </c>
      <c r="E146" s="0" t="s">
        <v>857</v>
      </c>
      <c r="F146" s="0" t="s">
        <v>976</v>
      </c>
      <c r="G146" s="30" t="s">
        <v>859</v>
      </c>
      <c r="H146" s="0" t="s">
        <v>366</v>
      </c>
      <c r="I146" s="0" t="s">
        <v>1306</v>
      </c>
    </row>
    <row r="147" customFormat="false" ht="12.8" hidden="false" customHeight="false" outlineLevel="0" collapsed="false">
      <c r="A147" s="0" t="s">
        <v>1313</v>
      </c>
      <c r="B147" s="0" t="s">
        <v>1314</v>
      </c>
      <c r="C147" s="0" t="s">
        <v>1058</v>
      </c>
      <c r="D147" s="0" t="s">
        <v>1315</v>
      </c>
      <c r="E147" s="0" t="s">
        <v>857</v>
      </c>
      <c r="F147" s="0" t="s">
        <v>1060</v>
      </c>
      <c r="G147" s="30" t="s">
        <v>859</v>
      </c>
      <c r="H147" s="0" t="s">
        <v>366</v>
      </c>
      <c r="I147" s="0" t="s">
        <v>1306</v>
      </c>
    </row>
    <row r="148" customFormat="false" ht="12.8" hidden="false" customHeight="false" outlineLevel="0" collapsed="false">
      <c r="A148" s="0" t="s">
        <v>1316</v>
      </c>
      <c r="B148" s="0" t="s">
        <v>1317</v>
      </c>
      <c r="C148" s="0" t="n">
        <v>4</v>
      </c>
      <c r="D148" s="0" t="s">
        <v>1318</v>
      </c>
      <c r="E148" s="0" t="s">
        <v>857</v>
      </c>
      <c r="F148" s="0" t="s">
        <v>1064</v>
      </c>
      <c r="G148" s="30" t="s">
        <v>859</v>
      </c>
      <c r="H148" s="0" t="s">
        <v>366</v>
      </c>
      <c r="I148" s="0" t="s">
        <v>1306</v>
      </c>
    </row>
    <row r="149" customFormat="false" ht="12.8" hidden="false" customHeight="false" outlineLevel="0" collapsed="false">
      <c r="A149" s="0" t="s">
        <v>1319</v>
      </c>
      <c r="B149" s="0" t="s">
        <v>1320</v>
      </c>
      <c r="C149" s="0" t="n">
        <v>0.0155</v>
      </c>
      <c r="D149" s="0" t="s">
        <v>1321</v>
      </c>
      <c r="E149" s="0" t="s">
        <v>857</v>
      </c>
      <c r="F149" s="0" t="s">
        <v>942</v>
      </c>
      <c r="G149" s="30" t="s">
        <v>859</v>
      </c>
      <c r="H149" s="0" t="s">
        <v>366</v>
      </c>
      <c r="I149" s="0" t="s">
        <v>1306</v>
      </c>
    </row>
    <row r="150" customFormat="false" ht="12.8" hidden="false" customHeight="false" outlineLevel="0" collapsed="false">
      <c r="A150" s="0" t="s">
        <v>1322</v>
      </c>
      <c r="B150" s="0" t="s">
        <v>1323</v>
      </c>
      <c r="C150" s="0" t="s">
        <v>1220</v>
      </c>
      <c r="D150" s="0" t="s">
        <v>1324</v>
      </c>
      <c r="E150" s="0" t="s">
        <v>857</v>
      </c>
      <c r="F150" s="0" t="s">
        <v>1071</v>
      </c>
      <c r="G150" s="30" t="s">
        <v>859</v>
      </c>
      <c r="H150" s="0" t="s">
        <v>1072</v>
      </c>
      <c r="I150" s="0" t="s">
        <v>1306</v>
      </c>
    </row>
    <row r="151" customFormat="false" ht="12.8" hidden="false" customHeight="false" outlineLevel="0" collapsed="false">
      <c r="A151" s="0" t="s">
        <v>1325</v>
      </c>
      <c r="B151" s="0" t="s">
        <v>1246</v>
      </c>
      <c r="C151" s="0" t="n">
        <v>0.85</v>
      </c>
      <c r="D151" s="0" t="s">
        <v>1326</v>
      </c>
      <c r="E151" s="0" t="s">
        <v>857</v>
      </c>
      <c r="F151" s="0" t="s">
        <v>976</v>
      </c>
      <c r="G151" s="30" t="s">
        <v>859</v>
      </c>
      <c r="H151" s="0" t="s">
        <v>366</v>
      </c>
      <c r="I151" s="0" t="s">
        <v>1306</v>
      </c>
    </row>
    <row r="152" customFormat="false" ht="12.8" hidden="false" customHeight="false" outlineLevel="0" collapsed="false">
      <c r="A152" s="0"/>
      <c r="B152" s="0"/>
      <c r="D152" s="0"/>
    </row>
    <row r="153" customFormat="false" ht="12.8" hidden="false" customHeight="false" outlineLevel="0" collapsed="false">
      <c r="A153" s="28" t="str">
        <f aca="false">_xlfn.CONCAT($A$1, ".", "U6TPR")</f>
        <v>LSD.RID.0.AL.PARAM.U6TPR</v>
      </c>
      <c r="B153" s="0" t="s">
        <v>1327</v>
      </c>
      <c r="D153" s="0"/>
    </row>
    <row r="154" customFormat="false" ht="12.8" hidden="false" customHeight="false" outlineLevel="0" collapsed="false">
      <c r="A154" s="0" t="s">
        <v>848</v>
      </c>
      <c r="B154" s="0" t="s">
        <v>283</v>
      </c>
      <c r="C154" s="0" t="s">
        <v>849</v>
      </c>
      <c r="D154" s="0" t="s">
        <v>286</v>
      </c>
      <c r="E154" s="0" t="s">
        <v>850</v>
      </c>
      <c r="F154" s="0" t="s">
        <v>851</v>
      </c>
      <c r="G154" s="0" t="s">
        <v>852</v>
      </c>
      <c r="H154" s="0" t="s">
        <v>287</v>
      </c>
      <c r="I154" s="0" t="s">
        <v>853</v>
      </c>
    </row>
    <row r="155" customFormat="false" ht="12.8" hidden="false" customHeight="false" outlineLevel="0" collapsed="false">
      <c r="A155" s="0" t="s">
        <v>1328</v>
      </c>
      <c r="B155" s="0" t="s">
        <v>1329</v>
      </c>
      <c r="C155" s="0" t="s">
        <v>1282</v>
      </c>
      <c r="D155" s="0" t="s">
        <v>1330</v>
      </c>
      <c r="E155" s="0" t="s">
        <v>857</v>
      </c>
      <c r="F155" s="0" t="s">
        <v>1252</v>
      </c>
      <c r="G155" s="30" t="s">
        <v>859</v>
      </c>
      <c r="H155" s="0" t="s">
        <v>366</v>
      </c>
      <c r="I155" s="0" t="s">
        <v>1331</v>
      </c>
    </row>
    <row r="156" customFormat="false" ht="12.8" hidden="false" customHeight="false" outlineLevel="0" collapsed="false">
      <c r="A156" s="0" t="s">
        <v>1332</v>
      </c>
      <c r="B156" s="0" t="s">
        <v>1333</v>
      </c>
      <c r="C156" s="0" t="s">
        <v>1048</v>
      </c>
      <c r="D156" s="0" t="s">
        <v>1334</v>
      </c>
      <c r="E156" s="0" t="s">
        <v>857</v>
      </c>
      <c r="F156" s="0" t="s">
        <v>1050</v>
      </c>
      <c r="G156" s="30" t="s">
        <v>859</v>
      </c>
      <c r="H156" s="0" t="s">
        <v>1072</v>
      </c>
      <c r="I156" s="0" t="s">
        <v>1331</v>
      </c>
    </row>
    <row r="157" customFormat="false" ht="12.8" hidden="false" customHeight="false" outlineLevel="0" collapsed="false">
      <c r="A157" s="0" t="s">
        <v>1335</v>
      </c>
      <c r="B157" s="0" t="s">
        <v>1336</v>
      </c>
      <c r="C157" s="0" t="s">
        <v>1337</v>
      </c>
      <c r="D157" s="0" t="s">
        <v>1338</v>
      </c>
      <c r="E157" s="0" t="s">
        <v>857</v>
      </c>
      <c r="F157" s="0" t="s">
        <v>976</v>
      </c>
      <c r="G157" s="30" t="s">
        <v>859</v>
      </c>
      <c r="H157" s="0" t="s">
        <v>366</v>
      </c>
      <c r="I157" s="0" t="s">
        <v>1331</v>
      </c>
    </row>
    <row r="158" customFormat="false" ht="12.8" hidden="false" customHeight="false" outlineLevel="0" collapsed="false">
      <c r="A158" s="0" t="s">
        <v>1339</v>
      </c>
      <c r="B158" s="0" t="s">
        <v>1340</v>
      </c>
      <c r="C158" s="0" t="s">
        <v>1058</v>
      </c>
      <c r="D158" s="0" t="s">
        <v>1341</v>
      </c>
      <c r="E158" s="0" t="s">
        <v>857</v>
      </c>
      <c r="F158" s="0" t="s">
        <v>1060</v>
      </c>
      <c r="G158" s="30" t="s">
        <v>859</v>
      </c>
      <c r="H158" s="0" t="s">
        <v>366</v>
      </c>
      <c r="I158" s="0" t="s">
        <v>1331</v>
      </c>
    </row>
    <row r="159" customFormat="false" ht="12.8" hidden="false" customHeight="false" outlineLevel="0" collapsed="false">
      <c r="A159" s="0" t="s">
        <v>1342</v>
      </c>
      <c r="B159" s="0" t="s">
        <v>1343</v>
      </c>
      <c r="C159" s="0" t="n">
        <v>4</v>
      </c>
      <c r="D159" s="0" t="s">
        <v>1344</v>
      </c>
      <c r="E159" s="0" t="s">
        <v>857</v>
      </c>
      <c r="F159" s="0" t="s">
        <v>1064</v>
      </c>
      <c r="G159" s="30" t="s">
        <v>859</v>
      </c>
      <c r="H159" s="0" t="s">
        <v>366</v>
      </c>
      <c r="I159" s="0" t="s">
        <v>1331</v>
      </c>
    </row>
    <row r="160" customFormat="false" ht="12.8" hidden="false" customHeight="false" outlineLevel="0" collapsed="false">
      <c r="A160" s="0" t="s">
        <v>1345</v>
      </c>
      <c r="B160" s="0" t="s">
        <v>1346</v>
      </c>
      <c r="C160" s="0" t="n">
        <v>0.0358</v>
      </c>
      <c r="D160" s="0" t="s">
        <v>1347</v>
      </c>
      <c r="E160" s="0" t="s">
        <v>857</v>
      </c>
      <c r="F160" s="0" t="s">
        <v>942</v>
      </c>
      <c r="G160" s="30" t="s">
        <v>859</v>
      </c>
      <c r="H160" s="0" t="s">
        <v>366</v>
      </c>
      <c r="I160" s="0" t="s">
        <v>1331</v>
      </c>
    </row>
    <row r="161" customFormat="false" ht="12.8" hidden="false" customHeight="false" outlineLevel="0" collapsed="false">
      <c r="A161" s="0" t="s">
        <v>1348</v>
      </c>
      <c r="B161" s="0" t="s">
        <v>1349</v>
      </c>
      <c r="C161" s="0" t="s">
        <v>1277</v>
      </c>
      <c r="D161" s="0" t="s">
        <v>1350</v>
      </c>
      <c r="E161" s="0" t="s">
        <v>857</v>
      </c>
      <c r="F161" s="0" t="s">
        <v>1071</v>
      </c>
      <c r="G161" s="30" t="s">
        <v>859</v>
      </c>
      <c r="H161" s="0" t="s">
        <v>1072</v>
      </c>
      <c r="I161" s="0" t="s">
        <v>1331</v>
      </c>
    </row>
    <row r="162" customFormat="false" ht="12.8" hidden="false" customHeight="false" outlineLevel="0" collapsed="false">
      <c r="A162" s="0" t="s">
        <v>1351</v>
      </c>
      <c r="B162" s="0" t="s">
        <v>1352</v>
      </c>
      <c r="C162" s="0" t="n">
        <v>0.9</v>
      </c>
      <c r="D162" s="0" t="s">
        <v>1353</v>
      </c>
      <c r="E162" s="0" t="s">
        <v>857</v>
      </c>
      <c r="F162" s="0" t="s">
        <v>976</v>
      </c>
      <c r="G162" s="30" t="s">
        <v>859</v>
      </c>
      <c r="H162" s="0" t="s">
        <v>366</v>
      </c>
      <c r="I162" s="0" t="s">
        <v>1331</v>
      </c>
    </row>
    <row r="163" customFormat="false" ht="12.8" hidden="false" customHeight="false" outlineLevel="0" collapsed="false">
      <c r="A163" s="0"/>
      <c r="B163" s="0"/>
      <c r="D163" s="0"/>
    </row>
    <row r="164" customFormat="false" ht="12.8" hidden="false" customHeight="false" outlineLevel="0" collapsed="false">
      <c r="A164" s="28" t="str">
        <f aca="false">_xlfn.CONCAT($A$1, ".", "WAVG")</f>
        <v>LSD.RID.0.AL.PARAM.WAVG</v>
      </c>
      <c r="B164" s="0" t="s">
        <v>1354</v>
      </c>
      <c r="D164" s="0"/>
    </row>
    <row r="165" customFormat="false" ht="12.8" hidden="false" customHeight="false" outlineLevel="0" collapsed="false">
      <c r="A165" s="0" t="s">
        <v>848</v>
      </c>
      <c r="B165" s="0" t="s">
        <v>283</v>
      </c>
      <c r="C165" s="0" t="s">
        <v>849</v>
      </c>
      <c r="D165" s="0" t="s">
        <v>286</v>
      </c>
      <c r="E165" s="0" t="s">
        <v>850</v>
      </c>
      <c r="F165" s="0" t="s">
        <v>851</v>
      </c>
      <c r="G165" s="0" t="s">
        <v>852</v>
      </c>
      <c r="H165" s="0" t="s">
        <v>287</v>
      </c>
      <c r="I165" s="0" t="s">
        <v>853</v>
      </c>
    </row>
    <row r="166" customFormat="false" ht="12.8" hidden="false" customHeight="false" outlineLevel="0" collapsed="false">
      <c r="A166" s="0" t="s">
        <v>1355</v>
      </c>
      <c r="B166" s="0" t="s">
        <v>1356</v>
      </c>
      <c r="C166" s="0" t="s">
        <v>1357</v>
      </c>
      <c r="D166" s="0" t="s">
        <v>1358</v>
      </c>
      <c r="E166" s="0" t="s">
        <v>857</v>
      </c>
      <c r="F166" s="0" t="s">
        <v>1359</v>
      </c>
      <c r="G166" s="30" t="s">
        <v>859</v>
      </c>
      <c r="H166" s="0" t="s">
        <v>366</v>
      </c>
      <c r="I166" s="0" t="s">
        <v>145</v>
      </c>
    </row>
    <row r="167" customFormat="false" ht="12.8" hidden="false" customHeight="false" outlineLevel="0" collapsed="false">
      <c r="A167" s="0" t="s">
        <v>1360</v>
      </c>
      <c r="B167" s="0" t="s">
        <v>1361</v>
      </c>
      <c r="C167" s="0" t="s">
        <v>1362</v>
      </c>
      <c r="D167" s="0" t="s">
        <v>1363</v>
      </c>
      <c r="E167" s="0" t="s">
        <v>857</v>
      </c>
      <c r="F167" s="0" t="s">
        <v>1364</v>
      </c>
      <c r="G167" s="30" t="s">
        <v>859</v>
      </c>
      <c r="H167" s="0" t="s">
        <v>1051</v>
      </c>
      <c r="I167" s="0" t="s">
        <v>145</v>
      </c>
    </row>
    <row r="168" customFormat="false" ht="12.8" hidden="false" customHeight="false" outlineLevel="0" collapsed="false">
      <c r="A168" s="0" t="s">
        <v>1365</v>
      </c>
      <c r="B168" s="0" t="s">
        <v>1366</v>
      </c>
      <c r="C168" s="0" t="s">
        <v>1367</v>
      </c>
      <c r="D168" s="0" t="s">
        <v>1368</v>
      </c>
      <c r="E168" s="0" t="s">
        <v>857</v>
      </c>
      <c r="F168" s="0" t="s">
        <v>976</v>
      </c>
      <c r="G168" s="30" t="s">
        <v>859</v>
      </c>
      <c r="H168" s="0" t="s">
        <v>366</v>
      </c>
      <c r="I168" s="0" t="s">
        <v>145</v>
      </c>
    </row>
    <row r="169" customFormat="false" ht="12.8" hidden="false" customHeight="false" outlineLevel="0" collapsed="false">
      <c r="A169" s="0" t="s">
        <v>1369</v>
      </c>
      <c r="B169" s="0" t="s">
        <v>1370</v>
      </c>
      <c r="C169" s="0" t="s">
        <v>1371</v>
      </c>
      <c r="D169" s="0" t="s">
        <v>1372</v>
      </c>
      <c r="E169" s="0" t="s">
        <v>857</v>
      </c>
      <c r="F169" s="0" t="s">
        <v>1373</v>
      </c>
      <c r="G169" s="30" t="s">
        <v>859</v>
      </c>
      <c r="H169" s="0" t="s">
        <v>1072</v>
      </c>
      <c r="I169" s="0" t="s">
        <v>145</v>
      </c>
    </row>
    <row r="170" customFormat="false" ht="12.8" hidden="false" customHeight="false" outlineLevel="0" collapsed="false">
      <c r="A170" s="0" t="s">
        <v>1374</v>
      </c>
      <c r="B170" s="0" t="s">
        <v>1375</v>
      </c>
      <c r="C170" s="0" t="n">
        <v>4</v>
      </c>
      <c r="D170" s="0" t="s">
        <v>1376</v>
      </c>
      <c r="E170" s="0" t="s">
        <v>857</v>
      </c>
      <c r="F170" s="0" t="s">
        <v>1064</v>
      </c>
      <c r="G170" s="30" t="s">
        <v>859</v>
      </c>
      <c r="H170" s="0" t="s">
        <v>366</v>
      </c>
      <c r="I170" s="0" t="s">
        <v>145</v>
      </c>
    </row>
    <row r="171" customFormat="false" ht="12.8" hidden="false" customHeight="false" outlineLevel="0" collapsed="false">
      <c r="A171" s="0" t="s">
        <v>1377</v>
      </c>
      <c r="B171" s="0" t="s">
        <v>1378</v>
      </c>
      <c r="C171" s="0" t="n">
        <v>31.96</v>
      </c>
      <c r="D171" s="0" t="s">
        <v>1379</v>
      </c>
      <c r="E171" s="0" t="s">
        <v>857</v>
      </c>
      <c r="F171" s="0" t="s">
        <v>942</v>
      </c>
      <c r="G171" s="30" t="s">
        <v>859</v>
      </c>
      <c r="H171" s="0" t="s">
        <v>366</v>
      </c>
      <c r="I171" s="0" t="s">
        <v>145</v>
      </c>
    </row>
    <row r="172" customFormat="false" ht="12.8" hidden="false" customHeight="false" outlineLevel="0" collapsed="false">
      <c r="A172" s="0" t="s">
        <v>1380</v>
      </c>
      <c r="B172" s="0" t="s">
        <v>1381</v>
      </c>
      <c r="C172" s="0" t="s">
        <v>1008</v>
      </c>
      <c r="D172" s="0" t="s">
        <v>1382</v>
      </c>
      <c r="E172" s="0" t="s">
        <v>857</v>
      </c>
      <c r="F172" s="0" t="s">
        <v>942</v>
      </c>
      <c r="G172" s="30" t="s">
        <v>859</v>
      </c>
      <c r="H172" s="0" t="s">
        <v>366</v>
      </c>
      <c r="I172" s="0" t="s">
        <v>145</v>
      </c>
    </row>
    <row r="173" customFormat="false" ht="12.8" hidden="false" customHeight="false" outlineLevel="0" collapsed="false">
      <c r="A173" s="0"/>
      <c r="B173" s="0"/>
      <c r="D173" s="0"/>
    </row>
    <row r="174" customFormat="false" ht="12.8" hidden="false" customHeight="false" outlineLevel="0" collapsed="false">
      <c r="A174" s="28" t="str">
        <f aca="false">_xlfn.CONCAT($A$1, ".", "WRAVG")</f>
        <v>LSD.RID.0.AL.PARAM.WRAVG</v>
      </c>
      <c r="B174" s="0" t="s">
        <v>1383</v>
      </c>
      <c r="D174" s="0"/>
    </row>
    <row r="175" customFormat="false" ht="12.8" hidden="false" customHeight="false" outlineLevel="0" collapsed="false">
      <c r="A175" s="0" t="s">
        <v>848</v>
      </c>
      <c r="B175" s="0" t="s">
        <v>283</v>
      </c>
      <c r="C175" s="0" t="s">
        <v>849</v>
      </c>
      <c r="D175" s="0" t="s">
        <v>286</v>
      </c>
      <c r="E175" s="0" t="s">
        <v>850</v>
      </c>
      <c r="F175" s="0" t="s">
        <v>851</v>
      </c>
      <c r="G175" s="0" t="s">
        <v>852</v>
      </c>
      <c r="H175" s="0" t="s">
        <v>287</v>
      </c>
      <c r="I175" s="0" t="s">
        <v>853</v>
      </c>
    </row>
    <row r="176" customFormat="false" ht="12.8" hidden="false" customHeight="false" outlineLevel="0" collapsed="false">
      <c r="A176" s="0" t="s">
        <v>1384</v>
      </c>
      <c r="B176" s="0" t="s">
        <v>1385</v>
      </c>
      <c r="C176" s="0" t="s">
        <v>1386</v>
      </c>
      <c r="D176" s="0" t="s">
        <v>1387</v>
      </c>
      <c r="E176" s="0" t="s">
        <v>857</v>
      </c>
      <c r="F176" s="0" t="s">
        <v>1388</v>
      </c>
      <c r="G176" s="30" t="s">
        <v>859</v>
      </c>
      <c r="H176" s="0" t="s">
        <v>366</v>
      </c>
      <c r="I176" s="0" t="s">
        <v>1389</v>
      </c>
    </row>
    <row r="177" customFormat="false" ht="12.8" hidden="false" customHeight="false" outlineLevel="0" collapsed="false">
      <c r="A177" s="0" t="s">
        <v>1390</v>
      </c>
      <c r="B177" s="0" t="s">
        <v>1391</v>
      </c>
      <c r="C177" s="0" t="s">
        <v>1054</v>
      </c>
      <c r="D177" s="0" t="s">
        <v>1392</v>
      </c>
      <c r="E177" s="0" t="s">
        <v>857</v>
      </c>
      <c r="F177" s="0" t="s">
        <v>1388</v>
      </c>
      <c r="G177" s="30" t="s">
        <v>859</v>
      </c>
      <c r="H177" s="0" t="s">
        <v>366</v>
      </c>
      <c r="I177" s="0" t="s">
        <v>1389</v>
      </c>
    </row>
    <row r="178" customFormat="false" ht="12.8" hidden="false" customHeight="false" outlineLevel="0" collapsed="false">
      <c r="A178" s="0" t="s">
        <v>1393</v>
      </c>
      <c r="B178" s="0" t="s">
        <v>1394</v>
      </c>
      <c r="C178" s="0" t="s">
        <v>1395</v>
      </c>
      <c r="D178" s="0" t="s">
        <v>1396</v>
      </c>
      <c r="E178" s="0" t="s">
        <v>857</v>
      </c>
      <c r="F178" s="0" t="s">
        <v>1364</v>
      </c>
      <c r="G178" s="30" t="s">
        <v>859</v>
      </c>
      <c r="H178" s="0" t="s">
        <v>1051</v>
      </c>
      <c r="I178" s="0" t="s">
        <v>1389</v>
      </c>
    </row>
    <row r="179" customFormat="false" ht="12.8" hidden="false" customHeight="false" outlineLevel="0" collapsed="false">
      <c r="A179" s="0" t="s">
        <v>1397</v>
      </c>
      <c r="B179" s="0" t="s">
        <v>1398</v>
      </c>
      <c r="C179" s="0" t="s">
        <v>1399</v>
      </c>
      <c r="D179" s="0" t="s">
        <v>1400</v>
      </c>
      <c r="E179" s="0" t="s">
        <v>857</v>
      </c>
      <c r="F179" s="0" t="s">
        <v>1364</v>
      </c>
      <c r="G179" s="30" t="s">
        <v>859</v>
      </c>
      <c r="H179" s="0" t="s">
        <v>366</v>
      </c>
      <c r="I179" s="0" t="s">
        <v>1389</v>
      </c>
    </row>
    <row r="180" customFormat="false" ht="12.8" hidden="false" customHeight="false" outlineLevel="0" collapsed="false">
      <c r="A180" s="0" t="s">
        <v>1401</v>
      </c>
      <c r="B180" s="0" t="s">
        <v>1402</v>
      </c>
      <c r="C180" s="0" t="s">
        <v>1403</v>
      </c>
      <c r="D180" s="0" t="s">
        <v>1404</v>
      </c>
      <c r="E180" s="0" t="s">
        <v>857</v>
      </c>
      <c r="F180" s="0" t="s">
        <v>976</v>
      </c>
      <c r="G180" s="30" t="s">
        <v>859</v>
      </c>
      <c r="H180" s="0" t="s">
        <v>366</v>
      </c>
      <c r="I180" s="0" t="s">
        <v>1389</v>
      </c>
    </row>
    <row r="181" customFormat="false" ht="12.8" hidden="false" customHeight="false" outlineLevel="0" collapsed="false">
      <c r="A181" s="0" t="s">
        <v>1405</v>
      </c>
      <c r="B181" s="0" t="s">
        <v>1406</v>
      </c>
      <c r="C181" s="0" t="s">
        <v>1407</v>
      </c>
      <c r="D181" s="0" t="s">
        <v>1408</v>
      </c>
      <c r="E181" s="0" t="s">
        <v>857</v>
      </c>
      <c r="F181" s="0" t="s">
        <v>976</v>
      </c>
      <c r="G181" s="30" t="s">
        <v>859</v>
      </c>
      <c r="H181" s="0" t="s">
        <v>366</v>
      </c>
      <c r="I181" s="0" t="s">
        <v>1389</v>
      </c>
    </row>
    <row r="182" customFormat="false" ht="12.8" hidden="false" customHeight="false" outlineLevel="0" collapsed="false">
      <c r="A182" s="0" t="s">
        <v>1409</v>
      </c>
      <c r="B182" s="0" t="s">
        <v>1410</v>
      </c>
      <c r="C182" s="0" t="n">
        <v>4</v>
      </c>
      <c r="D182" s="0" t="s">
        <v>1411</v>
      </c>
      <c r="E182" s="0" t="s">
        <v>857</v>
      </c>
      <c r="F182" s="0" t="s">
        <v>1064</v>
      </c>
      <c r="G182" s="30" t="s">
        <v>859</v>
      </c>
      <c r="H182" s="0" t="s">
        <v>366</v>
      </c>
      <c r="I182" s="0" t="s">
        <v>1389</v>
      </c>
    </row>
    <row r="183" customFormat="false" ht="12.8" hidden="false" customHeight="false" outlineLevel="0" collapsed="false">
      <c r="A183" s="0" t="s">
        <v>1412</v>
      </c>
      <c r="B183" s="0" t="s">
        <v>1413</v>
      </c>
      <c r="C183" s="0" t="s">
        <v>1414</v>
      </c>
      <c r="D183" s="0" t="s">
        <v>1415</v>
      </c>
      <c r="E183" s="0" t="s">
        <v>857</v>
      </c>
      <c r="F183" s="0" t="s">
        <v>942</v>
      </c>
      <c r="G183" s="30" t="s">
        <v>859</v>
      </c>
      <c r="H183" s="0" t="s">
        <v>366</v>
      </c>
      <c r="I183" s="0" t="s">
        <v>1389</v>
      </c>
    </row>
    <row r="184" customFormat="false" ht="12.8" hidden="false" customHeight="false" outlineLevel="0" collapsed="false">
      <c r="A184" s="0"/>
      <c r="B184" s="0"/>
      <c r="D184" s="0"/>
    </row>
    <row r="185" customFormat="false" ht="12.8" hidden="false" customHeight="false" outlineLevel="0" collapsed="false">
      <c r="A185" s="28" t="str">
        <f aca="false">_xlfn.CONCAT($A$1, ".", "AIAVG")</f>
        <v>LSD.RID.0.AL.PARAM.AIAVG</v>
      </c>
      <c r="B185" s="0" t="s">
        <v>1416</v>
      </c>
      <c r="D185" s="0"/>
    </row>
    <row r="186" customFormat="false" ht="12.8" hidden="false" customHeight="false" outlineLevel="0" collapsed="false">
      <c r="A186" s="0" t="s">
        <v>848</v>
      </c>
      <c r="B186" s="0" t="s">
        <v>283</v>
      </c>
      <c r="C186" s="0" t="s">
        <v>849</v>
      </c>
      <c r="D186" s="0" t="s">
        <v>286</v>
      </c>
      <c r="E186" s="0" t="s">
        <v>850</v>
      </c>
      <c r="F186" s="0" t="s">
        <v>851</v>
      </c>
      <c r="G186" s="0" t="s">
        <v>852</v>
      </c>
      <c r="H186" s="0" t="s">
        <v>287</v>
      </c>
      <c r="I186" s="0" t="s">
        <v>853</v>
      </c>
    </row>
    <row r="187" customFormat="false" ht="12.8" hidden="false" customHeight="false" outlineLevel="0" collapsed="false">
      <c r="A187" s="0" t="s">
        <v>1417</v>
      </c>
      <c r="B187" s="0" t="s">
        <v>1418</v>
      </c>
      <c r="C187" s="0" t="s">
        <v>1419</v>
      </c>
      <c r="D187" s="0" t="s">
        <v>1420</v>
      </c>
      <c r="E187" s="0" t="s">
        <v>857</v>
      </c>
      <c r="F187" s="0" t="s">
        <v>1144</v>
      </c>
      <c r="G187" s="30" t="s">
        <v>859</v>
      </c>
      <c r="H187" s="0" t="s">
        <v>366</v>
      </c>
      <c r="I187" s="0" t="s">
        <v>148</v>
      </c>
    </row>
    <row r="188" customFormat="false" ht="12.8" hidden="false" customHeight="false" outlineLevel="0" collapsed="false">
      <c r="A188" s="0" t="s">
        <v>1421</v>
      </c>
      <c r="B188" s="0" t="s">
        <v>1422</v>
      </c>
      <c r="C188" s="0" t="s">
        <v>1423</v>
      </c>
      <c r="D188" s="0" t="s">
        <v>1424</v>
      </c>
      <c r="E188" s="0" t="s">
        <v>857</v>
      </c>
      <c r="F188" s="0" t="s">
        <v>976</v>
      </c>
      <c r="G188" s="30" t="s">
        <v>859</v>
      </c>
      <c r="H188" s="0" t="s">
        <v>366</v>
      </c>
      <c r="I188" s="0" t="s">
        <v>148</v>
      </c>
    </row>
    <row r="189" customFormat="false" ht="12.8" hidden="false" customHeight="false" outlineLevel="0" collapsed="false">
      <c r="A189" s="0" t="s">
        <v>1425</v>
      </c>
      <c r="B189" s="0" t="s">
        <v>1426</v>
      </c>
      <c r="C189" s="0" t="s">
        <v>1362</v>
      </c>
      <c r="D189" s="0" t="s">
        <v>1427</v>
      </c>
      <c r="E189" s="0" t="s">
        <v>857</v>
      </c>
      <c r="F189" s="0" t="s">
        <v>1071</v>
      </c>
      <c r="G189" s="30" t="s">
        <v>859</v>
      </c>
      <c r="H189" s="0" t="s">
        <v>1051</v>
      </c>
      <c r="I189" s="0" t="s">
        <v>148</v>
      </c>
    </row>
    <row r="190" customFormat="false" ht="12.8" hidden="false" customHeight="false" outlineLevel="0" collapsed="false">
      <c r="A190" s="0" t="s">
        <v>1428</v>
      </c>
      <c r="B190" s="0" t="s">
        <v>1429</v>
      </c>
      <c r="C190" s="0" t="s">
        <v>1367</v>
      </c>
      <c r="D190" s="0" t="s">
        <v>1430</v>
      </c>
      <c r="E190" s="0" t="s">
        <v>857</v>
      </c>
      <c r="F190" s="0" t="s">
        <v>976</v>
      </c>
      <c r="G190" s="30" t="s">
        <v>859</v>
      </c>
      <c r="H190" s="0" t="s">
        <v>366</v>
      </c>
      <c r="I190" s="0" t="s">
        <v>148</v>
      </c>
    </row>
    <row r="191" customFormat="false" ht="12.8" hidden="false" customHeight="false" outlineLevel="0" collapsed="false">
      <c r="A191" s="0" t="s">
        <v>1431</v>
      </c>
      <c r="B191" s="0" t="s">
        <v>1432</v>
      </c>
      <c r="C191" s="0" t="s">
        <v>1423</v>
      </c>
      <c r="D191" s="0" t="s">
        <v>1433</v>
      </c>
      <c r="E191" s="0" t="s">
        <v>857</v>
      </c>
      <c r="F191" s="0" t="s">
        <v>976</v>
      </c>
      <c r="G191" s="30" t="s">
        <v>859</v>
      </c>
      <c r="H191" s="0" t="s">
        <v>366</v>
      </c>
      <c r="I191" s="0" t="s">
        <v>148</v>
      </c>
    </row>
    <row r="192" customFormat="false" ht="12.8" hidden="false" customHeight="false" outlineLevel="0" collapsed="false">
      <c r="A192" s="0" t="s">
        <v>1434</v>
      </c>
      <c r="B192" s="0" t="s">
        <v>1435</v>
      </c>
      <c r="C192" s="0" t="n">
        <v>4</v>
      </c>
      <c r="D192" s="0" t="s">
        <v>1436</v>
      </c>
      <c r="E192" s="0" t="s">
        <v>857</v>
      </c>
      <c r="F192" s="0" t="s">
        <v>1064</v>
      </c>
      <c r="G192" s="30" t="s">
        <v>859</v>
      </c>
      <c r="H192" s="0" t="s">
        <v>366</v>
      </c>
      <c r="I192" s="0" t="s">
        <v>148</v>
      </c>
    </row>
    <row r="193" customFormat="false" ht="12.8" hidden="false" customHeight="false" outlineLevel="0" collapsed="false">
      <c r="A193" s="0" t="s">
        <v>1437</v>
      </c>
      <c r="B193" s="0" t="s">
        <v>1438</v>
      </c>
      <c r="C193" s="0" t="n">
        <v>66477</v>
      </c>
      <c r="D193" s="0" t="s">
        <v>1439</v>
      </c>
      <c r="E193" s="0" t="s">
        <v>857</v>
      </c>
      <c r="F193" s="0" t="s">
        <v>942</v>
      </c>
      <c r="G193" s="30" t="s">
        <v>859</v>
      </c>
      <c r="H193" s="0" t="s">
        <v>366</v>
      </c>
      <c r="I193" s="0" t="s">
        <v>148</v>
      </c>
    </row>
    <row r="194" customFormat="false" ht="12.8" hidden="false" customHeight="false" outlineLevel="0" collapsed="false">
      <c r="A194" s="0" t="s">
        <v>1440</v>
      </c>
      <c r="B194" s="0" t="s">
        <v>1441</v>
      </c>
      <c r="C194" s="0" t="s">
        <v>952</v>
      </c>
      <c r="D194" s="0" t="s">
        <v>1442</v>
      </c>
      <c r="E194" s="0" t="s">
        <v>857</v>
      </c>
      <c r="F194" s="0" t="s">
        <v>942</v>
      </c>
      <c r="G194" s="30" t="s">
        <v>859</v>
      </c>
      <c r="H194" s="0" t="s">
        <v>366</v>
      </c>
      <c r="I194" s="0" t="s">
        <v>148</v>
      </c>
    </row>
    <row r="195" customFormat="false" ht="12.8" hidden="false" customHeight="false" outlineLevel="0" collapsed="false">
      <c r="A195" s="0"/>
      <c r="B195" s="0"/>
      <c r="D195" s="0"/>
    </row>
    <row r="196" customFormat="false" ht="12.8" hidden="false" customHeight="false" outlineLevel="0" collapsed="false">
      <c r="A196" s="28" t="str">
        <f aca="false">_xlfn.CONCAT($A$1, ".", "AIRAVG")</f>
        <v>LSD.RID.0.AL.PARAM.AIRAVG</v>
      </c>
      <c r="B196" s="0" t="s">
        <v>1443</v>
      </c>
      <c r="D196" s="0"/>
    </row>
    <row r="197" customFormat="false" ht="12.8" hidden="false" customHeight="false" outlineLevel="0" collapsed="false">
      <c r="A197" s="0" t="s">
        <v>848</v>
      </c>
      <c r="B197" s="0" t="s">
        <v>283</v>
      </c>
      <c r="C197" s="0" t="s">
        <v>849</v>
      </c>
      <c r="D197" s="0" t="s">
        <v>286</v>
      </c>
      <c r="E197" s="0" t="s">
        <v>850</v>
      </c>
      <c r="F197" s="0" t="s">
        <v>851</v>
      </c>
      <c r="G197" s="0" t="s">
        <v>852</v>
      </c>
      <c r="H197" s="0" t="s">
        <v>287</v>
      </c>
      <c r="I197" s="0" t="s">
        <v>853</v>
      </c>
    </row>
    <row r="198" customFormat="false" ht="12.8" hidden="false" customHeight="false" outlineLevel="0" collapsed="false">
      <c r="A198" s="0" t="s">
        <v>1444</v>
      </c>
      <c r="B198" s="0" t="s">
        <v>1445</v>
      </c>
      <c r="C198" s="0" t="s">
        <v>1386</v>
      </c>
      <c r="D198" s="0" t="s">
        <v>1446</v>
      </c>
      <c r="E198" s="0" t="s">
        <v>857</v>
      </c>
      <c r="F198" s="0" t="s">
        <v>1447</v>
      </c>
      <c r="G198" s="30" t="s">
        <v>859</v>
      </c>
      <c r="H198" s="0" t="s">
        <v>366</v>
      </c>
      <c r="I198" s="0" t="s">
        <v>1448</v>
      </c>
    </row>
    <row r="199" customFormat="false" ht="12.8" hidden="false" customHeight="false" outlineLevel="0" collapsed="false">
      <c r="A199" s="0" t="s">
        <v>1449</v>
      </c>
      <c r="B199" s="0" t="s">
        <v>1450</v>
      </c>
      <c r="C199" s="0" t="s">
        <v>1054</v>
      </c>
      <c r="D199" s="0" t="s">
        <v>1451</v>
      </c>
      <c r="E199" s="0" t="s">
        <v>857</v>
      </c>
      <c r="F199" s="0" t="s">
        <v>1447</v>
      </c>
      <c r="G199" s="30" t="s">
        <v>859</v>
      </c>
      <c r="H199" s="0" t="s">
        <v>366</v>
      </c>
      <c r="I199" s="0" t="s">
        <v>1448</v>
      </c>
    </row>
    <row r="200" customFormat="false" ht="12.8" hidden="false" customHeight="false" outlineLevel="0" collapsed="false">
      <c r="A200" s="0" t="s">
        <v>1452</v>
      </c>
      <c r="B200" s="0" t="s">
        <v>1453</v>
      </c>
      <c r="C200" s="0" t="s">
        <v>1395</v>
      </c>
      <c r="D200" s="0" t="s">
        <v>1454</v>
      </c>
      <c r="E200" s="0" t="s">
        <v>857</v>
      </c>
      <c r="F200" s="0" t="s">
        <v>1071</v>
      </c>
      <c r="G200" s="30" t="s">
        <v>859</v>
      </c>
      <c r="H200" s="0" t="s">
        <v>1051</v>
      </c>
      <c r="I200" s="0" t="s">
        <v>1448</v>
      </c>
    </row>
    <row r="201" customFormat="false" ht="12.8" hidden="false" customHeight="false" outlineLevel="0" collapsed="false">
      <c r="A201" s="0" t="s">
        <v>1455</v>
      </c>
      <c r="B201" s="0" t="s">
        <v>1456</v>
      </c>
      <c r="C201" s="0" t="s">
        <v>1399</v>
      </c>
      <c r="D201" s="0" t="s">
        <v>1457</v>
      </c>
      <c r="E201" s="0" t="s">
        <v>857</v>
      </c>
      <c r="F201" s="0" t="s">
        <v>1071</v>
      </c>
      <c r="G201" s="30" t="s">
        <v>859</v>
      </c>
      <c r="H201" s="0" t="s">
        <v>366</v>
      </c>
      <c r="I201" s="0" t="s">
        <v>1448</v>
      </c>
    </row>
    <row r="202" customFormat="false" ht="12.8" hidden="false" customHeight="false" outlineLevel="0" collapsed="false">
      <c r="A202" s="0" t="s">
        <v>1458</v>
      </c>
      <c r="B202" s="0" t="s">
        <v>1459</v>
      </c>
      <c r="C202" s="0" t="s">
        <v>1403</v>
      </c>
      <c r="D202" s="0" t="s">
        <v>1460</v>
      </c>
      <c r="E202" s="0" t="s">
        <v>857</v>
      </c>
      <c r="F202" s="0" t="s">
        <v>976</v>
      </c>
      <c r="G202" s="30" t="s">
        <v>859</v>
      </c>
      <c r="H202" s="0" t="s">
        <v>366</v>
      </c>
      <c r="I202" s="0" t="s">
        <v>1448</v>
      </c>
    </row>
    <row r="203" customFormat="false" ht="12.8" hidden="false" customHeight="false" outlineLevel="0" collapsed="false">
      <c r="A203" s="0" t="s">
        <v>1461</v>
      </c>
      <c r="B203" s="0" t="s">
        <v>1462</v>
      </c>
      <c r="C203" s="0" t="s">
        <v>1407</v>
      </c>
      <c r="D203" s="0" t="s">
        <v>1463</v>
      </c>
      <c r="E203" s="0" t="s">
        <v>857</v>
      </c>
      <c r="F203" s="0" t="s">
        <v>976</v>
      </c>
      <c r="G203" s="30" t="s">
        <v>859</v>
      </c>
      <c r="H203" s="0" t="s">
        <v>366</v>
      </c>
      <c r="I203" s="0" t="s">
        <v>1448</v>
      </c>
    </row>
    <row r="204" customFormat="false" ht="12.8" hidden="false" customHeight="false" outlineLevel="0" collapsed="false">
      <c r="A204" s="0" t="s">
        <v>1464</v>
      </c>
      <c r="B204" s="0" t="s">
        <v>1465</v>
      </c>
      <c r="C204" s="0" t="n">
        <v>4</v>
      </c>
      <c r="D204" s="0" t="s">
        <v>1466</v>
      </c>
      <c r="E204" s="0" t="s">
        <v>857</v>
      </c>
      <c r="F204" s="0" t="s">
        <v>1064</v>
      </c>
      <c r="G204" s="30" t="s">
        <v>859</v>
      </c>
      <c r="H204" s="0" t="s">
        <v>366</v>
      </c>
      <c r="I204" s="0" t="s">
        <v>1448</v>
      </c>
    </row>
    <row r="205" customFormat="false" ht="12.8" hidden="false" customHeight="false" outlineLevel="0" collapsed="false">
      <c r="A205" s="0" t="s">
        <v>1467</v>
      </c>
      <c r="B205" s="0" t="s">
        <v>1468</v>
      </c>
      <c r="C205" s="0" t="s">
        <v>1469</v>
      </c>
      <c r="D205" s="0" t="s">
        <v>1470</v>
      </c>
      <c r="E205" s="0" t="s">
        <v>857</v>
      </c>
      <c r="F205" s="0" t="s">
        <v>942</v>
      </c>
      <c r="G205" s="30" t="s">
        <v>859</v>
      </c>
      <c r="H205" s="0" t="s">
        <v>366</v>
      </c>
      <c r="I205" s="0" t="s">
        <v>1448</v>
      </c>
    </row>
    <row r="206" customFormat="false" ht="12.8" hidden="false" customHeight="false" outlineLevel="0" collapsed="false">
      <c r="A206" s="0"/>
      <c r="B206" s="0"/>
      <c r="D206" s="0"/>
    </row>
    <row r="207" customFormat="false" ht="12.8" hidden="false" customHeight="false" outlineLevel="0" collapsed="false">
      <c r="A207" s="28" t="str">
        <f aca="false">_xlfn.CONCAT($A$1, ".", "AWHW")</f>
        <v>LSD.RID.0.AL.PARAM.AWHW</v>
      </c>
      <c r="B207" s="0" t="s">
        <v>1471</v>
      </c>
      <c r="D207" s="0"/>
    </row>
    <row r="208" customFormat="false" ht="12.8" hidden="false" customHeight="false" outlineLevel="0" collapsed="false">
      <c r="A208" s="0" t="s">
        <v>848</v>
      </c>
      <c r="B208" s="0" t="s">
        <v>283</v>
      </c>
      <c r="C208" s="0" t="s">
        <v>849</v>
      </c>
      <c r="D208" s="0" t="s">
        <v>286</v>
      </c>
      <c r="E208" s="0" t="s">
        <v>850</v>
      </c>
      <c r="F208" s="0" t="s">
        <v>851</v>
      </c>
      <c r="G208" s="0" t="s">
        <v>852</v>
      </c>
      <c r="H208" s="0" t="s">
        <v>287</v>
      </c>
      <c r="I208" s="0" t="s">
        <v>853</v>
      </c>
    </row>
    <row r="209" customFormat="false" ht="12.8" hidden="false" customHeight="false" outlineLevel="0" collapsed="false">
      <c r="A209" s="0" t="s">
        <v>1472</v>
      </c>
      <c r="B209" s="0" t="s">
        <v>1473</v>
      </c>
      <c r="C209" s="0" t="s">
        <v>1474</v>
      </c>
      <c r="D209" s="0" t="s">
        <v>1475</v>
      </c>
      <c r="E209" s="0" t="s">
        <v>857</v>
      </c>
      <c r="F209" s="0" t="s">
        <v>1144</v>
      </c>
      <c r="G209" s="30" t="s">
        <v>859</v>
      </c>
      <c r="H209" s="0" t="s">
        <v>366</v>
      </c>
      <c r="I209" s="0" t="s">
        <v>169</v>
      </c>
    </row>
    <row r="210" customFormat="false" ht="12.8" hidden="false" customHeight="false" outlineLevel="0" collapsed="false">
      <c r="A210" s="0" t="s">
        <v>1476</v>
      </c>
      <c r="B210" s="0" t="s">
        <v>1477</v>
      </c>
      <c r="C210" s="0" t="s">
        <v>1478</v>
      </c>
      <c r="D210" s="0" t="s">
        <v>1479</v>
      </c>
      <c r="E210" s="0" t="s">
        <v>857</v>
      </c>
      <c r="F210" s="0" t="s">
        <v>1373</v>
      </c>
      <c r="G210" s="30" t="s">
        <v>859</v>
      </c>
      <c r="H210" s="0" t="s">
        <v>1051</v>
      </c>
      <c r="I210" s="0" t="s">
        <v>169</v>
      </c>
    </row>
    <row r="211" customFormat="false" ht="12.8" hidden="false" customHeight="false" outlineLevel="0" collapsed="false">
      <c r="A211" s="0" t="s">
        <v>1480</v>
      </c>
      <c r="B211" s="0" t="s">
        <v>1481</v>
      </c>
      <c r="C211" s="0" t="s">
        <v>1482</v>
      </c>
      <c r="D211" s="0" t="s">
        <v>1483</v>
      </c>
      <c r="E211" s="0" t="s">
        <v>857</v>
      </c>
      <c r="F211" s="0" t="s">
        <v>976</v>
      </c>
      <c r="G211" s="30" t="s">
        <v>859</v>
      </c>
      <c r="H211" s="0" t="s">
        <v>366</v>
      </c>
      <c r="I211" s="0" t="s">
        <v>169</v>
      </c>
    </row>
    <row r="212" customFormat="false" ht="12.8" hidden="false" customHeight="false" outlineLevel="0" collapsed="false">
      <c r="A212" s="0" t="s">
        <v>1484</v>
      </c>
      <c r="B212" s="0" t="s">
        <v>1485</v>
      </c>
      <c r="C212" s="0" t="s">
        <v>1058</v>
      </c>
      <c r="D212" s="0" t="s">
        <v>1486</v>
      </c>
      <c r="E212" s="0" t="s">
        <v>857</v>
      </c>
      <c r="F212" s="0" t="s">
        <v>1060</v>
      </c>
      <c r="G212" s="30" t="s">
        <v>859</v>
      </c>
      <c r="H212" s="0" t="s">
        <v>366</v>
      </c>
      <c r="I212" s="0" t="s">
        <v>169</v>
      </c>
    </row>
    <row r="213" customFormat="false" ht="12.8" hidden="false" customHeight="false" outlineLevel="0" collapsed="false">
      <c r="A213" s="0" t="s">
        <v>1487</v>
      </c>
      <c r="B213" s="0" t="s">
        <v>1488</v>
      </c>
      <c r="C213" s="0" t="n">
        <v>4</v>
      </c>
      <c r="D213" s="0" t="s">
        <v>1489</v>
      </c>
      <c r="E213" s="0" t="s">
        <v>857</v>
      </c>
      <c r="F213" s="0" t="s">
        <v>1064</v>
      </c>
      <c r="G213" s="30" t="s">
        <v>859</v>
      </c>
      <c r="H213" s="0" t="s">
        <v>366</v>
      </c>
      <c r="I213" s="0" t="s">
        <v>169</v>
      </c>
    </row>
    <row r="214" customFormat="false" ht="12.8" hidden="false" customHeight="false" outlineLevel="0" collapsed="false">
      <c r="A214" s="0" t="s">
        <v>1490</v>
      </c>
      <c r="B214" s="0" t="s">
        <v>1491</v>
      </c>
      <c r="C214" s="0" t="n">
        <v>38.8</v>
      </c>
      <c r="D214" s="0" t="s">
        <v>1492</v>
      </c>
      <c r="E214" s="0" t="s">
        <v>857</v>
      </c>
      <c r="F214" s="0" t="s">
        <v>942</v>
      </c>
      <c r="G214" s="30" t="s">
        <v>859</v>
      </c>
      <c r="H214" s="0" t="s">
        <v>366</v>
      </c>
      <c r="I214" s="0" t="s">
        <v>169</v>
      </c>
    </row>
    <row r="215" customFormat="false" ht="12.8" hidden="false" customHeight="false" outlineLevel="0" collapsed="false">
      <c r="A215" s="0" t="s">
        <v>1493</v>
      </c>
      <c r="B215" s="0" t="s">
        <v>1494</v>
      </c>
      <c r="C215" s="0" t="s">
        <v>1495</v>
      </c>
      <c r="D215" s="0" t="s">
        <v>1496</v>
      </c>
      <c r="E215" s="0" t="s">
        <v>857</v>
      </c>
      <c r="F215" s="0" t="s">
        <v>942</v>
      </c>
      <c r="G215" s="30" t="s">
        <v>859</v>
      </c>
      <c r="H215" s="0" t="s">
        <v>366</v>
      </c>
      <c r="I215" s="0" t="s">
        <v>169</v>
      </c>
    </row>
    <row r="216" customFormat="false" ht="12.8" hidden="false" customHeight="false" outlineLevel="0" collapsed="false">
      <c r="A216" s="0"/>
      <c r="B216" s="0"/>
      <c r="D216" s="0"/>
    </row>
    <row r="217" customFormat="false" ht="12.8" hidden="false" customHeight="false" outlineLevel="0" collapsed="false">
      <c r="A217" s="28" t="str">
        <f aca="false">_xlfn.CONCAT($A$1, ".", "FTER")</f>
        <v>LSD.RID.0.AL.PARAM.FTER</v>
      </c>
      <c r="B217" s="0" t="s">
        <v>1497</v>
      </c>
      <c r="D217" s="0"/>
    </row>
    <row r="218" customFormat="false" ht="12.8" hidden="false" customHeight="false" outlineLevel="0" collapsed="false">
      <c r="A218" s="0" t="s">
        <v>848</v>
      </c>
      <c r="B218" s="0" t="s">
        <v>283</v>
      </c>
      <c r="C218" s="0" t="s">
        <v>849</v>
      </c>
      <c r="D218" s="0" t="s">
        <v>286</v>
      </c>
      <c r="E218" s="0" t="s">
        <v>850</v>
      </c>
      <c r="F218" s="0" t="s">
        <v>851</v>
      </c>
      <c r="G218" s="0" t="s">
        <v>852</v>
      </c>
      <c r="H218" s="0" t="s">
        <v>287</v>
      </c>
      <c r="I218" s="0" t="s">
        <v>853</v>
      </c>
    </row>
    <row r="219" customFormat="false" ht="12.8" hidden="false" customHeight="false" outlineLevel="0" collapsed="false">
      <c r="A219" s="0" t="s">
        <v>1498</v>
      </c>
      <c r="B219" s="0" t="s">
        <v>1499</v>
      </c>
      <c r="C219" s="0" t="s">
        <v>1500</v>
      </c>
      <c r="D219" s="0" t="s">
        <v>1501</v>
      </c>
      <c r="E219" s="0" t="s">
        <v>857</v>
      </c>
      <c r="F219" s="0" t="s">
        <v>1144</v>
      </c>
      <c r="G219" s="30" t="s">
        <v>859</v>
      </c>
      <c r="H219" s="0" t="s">
        <v>366</v>
      </c>
      <c r="I219" s="0" t="s">
        <v>172</v>
      </c>
    </row>
    <row r="220" customFormat="false" ht="12.8" hidden="false" customHeight="false" outlineLevel="0" collapsed="false">
      <c r="A220" s="0" t="s">
        <v>1502</v>
      </c>
      <c r="B220" s="0" t="s">
        <v>1503</v>
      </c>
      <c r="C220" s="0" t="s">
        <v>1504</v>
      </c>
      <c r="D220" s="0" t="s">
        <v>1505</v>
      </c>
      <c r="E220" s="0" t="s">
        <v>857</v>
      </c>
      <c r="F220" s="0" t="s">
        <v>1373</v>
      </c>
      <c r="G220" s="30" t="s">
        <v>859</v>
      </c>
      <c r="H220" s="0" t="s">
        <v>1051</v>
      </c>
      <c r="I220" s="0" t="s">
        <v>172</v>
      </c>
    </row>
    <row r="221" customFormat="false" ht="12.8" hidden="false" customHeight="false" outlineLevel="0" collapsed="false">
      <c r="A221" s="0" t="s">
        <v>1506</v>
      </c>
      <c r="B221" s="0" t="s">
        <v>1507</v>
      </c>
      <c r="C221" s="0" t="s">
        <v>1508</v>
      </c>
      <c r="D221" s="0" t="s">
        <v>1509</v>
      </c>
      <c r="E221" s="0" t="s">
        <v>857</v>
      </c>
      <c r="F221" s="0" t="s">
        <v>976</v>
      </c>
      <c r="G221" s="30" t="s">
        <v>859</v>
      </c>
      <c r="H221" s="0" t="s">
        <v>366</v>
      </c>
      <c r="I221" s="0" t="s">
        <v>172</v>
      </c>
    </row>
    <row r="222" customFormat="false" ht="12.8" hidden="false" customHeight="false" outlineLevel="0" collapsed="false">
      <c r="A222" s="0" t="s">
        <v>1510</v>
      </c>
      <c r="B222" s="0" t="s">
        <v>1511</v>
      </c>
      <c r="C222" s="0" t="s">
        <v>1058</v>
      </c>
      <c r="D222" s="0" t="s">
        <v>1512</v>
      </c>
      <c r="E222" s="0" t="s">
        <v>857</v>
      </c>
      <c r="F222" s="0" t="s">
        <v>1060</v>
      </c>
      <c r="G222" s="30" t="s">
        <v>859</v>
      </c>
      <c r="H222" s="0" t="s">
        <v>366</v>
      </c>
      <c r="I222" s="0" t="s">
        <v>172</v>
      </c>
    </row>
    <row r="223" customFormat="false" ht="12.8" hidden="false" customHeight="false" outlineLevel="0" collapsed="false">
      <c r="A223" s="0" t="s">
        <v>1513</v>
      </c>
      <c r="B223" s="0" t="s">
        <v>1514</v>
      </c>
      <c r="C223" s="0" t="n">
        <v>4</v>
      </c>
      <c r="D223" s="0" t="s">
        <v>1515</v>
      </c>
      <c r="E223" s="0" t="s">
        <v>857</v>
      </c>
      <c r="F223" s="0" t="s">
        <v>1064</v>
      </c>
      <c r="G223" s="30" t="s">
        <v>859</v>
      </c>
      <c r="H223" s="0" t="s">
        <v>366</v>
      </c>
      <c r="I223" s="0" t="s">
        <v>172</v>
      </c>
    </row>
    <row r="224" customFormat="false" ht="12.8" hidden="false" customHeight="false" outlineLevel="0" collapsed="false">
      <c r="A224" s="0" t="s">
        <v>1516</v>
      </c>
      <c r="B224" s="0" t="s">
        <v>1517</v>
      </c>
      <c r="C224" s="0" t="n">
        <v>0.82</v>
      </c>
      <c r="D224" s="0" t="s">
        <v>1518</v>
      </c>
      <c r="E224" s="0" t="s">
        <v>857</v>
      </c>
      <c r="F224" s="0" t="s">
        <v>942</v>
      </c>
      <c r="G224" s="30" t="s">
        <v>859</v>
      </c>
      <c r="H224" s="0" t="s">
        <v>366</v>
      </c>
      <c r="I224" s="0" t="s">
        <v>172</v>
      </c>
    </row>
    <row r="225" customFormat="false" ht="12.8" hidden="false" customHeight="false" outlineLevel="0" collapsed="false">
      <c r="A225" s="0"/>
      <c r="B225" s="0"/>
      <c r="D225" s="0"/>
    </row>
    <row r="226" customFormat="false" ht="12.8" hidden="false" customHeight="false" outlineLevel="0" collapsed="false">
      <c r="A226" s="28" t="str">
        <f aca="false">_xlfn.CONCAT($A$1, ".", "PTER")</f>
        <v>LSD.RID.0.AL.PARAM.PTER</v>
      </c>
      <c r="B226" s="0" t="s">
        <v>1519</v>
      </c>
      <c r="D226" s="0"/>
    </row>
    <row r="227" customFormat="false" ht="12.8" hidden="false" customHeight="false" outlineLevel="0" collapsed="false">
      <c r="A227" s="0" t="s">
        <v>848</v>
      </c>
      <c r="B227" s="0" t="s">
        <v>283</v>
      </c>
      <c r="C227" s="0" t="s">
        <v>849</v>
      </c>
      <c r="D227" s="0" t="s">
        <v>286</v>
      </c>
      <c r="E227" s="0" t="s">
        <v>850</v>
      </c>
      <c r="F227" s="0" t="s">
        <v>851</v>
      </c>
      <c r="G227" s="0" t="s">
        <v>852</v>
      </c>
      <c r="H227" s="0" t="s">
        <v>287</v>
      </c>
      <c r="I227" s="0" t="s">
        <v>853</v>
      </c>
    </row>
    <row r="228" customFormat="false" ht="12.8" hidden="false" customHeight="false" outlineLevel="0" collapsed="false">
      <c r="A228" s="0" t="s">
        <v>1520</v>
      </c>
      <c r="B228" s="0" t="s">
        <v>1521</v>
      </c>
      <c r="C228" s="0" t="s">
        <v>1522</v>
      </c>
      <c r="D228" s="0" t="s">
        <v>1523</v>
      </c>
      <c r="E228" s="0" t="s">
        <v>857</v>
      </c>
      <c r="F228" s="0" t="s">
        <v>1144</v>
      </c>
      <c r="G228" s="30" t="s">
        <v>859</v>
      </c>
      <c r="H228" s="0" t="s">
        <v>366</v>
      </c>
      <c r="I228" s="0" t="s">
        <v>175</v>
      </c>
    </row>
    <row r="229" customFormat="false" ht="12.8" hidden="false" customHeight="false" outlineLevel="0" collapsed="false">
      <c r="A229" s="0" t="s">
        <v>1524</v>
      </c>
      <c r="B229" s="0" t="s">
        <v>1525</v>
      </c>
      <c r="C229" s="0" t="s">
        <v>1526</v>
      </c>
      <c r="D229" s="0" t="s">
        <v>1527</v>
      </c>
      <c r="E229" s="0" t="s">
        <v>857</v>
      </c>
      <c r="F229" s="0" t="s">
        <v>1373</v>
      </c>
      <c r="G229" s="30" t="s">
        <v>859</v>
      </c>
      <c r="H229" s="0" t="s">
        <v>1051</v>
      </c>
      <c r="I229" s="0" t="s">
        <v>175</v>
      </c>
    </row>
    <row r="230" customFormat="false" ht="12.8" hidden="false" customHeight="false" outlineLevel="0" collapsed="false">
      <c r="A230" s="0" t="s">
        <v>1528</v>
      </c>
      <c r="B230" s="0" t="s">
        <v>1529</v>
      </c>
      <c r="C230" s="0" t="s">
        <v>1530</v>
      </c>
      <c r="D230" s="0" t="s">
        <v>1531</v>
      </c>
      <c r="E230" s="0" t="s">
        <v>857</v>
      </c>
      <c r="F230" s="0" t="s">
        <v>976</v>
      </c>
      <c r="G230" s="30" t="s">
        <v>859</v>
      </c>
      <c r="H230" s="0" t="s">
        <v>366</v>
      </c>
      <c r="I230" s="0" t="s">
        <v>175</v>
      </c>
    </row>
    <row r="231" customFormat="false" ht="12.8" hidden="false" customHeight="false" outlineLevel="0" collapsed="false">
      <c r="A231" s="0" t="s">
        <v>1532</v>
      </c>
      <c r="B231" s="0" t="s">
        <v>1533</v>
      </c>
      <c r="C231" s="0" t="s">
        <v>1058</v>
      </c>
      <c r="D231" s="0" t="s">
        <v>1534</v>
      </c>
      <c r="E231" s="0" t="s">
        <v>857</v>
      </c>
      <c r="F231" s="0" t="s">
        <v>1060</v>
      </c>
      <c r="G231" s="30" t="s">
        <v>859</v>
      </c>
      <c r="H231" s="0" t="s">
        <v>366</v>
      </c>
      <c r="I231" s="0" t="s">
        <v>175</v>
      </c>
    </row>
    <row r="232" customFormat="false" ht="12.8" hidden="false" customHeight="false" outlineLevel="0" collapsed="false">
      <c r="A232" s="0" t="s">
        <v>1535</v>
      </c>
      <c r="B232" s="0" t="s">
        <v>1536</v>
      </c>
      <c r="C232" s="0" t="n">
        <v>4</v>
      </c>
      <c r="D232" s="0" t="s">
        <v>1537</v>
      </c>
      <c r="E232" s="0" t="s">
        <v>857</v>
      </c>
      <c r="F232" s="0" t="s">
        <v>1064</v>
      </c>
      <c r="G232" s="30" t="s">
        <v>859</v>
      </c>
      <c r="H232" s="0" t="s">
        <v>366</v>
      </c>
      <c r="I232" s="0" t="s">
        <v>175</v>
      </c>
    </row>
    <row r="233" customFormat="false" ht="12.8" hidden="false" customHeight="false" outlineLevel="0" collapsed="false">
      <c r="A233" s="0" t="s">
        <v>1538</v>
      </c>
      <c r="B233" s="0" t="s">
        <v>1539</v>
      </c>
      <c r="C233" s="0" t="n">
        <v>0.18</v>
      </c>
      <c r="D233" s="0" t="s">
        <v>1540</v>
      </c>
      <c r="E233" s="0" t="s">
        <v>857</v>
      </c>
      <c r="F233" s="0" t="s">
        <v>942</v>
      </c>
      <c r="G233" s="30" t="s">
        <v>859</v>
      </c>
      <c r="H233" s="0" t="s">
        <v>366</v>
      </c>
      <c r="I233" s="0" t="s">
        <v>175</v>
      </c>
    </row>
    <row r="234" customFormat="false" ht="12.8" hidden="false" customHeight="false" outlineLevel="0" collapsed="false">
      <c r="A234" s="0"/>
      <c r="B234" s="0"/>
      <c r="D234" s="0"/>
    </row>
    <row r="235" customFormat="false" ht="12.8" hidden="false" customHeight="false" outlineLevel="0" collapsed="false">
      <c r="A235" s="28" t="str">
        <f aca="false">_xlfn.CONCAT($A$1, ".", "FPITREV")</f>
        <v>LSD.RID.0.AL.PARAM.FPITREV</v>
      </c>
      <c r="B235" s="0" t="s">
        <v>1541</v>
      </c>
      <c r="D235" s="0"/>
    </row>
    <row r="236" customFormat="false" ht="12.8" hidden="false" customHeight="false" outlineLevel="0" collapsed="false">
      <c r="A236" s="0" t="s">
        <v>848</v>
      </c>
      <c r="B236" s="0" t="s">
        <v>283</v>
      </c>
      <c r="C236" s="0" t="s">
        <v>849</v>
      </c>
      <c r="D236" s="0" t="s">
        <v>286</v>
      </c>
      <c r="E236" s="0" t="s">
        <v>850</v>
      </c>
      <c r="F236" s="0" t="s">
        <v>851</v>
      </c>
      <c r="G236" s="0" t="s">
        <v>852</v>
      </c>
      <c r="H236" s="0" t="s">
        <v>287</v>
      </c>
      <c r="I236" s="0" t="s">
        <v>853</v>
      </c>
    </row>
    <row r="237" customFormat="false" ht="12.8" hidden="false" customHeight="false" outlineLevel="0" collapsed="false">
      <c r="A237" s="0" t="s">
        <v>1542</v>
      </c>
      <c r="B237" s="0" t="s">
        <v>1543</v>
      </c>
      <c r="C237" s="0" t="s">
        <v>1544</v>
      </c>
      <c r="D237" s="0" t="s">
        <v>1545</v>
      </c>
      <c r="E237" s="0" t="s">
        <v>857</v>
      </c>
      <c r="F237" s="0" t="s">
        <v>1546</v>
      </c>
      <c r="G237" s="30" t="s">
        <v>859</v>
      </c>
      <c r="H237" s="0" t="s">
        <v>417</v>
      </c>
      <c r="I237" s="0" t="s">
        <v>151</v>
      </c>
    </row>
    <row r="238" customFormat="false" ht="12.8" hidden="false" customHeight="false" outlineLevel="0" collapsed="false">
      <c r="A238" s="0" t="s">
        <v>1547</v>
      </c>
      <c r="B238" s="0" t="s">
        <v>1548</v>
      </c>
      <c r="C238" s="0" t="n">
        <v>0.65</v>
      </c>
      <c r="D238" s="0" t="s">
        <v>1549</v>
      </c>
      <c r="E238" s="0" t="s">
        <v>857</v>
      </c>
      <c r="F238" s="0" t="s">
        <v>976</v>
      </c>
      <c r="G238" s="30" t="s">
        <v>859</v>
      </c>
      <c r="H238" s="0" t="s">
        <v>417</v>
      </c>
      <c r="I238" s="0" t="s">
        <v>151</v>
      </c>
    </row>
    <row r="239" customFormat="false" ht="12.8" hidden="false" customHeight="false" outlineLevel="0" collapsed="false">
      <c r="A239" s="0" t="s">
        <v>1550</v>
      </c>
      <c r="B239" s="0" t="s">
        <v>1551</v>
      </c>
      <c r="C239" s="0" t="s">
        <v>1552</v>
      </c>
      <c r="D239" s="0" t="s">
        <v>1553</v>
      </c>
      <c r="E239" s="0" t="s">
        <v>857</v>
      </c>
      <c r="F239" s="0" t="s">
        <v>976</v>
      </c>
      <c r="G239" s="30" t="s">
        <v>859</v>
      </c>
      <c r="H239" s="0" t="s">
        <v>417</v>
      </c>
      <c r="I239" s="0" t="s">
        <v>151</v>
      </c>
    </row>
    <row r="240" customFormat="false" ht="12.8" hidden="false" customHeight="false" outlineLevel="0" collapsed="false">
      <c r="A240" s="0" t="s">
        <v>1554</v>
      </c>
      <c r="B240" s="0" t="s">
        <v>1555</v>
      </c>
      <c r="C240" s="0" t="s">
        <v>1403</v>
      </c>
      <c r="D240" s="0" t="s">
        <v>1556</v>
      </c>
      <c r="E240" s="0" t="s">
        <v>857</v>
      </c>
      <c r="F240" s="0" t="s">
        <v>976</v>
      </c>
      <c r="G240" s="30" t="s">
        <v>859</v>
      </c>
      <c r="H240" s="0" t="s">
        <v>417</v>
      </c>
      <c r="I240" s="0" t="s">
        <v>151</v>
      </c>
    </row>
    <row r="241" customFormat="false" ht="12.8" hidden="false" customHeight="false" outlineLevel="0" collapsed="false">
      <c r="A241" s="0" t="s">
        <v>1557</v>
      </c>
      <c r="B241" s="0" t="s">
        <v>1558</v>
      </c>
      <c r="C241" s="0" t="s">
        <v>1559</v>
      </c>
      <c r="D241" s="0" t="s">
        <v>1560</v>
      </c>
      <c r="E241" s="0" t="s">
        <v>857</v>
      </c>
      <c r="F241" s="0" t="s">
        <v>1546</v>
      </c>
      <c r="G241" s="30" t="s">
        <v>859</v>
      </c>
      <c r="H241" s="0" t="s">
        <v>417</v>
      </c>
      <c r="I241" s="0" t="s">
        <v>151</v>
      </c>
    </row>
    <row r="242" customFormat="false" ht="12.8" hidden="false" customHeight="false" outlineLevel="0" collapsed="false">
      <c r="A242" s="0" t="s">
        <v>1561</v>
      </c>
      <c r="B242" s="0" t="s">
        <v>1562</v>
      </c>
      <c r="C242" s="0" t="s">
        <v>1008</v>
      </c>
      <c r="D242" s="0" t="s">
        <v>1563</v>
      </c>
      <c r="E242" s="0" t="s">
        <v>857</v>
      </c>
      <c r="F242" s="0" t="s">
        <v>942</v>
      </c>
      <c r="G242" s="30" t="s">
        <v>859</v>
      </c>
      <c r="H242" s="0" t="s">
        <v>417</v>
      </c>
      <c r="I242" s="0" t="s">
        <v>151</v>
      </c>
    </row>
    <row r="243" customFormat="false" ht="12.8" hidden="false" customHeight="false" outlineLevel="0" collapsed="false">
      <c r="A243" s="0" t="s">
        <v>1564</v>
      </c>
      <c r="B243" s="0" t="s">
        <v>1565</v>
      </c>
      <c r="C243" s="0" t="s">
        <v>965</v>
      </c>
      <c r="D243" s="0" t="s">
        <v>1566</v>
      </c>
      <c r="E243" s="0" t="s">
        <v>857</v>
      </c>
      <c r="F243" s="0" t="s">
        <v>942</v>
      </c>
      <c r="G243" s="30" t="s">
        <v>859</v>
      </c>
      <c r="H243" s="0" t="s">
        <v>417</v>
      </c>
      <c r="I243" s="0" t="s">
        <v>151</v>
      </c>
    </row>
    <row r="244" customFormat="false" ht="12.8" hidden="false" customHeight="false" outlineLevel="0" collapsed="false">
      <c r="A244" s="0" t="s">
        <v>1567</v>
      </c>
      <c r="B244" s="0" t="s">
        <v>1568</v>
      </c>
      <c r="C244" s="0" t="n">
        <v>4</v>
      </c>
      <c r="D244" s="0" t="s">
        <v>1569</v>
      </c>
      <c r="E244" s="0" t="s">
        <v>857</v>
      </c>
      <c r="F244" s="0" t="s">
        <v>1064</v>
      </c>
      <c r="G244" s="30" t="s">
        <v>859</v>
      </c>
      <c r="H244" s="0" t="s">
        <v>366</v>
      </c>
      <c r="I244" s="0" t="s">
        <v>151</v>
      </c>
    </row>
    <row r="245" customFormat="false" ht="12.8" hidden="false" customHeight="false" outlineLevel="0" collapsed="false">
      <c r="A245" s="0"/>
      <c r="B245" s="0"/>
      <c r="D245" s="0"/>
    </row>
    <row r="246" customFormat="false" ht="12.8" hidden="false" customHeight="false" outlineLevel="0" collapsed="false">
      <c r="A246" s="28" t="str">
        <f aca="false">_xlfn.CONCAT($A$1, ".", "FPPTREV")</f>
        <v>LSD.RID.0.AL.PARAM.FPPTREV</v>
      </c>
      <c r="B246" s="0" t="s">
        <v>1570</v>
      </c>
      <c r="D246" s="0"/>
    </row>
    <row r="247" customFormat="false" ht="12.8" hidden="false" customHeight="false" outlineLevel="0" collapsed="false">
      <c r="A247" s="0" t="s">
        <v>848</v>
      </c>
      <c r="B247" s="0" t="s">
        <v>283</v>
      </c>
      <c r="C247" s="0" t="s">
        <v>849</v>
      </c>
      <c r="D247" s="0" t="s">
        <v>286</v>
      </c>
      <c r="E247" s="0" t="s">
        <v>850</v>
      </c>
      <c r="F247" s="0" t="s">
        <v>851</v>
      </c>
      <c r="G247" s="0" t="s">
        <v>852</v>
      </c>
      <c r="H247" s="0" t="s">
        <v>287</v>
      </c>
      <c r="I247" s="0" t="s">
        <v>853</v>
      </c>
    </row>
    <row r="248" customFormat="false" ht="12.8" hidden="false" customHeight="false" outlineLevel="0" collapsed="false">
      <c r="A248" s="0" t="s">
        <v>1571</v>
      </c>
      <c r="B248" s="0" t="s">
        <v>1572</v>
      </c>
      <c r="C248" s="0" t="s">
        <v>1559</v>
      </c>
      <c r="D248" s="0" t="s">
        <v>1573</v>
      </c>
      <c r="E248" s="0" t="s">
        <v>857</v>
      </c>
      <c r="F248" s="0" t="s">
        <v>1546</v>
      </c>
      <c r="G248" s="30" t="s">
        <v>859</v>
      </c>
      <c r="H248" s="0" t="s">
        <v>417</v>
      </c>
      <c r="I248" s="0" t="s">
        <v>154</v>
      </c>
    </row>
    <row r="249" customFormat="false" ht="12.8" hidden="false" customHeight="false" outlineLevel="0" collapsed="false">
      <c r="A249" s="0" t="s">
        <v>1574</v>
      </c>
      <c r="B249" s="0" t="s">
        <v>1575</v>
      </c>
      <c r="C249" s="0" t="n">
        <v>0.65</v>
      </c>
      <c r="D249" s="0" t="s">
        <v>1576</v>
      </c>
      <c r="E249" s="0" t="s">
        <v>857</v>
      </c>
      <c r="F249" s="0" t="s">
        <v>976</v>
      </c>
      <c r="G249" s="30" t="s">
        <v>859</v>
      </c>
      <c r="H249" s="0" t="s">
        <v>417</v>
      </c>
      <c r="I249" s="0" t="s">
        <v>154</v>
      </c>
    </row>
    <row r="250" customFormat="false" ht="12.8" hidden="false" customHeight="false" outlineLevel="0" collapsed="false">
      <c r="A250" s="0" t="s">
        <v>1577</v>
      </c>
      <c r="B250" s="0" t="s">
        <v>1578</v>
      </c>
      <c r="C250" s="0" t="n">
        <v>1.05</v>
      </c>
      <c r="D250" s="0" t="s">
        <v>1579</v>
      </c>
      <c r="E250" s="0" t="s">
        <v>857</v>
      </c>
      <c r="F250" s="0" t="s">
        <v>976</v>
      </c>
      <c r="G250" s="30" t="s">
        <v>859</v>
      </c>
      <c r="H250" s="0" t="s">
        <v>417</v>
      </c>
      <c r="I250" s="0" t="s">
        <v>154</v>
      </c>
    </row>
    <row r="251" customFormat="false" ht="12.8" hidden="false" customHeight="false" outlineLevel="0" collapsed="false">
      <c r="A251" s="0" t="s">
        <v>1580</v>
      </c>
      <c r="B251" s="0" t="s">
        <v>1581</v>
      </c>
      <c r="C251" s="0" t="s">
        <v>1552</v>
      </c>
      <c r="D251" s="0" t="s">
        <v>1582</v>
      </c>
      <c r="E251" s="0" t="s">
        <v>857</v>
      </c>
      <c r="F251" s="0" t="s">
        <v>976</v>
      </c>
      <c r="G251" s="30" t="s">
        <v>859</v>
      </c>
      <c r="H251" s="0" t="s">
        <v>417</v>
      </c>
      <c r="I251" s="0" t="s">
        <v>154</v>
      </c>
    </row>
    <row r="252" customFormat="false" ht="12.8" hidden="false" customHeight="false" outlineLevel="0" collapsed="false">
      <c r="A252" s="0" t="s">
        <v>1583</v>
      </c>
      <c r="B252" s="0" t="s">
        <v>1584</v>
      </c>
      <c r="C252" s="0" t="s">
        <v>1403</v>
      </c>
      <c r="D252" s="0" t="s">
        <v>1585</v>
      </c>
      <c r="E252" s="0" t="s">
        <v>857</v>
      </c>
      <c r="F252" s="0" t="s">
        <v>976</v>
      </c>
      <c r="G252" s="30" t="s">
        <v>859</v>
      </c>
      <c r="H252" s="0" t="s">
        <v>417</v>
      </c>
      <c r="I252" s="0" t="s">
        <v>154</v>
      </c>
    </row>
    <row r="253" customFormat="false" ht="12.8" hidden="false" customHeight="false" outlineLevel="0" collapsed="false">
      <c r="A253" s="0" t="s">
        <v>1586</v>
      </c>
      <c r="B253" s="0" t="s">
        <v>1587</v>
      </c>
      <c r="C253" s="0" t="s">
        <v>1008</v>
      </c>
      <c r="D253" s="0" t="s">
        <v>1588</v>
      </c>
      <c r="E253" s="0" t="s">
        <v>857</v>
      </c>
      <c r="F253" s="0" t="s">
        <v>942</v>
      </c>
      <c r="G253" s="30" t="s">
        <v>859</v>
      </c>
      <c r="H253" s="0" t="s">
        <v>417</v>
      </c>
      <c r="I253" s="0" t="s">
        <v>154</v>
      </c>
    </row>
    <row r="254" customFormat="false" ht="12.8" hidden="false" customHeight="false" outlineLevel="0" collapsed="false">
      <c r="A254" s="0" t="s">
        <v>1589</v>
      </c>
      <c r="B254" s="0" t="s">
        <v>1590</v>
      </c>
      <c r="C254" s="0" t="s">
        <v>965</v>
      </c>
      <c r="D254" s="0" t="s">
        <v>1591</v>
      </c>
      <c r="E254" s="0" t="s">
        <v>857</v>
      </c>
      <c r="F254" s="0" t="s">
        <v>942</v>
      </c>
      <c r="G254" s="30" t="s">
        <v>859</v>
      </c>
      <c r="H254" s="0" t="s">
        <v>417</v>
      </c>
      <c r="I254" s="0" t="s">
        <v>154</v>
      </c>
    </row>
    <row r="255" customFormat="false" ht="12.8" hidden="false" customHeight="false" outlineLevel="0" collapsed="false">
      <c r="A255" s="0" t="s">
        <v>1592</v>
      </c>
      <c r="B255" s="0" t="s">
        <v>1593</v>
      </c>
      <c r="C255" s="0" t="n">
        <v>4</v>
      </c>
      <c r="D255" s="0" t="s">
        <v>1594</v>
      </c>
      <c r="E255" s="0" t="s">
        <v>857</v>
      </c>
      <c r="F255" s="0" t="s">
        <v>1064</v>
      </c>
      <c r="G255" s="30" t="s">
        <v>859</v>
      </c>
      <c r="H255" s="0" t="s">
        <v>366</v>
      </c>
      <c r="I255" s="0" t="s">
        <v>154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FM11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E25" activeCellId="0" sqref="E25"/>
    </sheetView>
  </sheetViews>
  <sheetFormatPr defaultColWidth="11.53515625" defaultRowHeight="12.8" customHeight="false" zeroHeight="false" outlineLevelRow="0" outlineLevelCol="0"/>
  <cols>
    <col collapsed="false" customWidth="true" hidden="false" outlineLevel="0" max="1" min="1" style="17" width="9.21"/>
    <col collapsed="false" customWidth="true" hidden="false" outlineLevel="0" max="2" min="2" style="18" width="6.92"/>
    <col collapsed="false" customWidth="true" hidden="false" outlineLevel="0" max="3" min="3" style="18" width="30.7"/>
    <col collapsed="false" customWidth="true" hidden="false" outlineLevel="0" max="7" min="4" style="18" width="16.84"/>
    <col collapsed="false" customWidth="true" hidden="false" outlineLevel="0" max="8" min="8" style="18" width="14.55"/>
    <col collapsed="false" customWidth="true" hidden="false" outlineLevel="0" max="11" min="9" style="18" width="16.84"/>
    <col collapsed="false" customWidth="true" hidden="false" outlineLevel="0" max="12" min="12" style="3" width="13.84"/>
    <col collapsed="false" customWidth="true" hidden="false" outlineLevel="0" max="23" min="16" style="3" width="16.84"/>
    <col collapsed="false" customWidth="true" hidden="false" outlineLevel="0" max="51" min="24" style="18" width="16.84"/>
    <col collapsed="false" customWidth="true" hidden="false" outlineLevel="0" max="54" min="52" style="31" width="12.23"/>
    <col collapsed="false" customWidth="true" hidden="false" outlineLevel="0" max="55" min="55" style="32" width="12.23"/>
    <col collapsed="false" customWidth="true" hidden="false" outlineLevel="0" max="63" min="56" style="31" width="12.23"/>
    <col collapsed="false" customWidth="true" hidden="false" outlineLevel="0" max="67" min="64" style="18" width="16.84"/>
    <col collapsed="false" customWidth="true" hidden="false" outlineLevel="0" max="79" min="68" style="18" width="17.78"/>
    <col collapsed="false" customWidth="false" hidden="false" outlineLevel="0" max="107" min="92" style="3" width="11.53"/>
    <col collapsed="false" customWidth="true" hidden="false" outlineLevel="0" max="109" min="108" style="18" width="17.78"/>
    <col collapsed="false" customWidth="true" hidden="false" outlineLevel="0" max="111" min="110" style="18" width="15.48"/>
    <col collapsed="false" customWidth="true" hidden="false" outlineLevel="0" max="112" min="112" style="3" width="15.48"/>
    <col collapsed="false" customWidth="false" hidden="false" outlineLevel="0" max="115" min="113" style="3" width="11.53"/>
    <col collapsed="false" customWidth="false" hidden="false" outlineLevel="0" max="116" min="116" style="18" width="11.53"/>
    <col collapsed="false" customWidth="true" hidden="false" outlineLevel="0" max="117" min="117" style="18" width="18.45"/>
    <col collapsed="false" customWidth="true" hidden="false" outlineLevel="0" max="120" min="118" style="18" width="16.14"/>
    <col collapsed="false" customWidth="true" hidden="false" outlineLevel="0" max="127" min="121" style="18" width="13.84"/>
    <col collapsed="false" customWidth="false" hidden="false" outlineLevel="0" max="139" min="128" style="3" width="11.53"/>
  </cols>
  <sheetData>
    <row r="1" customFormat="false" ht="12.8" hidden="false" customHeight="false" outlineLevel="0" collapsed="false">
      <c r="A1" s="4" t="s">
        <v>1595</v>
      </c>
      <c r="B1" s="22" t="s">
        <v>239</v>
      </c>
      <c r="C1" s="6" t="s">
        <v>2</v>
      </c>
      <c r="D1" s="22"/>
      <c r="E1" s="22"/>
      <c r="F1" s="22"/>
      <c r="G1" s="22"/>
      <c r="H1" s="22"/>
      <c r="I1" s="22"/>
      <c r="J1" s="22"/>
      <c r="K1" s="22"/>
      <c r="M1" s="3"/>
      <c r="N1" s="3"/>
      <c r="O1" s="3"/>
      <c r="X1" s="22"/>
      <c r="Y1" s="22"/>
      <c r="Z1" s="22"/>
      <c r="AA1" s="22"/>
      <c r="AB1" s="22"/>
      <c r="AC1" s="22"/>
      <c r="AD1" s="22"/>
      <c r="AE1" s="22"/>
      <c r="AF1" s="22"/>
      <c r="AG1" s="22"/>
      <c r="AH1" s="22"/>
      <c r="AI1" s="22"/>
      <c r="AJ1" s="22"/>
      <c r="AK1" s="22"/>
      <c r="AL1" s="22"/>
      <c r="AM1" s="22"/>
      <c r="AN1" s="22"/>
      <c r="AO1" s="22"/>
      <c r="AP1" s="22"/>
      <c r="AQ1" s="22"/>
      <c r="AR1" s="22"/>
      <c r="AS1" s="22"/>
      <c r="AT1" s="22"/>
      <c r="AU1" s="22"/>
      <c r="AV1" s="22"/>
      <c r="AW1" s="22"/>
      <c r="AX1" s="22"/>
      <c r="AY1" s="22"/>
      <c r="AZ1" s="33"/>
      <c r="BA1" s="33"/>
      <c r="BB1" s="33"/>
      <c r="BC1" s="34"/>
      <c r="BD1" s="33"/>
      <c r="BE1" s="33"/>
      <c r="BF1" s="33"/>
      <c r="BG1" s="33"/>
      <c r="BH1" s="33"/>
      <c r="BI1" s="33"/>
      <c r="BJ1" s="33"/>
      <c r="BK1" s="33"/>
      <c r="BL1" s="22"/>
      <c r="BM1" s="22"/>
      <c r="BN1" s="22"/>
      <c r="BO1" s="22"/>
      <c r="BP1" s="22"/>
      <c r="BQ1" s="22"/>
      <c r="BR1" s="22"/>
      <c r="BS1" s="22"/>
      <c r="BT1" s="22"/>
      <c r="BU1" s="22"/>
      <c r="BV1" s="22"/>
      <c r="BW1" s="22"/>
      <c r="BX1" s="22"/>
      <c r="BY1" s="22"/>
      <c r="BZ1" s="22"/>
      <c r="CA1" s="22"/>
      <c r="CB1" s="3"/>
      <c r="CC1" s="3"/>
      <c r="CD1" s="3"/>
      <c r="CE1" s="3"/>
      <c r="CF1" s="3"/>
      <c r="CG1" s="3"/>
      <c r="CH1" s="3"/>
      <c r="CI1" s="3"/>
      <c r="CJ1" s="3"/>
      <c r="CK1" s="3"/>
      <c r="CL1" s="3"/>
      <c r="CM1" s="3"/>
      <c r="DD1" s="22"/>
      <c r="DE1" s="22"/>
      <c r="DF1" s="22"/>
      <c r="DG1" s="22"/>
      <c r="DH1" s="22"/>
      <c r="DI1" s="22"/>
      <c r="DJ1" s="22"/>
      <c r="DK1" s="22"/>
      <c r="DL1" s="22"/>
      <c r="DM1" s="22"/>
      <c r="DN1" s="22"/>
      <c r="DO1" s="22"/>
      <c r="DP1" s="22"/>
      <c r="DQ1" s="22"/>
      <c r="DR1" s="22"/>
      <c r="DS1" s="22"/>
      <c r="DT1" s="22"/>
      <c r="DU1" s="22"/>
      <c r="DV1" s="22"/>
      <c r="DW1" s="22"/>
    </row>
    <row r="2" customFormat="false" ht="12.8" hidden="false" customHeight="false" outlineLevel="0" collapsed="false">
      <c r="A2" s="14" t="str">
        <f aca="false">_xlfn.CONCAT($A$1,".","LFPOP")</f>
        <v>LSD.RID.0.AL.CALC.LFPOP</v>
      </c>
      <c r="B2" s="5" t="s">
        <v>1596</v>
      </c>
      <c r="C2" s="3"/>
      <c r="D2" s="22"/>
      <c r="E2" s="22"/>
      <c r="F2" s="22"/>
      <c r="G2" s="22"/>
      <c r="H2" s="22"/>
      <c r="I2" s="22"/>
      <c r="J2" s="22"/>
      <c r="K2" s="22"/>
      <c r="M2" s="3"/>
      <c r="N2" s="3"/>
      <c r="O2" s="3"/>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33"/>
      <c r="BA2" s="33"/>
      <c r="BB2" s="33"/>
      <c r="BC2" s="34"/>
      <c r="BD2" s="33"/>
      <c r="BE2" s="33"/>
      <c r="BF2" s="33"/>
      <c r="BG2" s="33"/>
      <c r="BH2" s="33"/>
      <c r="BI2" s="33"/>
      <c r="BJ2" s="33"/>
      <c r="BK2" s="33"/>
      <c r="BL2" s="22"/>
      <c r="BM2" s="22"/>
      <c r="BN2" s="22"/>
      <c r="BO2" s="22"/>
      <c r="BP2" s="22"/>
      <c r="BQ2" s="22"/>
      <c r="BR2" s="22"/>
      <c r="BS2" s="22"/>
      <c r="BT2" s="22"/>
      <c r="BU2" s="22"/>
      <c r="BV2" s="22"/>
      <c r="BW2" s="22"/>
      <c r="BX2" s="22"/>
      <c r="BY2" s="22"/>
      <c r="BZ2" s="22"/>
      <c r="CA2" s="22"/>
      <c r="CB2" s="3"/>
      <c r="CC2" s="3"/>
      <c r="CD2" s="3"/>
      <c r="CE2" s="3"/>
      <c r="CF2" s="3"/>
      <c r="CG2" s="3"/>
      <c r="CH2" s="3"/>
      <c r="CI2" s="3"/>
      <c r="CJ2" s="3"/>
      <c r="CK2" s="3"/>
      <c r="CL2" s="3"/>
      <c r="CM2" s="3"/>
      <c r="DD2" s="22"/>
      <c r="DE2" s="22"/>
      <c r="DF2" s="22"/>
      <c r="DG2" s="22"/>
      <c r="DH2" s="22"/>
      <c r="DI2" s="22"/>
      <c r="DJ2" s="22"/>
      <c r="DK2" s="22"/>
      <c r="DL2" s="22"/>
      <c r="DM2" s="22"/>
      <c r="DN2" s="22"/>
      <c r="DO2" s="22"/>
      <c r="DP2" s="22"/>
      <c r="DQ2" s="22"/>
      <c r="DR2" s="22"/>
      <c r="DS2" s="22"/>
      <c r="DT2" s="22"/>
      <c r="DU2" s="22"/>
      <c r="DV2" s="22"/>
      <c r="DW2" s="22"/>
    </row>
    <row r="3" customFormat="false" ht="12.8" hidden="false" customHeight="false" outlineLevel="0" collapsed="false">
      <c r="A3" s="5" t="s">
        <v>1597</v>
      </c>
      <c r="B3" s="5"/>
      <c r="C3" s="5"/>
      <c r="D3" s="5" t="s">
        <v>1598</v>
      </c>
      <c r="E3" s="5"/>
      <c r="F3" s="5"/>
      <c r="G3" s="5"/>
      <c r="H3" s="35" t="s">
        <v>1599</v>
      </c>
      <c r="I3" s="35"/>
      <c r="J3" s="35"/>
      <c r="K3" s="35"/>
      <c r="L3" s="36" t="s">
        <v>1600</v>
      </c>
      <c r="M3" s="36"/>
      <c r="N3" s="36"/>
      <c r="O3" s="36"/>
      <c r="P3" s="36" t="s">
        <v>1601</v>
      </c>
      <c r="Q3" s="36"/>
      <c r="R3" s="36"/>
      <c r="S3" s="36"/>
      <c r="T3" s="36" t="s">
        <v>1602</v>
      </c>
      <c r="U3" s="36"/>
      <c r="V3" s="36"/>
      <c r="W3" s="36"/>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DD3" s="3"/>
      <c r="DE3" s="3"/>
      <c r="DF3" s="3"/>
      <c r="DG3" s="3"/>
      <c r="DL3" s="3"/>
      <c r="DM3" s="3"/>
      <c r="DN3" s="3"/>
      <c r="DO3" s="3"/>
      <c r="DP3" s="3"/>
      <c r="DQ3" s="3"/>
      <c r="DR3" s="3"/>
      <c r="DS3" s="3"/>
      <c r="DT3" s="3"/>
      <c r="DU3" s="3"/>
      <c r="DV3" s="3"/>
      <c r="DW3" s="3"/>
      <c r="EJ3" s="36"/>
      <c r="EK3" s="36"/>
      <c r="EL3" s="36"/>
      <c r="EM3" s="36"/>
      <c r="EN3" s="3"/>
      <c r="EO3" s="3"/>
      <c r="EP3" s="3"/>
      <c r="EQ3" s="3"/>
      <c r="ER3" s="3"/>
      <c r="ES3" s="3"/>
      <c r="ET3" s="3"/>
      <c r="EU3" s="3"/>
      <c r="EV3" s="3"/>
      <c r="EW3" s="3"/>
      <c r="EX3" s="3"/>
      <c r="EY3" s="3"/>
      <c r="EZ3" s="3"/>
      <c r="FA3" s="3"/>
      <c r="FB3" s="3"/>
      <c r="FC3" s="3"/>
      <c r="FD3" s="3"/>
      <c r="FE3" s="3"/>
      <c r="FF3" s="3"/>
      <c r="FG3" s="3"/>
      <c r="FH3" s="3"/>
      <c r="FI3" s="3"/>
      <c r="FJ3" s="3"/>
      <c r="FK3" s="3"/>
      <c r="FL3" s="3"/>
      <c r="FM3" s="3"/>
    </row>
    <row r="4" customFormat="false" ht="12.8" hidden="false" customHeight="false" outlineLevel="0" collapsed="false">
      <c r="A4" s="14" t="s">
        <v>99</v>
      </c>
      <c r="B4" s="22" t="s">
        <v>1603</v>
      </c>
      <c r="C4" s="22" t="s">
        <v>1604</v>
      </c>
      <c r="D4" s="37" t="s">
        <v>1605</v>
      </c>
      <c r="E4" s="37" t="s">
        <v>1606</v>
      </c>
      <c r="F4" s="37" t="s">
        <v>1607</v>
      </c>
      <c r="G4" s="37" t="s">
        <v>1608</v>
      </c>
      <c r="H4" s="38" t="s">
        <v>1609</v>
      </c>
      <c r="I4" s="38" t="s">
        <v>1610</v>
      </c>
      <c r="J4" s="38" t="s">
        <v>1611</v>
      </c>
      <c r="K4" s="38" t="s">
        <v>1612</v>
      </c>
      <c r="L4" s="22" t="s">
        <v>1613</v>
      </c>
      <c r="M4" s="22" t="s">
        <v>1614</v>
      </c>
      <c r="N4" s="22" t="s">
        <v>1615</v>
      </c>
      <c r="O4" s="22" t="s">
        <v>1616</v>
      </c>
      <c r="P4" s="22" t="s">
        <v>1617</v>
      </c>
      <c r="Q4" s="22" t="s">
        <v>1618</v>
      </c>
      <c r="R4" s="22" t="s">
        <v>1619</v>
      </c>
      <c r="S4" s="22" t="s">
        <v>1620</v>
      </c>
      <c r="T4" s="22" t="s">
        <v>1621</v>
      </c>
      <c r="U4" s="22" t="s">
        <v>1622</v>
      </c>
      <c r="V4" s="22" t="s">
        <v>1623</v>
      </c>
      <c r="W4" s="22" t="s">
        <v>1624</v>
      </c>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DD4" s="3"/>
      <c r="DE4" s="3"/>
      <c r="DF4" s="3"/>
      <c r="DG4" s="3"/>
      <c r="DL4" s="3"/>
      <c r="DM4" s="3"/>
      <c r="DN4" s="3"/>
      <c r="DO4" s="3"/>
      <c r="DP4" s="3"/>
      <c r="DQ4" s="3"/>
      <c r="DR4" s="3"/>
      <c r="DS4" s="3"/>
      <c r="DT4" s="3"/>
      <c r="DU4" s="3"/>
      <c r="DV4" s="3"/>
      <c r="DW4" s="3"/>
      <c r="EJ4" s="22"/>
      <c r="EK4" s="22"/>
      <c r="EL4" s="22"/>
      <c r="EM4" s="22"/>
    </row>
    <row r="5" customFormat="false" ht="12.8" hidden="false" customHeight="false" outlineLevel="0" collapsed="false">
      <c r="A5" s="17" t="n">
        <v>0</v>
      </c>
      <c r="B5" s="18" t="s">
        <v>1625</v>
      </c>
      <c r="C5" s="18" t="s">
        <v>1626</v>
      </c>
      <c r="D5" s="22" t="n">
        <f aca="false">TNPE!C4</f>
        <v>2211200</v>
      </c>
      <c r="E5" s="22" t="n">
        <f aca="false">TNPE!D4</f>
        <v>81814</v>
      </c>
      <c r="F5" s="22" t="n">
        <f aca="false">TNPE!E4</f>
        <v>48646</v>
      </c>
      <c r="G5" s="22" t="n">
        <f aca="false">TNPE!F4</f>
        <v>2080740</v>
      </c>
      <c r="H5" s="22" t="n">
        <f aca="false">LFP!C4</f>
        <v>2381000</v>
      </c>
      <c r="I5" s="22" t="n">
        <f aca="false">LFP!D4</f>
        <v>62388</v>
      </c>
      <c r="J5" s="22" t="n">
        <f aca="false">LFP!E4</f>
        <v>50000</v>
      </c>
      <c r="K5" s="22" t="n">
        <f aca="false">LFP!F4</f>
        <v>2270612</v>
      </c>
      <c r="L5" s="18" t="n">
        <f aca="false">EP!C4</f>
        <v>2317000</v>
      </c>
      <c r="M5" s="18" t="n">
        <f aca="false">EP!D4</f>
        <v>61250</v>
      </c>
      <c r="N5" s="18" t="n">
        <f aca="false">EP!E4</f>
        <v>54820</v>
      </c>
      <c r="O5" s="18" t="n">
        <f aca="false">EP!F4</f>
        <v>2201930</v>
      </c>
      <c r="P5" s="18" t="n">
        <f aca="false">U3P!C4</f>
        <v>64000</v>
      </c>
      <c r="Q5" s="18" t="n">
        <f aca="false">U3P!D4</f>
        <v>1828</v>
      </c>
      <c r="R5" s="18" t="n">
        <f aca="false">U3P!E4</f>
        <v>1658</v>
      </c>
      <c r="S5" s="18" t="n">
        <f aca="false">U3P!F4</f>
        <v>60514</v>
      </c>
      <c r="T5" s="18" t="n">
        <f aca="false">U6P!C4</f>
        <v>148000</v>
      </c>
      <c r="U5" s="18" t="n">
        <f aca="false">U6P!D4</f>
        <v>2985</v>
      </c>
      <c r="V5" s="18" t="n">
        <f aca="false">U6P!E4</f>
        <v>12845</v>
      </c>
      <c r="W5" s="18" t="n">
        <f aca="false">U6P!F4</f>
        <v>132170</v>
      </c>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DD5" s="3"/>
      <c r="DE5" s="3"/>
      <c r="DF5" s="3"/>
      <c r="DG5" s="3"/>
      <c r="DL5" s="3"/>
      <c r="DM5" s="3"/>
      <c r="DN5" s="3"/>
      <c r="DO5" s="3"/>
      <c r="DP5" s="3"/>
      <c r="DQ5" s="3"/>
      <c r="DR5" s="3"/>
      <c r="DS5" s="3"/>
      <c r="DT5" s="3"/>
      <c r="DU5" s="3"/>
      <c r="DV5" s="3"/>
      <c r="DW5" s="3"/>
    </row>
    <row r="6" customFormat="false" ht="23.85" hidden="false" customHeight="false" outlineLevel="0" collapsed="false">
      <c r="A6" s="17" t="n">
        <v>1</v>
      </c>
      <c r="B6" s="18" t="n">
        <v>11</v>
      </c>
      <c r="C6" s="39" t="s">
        <v>1627</v>
      </c>
      <c r="D6" s="22" t="n">
        <f aca="false">TNPE!C5</f>
        <v>33500</v>
      </c>
      <c r="E6" s="22" t="n">
        <f aca="false">TNPE!D5</f>
        <v>1240</v>
      </c>
      <c r="F6" s="22" t="n">
        <f aca="false">TNPE!E5</f>
        <v>884</v>
      </c>
      <c r="G6" s="22" t="n">
        <f aca="false">TNPE!F5</f>
        <v>31376</v>
      </c>
      <c r="H6" s="22" t="n">
        <f aca="false">LFP!C5</f>
        <v>38000</v>
      </c>
      <c r="I6" s="22" t="n">
        <f aca="false">LFP!D5</f>
        <v>152</v>
      </c>
      <c r="J6" s="22" t="n">
        <f aca="false">LFP!E5</f>
        <v>5320</v>
      </c>
      <c r="K6" s="22" t="n">
        <f aca="false">LFP!F5</f>
        <v>32528</v>
      </c>
      <c r="L6" s="18" t="n">
        <f aca="false">EP!C5</f>
        <v>26862</v>
      </c>
      <c r="M6" s="18" t="n">
        <f aca="false">EP!D5</f>
        <v>520</v>
      </c>
      <c r="N6" s="18" t="n">
        <f aca="false">EP!E5</f>
        <v>3120</v>
      </c>
      <c r="O6" s="18" t="n">
        <f aca="false">EP!F5</f>
        <v>23222</v>
      </c>
      <c r="P6" s="18" t="n">
        <f aca="false">U3P!C5</f>
        <v>11138</v>
      </c>
      <c r="Q6" s="18" t="n">
        <f aca="false">U3P!D5</f>
        <v>62</v>
      </c>
      <c r="R6" s="18" t="n">
        <f aca="false">U3P!E5</f>
        <v>2902</v>
      </c>
      <c r="S6" s="18" t="n">
        <f aca="false">U3P!F5</f>
        <v>8174</v>
      </c>
      <c r="T6" s="18" t="n">
        <f aca="false">U6P!C5</f>
        <v>21000</v>
      </c>
      <c r="U6" s="18" t="n">
        <f aca="false">U6P!D5</f>
        <v>142</v>
      </c>
      <c r="V6" s="18" t="n">
        <f aca="false">U6P!E5</f>
        <v>5480</v>
      </c>
      <c r="W6" s="18" t="n">
        <f aca="false">U6P!F5</f>
        <v>15378</v>
      </c>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DD6" s="3"/>
      <c r="DE6" s="3"/>
      <c r="DF6" s="3"/>
      <c r="DG6" s="3"/>
      <c r="DL6" s="3"/>
      <c r="DM6" s="3"/>
      <c r="DN6" s="3"/>
      <c r="DO6" s="3"/>
      <c r="DP6" s="3"/>
      <c r="DQ6" s="3"/>
      <c r="DR6" s="3"/>
      <c r="DS6" s="3"/>
      <c r="DT6" s="3"/>
      <c r="DU6" s="3"/>
      <c r="DV6" s="3"/>
      <c r="DW6" s="3"/>
    </row>
    <row r="7" customFormat="false" ht="23.85" hidden="false" customHeight="false" outlineLevel="0" collapsed="false">
      <c r="A7" s="17" t="n">
        <v>2</v>
      </c>
      <c r="B7" s="18" t="n">
        <v>21</v>
      </c>
      <c r="C7" s="39" t="s">
        <v>1628</v>
      </c>
      <c r="D7" s="22" t="n">
        <f aca="false">TNPE!C6</f>
        <v>4800</v>
      </c>
      <c r="E7" s="22" t="n">
        <f aca="false">TNPE!D6</f>
        <v>178</v>
      </c>
      <c r="F7" s="22" t="n">
        <f aca="false">TNPE!E6</f>
        <v>106</v>
      </c>
      <c r="G7" s="22" t="n">
        <f aca="false">TNPE!F6</f>
        <v>4516</v>
      </c>
      <c r="H7" s="22" t="n">
        <f aca="false">LFP!C6</f>
        <v>14000</v>
      </c>
      <c r="I7" s="22" t="n">
        <f aca="false">LFP!D6</f>
        <v>196</v>
      </c>
      <c r="J7" s="22" t="n">
        <f aca="false">LFP!E6</f>
        <v>560</v>
      </c>
      <c r="K7" s="22" t="n">
        <f aca="false">LFP!F6</f>
        <v>13244</v>
      </c>
      <c r="L7" s="18" t="n">
        <f aca="false">EP!C6</f>
        <v>9402</v>
      </c>
      <c r="M7" s="18" t="n">
        <f aca="false">EP!D6</f>
        <v>285</v>
      </c>
      <c r="N7" s="18" t="n">
        <f aca="false">EP!E6</f>
        <v>420</v>
      </c>
      <c r="O7" s="18" t="n">
        <f aca="false">EP!F6</f>
        <v>8697</v>
      </c>
      <c r="P7" s="18" t="n">
        <f aca="false">U3P!C6</f>
        <v>4598</v>
      </c>
      <c r="Q7" s="18" t="n">
        <f aca="false">U3P!D6</f>
        <v>49</v>
      </c>
      <c r="R7" s="18" t="n">
        <f aca="false">U3P!E6</f>
        <v>222</v>
      </c>
      <c r="S7" s="18" t="n">
        <f aca="false">U3P!F6</f>
        <v>4327</v>
      </c>
      <c r="T7" s="18" t="n">
        <f aca="false">U6P!C6</f>
        <v>8700</v>
      </c>
      <c r="U7" s="18" t="n">
        <f aca="false">U6P!D6</f>
        <v>89</v>
      </c>
      <c r="V7" s="18" t="n">
        <f aca="false">U6P!E6</f>
        <v>892</v>
      </c>
      <c r="W7" s="18" t="n">
        <f aca="false">U6P!F6</f>
        <v>7719</v>
      </c>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DD7" s="3"/>
      <c r="DE7" s="3"/>
      <c r="DF7" s="3"/>
      <c r="DG7" s="3"/>
      <c r="DL7" s="3"/>
      <c r="DM7" s="3"/>
      <c r="DN7" s="3"/>
      <c r="DO7" s="3"/>
      <c r="DP7" s="3"/>
      <c r="DQ7" s="3"/>
      <c r="DR7" s="3"/>
      <c r="DS7" s="3"/>
      <c r="DT7" s="3"/>
      <c r="DU7" s="3"/>
      <c r="DV7" s="3"/>
      <c r="DW7" s="3"/>
    </row>
    <row r="8" customFormat="false" ht="12.8" hidden="false" customHeight="false" outlineLevel="0" collapsed="false">
      <c r="A8" s="21" t="n">
        <v>3</v>
      </c>
      <c r="B8" s="3" t="n">
        <v>22</v>
      </c>
      <c r="C8" s="3" t="s">
        <v>1629</v>
      </c>
      <c r="D8" s="22" t="n">
        <f aca="false">TNPE!C7</f>
        <v>7100</v>
      </c>
      <c r="E8" s="22" t="n">
        <f aca="false">TNPE!D7</f>
        <v>263</v>
      </c>
      <c r="F8" s="22" t="n">
        <f aca="false">TNPE!E7</f>
        <v>156</v>
      </c>
      <c r="G8" s="22" t="n">
        <f aca="false">TNPE!F7</f>
        <v>6681</v>
      </c>
      <c r="H8" s="22" t="n">
        <f aca="false">LFP!C7</f>
        <v>28000</v>
      </c>
      <c r="I8" s="22" t="n">
        <f aca="false">LFP!D7</f>
        <v>560</v>
      </c>
      <c r="J8" s="22" t="n">
        <f aca="false">LFP!E7</f>
        <v>224</v>
      </c>
      <c r="K8" s="22" t="n">
        <f aca="false">LFP!F7</f>
        <v>27216</v>
      </c>
      <c r="L8" s="18" t="n">
        <f aca="false">EP!C7</f>
        <v>13431</v>
      </c>
      <c r="M8" s="18" t="n">
        <f aca="false">EP!D7</f>
        <v>385</v>
      </c>
      <c r="N8" s="18" t="n">
        <f aca="false">EP!E7</f>
        <v>285</v>
      </c>
      <c r="O8" s="18" t="n">
        <f aca="false">EP!F7</f>
        <v>12761</v>
      </c>
      <c r="P8" s="18" t="n">
        <f aca="false">U3P!C7</f>
        <v>4589</v>
      </c>
      <c r="Q8" s="18" t="n">
        <f aca="false">U3P!D7</f>
        <v>264</v>
      </c>
      <c r="R8" s="18" t="n">
        <f aca="false">U3P!E7</f>
        <v>141</v>
      </c>
      <c r="S8" s="18" t="n">
        <f aca="false">U3P!F7</f>
        <v>4184</v>
      </c>
      <c r="T8" s="18" t="n">
        <f aca="false">U6P!C7</f>
        <v>8700</v>
      </c>
      <c r="U8" s="18" t="n">
        <f aca="false">U6P!D7</f>
        <v>528</v>
      </c>
      <c r="V8" s="18" t="n">
        <f aca="false">U6P!E7</f>
        <v>672</v>
      </c>
      <c r="W8" s="18" t="n">
        <f aca="false">U6P!F7</f>
        <v>7500</v>
      </c>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DD8" s="3"/>
      <c r="DE8" s="3"/>
      <c r="DF8" s="3"/>
      <c r="DG8" s="3"/>
      <c r="DL8" s="3"/>
      <c r="DM8" s="3"/>
      <c r="DN8" s="3"/>
      <c r="DO8" s="3"/>
      <c r="DP8" s="3"/>
      <c r="DQ8" s="3"/>
      <c r="DR8" s="3"/>
      <c r="DS8" s="3"/>
      <c r="DT8" s="3"/>
      <c r="DU8" s="3"/>
      <c r="DV8" s="3"/>
      <c r="DW8" s="3"/>
    </row>
    <row r="9" customFormat="false" ht="12.8" hidden="false" customHeight="false" outlineLevel="0" collapsed="false">
      <c r="A9" s="21" t="n">
        <v>4</v>
      </c>
      <c r="B9" s="3" t="n">
        <v>23</v>
      </c>
      <c r="C9" s="3" t="s">
        <v>1630</v>
      </c>
      <c r="D9" s="22" t="n">
        <f aca="false">TNPE!C8</f>
        <v>56600</v>
      </c>
      <c r="E9" s="22" t="n">
        <f aca="false">TNPE!D8</f>
        <v>2094</v>
      </c>
      <c r="F9" s="22" t="n">
        <f aca="false">TNPE!E8</f>
        <v>1681</v>
      </c>
      <c r="G9" s="22" t="n">
        <f aca="false">TNPE!F8</f>
        <v>52825</v>
      </c>
      <c r="H9" s="22" t="n">
        <f aca="false">LFP!C8</f>
        <v>135000</v>
      </c>
      <c r="I9" s="22" t="n">
        <f aca="false">LFP!D8</f>
        <v>4590</v>
      </c>
      <c r="J9" s="22" t="n">
        <f aca="false">LFP!E8</f>
        <v>13770</v>
      </c>
      <c r="K9" s="22" t="n">
        <f aca="false">LFP!F8</f>
        <v>116640</v>
      </c>
      <c r="L9" s="18" t="n">
        <f aca="false">EP!C8</f>
        <v>84615</v>
      </c>
      <c r="M9" s="18" t="n">
        <f aca="false">EP!D8</f>
        <v>1850</v>
      </c>
      <c r="N9" s="18" t="n">
        <f aca="false">EP!E8</f>
        <v>9850</v>
      </c>
      <c r="O9" s="18" t="n">
        <f aca="false">EP!F8</f>
        <v>72915</v>
      </c>
      <c r="P9" s="18" t="n">
        <f aca="false">U3P!C8</f>
        <v>50385</v>
      </c>
      <c r="Q9" s="18" t="n">
        <f aca="false">U3P!D8</f>
        <v>2728</v>
      </c>
      <c r="R9" s="18" t="n">
        <f aca="false">U3P!E8</f>
        <v>6999</v>
      </c>
      <c r="S9" s="18" t="n">
        <f aca="false">U3P!F8</f>
        <v>40658</v>
      </c>
      <c r="T9" s="18" t="n">
        <f aca="false">U6P!C8</f>
        <v>94000</v>
      </c>
      <c r="U9" s="18" t="n">
        <f aca="false">U6P!D8</f>
        <v>5480</v>
      </c>
      <c r="V9" s="18" t="n">
        <f aca="false">U6P!E8</f>
        <v>14800</v>
      </c>
      <c r="W9" s="18" t="n">
        <f aca="false">U6P!F8</f>
        <v>73720</v>
      </c>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DD9" s="3"/>
      <c r="DE9" s="3"/>
      <c r="DF9" s="3"/>
      <c r="DG9" s="3"/>
      <c r="DL9" s="3"/>
      <c r="DM9" s="3"/>
      <c r="DN9" s="3"/>
      <c r="DO9" s="3"/>
      <c r="DP9" s="3"/>
      <c r="DQ9" s="3"/>
      <c r="DR9" s="3"/>
      <c r="DS9" s="3"/>
      <c r="DT9" s="3"/>
      <c r="DU9" s="3"/>
      <c r="DV9" s="3"/>
      <c r="DW9" s="3"/>
    </row>
    <row r="10" customFormat="false" ht="12.8" hidden="false" customHeight="false" outlineLevel="0" collapsed="false">
      <c r="A10" s="21" t="n">
        <v>5</v>
      </c>
      <c r="B10" s="3" t="n">
        <v>31</v>
      </c>
      <c r="C10" s="39" t="s">
        <v>1631</v>
      </c>
      <c r="D10" s="22" t="n">
        <f aca="false">TNPE!C9</f>
        <v>47009</v>
      </c>
      <c r="E10" s="22" t="n">
        <f aca="false">TNPE!D9</f>
        <v>1034</v>
      </c>
      <c r="F10" s="22" t="n">
        <f aca="false">TNPE!E9</f>
        <v>3761</v>
      </c>
      <c r="G10" s="22" t="n">
        <f aca="false">TNPE!F9</f>
        <v>42214</v>
      </c>
      <c r="H10" s="22" t="n">
        <f aca="false">LFP!C9</f>
        <v>70700</v>
      </c>
      <c r="I10" s="22" t="n">
        <f aca="false">LFP!D9</f>
        <v>1555</v>
      </c>
      <c r="J10" s="22" t="n">
        <f aca="false">LFP!E9</f>
        <v>5656</v>
      </c>
      <c r="K10" s="22" t="n">
        <f aca="false">LFP!F9</f>
        <v>63489</v>
      </c>
      <c r="L10" s="18" t="n">
        <f aca="false">EP!C9</f>
        <v>47009</v>
      </c>
      <c r="M10" s="18" t="n">
        <f aca="false">EP!D9</f>
        <v>980</v>
      </c>
      <c r="N10" s="18" t="n">
        <f aca="false">EP!E9</f>
        <v>4520</v>
      </c>
      <c r="O10" s="18" t="n">
        <f aca="false">EP!F9</f>
        <v>41509</v>
      </c>
      <c r="P10" s="18" t="n">
        <f aca="false">U3P!C9</f>
        <v>23691</v>
      </c>
      <c r="Q10" s="18" t="n">
        <f aca="false">U3P!D9</f>
        <v>521</v>
      </c>
      <c r="R10" s="18" t="n">
        <f aca="false">U3P!E9</f>
        <v>1895</v>
      </c>
      <c r="S10" s="18" t="n">
        <f aca="false">U3P!F9</f>
        <v>21275</v>
      </c>
      <c r="T10" s="18" t="n">
        <f aca="false">U6P!C9</f>
        <v>44400</v>
      </c>
      <c r="U10" s="18" t="n">
        <f aca="false">U6P!D9</f>
        <v>1198</v>
      </c>
      <c r="V10" s="18" t="n">
        <f aca="false">U6P!E9</f>
        <v>4800</v>
      </c>
      <c r="W10" s="18" t="n">
        <f aca="false">U6P!F9</f>
        <v>38402</v>
      </c>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DD10" s="3"/>
      <c r="DE10" s="3"/>
      <c r="DF10" s="3"/>
      <c r="DG10" s="3"/>
      <c r="DL10" s="3"/>
      <c r="DM10" s="3"/>
      <c r="DN10" s="3"/>
      <c r="DO10" s="3"/>
      <c r="DP10" s="3"/>
      <c r="DQ10" s="3"/>
      <c r="DR10" s="3"/>
      <c r="DS10" s="3"/>
      <c r="DT10" s="3"/>
      <c r="DU10" s="3"/>
      <c r="DV10" s="3"/>
      <c r="DW10" s="3"/>
    </row>
    <row r="11" customFormat="false" ht="23.85" hidden="false" customHeight="false" outlineLevel="0" collapsed="false">
      <c r="A11" s="21" t="n">
        <v>6</v>
      </c>
      <c r="B11" s="3" t="n">
        <v>32</v>
      </c>
      <c r="C11" s="39" t="s">
        <v>1632</v>
      </c>
      <c r="D11" s="22" t="n">
        <f aca="false">TNPE!C10</f>
        <v>41636</v>
      </c>
      <c r="E11" s="22" t="n">
        <f aca="false">TNPE!D10</f>
        <v>916</v>
      </c>
      <c r="F11" s="22" t="n">
        <f aca="false">TNPE!E10</f>
        <v>1499</v>
      </c>
      <c r="G11" s="22" t="n">
        <f aca="false">TNPE!F10</f>
        <v>39221</v>
      </c>
      <c r="H11" s="22" t="n">
        <f aca="false">LFP!C10</f>
        <v>58000</v>
      </c>
      <c r="I11" s="22" t="n">
        <f aca="false">LFP!D10</f>
        <v>1276</v>
      </c>
      <c r="J11" s="22" t="n">
        <f aca="false">LFP!E10</f>
        <v>2088</v>
      </c>
      <c r="K11" s="22" t="n">
        <f aca="false">LFP!F10</f>
        <v>54636</v>
      </c>
      <c r="L11" s="18" t="n">
        <f aca="false">EP!C10</f>
        <v>41636</v>
      </c>
      <c r="M11" s="18" t="n">
        <f aca="false">EP!D10</f>
        <v>916</v>
      </c>
      <c r="N11" s="18" t="n">
        <f aca="false">EP!E10</f>
        <v>1499</v>
      </c>
      <c r="O11" s="18" t="n">
        <f aca="false">EP!F10</f>
        <v>39221</v>
      </c>
      <c r="P11" s="18" t="n">
        <f aca="false">U3P!C10</f>
        <v>16364</v>
      </c>
      <c r="Q11" s="18" t="n">
        <f aca="false">U3P!D10</f>
        <v>360</v>
      </c>
      <c r="R11" s="18" t="n">
        <f aca="false">U3P!E10</f>
        <v>589</v>
      </c>
      <c r="S11" s="18" t="n">
        <f aca="false">U3P!F10</f>
        <v>15415</v>
      </c>
      <c r="T11" s="18" t="n">
        <f aca="false">U6P!C10</f>
        <v>30700</v>
      </c>
      <c r="U11" s="18" t="n">
        <f aca="false">U6P!D10</f>
        <v>1288</v>
      </c>
      <c r="V11" s="18" t="n">
        <f aca="false">U6P!E10</f>
        <v>1840</v>
      </c>
      <c r="W11" s="18" t="n">
        <f aca="false">U6P!F10</f>
        <v>27572</v>
      </c>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DD11" s="3"/>
      <c r="DE11" s="3"/>
      <c r="DF11" s="3"/>
      <c r="DG11" s="3"/>
      <c r="DL11" s="3"/>
      <c r="DM11" s="3"/>
      <c r="DN11" s="3"/>
      <c r="DO11" s="3"/>
      <c r="DP11" s="3"/>
      <c r="DQ11" s="3"/>
      <c r="DR11" s="3"/>
      <c r="DS11" s="3"/>
      <c r="DT11" s="3"/>
      <c r="DU11" s="3"/>
      <c r="DV11" s="3"/>
      <c r="DW11" s="3"/>
    </row>
    <row r="12" customFormat="false" ht="23.85" hidden="false" customHeight="false" outlineLevel="0" collapsed="false">
      <c r="A12" s="21" t="n">
        <v>7</v>
      </c>
      <c r="B12" s="3" t="n">
        <v>33</v>
      </c>
      <c r="C12" s="39" t="s">
        <v>1633</v>
      </c>
      <c r="D12" s="22" t="n">
        <f aca="false">TNPE!C11</f>
        <v>85958</v>
      </c>
      <c r="E12" s="22" t="n">
        <f aca="false">TNPE!D11</f>
        <v>1891</v>
      </c>
      <c r="F12" s="22" t="n">
        <f aca="false">TNPE!E11</f>
        <v>3094</v>
      </c>
      <c r="G12" s="22" t="n">
        <f aca="false">TNPE!F11</f>
        <v>80973</v>
      </c>
      <c r="H12" s="22" t="n">
        <f aca="false">LFP!C11</f>
        <v>120000</v>
      </c>
      <c r="I12" s="22" t="n">
        <f aca="false">LFP!D11</f>
        <v>2640</v>
      </c>
      <c r="J12" s="22" t="n">
        <f aca="false">LFP!E11</f>
        <v>4320</v>
      </c>
      <c r="K12" s="22" t="n">
        <f aca="false">LFP!F11</f>
        <v>113040</v>
      </c>
      <c r="L12" s="18" t="n">
        <f aca="false">EP!C11</f>
        <v>85958</v>
      </c>
      <c r="M12" s="18" t="n">
        <f aca="false">EP!D11</f>
        <v>1891</v>
      </c>
      <c r="N12" s="18" t="n">
        <f aca="false">EP!E11</f>
        <v>3094</v>
      </c>
      <c r="O12" s="18" t="n">
        <f aca="false">EP!F11</f>
        <v>80973</v>
      </c>
      <c r="P12" s="18" t="n">
        <f aca="false">U3P!C11</f>
        <v>34042</v>
      </c>
      <c r="Q12" s="18" t="n">
        <f aca="false">U3P!D11</f>
        <v>749</v>
      </c>
      <c r="R12" s="18" t="n">
        <f aca="false">U3P!E11</f>
        <v>1226</v>
      </c>
      <c r="S12" s="18" t="n">
        <f aca="false">U3P!F11</f>
        <v>32067</v>
      </c>
      <c r="T12" s="18" t="n">
        <f aca="false">U6P!C11</f>
        <v>63800</v>
      </c>
      <c r="U12" s="18" t="n">
        <f aca="false">U6P!D11</f>
        <v>3398</v>
      </c>
      <c r="V12" s="18" t="n">
        <f aca="false">U6P!E11</f>
        <v>3692</v>
      </c>
      <c r="W12" s="18" t="n">
        <f aca="false">U6P!F11</f>
        <v>56710</v>
      </c>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DD12" s="3"/>
      <c r="DE12" s="3"/>
      <c r="DF12" s="3"/>
      <c r="DG12" s="3"/>
      <c r="DL12" s="3"/>
      <c r="DM12" s="3"/>
      <c r="DN12" s="3"/>
      <c r="DO12" s="3"/>
      <c r="DP12" s="3"/>
      <c r="DQ12" s="3"/>
      <c r="DR12" s="3"/>
      <c r="DS12" s="3"/>
      <c r="DT12" s="3"/>
      <c r="DU12" s="3"/>
      <c r="DV12" s="3"/>
      <c r="DW12" s="3"/>
    </row>
    <row r="13" customFormat="false" ht="12.8" hidden="false" customHeight="false" outlineLevel="0" collapsed="false">
      <c r="A13" s="21" t="n">
        <v>8</v>
      </c>
      <c r="B13" s="3" t="n">
        <v>42</v>
      </c>
      <c r="C13" s="3" t="s">
        <v>1634</v>
      </c>
      <c r="D13" s="22" t="n">
        <f aca="false">TNPE!C12</f>
        <v>37607</v>
      </c>
      <c r="E13" s="22" t="n">
        <f aca="false">TNPE!D12</f>
        <v>827</v>
      </c>
      <c r="F13" s="22" t="n">
        <f aca="false">TNPE!E12</f>
        <v>1354</v>
      </c>
      <c r="G13" s="22" t="n">
        <f aca="false">TNPE!F12</f>
        <v>35426</v>
      </c>
      <c r="H13" s="22" t="n">
        <f aca="false">LFP!C12</f>
        <v>49500</v>
      </c>
      <c r="I13" s="22" t="n">
        <f aca="false">LFP!D12</f>
        <v>1089</v>
      </c>
      <c r="J13" s="22" t="n">
        <f aca="false">LFP!E12</f>
        <v>1782</v>
      </c>
      <c r="K13" s="22" t="n">
        <f aca="false">LFP!F12</f>
        <v>46629</v>
      </c>
      <c r="L13" s="18" t="n">
        <f aca="false">EP!C12</f>
        <v>37607</v>
      </c>
      <c r="M13" s="18" t="n">
        <f aca="false">EP!D12</f>
        <v>827</v>
      </c>
      <c r="N13" s="18" t="n">
        <f aca="false">EP!E12</f>
        <v>1354</v>
      </c>
      <c r="O13" s="18" t="n">
        <f aca="false">EP!F12</f>
        <v>35426</v>
      </c>
      <c r="P13" s="18" t="n">
        <f aca="false">U3P!C12</f>
        <v>11893</v>
      </c>
      <c r="Q13" s="18" t="n">
        <f aca="false">U3P!D12</f>
        <v>262</v>
      </c>
      <c r="R13" s="18" t="n">
        <f aca="false">U3P!E12</f>
        <v>428</v>
      </c>
      <c r="S13" s="18" t="n">
        <f aca="false">U3P!F12</f>
        <v>11203</v>
      </c>
      <c r="T13" s="18" t="n">
        <f aca="false">U6P!C12</f>
        <v>22300</v>
      </c>
      <c r="U13" s="18" t="n">
        <f aca="false">U6P!D12</f>
        <v>1466</v>
      </c>
      <c r="V13" s="18" t="n">
        <f aca="false">U6P!E12</f>
        <v>1652</v>
      </c>
      <c r="W13" s="18" t="n">
        <f aca="false">U6P!F12</f>
        <v>19182</v>
      </c>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DD13" s="3"/>
      <c r="DE13" s="3"/>
      <c r="DF13" s="3"/>
      <c r="DG13" s="3"/>
      <c r="DL13" s="3"/>
      <c r="DM13" s="3"/>
      <c r="DN13" s="3"/>
      <c r="DO13" s="3"/>
      <c r="DP13" s="3"/>
      <c r="DQ13" s="3"/>
      <c r="DR13" s="3"/>
      <c r="DS13" s="3"/>
      <c r="DT13" s="3"/>
      <c r="DU13" s="3"/>
      <c r="DV13" s="3"/>
      <c r="DW13" s="3"/>
    </row>
    <row r="14" customFormat="false" ht="23.85" hidden="false" customHeight="false" outlineLevel="0" collapsed="false">
      <c r="A14" s="21" t="n">
        <v>9</v>
      </c>
      <c r="B14" s="3" t="n">
        <v>44</v>
      </c>
      <c r="C14" s="39" t="s">
        <v>1635</v>
      </c>
      <c r="D14" s="22" t="n">
        <f aca="false">TNPE!C13</f>
        <v>32234</v>
      </c>
      <c r="E14" s="22" t="n">
        <f aca="false">TNPE!D13</f>
        <v>709</v>
      </c>
      <c r="F14" s="22" t="n">
        <f aca="false">TNPE!E13</f>
        <v>1160</v>
      </c>
      <c r="G14" s="22" t="n">
        <f aca="false">TNPE!F13</f>
        <v>30365</v>
      </c>
      <c r="H14" s="22" t="n">
        <f aca="false">LFP!C13</f>
        <v>39900</v>
      </c>
      <c r="I14" s="22" t="n">
        <f aca="false">LFP!D13</f>
        <v>878</v>
      </c>
      <c r="J14" s="22" t="n">
        <f aca="false">LFP!E13</f>
        <v>1436</v>
      </c>
      <c r="K14" s="22" t="n">
        <f aca="false">LFP!F13</f>
        <v>37586</v>
      </c>
      <c r="L14" s="18" t="n">
        <f aca="false">EP!C13</f>
        <v>32234</v>
      </c>
      <c r="M14" s="18" t="n">
        <f aca="false">EP!D13</f>
        <v>709</v>
      </c>
      <c r="N14" s="18" t="n">
        <f aca="false">EP!E13</f>
        <v>1160</v>
      </c>
      <c r="O14" s="18" t="n">
        <f aca="false">EP!F13</f>
        <v>30365</v>
      </c>
      <c r="P14" s="18" t="n">
        <f aca="false">U3P!C13</f>
        <v>7766</v>
      </c>
      <c r="Q14" s="18" t="n">
        <f aca="false">U3P!D13</f>
        <v>169</v>
      </c>
      <c r="R14" s="18" t="n">
        <f aca="false">U3P!E13</f>
        <v>276</v>
      </c>
      <c r="S14" s="18" t="n">
        <f aca="false">U3P!F13</f>
        <v>7321</v>
      </c>
      <c r="T14" s="18" t="n">
        <f aca="false">U6P!C13</f>
        <v>14500</v>
      </c>
      <c r="U14" s="18" t="n">
        <f aca="false">U6P!D13</f>
        <v>1702</v>
      </c>
      <c r="V14" s="18" t="n">
        <f aca="false">U6P!E13</f>
        <v>2044</v>
      </c>
      <c r="W14" s="18" t="n">
        <f aca="false">U6P!F13</f>
        <v>10754</v>
      </c>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DD14" s="3"/>
      <c r="DE14" s="3"/>
      <c r="DF14" s="3"/>
      <c r="DG14" s="3"/>
      <c r="DL14" s="3"/>
      <c r="DM14" s="3"/>
      <c r="DN14" s="3"/>
      <c r="DO14" s="3"/>
      <c r="DP14" s="3"/>
      <c r="DQ14" s="3"/>
      <c r="DR14" s="3"/>
      <c r="DS14" s="3"/>
      <c r="DT14" s="3"/>
      <c r="DU14" s="3"/>
      <c r="DV14" s="3"/>
      <c r="DW14" s="3"/>
    </row>
    <row r="15" customFormat="false" ht="23.85" hidden="false" customHeight="false" outlineLevel="0" collapsed="false">
      <c r="A15" s="21" t="n">
        <v>10</v>
      </c>
      <c r="B15" s="3" t="n">
        <v>45</v>
      </c>
      <c r="C15" s="39" t="s">
        <v>1636</v>
      </c>
      <c r="D15" s="22" t="n">
        <f aca="false">TNPE!C14</f>
        <v>104762</v>
      </c>
      <c r="E15" s="22" t="n">
        <f aca="false">TNPE!D14</f>
        <v>2305</v>
      </c>
      <c r="F15" s="22" t="n">
        <f aca="false">TNPE!E14</f>
        <v>8381</v>
      </c>
      <c r="G15" s="22" t="n">
        <f aca="false">TNPE!F14</f>
        <v>94076</v>
      </c>
      <c r="H15" s="22" t="n">
        <f aca="false">LFP!C14</f>
        <v>129800</v>
      </c>
      <c r="I15" s="22" t="n">
        <f aca="false">LFP!D14</f>
        <v>2856</v>
      </c>
      <c r="J15" s="22" t="n">
        <f aca="false">LFP!E14</f>
        <v>10384</v>
      </c>
      <c r="K15" s="22" t="n">
        <f aca="false">LFP!F14</f>
        <v>116560</v>
      </c>
      <c r="L15" s="18" t="n">
        <f aca="false">EP!C14</f>
        <v>104762</v>
      </c>
      <c r="M15" s="18" t="n">
        <f aca="false">EP!D14</f>
        <v>2305</v>
      </c>
      <c r="N15" s="18" t="n">
        <f aca="false">EP!E14</f>
        <v>8381</v>
      </c>
      <c r="O15" s="18" t="n">
        <f aca="false">EP!F14</f>
        <v>94076</v>
      </c>
      <c r="P15" s="18" t="n">
        <f aca="false">U3P!C14</f>
        <v>24838</v>
      </c>
      <c r="Q15" s="18" t="n">
        <f aca="false">U3P!D14</f>
        <v>551</v>
      </c>
      <c r="R15" s="18" t="n">
        <f aca="false">U3P!E14</f>
        <v>2003</v>
      </c>
      <c r="S15" s="18" t="n">
        <f aca="false">U3P!F14</f>
        <v>23284</v>
      </c>
      <c r="T15" s="18" t="n">
        <f aca="false">U6P!C14</f>
        <v>46500</v>
      </c>
      <c r="U15" s="18" t="n">
        <f aca="false">U6P!D14</f>
        <v>4570</v>
      </c>
      <c r="V15" s="18" t="n">
        <f aca="false">U6P!E14</f>
        <v>7198</v>
      </c>
      <c r="W15" s="18" t="n">
        <f aca="false">U6P!F14</f>
        <v>34732</v>
      </c>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DD15" s="3"/>
      <c r="DE15" s="3"/>
      <c r="DF15" s="3"/>
      <c r="DG15" s="3"/>
      <c r="DL15" s="3"/>
      <c r="DM15" s="3"/>
      <c r="DN15" s="3"/>
      <c r="DO15" s="3"/>
      <c r="DP15" s="3"/>
      <c r="DQ15" s="3"/>
      <c r="DR15" s="3"/>
      <c r="DS15" s="3"/>
      <c r="DT15" s="3"/>
      <c r="DU15" s="3"/>
      <c r="DV15" s="3"/>
      <c r="DW15" s="3"/>
    </row>
    <row r="16" customFormat="false" ht="12.8" hidden="false" customHeight="false" outlineLevel="0" collapsed="false">
      <c r="A16" s="21" t="n">
        <v>11</v>
      </c>
      <c r="B16" s="3" t="n">
        <v>48</v>
      </c>
      <c r="C16" s="3" t="s">
        <v>1637</v>
      </c>
      <c r="D16" s="22" t="n">
        <f aca="false">TNPE!C15</f>
        <v>57753</v>
      </c>
      <c r="E16" s="22" t="n">
        <f aca="false">TNPE!D15</f>
        <v>1271</v>
      </c>
      <c r="F16" s="22" t="n">
        <f aca="false">TNPE!E15</f>
        <v>2079</v>
      </c>
      <c r="G16" s="22" t="n">
        <f aca="false">TNPE!F15</f>
        <v>54403</v>
      </c>
      <c r="H16" s="22" t="n">
        <f aca="false">LFP!C15</f>
        <v>75500</v>
      </c>
      <c r="I16" s="22" t="n">
        <f aca="false">LFP!D15</f>
        <v>1661</v>
      </c>
      <c r="J16" s="22" t="n">
        <f aca="false">LFP!E15</f>
        <v>2719</v>
      </c>
      <c r="K16" s="22" t="n">
        <f aca="false">LFP!F15</f>
        <v>71120</v>
      </c>
      <c r="L16" s="18" t="n">
        <f aca="false">EP!C15</f>
        <v>57753</v>
      </c>
      <c r="M16" s="18" t="n">
        <f aca="false">EP!D15</f>
        <v>1271</v>
      </c>
      <c r="N16" s="18" t="n">
        <f aca="false">EP!E15</f>
        <v>2079</v>
      </c>
      <c r="O16" s="18" t="n">
        <f aca="false">EP!F15</f>
        <v>54403</v>
      </c>
      <c r="P16" s="18" t="n">
        <f aca="false">U3P!C15</f>
        <v>17747</v>
      </c>
      <c r="Q16" s="18" t="n">
        <f aca="false">U3P!D15</f>
        <v>390</v>
      </c>
      <c r="R16" s="18" t="n">
        <f aca="false">U3P!E15</f>
        <v>640</v>
      </c>
      <c r="S16" s="18" t="n">
        <f aca="false">U3P!F15</f>
        <v>16717</v>
      </c>
      <c r="T16" s="18" t="n">
        <f aca="false">U6P!C15</f>
        <v>33300</v>
      </c>
      <c r="U16" s="18" t="n">
        <f aca="false">U6P!D15</f>
        <v>578</v>
      </c>
      <c r="V16" s="18" t="n">
        <f aca="false">U6P!E15</f>
        <v>2402</v>
      </c>
      <c r="W16" s="18" t="n">
        <f aca="false">U6P!F15</f>
        <v>30320</v>
      </c>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DD16" s="3"/>
      <c r="DE16" s="3"/>
      <c r="DF16" s="3"/>
      <c r="DG16" s="3"/>
      <c r="DL16" s="3"/>
      <c r="DM16" s="3"/>
      <c r="DN16" s="3"/>
      <c r="DO16" s="3"/>
      <c r="DP16" s="3"/>
      <c r="DQ16" s="3"/>
      <c r="DR16" s="3"/>
      <c r="DS16" s="3"/>
      <c r="DT16" s="3"/>
      <c r="DU16" s="3"/>
      <c r="DV16" s="3"/>
      <c r="DW16" s="3"/>
    </row>
    <row r="17" customFormat="false" ht="12.8" hidden="false" customHeight="false" outlineLevel="0" collapsed="false">
      <c r="A17" s="21" t="n">
        <v>12</v>
      </c>
      <c r="B17" s="3" t="n">
        <v>49</v>
      </c>
      <c r="C17" s="3" t="s">
        <v>1638</v>
      </c>
      <c r="D17" s="22" t="n">
        <f aca="false">TNPE!C16</f>
        <v>34921</v>
      </c>
      <c r="E17" s="22" t="n">
        <f aca="false">TNPE!D16</f>
        <v>768</v>
      </c>
      <c r="F17" s="22" t="n">
        <f aca="false">TNPE!E16</f>
        <v>1257</v>
      </c>
      <c r="G17" s="22" t="n">
        <f aca="false">TNPE!F16</f>
        <v>32896</v>
      </c>
      <c r="H17" s="22" t="n">
        <f aca="false">LFP!C16</f>
        <v>50000</v>
      </c>
      <c r="I17" s="22" t="n">
        <f aca="false">LFP!D16</f>
        <v>1100</v>
      </c>
      <c r="J17" s="22" t="n">
        <f aca="false">LFP!E16</f>
        <v>1800</v>
      </c>
      <c r="K17" s="22" t="n">
        <f aca="false">LFP!F16</f>
        <v>47100</v>
      </c>
      <c r="L17" s="18" t="n">
        <f aca="false">EP!C16</f>
        <v>34921</v>
      </c>
      <c r="M17" s="18" t="n">
        <f aca="false">EP!D16</f>
        <v>768</v>
      </c>
      <c r="N17" s="18" t="n">
        <f aca="false">EP!E16</f>
        <v>1257</v>
      </c>
      <c r="O17" s="18" t="n">
        <f aca="false">EP!F16</f>
        <v>32896</v>
      </c>
      <c r="P17" s="18" t="n">
        <f aca="false">U3P!C16</f>
        <v>15079</v>
      </c>
      <c r="Q17" s="18" t="n">
        <f aca="false">U3P!D16</f>
        <v>332</v>
      </c>
      <c r="R17" s="18" t="n">
        <f aca="false">U3P!E16</f>
        <v>543</v>
      </c>
      <c r="S17" s="18" t="n">
        <f aca="false">U3P!F16</f>
        <v>14204</v>
      </c>
      <c r="T17" s="18" t="n">
        <f aca="false">U6P!C16</f>
        <v>28200</v>
      </c>
      <c r="U17" s="18" t="n">
        <f aca="false">U6P!D16</f>
        <v>464</v>
      </c>
      <c r="V17" s="18" t="n">
        <f aca="false">U6P!E16</f>
        <v>1856</v>
      </c>
      <c r="W17" s="18" t="n">
        <f aca="false">U6P!F16</f>
        <v>25880</v>
      </c>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DD17" s="3"/>
      <c r="DE17" s="3"/>
      <c r="DF17" s="3"/>
      <c r="DG17" s="3"/>
      <c r="DL17" s="3"/>
      <c r="DM17" s="3"/>
      <c r="DN17" s="3"/>
      <c r="DO17" s="3"/>
      <c r="DP17" s="3"/>
      <c r="DQ17" s="3"/>
      <c r="DR17" s="3"/>
      <c r="DS17" s="3"/>
      <c r="DT17" s="3"/>
      <c r="DU17" s="3"/>
      <c r="DV17" s="3"/>
      <c r="DW17" s="3"/>
    </row>
    <row r="18" customFormat="false" ht="12.8" hidden="false" customHeight="false" outlineLevel="0" collapsed="false">
      <c r="A18" s="21" t="n">
        <v>13</v>
      </c>
      <c r="B18" s="3" t="n">
        <v>51</v>
      </c>
      <c r="C18" s="3" t="s">
        <v>1639</v>
      </c>
      <c r="D18" s="22" t="n">
        <f aca="false">TNPE!C17</f>
        <v>20147</v>
      </c>
      <c r="E18" s="22" t="n">
        <f aca="false">TNPE!D17</f>
        <v>443</v>
      </c>
      <c r="F18" s="22" t="n">
        <f aca="false">TNPE!E17</f>
        <v>726</v>
      </c>
      <c r="G18" s="22" t="n">
        <f aca="false">TNPE!F17</f>
        <v>18978</v>
      </c>
      <c r="H18" s="22" t="n">
        <f aca="false">LFP!C17</f>
        <v>28000</v>
      </c>
      <c r="I18" s="22" t="n">
        <f aca="false">LFP!D17</f>
        <v>616</v>
      </c>
      <c r="J18" s="22" t="n">
        <f aca="false">LFP!E17</f>
        <v>1008</v>
      </c>
      <c r="K18" s="22" t="n">
        <f aca="false">LFP!F17</f>
        <v>26376</v>
      </c>
      <c r="L18" s="18" t="n">
        <f aca="false">EP!C17</f>
        <v>20147</v>
      </c>
      <c r="M18" s="18" t="n">
        <f aca="false">EP!D17</f>
        <v>443</v>
      </c>
      <c r="N18" s="18" t="n">
        <f aca="false">EP!E17</f>
        <v>726</v>
      </c>
      <c r="O18" s="18" t="n">
        <f aca="false">EP!F17</f>
        <v>18978</v>
      </c>
      <c r="P18" s="18" t="n">
        <f aca="false">U3P!C17</f>
        <v>7853</v>
      </c>
      <c r="Q18" s="18" t="n">
        <f aca="false">U3P!D17</f>
        <v>173</v>
      </c>
      <c r="R18" s="18" t="n">
        <f aca="false">U3P!E17</f>
        <v>282</v>
      </c>
      <c r="S18" s="18" t="n">
        <f aca="false">U3P!F17</f>
        <v>7398</v>
      </c>
      <c r="T18" s="18" t="n">
        <f aca="false">U6P!C17</f>
        <v>14700</v>
      </c>
      <c r="U18" s="18" t="n">
        <f aca="false">U6P!D17</f>
        <v>234</v>
      </c>
      <c r="V18" s="18" t="n">
        <f aca="false">U6P!E17</f>
        <v>998</v>
      </c>
      <c r="W18" s="18" t="n">
        <f aca="false">U6P!F17</f>
        <v>13468</v>
      </c>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DD18" s="3"/>
      <c r="DE18" s="3"/>
      <c r="DF18" s="3"/>
      <c r="DG18" s="3"/>
      <c r="DL18" s="3"/>
      <c r="DM18" s="3"/>
      <c r="DN18" s="3"/>
      <c r="DO18" s="3"/>
      <c r="DP18" s="3"/>
      <c r="DQ18" s="3"/>
      <c r="DR18" s="3"/>
      <c r="DS18" s="3"/>
      <c r="DT18" s="3"/>
      <c r="DU18" s="3"/>
      <c r="DV18" s="3"/>
      <c r="DW18" s="3"/>
    </row>
    <row r="19" customFormat="false" ht="12.8" hidden="false" customHeight="false" outlineLevel="0" collapsed="false">
      <c r="A19" s="17" t="n">
        <v>14</v>
      </c>
      <c r="B19" s="18" t="n">
        <v>52</v>
      </c>
      <c r="C19" s="18" t="s">
        <v>1640</v>
      </c>
      <c r="D19" s="22" t="n">
        <f aca="false">TNPE!C18</f>
        <v>48352</v>
      </c>
      <c r="E19" s="22" t="n">
        <f aca="false">TNPE!D18</f>
        <v>1064</v>
      </c>
      <c r="F19" s="22" t="n">
        <f aca="false">TNPE!E18</f>
        <v>1741</v>
      </c>
      <c r="G19" s="22" t="n">
        <f aca="false">TNPE!F18</f>
        <v>45547</v>
      </c>
      <c r="H19" s="22" t="n">
        <f aca="false">LFP!C18</f>
        <v>60800</v>
      </c>
      <c r="I19" s="22" t="n">
        <f aca="false">LFP!D18</f>
        <v>1338</v>
      </c>
      <c r="J19" s="22" t="n">
        <f aca="false">LFP!E18</f>
        <v>2190</v>
      </c>
      <c r="K19" s="22" t="n">
        <f aca="false">LFP!F18</f>
        <v>57272</v>
      </c>
      <c r="L19" s="18" t="n">
        <f aca="false">EP!C18</f>
        <v>48352</v>
      </c>
      <c r="M19" s="18" t="n">
        <f aca="false">EP!D18</f>
        <v>1064</v>
      </c>
      <c r="N19" s="18" t="n">
        <f aca="false">EP!E18</f>
        <v>1741</v>
      </c>
      <c r="O19" s="18" t="n">
        <f aca="false">EP!F18</f>
        <v>45547</v>
      </c>
      <c r="P19" s="18" t="n">
        <f aca="false">U3P!C18</f>
        <v>12448</v>
      </c>
      <c r="Q19" s="18" t="n">
        <f aca="false">U3P!D18</f>
        <v>274</v>
      </c>
      <c r="R19" s="18" t="n">
        <f aca="false">U3P!E18</f>
        <v>449</v>
      </c>
      <c r="S19" s="18" t="n">
        <f aca="false">U3P!F18</f>
        <v>11725</v>
      </c>
      <c r="T19" s="18" t="n">
        <f aca="false">U6P!C18</f>
        <v>23300</v>
      </c>
      <c r="U19" s="18" t="n">
        <f aca="false">U6P!D18</f>
        <v>0</v>
      </c>
      <c r="V19" s="18" t="n">
        <f aca="false">U6P!E18</f>
        <v>0</v>
      </c>
      <c r="W19" s="18" t="n">
        <f aca="false">U6P!F18</f>
        <v>23300</v>
      </c>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DD19" s="3"/>
      <c r="DE19" s="3"/>
      <c r="DF19" s="3"/>
      <c r="DG19" s="3"/>
      <c r="DL19" s="3"/>
      <c r="DM19" s="3"/>
      <c r="DN19" s="3"/>
      <c r="DO19" s="3"/>
      <c r="DP19" s="3"/>
      <c r="DQ19" s="3"/>
      <c r="DR19" s="3"/>
      <c r="DS19" s="3"/>
      <c r="DT19" s="3"/>
      <c r="DU19" s="3"/>
      <c r="DV19" s="3"/>
      <c r="DW19" s="3"/>
    </row>
    <row r="20" customFormat="false" ht="12.8" hidden="false" customHeight="false" outlineLevel="0" collapsed="false">
      <c r="A20" s="17" t="n">
        <v>15</v>
      </c>
      <c r="B20" s="18" t="n">
        <v>53</v>
      </c>
      <c r="C20" s="39" t="s">
        <v>1641</v>
      </c>
      <c r="D20" s="22" t="n">
        <f aca="false">TNPE!C19</f>
        <v>24176</v>
      </c>
      <c r="E20" s="22" t="n">
        <f aca="false">TNPE!D19</f>
        <v>532</v>
      </c>
      <c r="F20" s="22" t="n">
        <f aca="false">TNPE!E19</f>
        <v>870</v>
      </c>
      <c r="G20" s="22" t="n">
        <f aca="false">TNPE!F19</f>
        <v>22774</v>
      </c>
      <c r="H20" s="22" t="n">
        <f aca="false">LFP!C19</f>
        <v>30400</v>
      </c>
      <c r="I20" s="22" t="n">
        <f aca="false">LFP!D19</f>
        <v>669</v>
      </c>
      <c r="J20" s="22" t="n">
        <f aca="false">LFP!E19</f>
        <v>1094</v>
      </c>
      <c r="K20" s="22" t="n">
        <f aca="false">LFP!F19</f>
        <v>28637</v>
      </c>
      <c r="L20" s="18" t="n">
        <f aca="false">EP!C19</f>
        <v>24176</v>
      </c>
      <c r="M20" s="18" t="n">
        <f aca="false">EP!D19</f>
        <v>532</v>
      </c>
      <c r="N20" s="18" t="n">
        <f aca="false">EP!E19</f>
        <v>870</v>
      </c>
      <c r="O20" s="18" t="n">
        <f aca="false">EP!F19</f>
        <v>22774</v>
      </c>
      <c r="P20" s="18" t="n">
        <f aca="false">U3P!C19</f>
        <v>6238</v>
      </c>
      <c r="Q20" s="18" t="n">
        <f aca="false">U3P!D19</f>
        <v>137</v>
      </c>
      <c r="R20" s="18" t="n">
        <f aca="false">U3P!E19</f>
        <v>224</v>
      </c>
      <c r="S20" s="18" t="n">
        <f aca="false">U3P!F19</f>
        <v>5877</v>
      </c>
      <c r="T20" s="18" t="n">
        <f aca="false">U6P!C19</f>
        <v>11700</v>
      </c>
      <c r="U20" s="18" t="n">
        <f aca="false">U6P!D19</f>
        <v>56</v>
      </c>
      <c r="V20" s="18" t="n">
        <f aca="false">U6P!E19</f>
        <v>0</v>
      </c>
      <c r="W20" s="18" t="n">
        <f aca="false">U6P!F19</f>
        <v>11644</v>
      </c>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DD20" s="3"/>
      <c r="DE20" s="3"/>
      <c r="DF20" s="3"/>
      <c r="DG20" s="3"/>
      <c r="DL20" s="3"/>
      <c r="DM20" s="3"/>
      <c r="DN20" s="3"/>
      <c r="DO20" s="3"/>
      <c r="DP20" s="3"/>
      <c r="DQ20" s="3"/>
      <c r="DR20" s="3"/>
      <c r="DS20" s="3"/>
      <c r="DT20" s="3"/>
      <c r="DU20" s="3"/>
      <c r="DV20" s="3"/>
      <c r="DW20" s="3"/>
    </row>
    <row r="21" customFormat="false" ht="23.85" hidden="false" customHeight="false" outlineLevel="0" collapsed="false">
      <c r="A21" s="17" t="n">
        <v>16</v>
      </c>
      <c r="B21" s="18" t="n">
        <v>54</v>
      </c>
      <c r="C21" s="39" t="s">
        <v>1642</v>
      </c>
      <c r="D21" s="22" t="n">
        <f aca="false">TNPE!C20</f>
        <v>72527</v>
      </c>
      <c r="E21" s="22" t="n">
        <f aca="false">TNPE!D20</f>
        <v>1596</v>
      </c>
      <c r="F21" s="22" t="n">
        <f aca="false">TNPE!E20</f>
        <v>2611</v>
      </c>
      <c r="G21" s="22" t="n">
        <f aca="false">TNPE!F20</f>
        <v>68320</v>
      </c>
      <c r="H21" s="22" t="n">
        <f aca="false">LFP!C20</f>
        <v>91200</v>
      </c>
      <c r="I21" s="22" t="n">
        <f aca="false">LFP!D20</f>
        <v>2006</v>
      </c>
      <c r="J21" s="22" t="n">
        <f aca="false">LFP!E20</f>
        <v>3283</v>
      </c>
      <c r="K21" s="22" t="n">
        <f aca="false">LFP!F20</f>
        <v>85911</v>
      </c>
      <c r="L21" s="18" t="n">
        <f aca="false">EP!C20</f>
        <v>72527</v>
      </c>
      <c r="M21" s="18" t="n">
        <f aca="false">EP!D20</f>
        <v>1596</v>
      </c>
      <c r="N21" s="18" t="n">
        <f aca="false">EP!E20</f>
        <v>2611</v>
      </c>
      <c r="O21" s="18" t="n">
        <f aca="false">EP!F20</f>
        <v>68320</v>
      </c>
      <c r="P21" s="18" t="n">
        <f aca="false">U3P!C20</f>
        <v>18673</v>
      </c>
      <c r="Q21" s="18" t="n">
        <f aca="false">U3P!D20</f>
        <v>410</v>
      </c>
      <c r="R21" s="18" t="n">
        <f aca="false">U3P!E20</f>
        <v>672</v>
      </c>
      <c r="S21" s="18" t="n">
        <f aca="false">U3P!F20</f>
        <v>17591</v>
      </c>
      <c r="T21" s="18" t="n">
        <f aca="false">U6P!C20</f>
        <v>35000</v>
      </c>
      <c r="U21" s="18" t="n">
        <f aca="false">U6P!D20</f>
        <v>0</v>
      </c>
      <c r="V21" s="18" t="n">
        <f aca="false">U6P!E20</f>
        <v>0</v>
      </c>
      <c r="W21" s="18" t="n">
        <f aca="false">U6P!F20</f>
        <v>35000</v>
      </c>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DD21" s="3"/>
      <c r="DE21" s="3"/>
      <c r="DF21" s="3"/>
      <c r="DG21" s="3"/>
      <c r="DL21" s="3"/>
      <c r="DM21" s="3"/>
      <c r="DN21" s="3"/>
      <c r="DO21" s="3"/>
      <c r="DP21" s="3"/>
      <c r="DQ21" s="3"/>
      <c r="DR21" s="3"/>
      <c r="DS21" s="3"/>
      <c r="DT21" s="3"/>
      <c r="DU21" s="3"/>
      <c r="DV21" s="3"/>
      <c r="DW21" s="3"/>
    </row>
    <row r="22" customFormat="false" ht="35.05" hidden="false" customHeight="false" outlineLevel="0" collapsed="false">
      <c r="A22" s="17" t="n">
        <v>17</v>
      </c>
      <c r="B22" s="18" t="n">
        <v>56</v>
      </c>
      <c r="C22" s="39" t="s">
        <v>1643</v>
      </c>
      <c r="D22" s="22" t="n">
        <f aca="false">TNPE!C21</f>
        <v>81929</v>
      </c>
      <c r="E22" s="22" t="n">
        <f aca="false">TNPE!D21</f>
        <v>1802</v>
      </c>
      <c r="F22" s="22" t="n">
        <f aca="false">TNPE!E21</f>
        <v>6554</v>
      </c>
      <c r="G22" s="22" t="n">
        <f aca="false">TNPE!F21</f>
        <v>73573</v>
      </c>
      <c r="H22" s="22" t="n">
        <f aca="false">LFP!C21</f>
        <v>123000</v>
      </c>
      <c r="I22" s="22" t="n">
        <f aca="false">LFP!D21</f>
        <v>2706</v>
      </c>
      <c r="J22" s="22" t="n">
        <f aca="false">LFP!E21</f>
        <v>9846</v>
      </c>
      <c r="K22" s="22" t="n">
        <f aca="false">LFP!F21</f>
        <v>110448</v>
      </c>
      <c r="L22" s="18" t="n">
        <f aca="false">EP!C21</f>
        <v>81929</v>
      </c>
      <c r="M22" s="18" t="n">
        <f aca="false">EP!D21</f>
        <v>1802</v>
      </c>
      <c r="N22" s="18" t="n">
        <f aca="false">EP!E21</f>
        <v>6554</v>
      </c>
      <c r="O22" s="18" t="n">
        <f aca="false">EP!F21</f>
        <v>73573</v>
      </c>
      <c r="P22" s="18" t="n">
        <f aca="false">U3P!C21</f>
        <v>41071</v>
      </c>
      <c r="Q22" s="18" t="n">
        <f aca="false">U3P!D21</f>
        <v>904</v>
      </c>
      <c r="R22" s="18" t="n">
        <f aca="false">U3P!E21</f>
        <v>3292</v>
      </c>
      <c r="S22" s="18" t="n">
        <f aca="false">U3P!F21</f>
        <v>36875</v>
      </c>
      <c r="T22" s="18" t="n">
        <f aca="false">U6P!C21</f>
        <v>77000</v>
      </c>
      <c r="U22" s="18" t="n">
        <f aca="false">U6P!D21</f>
        <v>5576</v>
      </c>
      <c r="V22" s="18" t="n">
        <f aca="false">U6P!E21</f>
        <v>13640</v>
      </c>
      <c r="W22" s="18" t="n">
        <f aca="false">U6P!F21</f>
        <v>57784</v>
      </c>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DD22" s="3"/>
      <c r="DE22" s="3"/>
      <c r="DF22" s="3"/>
      <c r="DG22" s="3"/>
      <c r="DL22" s="3"/>
      <c r="DM22" s="3"/>
      <c r="DN22" s="3"/>
      <c r="DO22" s="3"/>
      <c r="DP22" s="3"/>
      <c r="DQ22" s="3"/>
      <c r="DR22" s="3"/>
      <c r="DS22" s="3"/>
      <c r="DT22" s="3"/>
      <c r="DU22" s="3"/>
      <c r="DV22" s="3"/>
      <c r="DW22" s="3"/>
    </row>
    <row r="23" customFormat="false" ht="12.8" hidden="false" customHeight="false" outlineLevel="0" collapsed="false">
      <c r="A23" s="17" t="n">
        <v>18</v>
      </c>
      <c r="B23" s="18" t="n">
        <v>61</v>
      </c>
      <c r="C23" s="18" t="s">
        <v>1644</v>
      </c>
      <c r="D23" s="22" t="n">
        <f aca="false">TNPE!C22</f>
        <v>122222</v>
      </c>
      <c r="E23" s="22" t="n">
        <f aca="false">TNPE!D22</f>
        <v>2689</v>
      </c>
      <c r="F23" s="22" t="n">
        <f aca="false">TNPE!E22</f>
        <v>4400</v>
      </c>
      <c r="G23" s="22" t="n">
        <f aca="false">TNPE!F22</f>
        <v>115133</v>
      </c>
      <c r="H23" s="22" t="n">
        <f aca="false">LFP!C22</f>
        <v>152000</v>
      </c>
      <c r="I23" s="22" t="n">
        <f aca="false">LFP!D22</f>
        <v>3344</v>
      </c>
      <c r="J23" s="22" t="n">
        <f aca="false">LFP!E22</f>
        <v>5472</v>
      </c>
      <c r="K23" s="22" t="n">
        <f aca="false">LFP!F22</f>
        <v>143184</v>
      </c>
      <c r="L23" s="18" t="n">
        <f aca="false">EP!C22</f>
        <v>122222</v>
      </c>
      <c r="M23" s="18" t="n">
        <f aca="false">EP!D22</f>
        <v>2689</v>
      </c>
      <c r="N23" s="18" t="n">
        <f aca="false">EP!E22</f>
        <v>4400</v>
      </c>
      <c r="O23" s="18" t="n">
        <f aca="false">EP!F22</f>
        <v>115133</v>
      </c>
      <c r="P23" s="18" t="n">
        <f aca="false">U3P!C22</f>
        <v>29778</v>
      </c>
      <c r="Q23" s="18" t="n">
        <f aca="false">U3P!D22</f>
        <v>655</v>
      </c>
      <c r="R23" s="18" t="n">
        <f aca="false">U3P!E22</f>
        <v>1072</v>
      </c>
      <c r="S23" s="18" t="n">
        <f aca="false">U3P!F22</f>
        <v>28051</v>
      </c>
      <c r="T23" s="18" t="n">
        <f aca="false">U6P!C22</f>
        <v>55800</v>
      </c>
      <c r="U23" s="18" t="n">
        <f aca="false">U6P!D22</f>
        <v>602</v>
      </c>
      <c r="V23" s="18" t="n">
        <f aca="false">U6P!E22</f>
        <v>3200</v>
      </c>
      <c r="W23" s="18" t="n">
        <f aca="false">U6P!F22</f>
        <v>51998</v>
      </c>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DD23" s="3"/>
      <c r="DE23" s="3"/>
      <c r="DF23" s="3"/>
      <c r="DG23" s="3"/>
      <c r="DL23" s="3"/>
      <c r="DM23" s="3"/>
      <c r="DN23" s="3"/>
      <c r="DO23" s="3"/>
      <c r="DP23" s="3"/>
      <c r="DQ23" s="3"/>
      <c r="DR23" s="3"/>
      <c r="DS23" s="3"/>
      <c r="DT23" s="3"/>
      <c r="DU23" s="3"/>
      <c r="DV23" s="3"/>
      <c r="DW23" s="3"/>
    </row>
    <row r="24" customFormat="false" ht="12.8" hidden="false" customHeight="false" outlineLevel="0" collapsed="false">
      <c r="A24" s="17" t="n">
        <v>19</v>
      </c>
      <c r="B24" s="18" t="n">
        <v>62</v>
      </c>
      <c r="C24" s="39" t="s">
        <v>1645</v>
      </c>
      <c r="D24" s="22" t="n">
        <f aca="false">TNPE!C23</f>
        <v>171917</v>
      </c>
      <c r="E24" s="22" t="n">
        <f aca="false">TNPE!D23</f>
        <v>3782</v>
      </c>
      <c r="F24" s="22" t="n">
        <f aca="false">TNPE!E23</f>
        <v>6189</v>
      </c>
      <c r="G24" s="22" t="n">
        <f aca="false">TNPE!F23</f>
        <v>161946</v>
      </c>
      <c r="H24" s="22" t="n">
        <f aca="false">LFP!C23</f>
        <v>213800</v>
      </c>
      <c r="I24" s="22" t="n">
        <f aca="false">LFP!D23</f>
        <v>4704</v>
      </c>
      <c r="J24" s="22" t="n">
        <f aca="false">LFP!E23</f>
        <v>7697</v>
      </c>
      <c r="K24" s="22" t="n">
        <f aca="false">LFP!F23</f>
        <v>201399</v>
      </c>
      <c r="L24" s="18" t="n">
        <f aca="false">EP!C23</f>
        <v>171917</v>
      </c>
      <c r="M24" s="18" t="n">
        <f aca="false">EP!D23</f>
        <v>3782</v>
      </c>
      <c r="N24" s="18" t="n">
        <f aca="false">EP!E23</f>
        <v>6189</v>
      </c>
      <c r="O24" s="18" t="n">
        <f aca="false">EP!F23</f>
        <v>161946</v>
      </c>
      <c r="P24" s="18" t="n">
        <f aca="false">U3P!C23</f>
        <v>41883</v>
      </c>
      <c r="Q24" s="18" t="n">
        <f aca="false">U3P!D23</f>
        <v>922</v>
      </c>
      <c r="R24" s="18" t="n">
        <f aca="false">U3P!E23</f>
        <v>1508</v>
      </c>
      <c r="S24" s="18" t="n">
        <f aca="false">U3P!F23</f>
        <v>39453</v>
      </c>
      <c r="T24" s="18" t="n">
        <f aca="false">U6P!C23</f>
        <v>78500</v>
      </c>
      <c r="U24" s="18" t="n">
        <f aca="false">U6P!D23</f>
        <v>2016</v>
      </c>
      <c r="V24" s="18" t="n">
        <f aca="false">U6P!E23</f>
        <v>3296</v>
      </c>
      <c r="W24" s="18" t="n">
        <f aca="false">U6P!F23</f>
        <v>73288</v>
      </c>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DD24" s="3"/>
      <c r="DE24" s="3"/>
      <c r="DF24" s="3"/>
      <c r="DG24" s="3"/>
      <c r="DL24" s="3"/>
      <c r="DM24" s="3"/>
      <c r="DN24" s="3"/>
      <c r="DO24" s="3"/>
      <c r="DP24" s="3"/>
      <c r="DQ24" s="3"/>
      <c r="DR24" s="3"/>
      <c r="DS24" s="3"/>
      <c r="DT24" s="3"/>
      <c r="DU24" s="3"/>
      <c r="DV24" s="3"/>
      <c r="DW24" s="3"/>
    </row>
    <row r="25" customFormat="false" ht="12.8" hidden="false" customHeight="false" outlineLevel="0" collapsed="false">
      <c r="A25" s="17" t="n">
        <v>20</v>
      </c>
      <c r="B25" s="18" t="n">
        <v>71</v>
      </c>
      <c r="C25" s="39" t="s">
        <v>1646</v>
      </c>
      <c r="D25" s="22" t="n">
        <f aca="false">TNPE!C24</f>
        <v>24176</v>
      </c>
      <c r="E25" s="22" t="n">
        <f aca="false">TNPE!D24</f>
        <v>532</v>
      </c>
      <c r="F25" s="22" t="n">
        <f aca="false">TNPE!E24</f>
        <v>870</v>
      </c>
      <c r="G25" s="22" t="n">
        <f aca="false">TNPE!F24</f>
        <v>22774</v>
      </c>
      <c r="H25" s="22" t="n">
        <f aca="false">LFP!C24</f>
        <v>30400</v>
      </c>
      <c r="I25" s="22" t="n">
        <f aca="false">LFP!D24</f>
        <v>669</v>
      </c>
      <c r="J25" s="22" t="n">
        <f aca="false">LFP!E24</f>
        <v>1094</v>
      </c>
      <c r="K25" s="22" t="n">
        <f aca="false">LFP!F24</f>
        <v>28637</v>
      </c>
      <c r="L25" s="18" t="n">
        <f aca="false">EP!C24</f>
        <v>24176</v>
      </c>
      <c r="M25" s="18" t="n">
        <f aca="false">EP!D24</f>
        <v>532</v>
      </c>
      <c r="N25" s="18" t="n">
        <f aca="false">EP!E24</f>
        <v>870</v>
      </c>
      <c r="O25" s="18" t="n">
        <f aca="false">EP!F24</f>
        <v>22774</v>
      </c>
      <c r="P25" s="18" t="n">
        <f aca="false">U3P!C24</f>
        <v>5894</v>
      </c>
      <c r="Q25" s="18" t="n">
        <f aca="false">U3P!D24</f>
        <v>137</v>
      </c>
      <c r="R25" s="18" t="n">
        <f aca="false">U3P!E24</f>
        <v>224</v>
      </c>
      <c r="S25" s="18" t="n">
        <f aca="false">U3P!F24</f>
        <v>5533</v>
      </c>
      <c r="T25" s="18" t="n">
        <f aca="false">U6P!C24</f>
        <v>11000</v>
      </c>
      <c r="U25" s="18" t="n">
        <f aca="false">U6P!D24</f>
        <v>56</v>
      </c>
      <c r="V25" s="18" t="n">
        <f aca="false">U6P!E24</f>
        <v>0</v>
      </c>
      <c r="W25" s="18" t="n">
        <f aca="false">U6P!F24</f>
        <v>10944</v>
      </c>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DD25" s="3"/>
      <c r="DE25" s="3"/>
      <c r="DF25" s="3"/>
      <c r="DG25" s="3"/>
      <c r="DL25" s="3"/>
      <c r="DM25" s="3"/>
      <c r="DN25" s="3"/>
      <c r="DO25" s="3"/>
      <c r="DP25" s="3"/>
      <c r="DQ25" s="3"/>
      <c r="DR25" s="3"/>
      <c r="DS25" s="3"/>
      <c r="DT25" s="3"/>
      <c r="DU25" s="3"/>
      <c r="DV25" s="3"/>
      <c r="DW25" s="3"/>
    </row>
    <row r="26" customFormat="false" ht="12.8" hidden="false" customHeight="false" outlineLevel="0" collapsed="false">
      <c r="A26" s="17" t="n">
        <v>21</v>
      </c>
      <c r="B26" s="18" t="n">
        <v>72</v>
      </c>
      <c r="C26" s="39" t="s">
        <v>1647</v>
      </c>
      <c r="D26" s="22" t="n">
        <f aca="false">TNPE!C25</f>
        <v>98046</v>
      </c>
      <c r="E26" s="22" t="n">
        <f aca="false">TNPE!D25</f>
        <v>2157</v>
      </c>
      <c r="F26" s="22" t="n">
        <f aca="false">TNPE!E25</f>
        <v>7844</v>
      </c>
      <c r="G26" s="22" t="n">
        <f aca="false">TNPE!F25</f>
        <v>88045</v>
      </c>
      <c r="H26" s="22" t="n">
        <f aca="false">LFP!C25</f>
        <v>124500</v>
      </c>
      <c r="I26" s="22" t="n">
        <f aca="false">LFP!D25</f>
        <v>2739</v>
      </c>
      <c r="J26" s="22" t="n">
        <f aca="false">LFP!E25</f>
        <v>9950</v>
      </c>
      <c r="K26" s="22" t="n">
        <f aca="false">LFP!F25</f>
        <v>111811</v>
      </c>
      <c r="L26" s="18" t="n">
        <f aca="false">EP!C25</f>
        <v>98046</v>
      </c>
      <c r="M26" s="18" t="n">
        <f aca="false">EP!D25</f>
        <v>2157</v>
      </c>
      <c r="N26" s="18" t="n">
        <f aca="false">EP!E25</f>
        <v>7844</v>
      </c>
      <c r="O26" s="18" t="n">
        <f aca="false">EP!F25</f>
        <v>88045</v>
      </c>
      <c r="P26" s="18" t="n">
        <f aca="false">U3P!C25</f>
        <v>46454</v>
      </c>
      <c r="Q26" s="18" t="n">
        <f aca="false">U3P!D25</f>
        <v>582</v>
      </c>
      <c r="R26" s="18" t="n">
        <f aca="false">U3P!E25</f>
        <v>2106</v>
      </c>
      <c r="S26" s="18" t="n">
        <f aca="false">U3P!F25</f>
        <v>43766</v>
      </c>
      <c r="T26" s="18" t="n">
        <f aca="false">U6P!C25</f>
        <v>87000</v>
      </c>
      <c r="U26" s="18" t="n">
        <f aca="false">U6P!D25</f>
        <v>486</v>
      </c>
      <c r="V26" s="18" t="n">
        <f aca="false">U6P!E25</f>
        <v>10314</v>
      </c>
      <c r="W26" s="18" t="n">
        <f aca="false">U6P!F25</f>
        <v>76200</v>
      </c>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DD26" s="3"/>
      <c r="DE26" s="3"/>
      <c r="DF26" s="3"/>
      <c r="DG26" s="3"/>
      <c r="DL26" s="3"/>
      <c r="DM26" s="3"/>
      <c r="DN26" s="3"/>
      <c r="DO26" s="3"/>
      <c r="DP26" s="3"/>
      <c r="DQ26" s="3"/>
      <c r="DR26" s="3"/>
      <c r="DS26" s="3"/>
      <c r="DT26" s="3"/>
      <c r="DU26" s="3"/>
      <c r="DV26" s="3"/>
      <c r="DW26" s="3"/>
    </row>
    <row r="27" customFormat="false" ht="23.85" hidden="false" customHeight="false" outlineLevel="0" collapsed="false">
      <c r="A27" s="17" t="n">
        <v>22</v>
      </c>
      <c r="B27" s="18" t="n">
        <v>81</v>
      </c>
      <c r="C27" s="39" t="s">
        <v>1648</v>
      </c>
      <c r="D27" s="22" t="n">
        <f aca="false">TNPE!C26</f>
        <v>52381</v>
      </c>
      <c r="E27" s="22" t="n">
        <f aca="false">TNPE!D26</f>
        <v>1152</v>
      </c>
      <c r="F27" s="22" t="n">
        <f aca="false">TNPE!E26</f>
        <v>4190</v>
      </c>
      <c r="G27" s="22" t="n">
        <f aca="false">TNPE!F26</f>
        <v>47039</v>
      </c>
      <c r="H27" s="22" t="n">
        <f aca="false">LFP!C26</f>
        <v>66500</v>
      </c>
      <c r="I27" s="22" t="n">
        <f aca="false">LFP!D26</f>
        <v>1463</v>
      </c>
      <c r="J27" s="22" t="n">
        <f aca="false">LFP!E26</f>
        <v>5320</v>
      </c>
      <c r="K27" s="22" t="n">
        <f aca="false">LFP!F26</f>
        <v>59717</v>
      </c>
      <c r="L27" s="18" t="n">
        <f aca="false">EP!C26</f>
        <v>52381</v>
      </c>
      <c r="M27" s="18" t="n">
        <f aca="false">EP!D26</f>
        <v>1152</v>
      </c>
      <c r="N27" s="18" t="n">
        <f aca="false">EP!E26</f>
        <v>4190</v>
      </c>
      <c r="O27" s="18" t="n">
        <f aca="false">EP!F26</f>
        <v>47039</v>
      </c>
      <c r="P27" s="18" t="n">
        <f aca="false">U3P!C26</f>
        <v>12719</v>
      </c>
      <c r="Q27" s="18" t="n">
        <f aca="false">U3P!D26</f>
        <v>311</v>
      </c>
      <c r="R27" s="18" t="n">
        <f aca="false">U3P!E26</f>
        <v>1130</v>
      </c>
      <c r="S27" s="18" t="n">
        <f aca="false">U3P!F26</f>
        <v>11278</v>
      </c>
      <c r="T27" s="18" t="n">
        <f aca="false">U6P!C26</f>
        <v>23800</v>
      </c>
      <c r="U27" s="18" t="n">
        <f aca="false">U6P!D26</f>
        <v>496</v>
      </c>
      <c r="V27" s="18" t="n">
        <f aca="false">U6P!E26</f>
        <v>3620</v>
      </c>
      <c r="W27" s="18" t="n">
        <f aca="false">U6P!F26</f>
        <v>19684</v>
      </c>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DD27" s="3"/>
      <c r="DE27" s="3"/>
      <c r="DF27" s="3"/>
      <c r="DG27" s="3"/>
      <c r="DL27" s="3"/>
      <c r="DM27" s="3"/>
      <c r="DN27" s="3"/>
      <c r="DO27" s="3"/>
      <c r="DP27" s="3"/>
      <c r="DQ27" s="3"/>
      <c r="DR27" s="3"/>
      <c r="DS27" s="3"/>
      <c r="DT27" s="3"/>
      <c r="DU27" s="3"/>
      <c r="DV27" s="3"/>
      <c r="DW27" s="3"/>
    </row>
    <row r="28" customFormat="false" ht="12.8" hidden="false" customHeight="false" outlineLevel="0" collapsed="false">
      <c r="A28" s="17" t="n">
        <v>23</v>
      </c>
      <c r="B28" s="18" t="n">
        <v>92</v>
      </c>
      <c r="C28" s="18" t="s">
        <v>1649</v>
      </c>
      <c r="D28" s="22" t="n">
        <f aca="false">TNPE!C27</f>
        <v>76557</v>
      </c>
      <c r="E28" s="22" t="n">
        <f aca="false">TNPE!D27</f>
        <v>1684</v>
      </c>
      <c r="F28" s="22" t="n">
        <f aca="false">TNPE!E27</f>
        <v>2756</v>
      </c>
      <c r="G28" s="22" t="n">
        <f aca="false">TNPE!F27</f>
        <v>72117</v>
      </c>
      <c r="H28" s="22" t="n">
        <f aca="false">LFP!C27</f>
        <v>95000</v>
      </c>
      <c r="I28" s="22" t="n">
        <f aca="false">LFP!D27</f>
        <v>2090</v>
      </c>
      <c r="J28" s="22" t="n">
        <f aca="false">LFP!E27</f>
        <v>3420</v>
      </c>
      <c r="K28" s="22" t="n">
        <f aca="false">LFP!F27</f>
        <v>89490</v>
      </c>
      <c r="L28" s="18" t="n">
        <f aca="false">EP!C27</f>
        <v>76557</v>
      </c>
      <c r="M28" s="18" t="n">
        <f aca="false">EP!D27</f>
        <v>1684</v>
      </c>
      <c r="N28" s="18" t="n">
        <f aca="false">EP!E27</f>
        <v>2756</v>
      </c>
      <c r="O28" s="18" t="n">
        <f aca="false">EP!F27</f>
        <v>72117</v>
      </c>
      <c r="P28" s="18" t="n">
        <f aca="false">U3P!C27</f>
        <v>24443</v>
      </c>
      <c r="Q28" s="18" t="n">
        <f aca="false">U3P!D27</f>
        <v>406</v>
      </c>
      <c r="R28" s="18" t="n">
        <f aca="false">U3P!E27</f>
        <v>664</v>
      </c>
      <c r="S28" s="18" t="n">
        <f aca="false">U3P!F27</f>
        <v>23373</v>
      </c>
      <c r="T28" s="18" t="n">
        <f aca="false">U6P!C27</f>
        <v>45800</v>
      </c>
      <c r="U28" s="18" t="n">
        <f aca="false">U6P!D27</f>
        <v>632</v>
      </c>
      <c r="V28" s="18" t="n">
        <f aca="false">U6P!E27</f>
        <v>1772</v>
      </c>
      <c r="W28" s="18" t="n">
        <f aca="false">U6P!F27</f>
        <v>43396</v>
      </c>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DD28" s="3"/>
      <c r="DE28" s="3"/>
      <c r="DF28" s="3"/>
      <c r="DG28" s="3"/>
      <c r="DL28" s="3"/>
      <c r="DM28" s="3"/>
      <c r="DN28" s="3"/>
      <c r="DO28" s="3"/>
      <c r="DP28" s="3"/>
      <c r="DQ28" s="3"/>
      <c r="DR28" s="3"/>
      <c r="DS28" s="3"/>
      <c r="DT28" s="3"/>
      <c r="DU28" s="3"/>
      <c r="DV28" s="3"/>
      <c r="DW28" s="3"/>
    </row>
    <row r="32" customFormat="false" ht="12.8" hidden="false" customHeight="false" outlineLevel="0" collapsed="false">
      <c r="A32" s="14" t="str">
        <f aca="false">_xlfn.CONCAT($A$1,".","LFPAR")</f>
        <v>LSD.RID.0.AL.CALC.LFPAR</v>
      </c>
      <c r="B32" s="5" t="s">
        <v>1650</v>
      </c>
    </row>
    <row r="33" customFormat="false" ht="12.8" hidden="false" customHeight="false" outlineLevel="0" collapsed="false">
      <c r="A33" s="40" t="s">
        <v>1597</v>
      </c>
      <c r="B33" s="40"/>
      <c r="C33" s="40"/>
      <c r="D33" s="5" t="s">
        <v>1651</v>
      </c>
      <c r="E33" s="5"/>
      <c r="F33" s="5"/>
      <c r="G33" s="5"/>
      <c r="H33" s="5" t="s">
        <v>1652</v>
      </c>
      <c r="I33" s="5"/>
      <c r="J33" s="5"/>
      <c r="K33" s="5"/>
      <c r="L33" s="5" t="s">
        <v>1653</v>
      </c>
      <c r="M33" s="5"/>
      <c r="N33" s="5"/>
      <c r="O33" s="5"/>
      <c r="P33" s="5" t="s">
        <v>1654</v>
      </c>
      <c r="Q33" s="5"/>
      <c r="R33" s="5"/>
      <c r="S33" s="5"/>
      <c r="T33" s="5" t="s">
        <v>1655</v>
      </c>
      <c r="U33" s="5"/>
      <c r="V33" s="5"/>
      <c r="W33" s="5"/>
      <c r="X33" s="5" t="s">
        <v>1656</v>
      </c>
      <c r="Y33" s="5"/>
      <c r="Z33" s="5"/>
      <c r="AA33" s="5"/>
      <c r="AB33" s="36" t="s">
        <v>1657</v>
      </c>
      <c r="AC33" s="36"/>
      <c r="AD33" s="36"/>
      <c r="AE33" s="36"/>
      <c r="AF33" s="36" t="s">
        <v>1658</v>
      </c>
      <c r="AG33" s="36"/>
      <c r="AH33" s="36"/>
      <c r="AI33" s="36"/>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F33" s="18"/>
      <c r="CG33" s="18"/>
      <c r="CH33" s="18"/>
      <c r="CI33" s="18"/>
      <c r="CJ33" s="18"/>
      <c r="CK33" s="18"/>
      <c r="CL33" s="18"/>
      <c r="CM33" s="18"/>
      <c r="DD33" s="3"/>
      <c r="DE33" s="3"/>
      <c r="DF33" s="3"/>
      <c r="DG33" s="3"/>
      <c r="DL33" s="3"/>
      <c r="DM33" s="3"/>
      <c r="DN33" s="3"/>
      <c r="DO33" s="3"/>
      <c r="DP33" s="3"/>
      <c r="DQ33" s="3"/>
      <c r="DR33" s="3"/>
      <c r="DS33" s="3"/>
      <c r="DT33" s="3"/>
      <c r="DU33" s="3"/>
      <c r="DV33" s="3"/>
      <c r="DW33" s="3"/>
    </row>
    <row r="34" customFormat="false" ht="12.8" hidden="false" customHeight="false" outlineLevel="0" collapsed="false">
      <c r="A34" s="14" t="s">
        <v>99</v>
      </c>
      <c r="B34" s="22" t="s">
        <v>1603</v>
      </c>
      <c r="C34" s="22" t="s">
        <v>1604</v>
      </c>
      <c r="D34" s="22" t="s">
        <v>1659</v>
      </c>
      <c r="E34" s="22" t="s">
        <v>1660</v>
      </c>
      <c r="F34" s="22" t="s">
        <v>1661</v>
      </c>
      <c r="G34" s="22" t="s">
        <v>1662</v>
      </c>
      <c r="H34" s="22" t="s">
        <v>1663</v>
      </c>
      <c r="I34" s="22" t="s">
        <v>1664</v>
      </c>
      <c r="J34" s="22" t="s">
        <v>1665</v>
      </c>
      <c r="K34" s="22" t="s">
        <v>1666</v>
      </c>
      <c r="L34" s="22" t="s">
        <v>1667</v>
      </c>
      <c r="M34" s="22" t="s">
        <v>1668</v>
      </c>
      <c r="N34" s="22" t="s">
        <v>1669</v>
      </c>
      <c r="O34" s="22" t="s">
        <v>1670</v>
      </c>
      <c r="P34" s="22" t="s">
        <v>1671</v>
      </c>
      <c r="Q34" s="22" t="s">
        <v>1672</v>
      </c>
      <c r="R34" s="22" t="s">
        <v>1673</v>
      </c>
      <c r="S34" s="22" t="s">
        <v>1674</v>
      </c>
      <c r="T34" s="22" t="s">
        <v>1675</v>
      </c>
      <c r="U34" s="22" t="s">
        <v>1676</v>
      </c>
      <c r="V34" s="22" t="s">
        <v>1677</v>
      </c>
      <c r="W34" s="22" t="s">
        <v>1678</v>
      </c>
      <c r="X34" s="22" t="s">
        <v>1679</v>
      </c>
      <c r="Y34" s="22" t="s">
        <v>1680</v>
      </c>
      <c r="Z34" s="22" t="s">
        <v>1681</v>
      </c>
      <c r="AA34" s="22" t="s">
        <v>1682</v>
      </c>
      <c r="AB34" s="22" t="s">
        <v>1683</v>
      </c>
      <c r="AC34" s="22" t="s">
        <v>1684</v>
      </c>
      <c r="AD34" s="22" t="s">
        <v>1685</v>
      </c>
      <c r="AE34" s="22" t="s">
        <v>1686</v>
      </c>
      <c r="AF34" s="22" t="s">
        <v>1687</v>
      </c>
      <c r="AG34" s="22" t="s">
        <v>1688</v>
      </c>
      <c r="AH34" s="22" t="s">
        <v>1689</v>
      </c>
      <c r="AI34" s="22" t="s">
        <v>1690</v>
      </c>
      <c r="AJ34" s="36" t="s">
        <v>1691</v>
      </c>
      <c r="AK34" s="36"/>
      <c r="AL34" s="36"/>
      <c r="AM34" s="36"/>
      <c r="AN34" s="36" t="s">
        <v>1692</v>
      </c>
      <c r="AO34" s="36"/>
      <c r="AP34" s="36"/>
      <c r="AQ34" s="36"/>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J34" s="18"/>
      <c r="CK34" s="18"/>
      <c r="CL34" s="18"/>
      <c r="CM34" s="18"/>
      <c r="CN34" s="18"/>
      <c r="CO34" s="18"/>
      <c r="CP34" s="18"/>
      <c r="CQ34" s="18"/>
      <c r="DD34" s="3"/>
      <c r="DE34" s="3"/>
      <c r="DF34" s="3"/>
      <c r="DG34" s="3"/>
      <c r="DL34" s="3"/>
      <c r="DM34" s="3"/>
      <c r="DN34" s="3"/>
      <c r="DO34" s="3"/>
      <c r="DP34" s="3"/>
      <c r="DQ34" s="3"/>
      <c r="DR34" s="3"/>
      <c r="DS34" s="3"/>
      <c r="DT34" s="3"/>
      <c r="DU34" s="3"/>
      <c r="DV34" s="3"/>
      <c r="DW34" s="3"/>
    </row>
    <row r="35" customFormat="false" ht="12.8" hidden="false" customHeight="false" outlineLevel="0" collapsed="false">
      <c r="A35" s="17" t="n">
        <v>0</v>
      </c>
      <c r="B35" s="18" t="s">
        <v>1625</v>
      </c>
      <c r="C35" s="18" t="s">
        <v>1626</v>
      </c>
      <c r="D35" s="18" t="n">
        <f aca="false">LFPR!C4</f>
        <v>0.577</v>
      </c>
      <c r="E35" s="18" t="n">
        <f aca="false">LFPR!D4</f>
        <v>0.41</v>
      </c>
      <c r="F35" s="18" t="n">
        <f aca="false">LFPR!E4</f>
        <v>0.61</v>
      </c>
      <c r="G35" s="18" t="n">
        <f aca="false">LFPR!F4</f>
        <v>0.583</v>
      </c>
      <c r="H35" s="18" t="n">
        <f aca="false">ETPR!C4</f>
        <v>0.561</v>
      </c>
      <c r="I35" s="18" t="n">
        <f aca="false">ETPR!D4</f>
        <v>0.538</v>
      </c>
      <c r="J35" s="18" t="n">
        <f aca="false">ETPR!E4</f>
        <v>0.594</v>
      </c>
      <c r="K35" s="18" t="n">
        <f aca="false">ETPR!F4</f>
        <v>0.564</v>
      </c>
      <c r="L35" s="18" t="n">
        <f aca="false">U3R!C4</f>
        <v>0.027</v>
      </c>
      <c r="M35" s="18" t="n">
        <f aca="false">U3R!D4</f>
        <v>0.029</v>
      </c>
      <c r="N35" s="18" t="n">
        <f aca="false">U3R!E4</f>
        <v>0.033</v>
      </c>
      <c r="O35" s="18" t="n">
        <f aca="false">U3R!F4</f>
        <v>0.027</v>
      </c>
      <c r="P35" s="18" t="n">
        <f aca="false">U3TPR!C4</f>
        <v>0.0155</v>
      </c>
      <c r="Q35" s="18" t="n">
        <f aca="false">U3TPR!D4</f>
        <v>0.0128</v>
      </c>
      <c r="R35" s="18" t="n">
        <f aca="false">U3TPR!E4</f>
        <v>0.0482</v>
      </c>
      <c r="S35" s="18" t="n">
        <f aca="false">U3TPR!F4</f>
        <v>0.0151</v>
      </c>
      <c r="T35" s="18" t="n">
        <f aca="false">U6R!C4</f>
        <v>0.062</v>
      </c>
      <c r="U35" s="18" t="n">
        <f aca="false">U6R!D4</f>
        <v>0.048</v>
      </c>
      <c r="V35" s="18" t="n">
        <f aca="false">U6R!E4</f>
        <v>0.198</v>
      </c>
      <c r="W35" s="18" t="n">
        <f aca="false">U6R!F4</f>
        <v>0.059</v>
      </c>
      <c r="X35" s="18" t="n">
        <f aca="false">U6TPR!C4</f>
        <v>0.0358</v>
      </c>
      <c r="Y35" s="18" t="n">
        <f aca="false">U6TPR!D4</f>
        <v>0.0295</v>
      </c>
      <c r="Z35" s="18" t="n">
        <f aca="false">U6TPR!E4</f>
        <v>0.1984</v>
      </c>
      <c r="AA35" s="18" t="n">
        <f aca="false">U6TPR!F4</f>
        <v>0.035</v>
      </c>
      <c r="AB35" s="3" t="n">
        <f aca="false">FTER!C4</f>
        <v>0.82</v>
      </c>
      <c r="AC35" s="3" t="n">
        <f aca="false">FTER!D4</f>
        <v>0.84</v>
      </c>
      <c r="AD35" s="3" t="n">
        <f aca="false">FTER!E4</f>
        <v>0.78</v>
      </c>
      <c r="AE35" s="3" t="n">
        <f aca="false">FTER!F4</f>
        <v>0.82</v>
      </c>
      <c r="AF35" s="3" t="n">
        <f aca="false">PTER!C4</f>
        <v>0.18</v>
      </c>
      <c r="AG35" s="3" t="n">
        <f aca="false">PTER!D4</f>
        <v>0.16</v>
      </c>
      <c r="AH35" s="3" t="n">
        <f aca="false">PTER!E4</f>
        <v>0.22</v>
      </c>
      <c r="AI35" s="3" t="n">
        <f aca="false">PTER!F4</f>
        <v>0.18</v>
      </c>
      <c r="AJ35" s="22" t="s">
        <v>1693</v>
      </c>
      <c r="AK35" s="22" t="s">
        <v>1694</v>
      </c>
      <c r="AL35" s="22" t="s">
        <v>1695</v>
      </c>
      <c r="AM35" s="22" t="s">
        <v>1696</v>
      </c>
      <c r="AN35" s="22" t="s">
        <v>1697</v>
      </c>
      <c r="AO35" s="22" t="s">
        <v>1698</v>
      </c>
      <c r="AP35" s="22" t="s">
        <v>1699</v>
      </c>
      <c r="AQ35" s="22" t="s">
        <v>1700</v>
      </c>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F35" s="3"/>
      <c r="CG35" s="3"/>
      <c r="CH35" s="3"/>
      <c r="CI35" s="3"/>
      <c r="CJ35" s="3"/>
      <c r="CK35" s="3"/>
      <c r="CL35" s="3"/>
      <c r="CM35" s="3"/>
      <c r="CV35" s="18"/>
      <c r="CW35" s="18"/>
      <c r="CX35" s="18"/>
      <c r="CY35" s="18"/>
      <c r="CZ35" s="18"/>
      <c r="DD35" s="3"/>
      <c r="DH35" s="18"/>
      <c r="DI35" s="18"/>
      <c r="DJ35" s="18"/>
      <c r="DK35" s="18"/>
      <c r="DP35" s="3"/>
      <c r="DQ35" s="3"/>
      <c r="DR35" s="3"/>
      <c r="DS35" s="3"/>
      <c r="DT35" s="3"/>
      <c r="DU35" s="3"/>
      <c r="DV35" s="3"/>
      <c r="DW35" s="3"/>
      <c r="EB35" s="18"/>
      <c r="EC35" s="18"/>
      <c r="ED35" s="18"/>
      <c r="EE35" s="18"/>
      <c r="EF35" s="18"/>
      <c r="EG35" s="18"/>
      <c r="EH35" s="18"/>
      <c r="EI35" s="18"/>
      <c r="EJ35" s="3"/>
      <c r="EK35" s="3"/>
      <c r="EL35" s="3"/>
      <c r="EM35" s="3"/>
      <c r="EN35" s="3"/>
      <c r="EO35" s="3"/>
      <c r="EP35" s="3"/>
      <c r="EQ35" s="3"/>
      <c r="ER35" s="3"/>
      <c r="ES35" s="3"/>
      <c r="ET35" s="3"/>
      <c r="EU35" s="3"/>
    </row>
    <row r="36" customFormat="false" ht="23.85" hidden="false" customHeight="false" outlineLevel="0" collapsed="false">
      <c r="A36" s="17" t="n">
        <v>1</v>
      </c>
      <c r="B36" s="18" t="n">
        <v>11</v>
      </c>
      <c r="C36" s="39" t="s">
        <v>1627</v>
      </c>
      <c r="D36" s="18" t="n">
        <f aca="false">LFPR!C5</f>
        <v>0.545</v>
      </c>
      <c r="E36" s="18" t="n">
        <f aca="false">LFPR!D5</f>
        <v>0.4</v>
      </c>
      <c r="F36" s="18" t="n">
        <f aca="false">LFPR!E5</f>
        <v>0.7</v>
      </c>
      <c r="G36" s="18" t="n">
        <f aca="false">LFPR!F5</f>
        <v>0.545</v>
      </c>
      <c r="H36" s="18" t="n">
        <f aca="false">ETPR!C5</f>
        <v>0.61</v>
      </c>
      <c r="I36" s="18" t="n">
        <f aca="false">ETPR!D5</f>
        <v>0.62</v>
      </c>
      <c r="J36" s="18" t="n">
        <f aca="false">ETPR!E5</f>
        <v>0.68</v>
      </c>
      <c r="K36" s="18" t="n">
        <f aca="false">ETPR!F5</f>
        <v>0.605</v>
      </c>
      <c r="L36" s="18" t="n">
        <f aca="false">U3R!C5</f>
        <v>0.045</v>
      </c>
      <c r="M36" s="18" t="n">
        <f aca="false">U3R!D5</f>
        <v>0.048</v>
      </c>
      <c r="N36" s="18" t="n">
        <f aca="false">U3R!E5</f>
        <v>0.062</v>
      </c>
      <c r="O36" s="18" t="n">
        <f aca="false">U3R!F5</f>
        <v>0.042</v>
      </c>
      <c r="P36" s="18" t="n">
        <f aca="false">U3TPR!C5</f>
        <v>0.0293</v>
      </c>
      <c r="Q36" s="18" t="n">
        <f aca="false">U3TPR!D5</f>
        <v>0.0185</v>
      </c>
      <c r="R36" s="18" t="n">
        <f aca="false">U3TPR!E5</f>
        <v>0.0921</v>
      </c>
      <c r="S36" s="18" t="n">
        <f aca="false">U3TPR!F5</f>
        <v>0.0284</v>
      </c>
      <c r="T36" s="18" t="n">
        <f aca="false">U6R!C5</f>
        <v>0.072</v>
      </c>
      <c r="U36" s="18" t="n">
        <f aca="false">U6R!D5</f>
        <v>0.059</v>
      </c>
      <c r="V36" s="18" t="n">
        <f aca="false">U6R!E5</f>
        <v>0.318</v>
      </c>
      <c r="W36" s="18" t="n">
        <f aca="false">U6R!F5</f>
        <v>0.069</v>
      </c>
      <c r="X36" s="18" t="n">
        <f aca="false">U6TPR!C5</f>
        <v>0.0647</v>
      </c>
      <c r="Y36" s="18" t="n">
        <f aca="false">U6TPR!D5</f>
        <v>0.0532</v>
      </c>
      <c r="Z36" s="18" t="n">
        <f aca="false">U6TPR!E5</f>
        <v>0.3185</v>
      </c>
      <c r="AA36" s="18" t="n">
        <f aca="false">U6TPR!F5</f>
        <v>0.0628</v>
      </c>
      <c r="AB36" s="3" t="n">
        <f aca="false">FTER!C5</f>
        <v>0.78</v>
      </c>
      <c r="AC36" s="3" t="n">
        <f aca="false">FTER!D5</f>
        <v>0.76</v>
      </c>
      <c r="AD36" s="3" t="n">
        <f aca="false">FTER!E5</f>
        <v>0.82</v>
      </c>
      <c r="AE36" s="3" t="n">
        <f aca="false">FTER!F5</f>
        <v>0.78</v>
      </c>
      <c r="AF36" s="3" t="n">
        <f aca="false">PTER!C5</f>
        <v>0.22</v>
      </c>
      <c r="AG36" s="3" t="n">
        <f aca="false">PTER!D5</f>
        <v>0.24</v>
      </c>
      <c r="AH36" s="3" t="n">
        <f aca="false">PTER!E5</f>
        <v>0.18</v>
      </c>
      <c r="AI36" s="3" t="n">
        <f aca="false">PTER!F5</f>
        <v>0.22</v>
      </c>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R36" s="18"/>
      <c r="CS36" s="18"/>
      <c r="CT36" s="18"/>
      <c r="CU36" s="18"/>
      <c r="CV36" s="18"/>
      <c r="DA36" s="18"/>
      <c r="DB36" s="18"/>
      <c r="DC36" s="18"/>
      <c r="DH36" s="18"/>
      <c r="DI36" s="18"/>
      <c r="DJ36" s="18"/>
      <c r="DK36" s="18"/>
      <c r="DL36" s="3"/>
      <c r="DM36" s="3"/>
      <c r="DN36" s="3"/>
      <c r="DO36" s="3"/>
      <c r="DP36" s="3"/>
      <c r="DQ36" s="3"/>
      <c r="DR36" s="3"/>
      <c r="DS36" s="3"/>
      <c r="DT36" s="3"/>
      <c r="DU36" s="3"/>
      <c r="DV36" s="3"/>
      <c r="DW36" s="3"/>
      <c r="DX36" s="18"/>
      <c r="DY36" s="18"/>
      <c r="DZ36" s="18"/>
      <c r="EA36" s="18"/>
      <c r="EB36" s="18"/>
      <c r="EC36" s="18"/>
      <c r="ED36" s="18"/>
      <c r="EE36" s="18"/>
      <c r="EJ36" s="3"/>
      <c r="EK36" s="3"/>
      <c r="EL36" s="3"/>
      <c r="EM36" s="3"/>
      <c r="EN36" s="3"/>
      <c r="EO36" s="3"/>
      <c r="EP36" s="3"/>
      <c r="EQ36" s="3"/>
    </row>
    <row r="37" customFormat="false" ht="23.85" hidden="false" customHeight="false" outlineLevel="0" collapsed="false">
      <c r="A37" s="17" t="n">
        <v>2</v>
      </c>
      <c r="B37" s="18" t="n">
        <v>21</v>
      </c>
      <c r="C37" s="39" t="s">
        <v>1628</v>
      </c>
      <c r="D37" s="18" t="n">
        <f aca="false">LFPR!C6</f>
        <v>0.585</v>
      </c>
      <c r="E37" s="18" t="n">
        <f aca="false">LFPR!D6</f>
        <v>0.415</v>
      </c>
      <c r="F37" s="18" t="n">
        <f aca="false">LFPR!E6</f>
        <v>0.65</v>
      </c>
      <c r="G37" s="18" t="n">
        <f aca="false">LFPR!F6</f>
        <v>0.585</v>
      </c>
      <c r="H37" s="18" t="n">
        <f aca="false">ETPR!C6</f>
        <v>0.68</v>
      </c>
      <c r="I37" s="18" t="n">
        <f aca="false">ETPR!D6</f>
        <v>0.67</v>
      </c>
      <c r="J37" s="18" t="n">
        <f aca="false">ETPR!E6</f>
        <v>0.71</v>
      </c>
      <c r="K37" s="18" t="n">
        <f aca="false">ETPR!F6</f>
        <v>0.682</v>
      </c>
      <c r="L37" s="18" t="n">
        <f aca="false">U3R!C6</f>
        <v>0.038</v>
      </c>
      <c r="M37" s="18" t="n">
        <f aca="false">U3R!D6</f>
        <v>0.04</v>
      </c>
      <c r="N37" s="18" t="n">
        <f aca="false">U3R!E6</f>
        <v>0.052</v>
      </c>
      <c r="O37" s="18" t="n">
        <f aca="false">U3R!F6</f>
        <v>0.036</v>
      </c>
      <c r="P37" s="18" t="n">
        <f aca="false">U3TPR!C6</f>
        <v>0.0111</v>
      </c>
      <c r="Q37" s="18" t="n">
        <f aca="false">U3TPR!D6</f>
        <v>0.0092</v>
      </c>
      <c r="R37" s="18" t="n">
        <f aca="false">U3TPR!E6</f>
        <v>0.0584</v>
      </c>
      <c r="S37" s="18" t="n">
        <f aca="false">U3TPR!F6</f>
        <v>0.0108</v>
      </c>
      <c r="T37" s="18" t="n">
        <f aca="false">U6R!C6</f>
        <v>0.055</v>
      </c>
      <c r="U37" s="18" t="n">
        <f aca="false">U6R!D6</f>
        <v>0.045</v>
      </c>
      <c r="V37" s="18" t="n">
        <f aca="false">U6R!E6</f>
        <v>0.19</v>
      </c>
      <c r="W37" s="18" t="n">
        <f aca="false">U6R!F6</f>
        <v>0.053</v>
      </c>
      <c r="X37" s="18" t="n">
        <f aca="false">U6TPR!C6</f>
        <v>0.0211</v>
      </c>
      <c r="Y37" s="18" t="n">
        <f aca="false">U6TPR!D6</f>
        <v>0.0174</v>
      </c>
      <c r="Z37" s="18" t="n">
        <f aca="false">U6TPR!E6</f>
        <v>0.1897</v>
      </c>
      <c r="AA37" s="18" t="n">
        <f aca="false">U6TPR!F6</f>
        <v>0.0205</v>
      </c>
      <c r="AB37" s="3" t="n">
        <f aca="false">FTER!C6</f>
        <v>0.85</v>
      </c>
      <c r="AC37" s="3" t="n">
        <f aca="false">FTER!D6</f>
        <v>0.86</v>
      </c>
      <c r="AD37" s="3" t="n">
        <f aca="false">FTER!E6</f>
        <v>0.83</v>
      </c>
      <c r="AE37" s="3" t="n">
        <f aca="false">FTER!F6</f>
        <v>0.85</v>
      </c>
      <c r="AF37" s="3" t="n">
        <f aca="false">PTER!C6</f>
        <v>0.15</v>
      </c>
      <c r="AG37" s="3" t="n">
        <f aca="false">PTER!D6</f>
        <v>0.14</v>
      </c>
      <c r="AH37" s="3" t="n">
        <f aca="false">PTER!E6</f>
        <v>0.17</v>
      </c>
      <c r="AI37" s="3" t="n">
        <f aca="false">PTER!F6</f>
        <v>0.15</v>
      </c>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R37" s="18"/>
      <c r="CS37" s="18"/>
      <c r="CT37" s="18"/>
      <c r="CU37" s="18"/>
      <c r="CV37" s="18"/>
      <c r="DA37" s="18"/>
      <c r="DB37" s="18"/>
      <c r="DC37" s="18"/>
      <c r="DH37" s="18"/>
      <c r="DI37" s="18"/>
      <c r="DJ37" s="18"/>
      <c r="DK37" s="18"/>
      <c r="DL37" s="3"/>
      <c r="DM37" s="3"/>
      <c r="DN37" s="3"/>
      <c r="DO37" s="3"/>
      <c r="DP37" s="3"/>
      <c r="DQ37" s="3"/>
      <c r="DR37" s="3"/>
      <c r="DS37" s="3"/>
      <c r="DT37" s="3"/>
      <c r="DU37" s="3"/>
      <c r="DV37" s="3"/>
      <c r="DW37" s="3"/>
      <c r="DX37" s="18"/>
      <c r="DY37" s="18"/>
      <c r="DZ37" s="18"/>
      <c r="EA37" s="18"/>
      <c r="EB37" s="18"/>
      <c r="EC37" s="18"/>
      <c r="ED37" s="18"/>
      <c r="EE37" s="18"/>
      <c r="EJ37" s="3"/>
      <c r="EK37" s="3"/>
      <c r="EL37" s="3"/>
      <c r="EM37" s="3"/>
      <c r="EN37" s="3"/>
      <c r="EO37" s="3"/>
      <c r="EP37" s="3"/>
      <c r="EQ37" s="3"/>
    </row>
    <row r="38" customFormat="false" ht="12.8" hidden="false" customHeight="false" outlineLevel="0" collapsed="false">
      <c r="A38" s="21" t="n">
        <v>3</v>
      </c>
      <c r="B38" s="3" t="n">
        <v>22</v>
      </c>
      <c r="C38" s="3" t="s">
        <v>1629</v>
      </c>
      <c r="D38" s="18" t="n">
        <f aca="false">LFPR!C7</f>
        <v>0.575</v>
      </c>
      <c r="E38" s="18" t="n">
        <f aca="false">LFPR!D7</f>
        <v>0.41</v>
      </c>
      <c r="F38" s="18" t="n">
        <f aca="false">LFPR!E7</f>
        <v>0.62</v>
      </c>
      <c r="G38" s="18" t="n">
        <f aca="false">LFPR!F7</f>
        <v>0.575</v>
      </c>
      <c r="H38" s="18" t="n">
        <f aca="false">ETPR!C7</f>
        <v>0.78</v>
      </c>
      <c r="I38" s="18" t="n">
        <f aca="false">ETPR!D7</f>
        <v>0.77</v>
      </c>
      <c r="J38" s="18" t="n">
        <f aca="false">ETPR!E7</f>
        <v>0.8</v>
      </c>
      <c r="K38" s="18" t="n">
        <f aca="false">ETPR!F7</f>
        <v>0.781</v>
      </c>
      <c r="L38" s="18" t="n">
        <f aca="false">U3R!C7</f>
        <v>0.018</v>
      </c>
      <c r="M38" s="18" t="n">
        <f aca="false">U3R!D7</f>
        <v>0.019</v>
      </c>
      <c r="N38" s="18" t="n">
        <f aca="false">U3R!E7</f>
        <v>0.022</v>
      </c>
      <c r="O38" s="18" t="n">
        <f aca="false">U3R!F7</f>
        <v>0.018</v>
      </c>
      <c r="P38" s="18" t="n">
        <f aca="false">U3TPR!C7</f>
        <v>0.0111</v>
      </c>
      <c r="Q38" s="18" t="n">
        <f aca="false">U3TPR!D7</f>
        <v>0.0098</v>
      </c>
      <c r="R38" s="18" t="n">
        <f aca="false">U3TPR!E7</f>
        <v>0.0742</v>
      </c>
      <c r="S38" s="18" t="n">
        <f aca="false">U3TPR!F7</f>
        <v>0.0107</v>
      </c>
      <c r="T38" s="18" t="n">
        <f aca="false">U6R!C7</f>
        <v>0.055</v>
      </c>
      <c r="U38" s="18" t="n">
        <f aca="false">U6R!D7</f>
        <v>0.045</v>
      </c>
      <c r="V38" s="18" t="n">
        <f aca="false">U6R!E7</f>
        <v>0.225</v>
      </c>
      <c r="W38" s="18" t="n">
        <f aca="false">U6R!F7</f>
        <v>0.053</v>
      </c>
      <c r="X38" s="18" t="n">
        <f aca="false">U6TPR!C7</f>
        <v>0.0211</v>
      </c>
      <c r="Y38" s="18" t="n">
        <f aca="false">U6TPR!D7</f>
        <v>0.0178</v>
      </c>
      <c r="Z38" s="18" t="n">
        <f aca="false">U6TPR!E7</f>
        <v>0.225</v>
      </c>
      <c r="AA38" s="18" t="n">
        <f aca="false">U6TPR!F7</f>
        <v>0.0203</v>
      </c>
      <c r="AB38" s="3" t="n">
        <f aca="false">FTER!C7</f>
        <v>0.88</v>
      </c>
      <c r="AC38" s="3" t="n">
        <f aca="false">FTER!D7</f>
        <v>0.89</v>
      </c>
      <c r="AD38" s="3" t="n">
        <f aca="false">FTER!E7</f>
        <v>0.85</v>
      </c>
      <c r="AE38" s="3" t="n">
        <f aca="false">FTER!F7</f>
        <v>0.88</v>
      </c>
      <c r="AF38" s="3" t="n">
        <f aca="false">PTER!C7</f>
        <v>0.12</v>
      </c>
      <c r="AG38" s="3" t="n">
        <f aca="false">PTER!D7</f>
        <v>0.11</v>
      </c>
      <c r="AH38" s="3" t="n">
        <f aca="false">PTER!E7</f>
        <v>0.15</v>
      </c>
      <c r="AI38" s="3" t="n">
        <f aca="false">PTER!F7</f>
        <v>0.12</v>
      </c>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DD38" s="3"/>
      <c r="DE38" s="3"/>
      <c r="DF38" s="3"/>
      <c r="DG38" s="3"/>
      <c r="DL38" s="3"/>
      <c r="DM38" s="3"/>
      <c r="DN38" s="3"/>
      <c r="DO38" s="3"/>
      <c r="DP38" s="3"/>
      <c r="DQ38" s="3"/>
      <c r="DR38" s="3"/>
      <c r="DS38" s="3"/>
      <c r="DT38" s="3"/>
      <c r="DU38" s="3"/>
      <c r="DV38" s="3"/>
      <c r="DW38" s="3"/>
      <c r="DX38" s="18"/>
      <c r="DY38" s="18"/>
      <c r="DZ38" s="18"/>
      <c r="EA38" s="18"/>
      <c r="EB38" s="18"/>
      <c r="EC38" s="18"/>
      <c r="ED38" s="18"/>
      <c r="EE38" s="18"/>
      <c r="EJ38" s="3"/>
      <c r="EK38" s="3"/>
      <c r="EL38" s="3"/>
      <c r="EM38" s="3"/>
      <c r="EN38" s="3"/>
      <c r="EO38" s="3"/>
      <c r="EP38" s="3"/>
      <c r="EQ38" s="3"/>
    </row>
    <row r="39" customFormat="false" ht="12.8" hidden="false" customHeight="false" outlineLevel="0" collapsed="false">
      <c r="A39" s="21" t="n">
        <v>4</v>
      </c>
      <c r="B39" s="3" t="n">
        <v>23</v>
      </c>
      <c r="C39" s="3" t="s">
        <v>1630</v>
      </c>
      <c r="D39" s="18" t="n">
        <f aca="false">LFPR!C8</f>
        <v>0.565</v>
      </c>
      <c r="E39" s="18" t="n">
        <f aca="false">LFPR!D8</f>
        <v>0.405</v>
      </c>
      <c r="F39" s="18" t="n">
        <f aca="false">LFPR!E8</f>
        <v>0.67</v>
      </c>
      <c r="G39" s="18" t="n">
        <f aca="false">LFPR!F8</f>
        <v>0.565</v>
      </c>
      <c r="H39" s="18" t="n">
        <f aca="false">ETPR!C8</f>
        <v>0.62</v>
      </c>
      <c r="I39" s="18" t="n">
        <f aca="false">ETPR!D8</f>
        <v>0.59</v>
      </c>
      <c r="J39" s="18" t="n">
        <f aca="false">ETPR!E8</f>
        <v>0.68</v>
      </c>
      <c r="K39" s="18" t="n">
        <f aca="false">ETPR!F8</f>
        <v>0.62</v>
      </c>
      <c r="L39" s="18" t="n">
        <f aca="false">U3R!C8</f>
        <v>0.052</v>
      </c>
      <c r="M39" s="18" t="n">
        <f aca="false">U3R!D8</f>
        <v>0.056</v>
      </c>
      <c r="N39" s="18" t="n">
        <f aca="false">U3R!E8</f>
        <v>0.075</v>
      </c>
      <c r="O39" s="18" t="n">
        <f aca="false">U3R!F8</f>
        <v>0.048</v>
      </c>
      <c r="P39" s="18" t="n">
        <f aca="false">U3TPR!C8</f>
        <v>0.0122</v>
      </c>
      <c r="Q39" s="18" t="n">
        <f aca="false">U3TPR!D8</f>
        <v>0.0101</v>
      </c>
      <c r="R39" s="18" t="n">
        <f aca="false">U3TPR!E8</f>
        <v>0.0789</v>
      </c>
      <c r="S39" s="18" t="n">
        <f aca="false">U3TPR!F8</f>
        <v>0.0119</v>
      </c>
      <c r="T39" s="18" t="n">
        <f aca="false">U6R!C8</f>
        <v>0.088</v>
      </c>
      <c r="U39" s="18" t="n">
        <f aca="false">U6R!D8</f>
        <v>0.072</v>
      </c>
      <c r="V39" s="18" t="n">
        <f aca="false">U6R!E8</f>
        <v>0.232</v>
      </c>
      <c r="W39" s="18" t="n">
        <f aca="false">U6R!F8</f>
        <v>0.085</v>
      </c>
      <c r="X39" s="18" t="n">
        <f aca="false">U6TPR!C8</f>
        <v>0.0266</v>
      </c>
      <c r="Y39" s="18" t="n">
        <f aca="false">U6TPR!D8</f>
        <v>0.0219</v>
      </c>
      <c r="Z39" s="18" t="n">
        <f aca="false">U6TPR!E8</f>
        <v>0.2321</v>
      </c>
      <c r="AA39" s="18" t="n">
        <f aca="false">U6TPR!F8</f>
        <v>0.0259</v>
      </c>
      <c r="AB39" s="3" t="n">
        <f aca="false">FTER!C8</f>
        <v>0.8</v>
      </c>
      <c r="AC39" s="3" t="n">
        <f aca="false">FTER!D8</f>
        <v>0.78</v>
      </c>
      <c r="AD39" s="3" t="n">
        <f aca="false">FTER!E8</f>
        <v>0.84</v>
      </c>
      <c r="AE39" s="3" t="n">
        <f aca="false">FTER!F8</f>
        <v>0.8</v>
      </c>
      <c r="AF39" s="3" t="n">
        <f aca="false">PTER!C8</f>
        <v>0.2</v>
      </c>
      <c r="AG39" s="3" t="n">
        <f aca="false">PTER!D8</f>
        <v>0.22</v>
      </c>
      <c r="AH39" s="3" t="n">
        <f aca="false">PTER!E8</f>
        <v>0.16</v>
      </c>
      <c r="AI39" s="3" t="n">
        <f aca="false">PTER!F8</f>
        <v>0.2</v>
      </c>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DD39" s="3"/>
      <c r="DE39" s="3"/>
      <c r="DF39" s="3"/>
      <c r="DG39" s="3"/>
      <c r="DL39" s="3"/>
      <c r="DM39" s="3"/>
      <c r="DN39" s="3"/>
      <c r="DO39" s="3"/>
      <c r="DP39" s="3"/>
      <c r="DQ39" s="3"/>
      <c r="DR39" s="3"/>
      <c r="DS39" s="3"/>
      <c r="DT39" s="3"/>
      <c r="DU39" s="3"/>
      <c r="DV39" s="3"/>
      <c r="DW39" s="3"/>
      <c r="DX39" s="18"/>
      <c r="DY39" s="18"/>
      <c r="DZ39" s="18"/>
      <c r="EA39" s="18"/>
      <c r="EB39" s="18"/>
      <c r="EC39" s="18"/>
      <c r="ED39" s="18"/>
      <c r="EE39" s="18"/>
      <c r="EJ39" s="3"/>
      <c r="EK39" s="3"/>
      <c r="EL39" s="3"/>
      <c r="EM39" s="3"/>
      <c r="EN39" s="3"/>
      <c r="EO39" s="3"/>
      <c r="EP39" s="3"/>
      <c r="EQ39" s="3"/>
    </row>
    <row r="40" customFormat="false" ht="12.8" hidden="false" customHeight="false" outlineLevel="0" collapsed="false">
      <c r="A40" s="21" t="n">
        <v>5</v>
      </c>
      <c r="B40" s="3" t="n">
        <v>31</v>
      </c>
      <c r="C40" s="39" t="s">
        <v>1631</v>
      </c>
      <c r="D40" s="18" t="n">
        <f aca="false">LFPR!C9</f>
        <v>0.57</v>
      </c>
      <c r="E40" s="18" t="n">
        <f aca="false">LFPR!D9</f>
        <v>0.405</v>
      </c>
      <c r="F40" s="18" t="n">
        <f aca="false">LFPR!E9</f>
        <v>0.66</v>
      </c>
      <c r="G40" s="18" t="n">
        <f aca="false">LFPR!F9</f>
        <v>0.57</v>
      </c>
      <c r="H40" s="18" t="n">
        <f aca="false">ETPR!C9</f>
        <v>0.66</v>
      </c>
      <c r="I40" s="18" t="n">
        <f aca="false">ETPR!D9</f>
        <v>0.63</v>
      </c>
      <c r="J40" s="18" t="n">
        <f aca="false">ETPR!E9</f>
        <v>0.7</v>
      </c>
      <c r="K40" s="18" t="n">
        <f aca="false">ETPR!F9</f>
        <v>0.66</v>
      </c>
      <c r="L40" s="18" t="n">
        <f aca="false">U3R!C9</f>
        <v>0.045</v>
      </c>
      <c r="M40" s="18" t="n">
        <f aca="false">U3R!D9</f>
        <v>0.048</v>
      </c>
      <c r="N40" s="18" t="n">
        <f aca="false">U3R!E9</f>
        <v>0.062</v>
      </c>
      <c r="O40" s="18" t="n">
        <f aca="false">U3R!F9</f>
        <v>0.042</v>
      </c>
      <c r="P40" s="18" t="n">
        <f aca="false">U3TPR!C9</f>
        <v>0.0057</v>
      </c>
      <c r="Q40" s="18" t="n">
        <f aca="false">U3TPR!D9</f>
        <v>0.0047</v>
      </c>
      <c r="R40" s="18" t="n">
        <f aca="false">U3TPR!E9</f>
        <v>0.0468</v>
      </c>
      <c r="S40" s="18" t="n">
        <f aca="false">U3TPR!F9</f>
        <v>0.0055</v>
      </c>
      <c r="T40" s="18" t="n">
        <f aca="false">U6R!C9</f>
        <v>0.072</v>
      </c>
      <c r="U40" s="18" t="n">
        <f aca="false">U6R!D9</f>
        <v>0.059</v>
      </c>
      <c r="V40" s="18" t="n">
        <f aca="false">U6R!E9</f>
        <v>0.142</v>
      </c>
      <c r="W40" s="18" t="n">
        <f aca="false">U6R!F9</f>
        <v>0.069</v>
      </c>
      <c r="X40" s="18" t="n">
        <f aca="false">U6TPR!C9</f>
        <v>0.0108</v>
      </c>
      <c r="Y40" s="18" t="n">
        <f aca="false">U6TPR!D9</f>
        <v>0.0089</v>
      </c>
      <c r="Z40" s="18" t="n">
        <f aca="false">U6TPR!E9</f>
        <v>0.1423</v>
      </c>
      <c r="AA40" s="18" t="n">
        <f aca="false">U6TPR!F9</f>
        <v>0.0105</v>
      </c>
      <c r="AB40" s="3" t="n">
        <f aca="false">FTER!C9</f>
        <v>0.84</v>
      </c>
      <c r="AC40" s="3" t="n">
        <f aca="false">FTER!D9</f>
        <v>0.82</v>
      </c>
      <c r="AD40" s="3" t="n">
        <f aca="false">FTER!E9</f>
        <v>0.86</v>
      </c>
      <c r="AE40" s="3" t="n">
        <f aca="false">FTER!F9</f>
        <v>0.84</v>
      </c>
      <c r="AF40" s="3" t="n">
        <f aca="false">PTER!C9</f>
        <v>0.16</v>
      </c>
      <c r="AG40" s="3" t="n">
        <f aca="false">PTER!D9</f>
        <v>0.18</v>
      </c>
      <c r="AH40" s="3" t="n">
        <f aca="false">PTER!E9</f>
        <v>0.14</v>
      </c>
      <c r="AI40" s="3" t="n">
        <f aca="false">PTER!F9</f>
        <v>0.16</v>
      </c>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DD40" s="3"/>
      <c r="DE40" s="3"/>
      <c r="DF40" s="3"/>
      <c r="DG40" s="3"/>
      <c r="DL40" s="3"/>
      <c r="DM40" s="3"/>
      <c r="DN40" s="3"/>
      <c r="DO40" s="3"/>
      <c r="DP40" s="3"/>
      <c r="DQ40" s="3"/>
      <c r="DR40" s="3"/>
      <c r="DS40" s="3"/>
      <c r="DT40" s="3"/>
      <c r="DU40" s="3"/>
      <c r="DV40" s="3"/>
      <c r="DW40" s="3"/>
      <c r="DX40" s="18"/>
      <c r="DY40" s="18"/>
      <c r="DZ40" s="18"/>
      <c r="EA40" s="18"/>
      <c r="EB40" s="18"/>
      <c r="EC40" s="18"/>
      <c r="ED40" s="18"/>
      <c r="EE40" s="18"/>
      <c r="EJ40" s="3"/>
      <c r="EK40" s="3"/>
      <c r="EL40" s="3"/>
      <c r="EM40" s="3"/>
      <c r="EN40" s="3"/>
      <c r="EO40" s="3"/>
      <c r="EP40" s="3"/>
      <c r="EQ40" s="3"/>
    </row>
    <row r="41" customFormat="false" ht="23.85" hidden="false" customHeight="false" outlineLevel="0" collapsed="false">
      <c r="A41" s="21" t="n">
        <v>6</v>
      </c>
      <c r="B41" s="3" t="n">
        <v>32</v>
      </c>
      <c r="C41" s="39" t="s">
        <v>1632</v>
      </c>
      <c r="D41" s="18" t="n">
        <f aca="false">LFPR!C10</f>
        <v>0.56</v>
      </c>
      <c r="E41" s="18" t="n">
        <f aca="false">LFPR!D10</f>
        <v>0.4</v>
      </c>
      <c r="F41" s="18" t="n">
        <f aca="false">LFPR!E10</f>
        <v>0.65</v>
      </c>
      <c r="G41" s="18" t="n">
        <f aca="false">LFPR!F10</f>
        <v>0.56</v>
      </c>
      <c r="H41" s="18" t="n">
        <f aca="false">ETPR!C10</f>
        <v>0.72</v>
      </c>
      <c r="I41" s="18" t="n">
        <f aca="false">ETPR!D10</f>
        <v>0.69</v>
      </c>
      <c r="J41" s="18" t="n">
        <f aca="false">ETPR!E10</f>
        <v>0.76</v>
      </c>
      <c r="K41" s="18" t="n">
        <f aca="false">ETPR!F10</f>
        <v>0.72</v>
      </c>
      <c r="L41" s="18" t="n">
        <f aca="false">U3R!C10</f>
        <v>0.038</v>
      </c>
      <c r="M41" s="18" t="n">
        <f aca="false">U3R!D10</f>
        <v>0.04</v>
      </c>
      <c r="N41" s="18" t="n">
        <f aca="false">U3R!E10</f>
        <v>0.052</v>
      </c>
      <c r="O41" s="18" t="n">
        <f aca="false">U3R!F10</f>
        <v>0.036</v>
      </c>
      <c r="P41" s="18" t="n">
        <f aca="false">U3TPR!C10</f>
        <v>0.004</v>
      </c>
      <c r="Q41" s="18" t="n">
        <f aca="false">U3TPR!D10</f>
        <v>0.0033</v>
      </c>
      <c r="R41" s="18" t="n">
        <f aca="false">U3TPR!E10</f>
        <v>0.0395</v>
      </c>
      <c r="S41" s="18" t="n">
        <f aca="false">U3TPR!F10</f>
        <v>0.0039</v>
      </c>
      <c r="T41" s="18" t="n">
        <f aca="false">U6R!C10</f>
        <v>0.062</v>
      </c>
      <c r="U41" s="18" t="n">
        <f aca="false">U6R!D10</f>
        <v>0.051</v>
      </c>
      <c r="V41" s="18" t="n">
        <f aca="false">U6R!E10</f>
        <v>0.12</v>
      </c>
      <c r="W41" s="18" t="n">
        <f aca="false">U6R!F10</f>
        <v>0.059</v>
      </c>
      <c r="X41" s="18" t="n">
        <f aca="false">U6TPR!C10</f>
        <v>0.0074</v>
      </c>
      <c r="Y41" s="18" t="n">
        <f aca="false">U6TPR!D10</f>
        <v>0.0061</v>
      </c>
      <c r="Z41" s="18" t="n">
        <f aca="false">U6TPR!E10</f>
        <v>0.1198</v>
      </c>
      <c r="AA41" s="18" t="n">
        <f aca="false">U6TPR!F10</f>
        <v>0.0072</v>
      </c>
      <c r="AB41" s="3" t="n">
        <f aca="false">FTER!C10</f>
        <v>0.85</v>
      </c>
      <c r="AC41" s="3" t="n">
        <f aca="false">FTER!D10</f>
        <v>0.84</v>
      </c>
      <c r="AD41" s="3" t="n">
        <f aca="false">FTER!E10</f>
        <v>0.87</v>
      </c>
      <c r="AE41" s="3" t="n">
        <f aca="false">FTER!F10</f>
        <v>0.85</v>
      </c>
      <c r="AF41" s="3" t="n">
        <f aca="false">PTER!C10</f>
        <v>0.15</v>
      </c>
      <c r="AG41" s="3" t="n">
        <f aca="false">PTER!D10</f>
        <v>0.16</v>
      </c>
      <c r="AH41" s="3" t="n">
        <f aca="false">PTER!E10</f>
        <v>0.13</v>
      </c>
      <c r="AI41" s="3" t="n">
        <f aca="false">PTER!F10</f>
        <v>0.15</v>
      </c>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DD41" s="3"/>
      <c r="DE41" s="3"/>
      <c r="DF41" s="3"/>
      <c r="DG41" s="3"/>
      <c r="DL41" s="3"/>
      <c r="DM41" s="3"/>
      <c r="DN41" s="3"/>
      <c r="DO41" s="3"/>
      <c r="DP41" s="3"/>
      <c r="DQ41" s="3"/>
      <c r="DR41" s="3"/>
      <c r="DS41" s="3"/>
      <c r="DT41" s="3"/>
      <c r="DU41" s="3"/>
      <c r="DV41" s="3"/>
      <c r="DW41" s="3"/>
      <c r="DX41" s="18"/>
      <c r="DY41" s="18"/>
      <c r="DZ41" s="18"/>
      <c r="EA41" s="18"/>
      <c r="EB41" s="18"/>
      <c r="EC41" s="18"/>
      <c r="ED41" s="18"/>
      <c r="EE41" s="18"/>
      <c r="EJ41" s="3"/>
      <c r="EK41" s="3"/>
      <c r="EL41" s="3"/>
      <c r="EM41" s="3"/>
      <c r="EN41" s="3"/>
      <c r="EO41" s="3"/>
      <c r="EP41" s="3"/>
      <c r="EQ41" s="3"/>
    </row>
    <row r="42" customFormat="false" ht="23.85" hidden="false" customHeight="false" outlineLevel="0" collapsed="false">
      <c r="A42" s="21" t="n">
        <v>7</v>
      </c>
      <c r="B42" s="3" t="n">
        <v>33</v>
      </c>
      <c r="C42" s="39" t="s">
        <v>1633</v>
      </c>
      <c r="D42" s="18" t="n">
        <f aca="false">LFPR!C11</f>
        <v>0.58</v>
      </c>
      <c r="E42" s="18" t="n">
        <f aca="false">LFPR!D11</f>
        <v>0.415</v>
      </c>
      <c r="F42" s="18" t="n">
        <f aca="false">LFPR!E11</f>
        <v>0.68</v>
      </c>
      <c r="G42" s="18" t="n">
        <f aca="false">LFPR!F11</f>
        <v>0.58</v>
      </c>
      <c r="H42" s="18" t="n">
        <f aca="false">ETPR!C11</f>
        <v>0.72</v>
      </c>
      <c r="I42" s="18" t="n">
        <f aca="false">ETPR!D11</f>
        <v>0.69</v>
      </c>
      <c r="J42" s="18" t="n">
        <f aca="false">ETPR!E11</f>
        <v>0.76</v>
      </c>
      <c r="K42" s="18" t="n">
        <f aca="false">ETPR!F11</f>
        <v>0.72</v>
      </c>
      <c r="L42" s="18" t="n">
        <f aca="false">U3R!C11</f>
        <v>0.038</v>
      </c>
      <c r="M42" s="18" t="n">
        <f aca="false">U3R!D11</f>
        <v>0.04</v>
      </c>
      <c r="N42" s="18" t="n">
        <f aca="false">U3R!E11</f>
        <v>0.052</v>
      </c>
      <c r="O42" s="18" t="n">
        <f aca="false">U3R!F11</f>
        <v>0.036</v>
      </c>
      <c r="P42" s="18" t="n">
        <f aca="false">U3TPR!C11</f>
        <v>0.0082</v>
      </c>
      <c r="Q42" s="18" t="n">
        <f aca="false">U3TPR!D11</f>
        <v>0.0068</v>
      </c>
      <c r="R42" s="18" t="n">
        <f aca="false">U3TPR!E11</f>
        <v>0.0512</v>
      </c>
      <c r="S42" s="18" t="n">
        <f aca="false">U3TPR!F11</f>
        <v>0.008</v>
      </c>
      <c r="T42" s="18" t="n">
        <f aca="false">U6R!C11</f>
        <v>0.072</v>
      </c>
      <c r="U42" s="18" t="n">
        <f aca="false">U6R!D11</f>
        <v>0.059</v>
      </c>
      <c r="V42" s="18" t="n">
        <f aca="false">U6R!E11</f>
        <v>0.155</v>
      </c>
      <c r="W42" s="18" t="n">
        <f aca="false">U6R!F11</f>
        <v>0.069</v>
      </c>
      <c r="X42" s="18" t="n">
        <f aca="false">U6TPR!C11</f>
        <v>0.0183</v>
      </c>
      <c r="Y42" s="18" t="n">
        <f aca="false">U6TPR!D11</f>
        <v>0.0151</v>
      </c>
      <c r="Z42" s="18" t="n">
        <f aca="false">U6TPR!E11</f>
        <v>0.1554</v>
      </c>
      <c r="AA42" s="18" t="n">
        <f aca="false">U6TPR!F11</f>
        <v>0.0178</v>
      </c>
      <c r="AB42" s="3" t="n">
        <f aca="false">FTER!C11</f>
        <v>0.86</v>
      </c>
      <c r="AC42" s="3" t="n">
        <f aca="false">FTER!D11</f>
        <v>0.85</v>
      </c>
      <c r="AD42" s="3" t="n">
        <f aca="false">FTER!E11</f>
        <v>0.88</v>
      </c>
      <c r="AE42" s="3" t="n">
        <f aca="false">FTER!F11</f>
        <v>0.86</v>
      </c>
      <c r="AF42" s="3" t="n">
        <f aca="false">PTER!C11</f>
        <v>0.14</v>
      </c>
      <c r="AG42" s="3" t="n">
        <f aca="false">PTER!D11</f>
        <v>0.15</v>
      </c>
      <c r="AH42" s="3" t="n">
        <f aca="false">PTER!E11</f>
        <v>0.12</v>
      </c>
      <c r="AI42" s="3" t="n">
        <f aca="false">PTER!F11</f>
        <v>0.14</v>
      </c>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DD42" s="3"/>
      <c r="DE42" s="3"/>
      <c r="DF42" s="3"/>
      <c r="DG42" s="3"/>
      <c r="DL42" s="3"/>
      <c r="DM42" s="3"/>
      <c r="DN42" s="3"/>
      <c r="DO42" s="3"/>
      <c r="DP42" s="3"/>
      <c r="DQ42" s="3"/>
      <c r="DR42" s="3"/>
      <c r="DS42" s="3"/>
      <c r="DT42" s="3"/>
      <c r="DU42" s="3"/>
      <c r="DV42" s="3"/>
      <c r="DW42" s="3"/>
      <c r="DX42" s="18"/>
      <c r="DY42" s="18"/>
      <c r="DZ42" s="18"/>
      <c r="EA42" s="18"/>
      <c r="EB42" s="18"/>
      <c r="EC42" s="18"/>
      <c r="ED42" s="18"/>
      <c r="EE42" s="18"/>
      <c r="EJ42" s="3"/>
      <c r="EK42" s="3"/>
      <c r="EL42" s="3"/>
      <c r="EM42" s="3"/>
      <c r="EN42" s="3"/>
      <c r="EO42" s="3"/>
      <c r="EP42" s="3"/>
      <c r="EQ42" s="3"/>
    </row>
    <row r="43" customFormat="false" ht="12.8" hidden="false" customHeight="false" outlineLevel="0" collapsed="false">
      <c r="A43" s="21" t="n">
        <v>8</v>
      </c>
      <c r="B43" s="3" t="n">
        <v>42</v>
      </c>
      <c r="C43" s="3" t="s">
        <v>1634</v>
      </c>
      <c r="D43" s="18" t="n">
        <f aca="false">LFPR!C12</f>
        <v>0.55</v>
      </c>
      <c r="E43" s="18" t="n">
        <f aca="false">LFPR!D12</f>
        <v>0.395</v>
      </c>
      <c r="F43" s="18" t="n">
        <f aca="false">LFPR!E12</f>
        <v>0.64</v>
      </c>
      <c r="G43" s="18" t="n">
        <f aca="false">LFPR!F12</f>
        <v>0.55</v>
      </c>
      <c r="H43" s="18" t="n">
        <f aca="false">ETPR!C12</f>
        <v>0.76</v>
      </c>
      <c r="I43" s="18" t="n">
        <f aca="false">ETPR!D12</f>
        <v>0.73</v>
      </c>
      <c r="J43" s="18" t="n">
        <f aca="false">ETPR!E12</f>
        <v>0.8</v>
      </c>
      <c r="K43" s="18" t="n">
        <f aca="false">ETPR!F12</f>
        <v>0.76</v>
      </c>
      <c r="L43" s="18" t="n">
        <f aca="false">U3R!C12</f>
        <v>0.028</v>
      </c>
      <c r="M43" s="18" t="n">
        <f aca="false">U3R!D12</f>
        <v>0.03</v>
      </c>
      <c r="N43" s="18" t="n">
        <f aca="false">U3R!E12</f>
        <v>0.04</v>
      </c>
      <c r="O43" s="18" t="n">
        <f aca="false">U3R!F12</f>
        <v>0.027</v>
      </c>
      <c r="P43" s="18" t="n">
        <f aca="false">U3TPR!C12</f>
        <v>0.0029</v>
      </c>
      <c r="Q43" s="18" t="n">
        <f aca="false">U3TPR!D12</f>
        <v>0.0024</v>
      </c>
      <c r="R43" s="18" t="n">
        <f aca="false">U3TPR!E12</f>
        <v>0.0321</v>
      </c>
      <c r="S43" s="18" t="n">
        <f aca="false">U3TPR!F12</f>
        <v>0.0028</v>
      </c>
      <c r="T43" s="18" t="n">
        <f aca="false">U6R!C12</f>
        <v>0.055</v>
      </c>
      <c r="U43" s="18" t="n">
        <f aca="false">U6R!D12</f>
        <v>0.045</v>
      </c>
      <c r="V43" s="18" t="n">
        <f aca="false">U6R!E12</f>
        <v>0.098</v>
      </c>
      <c r="W43" s="18" t="n">
        <f aca="false">U6R!F12</f>
        <v>0.053</v>
      </c>
      <c r="X43" s="18" t="n">
        <f aca="false">U6TPR!C12</f>
        <v>0.0054</v>
      </c>
      <c r="Y43" s="18" t="n">
        <f aca="false">U6TPR!D12</f>
        <v>0.0045</v>
      </c>
      <c r="Z43" s="18" t="n">
        <f aca="false">U6TPR!E12</f>
        <v>0.0976</v>
      </c>
      <c r="AA43" s="18" t="n">
        <f aca="false">U6TPR!F12</f>
        <v>0.0053</v>
      </c>
      <c r="AB43" s="3" t="n">
        <f aca="false">FTER!C12</f>
        <v>0.83</v>
      </c>
      <c r="AC43" s="3" t="n">
        <f aca="false">FTER!D12</f>
        <v>0.84</v>
      </c>
      <c r="AD43" s="3" t="n">
        <f aca="false">FTER!E12</f>
        <v>0.8</v>
      </c>
      <c r="AE43" s="3" t="n">
        <f aca="false">FTER!F12</f>
        <v>0.83</v>
      </c>
      <c r="AF43" s="3" t="n">
        <f aca="false">PTER!C12</f>
        <v>0.17</v>
      </c>
      <c r="AG43" s="3" t="n">
        <f aca="false">PTER!D12</f>
        <v>0.16</v>
      </c>
      <c r="AH43" s="3" t="n">
        <f aca="false">PTER!E12</f>
        <v>0.2</v>
      </c>
      <c r="AI43" s="3" t="n">
        <f aca="false">PTER!F12</f>
        <v>0.17</v>
      </c>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DD43" s="3"/>
      <c r="DE43" s="3"/>
      <c r="DF43" s="3"/>
      <c r="DG43" s="3"/>
      <c r="DL43" s="3"/>
      <c r="DM43" s="3"/>
      <c r="DN43" s="3"/>
      <c r="DO43" s="3"/>
      <c r="DP43" s="3"/>
      <c r="DQ43" s="3"/>
      <c r="DR43" s="3"/>
      <c r="DS43" s="3"/>
      <c r="DT43" s="3"/>
      <c r="DU43" s="3"/>
      <c r="DV43" s="3"/>
      <c r="DW43" s="3"/>
      <c r="DX43" s="18"/>
      <c r="DY43" s="18"/>
      <c r="DZ43" s="18"/>
      <c r="EA43" s="18"/>
      <c r="EB43" s="18"/>
      <c r="EC43" s="18"/>
      <c r="ED43" s="18"/>
      <c r="EE43" s="18"/>
      <c r="EJ43" s="3"/>
      <c r="EK43" s="3"/>
      <c r="EL43" s="3"/>
      <c r="EM43" s="3"/>
      <c r="EN43" s="3"/>
      <c r="EO43" s="3"/>
      <c r="EP43" s="3"/>
      <c r="EQ43" s="3"/>
    </row>
    <row r="44" customFormat="false" ht="23.85" hidden="false" customHeight="false" outlineLevel="0" collapsed="false">
      <c r="A44" s="21" t="n">
        <v>9</v>
      </c>
      <c r="B44" s="3" t="n">
        <v>44</v>
      </c>
      <c r="C44" s="39" t="s">
        <v>1635</v>
      </c>
      <c r="D44" s="18" t="n">
        <f aca="false">LFPR!C13</f>
        <v>0.54</v>
      </c>
      <c r="E44" s="18" t="n">
        <f aca="false">LFPR!D13</f>
        <v>0.39</v>
      </c>
      <c r="F44" s="18" t="n">
        <f aca="false">LFPR!E13</f>
        <v>0.63</v>
      </c>
      <c r="G44" s="18" t="n">
        <f aca="false">LFPR!F13</f>
        <v>0.54</v>
      </c>
      <c r="H44" s="18" t="n">
        <f aca="false">ETPR!C13</f>
        <v>0.81</v>
      </c>
      <c r="I44" s="18" t="n">
        <f aca="false">ETPR!D13</f>
        <v>0.78</v>
      </c>
      <c r="J44" s="18" t="n">
        <f aca="false">ETPR!E13</f>
        <v>0.85</v>
      </c>
      <c r="K44" s="18" t="n">
        <f aca="false">ETPR!F13</f>
        <v>0.81</v>
      </c>
      <c r="L44" s="18" t="n">
        <f aca="false">U3R!C13</f>
        <v>0.028</v>
      </c>
      <c r="M44" s="18" t="n">
        <f aca="false">U3R!D13</f>
        <v>0.03</v>
      </c>
      <c r="N44" s="18" t="n">
        <f aca="false">U3R!E13</f>
        <v>0.04</v>
      </c>
      <c r="O44" s="18" t="n">
        <f aca="false">U3R!F13</f>
        <v>0.027</v>
      </c>
      <c r="P44" s="18" t="n">
        <f aca="false">U3TPR!C13</f>
        <v>0.0019</v>
      </c>
      <c r="Q44" s="18" t="n">
        <f aca="false">U3TPR!D13</f>
        <v>0.0016</v>
      </c>
      <c r="R44" s="18" t="n">
        <f aca="false">U3TPR!E13</f>
        <v>0.0284</v>
      </c>
      <c r="S44" s="18" t="n">
        <f aca="false">U3TPR!F13</f>
        <v>0.0018</v>
      </c>
      <c r="T44" s="18" t="n">
        <f aca="false">U6R!C13</f>
        <v>0.048</v>
      </c>
      <c r="U44" s="18" t="n">
        <f aca="false">U6R!D13</f>
        <v>0.039</v>
      </c>
      <c r="V44" s="18" t="n">
        <f aca="false">U6R!E13</f>
        <v>0.087</v>
      </c>
      <c r="W44" s="18" t="n">
        <f aca="false">U6R!F13</f>
        <v>0.046</v>
      </c>
      <c r="X44" s="18" t="n">
        <f aca="false">U6TPR!C13</f>
        <v>0.0035</v>
      </c>
      <c r="Y44" s="18" t="n">
        <f aca="false">U6TPR!D13</f>
        <v>0.0029</v>
      </c>
      <c r="Z44" s="18" t="n">
        <f aca="false">U6TPR!E13</f>
        <v>0.0865</v>
      </c>
      <c r="AA44" s="18" t="n">
        <f aca="false">U6TPR!F13</f>
        <v>0.0034</v>
      </c>
      <c r="AB44" s="3" t="n">
        <f aca="false">FTER!C13</f>
        <v>0.81</v>
      </c>
      <c r="AC44" s="3" t="n">
        <f aca="false">FTER!D13</f>
        <v>0.82</v>
      </c>
      <c r="AD44" s="3" t="n">
        <f aca="false">FTER!E13</f>
        <v>0.78</v>
      </c>
      <c r="AE44" s="3" t="n">
        <f aca="false">FTER!F13</f>
        <v>0.81</v>
      </c>
      <c r="AF44" s="3" t="n">
        <f aca="false">PTER!C13</f>
        <v>0.19</v>
      </c>
      <c r="AG44" s="3" t="n">
        <f aca="false">PTER!D13</f>
        <v>0.18</v>
      </c>
      <c r="AH44" s="3" t="n">
        <f aca="false">PTER!E13</f>
        <v>0.22</v>
      </c>
      <c r="AI44" s="3" t="n">
        <f aca="false">PTER!F13</f>
        <v>0.19</v>
      </c>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DD44" s="3"/>
      <c r="DE44" s="3"/>
      <c r="DF44" s="3"/>
      <c r="DG44" s="3"/>
      <c r="DL44" s="3"/>
      <c r="DM44" s="3"/>
      <c r="DN44" s="3"/>
      <c r="DO44" s="3"/>
      <c r="DP44" s="3"/>
      <c r="DQ44" s="3"/>
      <c r="DR44" s="3"/>
      <c r="DS44" s="3"/>
      <c r="DT44" s="3"/>
      <c r="DU44" s="3"/>
      <c r="DV44" s="3"/>
      <c r="DW44" s="3"/>
      <c r="DX44" s="18"/>
      <c r="DY44" s="18"/>
      <c r="DZ44" s="18"/>
      <c r="EA44" s="18"/>
      <c r="EB44" s="18"/>
      <c r="EC44" s="18"/>
      <c r="ED44" s="18"/>
      <c r="EE44" s="18"/>
      <c r="EJ44" s="3"/>
      <c r="EK44" s="3"/>
      <c r="EL44" s="3"/>
      <c r="EM44" s="3"/>
      <c r="EN44" s="3"/>
      <c r="EO44" s="3"/>
      <c r="EP44" s="3"/>
      <c r="EQ44" s="3"/>
    </row>
    <row r="45" customFormat="false" ht="23.85" hidden="false" customHeight="false" outlineLevel="0" collapsed="false">
      <c r="A45" s="21" t="n">
        <v>10</v>
      </c>
      <c r="B45" s="3" t="n">
        <v>45</v>
      </c>
      <c r="C45" s="39" t="s">
        <v>1636</v>
      </c>
      <c r="D45" s="18" t="n">
        <f aca="false">LFPR!C14</f>
        <v>0.58</v>
      </c>
      <c r="E45" s="18" t="n">
        <f aca="false">LFPR!D14</f>
        <v>0.415</v>
      </c>
      <c r="F45" s="18" t="n">
        <f aca="false">LFPR!E14</f>
        <v>0.68</v>
      </c>
      <c r="G45" s="18" t="n">
        <f aca="false">LFPR!F14</f>
        <v>0.58</v>
      </c>
      <c r="H45" s="18" t="n">
        <f aca="false">ETPR!C14</f>
        <v>0.81</v>
      </c>
      <c r="I45" s="18" t="n">
        <f aca="false">ETPR!D14</f>
        <v>0.78</v>
      </c>
      <c r="J45" s="18" t="n">
        <f aca="false">ETPR!E14</f>
        <v>0.85</v>
      </c>
      <c r="K45" s="18" t="n">
        <f aca="false">ETPR!F14</f>
        <v>0.81</v>
      </c>
      <c r="L45" s="18" t="n">
        <f aca="false">U3R!C14</f>
        <v>0.028</v>
      </c>
      <c r="M45" s="18" t="n">
        <f aca="false">U3R!D14</f>
        <v>0.03</v>
      </c>
      <c r="N45" s="18" t="n">
        <f aca="false">U3R!E14</f>
        <v>0.04</v>
      </c>
      <c r="O45" s="18" t="n">
        <f aca="false">U3R!F14</f>
        <v>0.027</v>
      </c>
      <c r="P45" s="18" t="n">
        <f aca="false">U3TPR!C14</f>
        <v>0.006</v>
      </c>
      <c r="Q45" s="18" t="n">
        <f aca="false">U3TPR!D14</f>
        <v>0.005</v>
      </c>
      <c r="R45" s="18" t="n">
        <f aca="false">U3TPR!E14</f>
        <v>0.0453</v>
      </c>
      <c r="S45" s="18" t="n">
        <f aca="false">U3TPR!F14</f>
        <v>0.0058</v>
      </c>
      <c r="T45" s="18" t="n">
        <f aca="false">U6R!C14</f>
        <v>0.072</v>
      </c>
      <c r="U45" s="18" t="n">
        <f aca="false">U6R!D14</f>
        <v>0.059</v>
      </c>
      <c r="V45" s="18" t="n">
        <f aca="false">U6R!E14</f>
        <v>0.138</v>
      </c>
      <c r="W45" s="18" t="n">
        <f aca="false">U6R!F14</f>
        <v>0.069</v>
      </c>
      <c r="X45" s="18" t="n">
        <f aca="false">U6TPR!C14</f>
        <v>0.0133</v>
      </c>
      <c r="Y45" s="18" t="n">
        <f aca="false">U6TPR!D14</f>
        <v>0.011</v>
      </c>
      <c r="Z45" s="18" t="n">
        <f aca="false">U6TPR!E14</f>
        <v>0.1378</v>
      </c>
      <c r="AA45" s="18" t="n">
        <f aca="false">U6TPR!F14</f>
        <v>0.013</v>
      </c>
      <c r="AB45" s="3" t="n">
        <f aca="false">FTER!C14</f>
        <v>0.72</v>
      </c>
      <c r="AC45" s="3" t="n">
        <f aca="false">FTER!D14</f>
        <v>0.74</v>
      </c>
      <c r="AD45" s="3" t="n">
        <f aca="false">FTER!E14</f>
        <v>0.68</v>
      </c>
      <c r="AE45" s="3" t="n">
        <f aca="false">FTER!F14</f>
        <v>0.72</v>
      </c>
      <c r="AF45" s="3" t="n">
        <f aca="false">PTER!C14</f>
        <v>0.28</v>
      </c>
      <c r="AG45" s="3" t="n">
        <f aca="false">PTER!D14</f>
        <v>0.26</v>
      </c>
      <c r="AH45" s="3" t="n">
        <f aca="false">PTER!E14</f>
        <v>0.32</v>
      </c>
      <c r="AI45" s="3" t="n">
        <f aca="false">PTER!F14</f>
        <v>0.28</v>
      </c>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DD45" s="3"/>
      <c r="DE45" s="3"/>
      <c r="DF45" s="3"/>
      <c r="DG45" s="3"/>
      <c r="DL45" s="3"/>
      <c r="DM45" s="3"/>
      <c r="DN45" s="3"/>
      <c r="DO45" s="3"/>
      <c r="DP45" s="3"/>
      <c r="DQ45" s="3"/>
      <c r="DR45" s="3"/>
      <c r="DS45" s="3"/>
      <c r="DT45" s="3"/>
      <c r="DU45" s="3"/>
      <c r="DV45" s="3"/>
      <c r="DW45" s="3"/>
      <c r="DX45" s="18"/>
      <c r="DY45" s="18"/>
      <c r="DZ45" s="18"/>
      <c r="EA45" s="18"/>
      <c r="EB45" s="18"/>
      <c r="EC45" s="18"/>
      <c r="ED45" s="18"/>
      <c r="EE45" s="18"/>
      <c r="EJ45" s="3"/>
      <c r="EK45" s="3"/>
      <c r="EL45" s="3"/>
      <c r="EM45" s="3"/>
      <c r="EN45" s="3"/>
      <c r="EO45" s="3"/>
      <c r="EP45" s="3"/>
      <c r="EQ45" s="3"/>
    </row>
    <row r="46" customFormat="false" ht="12.8" hidden="false" customHeight="false" outlineLevel="0" collapsed="false">
      <c r="A46" s="21" t="n">
        <v>11</v>
      </c>
      <c r="B46" s="3" t="n">
        <v>48</v>
      </c>
      <c r="C46" s="3" t="s">
        <v>1637</v>
      </c>
      <c r="D46" s="18" t="n">
        <f aca="false">LFPR!C15</f>
        <v>0.57</v>
      </c>
      <c r="E46" s="18" t="n">
        <f aca="false">LFPR!D15</f>
        <v>0.41</v>
      </c>
      <c r="F46" s="18" t="n">
        <f aca="false">LFPR!E15</f>
        <v>0.67</v>
      </c>
      <c r="G46" s="18" t="n">
        <f aca="false">LFPR!F15</f>
        <v>0.57</v>
      </c>
      <c r="H46" s="18" t="n">
        <f aca="false">ETPR!C15</f>
        <v>0.77</v>
      </c>
      <c r="I46" s="18" t="n">
        <f aca="false">ETPR!D15</f>
        <v>0.74</v>
      </c>
      <c r="J46" s="18" t="n">
        <f aca="false">ETPR!E15</f>
        <v>0.81</v>
      </c>
      <c r="K46" s="18" t="n">
        <f aca="false">ETPR!F15</f>
        <v>0.77</v>
      </c>
      <c r="L46" s="18" t="n">
        <f aca="false">U3R!C15</f>
        <v>0.028</v>
      </c>
      <c r="M46" s="18" t="n">
        <f aca="false">U3R!D15</f>
        <v>0.03</v>
      </c>
      <c r="N46" s="18" t="n">
        <f aca="false">U3R!E15</f>
        <v>0.04</v>
      </c>
      <c r="O46" s="18" t="n">
        <f aca="false">U3R!F15</f>
        <v>0.027</v>
      </c>
      <c r="P46" s="18" t="n">
        <f aca="false">U3TPR!C15</f>
        <v>0.0043</v>
      </c>
      <c r="Q46" s="18" t="n">
        <f aca="false">U3TPR!D15</f>
        <v>0.0036</v>
      </c>
      <c r="R46" s="18" t="n">
        <f aca="false">U3TPR!E15</f>
        <v>0.0402</v>
      </c>
      <c r="S46" s="18" t="n">
        <f aca="false">U3TPR!F15</f>
        <v>0.0042</v>
      </c>
      <c r="T46" s="18" t="n">
        <f aca="false">U6R!C15</f>
        <v>0.062</v>
      </c>
      <c r="U46" s="18" t="n">
        <f aca="false">U6R!D15</f>
        <v>0.051</v>
      </c>
      <c r="V46" s="18" t="n">
        <f aca="false">U6R!E15</f>
        <v>0.122</v>
      </c>
      <c r="W46" s="18" t="n">
        <f aca="false">U6R!F15</f>
        <v>0.059</v>
      </c>
      <c r="X46" s="18" t="n">
        <f aca="false">U6TPR!C15</f>
        <v>0.0095</v>
      </c>
      <c r="Y46" s="18" t="n">
        <f aca="false">U6TPR!D15</f>
        <v>0.0078</v>
      </c>
      <c r="Z46" s="18" t="n">
        <f aca="false">U6TPR!E15</f>
        <v>0.1221</v>
      </c>
      <c r="AA46" s="18" t="n">
        <f aca="false">U6TPR!F15</f>
        <v>0.0093</v>
      </c>
      <c r="AB46" s="3" t="n">
        <f aca="false">FTER!C15</f>
        <v>0.84</v>
      </c>
      <c r="AC46" s="3" t="n">
        <f aca="false">FTER!D15</f>
        <v>0.85</v>
      </c>
      <c r="AD46" s="3" t="n">
        <f aca="false">FTER!E15</f>
        <v>0.81</v>
      </c>
      <c r="AE46" s="3" t="n">
        <f aca="false">FTER!F15</f>
        <v>0.84</v>
      </c>
      <c r="AF46" s="3" t="n">
        <f aca="false">PTER!C15</f>
        <v>0.16</v>
      </c>
      <c r="AG46" s="3" t="n">
        <f aca="false">PTER!D15</f>
        <v>0.15</v>
      </c>
      <c r="AH46" s="3" t="n">
        <f aca="false">PTER!E15</f>
        <v>0.19</v>
      </c>
      <c r="AI46" s="3" t="n">
        <f aca="false">PTER!F15</f>
        <v>0.16</v>
      </c>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DD46" s="3"/>
      <c r="DE46" s="3"/>
      <c r="DF46" s="3"/>
      <c r="DG46" s="3"/>
      <c r="DL46" s="3"/>
      <c r="DM46" s="3"/>
      <c r="DN46" s="3"/>
      <c r="DO46" s="3"/>
      <c r="DP46" s="3"/>
      <c r="DQ46" s="3"/>
      <c r="DR46" s="3"/>
      <c r="DS46" s="3"/>
      <c r="DT46" s="3"/>
      <c r="DU46" s="3"/>
      <c r="DV46" s="3"/>
      <c r="DW46" s="3"/>
      <c r="DX46" s="18"/>
      <c r="DY46" s="18"/>
      <c r="DZ46" s="18"/>
      <c r="EA46" s="18"/>
      <c r="EB46" s="18"/>
      <c r="EC46" s="18"/>
      <c r="ED46" s="18"/>
      <c r="EE46" s="18"/>
      <c r="EJ46" s="3"/>
      <c r="EK46" s="3"/>
      <c r="EL46" s="3"/>
      <c r="EM46" s="3"/>
      <c r="EN46" s="3"/>
      <c r="EO46" s="3"/>
      <c r="EP46" s="3"/>
      <c r="EQ46" s="3"/>
    </row>
    <row r="47" customFormat="false" ht="12.8" hidden="false" customHeight="false" outlineLevel="0" collapsed="false">
      <c r="A47" s="21" t="n">
        <v>12</v>
      </c>
      <c r="B47" s="3" t="n">
        <v>49</v>
      </c>
      <c r="C47" s="3" t="s">
        <v>1638</v>
      </c>
      <c r="D47" s="18" t="n">
        <f aca="false">LFPR!C16</f>
        <v>0.56</v>
      </c>
      <c r="E47" s="18" t="n">
        <f aca="false">LFPR!D16</f>
        <v>0.4</v>
      </c>
      <c r="F47" s="18" t="n">
        <f aca="false">LFPR!E16</f>
        <v>0.66</v>
      </c>
      <c r="G47" s="18" t="n">
        <f aca="false">LFPR!F16</f>
        <v>0.56</v>
      </c>
      <c r="H47" s="18" t="n">
        <f aca="false">ETPR!C16</f>
        <v>0.7</v>
      </c>
      <c r="I47" s="18" t="n">
        <f aca="false">ETPR!D16</f>
        <v>0.67</v>
      </c>
      <c r="J47" s="18" t="n">
        <f aca="false">ETPR!E16</f>
        <v>0.74</v>
      </c>
      <c r="K47" s="18" t="n">
        <f aca="false">ETPR!F16</f>
        <v>0.7</v>
      </c>
      <c r="L47" s="18" t="n">
        <f aca="false">U3R!C16</f>
        <v>0.028</v>
      </c>
      <c r="M47" s="18" t="n">
        <f aca="false">U3R!D16</f>
        <v>0.03</v>
      </c>
      <c r="N47" s="18" t="n">
        <f aca="false">U3R!E16</f>
        <v>0.04</v>
      </c>
      <c r="O47" s="18" t="n">
        <f aca="false">U3R!F16</f>
        <v>0.027</v>
      </c>
      <c r="P47" s="18" t="n">
        <f aca="false">U3TPR!C16</f>
        <v>0.0037</v>
      </c>
      <c r="Q47" s="18" t="n">
        <f aca="false">U3TPR!D16</f>
        <v>0.0031</v>
      </c>
      <c r="R47" s="18" t="n">
        <f aca="false">U3TPR!E16</f>
        <v>0.0378</v>
      </c>
      <c r="S47" s="18" t="n">
        <f aca="false">U3TPR!F16</f>
        <v>0.0036</v>
      </c>
      <c r="T47" s="18" t="n">
        <f aca="false">U6R!C16</f>
        <v>0.055</v>
      </c>
      <c r="U47" s="18" t="n">
        <f aca="false">U6R!D16</f>
        <v>0.045</v>
      </c>
      <c r="V47" s="18" t="n">
        <f aca="false">U6R!E16</f>
        <v>0.115</v>
      </c>
      <c r="W47" s="18" t="n">
        <f aca="false">U6R!F16</f>
        <v>0.053</v>
      </c>
      <c r="X47" s="18" t="n">
        <f aca="false">U6TPR!C16</f>
        <v>0.0081</v>
      </c>
      <c r="Y47" s="18" t="n">
        <f aca="false">U6TPR!D16</f>
        <v>0.0067</v>
      </c>
      <c r="Z47" s="18" t="n">
        <f aca="false">U6TPR!E16</f>
        <v>0.1148</v>
      </c>
      <c r="AA47" s="18" t="n">
        <f aca="false">U6TPR!F16</f>
        <v>0.0079</v>
      </c>
      <c r="AB47" s="3" t="n">
        <f aca="false">FTER!C16</f>
        <v>0.82</v>
      </c>
      <c r="AC47" s="3" t="n">
        <f aca="false">FTER!D16</f>
        <v>0.83</v>
      </c>
      <c r="AD47" s="3" t="n">
        <f aca="false">FTER!E16</f>
        <v>0.79</v>
      </c>
      <c r="AE47" s="3" t="n">
        <f aca="false">FTER!F16</f>
        <v>0.82</v>
      </c>
      <c r="AF47" s="3" t="n">
        <f aca="false">PTER!C16</f>
        <v>0.18</v>
      </c>
      <c r="AG47" s="3" t="n">
        <f aca="false">PTER!D16</f>
        <v>0.17</v>
      </c>
      <c r="AH47" s="3" t="n">
        <f aca="false">PTER!E16</f>
        <v>0.21</v>
      </c>
      <c r="AI47" s="3" t="n">
        <f aca="false">PTER!F16</f>
        <v>0.18</v>
      </c>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DD47" s="3"/>
      <c r="DE47" s="3"/>
      <c r="DF47" s="3"/>
      <c r="DG47" s="3"/>
      <c r="DL47" s="3"/>
      <c r="DM47" s="3"/>
      <c r="DN47" s="3"/>
      <c r="DO47" s="3"/>
      <c r="DP47" s="3"/>
      <c r="DQ47" s="3"/>
      <c r="DR47" s="3"/>
      <c r="DS47" s="3"/>
      <c r="DT47" s="3"/>
      <c r="DU47" s="3"/>
      <c r="DV47" s="3"/>
      <c r="DW47" s="3"/>
      <c r="DX47" s="18"/>
      <c r="DY47" s="18"/>
      <c r="DZ47" s="18"/>
      <c r="EA47" s="18"/>
      <c r="EB47" s="18"/>
      <c r="EC47" s="18"/>
      <c r="ED47" s="18"/>
      <c r="EE47" s="18"/>
      <c r="EJ47" s="3"/>
      <c r="EK47" s="3"/>
      <c r="EL47" s="3"/>
      <c r="EM47" s="3"/>
      <c r="EN47" s="3"/>
      <c r="EO47" s="3"/>
      <c r="EP47" s="3"/>
      <c r="EQ47" s="3"/>
    </row>
    <row r="48" customFormat="false" ht="12.8" hidden="false" customHeight="false" outlineLevel="0" collapsed="false">
      <c r="A48" s="21" t="n">
        <v>13</v>
      </c>
      <c r="B48" s="3" t="n">
        <v>51</v>
      </c>
      <c r="C48" s="3" t="s">
        <v>1639</v>
      </c>
      <c r="D48" s="18" t="n">
        <f aca="false">LFPR!C17</f>
        <v>0.55</v>
      </c>
      <c r="E48" s="18" t="n">
        <f aca="false">LFPR!D17</f>
        <v>0.395</v>
      </c>
      <c r="F48" s="18" t="n">
        <f aca="false">LFPR!E17</f>
        <v>0.64</v>
      </c>
      <c r="G48" s="18" t="n">
        <f aca="false">LFPR!F17</f>
        <v>0.55</v>
      </c>
      <c r="H48" s="18" t="n">
        <f aca="false">ETPR!C17</f>
        <v>0.72</v>
      </c>
      <c r="I48" s="18" t="n">
        <f aca="false">ETPR!D17</f>
        <v>0.69</v>
      </c>
      <c r="J48" s="18" t="n">
        <f aca="false">ETPR!E17</f>
        <v>0.76</v>
      </c>
      <c r="K48" s="18" t="n">
        <f aca="false">ETPR!F17</f>
        <v>0.72</v>
      </c>
      <c r="L48" s="18" t="n">
        <f aca="false">U3R!C17</f>
        <v>0.028</v>
      </c>
      <c r="M48" s="18" t="n">
        <f aca="false">U3R!D17</f>
        <v>0.03</v>
      </c>
      <c r="N48" s="18" t="n">
        <f aca="false">U3R!E17</f>
        <v>0.04</v>
      </c>
      <c r="O48" s="18" t="n">
        <f aca="false">U3R!F17</f>
        <v>0.027</v>
      </c>
      <c r="P48" s="18" t="n">
        <f aca="false">U3TPR!C17</f>
        <v>0.0019</v>
      </c>
      <c r="Q48" s="18" t="n">
        <f aca="false">U3TPR!D17</f>
        <v>0.0016</v>
      </c>
      <c r="R48" s="18" t="n">
        <f aca="false">U3TPR!E17</f>
        <v>0.0305</v>
      </c>
      <c r="S48" s="18" t="n">
        <f aca="false">U3TPR!F17</f>
        <v>0.0018</v>
      </c>
      <c r="T48" s="18" t="n">
        <f aca="false">U6R!C17</f>
        <v>0.048</v>
      </c>
      <c r="U48" s="18" t="n">
        <f aca="false">U6R!D17</f>
        <v>0.039</v>
      </c>
      <c r="V48" s="18" t="n">
        <f aca="false">U6R!E17</f>
        <v>0.093</v>
      </c>
      <c r="W48" s="18" t="n">
        <f aca="false">U6R!F17</f>
        <v>0.046</v>
      </c>
      <c r="X48" s="18" t="n">
        <f aca="false">U6TPR!C17</f>
        <v>0.0042</v>
      </c>
      <c r="Y48" s="18" t="n">
        <f aca="false">U6TPR!D17</f>
        <v>0.0035</v>
      </c>
      <c r="Z48" s="18" t="n">
        <f aca="false">U6TPR!E17</f>
        <v>0.0927</v>
      </c>
      <c r="AA48" s="18" t="n">
        <f aca="false">U6TPR!F17</f>
        <v>0.0041</v>
      </c>
      <c r="AB48" s="3" t="n">
        <f aca="false">FTER!C17</f>
        <v>0.83</v>
      </c>
      <c r="AC48" s="3" t="n">
        <f aca="false">FTER!D17</f>
        <v>0.85</v>
      </c>
      <c r="AD48" s="3" t="n">
        <f aca="false">FTER!E17</f>
        <v>0.79</v>
      </c>
      <c r="AE48" s="3" t="n">
        <f aca="false">FTER!F17</f>
        <v>0.83</v>
      </c>
      <c r="AF48" s="3" t="n">
        <f aca="false">PTER!C17</f>
        <v>0.17</v>
      </c>
      <c r="AG48" s="3" t="n">
        <f aca="false">PTER!D17</f>
        <v>0.15</v>
      </c>
      <c r="AH48" s="3" t="n">
        <f aca="false">PTER!E17</f>
        <v>0.21</v>
      </c>
      <c r="AI48" s="3" t="n">
        <f aca="false">PTER!F17</f>
        <v>0.17</v>
      </c>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DD48" s="3"/>
      <c r="DE48" s="3"/>
      <c r="DF48" s="3"/>
      <c r="DG48" s="3"/>
      <c r="DL48" s="3"/>
      <c r="DM48" s="3"/>
      <c r="DN48" s="3"/>
      <c r="DO48" s="3"/>
      <c r="DP48" s="3"/>
      <c r="DQ48" s="3"/>
      <c r="DR48" s="3"/>
      <c r="DS48" s="3"/>
      <c r="DT48" s="3"/>
      <c r="DU48" s="3"/>
      <c r="DV48" s="3"/>
      <c r="DW48" s="3"/>
      <c r="DX48" s="18"/>
      <c r="DY48" s="18"/>
      <c r="DZ48" s="18"/>
      <c r="EA48" s="18"/>
      <c r="EB48" s="18"/>
      <c r="EC48" s="18"/>
      <c r="ED48" s="18"/>
      <c r="EE48" s="18"/>
      <c r="EJ48" s="3"/>
      <c r="EK48" s="3"/>
      <c r="EL48" s="3"/>
      <c r="EM48" s="3"/>
      <c r="EN48" s="3"/>
      <c r="EO48" s="3"/>
      <c r="EP48" s="3"/>
      <c r="EQ48" s="3"/>
    </row>
    <row r="49" customFormat="false" ht="12.8" hidden="false" customHeight="false" outlineLevel="0" collapsed="false">
      <c r="A49" s="17" t="n">
        <v>14</v>
      </c>
      <c r="B49" s="18" t="n">
        <v>52</v>
      </c>
      <c r="C49" s="18" t="s">
        <v>1640</v>
      </c>
      <c r="D49" s="18" t="n">
        <f aca="false">LFPR!C18</f>
        <v>0.59</v>
      </c>
      <c r="E49" s="18" t="n">
        <f aca="false">LFPR!D18</f>
        <v>0.42</v>
      </c>
      <c r="F49" s="18" t="n">
        <f aca="false">LFPR!E18</f>
        <v>0.69</v>
      </c>
      <c r="G49" s="18" t="n">
        <f aca="false">LFPR!F18</f>
        <v>0.59</v>
      </c>
      <c r="H49" s="18" t="n">
        <f aca="false">ETPR!C18</f>
        <v>0.8</v>
      </c>
      <c r="I49" s="18" t="n">
        <f aca="false">ETPR!D18</f>
        <v>0.77</v>
      </c>
      <c r="J49" s="18" t="n">
        <f aca="false">ETPR!E18</f>
        <v>0.84</v>
      </c>
      <c r="K49" s="18" t="n">
        <f aca="false">ETPR!F18</f>
        <v>0.8</v>
      </c>
      <c r="L49" s="18" t="n">
        <f aca="false">U3R!C18</f>
        <v>0.018</v>
      </c>
      <c r="M49" s="18" t="n">
        <f aca="false">U3R!D18</f>
        <v>0.019</v>
      </c>
      <c r="N49" s="18" t="n">
        <f aca="false">U3R!E18</f>
        <v>0.022</v>
      </c>
      <c r="O49" s="18" t="n">
        <f aca="false">U3R!F18</f>
        <v>0.018</v>
      </c>
      <c r="P49" s="18" t="n">
        <f aca="false">U3TPR!C18</f>
        <v>0.003</v>
      </c>
      <c r="Q49" s="18" t="n">
        <f aca="false">U3TPR!D18</f>
        <v>0.0025</v>
      </c>
      <c r="R49" s="18" t="n">
        <f aca="false">U3TPR!E18</f>
        <v>0.0289</v>
      </c>
      <c r="S49" s="18" t="n">
        <f aca="false">U3TPR!F18</f>
        <v>0.0029</v>
      </c>
      <c r="T49" s="18" t="n">
        <f aca="false">U6R!C18</f>
        <v>0.038</v>
      </c>
      <c r="U49" s="18" t="n">
        <f aca="false">U6R!D18</f>
        <v>0.031</v>
      </c>
      <c r="V49" s="18" t="n">
        <f aca="false">U6R!E18</f>
        <v>0.088</v>
      </c>
      <c r="W49" s="18" t="n">
        <f aca="false">U6R!F18</f>
        <v>0.036</v>
      </c>
      <c r="X49" s="18" t="n">
        <f aca="false">U6TPR!C18</f>
        <v>0.0067</v>
      </c>
      <c r="Y49" s="18" t="n">
        <f aca="false">U6TPR!D18</f>
        <v>0.0055</v>
      </c>
      <c r="Z49" s="18" t="n">
        <f aca="false">U6TPR!E18</f>
        <v>0.0879</v>
      </c>
      <c r="AA49" s="18" t="n">
        <f aca="false">U6TPR!F18</f>
        <v>0.0065</v>
      </c>
      <c r="AB49" s="3" t="n">
        <f aca="false">FTER!C18</f>
        <v>0.85</v>
      </c>
      <c r="AC49" s="3" t="n">
        <f aca="false">FTER!D18</f>
        <v>0.87</v>
      </c>
      <c r="AD49" s="3" t="n">
        <f aca="false">FTER!E18</f>
        <v>0.81</v>
      </c>
      <c r="AE49" s="3" t="n">
        <f aca="false">FTER!F18</f>
        <v>0.85</v>
      </c>
      <c r="AF49" s="3" t="n">
        <f aca="false">PTER!C18</f>
        <v>0.15</v>
      </c>
      <c r="AG49" s="3" t="n">
        <f aca="false">PTER!D18</f>
        <v>0.13</v>
      </c>
      <c r="AH49" s="3" t="n">
        <f aca="false">PTER!E18</f>
        <v>0.19</v>
      </c>
      <c r="AI49" s="3" t="n">
        <f aca="false">PTER!F18</f>
        <v>0.15</v>
      </c>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R49" s="18"/>
      <c r="CS49" s="18"/>
      <c r="CT49" s="18"/>
      <c r="CU49" s="18"/>
      <c r="CV49" s="18"/>
      <c r="DA49" s="18"/>
      <c r="DB49" s="18"/>
      <c r="DC49" s="18"/>
      <c r="DH49" s="18"/>
      <c r="DI49" s="18"/>
      <c r="DJ49" s="18"/>
      <c r="DK49" s="18"/>
      <c r="DL49" s="3"/>
      <c r="DM49" s="3"/>
      <c r="DN49" s="3"/>
      <c r="DO49" s="3"/>
      <c r="DP49" s="3"/>
      <c r="DQ49" s="3"/>
      <c r="DR49" s="3"/>
      <c r="DS49" s="3"/>
      <c r="DT49" s="3"/>
      <c r="DU49" s="3"/>
      <c r="DV49" s="3"/>
      <c r="DW49" s="3"/>
      <c r="DX49" s="18"/>
      <c r="DY49" s="18"/>
      <c r="DZ49" s="18"/>
      <c r="EA49" s="18"/>
      <c r="EB49" s="18"/>
      <c r="EC49" s="18"/>
      <c r="ED49" s="18"/>
      <c r="EE49" s="18"/>
      <c r="EJ49" s="3"/>
      <c r="EK49" s="3"/>
      <c r="EL49" s="3"/>
      <c r="EM49" s="3"/>
      <c r="EN49" s="3"/>
      <c r="EO49" s="3"/>
      <c r="EP49" s="3"/>
      <c r="EQ49" s="3"/>
    </row>
    <row r="50" customFormat="false" ht="12.8" hidden="false" customHeight="false" outlineLevel="0" collapsed="false">
      <c r="A50" s="17" t="n">
        <v>15</v>
      </c>
      <c r="B50" s="18" t="n">
        <v>53</v>
      </c>
      <c r="C50" s="39" t="s">
        <v>1641</v>
      </c>
      <c r="D50" s="18" t="n">
        <f aca="false">LFPR!C19</f>
        <v>0.58</v>
      </c>
      <c r="E50" s="18" t="n">
        <f aca="false">LFPR!D19</f>
        <v>0.415</v>
      </c>
      <c r="F50" s="18" t="n">
        <f aca="false">LFPR!E19</f>
        <v>0.68</v>
      </c>
      <c r="G50" s="18" t="n">
        <f aca="false">LFPR!F19</f>
        <v>0.58</v>
      </c>
      <c r="H50" s="18" t="n">
        <f aca="false">ETPR!C19</f>
        <v>0.8</v>
      </c>
      <c r="I50" s="18" t="n">
        <f aca="false">ETPR!D19</f>
        <v>0.77</v>
      </c>
      <c r="J50" s="18" t="n">
        <f aca="false">ETPR!E19</f>
        <v>0.84</v>
      </c>
      <c r="K50" s="18" t="n">
        <f aca="false">ETPR!F19</f>
        <v>0.8</v>
      </c>
      <c r="L50" s="18" t="n">
        <f aca="false">U3R!C19</f>
        <v>0.018</v>
      </c>
      <c r="M50" s="18" t="n">
        <f aca="false">U3R!D19</f>
        <v>0.019</v>
      </c>
      <c r="N50" s="18" t="n">
        <f aca="false">U3R!E19</f>
        <v>0.022</v>
      </c>
      <c r="O50" s="18" t="n">
        <f aca="false">U3R!F19</f>
        <v>0.018</v>
      </c>
      <c r="P50" s="18" t="n">
        <f aca="false">U3TPR!C19</f>
        <v>0.0015</v>
      </c>
      <c r="Q50" s="18" t="n">
        <f aca="false">U3TPR!D19</f>
        <v>0.0013</v>
      </c>
      <c r="R50" s="18" t="n">
        <f aca="false">U3TPR!E19</f>
        <v>0.0267</v>
      </c>
      <c r="S50" s="18" t="n">
        <f aca="false">U3TPR!F19</f>
        <v>0.0015</v>
      </c>
      <c r="T50" s="18" t="n">
        <f aca="false">U6R!C19</f>
        <v>0.038</v>
      </c>
      <c r="U50" s="18" t="n">
        <f aca="false">U6R!D19</f>
        <v>0.031</v>
      </c>
      <c r="V50" s="18" t="n">
        <f aca="false">U6R!E19</f>
        <v>0.081</v>
      </c>
      <c r="W50" s="18" t="n">
        <f aca="false">U6R!F19</f>
        <v>0.036</v>
      </c>
      <c r="X50" s="18" t="n">
        <f aca="false">U6TPR!C19</f>
        <v>0.0034</v>
      </c>
      <c r="Y50" s="18" t="n">
        <f aca="false">U6TPR!D19</f>
        <v>0.0028</v>
      </c>
      <c r="Z50" s="18" t="n">
        <f aca="false">U6TPR!E19</f>
        <v>0.0812</v>
      </c>
      <c r="AA50" s="18" t="n">
        <f aca="false">U6TPR!F19</f>
        <v>0.0033</v>
      </c>
      <c r="AB50" s="3" t="n">
        <f aca="false">FTER!C19</f>
        <v>0.82</v>
      </c>
      <c r="AC50" s="3" t="n">
        <f aca="false">FTER!D19</f>
        <v>0.84</v>
      </c>
      <c r="AD50" s="3" t="n">
        <f aca="false">FTER!E19</f>
        <v>0.78</v>
      </c>
      <c r="AE50" s="3" t="n">
        <f aca="false">FTER!F19</f>
        <v>0.82</v>
      </c>
      <c r="AF50" s="3" t="n">
        <f aca="false">PTER!C19</f>
        <v>0.18</v>
      </c>
      <c r="AG50" s="3" t="n">
        <f aca="false">PTER!D19</f>
        <v>0.16</v>
      </c>
      <c r="AH50" s="3" t="n">
        <f aca="false">PTER!E19</f>
        <v>0.22</v>
      </c>
      <c r="AI50" s="3" t="n">
        <f aca="false">PTER!F19</f>
        <v>0.18</v>
      </c>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R50" s="18"/>
      <c r="CS50" s="18"/>
      <c r="CT50" s="18"/>
      <c r="CU50" s="18"/>
      <c r="CV50" s="18"/>
      <c r="DA50" s="18"/>
      <c r="DB50" s="18"/>
      <c r="DC50" s="18"/>
      <c r="DH50" s="18"/>
      <c r="DI50" s="18"/>
      <c r="DJ50" s="18"/>
      <c r="DK50" s="18"/>
      <c r="DL50" s="3"/>
      <c r="DM50" s="3"/>
      <c r="DN50" s="3"/>
      <c r="DO50" s="3"/>
      <c r="DP50" s="3"/>
      <c r="DQ50" s="3"/>
      <c r="DR50" s="3"/>
      <c r="DS50" s="3"/>
      <c r="DT50" s="3"/>
      <c r="DU50" s="3"/>
      <c r="DV50" s="3"/>
      <c r="DW50" s="3"/>
      <c r="DX50" s="18"/>
      <c r="DY50" s="18"/>
      <c r="DZ50" s="18"/>
      <c r="EA50" s="18"/>
      <c r="EB50" s="18"/>
      <c r="EC50" s="18"/>
      <c r="ED50" s="18"/>
      <c r="EE50" s="18"/>
      <c r="EJ50" s="3"/>
      <c r="EK50" s="3"/>
      <c r="EL50" s="3"/>
      <c r="EM50" s="3"/>
      <c r="EN50" s="3"/>
      <c r="EO50" s="3"/>
      <c r="EP50" s="3"/>
      <c r="EQ50" s="3"/>
    </row>
    <row r="51" customFormat="false" ht="23.85" hidden="false" customHeight="false" outlineLevel="0" collapsed="false">
      <c r="A51" s="17" t="n">
        <v>16</v>
      </c>
      <c r="B51" s="18" t="n">
        <v>54</v>
      </c>
      <c r="C51" s="39" t="s">
        <v>1642</v>
      </c>
      <c r="D51" s="18" t="n">
        <f aca="false">LFPR!C20</f>
        <v>0.6</v>
      </c>
      <c r="E51" s="18" t="n">
        <f aca="false">LFPR!D20</f>
        <v>0.43</v>
      </c>
      <c r="F51" s="18" t="n">
        <f aca="false">LFPR!E20</f>
        <v>0.7</v>
      </c>
      <c r="G51" s="18" t="n">
        <f aca="false">LFPR!F20</f>
        <v>0.6</v>
      </c>
      <c r="H51" s="18" t="n">
        <f aca="false">ETPR!C20</f>
        <v>0.8</v>
      </c>
      <c r="I51" s="18" t="n">
        <f aca="false">ETPR!D20</f>
        <v>0.77</v>
      </c>
      <c r="J51" s="18" t="n">
        <f aca="false">ETPR!E20</f>
        <v>0.84</v>
      </c>
      <c r="K51" s="18" t="n">
        <f aca="false">ETPR!F20</f>
        <v>0.8</v>
      </c>
      <c r="L51" s="18" t="n">
        <f aca="false">U3R!C20</f>
        <v>0.018</v>
      </c>
      <c r="M51" s="18" t="n">
        <f aca="false">U3R!D20</f>
        <v>0.019</v>
      </c>
      <c r="N51" s="18" t="n">
        <f aca="false">U3R!E20</f>
        <v>0.022</v>
      </c>
      <c r="O51" s="18" t="n">
        <f aca="false">U3R!F20</f>
        <v>0.018</v>
      </c>
      <c r="P51" s="18" t="n">
        <f aca="false">U3TPR!C20</f>
        <v>0.0045</v>
      </c>
      <c r="Q51" s="18" t="n">
        <f aca="false">U3TPR!D20</f>
        <v>0.0037</v>
      </c>
      <c r="R51" s="18" t="n">
        <f aca="false">U3TPR!E20</f>
        <v>0.0324</v>
      </c>
      <c r="S51" s="18" t="n">
        <f aca="false">U3TPR!F20</f>
        <v>0.0044</v>
      </c>
      <c r="T51" s="18" t="n">
        <f aca="false">U6R!C20</f>
        <v>0.045</v>
      </c>
      <c r="U51" s="18" t="n">
        <f aca="false">U6R!D20</f>
        <v>0.037</v>
      </c>
      <c r="V51" s="18" t="n">
        <f aca="false">U6R!E20</f>
        <v>0.098</v>
      </c>
      <c r="W51" s="18" t="n">
        <f aca="false">U6R!F20</f>
        <v>0.043</v>
      </c>
      <c r="X51" s="18" t="n">
        <f aca="false">U6TPR!C20</f>
        <v>0.0101</v>
      </c>
      <c r="Y51" s="18" t="n">
        <f aca="false">U6TPR!D20</f>
        <v>0.0083</v>
      </c>
      <c r="Z51" s="18" t="n">
        <f aca="false">U6TPR!E20</f>
        <v>0.0983</v>
      </c>
      <c r="AA51" s="18" t="n">
        <f aca="false">U6TPR!F20</f>
        <v>0.0098</v>
      </c>
      <c r="AB51" s="3" t="n">
        <f aca="false">FTER!C20</f>
        <v>0.87</v>
      </c>
      <c r="AC51" s="3" t="n">
        <f aca="false">FTER!D20</f>
        <v>0.89</v>
      </c>
      <c r="AD51" s="3" t="n">
        <f aca="false">FTER!E20</f>
        <v>0.82</v>
      </c>
      <c r="AE51" s="3" t="n">
        <f aca="false">FTER!F20</f>
        <v>0.87</v>
      </c>
      <c r="AF51" s="3" t="n">
        <f aca="false">PTER!C20</f>
        <v>0.13</v>
      </c>
      <c r="AG51" s="3" t="n">
        <f aca="false">PTER!D20</f>
        <v>0.11</v>
      </c>
      <c r="AH51" s="3" t="n">
        <f aca="false">PTER!E20</f>
        <v>0.18</v>
      </c>
      <c r="AI51" s="3" t="n">
        <f aca="false">PTER!F20</f>
        <v>0.13</v>
      </c>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R51" s="18"/>
      <c r="CS51" s="18"/>
      <c r="CT51" s="18"/>
      <c r="CU51" s="18"/>
      <c r="CV51" s="18"/>
      <c r="DA51" s="18"/>
      <c r="DB51" s="18"/>
      <c r="DC51" s="18"/>
      <c r="DH51" s="18"/>
      <c r="DI51" s="18"/>
      <c r="DJ51" s="18"/>
      <c r="DK51" s="18"/>
      <c r="DL51" s="3"/>
      <c r="DM51" s="3"/>
      <c r="DN51" s="3"/>
      <c r="DO51" s="3"/>
      <c r="DP51" s="3"/>
      <c r="DQ51" s="3"/>
      <c r="DR51" s="3"/>
      <c r="DS51" s="3"/>
      <c r="DT51" s="3"/>
      <c r="DU51" s="3"/>
      <c r="DV51" s="3"/>
      <c r="DW51" s="3"/>
      <c r="DX51" s="18"/>
      <c r="DY51" s="18"/>
      <c r="DZ51" s="18"/>
      <c r="EA51" s="18"/>
      <c r="EB51" s="18"/>
      <c r="EC51" s="18"/>
      <c r="ED51" s="18"/>
      <c r="EE51" s="18"/>
      <c r="EJ51" s="3"/>
      <c r="EK51" s="3"/>
      <c r="EL51" s="3"/>
      <c r="EM51" s="3"/>
      <c r="EN51" s="3"/>
      <c r="EO51" s="3"/>
      <c r="EP51" s="3"/>
      <c r="EQ51" s="3"/>
    </row>
    <row r="52" customFormat="false" ht="35.05" hidden="false" customHeight="false" outlineLevel="0" collapsed="false">
      <c r="A52" s="17" t="n">
        <v>17</v>
      </c>
      <c r="B52" s="18" t="n">
        <v>56</v>
      </c>
      <c r="C52" s="39" t="s">
        <v>1643</v>
      </c>
      <c r="D52" s="18" t="n">
        <f aca="false">LFPR!C21</f>
        <v>0.56</v>
      </c>
      <c r="E52" s="18" t="n">
        <f aca="false">LFPR!D21</f>
        <v>0.4</v>
      </c>
      <c r="F52" s="18" t="n">
        <f aca="false">LFPR!E21</f>
        <v>0.66</v>
      </c>
      <c r="G52" s="18" t="n">
        <f aca="false">LFPR!F21</f>
        <v>0.56</v>
      </c>
      <c r="H52" s="18" t="n">
        <f aca="false">ETPR!C21</f>
        <v>0.67</v>
      </c>
      <c r="I52" s="18" t="n">
        <f aca="false">ETPR!D21</f>
        <v>0.64</v>
      </c>
      <c r="J52" s="18" t="n">
        <f aca="false">ETPR!E21</f>
        <v>0.71</v>
      </c>
      <c r="K52" s="18" t="n">
        <f aca="false">ETPR!F21</f>
        <v>0.67</v>
      </c>
      <c r="L52" s="18" t="n">
        <f aca="false">U3R!C21</f>
        <v>0.045</v>
      </c>
      <c r="M52" s="18" t="n">
        <f aca="false">U3R!D21</f>
        <v>0.048</v>
      </c>
      <c r="N52" s="18" t="n">
        <f aca="false">U3R!E21</f>
        <v>0.062</v>
      </c>
      <c r="O52" s="18" t="n">
        <f aca="false">U3R!F21</f>
        <v>0.042</v>
      </c>
      <c r="P52" s="18" t="n">
        <f aca="false">U3TPR!C21</f>
        <v>0.01</v>
      </c>
      <c r="Q52" s="18" t="n">
        <f aca="false">U3TPR!D21</f>
        <v>0.0083</v>
      </c>
      <c r="R52" s="18" t="n">
        <f aca="false">U3TPR!E21</f>
        <v>0.0587</v>
      </c>
      <c r="S52" s="18" t="n">
        <f aca="false">U3TPR!F21</f>
        <v>0.0097</v>
      </c>
      <c r="T52" s="18" t="n">
        <f aca="false">U6R!C21</f>
        <v>0.095</v>
      </c>
      <c r="U52" s="18" t="n">
        <f aca="false">U6R!D21</f>
        <v>0.078</v>
      </c>
      <c r="V52" s="18" t="n">
        <f aca="false">U6R!E21</f>
        <v>0.178</v>
      </c>
      <c r="W52" s="18" t="n">
        <f aca="false">U6R!F21</f>
        <v>0.091</v>
      </c>
      <c r="X52" s="18" t="n">
        <f aca="false">U6TPR!C21</f>
        <v>0.0221</v>
      </c>
      <c r="Y52" s="18" t="n">
        <f aca="false">U6TPR!D21</f>
        <v>0.0182</v>
      </c>
      <c r="Z52" s="18" t="n">
        <f aca="false">U6TPR!E21</f>
        <v>0.1779</v>
      </c>
      <c r="AA52" s="18" t="n">
        <f aca="false">U6TPR!F21</f>
        <v>0.0215</v>
      </c>
      <c r="AB52" s="3" t="n">
        <f aca="false">FTER!C21</f>
        <v>0.76</v>
      </c>
      <c r="AC52" s="3" t="n">
        <f aca="false">FTER!D21</f>
        <v>0.78</v>
      </c>
      <c r="AD52" s="3" t="n">
        <f aca="false">FTER!E21</f>
        <v>0.72</v>
      </c>
      <c r="AE52" s="3" t="n">
        <f aca="false">FTER!F21</f>
        <v>0.76</v>
      </c>
      <c r="AF52" s="3" t="n">
        <f aca="false">PTER!C21</f>
        <v>0.24</v>
      </c>
      <c r="AG52" s="3" t="n">
        <f aca="false">PTER!D21</f>
        <v>0.22</v>
      </c>
      <c r="AH52" s="3" t="n">
        <f aca="false">PTER!E21</f>
        <v>0.28</v>
      </c>
      <c r="AI52" s="3" t="n">
        <f aca="false">PTER!F21</f>
        <v>0.24</v>
      </c>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R52" s="18"/>
      <c r="CS52" s="18"/>
      <c r="CT52" s="18"/>
      <c r="CU52" s="18"/>
      <c r="CV52" s="18"/>
      <c r="DA52" s="18"/>
      <c r="DB52" s="18"/>
      <c r="DC52" s="18"/>
      <c r="DH52" s="18"/>
      <c r="DI52" s="18"/>
      <c r="DJ52" s="18"/>
      <c r="DK52" s="18"/>
      <c r="DL52" s="3"/>
      <c r="DM52" s="3"/>
      <c r="DN52" s="3"/>
      <c r="DO52" s="3"/>
      <c r="DP52" s="3"/>
      <c r="DQ52" s="3"/>
      <c r="DR52" s="3"/>
      <c r="DS52" s="3"/>
      <c r="DT52" s="3"/>
      <c r="DU52" s="3"/>
      <c r="DV52" s="3"/>
      <c r="DW52" s="3"/>
      <c r="DX52" s="18"/>
      <c r="DY52" s="18"/>
      <c r="DZ52" s="18"/>
      <c r="EA52" s="18"/>
      <c r="EB52" s="18"/>
      <c r="EC52" s="18"/>
      <c r="ED52" s="18"/>
      <c r="EE52" s="18"/>
      <c r="EJ52" s="3"/>
      <c r="EK52" s="3"/>
      <c r="EL52" s="3"/>
      <c r="EM52" s="3"/>
      <c r="EN52" s="3"/>
      <c r="EO52" s="3"/>
      <c r="EP52" s="3"/>
      <c r="EQ52" s="3"/>
    </row>
    <row r="53" customFormat="false" ht="12.8" hidden="false" customHeight="false" outlineLevel="0" collapsed="false">
      <c r="A53" s="17" t="n">
        <v>18</v>
      </c>
      <c r="B53" s="18" t="n">
        <v>61</v>
      </c>
      <c r="C53" s="18" t="s">
        <v>1644</v>
      </c>
      <c r="D53" s="18" t="n">
        <f aca="false">LFPR!C22</f>
        <v>0.59</v>
      </c>
      <c r="E53" s="18" t="n">
        <f aca="false">LFPR!D22</f>
        <v>0.42</v>
      </c>
      <c r="F53" s="18" t="n">
        <f aca="false">LFPR!E22</f>
        <v>0.69</v>
      </c>
      <c r="G53" s="18" t="n">
        <f aca="false">LFPR!F22</f>
        <v>0.59</v>
      </c>
      <c r="H53" s="18" t="n">
        <f aca="false">ETPR!C22</f>
        <v>0.8</v>
      </c>
      <c r="I53" s="18" t="n">
        <f aca="false">ETPR!D22</f>
        <v>0.77</v>
      </c>
      <c r="J53" s="18" t="n">
        <f aca="false">ETPR!E22</f>
        <v>0.84</v>
      </c>
      <c r="K53" s="18" t="n">
        <f aca="false">ETPR!F22</f>
        <v>0.8</v>
      </c>
      <c r="L53" s="18" t="n">
        <f aca="false">U3R!C22</f>
        <v>0.018</v>
      </c>
      <c r="M53" s="18" t="n">
        <f aca="false">U3R!D22</f>
        <v>0.019</v>
      </c>
      <c r="N53" s="18" t="n">
        <f aca="false">U3R!E22</f>
        <v>0.022</v>
      </c>
      <c r="O53" s="18" t="n">
        <f aca="false">U3R!F22</f>
        <v>0.018</v>
      </c>
      <c r="P53" s="18" t="n">
        <f aca="false">U3TPR!C22</f>
        <v>0.0072</v>
      </c>
      <c r="Q53" s="18" t="n">
        <f aca="false">U3TPR!D22</f>
        <v>0.006</v>
      </c>
      <c r="R53" s="18" t="n">
        <f aca="false">U3TPR!E22</f>
        <v>0.0418</v>
      </c>
      <c r="S53" s="18" t="n">
        <f aca="false">U3TPR!F22</f>
        <v>0.007</v>
      </c>
      <c r="T53" s="18" t="n">
        <f aca="false">U6R!C22</f>
        <v>0.055</v>
      </c>
      <c r="U53" s="18" t="n">
        <f aca="false">U6R!D22</f>
        <v>0.045</v>
      </c>
      <c r="V53" s="18" t="n">
        <f aca="false">U6R!E22</f>
        <v>0.127</v>
      </c>
      <c r="W53" s="18" t="n">
        <f aca="false">U6R!F22</f>
        <v>0.053</v>
      </c>
      <c r="X53" s="18" t="n">
        <f aca="false">U6TPR!C22</f>
        <v>0.0159</v>
      </c>
      <c r="Y53" s="18" t="n">
        <f aca="false">U6TPR!D22</f>
        <v>0.0131</v>
      </c>
      <c r="Z53" s="18" t="n">
        <f aca="false">U6TPR!E22</f>
        <v>0.1267</v>
      </c>
      <c r="AA53" s="18" t="n">
        <f aca="false">U6TPR!F22</f>
        <v>0.0155</v>
      </c>
      <c r="AB53" s="3" t="n">
        <f aca="false">FTER!C22</f>
        <v>0.84</v>
      </c>
      <c r="AC53" s="3" t="n">
        <f aca="false">FTER!D22</f>
        <v>0.86</v>
      </c>
      <c r="AD53" s="3" t="n">
        <f aca="false">FTER!E22</f>
        <v>0.8</v>
      </c>
      <c r="AE53" s="3" t="n">
        <f aca="false">FTER!F22</f>
        <v>0.84</v>
      </c>
      <c r="AF53" s="3" t="n">
        <f aca="false">PTER!C22</f>
        <v>0.16</v>
      </c>
      <c r="AG53" s="3" t="n">
        <f aca="false">PTER!D22</f>
        <v>0.14</v>
      </c>
      <c r="AH53" s="3" t="n">
        <f aca="false">PTER!E22</f>
        <v>0.2</v>
      </c>
      <c r="AI53" s="3" t="n">
        <f aca="false">PTER!F22</f>
        <v>0.16</v>
      </c>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R53" s="18"/>
      <c r="CS53" s="18"/>
      <c r="CT53" s="18"/>
      <c r="CU53" s="18"/>
      <c r="CV53" s="18"/>
      <c r="DA53" s="18"/>
      <c r="DB53" s="18"/>
      <c r="DC53" s="18"/>
      <c r="DH53" s="18"/>
      <c r="DI53" s="18"/>
      <c r="DJ53" s="18"/>
      <c r="DK53" s="18"/>
      <c r="DL53" s="3"/>
      <c r="DM53" s="3"/>
      <c r="DN53" s="3"/>
      <c r="DO53" s="3"/>
      <c r="DP53" s="3"/>
      <c r="DQ53" s="3"/>
      <c r="DR53" s="3"/>
      <c r="DS53" s="3"/>
      <c r="DT53" s="3"/>
      <c r="DU53" s="3"/>
      <c r="DV53" s="3"/>
      <c r="DW53" s="3"/>
      <c r="DX53" s="18"/>
      <c r="DY53" s="18"/>
      <c r="DZ53" s="18"/>
      <c r="EA53" s="18"/>
      <c r="EB53" s="18"/>
      <c r="EC53" s="18"/>
      <c r="ED53" s="18"/>
      <c r="EE53" s="18"/>
      <c r="EJ53" s="3"/>
      <c r="EK53" s="3"/>
      <c r="EL53" s="3"/>
      <c r="EM53" s="3"/>
      <c r="EN53" s="3"/>
      <c r="EO53" s="3"/>
      <c r="EP53" s="3"/>
      <c r="EQ53" s="3"/>
    </row>
    <row r="54" customFormat="false" ht="12.8" hidden="false" customHeight="false" outlineLevel="0" collapsed="false">
      <c r="A54" s="17" t="n">
        <v>19</v>
      </c>
      <c r="B54" s="18" t="n">
        <v>62</v>
      </c>
      <c r="C54" s="39" t="s">
        <v>1645</v>
      </c>
      <c r="D54" s="18" t="n">
        <f aca="false">LFPR!C23</f>
        <v>0.61</v>
      </c>
      <c r="E54" s="18" t="n">
        <f aca="false">LFPR!D23</f>
        <v>0.435</v>
      </c>
      <c r="F54" s="18" t="n">
        <f aca="false">LFPR!E23</f>
        <v>0.71</v>
      </c>
      <c r="G54" s="18" t="n">
        <f aca="false">LFPR!F23</f>
        <v>0.61</v>
      </c>
      <c r="H54" s="18" t="n">
        <f aca="false">ETPR!C23</f>
        <v>0.8</v>
      </c>
      <c r="I54" s="18" t="n">
        <f aca="false">ETPR!D23</f>
        <v>0.77</v>
      </c>
      <c r="J54" s="18" t="n">
        <f aca="false">ETPR!E23</f>
        <v>0.84</v>
      </c>
      <c r="K54" s="18" t="n">
        <f aca="false">ETPR!F23</f>
        <v>0.8</v>
      </c>
      <c r="L54" s="18" t="n">
        <f aca="false">U3R!C23</f>
        <v>0.018</v>
      </c>
      <c r="M54" s="18" t="n">
        <f aca="false">U3R!D23</f>
        <v>0.019</v>
      </c>
      <c r="N54" s="18" t="n">
        <f aca="false">U3R!E23</f>
        <v>0.022</v>
      </c>
      <c r="O54" s="18" t="n">
        <f aca="false">U3R!F23</f>
        <v>0.018</v>
      </c>
      <c r="P54" s="18" t="n">
        <f aca="false">U3TPR!C23</f>
        <v>0.0101</v>
      </c>
      <c r="Q54" s="18" t="n">
        <f aca="false">U3TPR!D23</f>
        <v>0.0084</v>
      </c>
      <c r="R54" s="18" t="n">
        <f aca="false">U3TPR!E23</f>
        <v>0.0442</v>
      </c>
      <c r="S54" s="18" t="n">
        <f aca="false">U3TPR!F23</f>
        <v>0.0098</v>
      </c>
      <c r="T54" s="18" t="n">
        <f aca="false">U6R!C23</f>
        <v>0.055</v>
      </c>
      <c r="U54" s="18" t="n">
        <f aca="false">U6R!D23</f>
        <v>0.045</v>
      </c>
      <c r="V54" s="18" t="n">
        <f aca="false">U6R!E23</f>
        <v>0.134</v>
      </c>
      <c r="W54" s="18" t="n">
        <f aca="false">U6R!F23</f>
        <v>0.053</v>
      </c>
      <c r="X54" s="18" t="n">
        <f aca="false">U6TPR!C23</f>
        <v>0.0223</v>
      </c>
      <c r="Y54" s="18" t="n">
        <f aca="false">U6TPR!D23</f>
        <v>0.0184</v>
      </c>
      <c r="Z54" s="18" t="n">
        <f aca="false">U6TPR!E23</f>
        <v>0.1338</v>
      </c>
      <c r="AA54" s="18" t="n">
        <f aca="false">U6TPR!F23</f>
        <v>0.0217</v>
      </c>
      <c r="AB54" s="3" t="n">
        <f aca="false">FTER!C23</f>
        <v>0.85</v>
      </c>
      <c r="AC54" s="3" t="n">
        <f aca="false">FTER!D23</f>
        <v>0.87</v>
      </c>
      <c r="AD54" s="3" t="n">
        <f aca="false">FTER!E23</f>
        <v>0.81</v>
      </c>
      <c r="AE54" s="3" t="n">
        <f aca="false">FTER!F23</f>
        <v>0.85</v>
      </c>
      <c r="AF54" s="3" t="n">
        <f aca="false">PTER!C23</f>
        <v>0.15</v>
      </c>
      <c r="AG54" s="3" t="n">
        <f aca="false">PTER!D23</f>
        <v>0.13</v>
      </c>
      <c r="AH54" s="3" t="n">
        <f aca="false">PTER!E23</f>
        <v>0.19</v>
      </c>
      <c r="AI54" s="3" t="n">
        <f aca="false">PTER!F23</f>
        <v>0.15</v>
      </c>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R54" s="18"/>
      <c r="CS54" s="18"/>
      <c r="CT54" s="18"/>
      <c r="CU54" s="18"/>
      <c r="CV54" s="18"/>
      <c r="DA54" s="18"/>
      <c r="DB54" s="18"/>
      <c r="DC54" s="18"/>
      <c r="DH54" s="18"/>
      <c r="DI54" s="18"/>
      <c r="DJ54" s="18"/>
      <c r="DK54" s="18"/>
      <c r="DL54" s="3"/>
      <c r="DM54" s="3"/>
      <c r="DN54" s="3"/>
      <c r="DO54" s="3"/>
      <c r="DP54" s="3"/>
      <c r="DQ54" s="3"/>
      <c r="DR54" s="3"/>
      <c r="DS54" s="3"/>
      <c r="DT54" s="3"/>
      <c r="DU54" s="3"/>
      <c r="DV54" s="3"/>
      <c r="DW54" s="3"/>
      <c r="DX54" s="18"/>
      <c r="DY54" s="18"/>
      <c r="DZ54" s="18"/>
      <c r="EA54" s="18"/>
      <c r="EB54" s="18"/>
      <c r="EC54" s="18"/>
      <c r="ED54" s="18"/>
      <c r="EE54" s="18"/>
      <c r="EJ54" s="3"/>
      <c r="EK54" s="3"/>
      <c r="EL54" s="3"/>
      <c r="EM54" s="3"/>
      <c r="EN54" s="3"/>
      <c r="EO54" s="3"/>
      <c r="EP54" s="3"/>
      <c r="EQ54" s="3"/>
    </row>
    <row r="55" customFormat="false" ht="12.8" hidden="false" customHeight="false" outlineLevel="0" collapsed="false">
      <c r="A55" s="17" t="n">
        <v>20</v>
      </c>
      <c r="B55" s="18" t="n">
        <v>71</v>
      </c>
      <c r="C55" s="39" t="s">
        <v>1646</v>
      </c>
      <c r="D55" s="18" t="n">
        <f aca="false">LFPR!C24</f>
        <v>0.58</v>
      </c>
      <c r="E55" s="18" t="n">
        <f aca="false">LFPR!D24</f>
        <v>0.415</v>
      </c>
      <c r="F55" s="18" t="n">
        <f aca="false">LFPR!E24</f>
        <v>0.68</v>
      </c>
      <c r="G55" s="18" t="n">
        <f aca="false">LFPR!F24</f>
        <v>0.58</v>
      </c>
      <c r="H55" s="18" t="n">
        <f aca="false">ETPR!C24</f>
        <v>0.8</v>
      </c>
      <c r="I55" s="18" t="n">
        <f aca="false">ETPR!D24</f>
        <v>0.77</v>
      </c>
      <c r="J55" s="18" t="n">
        <f aca="false">ETPR!E24</f>
        <v>0.84</v>
      </c>
      <c r="K55" s="18" t="n">
        <f aca="false">ETPR!F24</f>
        <v>0.8</v>
      </c>
      <c r="L55" s="18" t="n">
        <f aca="false">U3R!C24</f>
        <v>0.018</v>
      </c>
      <c r="M55" s="18" t="n">
        <f aca="false">U3R!D24</f>
        <v>0.019</v>
      </c>
      <c r="N55" s="18" t="n">
        <f aca="false">U3R!E24</f>
        <v>0.022</v>
      </c>
      <c r="O55" s="18" t="n">
        <f aca="false">U3R!F24</f>
        <v>0.018</v>
      </c>
      <c r="P55" s="18" t="n">
        <f aca="false">U3TPR!C24</f>
        <v>0.0014</v>
      </c>
      <c r="Q55" s="18" t="n">
        <f aca="false">U3TPR!D24</f>
        <v>0.0012</v>
      </c>
      <c r="R55" s="18" t="n">
        <f aca="false">U3TPR!E24</f>
        <v>0.0259</v>
      </c>
      <c r="S55" s="18" t="n">
        <f aca="false">U3TPR!F24</f>
        <v>0.0014</v>
      </c>
      <c r="T55" s="18" t="n">
        <f aca="false">U6R!C24</f>
        <v>0.038</v>
      </c>
      <c r="U55" s="18" t="n">
        <f aca="false">U6R!D24</f>
        <v>0.031</v>
      </c>
      <c r="V55" s="18" t="n">
        <f aca="false">U6R!E24</f>
        <v>0.079</v>
      </c>
      <c r="W55" s="18" t="n">
        <f aca="false">U6R!F24</f>
        <v>0.036</v>
      </c>
      <c r="X55" s="18" t="n">
        <f aca="false">U6TPR!C24</f>
        <v>0.0032</v>
      </c>
      <c r="Y55" s="18" t="n">
        <f aca="false">U6TPR!D24</f>
        <v>0.0026</v>
      </c>
      <c r="Z55" s="18" t="n">
        <f aca="false">U6TPR!E24</f>
        <v>0.0788</v>
      </c>
      <c r="AA55" s="18" t="n">
        <f aca="false">U6TPR!F24</f>
        <v>0.0031</v>
      </c>
      <c r="AB55" s="3" t="n">
        <f aca="false">FTER!C24</f>
        <v>0.7</v>
      </c>
      <c r="AC55" s="3" t="n">
        <f aca="false">FTER!D24</f>
        <v>0.72</v>
      </c>
      <c r="AD55" s="3" t="n">
        <f aca="false">FTER!E24</f>
        <v>0.66</v>
      </c>
      <c r="AE55" s="3" t="n">
        <f aca="false">FTER!F24</f>
        <v>0.7</v>
      </c>
      <c r="AF55" s="3" t="n">
        <f aca="false">PTER!C24</f>
        <v>0.3</v>
      </c>
      <c r="AG55" s="3" t="n">
        <f aca="false">PTER!D24</f>
        <v>0.28</v>
      </c>
      <c r="AH55" s="3" t="n">
        <f aca="false">PTER!E24</f>
        <v>0.34</v>
      </c>
      <c r="AI55" s="3" t="n">
        <f aca="false">PTER!F24</f>
        <v>0.3</v>
      </c>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R55" s="18"/>
      <c r="CS55" s="18"/>
      <c r="CT55" s="18"/>
      <c r="CU55" s="18"/>
      <c r="CV55" s="18"/>
      <c r="DA55" s="18"/>
      <c r="DB55" s="18"/>
      <c r="DC55" s="18"/>
      <c r="DH55" s="18"/>
      <c r="DI55" s="18"/>
      <c r="DJ55" s="18"/>
      <c r="DK55" s="18"/>
      <c r="DL55" s="3"/>
      <c r="DM55" s="3"/>
      <c r="DN55" s="3"/>
      <c r="DO55" s="3"/>
      <c r="DP55" s="3"/>
      <c r="DQ55" s="3"/>
      <c r="DR55" s="3"/>
      <c r="DS55" s="3"/>
      <c r="DT55" s="3"/>
      <c r="DU55" s="3"/>
      <c r="DV55" s="3"/>
      <c r="DW55" s="3"/>
      <c r="DX55" s="18"/>
      <c r="DY55" s="18"/>
      <c r="DZ55" s="18"/>
      <c r="EA55" s="18"/>
      <c r="EB55" s="18"/>
      <c r="EC55" s="18"/>
      <c r="ED55" s="18"/>
      <c r="EE55" s="18"/>
      <c r="EJ55" s="3"/>
      <c r="EK55" s="3"/>
      <c r="EL55" s="3"/>
      <c r="EM55" s="3"/>
      <c r="EN55" s="3"/>
      <c r="EO55" s="3"/>
      <c r="EP55" s="3"/>
      <c r="EQ55" s="3"/>
    </row>
    <row r="56" customFormat="false" ht="12.8" hidden="false" customHeight="false" outlineLevel="0" collapsed="false">
      <c r="A56" s="17" t="n">
        <v>21</v>
      </c>
      <c r="B56" s="18" t="n">
        <v>72</v>
      </c>
      <c r="C56" s="39" t="s">
        <v>1647</v>
      </c>
      <c r="D56" s="18" t="n">
        <f aca="false">LFPR!C25</f>
        <v>0.57</v>
      </c>
      <c r="E56" s="18" t="n">
        <f aca="false">LFPR!D25</f>
        <v>0.41</v>
      </c>
      <c r="F56" s="18" t="n">
        <f aca="false">LFPR!E25</f>
        <v>0.67</v>
      </c>
      <c r="G56" s="18" t="n">
        <f aca="false">LFPR!F25</f>
        <v>0.57</v>
      </c>
      <c r="H56" s="18" t="n">
        <f aca="false">ETPR!C25</f>
        <v>0.79</v>
      </c>
      <c r="I56" s="18" t="n">
        <f aca="false">ETPR!D25</f>
        <v>0.76</v>
      </c>
      <c r="J56" s="18" t="n">
        <f aca="false">ETPR!E25</f>
        <v>0.83</v>
      </c>
      <c r="K56" s="18" t="n">
        <f aca="false">ETPR!F25</f>
        <v>0.79</v>
      </c>
      <c r="L56" s="18" t="n">
        <f aca="false">U3R!C25</f>
        <v>0.045</v>
      </c>
      <c r="M56" s="18" t="n">
        <f aca="false">U3R!D25</f>
        <v>0.048</v>
      </c>
      <c r="N56" s="18" t="n">
        <f aca="false">U3R!E25</f>
        <v>0.062</v>
      </c>
      <c r="O56" s="18" t="n">
        <f aca="false">U3R!F25</f>
        <v>0.042</v>
      </c>
      <c r="P56" s="18" t="n">
        <f aca="false">U3TPR!C25</f>
        <v>0.0113</v>
      </c>
      <c r="Q56" s="18" t="n">
        <f aca="false">U3TPR!D25</f>
        <v>0.0094</v>
      </c>
      <c r="R56" s="18" t="n">
        <f aca="false">U3TPR!E25</f>
        <v>0.0621</v>
      </c>
      <c r="S56" s="18" t="n">
        <f aca="false">U3TPR!F25</f>
        <v>0.011</v>
      </c>
      <c r="T56" s="18" t="n">
        <f aca="false">U6R!C25</f>
        <v>0.095</v>
      </c>
      <c r="U56" s="18" t="n">
        <f aca="false">U6R!D25</f>
        <v>0.078</v>
      </c>
      <c r="V56" s="18" t="n">
        <f aca="false">U6R!E25</f>
        <v>0.188</v>
      </c>
      <c r="W56" s="18" t="n">
        <f aca="false">U6R!F25</f>
        <v>0.091</v>
      </c>
      <c r="X56" s="18" t="n">
        <f aca="false">U6TPR!C25</f>
        <v>0.0251</v>
      </c>
      <c r="Y56" s="18" t="n">
        <f aca="false">U6TPR!D25</f>
        <v>0.0207</v>
      </c>
      <c r="Z56" s="18" t="n">
        <f aca="false">U6TPR!E25</f>
        <v>0.1882</v>
      </c>
      <c r="AA56" s="18" t="n">
        <f aca="false">U6TPR!F25</f>
        <v>0.0244</v>
      </c>
      <c r="AB56" s="3" t="n">
        <f aca="false">FTER!C25</f>
        <v>0.68</v>
      </c>
      <c r="AC56" s="3" t="n">
        <f aca="false">FTER!D25</f>
        <v>0.7</v>
      </c>
      <c r="AD56" s="3" t="n">
        <f aca="false">FTER!E25</f>
        <v>0.64</v>
      </c>
      <c r="AE56" s="3" t="n">
        <f aca="false">FTER!F25</f>
        <v>0.68</v>
      </c>
      <c r="AF56" s="3" t="n">
        <f aca="false">PTER!C25</f>
        <v>0.32</v>
      </c>
      <c r="AG56" s="3" t="n">
        <f aca="false">PTER!D25</f>
        <v>0.3</v>
      </c>
      <c r="AH56" s="3" t="n">
        <f aca="false">PTER!E25</f>
        <v>0.36</v>
      </c>
      <c r="AI56" s="3" t="n">
        <f aca="false">PTER!F25</f>
        <v>0.32</v>
      </c>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R56" s="18"/>
      <c r="CS56" s="18"/>
      <c r="CT56" s="18"/>
      <c r="CU56" s="18"/>
      <c r="CV56" s="18"/>
      <c r="DA56" s="18"/>
      <c r="DB56" s="18"/>
      <c r="DC56" s="18"/>
      <c r="DH56" s="18"/>
      <c r="DI56" s="18"/>
      <c r="DJ56" s="18"/>
      <c r="DK56" s="18"/>
      <c r="DL56" s="3"/>
      <c r="DM56" s="3"/>
      <c r="DN56" s="3"/>
      <c r="DO56" s="3"/>
      <c r="DP56" s="3"/>
      <c r="DQ56" s="3"/>
      <c r="DR56" s="3"/>
      <c r="DS56" s="3"/>
      <c r="DT56" s="3"/>
      <c r="DU56" s="3"/>
      <c r="DV56" s="3"/>
      <c r="DW56" s="3"/>
      <c r="DX56" s="18"/>
      <c r="DY56" s="18"/>
      <c r="DZ56" s="18"/>
      <c r="EA56" s="18"/>
      <c r="EB56" s="18"/>
      <c r="EC56" s="18"/>
      <c r="ED56" s="18"/>
      <c r="EE56" s="18"/>
      <c r="EJ56" s="3"/>
      <c r="EK56" s="3"/>
      <c r="EL56" s="3"/>
      <c r="EM56" s="3"/>
      <c r="EN56" s="3"/>
      <c r="EO56" s="3"/>
      <c r="EP56" s="3"/>
      <c r="EQ56" s="3"/>
    </row>
    <row r="57" customFormat="false" ht="23.85" hidden="false" customHeight="false" outlineLevel="0" collapsed="false">
      <c r="A57" s="17" t="n">
        <v>22</v>
      </c>
      <c r="B57" s="18" t="n">
        <v>81</v>
      </c>
      <c r="C57" s="39" t="s">
        <v>1648</v>
      </c>
      <c r="D57" s="18" t="n">
        <f aca="false">LFPR!C26</f>
        <v>0.56</v>
      </c>
      <c r="E57" s="18" t="n">
        <f aca="false">LFPR!D26</f>
        <v>0.4</v>
      </c>
      <c r="F57" s="18" t="n">
        <f aca="false">LFPR!E26</f>
        <v>0.66</v>
      </c>
      <c r="G57" s="18" t="n">
        <f aca="false">LFPR!F26</f>
        <v>0.56</v>
      </c>
      <c r="H57" s="18" t="n">
        <f aca="false">ETPR!C26</f>
        <v>0.79</v>
      </c>
      <c r="I57" s="18" t="n">
        <f aca="false">ETPR!D26</f>
        <v>0.76</v>
      </c>
      <c r="J57" s="18" t="n">
        <f aca="false">ETPR!E26</f>
        <v>0.83</v>
      </c>
      <c r="K57" s="18" t="n">
        <f aca="false">ETPR!F26</f>
        <v>0.79</v>
      </c>
      <c r="L57" s="18" t="n">
        <f aca="false">U3R!C26</f>
        <v>0.028</v>
      </c>
      <c r="M57" s="18" t="n">
        <f aca="false">U3R!D26</f>
        <v>0.03</v>
      </c>
      <c r="N57" s="18" t="n">
        <f aca="false">U3R!E26</f>
        <v>0.04</v>
      </c>
      <c r="O57" s="18" t="n">
        <f aca="false">U3R!F26</f>
        <v>0.027</v>
      </c>
      <c r="P57" s="18" t="n">
        <f aca="false">U3TPR!C26</f>
        <v>0.0031</v>
      </c>
      <c r="Q57" s="18" t="n">
        <f aca="false">U3TPR!D26</f>
        <v>0.0026</v>
      </c>
      <c r="R57" s="18" t="n">
        <f aca="false">U3TPR!E26</f>
        <v>0.0345</v>
      </c>
      <c r="S57" s="18" t="n">
        <f aca="false">U3TPR!F26</f>
        <v>0.003</v>
      </c>
      <c r="T57" s="18" t="n">
        <f aca="false">U6R!C26</f>
        <v>0.055</v>
      </c>
      <c r="U57" s="18" t="n">
        <f aca="false">U6R!D26</f>
        <v>0.045</v>
      </c>
      <c r="V57" s="18" t="n">
        <f aca="false">U6R!E26</f>
        <v>0.105</v>
      </c>
      <c r="W57" s="18" t="n">
        <f aca="false">U6R!F26</f>
        <v>0.053</v>
      </c>
      <c r="X57" s="18" t="n">
        <f aca="false">U6TPR!C26</f>
        <v>0.0069</v>
      </c>
      <c r="Y57" s="18" t="n">
        <f aca="false">U6TPR!D26</f>
        <v>0.0057</v>
      </c>
      <c r="Z57" s="18" t="n">
        <f aca="false">U6TPR!E26</f>
        <v>0.1046</v>
      </c>
      <c r="AA57" s="18" t="n">
        <f aca="false">U6TPR!F26</f>
        <v>0.0067</v>
      </c>
      <c r="AB57" s="3" t="n">
        <f aca="false">FTER!C26</f>
        <v>0.78</v>
      </c>
      <c r="AC57" s="3" t="n">
        <f aca="false">FTER!D26</f>
        <v>0.8</v>
      </c>
      <c r="AD57" s="3" t="n">
        <f aca="false">FTER!E26</f>
        <v>0.74</v>
      </c>
      <c r="AE57" s="3" t="n">
        <f aca="false">FTER!F26</f>
        <v>0.78</v>
      </c>
      <c r="AF57" s="3" t="n">
        <f aca="false">PTER!C26</f>
        <v>0.22</v>
      </c>
      <c r="AG57" s="3" t="n">
        <f aca="false">PTER!D26</f>
        <v>0.2</v>
      </c>
      <c r="AH57" s="3" t="n">
        <f aca="false">PTER!E26</f>
        <v>0.26</v>
      </c>
      <c r="AI57" s="3" t="n">
        <f aca="false">PTER!F26</f>
        <v>0.22</v>
      </c>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R57" s="18"/>
      <c r="CS57" s="18"/>
      <c r="CT57" s="18"/>
      <c r="CU57" s="18"/>
      <c r="CV57" s="18"/>
      <c r="DA57" s="18"/>
      <c r="DB57" s="18"/>
      <c r="DC57" s="18"/>
      <c r="DH57" s="18"/>
      <c r="DI57" s="18"/>
      <c r="DJ57" s="18"/>
      <c r="DK57" s="18"/>
      <c r="DL57" s="3"/>
      <c r="DM57" s="3"/>
      <c r="DN57" s="3"/>
      <c r="DO57" s="3"/>
      <c r="DP57" s="3"/>
      <c r="DQ57" s="3"/>
      <c r="DR57" s="3"/>
      <c r="DS57" s="3"/>
      <c r="DT57" s="3"/>
      <c r="DU57" s="3"/>
      <c r="DV57" s="3"/>
      <c r="DW57" s="3"/>
      <c r="DX57" s="18"/>
      <c r="DY57" s="18"/>
      <c r="DZ57" s="18"/>
      <c r="EA57" s="18"/>
      <c r="EB57" s="18"/>
      <c r="EC57" s="18"/>
      <c r="ED57" s="18"/>
      <c r="EE57" s="18"/>
      <c r="EJ57" s="3"/>
      <c r="EK57" s="3"/>
      <c r="EL57" s="3"/>
      <c r="EM57" s="3"/>
      <c r="EN57" s="3"/>
      <c r="EO57" s="3"/>
      <c r="EP57" s="3"/>
      <c r="EQ57" s="3"/>
    </row>
    <row r="58" customFormat="false" ht="12.8" hidden="false" customHeight="false" outlineLevel="0" collapsed="false">
      <c r="A58" s="17" t="n">
        <v>23</v>
      </c>
      <c r="B58" s="18" t="n">
        <v>92</v>
      </c>
      <c r="C58" s="18" t="s">
        <v>1649</v>
      </c>
      <c r="D58" s="18" t="n">
        <f aca="false">LFPR!C27</f>
        <v>0.62</v>
      </c>
      <c r="E58" s="18" t="n">
        <f aca="false">LFPR!D27</f>
        <v>0.44</v>
      </c>
      <c r="F58" s="18" t="n">
        <f aca="false">LFPR!E27</f>
        <v>0.72</v>
      </c>
      <c r="G58" s="18" t="n">
        <f aca="false">LFPR!F27</f>
        <v>0.62</v>
      </c>
      <c r="H58" s="18" t="n">
        <f aca="false">ETPR!C27</f>
        <v>0.81</v>
      </c>
      <c r="I58" s="18" t="n">
        <f aca="false">ETPR!D27</f>
        <v>0.78</v>
      </c>
      <c r="J58" s="18" t="n">
        <f aca="false">ETPR!E27</f>
        <v>0.85</v>
      </c>
      <c r="K58" s="18" t="n">
        <f aca="false">ETPR!F27</f>
        <v>0.81</v>
      </c>
      <c r="L58" s="18" t="n">
        <f aca="false">U3R!C27</f>
        <v>0.018</v>
      </c>
      <c r="M58" s="18" t="n">
        <f aca="false">U3R!D27</f>
        <v>0.019</v>
      </c>
      <c r="N58" s="18" t="n">
        <f aca="false">U3R!E27</f>
        <v>0.022</v>
      </c>
      <c r="O58" s="18" t="n">
        <f aca="false">U3R!F27</f>
        <v>0.018</v>
      </c>
      <c r="P58" s="18" t="n">
        <f aca="false">U3TPR!C27</f>
        <v>0.0059</v>
      </c>
      <c r="Q58" s="18" t="n">
        <f aca="false">U3TPR!D27</f>
        <v>0.0049</v>
      </c>
      <c r="R58" s="18" t="n">
        <f aca="false">U3TPR!E27</f>
        <v>0.0386</v>
      </c>
      <c r="S58" s="18" t="n">
        <f aca="false">U3TPR!F27</f>
        <v>0.0057</v>
      </c>
      <c r="T58" s="18" t="n">
        <f aca="false">U6R!C27</f>
        <v>0.038</v>
      </c>
      <c r="U58" s="18" t="n">
        <f aca="false">U6R!D27</f>
        <v>0.031</v>
      </c>
      <c r="V58" s="18" t="n">
        <f aca="false">U6R!E27</f>
        <v>0.117</v>
      </c>
      <c r="W58" s="18" t="n">
        <f aca="false">U6R!F27</f>
        <v>0.036</v>
      </c>
      <c r="X58" s="18" t="n">
        <f aca="false">U6TPR!C27</f>
        <v>0.0131</v>
      </c>
      <c r="Y58" s="18" t="n">
        <f aca="false">U6TPR!D27</f>
        <v>0.0108</v>
      </c>
      <c r="Z58" s="18" t="n">
        <f aca="false">U6TPR!E27</f>
        <v>0.117</v>
      </c>
      <c r="AA58" s="18" t="n">
        <f aca="false">U6TPR!F27</f>
        <v>0.0128</v>
      </c>
      <c r="AB58" s="3" t="n">
        <f aca="false">FTER!C27</f>
        <v>0.88</v>
      </c>
      <c r="AC58" s="3" t="n">
        <f aca="false">FTER!D27</f>
        <v>0.89</v>
      </c>
      <c r="AD58" s="3" t="n">
        <f aca="false">FTER!E27</f>
        <v>0.85</v>
      </c>
      <c r="AE58" s="3" t="n">
        <f aca="false">FTER!F27</f>
        <v>0.88</v>
      </c>
      <c r="AF58" s="3" t="n">
        <f aca="false">PTER!C27</f>
        <v>0.12</v>
      </c>
      <c r="AG58" s="3" t="n">
        <f aca="false">PTER!D27</f>
        <v>0.11</v>
      </c>
      <c r="AH58" s="3" t="n">
        <f aca="false">PTER!E27</f>
        <v>0.15</v>
      </c>
      <c r="AI58" s="3" t="n">
        <f aca="false">PTER!F27</f>
        <v>0.12</v>
      </c>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R58" s="18"/>
      <c r="CS58" s="18"/>
      <c r="CT58" s="18"/>
      <c r="CU58" s="18"/>
      <c r="CV58" s="18"/>
      <c r="DA58" s="18"/>
      <c r="DB58" s="18"/>
      <c r="DC58" s="18"/>
      <c r="DH58" s="18"/>
      <c r="DI58" s="18"/>
      <c r="DJ58" s="18"/>
      <c r="DK58" s="18"/>
      <c r="DL58" s="3"/>
      <c r="DM58" s="3"/>
      <c r="DN58" s="3"/>
      <c r="DO58" s="3"/>
      <c r="DP58" s="3"/>
      <c r="DQ58" s="3"/>
      <c r="DR58" s="3"/>
      <c r="DS58" s="3"/>
      <c r="DT58" s="3"/>
      <c r="DU58" s="3"/>
      <c r="DV58" s="3"/>
      <c r="DW58" s="3"/>
      <c r="DX58" s="18"/>
      <c r="DY58" s="18"/>
      <c r="DZ58" s="18"/>
      <c r="EA58" s="18"/>
      <c r="EB58" s="18"/>
      <c r="EC58" s="18"/>
      <c r="ED58" s="18"/>
      <c r="EE58" s="18"/>
      <c r="EJ58" s="3"/>
      <c r="EK58" s="3"/>
      <c r="EL58" s="3"/>
      <c r="EM58" s="3"/>
      <c r="EN58" s="3"/>
      <c r="EO58" s="3"/>
      <c r="EP58" s="3"/>
      <c r="EQ58" s="3"/>
    </row>
    <row r="62" customFormat="false" ht="12.8" hidden="false" customHeight="false" outlineLevel="0" collapsed="false">
      <c r="A62" s="14" t="str">
        <f aca="false">_xlfn.CONCAT($A$1,".","LFCOMP")</f>
        <v>LSD.RID.0.AL.CALC.LFCOMP</v>
      </c>
      <c r="B62" s="5" t="s">
        <v>1701</v>
      </c>
    </row>
    <row r="63" customFormat="false" ht="12.8" hidden="false" customHeight="false" outlineLevel="0" collapsed="false">
      <c r="A63" s="40" t="s">
        <v>1597</v>
      </c>
      <c r="B63" s="40"/>
      <c r="C63" s="40"/>
      <c r="D63" s="5" t="s">
        <v>1702</v>
      </c>
      <c r="E63" s="5"/>
      <c r="F63" s="5"/>
      <c r="G63" s="5"/>
      <c r="H63" s="41" t="s">
        <v>1703</v>
      </c>
      <c r="I63" s="41"/>
      <c r="J63" s="41"/>
      <c r="K63" s="41" t="s">
        <v>1704</v>
      </c>
      <c r="L63" s="41"/>
      <c r="M63" s="41"/>
      <c r="N63" s="41" t="s">
        <v>1705</v>
      </c>
      <c r="O63" s="41"/>
      <c r="P63" s="41"/>
      <c r="Q63" s="41" t="s">
        <v>1706</v>
      </c>
      <c r="R63" s="41"/>
      <c r="S63" s="41"/>
      <c r="T63" s="5" t="s">
        <v>1707</v>
      </c>
      <c r="U63" s="5"/>
      <c r="V63" s="5"/>
      <c r="W63" s="5"/>
      <c r="X63" s="41" t="s">
        <v>1708</v>
      </c>
      <c r="Y63" s="41"/>
      <c r="Z63" s="41"/>
      <c r="AA63" s="41" t="s">
        <v>1709</v>
      </c>
      <c r="AB63" s="41"/>
      <c r="AC63" s="41"/>
      <c r="AD63" s="41" t="s">
        <v>1710</v>
      </c>
      <c r="AE63" s="41"/>
      <c r="AF63" s="41"/>
      <c r="AG63" s="41" t="s">
        <v>1711</v>
      </c>
      <c r="AH63" s="41"/>
      <c r="AI63" s="41"/>
      <c r="AJ63" s="36" t="s">
        <v>1712</v>
      </c>
      <c r="AK63" s="36"/>
      <c r="AL63" s="36"/>
      <c r="AM63" s="36"/>
      <c r="AN63" s="36" t="s">
        <v>1713</v>
      </c>
      <c r="AO63" s="36"/>
      <c r="AP63" s="36"/>
      <c r="AQ63" s="36"/>
      <c r="AR63" s="36" t="s">
        <v>1714</v>
      </c>
      <c r="AS63" s="36"/>
      <c r="AT63" s="36"/>
      <c r="AU63" s="36"/>
      <c r="AV63" s="31"/>
      <c r="AW63" s="31"/>
      <c r="AX63" s="31"/>
      <c r="AY63" s="31"/>
      <c r="BC63" s="31"/>
      <c r="BD63" s="18"/>
      <c r="BE63" s="18"/>
      <c r="BF63" s="18"/>
      <c r="BG63" s="18"/>
      <c r="BH63" s="18"/>
      <c r="BI63" s="18"/>
      <c r="BJ63" s="18"/>
      <c r="BK63" s="18"/>
      <c r="BT63" s="3"/>
      <c r="BU63" s="3"/>
      <c r="BV63" s="3"/>
      <c r="BW63" s="3"/>
      <c r="BX63" s="3"/>
      <c r="BY63" s="3"/>
      <c r="BZ63" s="3"/>
      <c r="CA63" s="3"/>
      <c r="CF63" s="3"/>
      <c r="CG63" s="3"/>
      <c r="CH63" s="3"/>
      <c r="CI63" s="3"/>
      <c r="CJ63" s="3"/>
      <c r="CK63" s="3"/>
      <c r="CL63" s="3"/>
      <c r="CM63" s="3"/>
      <c r="CV63" s="18"/>
      <c r="CW63" s="18"/>
      <c r="CX63" s="18"/>
      <c r="CY63" s="18"/>
      <c r="DH63" s="18"/>
      <c r="DI63" s="18"/>
      <c r="DJ63" s="18"/>
      <c r="DK63" s="18"/>
      <c r="DP63" s="3"/>
      <c r="DQ63" s="3"/>
      <c r="DR63" s="3"/>
      <c r="DS63" s="3"/>
      <c r="DT63" s="3"/>
      <c r="DU63" s="3"/>
      <c r="DV63" s="3"/>
      <c r="DW63" s="3"/>
    </row>
    <row r="64" customFormat="false" ht="23.85" hidden="false" customHeight="false" outlineLevel="0" collapsed="false">
      <c r="A64" s="14" t="s">
        <v>99</v>
      </c>
      <c r="B64" s="22" t="s">
        <v>1603</v>
      </c>
      <c r="C64" s="22" t="s">
        <v>1604</v>
      </c>
      <c r="D64" s="22" t="s">
        <v>1715</v>
      </c>
      <c r="E64" s="22" t="s">
        <v>1716</v>
      </c>
      <c r="F64" s="22" t="s">
        <v>1717</v>
      </c>
      <c r="G64" s="22" t="s">
        <v>1718</v>
      </c>
      <c r="H64" s="33" t="s">
        <v>1719</v>
      </c>
      <c r="I64" s="33" t="s">
        <v>1720</v>
      </c>
      <c r="J64" s="33" t="s">
        <v>1721</v>
      </c>
      <c r="K64" s="34" t="s">
        <v>1722</v>
      </c>
      <c r="L64" s="33" t="s">
        <v>1723</v>
      </c>
      <c r="M64" s="33" t="s">
        <v>1724</v>
      </c>
      <c r="N64" s="33" t="s">
        <v>1725</v>
      </c>
      <c r="O64" s="33" t="s">
        <v>1726</v>
      </c>
      <c r="P64" s="33" t="s">
        <v>1727</v>
      </c>
      <c r="Q64" s="33" t="s">
        <v>1728</v>
      </c>
      <c r="R64" s="33" t="s">
        <v>1729</v>
      </c>
      <c r="S64" s="33" t="s">
        <v>1730</v>
      </c>
      <c r="T64" s="22" t="s">
        <v>1731</v>
      </c>
      <c r="U64" s="22" t="s">
        <v>1732</v>
      </c>
      <c r="V64" s="22" t="s">
        <v>1733</v>
      </c>
      <c r="W64" s="22" t="s">
        <v>1734</v>
      </c>
      <c r="X64" s="33" t="s">
        <v>1735</v>
      </c>
      <c r="Y64" s="33" t="s">
        <v>1736</v>
      </c>
      <c r="Z64" s="33" t="s">
        <v>1737</v>
      </c>
      <c r="AA64" s="34" t="s">
        <v>1738</v>
      </c>
      <c r="AB64" s="33" t="s">
        <v>1739</v>
      </c>
      <c r="AC64" s="33" t="s">
        <v>1740</v>
      </c>
      <c r="AD64" s="33" t="s">
        <v>1741</v>
      </c>
      <c r="AE64" s="33" t="s">
        <v>1742</v>
      </c>
      <c r="AF64" s="33" t="s">
        <v>1743</v>
      </c>
      <c r="AG64" s="33" t="s">
        <v>1744</v>
      </c>
      <c r="AH64" s="33" t="s">
        <v>1745</v>
      </c>
      <c r="AI64" s="33" t="s">
        <v>1746</v>
      </c>
      <c r="AJ64" s="22" t="s">
        <v>1747</v>
      </c>
      <c r="AK64" s="22" t="s">
        <v>1748</v>
      </c>
      <c r="AL64" s="22" t="s">
        <v>1749</v>
      </c>
      <c r="AM64" s="22" t="s">
        <v>1750</v>
      </c>
      <c r="AN64" s="22" t="s">
        <v>1751</v>
      </c>
      <c r="AO64" s="22" t="s">
        <v>1752</v>
      </c>
      <c r="AP64" s="22" t="s">
        <v>1753</v>
      </c>
      <c r="AQ64" s="22" t="s">
        <v>1754</v>
      </c>
      <c r="AR64" s="22" t="s">
        <v>1755</v>
      </c>
      <c r="AS64" s="22" t="s">
        <v>1756</v>
      </c>
      <c r="AT64" s="22" t="s">
        <v>1757</v>
      </c>
      <c r="AU64" s="22" t="s">
        <v>1758</v>
      </c>
      <c r="AV64" s="31"/>
      <c r="AW64" s="31"/>
      <c r="AX64" s="31"/>
      <c r="AY64" s="31"/>
      <c r="BC64" s="31"/>
      <c r="BD64" s="18"/>
      <c r="BE64" s="18"/>
      <c r="BF64" s="18"/>
      <c r="BG64" s="18"/>
      <c r="BH64" s="18"/>
      <c r="BI64" s="18"/>
      <c r="BJ64" s="18"/>
      <c r="BK64" s="18"/>
      <c r="BT64" s="3"/>
      <c r="BU64" s="3"/>
      <c r="BV64" s="3"/>
      <c r="BW64" s="3"/>
      <c r="BX64" s="3"/>
      <c r="BY64" s="3"/>
      <c r="BZ64" s="3"/>
      <c r="CA64" s="3"/>
      <c r="CF64" s="3"/>
      <c r="CG64" s="3"/>
      <c r="CH64" s="3"/>
      <c r="CI64" s="3"/>
      <c r="CJ64" s="3"/>
      <c r="CK64" s="3"/>
      <c r="CL64" s="3"/>
      <c r="CM64" s="3"/>
      <c r="CV64" s="18"/>
      <c r="CW64" s="18"/>
      <c r="CX64" s="18"/>
      <c r="CY64" s="18"/>
      <c r="DH64" s="18"/>
      <c r="DI64" s="18"/>
      <c r="DJ64" s="18"/>
      <c r="DK64" s="18"/>
      <c r="DP64" s="3"/>
      <c r="DQ64" s="3"/>
      <c r="DR64" s="3"/>
      <c r="DS64" s="3"/>
      <c r="DT64" s="3"/>
      <c r="DU64" s="3"/>
      <c r="DV64" s="3"/>
      <c r="DW64" s="3"/>
    </row>
    <row r="65" customFormat="false" ht="12.8" hidden="false" customHeight="false" outlineLevel="0" collapsed="false">
      <c r="A65" s="17" t="n">
        <v>0</v>
      </c>
      <c r="B65" s="18" t="s">
        <v>1625</v>
      </c>
      <c r="C65" s="18" t="s">
        <v>1626</v>
      </c>
      <c r="D65" s="18" t="n">
        <f aca="false">WAVG!C4</f>
        <v>31.96</v>
      </c>
      <c r="E65" s="18" t="n">
        <f aca="false">WAVG!D4</f>
        <v>32.68</v>
      </c>
      <c r="F65" s="18" t="n">
        <f aca="false">WAVG!E4</f>
        <v>25.57</v>
      </c>
      <c r="G65" s="18" t="n">
        <f aca="false">WAVG!F4</f>
        <v>32.12</v>
      </c>
      <c r="H65" s="31" t="n">
        <f aca="false">WRAVG!C4</f>
        <v>15</v>
      </c>
      <c r="I65" s="31" t="n">
        <f aca="false">WRAVG!D4</f>
        <v>55</v>
      </c>
      <c r="J65" s="31" t="n">
        <f aca="false">WRAVG!E4</f>
        <v>31.96</v>
      </c>
      <c r="K65" s="31" t="n">
        <f aca="false">WRAVG!F4</f>
        <v>15.75</v>
      </c>
      <c r="L65" s="31" t="n">
        <f aca="false">WRAVG!G4</f>
        <v>58.3</v>
      </c>
      <c r="M65" s="31" t="n">
        <f aca="false">WRAVG!H4</f>
        <v>32.68</v>
      </c>
      <c r="N65" s="31" t="n">
        <f aca="false">WRAVG!I4</f>
        <v>10.5</v>
      </c>
      <c r="O65" s="31" t="n">
        <f aca="false">WRAVG!J4</f>
        <v>44</v>
      </c>
      <c r="P65" s="31" t="n">
        <f aca="false">WRAVG!K4</f>
        <v>25.57</v>
      </c>
      <c r="Q65" s="31" t="n">
        <f aca="false">WRAVG!L4</f>
        <v>15.2</v>
      </c>
      <c r="R65" s="31" t="n">
        <f aca="false">WRAVG!M4</f>
        <v>55.6</v>
      </c>
      <c r="S65" s="31" t="n">
        <f aca="false">WRAVG!N4</f>
        <v>32.12</v>
      </c>
      <c r="T65" s="42" t="n">
        <f aca="false">AIAVG!C4</f>
        <v>66477</v>
      </c>
      <c r="U65" s="42" t="n">
        <f aca="false">AIAVG!D4</f>
        <v>68064</v>
      </c>
      <c r="V65" s="42" t="n">
        <f aca="false">AIAVG!E4</f>
        <v>46534</v>
      </c>
      <c r="W65" s="42" t="n">
        <f aca="false">AIAVG!F4</f>
        <v>66857</v>
      </c>
      <c r="X65" s="42" t="n">
        <f aca="false">AIRAVG!C4</f>
        <v>31200</v>
      </c>
      <c r="Y65" s="42" t="n">
        <f aca="false">AIRAVG!D4</f>
        <v>114400</v>
      </c>
      <c r="Z65" s="42" t="n">
        <f aca="false">AIRAVG!E4</f>
        <v>66476</v>
      </c>
      <c r="AA65" s="42" t="n">
        <f aca="false">AIRAVG!F4</f>
        <v>32760</v>
      </c>
      <c r="AB65" s="42" t="n">
        <f aca="false">AIRAVG!G4</f>
        <v>121064</v>
      </c>
      <c r="AC65" s="42" t="n">
        <f aca="false">AIRAVG!H4</f>
        <v>69678</v>
      </c>
      <c r="AD65" s="42" t="n">
        <f aca="false">AIRAVG!I4</f>
        <v>21840</v>
      </c>
      <c r="AE65" s="42" t="n">
        <f aca="false">AIRAVG!J4</f>
        <v>91520</v>
      </c>
      <c r="AF65" s="42" t="n">
        <f aca="false">AIRAVG!K4</f>
        <v>53181</v>
      </c>
      <c r="AG65" s="42" t="n">
        <f aca="false">AIRAVG!L4</f>
        <v>31500</v>
      </c>
      <c r="AH65" s="42" t="n">
        <f aca="false">AIRAVG!M4</f>
        <v>115904</v>
      </c>
      <c r="AI65" s="42" t="n">
        <f aca="false">AIRAVG!N4</f>
        <v>67020</v>
      </c>
      <c r="AJ65" s="3" t="n">
        <f aca="false">AWHW!C4</f>
        <v>38.8</v>
      </c>
      <c r="AK65" s="3" t="n">
        <f aca="false">AWHW!D4</f>
        <v>39.2</v>
      </c>
      <c r="AL65" s="3" t="n">
        <f aca="false">AWHW!E4</f>
        <v>38.5</v>
      </c>
      <c r="AM65" s="3" t="n">
        <f aca="false">AWHW!F4</f>
        <v>38.7</v>
      </c>
      <c r="AR65" s="31"/>
      <c r="AS65" s="31"/>
      <c r="AT65" s="31"/>
      <c r="AU65" s="32"/>
      <c r="AV65" s="31"/>
      <c r="AW65" s="31"/>
      <c r="AX65" s="31"/>
      <c r="AY65" s="31"/>
      <c r="BC65" s="31"/>
      <c r="BD65" s="18"/>
      <c r="BE65" s="18"/>
      <c r="BF65" s="18"/>
      <c r="BG65" s="18"/>
      <c r="BH65" s="18"/>
      <c r="BI65" s="18"/>
      <c r="BJ65" s="18"/>
      <c r="BK65" s="18"/>
      <c r="BT65" s="3"/>
      <c r="BU65" s="3"/>
      <c r="BV65" s="3"/>
      <c r="BW65" s="3"/>
      <c r="BX65" s="3"/>
      <c r="BY65" s="3"/>
      <c r="BZ65" s="3"/>
      <c r="CA65" s="3"/>
      <c r="CF65" s="3"/>
      <c r="CG65" s="3"/>
      <c r="CH65" s="3"/>
      <c r="CI65" s="3"/>
      <c r="CJ65" s="3"/>
      <c r="CK65" s="3"/>
      <c r="CL65" s="3"/>
      <c r="CM65" s="3"/>
      <c r="CV65" s="18"/>
      <c r="CW65" s="18"/>
      <c r="CX65" s="18"/>
      <c r="CY65" s="18"/>
      <c r="DH65" s="18"/>
      <c r="DI65" s="18"/>
      <c r="DJ65" s="18"/>
      <c r="DK65" s="18"/>
      <c r="DP65" s="3"/>
      <c r="DQ65" s="3"/>
      <c r="DR65" s="3"/>
      <c r="DS65" s="3"/>
      <c r="DT65" s="3"/>
      <c r="DU65" s="3"/>
      <c r="DV65" s="3"/>
      <c r="DW65" s="3"/>
    </row>
    <row r="66" customFormat="false" ht="23.85" hidden="false" customHeight="false" outlineLevel="0" collapsed="false">
      <c r="A66" s="17" t="n">
        <v>1</v>
      </c>
      <c r="B66" s="18" t="n">
        <v>11</v>
      </c>
      <c r="C66" s="39" t="s">
        <v>1627</v>
      </c>
      <c r="D66" s="18" t="n">
        <f aca="false">WAVG!C5</f>
        <v>18.5</v>
      </c>
      <c r="E66" s="18" t="n">
        <f aca="false">WAVG!D5</f>
        <v>19.42</v>
      </c>
      <c r="F66" s="18" t="n">
        <f aca="false">WAVG!E5</f>
        <v>14.8</v>
      </c>
      <c r="G66" s="18" t="n">
        <f aca="false">WAVG!F5</f>
        <v>18.72</v>
      </c>
      <c r="H66" s="31" t="n">
        <f aca="false">WRAVG!C5</f>
        <v>10.2</v>
      </c>
      <c r="I66" s="31" t="n">
        <f aca="false">WRAVG!D5</f>
        <v>28.5</v>
      </c>
      <c r="J66" s="31" t="n">
        <f aca="false">WRAVG!E5</f>
        <v>18.5</v>
      </c>
      <c r="K66" s="31" t="n">
        <f aca="false">WRAVG!F5</f>
        <v>10.71</v>
      </c>
      <c r="L66" s="31" t="n">
        <f aca="false">WRAVG!G5</f>
        <v>30.02</v>
      </c>
      <c r="M66" s="31" t="n">
        <f aca="false">WRAVG!H5</f>
        <v>19.42</v>
      </c>
      <c r="N66" s="31" t="n">
        <f aca="false">WRAVG!I5</f>
        <v>7.14</v>
      </c>
      <c r="O66" s="31" t="n">
        <f aca="false">WRAVG!J5</f>
        <v>22.8</v>
      </c>
      <c r="P66" s="31" t="n">
        <f aca="false">WRAVG!K5</f>
        <v>14.8</v>
      </c>
      <c r="Q66" s="31" t="n">
        <f aca="false">WRAVG!L5</f>
        <v>10.3</v>
      </c>
      <c r="R66" s="31" t="n">
        <f aca="false">WRAVG!M5</f>
        <v>28.8</v>
      </c>
      <c r="S66" s="31" t="n">
        <f aca="false">WRAVG!N5</f>
        <v>18.72</v>
      </c>
      <c r="T66" s="42" t="n">
        <f aca="false">AIAVG!C5</f>
        <v>35150</v>
      </c>
      <c r="U66" s="42" t="n">
        <f aca="false">AIAVG!D5</f>
        <v>36105</v>
      </c>
      <c r="V66" s="42" t="n">
        <f aca="false">AIAVG!E5</f>
        <v>22848</v>
      </c>
      <c r="W66" s="42" t="n">
        <f aca="false">AIAVG!F5</f>
        <v>35301</v>
      </c>
      <c r="X66" s="42" t="n">
        <f aca="false">AIRAVG!C5</f>
        <v>20400</v>
      </c>
      <c r="Y66" s="42" t="n">
        <f aca="false">AIRAVG!D5</f>
        <v>57000</v>
      </c>
      <c r="Z66" s="42" t="n">
        <f aca="false">AIRAVG!E5</f>
        <v>38500</v>
      </c>
      <c r="AA66" s="42" t="n">
        <f aca="false">AIRAVG!F5</f>
        <v>21420</v>
      </c>
      <c r="AB66" s="42" t="n">
        <f aca="false">AIRAVG!G5</f>
        <v>60040</v>
      </c>
      <c r="AC66" s="42" t="n">
        <f aca="false">AIRAVG!H5</f>
        <v>40735</v>
      </c>
      <c r="AD66" s="42" t="n">
        <f aca="false">AIRAVG!I5</f>
        <v>14280</v>
      </c>
      <c r="AE66" s="42" t="n">
        <f aca="false">AIRAVG!J5</f>
        <v>45600</v>
      </c>
      <c r="AF66" s="42" t="n">
        <f aca="false">AIRAVG!K5</f>
        <v>29940</v>
      </c>
      <c r="AG66" s="42" t="n">
        <f aca="false">AIRAVG!L5</f>
        <v>20600</v>
      </c>
      <c r="AH66" s="42" t="n">
        <f aca="false">AIRAVG!M5</f>
        <v>57600</v>
      </c>
      <c r="AI66" s="42" t="n">
        <f aca="false">AIRAVG!N5</f>
        <v>38900</v>
      </c>
      <c r="AJ66" s="3" t="n">
        <f aca="false">AWHW!C5</f>
        <v>42.5</v>
      </c>
      <c r="AK66" s="3" t="n">
        <f aca="false">AWHW!D5</f>
        <v>41.8</v>
      </c>
      <c r="AL66" s="3" t="n">
        <f aca="false">AWHW!E5</f>
        <v>44</v>
      </c>
      <c r="AM66" s="3" t="n">
        <f aca="false">AWHW!F5</f>
        <v>42.3</v>
      </c>
      <c r="AR66" s="31"/>
      <c r="AS66" s="31"/>
      <c r="AT66" s="31"/>
      <c r="AU66" s="32"/>
      <c r="AV66" s="31"/>
      <c r="AW66" s="31"/>
      <c r="AX66" s="31"/>
      <c r="AY66" s="31"/>
      <c r="BC66" s="31"/>
      <c r="BD66" s="18"/>
      <c r="BE66" s="18"/>
      <c r="BF66" s="18"/>
      <c r="BG66" s="18"/>
      <c r="BH66" s="18"/>
      <c r="BI66" s="18"/>
      <c r="BJ66" s="18"/>
      <c r="BK66" s="18"/>
      <c r="BT66" s="3"/>
      <c r="BU66" s="3"/>
      <c r="BV66" s="3"/>
      <c r="BW66" s="3"/>
      <c r="BX66" s="3"/>
      <c r="BY66" s="3"/>
      <c r="BZ66" s="3"/>
      <c r="CA66" s="3"/>
      <c r="CF66" s="3"/>
      <c r="CG66" s="3"/>
      <c r="CH66" s="3"/>
      <c r="CI66" s="3"/>
      <c r="CJ66" s="3"/>
      <c r="CK66" s="3"/>
      <c r="CL66" s="3"/>
      <c r="CM66" s="3"/>
      <c r="CV66" s="18"/>
      <c r="CW66" s="18"/>
      <c r="CX66" s="18"/>
      <c r="CY66" s="18"/>
      <c r="DH66" s="18"/>
      <c r="DI66" s="18"/>
      <c r="DJ66" s="18"/>
      <c r="DK66" s="18"/>
      <c r="DP66" s="3"/>
      <c r="DQ66" s="3"/>
      <c r="DR66" s="3"/>
      <c r="DS66" s="3"/>
      <c r="DT66" s="3"/>
      <c r="DU66" s="3"/>
      <c r="DV66" s="3"/>
      <c r="DW66" s="3"/>
    </row>
    <row r="67" customFormat="false" ht="23.85" hidden="false" customHeight="false" outlineLevel="0" collapsed="false">
      <c r="A67" s="17" t="n">
        <v>2</v>
      </c>
      <c r="B67" s="18" t="n">
        <v>21</v>
      </c>
      <c r="C67" s="39" t="s">
        <v>1628</v>
      </c>
      <c r="D67" s="18" t="n">
        <f aca="false">WAVG!C6</f>
        <v>35.2</v>
      </c>
      <c r="E67" s="18" t="n">
        <f aca="false">WAVG!D6</f>
        <v>36.01</v>
      </c>
      <c r="F67" s="18" t="n">
        <f aca="false">WAVG!E6</f>
        <v>29.92</v>
      </c>
      <c r="G67" s="18" t="n">
        <f aca="false">WAVG!F6</f>
        <v>35.45</v>
      </c>
      <c r="H67" s="31" t="n">
        <f aca="false">WRAVG!C6</f>
        <v>18.5</v>
      </c>
      <c r="I67" s="31" t="n">
        <f aca="false">WRAVG!D6</f>
        <v>65</v>
      </c>
      <c r="J67" s="31" t="n">
        <f aca="false">WRAVG!E6</f>
        <v>35.2</v>
      </c>
      <c r="K67" s="31" t="n">
        <f aca="false">WRAVG!F6</f>
        <v>19.43</v>
      </c>
      <c r="L67" s="31" t="n">
        <f aca="false">WRAVG!G6</f>
        <v>68.9</v>
      </c>
      <c r="M67" s="31" t="n">
        <f aca="false">WRAVG!H6</f>
        <v>36.01</v>
      </c>
      <c r="N67" s="31" t="n">
        <f aca="false">WRAVG!I6</f>
        <v>12.95</v>
      </c>
      <c r="O67" s="31" t="n">
        <f aca="false">WRAVG!J6</f>
        <v>52</v>
      </c>
      <c r="P67" s="31" t="n">
        <f aca="false">WRAVG!K6</f>
        <v>29.92</v>
      </c>
      <c r="Q67" s="31" t="n">
        <f aca="false">WRAVG!L6</f>
        <v>18.7</v>
      </c>
      <c r="R67" s="31" t="n">
        <f aca="false">WRAVG!M6</f>
        <v>65.7</v>
      </c>
      <c r="S67" s="31" t="n">
        <f aca="false">WRAVG!N6</f>
        <v>35.45</v>
      </c>
      <c r="T67" s="42" t="n">
        <f aca="false">AIAVG!C6</f>
        <v>73500</v>
      </c>
      <c r="U67" s="42" t="n">
        <f aca="false">AIAVG!D6</f>
        <v>76440</v>
      </c>
      <c r="V67" s="42" t="n">
        <f aca="false">AIAVG!E6</f>
        <v>55125</v>
      </c>
      <c r="W67" s="42" t="n">
        <f aca="false">AIAVG!F6</f>
        <v>73926</v>
      </c>
      <c r="X67" s="42" t="n">
        <f aca="false">AIRAVG!C6</f>
        <v>37000</v>
      </c>
      <c r="Y67" s="42" t="n">
        <f aca="false">AIRAVG!D6</f>
        <v>130000</v>
      </c>
      <c r="Z67" s="42" t="n">
        <f aca="false">AIRAVG!E6</f>
        <v>72800</v>
      </c>
      <c r="AA67" s="42" t="n">
        <f aca="false">AIRAVG!F6</f>
        <v>38860</v>
      </c>
      <c r="AB67" s="42" t="n">
        <f aca="false">AIRAVG!G6</f>
        <v>137800</v>
      </c>
      <c r="AC67" s="42" t="n">
        <f aca="false">AIRAVG!H6</f>
        <v>76440</v>
      </c>
      <c r="AD67" s="42" t="n">
        <f aca="false">AIRAVG!I6</f>
        <v>25900</v>
      </c>
      <c r="AE67" s="42" t="n">
        <f aca="false">AIRAVG!J6</f>
        <v>104000</v>
      </c>
      <c r="AF67" s="42" t="n">
        <f aca="false">AIRAVG!K6</f>
        <v>58120</v>
      </c>
      <c r="AG67" s="42" t="n">
        <f aca="false">AIRAVG!L6</f>
        <v>37400</v>
      </c>
      <c r="AH67" s="42" t="n">
        <f aca="false">AIRAVG!M6</f>
        <v>131400</v>
      </c>
      <c r="AI67" s="42" t="n">
        <f aca="false">AIRAVG!N6</f>
        <v>73300</v>
      </c>
      <c r="AJ67" s="3" t="n">
        <f aca="false">AWHW!C6</f>
        <v>44</v>
      </c>
      <c r="AK67" s="3" t="n">
        <f aca="false">AWHW!D6</f>
        <v>43.5</v>
      </c>
      <c r="AL67" s="3" t="n">
        <f aca="false">AWHW!E6</f>
        <v>45.2</v>
      </c>
      <c r="AM67" s="3" t="n">
        <f aca="false">AWHW!F6</f>
        <v>43.8</v>
      </c>
      <c r="AR67" s="31"/>
      <c r="AS67" s="31"/>
      <c r="AT67" s="31"/>
      <c r="AU67" s="32"/>
      <c r="AV67" s="31"/>
      <c r="AW67" s="31"/>
      <c r="AX67" s="31"/>
      <c r="AY67" s="31"/>
      <c r="BC67" s="31"/>
      <c r="BD67" s="18"/>
      <c r="BE67" s="18"/>
      <c r="BF67" s="18"/>
      <c r="BG67" s="18"/>
      <c r="BH67" s="18"/>
      <c r="BI67" s="18"/>
      <c r="BJ67" s="18"/>
      <c r="BK67" s="18"/>
      <c r="BT67" s="3"/>
      <c r="BU67" s="3"/>
      <c r="BV67" s="3"/>
      <c r="BW67" s="3"/>
      <c r="BX67" s="3"/>
      <c r="BY67" s="3"/>
      <c r="BZ67" s="3"/>
      <c r="CA67" s="3"/>
      <c r="CF67" s="3"/>
      <c r="CG67" s="3"/>
      <c r="CH67" s="3"/>
      <c r="CI67" s="3"/>
      <c r="CJ67" s="3"/>
      <c r="CK67" s="3"/>
      <c r="CL67" s="3"/>
      <c r="CM67" s="3"/>
      <c r="CV67" s="18"/>
      <c r="CW67" s="18"/>
      <c r="CX67" s="18"/>
      <c r="CY67" s="18"/>
      <c r="DH67" s="18"/>
      <c r="DI67" s="18"/>
      <c r="DJ67" s="18"/>
      <c r="DK67" s="18"/>
      <c r="DP67" s="3"/>
      <c r="DQ67" s="3"/>
      <c r="DR67" s="3"/>
      <c r="DS67" s="3"/>
      <c r="DT67" s="3"/>
      <c r="DU67" s="3"/>
      <c r="DV67" s="3"/>
      <c r="DW67" s="3"/>
    </row>
    <row r="68" customFormat="false" ht="12.8" hidden="false" customHeight="false" outlineLevel="0" collapsed="false">
      <c r="A68" s="21" t="n">
        <v>3</v>
      </c>
      <c r="B68" s="3" t="n">
        <v>22</v>
      </c>
      <c r="C68" s="3" t="s">
        <v>1629</v>
      </c>
      <c r="D68" s="18" t="n">
        <f aca="false">WAVG!C7</f>
        <v>42.8</v>
      </c>
      <c r="E68" s="18" t="n">
        <f aca="false">WAVG!D7</f>
        <v>43.66</v>
      </c>
      <c r="F68" s="18" t="n">
        <f aca="false">WAVG!E7</f>
        <v>36.38</v>
      </c>
      <c r="G68" s="18" t="n">
        <f aca="false">WAVG!F7</f>
        <v>43.12</v>
      </c>
      <c r="H68" s="31" t="n">
        <f aca="false">WRAVG!C7</f>
        <v>22</v>
      </c>
      <c r="I68" s="31" t="n">
        <f aca="false">WRAVG!D7</f>
        <v>78</v>
      </c>
      <c r="J68" s="31" t="n">
        <f aca="false">WRAVG!E7</f>
        <v>42.8</v>
      </c>
      <c r="K68" s="31" t="n">
        <f aca="false">WRAVG!F7</f>
        <v>23.1</v>
      </c>
      <c r="L68" s="31" t="n">
        <f aca="false">WRAVG!G7</f>
        <v>82.68</v>
      </c>
      <c r="M68" s="31" t="n">
        <f aca="false">WRAVG!H7</f>
        <v>43.66</v>
      </c>
      <c r="N68" s="31" t="n">
        <f aca="false">WRAVG!I7</f>
        <v>15.4</v>
      </c>
      <c r="O68" s="31" t="n">
        <f aca="false">WRAVG!J7</f>
        <v>62.4</v>
      </c>
      <c r="P68" s="31" t="n">
        <f aca="false">WRAVG!K7</f>
        <v>36.38</v>
      </c>
      <c r="Q68" s="31" t="n">
        <f aca="false">WRAVG!L7</f>
        <v>22.2</v>
      </c>
      <c r="R68" s="31" t="n">
        <f aca="false">WRAVG!M7</f>
        <v>78.8</v>
      </c>
      <c r="S68" s="31" t="n">
        <f aca="false">WRAVG!N7</f>
        <v>43.12</v>
      </c>
      <c r="T68" s="42" t="n">
        <f aca="false">AIAVG!C7</f>
        <v>83200</v>
      </c>
      <c r="U68" s="42" t="n">
        <f aca="false">AIAVG!D7</f>
        <v>84864</v>
      </c>
      <c r="V68" s="42" t="n">
        <f aca="false">AIAVG!E7</f>
        <v>66560</v>
      </c>
      <c r="W68" s="42" t="n">
        <f aca="false">AIAVG!F7</f>
        <v>83392</v>
      </c>
      <c r="X68" s="42" t="n">
        <f aca="false">AIRAVG!C7</f>
        <v>44000</v>
      </c>
      <c r="Y68" s="42" t="n">
        <f aca="false">AIRAVG!D7</f>
        <v>156000</v>
      </c>
      <c r="Z68" s="42" t="n">
        <f aca="false">AIRAVG!E7</f>
        <v>89024</v>
      </c>
      <c r="AA68" s="42" t="n">
        <f aca="false">AIRAVG!F7</f>
        <v>46200</v>
      </c>
      <c r="AB68" s="42" t="n">
        <f aca="false">AIRAVG!G7</f>
        <v>165360</v>
      </c>
      <c r="AC68" s="42" t="n">
        <f aca="false">AIRAVG!H7</f>
        <v>93475</v>
      </c>
      <c r="AD68" s="42" t="n">
        <f aca="false">AIRAVG!I7</f>
        <v>30800</v>
      </c>
      <c r="AE68" s="42" t="n">
        <f aca="false">AIRAVG!J7</f>
        <v>124800</v>
      </c>
      <c r="AF68" s="42" t="n">
        <f aca="false">AIRAVG!K7</f>
        <v>62300</v>
      </c>
      <c r="AG68" s="42" t="n">
        <f aca="false">AIRAVG!L7</f>
        <v>44400</v>
      </c>
      <c r="AH68" s="42" t="n">
        <f aca="false">AIRAVG!M7</f>
        <v>157600</v>
      </c>
      <c r="AI68" s="42" t="n">
        <f aca="false">AIRAVG!N7</f>
        <v>89600</v>
      </c>
      <c r="AJ68" s="3" t="n">
        <f aca="false">AWHW!C7</f>
        <v>40</v>
      </c>
      <c r="AK68" s="3" t="n">
        <f aca="false">AWHW!D7</f>
        <v>40.5</v>
      </c>
      <c r="AL68" s="3" t="n">
        <f aca="false">AWHW!E7</f>
        <v>39</v>
      </c>
      <c r="AM68" s="3" t="n">
        <f aca="false">AWHW!F7</f>
        <v>40.1</v>
      </c>
      <c r="AR68" s="31"/>
      <c r="AS68" s="31"/>
      <c r="AT68" s="31"/>
      <c r="AU68" s="32"/>
      <c r="AV68" s="31"/>
      <c r="AW68" s="31"/>
      <c r="AX68" s="31"/>
      <c r="AY68" s="31"/>
      <c r="BC68" s="31"/>
      <c r="BD68" s="18"/>
      <c r="BE68" s="18"/>
      <c r="BF68" s="18"/>
      <c r="BG68" s="18"/>
      <c r="BH68" s="18"/>
      <c r="BI68" s="18"/>
      <c r="BJ68" s="18"/>
      <c r="BK68" s="18"/>
      <c r="BT68" s="3"/>
      <c r="BU68" s="3"/>
      <c r="BV68" s="3"/>
      <c r="BW68" s="3"/>
      <c r="BX68" s="3"/>
      <c r="BY68" s="3"/>
      <c r="BZ68" s="3"/>
      <c r="CA68" s="3"/>
      <c r="CF68" s="3"/>
      <c r="CG68" s="3"/>
      <c r="CH68" s="3"/>
      <c r="CI68" s="3"/>
      <c r="CJ68" s="3"/>
      <c r="CK68" s="3"/>
      <c r="CL68" s="3"/>
      <c r="CM68" s="3"/>
      <c r="CV68" s="18"/>
      <c r="CW68" s="18"/>
      <c r="CX68" s="18"/>
      <c r="CY68" s="18"/>
      <c r="DH68" s="18"/>
      <c r="DI68" s="18"/>
      <c r="DJ68" s="18"/>
      <c r="DK68" s="18"/>
      <c r="DP68" s="3"/>
      <c r="DQ68" s="3"/>
      <c r="DR68" s="3"/>
      <c r="DS68" s="3"/>
      <c r="DT68" s="3"/>
      <c r="DU68" s="3"/>
      <c r="DV68" s="3"/>
      <c r="DW68" s="3"/>
    </row>
    <row r="69" customFormat="false" ht="12.8" hidden="false" customHeight="false" outlineLevel="0" collapsed="false">
      <c r="A69" s="21" t="n">
        <v>4</v>
      </c>
      <c r="B69" s="3" t="n">
        <v>23</v>
      </c>
      <c r="C69" s="3" t="s">
        <v>1630</v>
      </c>
      <c r="D69" s="18" t="n">
        <f aca="false">WAVG!C8</f>
        <v>28.4</v>
      </c>
      <c r="E69" s="18" t="n">
        <f aca="false">WAVG!D8</f>
        <v>29.79</v>
      </c>
      <c r="F69" s="18" t="n">
        <f aca="false">WAVG!E8</f>
        <v>22.72</v>
      </c>
      <c r="G69" s="18" t="n">
        <f aca="false">WAVG!F8</f>
        <v>28.65</v>
      </c>
      <c r="H69" s="31" t="n">
        <f aca="false">WRAVG!C8</f>
        <v>14.8</v>
      </c>
      <c r="I69" s="31" t="n">
        <f aca="false">WRAVG!D8</f>
        <v>52</v>
      </c>
      <c r="J69" s="31" t="n">
        <f aca="false">WRAVG!E8</f>
        <v>28.4</v>
      </c>
      <c r="K69" s="31" t="n">
        <f aca="false">WRAVG!F8</f>
        <v>15.54</v>
      </c>
      <c r="L69" s="31" t="n">
        <f aca="false">WRAVG!G8</f>
        <v>55.12</v>
      </c>
      <c r="M69" s="31" t="n">
        <f aca="false">WRAVG!H8</f>
        <v>29.79</v>
      </c>
      <c r="N69" s="31" t="n">
        <f aca="false">WRAVG!I8</f>
        <v>10.36</v>
      </c>
      <c r="O69" s="31" t="n">
        <f aca="false">WRAVG!J8</f>
        <v>41.6</v>
      </c>
      <c r="P69" s="31" t="n">
        <f aca="false">WRAVG!K8</f>
        <v>22.72</v>
      </c>
      <c r="Q69" s="31" t="n">
        <f aca="false">WRAVG!L8</f>
        <v>14.95</v>
      </c>
      <c r="R69" s="31" t="n">
        <f aca="false">WRAVG!M8</f>
        <v>52.6</v>
      </c>
      <c r="S69" s="31" t="n">
        <f aca="false">WRAVG!N8</f>
        <v>28.65</v>
      </c>
      <c r="T69" s="42" t="n">
        <f aca="false">AIAVG!C8</f>
        <v>57400</v>
      </c>
      <c r="U69" s="42" t="n">
        <f aca="false">AIAVG!D8</f>
        <v>59122</v>
      </c>
      <c r="V69" s="42" t="n">
        <f aca="false">AIAVG!E8</f>
        <v>40180</v>
      </c>
      <c r="W69" s="42" t="n">
        <f aca="false">AIAVG!F8</f>
        <v>57687</v>
      </c>
      <c r="X69" s="42" t="n">
        <f aca="false">AIRAVG!C8</f>
        <v>29600</v>
      </c>
      <c r="Y69" s="42" t="n">
        <f aca="false">AIRAVG!D8</f>
        <v>104000</v>
      </c>
      <c r="Z69" s="42" t="n">
        <f aca="false">AIRAVG!E8</f>
        <v>56800</v>
      </c>
      <c r="AA69" s="42" t="n">
        <f aca="false">AIRAVG!F8</f>
        <v>31080</v>
      </c>
      <c r="AB69" s="42" t="n">
        <f aca="false">AIRAVG!G8</f>
        <v>110240</v>
      </c>
      <c r="AC69" s="42" t="n">
        <f aca="false">AIRAVG!H8</f>
        <v>59640</v>
      </c>
      <c r="AD69" s="42" t="n">
        <f aca="false">AIRAVG!I8</f>
        <v>20720</v>
      </c>
      <c r="AE69" s="42" t="n">
        <f aca="false">AIRAVG!J8</f>
        <v>83200</v>
      </c>
      <c r="AF69" s="42" t="n">
        <f aca="false">AIRAVG!K8</f>
        <v>41440</v>
      </c>
      <c r="AG69" s="42" t="n">
        <f aca="false">AIRAVG!L8</f>
        <v>29900</v>
      </c>
      <c r="AH69" s="42" t="n">
        <f aca="false">AIRAVG!M8</f>
        <v>105200</v>
      </c>
      <c r="AI69" s="42" t="n">
        <f aca="false">AIRAVG!N8</f>
        <v>57400</v>
      </c>
      <c r="AJ69" s="3" t="n">
        <f aca="false">AWHW!C8</f>
        <v>41.2</v>
      </c>
      <c r="AK69" s="3" t="n">
        <f aca="false">AWHW!D8</f>
        <v>40.5</v>
      </c>
      <c r="AL69" s="3" t="n">
        <f aca="false">AWHW!E8</f>
        <v>43</v>
      </c>
      <c r="AM69" s="3" t="n">
        <f aca="false">AWHW!F8</f>
        <v>41</v>
      </c>
      <c r="AR69" s="31"/>
      <c r="AS69" s="31"/>
      <c r="AT69" s="31"/>
      <c r="AU69" s="32"/>
      <c r="AV69" s="31"/>
      <c r="AW69" s="31"/>
      <c r="AX69" s="31"/>
      <c r="AY69" s="31"/>
      <c r="BC69" s="31"/>
      <c r="BD69" s="18"/>
      <c r="BE69" s="18"/>
      <c r="BF69" s="18"/>
      <c r="BG69" s="18"/>
      <c r="BH69" s="18"/>
      <c r="BI69" s="18"/>
      <c r="BJ69" s="18"/>
      <c r="BK69" s="18"/>
      <c r="BT69" s="3"/>
      <c r="BU69" s="3"/>
      <c r="BV69" s="3"/>
      <c r="BW69" s="3"/>
      <c r="BX69" s="3"/>
      <c r="BY69" s="3"/>
      <c r="BZ69" s="3"/>
      <c r="CA69" s="3"/>
      <c r="CF69" s="3"/>
      <c r="CG69" s="3"/>
      <c r="CH69" s="3"/>
      <c r="CI69" s="3"/>
      <c r="CJ69" s="3"/>
      <c r="CK69" s="3"/>
      <c r="CL69" s="3"/>
      <c r="CM69" s="3"/>
      <c r="CV69" s="18"/>
      <c r="CW69" s="18"/>
      <c r="CX69" s="18"/>
      <c r="CY69" s="18"/>
      <c r="DH69" s="18"/>
      <c r="DI69" s="18"/>
      <c r="DJ69" s="18"/>
      <c r="DK69" s="18"/>
      <c r="DP69" s="3"/>
      <c r="DQ69" s="3"/>
      <c r="DR69" s="3"/>
      <c r="DS69" s="3"/>
      <c r="DT69" s="3"/>
      <c r="DU69" s="3"/>
      <c r="DV69" s="3"/>
      <c r="DW69" s="3"/>
    </row>
    <row r="70" customFormat="false" ht="12.8" hidden="false" customHeight="false" outlineLevel="0" collapsed="false">
      <c r="A70" s="21" t="n">
        <v>5</v>
      </c>
      <c r="B70" s="3" t="n">
        <v>31</v>
      </c>
      <c r="C70" s="39" t="s">
        <v>1631</v>
      </c>
      <c r="D70" s="18" t="n">
        <f aca="false">WAVG!C9</f>
        <v>24.1</v>
      </c>
      <c r="E70" s="18" t="n">
        <f aca="false">WAVG!D9</f>
        <v>25.3</v>
      </c>
      <c r="F70" s="18" t="n">
        <f aca="false">WAVG!E9</f>
        <v>19.28</v>
      </c>
      <c r="G70" s="18" t="n">
        <f aca="false">WAVG!F9</f>
        <v>24.35</v>
      </c>
      <c r="H70" s="31" t="n">
        <f aca="false">WRAVG!C9</f>
        <v>13.5</v>
      </c>
      <c r="I70" s="31" t="n">
        <f aca="false">WRAVG!D9</f>
        <v>42</v>
      </c>
      <c r="J70" s="31" t="n">
        <f aca="false">WRAVG!E9</f>
        <v>24.1</v>
      </c>
      <c r="K70" s="31" t="n">
        <f aca="false">WRAVG!F9</f>
        <v>14.18</v>
      </c>
      <c r="L70" s="31" t="n">
        <f aca="false">WRAVG!G9</f>
        <v>44.52</v>
      </c>
      <c r="M70" s="31" t="n">
        <f aca="false">WRAVG!H9</f>
        <v>25.3</v>
      </c>
      <c r="N70" s="31" t="n">
        <f aca="false">WRAVG!I9</f>
        <v>9.45</v>
      </c>
      <c r="O70" s="31" t="n">
        <f aca="false">WRAVG!J9</f>
        <v>33.6</v>
      </c>
      <c r="P70" s="31" t="n">
        <f aca="false">WRAVG!K9</f>
        <v>19.28</v>
      </c>
      <c r="Q70" s="31" t="n">
        <f aca="false">WRAVG!L9</f>
        <v>13.65</v>
      </c>
      <c r="R70" s="31" t="n">
        <f aca="false">WRAVG!M9</f>
        <v>42.4</v>
      </c>
      <c r="S70" s="31" t="n">
        <f aca="false">WRAVG!N9</f>
        <v>24.35</v>
      </c>
      <c r="T70" s="42" t="n">
        <f aca="false">AIAVG!C9</f>
        <v>64000</v>
      </c>
      <c r="U70" s="42" t="n">
        <f aca="false">AIAVG!D9</f>
        <v>65280</v>
      </c>
      <c r="V70" s="42" t="n">
        <f aca="false">AIAVG!E9</f>
        <v>46080</v>
      </c>
      <c r="W70" s="42" t="n">
        <f aca="false">AIAVG!F9</f>
        <v>64128</v>
      </c>
      <c r="X70" s="42" t="n">
        <f aca="false">AIRAVG!C9</f>
        <v>27000</v>
      </c>
      <c r="Y70" s="42" t="n">
        <f aca="false">AIRAVG!D9</f>
        <v>84000</v>
      </c>
      <c r="Z70" s="42" t="n">
        <f aca="false">AIRAVG!E9</f>
        <v>50080</v>
      </c>
      <c r="AA70" s="42" t="n">
        <f aca="false">AIRAVG!F9</f>
        <v>28360</v>
      </c>
      <c r="AB70" s="42" t="n">
        <f aca="false">AIRAVG!G9</f>
        <v>89040</v>
      </c>
      <c r="AC70" s="42" t="n">
        <f aca="false">AIRAVG!H9</f>
        <v>52684</v>
      </c>
      <c r="AD70" s="42" t="n">
        <f aca="false">AIRAVG!I9</f>
        <v>18900</v>
      </c>
      <c r="AE70" s="42" t="n">
        <f aca="false">AIRAVG!J9</f>
        <v>67200</v>
      </c>
      <c r="AF70" s="42" t="n">
        <f aca="false">AIRAVG!K9</f>
        <v>40064</v>
      </c>
      <c r="AG70" s="42" t="n">
        <f aca="false">AIRAVG!L9</f>
        <v>27300</v>
      </c>
      <c r="AH70" s="42" t="n">
        <f aca="false">AIRAVG!M9</f>
        <v>84800</v>
      </c>
      <c r="AI70" s="42" t="n">
        <f aca="false">AIRAVG!N9</f>
        <v>50500</v>
      </c>
      <c r="AJ70" s="3" t="n">
        <f aca="false">AWHW!C9</f>
        <v>40.8</v>
      </c>
      <c r="AK70" s="3" t="n">
        <f aca="false">AWHW!D9</f>
        <v>40.2</v>
      </c>
      <c r="AL70" s="3" t="n">
        <f aca="false">AWHW!E9</f>
        <v>42</v>
      </c>
      <c r="AM70" s="3" t="n">
        <f aca="false">AWHW!F9</f>
        <v>40.6</v>
      </c>
      <c r="AR70" s="31"/>
      <c r="AS70" s="31"/>
      <c r="AT70" s="31"/>
      <c r="AU70" s="32"/>
      <c r="AV70" s="31"/>
      <c r="AW70" s="31"/>
      <c r="AX70" s="31"/>
      <c r="AY70" s="31"/>
      <c r="BC70" s="31"/>
      <c r="BD70" s="18"/>
      <c r="BE70" s="18"/>
      <c r="BF70" s="18"/>
      <c r="BG70" s="18"/>
      <c r="BH70" s="18"/>
      <c r="BI70" s="18"/>
      <c r="BJ70" s="18"/>
      <c r="BK70" s="18"/>
      <c r="BT70" s="3"/>
      <c r="BU70" s="3"/>
      <c r="BV70" s="3"/>
      <c r="BW70" s="3"/>
      <c r="BX70" s="3"/>
      <c r="BY70" s="3"/>
      <c r="BZ70" s="3"/>
      <c r="CA70" s="3"/>
      <c r="CF70" s="3"/>
      <c r="CG70" s="3"/>
      <c r="CH70" s="3"/>
      <c r="CI70" s="3"/>
      <c r="CJ70" s="3"/>
      <c r="CK70" s="3"/>
      <c r="CL70" s="3"/>
      <c r="CM70" s="3"/>
      <c r="CV70" s="18"/>
      <c r="CW70" s="18"/>
      <c r="CX70" s="18"/>
      <c r="CY70" s="18"/>
      <c r="DH70" s="18"/>
      <c r="DI70" s="18"/>
      <c r="DJ70" s="18"/>
      <c r="DK70" s="18"/>
      <c r="DP70" s="3"/>
      <c r="DQ70" s="3"/>
      <c r="DR70" s="3"/>
      <c r="DS70" s="3"/>
      <c r="DT70" s="3"/>
      <c r="DU70" s="3"/>
      <c r="DV70" s="3"/>
      <c r="DW70" s="3"/>
    </row>
    <row r="71" customFormat="false" ht="23.85" hidden="false" customHeight="false" outlineLevel="0" collapsed="false">
      <c r="A71" s="21" t="n">
        <v>6</v>
      </c>
      <c r="B71" s="3" t="n">
        <v>32</v>
      </c>
      <c r="C71" s="39" t="s">
        <v>1632</v>
      </c>
      <c r="D71" s="18" t="n">
        <f aca="false">WAVG!C10</f>
        <v>26.5</v>
      </c>
      <c r="E71" s="18" t="n">
        <f aca="false">WAVG!D10</f>
        <v>27.83</v>
      </c>
      <c r="F71" s="18" t="n">
        <f aca="false">WAVG!E10</f>
        <v>21.2</v>
      </c>
      <c r="G71" s="18" t="n">
        <f aca="false">WAVG!F10</f>
        <v>26.78</v>
      </c>
      <c r="H71" s="31" t="n">
        <f aca="false">WRAVG!C10</f>
        <v>15</v>
      </c>
      <c r="I71" s="31" t="n">
        <f aca="false">WRAVG!D10</f>
        <v>48</v>
      </c>
      <c r="J71" s="31" t="n">
        <f aca="false">WRAVG!E10</f>
        <v>26.5</v>
      </c>
      <c r="K71" s="31" t="n">
        <f aca="false">WRAVG!F10</f>
        <v>15.75</v>
      </c>
      <c r="L71" s="31" t="n">
        <f aca="false">WRAVG!G10</f>
        <v>50.88</v>
      </c>
      <c r="M71" s="31" t="n">
        <f aca="false">WRAVG!H10</f>
        <v>27.83</v>
      </c>
      <c r="N71" s="31" t="n">
        <f aca="false">WRAVG!I10</f>
        <v>10.5</v>
      </c>
      <c r="O71" s="31" t="n">
        <f aca="false">WRAVG!J10</f>
        <v>38.4</v>
      </c>
      <c r="P71" s="31" t="n">
        <f aca="false">WRAVG!K10</f>
        <v>21.2</v>
      </c>
      <c r="Q71" s="31" t="n">
        <f aca="false">WRAVG!L10</f>
        <v>15.15</v>
      </c>
      <c r="R71" s="31" t="n">
        <f aca="false">WRAVG!M10</f>
        <v>48.5</v>
      </c>
      <c r="S71" s="31" t="n">
        <f aca="false">WRAVG!N10</f>
        <v>26.78</v>
      </c>
      <c r="T71" s="42" t="n">
        <f aca="false">AIAVG!C10</f>
        <v>60000</v>
      </c>
      <c r="U71" s="42" t="n">
        <f aca="false">AIAVG!D10</f>
        <v>61200</v>
      </c>
      <c r="V71" s="42" t="n">
        <f aca="false">AIAVG!E10</f>
        <v>43200</v>
      </c>
      <c r="W71" s="42" t="n">
        <f aca="false">AIAVG!F10</f>
        <v>60120</v>
      </c>
      <c r="X71" s="42" t="n">
        <f aca="false">AIRAVG!C10</f>
        <v>30000</v>
      </c>
      <c r="Y71" s="42" t="n">
        <f aca="false">AIRAVG!D10</f>
        <v>96000</v>
      </c>
      <c r="Z71" s="42" t="n">
        <f aca="false">AIRAVG!E10</f>
        <v>55120</v>
      </c>
      <c r="AA71" s="42" t="n">
        <f aca="false">AIRAVG!F10</f>
        <v>31500</v>
      </c>
      <c r="AB71" s="42" t="n">
        <f aca="false">AIRAVG!G10</f>
        <v>101760</v>
      </c>
      <c r="AC71" s="42" t="n">
        <f aca="false">AIRAVG!H10</f>
        <v>57976</v>
      </c>
      <c r="AD71" s="42" t="n">
        <f aca="false">AIRAVG!I10</f>
        <v>21000</v>
      </c>
      <c r="AE71" s="42" t="n">
        <f aca="false">AIRAVG!J10</f>
        <v>76800</v>
      </c>
      <c r="AF71" s="42" t="n">
        <f aca="false">AIRAVG!K10</f>
        <v>44096</v>
      </c>
      <c r="AG71" s="42" t="n">
        <f aca="false">AIRAVG!L10</f>
        <v>30300</v>
      </c>
      <c r="AH71" s="42" t="n">
        <f aca="false">AIRAVG!M10</f>
        <v>97000</v>
      </c>
      <c r="AI71" s="42" t="n">
        <f aca="false">AIRAVG!N10</f>
        <v>55600</v>
      </c>
      <c r="AJ71" s="3" t="n">
        <f aca="false">AWHW!C10</f>
        <v>41.5</v>
      </c>
      <c r="AK71" s="3" t="n">
        <f aca="false">AWHW!D10</f>
        <v>41</v>
      </c>
      <c r="AL71" s="3" t="n">
        <f aca="false">AWHW!E10</f>
        <v>42.5</v>
      </c>
      <c r="AM71" s="3" t="n">
        <f aca="false">AWHW!F10</f>
        <v>41.3</v>
      </c>
      <c r="AR71" s="31"/>
      <c r="AS71" s="31"/>
      <c r="AT71" s="31"/>
      <c r="AU71" s="32"/>
      <c r="AV71" s="31"/>
      <c r="AW71" s="31"/>
      <c r="AX71" s="31"/>
      <c r="AY71" s="31"/>
      <c r="BC71" s="31"/>
      <c r="BD71" s="18"/>
      <c r="BE71" s="18"/>
      <c r="BF71" s="18"/>
      <c r="BG71" s="18"/>
      <c r="BH71" s="18"/>
      <c r="BI71" s="18"/>
      <c r="BJ71" s="18"/>
      <c r="BK71" s="18"/>
      <c r="BT71" s="3"/>
      <c r="BU71" s="3"/>
      <c r="BV71" s="3"/>
      <c r="BW71" s="3"/>
      <c r="BX71" s="3"/>
      <c r="BY71" s="3"/>
      <c r="BZ71" s="3"/>
      <c r="CA71" s="3"/>
      <c r="CF71" s="3"/>
      <c r="CG71" s="3"/>
      <c r="CH71" s="3"/>
      <c r="CI71" s="3"/>
      <c r="CJ71" s="3"/>
      <c r="CK71" s="3"/>
      <c r="CL71" s="3"/>
      <c r="CM71" s="3"/>
      <c r="CV71" s="18"/>
      <c r="CW71" s="18"/>
      <c r="CX71" s="18"/>
      <c r="CY71" s="18"/>
      <c r="DH71" s="18"/>
      <c r="DI71" s="18"/>
      <c r="DJ71" s="18"/>
      <c r="DK71" s="18"/>
      <c r="DP71" s="3"/>
      <c r="DQ71" s="3"/>
      <c r="DR71" s="3"/>
      <c r="DS71" s="3"/>
      <c r="DT71" s="3"/>
      <c r="DU71" s="3"/>
      <c r="DV71" s="3"/>
      <c r="DW71" s="3"/>
    </row>
    <row r="72" customFormat="false" ht="23.85" hidden="false" customHeight="false" outlineLevel="0" collapsed="false">
      <c r="A72" s="21" t="n">
        <v>7</v>
      </c>
      <c r="B72" s="3" t="n">
        <v>33</v>
      </c>
      <c r="C72" s="39" t="s">
        <v>1633</v>
      </c>
      <c r="D72" s="18" t="n">
        <f aca="false">WAVG!C11</f>
        <v>32.9</v>
      </c>
      <c r="E72" s="18" t="n">
        <f aca="false">WAVG!D11</f>
        <v>34.55</v>
      </c>
      <c r="F72" s="18" t="n">
        <f aca="false">WAVG!E11</f>
        <v>26.32</v>
      </c>
      <c r="G72" s="18" t="n">
        <f aca="false">WAVG!F11</f>
        <v>33.23</v>
      </c>
      <c r="H72" s="31" t="n">
        <f aca="false">WRAVG!C11</f>
        <v>18</v>
      </c>
      <c r="I72" s="31" t="n">
        <f aca="false">WRAVG!D11</f>
        <v>58</v>
      </c>
      <c r="J72" s="31" t="n">
        <f aca="false">WRAVG!E11</f>
        <v>32.9</v>
      </c>
      <c r="K72" s="31" t="n">
        <f aca="false">WRAVG!F11</f>
        <v>18.9</v>
      </c>
      <c r="L72" s="31" t="n">
        <f aca="false">WRAVG!G11</f>
        <v>61.48</v>
      </c>
      <c r="M72" s="31" t="n">
        <f aca="false">WRAVG!H11</f>
        <v>34.55</v>
      </c>
      <c r="N72" s="31" t="n">
        <f aca="false">WRAVG!I11</f>
        <v>12.6</v>
      </c>
      <c r="O72" s="31" t="n">
        <f aca="false">WRAVG!J11</f>
        <v>46.4</v>
      </c>
      <c r="P72" s="31" t="n">
        <f aca="false">WRAVG!K11</f>
        <v>26.32</v>
      </c>
      <c r="Q72" s="31" t="n">
        <f aca="false">WRAVG!L11</f>
        <v>18.2</v>
      </c>
      <c r="R72" s="31" t="n">
        <f aca="false">WRAVG!M11</f>
        <v>58.6</v>
      </c>
      <c r="S72" s="31" t="n">
        <f aca="false">WRAVG!N11</f>
        <v>33.23</v>
      </c>
      <c r="T72" s="42" t="n">
        <f aca="false">AIAVG!C11</f>
        <v>73500</v>
      </c>
      <c r="U72" s="42" t="n">
        <f aca="false">AIAVG!D11</f>
        <v>74970</v>
      </c>
      <c r="V72" s="42" t="n">
        <f aca="false">AIAVG!E11</f>
        <v>55125</v>
      </c>
      <c r="W72" s="42" t="n">
        <f aca="false">AIAVG!F11</f>
        <v>73755</v>
      </c>
      <c r="X72" s="42" t="n">
        <f aca="false">AIRAVG!C11</f>
        <v>36000</v>
      </c>
      <c r="Y72" s="42" t="n">
        <f aca="false">AIRAVG!D11</f>
        <v>116000</v>
      </c>
      <c r="Z72" s="42" t="n">
        <f aca="false">AIRAVG!E11</f>
        <v>68432</v>
      </c>
      <c r="AA72" s="42" t="n">
        <f aca="false">AIRAVG!F11</f>
        <v>37800</v>
      </c>
      <c r="AB72" s="42" t="n">
        <f aca="false">AIRAVG!G11</f>
        <v>122960</v>
      </c>
      <c r="AC72" s="42" t="n">
        <f aca="false">AIRAVG!H11</f>
        <v>71954</v>
      </c>
      <c r="AD72" s="42" t="n">
        <f aca="false">AIRAVG!I11</f>
        <v>25200</v>
      </c>
      <c r="AE72" s="42" t="n">
        <f aca="false">AIRAVG!J11</f>
        <v>92800</v>
      </c>
      <c r="AF72" s="42" t="n">
        <f aca="false">AIRAVG!K11</f>
        <v>54746</v>
      </c>
      <c r="AG72" s="42" t="n">
        <f aca="false">AIRAVG!L11</f>
        <v>36400</v>
      </c>
      <c r="AH72" s="42" t="n">
        <f aca="false">AIRAVG!M11</f>
        <v>117200</v>
      </c>
      <c r="AI72" s="42" t="n">
        <f aca="false">AIRAVG!N11</f>
        <v>69000</v>
      </c>
      <c r="AJ72" s="3" t="n">
        <f aca="false">AWHW!C11</f>
        <v>42</v>
      </c>
      <c r="AK72" s="3" t="n">
        <f aca="false">AWHW!D11</f>
        <v>41.8</v>
      </c>
      <c r="AL72" s="3" t="n">
        <f aca="false">AWHW!E11</f>
        <v>43.2</v>
      </c>
      <c r="AM72" s="3" t="n">
        <f aca="false">AWHW!F11</f>
        <v>41.9</v>
      </c>
      <c r="AR72" s="31"/>
      <c r="AS72" s="31"/>
      <c r="AT72" s="31"/>
      <c r="AU72" s="32"/>
      <c r="AV72" s="31"/>
      <c r="AW72" s="31"/>
      <c r="AX72" s="31"/>
      <c r="AY72" s="31"/>
      <c r="BC72" s="31"/>
      <c r="BD72" s="18"/>
      <c r="BE72" s="18"/>
      <c r="BF72" s="18"/>
      <c r="BG72" s="18"/>
      <c r="BH72" s="18"/>
      <c r="BI72" s="18"/>
      <c r="BJ72" s="18"/>
      <c r="BK72" s="18"/>
      <c r="BT72" s="3"/>
      <c r="BU72" s="3"/>
      <c r="BV72" s="3"/>
      <c r="BW72" s="3"/>
      <c r="BX72" s="3"/>
      <c r="BY72" s="3"/>
      <c r="BZ72" s="3"/>
      <c r="CA72" s="3"/>
      <c r="CF72" s="3"/>
      <c r="CG72" s="3"/>
      <c r="CH72" s="3"/>
      <c r="CI72" s="3"/>
      <c r="CJ72" s="3"/>
      <c r="CK72" s="3"/>
      <c r="CL72" s="3"/>
      <c r="CM72" s="3"/>
      <c r="CV72" s="18"/>
      <c r="CW72" s="18"/>
      <c r="CX72" s="18"/>
      <c r="CY72" s="18"/>
      <c r="DH72" s="18"/>
      <c r="DI72" s="18"/>
      <c r="DJ72" s="18"/>
      <c r="DK72" s="18"/>
      <c r="DP72" s="3"/>
      <c r="DQ72" s="3"/>
      <c r="DR72" s="3"/>
      <c r="DS72" s="3"/>
      <c r="DT72" s="3"/>
      <c r="DU72" s="3"/>
      <c r="DV72" s="3"/>
      <c r="DW72" s="3"/>
    </row>
    <row r="73" customFormat="false" ht="12.8" hidden="false" customHeight="false" outlineLevel="0" collapsed="false">
      <c r="A73" s="21" t="n">
        <v>8</v>
      </c>
      <c r="B73" s="3" t="n">
        <v>42</v>
      </c>
      <c r="C73" s="3" t="s">
        <v>1634</v>
      </c>
      <c r="D73" s="18" t="n">
        <f aca="false">WAVG!C12</f>
        <v>30.2</v>
      </c>
      <c r="E73" s="18" t="n">
        <f aca="false">WAVG!D12</f>
        <v>31.71</v>
      </c>
      <c r="F73" s="18" t="n">
        <f aca="false">WAVG!E12</f>
        <v>24.16</v>
      </c>
      <c r="G73" s="18" t="n">
        <f aca="false">WAVG!F12</f>
        <v>30.5</v>
      </c>
      <c r="H73" s="31" t="n">
        <f aca="false">WRAVG!C12</f>
        <v>16.8</v>
      </c>
      <c r="I73" s="31" t="n">
        <f aca="false">WRAVG!D12</f>
        <v>55</v>
      </c>
      <c r="J73" s="31" t="n">
        <f aca="false">WRAVG!E12</f>
        <v>30.2</v>
      </c>
      <c r="K73" s="31" t="n">
        <f aca="false">WRAVG!F12</f>
        <v>17.64</v>
      </c>
      <c r="L73" s="31" t="n">
        <f aca="false">WRAVG!G12</f>
        <v>58.3</v>
      </c>
      <c r="M73" s="31" t="n">
        <f aca="false">WRAVG!H12</f>
        <v>31.71</v>
      </c>
      <c r="N73" s="31" t="n">
        <f aca="false">WRAVG!I12</f>
        <v>11.76</v>
      </c>
      <c r="O73" s="31" t="n">
        <f aca="false">WRAVG!J12</f>
        <v>44</v>
      </c>
      <c r="P73" s="31" t="n">
        <f aca="false">WRAVG!K12</f>
        <v>24.16</v>
      </c>
      <c r="Q73" s="31" t="n">
        <f aca="false">WRAVG!L12</f>
        <v>17</v>
      </c>
      <c r="R73" s="31" t="n">
        <f aca="false">WRAVG!M12</f>
        <v>55.6</v>
      </c>
      <c r="S73" s="31" t="n">
        <f aca="false">WRAVG!N12</f>
        <v>30.5</v>
      </c>
      <c r="T73" s="42" t="n">
        <f aca="false">AIAVG!C12</f>
        <v>65600</v>
      </c>
      <c r="U73" s="42" t="n">
        <f aca="false">AIAVG!D12</f>
        <v>66584</v>
      </c>
      <c r="V73" s="42" t="n">
        <f aca="false">AIAVG!E12</f>
        <v>51168</v>
      </c>
      <c r="W73" s="42" t="n">
        <f aca="false">AIAVG!F12</f>
        <v>65752</v>
      </c>
      <c r="X73" s="42" t="n">
        <f aca="false">AIRAVG!C12</f>
        <v>33600</v>
      </c>
      <c r="Y73" s="42" t="n">
        <f aca="false">AIRAVG!D12</f>
        <v>110000</v>
      </c>
      <c r="Z73" s="42" t="n">
        <f aca="false">AIRAVG!E12</f>
        <v>60400</v>
      </c>
      <c r="AA73" s="42" t="n">
        <f aca="false">AIRAVG!F12</f>
        <v>35280</v>
      </c>
      <c r="AB73" s="42" t="n">
        <f aca="false">AIRAVG!G12</f>
        <v>116600</v>
      </c>
      <c r="AC73" s="42" t="n">
        <f aca="false">AIRAVG!H12</f>
        <v>63520</v>
      </c>
      <c r="AD73" s="42" t="n">
        <f aca="false">AIRAVG!I12</f>
        <v>23520</v>
      </c>
      <c r="AE73" s="42" t="n">
        <f aca="false">AIRAVG!J12</f>
        <v>88000</v>
      </c>
      <c r="AF73" s="42" t="n">
        <f aca="false">AIRAVG!K12</f>
        <v>47040</v>
      </c>
      <c r="AG73" s="42" t="n">
        <f aca="false">AIRAVG!L12</f>
        <v>34000</v>
      </c>
      <c r="AH73" s="42" t="n">
        <f aca="false">AIRAVG!M12</f>
        <v>111200</v>
      </c>
      <c r="AI73" s="42" t="n">
        <f aca="false">AIRAVG!N12</f>
        <v>60800</v>
      </c>
      <c r="AJ73" s="3" t="n">
        <f aca="false">AWHW!C12</f>
        <v>39.5</v>
      </c>
      <c r="AK73" s="3" t="n">
        <f aca="false">AWHW!D12</f>
        <v>39.8</v>
      </c>
      <c r="AL73" s="3" t="n">
        <f aca="false">AWHW!E12</f>
        <v>38.5</v>
      </c>
      <c r="AM73" s="3" t="n">
        <f aca="false">AWHW!F12</f>
        <v>39.4</v>
      </c>
      <c r="AR73" s="31"/>
      <c r="AS73" s="31"/>
      <c r="AT73" s="31"/>
      <c r="AU73" s="32"/>
      <c r="AV73" s="31"/>
      <c r="AW73" s="31"/>
      <c r="AX73" s="31"/>
      <c r="AY73" s="31"/>
      <c r="BC73" s="31"/>
      <c r="BD73" s="18"/>
      <c r="BE73" s="18"/>
      <c r="BF73" s="18"/>
      <c r="BG73" s="18"/>
      <c r="BH73" s="18"/>
      <c r="BI73" s="18"/>
      <c r="BJ73" s="18"/>
      <c r="BK73" s="18"/>
      <c r="BT73" s="3"/>
      <c r="BU73" s="3"/>
      <c r="BV73" s="3"/>
      <c r="BW73" s="3"/>
      <c r="BX73" s="3"/>
      <c r="BY73" s="3"/>
      <c r="BZ73" s="3"/>
      <c r="CA73" s="3"/>
      <c r="CF73" s="3"/>
      <c r="CG73" s="3"/>
      <c r="CH73" s="3"/>
      <c r="CI73" s="3"/>
      <c r="CJ73" s="3"/>
      <c r="CK73" s="3"/>
      <c r="CL73" s="3"/>
      <c r="CM73" s="3"/>
      <c r="CV73" s="18"/>
      <c r="CW73" s="18"/>
      <c r="CX73" s="18"/>
      <c r="CY73" s="18"/>
      <c r="DH73" s="18"/>
      <c r="DI73" s="18"/>
      <c r="DJ73" s="18"/>
      <c r="DK73" s="18"/>
      <c r="DP73" s="3"/>
      <c r="DQ73" s="3"/>
      <c r="DR73" s="3"/>
      <c r="DS73" s="3"/>
      <c r="DT73" s="3"/>
      <c r="DU73" s="3"/>
      <c r="DV73" s="3"/>
      <c r="DW73" s="3"/>
    </row>
    <row r="74" customFormat="false" ht="23.85" hidden="false" customHeight="false" outlineLevel="0" collapsed="false">
      <c r="A74" s="21" t="n">
        <v>9</v>
      </c>
      <c r="B74" s="3" t="n">
        <v>44</v>
      </c>
      <c r="C74" s="39" t="s">
        <v>1635</v>
      </c>
      <c r="D74" s="18" t="n">
        <f aca="false">WAVG!C13</f>
        <v>28.1</v>
      </c>
      <c r="E74" s="18" t="n">
        <f aca="false">WAVG!D13</f>
        <v>29.51</v>
      </c>
      <c r="F74" s="18" t="n">
        <f aca="false">WAVG!E13</f>
        <v>22.48</v>
      </c>
      <c r="G74" s="18" t="n">
        <f aca="false">WAVG!F13</f>
        <v>28.35</v>
      </c>
      <c r="H74" s="31" t="n">
        <f aca="false">WRAVG!C13</f>
        <v>15.2</v>
      </c>
      <c r="I74" s="31" t="n">
        <f aca="false">WRAVG!D13</f>
        <v>50</v>
      </c>
      <c r="J74" s="31" t="n">
        <f aca="false">WRAVG!E13</f>
        <v>28.1</v>
      </c>
      <c r="K74" s="31" t="n">
        <f aca="false">WRAVG!F13</f>
        <v>15.96</v>
      </c>
      <c r="L74" s="31" t="n">
        <f aca="false">WRAVG!G13</f>
        <v>53</v>
      </c>
      <c r="M74" s="31" t="n">
        <f aca="false">WRAVG!H13</f>
        <v>29.51</v>
      </c>
      <c r="N74" s="31" t="n">
        <f aca="false">WRAVG!I13</f>
        <v>10.64</v>
      </c>
      <c r="O74" s="31" t="n">
        <f aca="false">WRAVG!J13</f>
        <v>40</v>
      </c>
      <c r="P74" s="31" t="n">
        <f aca="false">WRAVG!K13</f>
        <v>22.48</v>
      </c>
      <c r="Q74" s="31" t="n">
        <f aca="false">WRAVG!L13</f>
        <v>15.35</v>
      </c>
      <c r="R74" s="31" t="n">
        <f aca="false">WRAVG!M13</f>
        <v>50.5</v>
      </c>
      <c r="S74" s="31" t="n">
        <f aca="false">WRAVG!N13</f>
        <v>28.35</v>
      </c>
      <c r="T74" s="42" t="n">
        <f aca="false">AIAVG!C13</f>
        <v>45000</v>
      </c>
      <c r="U74" s="42" t="n">
        <f aca="false">AIAVG!D13</f>
        <v>46350</v>
      </c>
      <c r="V74" s="42" t="n">
        <f aca="false">AIAVG!E13</f>
        <v>31500</v>
      </c>
      <c r="W74" s="42" t="n">
        <f aca="false">AIAVG!F13</f>
        <v>45135</v>
      </c>
      <c r="X74" s="42" t="n">
        <f aca="false">AIRAVG!C13</f>
        <v>30400</v>
      </c>
      <c r="Y74" s="42" t="n">
        <f aca="false">AIRAVG!D13</f>
        <v>100000</v>
      </c>
      <c r="Z74" s="42" t="n">
        <f aca="false">AIRAVG!E13</f>
        <v>56200</v>
      </c>
      <c r="AA74" s="42" t="n">
        <f aca="false">AIRAVG!F13</f>
        <v>31920</v>
      </c>
      <c r="AB74" s="42" t="n">
        <f aca="false">AIRAVG!G13</f>
        <v>106000</v>
      </c>
      <c r="AC74" s="42" t="n">
        <f aca="false">AIRAVG!H13</f>
        <v>59100</v>
      </c>
      <c r="AD74" s="42" t="n">
        <f aca="false">AIRAVG!I13</f>
        <v>21280</v>
      </c>
      <c r="AE74" s="42" t="n">
        <f aca="false">AIRAVG!J13</f>
        <v>80000</v>
      </c>
      <c r="AF74" s="42" t="n">
        <f aca="false">AIRAVG!K13</f>
        <v>44960</v>
      </c>
      <c r="AG74" s="42" t="n">
        <f aca="false">AIRAVG!L13</f>
        <v>30700</v>
      </c>
      <c r="AH74" s="42" t="n">
        <f aca="false">AIRAVG!M13</f>
        <v>101000</v>
      </c>
      <c r="AI74" s="42" t="n">
        <f aca="false">AIRAVG!N13</f>
        <v>56700</v>
      </c>
      <c r="AJ74" s="3" t="n">
        <f aca="false">AWHW!C13</f>
        <v>38</v>
      </c>
      <c r="AK74" s="3" t="n">
        <f aca="false">AWHW!D13</f>
        <v>38.5</v>
      </c>
      <c r="AL74" s="3" t="n">
        <f aca="false">AWHW!E13</f>
        <v>37</v>
      </c>
      <c r="AM74" s="3" t="n">
        <f aca="false">AWHW!F13</f>
        <v>38.1</v>
      </c>
      <c r="AR74" s="31"/>
      <c r="AS74" s="31"/>
      <c r="AT74" s="31"/>
      <c r="AU74" s="32"/>
      <c r="AV74" s="31"/>
      <c r="AW74" s="31"/>
      <c r="AX74" s="31"/>
      <c r="AY74" s="31"/>
      <c r="BC74" s="31"/>
      <c r="BD74" s="18"/>
      <c r="BE74" s="18"/>
      <c r="BF74" s="18"/>
      <c r="BG74" s="18"/>
      <c r="BH74" s="18"/>
      <c r="BI74" s="18"/>
      <c r="BJ74" s="18"/>
      <c r="BK74" s="18"/>
      <c r="BT74" s="3"/>
      <c r="BU74" s="3"/>
      <c r="BV74" s="3"/>
      <c r="BW74" s="3"/>
      <c r="BX74" s="3"/>
      <c r="BY74" s="3"/>
      <c r="BZ74" s="3"/>
      <c r="CA74" s="3"/>
      <c r="CF74" s="3"/>
      <c r="CG74" s="3"/>
      <c r="CH74" s="3"/>
      <c r="CI74" s="3"/>
      <c r="CJ74" s="3"/>
      <c r="CK74" s="3"/>
      <c r="CL74" s="3"/>
      <c r="CM74" s="3"/>
      <c r="CV74" s="18"/>
      <c r="CW74" s="18"/>
      <c r="CX74" s="18"/>
      <c r="CY74" s="18"/>
      <c r="DH74" s="18"/>
      <c r="DI74" s="18"/>
      <c r="DJ74" s="18"/>
      <c r="DK74" s="18"/>
      <c r="DP74" s="3"/>
      <c r="DQ74" s="3"/>
      <c r="DR74" s="3"/>
      <c r="DS74" s="3"/>
      <c r="DT74" s="3"/>
      <c r="DU74" s="3"/>
      <c r="DV74" s="3"/>
      <c r="DW74" s="3"/>
    </row>
    <row r="75" customFormat="false" ht="23.85" hidden="false" customHeight="false" outlineLevel="0" collapsed="false">
      <c r="A75" s="21" t="n">
        <v>10</v>
      </c>
      <c r="B75" s="3" t="n">
        <v>45</v>
      </c>
      <c r="C75" s="39" t="s">
        <v>1636</v>
      </c>
      <c r="D75" s="18" t="n">
        <f aca="false">WAVG!C14</f>
        <v>20.8</v>
      </c>
      <c r="E75" s="18" t="n">
        <f aca="false">WAVG!D14</f>
        <v>21.84</v>
      </c>
      <c r="F75" s="18" t="n">
        <f aca="false">WAVG!E14</f>
        <v>16.64</v>
      </c>
      <c r="G75" s="18" t="n">
        <f aca="false">WAVG!F14</f>
        <v>21</v>
      </c>
      <c r="H75" s="31" t="n">
        <f aca="false">WRAVG!C14</f>
        <v>11.5</v>
      </c>
      <c r="I75" s="31" t="n">
        <f aca="false">WRAVG!D14</f>
        <v>38</v>
      </c>
      <c r="J75" s="31" t="n">
        <f aca="false">WRAVG!E14</f>
        <v>20.8</v>
      </c>
      <c r="K75" s="31" t="n">
        <f aca="false">WRAVG!F14</f>
        <v>12.08</v>
      </c>
      <c r="L75" s="31" t="n">
        <f aca="false">WRAVG!G14</f>
        <v>40.28</v>
      </c>
      <c r="M75" s="31" t="n">
        <f aca="false">WRAVG!H14</f>
        <v>21.84</v>
      </c>
      <c r="N75" s="31" t="n">
        <f aca="false">WRAVG!I14</f>
        <v>8.05</v>
      </c>
      <c r="O75" s="31" t="n">
        <f aca="false">WRAVG!J14</f>
        <v>30.4</v>
      </c>
      <c r="P75" s="31" t="n">
        <f aca="false">WRAVG!K14</f>
        <v>16.64</v>
      </c>
      <c r="Q75" s="31" t="n">
        <f aca="false">WRAVG!L14</f>
        <v>11.62</v>
      </c>
      <c r="R75" s="31" t="n">
        <f aca="false">WRAVG!M14</f>
        <v>38.4</v>
      </c>
      <c r="S75" s="31" t="n">
        <f aca="false">WRAVG!N14</f>
        <v>21</v>
      </c>
      <c r="T75" s="42" t="n">
        <f aca="false">AIAVG!C14</f>
        <v>38500</v>
      </c>
      <c r="U75" s="42" t="n">
        <f aca="false">AIAVG!D14</f>
        <v>39655</v>
      </c>
      <c r="V75" s="42" t="n">
        <f aca="false">AIAVG!E14</f>
        <v>26180</v>
      </c>
      <c r="W75" s="42" t="n">
        <f aca="false">AIAVG!F14</f>
        <v>38611</v>
      </c>
      <c r="X75" s="42" t="n">
        <f aca="false">AIRAVG!C14</f>
        <v>23000</v>
      </c>
      <c r="Y75" s="42" t="n">
        <f aca="false">AIRAVG!D14</f>
        <v>76000</v>
      </c>
      <c r="Z75" s="42" t="n">
        <f aca="false">AIRAVG!E14</f>
        <v>41600</v>
      </c>
      <c r="AA75" s="42" t="n">
        <f aca="false">AIRAVG!F14</f>
        <v>24160</v>
      </c>
      <c r="AB75" s="42" t="n">
        <f aca="false">AIRAVG!G14</f>
        <v>80560</v>
      </c>
      <c r="AC75" s="42" t="n">
        <f aca="false">AIRAVG!H14</f>
        <v>43680</v>
      </c>
      <c r="AD75" s="42" t="n">
        <f aca="false">AIRAVG!I14</f>
        <v>16100</v>
      </c>
      <c r="AE75" s="42" t="n">
        <f aca="false">AIRAVG!J14</f>
        <v>60800</v>
      </c>
      <c r="AF75" s="42" t="n">
        <f aca="false">AIRAVG!K14</f>
        <v>33280</v>
      </c>
      <c r="AG75" s="42" t="n">
        <f aca="false">AIRAVG!L14</f>
        <v>23240</v>
      </c>
      <c r="AH75" s="42" t="n">
        <f aca="false">AIRAVG!M14</f>
        <v>76800</v>
      </c>
      <c r="AI75" s="42" t="n">
        <f aca="false">AIRAVG!N14</f>
        <v>42000</v>
      </c>
      <c r="AJ75" s="3" t="n">
        <f aca="false">AWHW!C14</f>
        <v>35.5</v>
      </c>
      <c r="AK75" s="3" t="n">
        <f aca="false">AWHW!D14</f>
        <v>36</v>
      </c>
      <c r="AL75" s="3" t="n">
        <f aca="false">AWHW!E14</f>
        <v>34</v>
      </c>
      <c r="AM75" s="3" t="n">
        <f aca="false">AWHW!F14</f>
        <v>35.6</v>
      </c>
      <c r="AR75" s="31"/>
      <c r="AS75" s="31"/>
      <c r="AT75" s="31"/>
      <c r="AU75" s="32"/>
      <c r="AV75" s="31"/>
      <c r="AW75" s="31"/>
      <c r="AX75" s="31"/>
      <c r="AY75" s="31"/>
      <c r="BC75" s="31"/>
      <c r="BD75" s="18"/>
      <c r="BE75" s="18"/>
      <c r="BF75" s="18"/>
      <c r="BG75" s="18"/>
      <c r="BH75" s="18"/>
      <c r="BI75" s="18"/>
      <c r="BJ75" s="18"/>
      <c r="BK75" s="18"/>
      <c r="BT75" s="3"/>
      <c r="BU75" s="3"/>
      <c r="BV75" s="3"/>
      <c r="BW75" s="3"/>
      <c r="BX75" s="3"/>
      <c r="BY75" s="3"/>
      <c r="BZ75" s="3"/>
      <c r="CA75" s="3"/>
      <c r="CF75" s="3"/>
      <c r="CG75" s="3"/>
      <c r="CH75" s="3"/>
      <c r="CI75" s="3"/>
      <c r="CJ75" s="3"/>
      <c r="CK75" s="3"/>
      <c r="CL75" s="3"/>
      <c r="CM75" s="3"/>
      <c r="CV75" s="18"/>
      <c r="CW75" s="18"/>
      <c r="CX75" s="18"/>
      <c r="CY75" s="18"/>
      <c r="DH75" s="18"/>
      <c r="DI75" s="18"/>
      <c r="DJ75" s="18"/>
      <c r="DK75" s="18"/>
      <c r="DP75" s="3"/>
      <c r="DQ75" s="3"/>
      <c r="DR75" s="3"/>
      <c r="DS75" s="3"/>
      <c r="DT75" s="3"/>
      <c r="DU75" s="3"/>
      <c r="DV75" s="3"/>
      <c r="DW75" s="3"/>
    </row>
    <row r="76" customFormat="false" ht="12.8" hidden="false" customHeight="false" outlineLevel="0" collapsed="false">
      <c r="A76" s="21" t="n">
        <v>11</v>
      </c>
      <c r="B76" s="3" t="n">
        <v>48</v>
      </c>
      <c r="C76" s="3" t="s">
        <v>1637</v>
      </c>
      <c r="D76" s="18" t="n">
        <f aca="false">WAVG!C15</f>
        <v>31.7</v>
      </c>
      <c r="E76" s="18" t="n">
        <f aca="false">WAVG!D15</f>
        <v>33.29</v>
      </c>
      <c r="F76" s="18" t="n">
        <f aca="false">WAVG!E15</f>
        <v>25.36</v>
      </c>
      <c r="G76" s="18" t="n">
        <f aca="false">WAVG!F15</f>
        <v>32.02</v>
      </c>
      <c r="H76" s="31" t="n">
        <f aca="false">WRAVG!C15</f>
        <v>17</v>
      </c>
      <c r="I76" s="31" t="n">
        <f aca="false">WRAVG!D15</f>
        <v>58</v>
      </c>
      <c r="J76" s="31" t="n">
        <f aca="false">WRAVG!E15</f>
        <v>31.7</v>
      </c>
      <c r="K76" s="31" t="n">
        <f aca="false">WRAVG!F15</f>
        <v>17.85</v>
      </c>
      <c r="L76" s="31" t="n">
        <f aca="false">WRAVG!G15</f>
        <v>61.48</v>
      </c>
      <c r="M76" s="31" t="n">
        <f aca="false">WRAVG!H15</f>
        <v>33.29</v>
      </c>
      <c r="N76" s="31" t="n">
        <f aca="false">WRAVG!I15</f>
        <v>11.9</v>
      </c>
      <c r="O76" s="31" t="n">
        <f aca="false">WRAVG!J15</f>
        <v>46.4</v>
      </c>
      <c r="P76" s="31" t="n">
        <f aca="false">WRAVG!K15</f>
        <v>25.36</v>
      </c>
      <c r="Q76" s="31" t="n">
        <f aca="false">WRAVG!L15</f>
        <v>17.2</v>
      </c>
      <c r="R76" s="31" t="n">
        <f aca="false">WRAVG!M15</f>
        <v>58.6</v>
      </c>
      <c r="S76" s="31" t="n">
        <f aca="false">WRAVG!N15</f>
        <v>32.02</v>
      </c>
      <c r="T76" s="42" t="n">
        <f aca="false">AIAVG!C15</f>
        <v>60000</v>
      </c>
      <c r="U76" s="42" t="n">
        <f aca="false">AIAVG!D15</f>
        <v>61200</v>
      </c>
      <c r="V76" s="42" t="n">
        <f aca="false">AIAVG!E15</f>
        <v>43200</v>
      </c>
      <c r="W76" s="42" t="n">
        <f aca="false">AIAVG!F15</f>
        <v>60120</v>
      </c>
      <c r="X76" s="42" t="n">
        <f aca="false">AIRAVG!C15</f>
        <v>34000</v>
      </c>
      <c r="Y76" s="42" t="n">
        <f aca="false">AIRAVG!D15</f>
        <v>116000</v>
      </c>
      <c r="Z76" s="42" t="n">
        <f aca="false">AIRAVG!E15</f>
        <v>65840</v>
      </c>
      <c r="AA76" s="42" t="n">
        <f aca="false">AIRAVG!F15</f>
        <v>35700</v>
      </c>
      <c r="AB76" s="42" t="n">
        <f aca="false">AIRAVG!G15</f>
        <v>122960</v>
      </c>
      <c r="AC76" s="42" t="n">
        <f aca="false">AIRAVG!H15</f>
        <v>69132</v>
      </c>
      <c r="AD76" s="42" t="n">
        <f aca="false">AIRAVG!I15</f>
        <v>23800</v>
      </c>
      <c r="AE76" s="42" t="n">
        <f aca="false">AIRAVG!J15</f>
        <v>92800</v>
      </c>
      <c r="AF76" s="42" t="n">
        <f aca="false">AIRAVG!K15</f>
        <v>52340</v>
      </c>
      <c r="AG76" s="42" t="n">
        <f aca="false">AIRAVG!L15</f>
        <v>34400</v>
      </c>
      <c r="AH76" s="42" t="n">
        <f aca="false">AIRAVG!M15</f>
        <v>117200</v>
      </c>
      <c r="AI76" s="42" t="n">
        <f aca="false">AIRAVG!N15</f>
        <v>66100</v>
      </c>
      <c r="AJ76" s="3" t="n">
        <f aca="false">AWHW!C15</f>
        <v>41</v>
      </c>
      <c r="AK76" s="3" t="n">
        <f aca="false">AWHW!D15</f>
        <v>41.5</v>
      </c>
      <c r="AL76" s="3" t="n">
        <f aca="false">AWHW!E15</f>
        <v>40</v>
      </c>
      <c r="AM76" s="3" t="n">
        <f aca="false">AWHW!F15</f>
        <v>41.1</v>
      </c>
      <c r="AR76" s="31"/>
      <c r="AS76" s="31"/>
      <c r="AT76" s="31"/>
      <c r="AU76" s="32"/>
      <c r="AV76" s="31"/>
      <c r="AW76" s="31"/>
      <c r="AX76" s="31"/>
      <c r="AY76" s="31"/>
      <c r="BC76" s="31"/>
      <c r="BD76" s="18"/>
      <c r="BE76" s="18"/>
      <c r="BF76" s="18"/>
      <c r="BG76" s="18"/>
      <c r="BH76" s="18"/>
      <c r="BI76" s="18"/>
      <c r="BJ76" s="18"/>
      <c r="BK76" s="18"/>
      <c r="BT76" s="3"/>
      <c r="BU76" s="3"/>
      <c r="BV76" s="3"/>
      <c r="BW76" s="3"/>
      <c r="BX76" s="3"/>
      <c r="BY76" s="3"/>
      <c r="BZ76" s="3"/>
      <c r="CA76" s="3"/>
      <c r="CF76" s="3"/>
      <c r="CG76" s="3"/>
      <c r="CH76" s="3"/>
      <c r="CI76" s="3"/>
      <c r="CJ76" s="3"/>
      <c r="CK76" s="3"/>
      <c r="CL76" s="3"/>
      <c r="CM76" s="3"/>
      <c r="CV76" s="18"/>
      <c r="CW76" s="18"/>
      <c r="CX76" s="18"/>
      <c r="CY76" s="18"/>
      <c r="DH76" s="18"/>
      <c r="DI76" s="18"/>
      <c r="DJ76" s="18"/>
      <c r="DK76" s="18"/>
      <c r="DP76" s="3"/>
      <c r="DQ76" s="3"/>
      <c r="DR76" s="3"/>
      <c r="DS76" s="3"/>
      <c r="DT76" s="3"/>
      <c r="DU76" s="3"/>
      <c r="DV76" s="3"/>
      <c r="DW76" s="3"/>
    </row>
    <row r="77" customFormat="false" ht="12.8" hidden="false" customHeight="false" outlineLevel="0" collapsed="false">
      <c r="A77" s="21" t="n">
        <v>12</v>
      </c>
      <c r="B77" s="3" t="n">
        <v>49</v>
      </c>
      <c r="C77" s="3" t="s">
        <v>1638</v>
      </c>
      <c r="D77" s="18" t="n">
        <f aca="false">WAVG!C16</f>
        <v>25.9</v>
      </c>
      <c r="E77" s="18" t="n">
        <f aca="false">WAVG!D16</f>
        <v>27.2</v>
      </c>
      <c r="F77" s="18" t="n">
        <f aca="false">WAVG!E16</f>
        <v>20.72</v>
      </c>
      <c r="G77" s="18" t="n">
        <f aca="false">WAVG!F16</f>
        <v>26.15</v>
      </c>
      <c r="H77" s="31" t="n">
        <f aca="false">WRAVG!C16</f>
        <v>14</v>
      </c>
      <c r="I77" s="31" t="n">
        <f aca="false">WRAVG!D16</f>
        <v>45</v>
      </c>
      <c r="J77" s="31" t="n">
        <f aca="false">WRAVG!E16</f>
        <v>25.9</v>
      </c>
      <c r="K77" s="31" t="n">
        <f aca="false">WRAVG!F16</f>
        <v>14.7</v>
      </c>
      <c r="L77" s="31" t="n">
        <f aca="false">WRAVG!G16</f>
        <v>47.7</v>
      </c>
      <c r="M77" s="31" t="n">
        <f aca="false">WRAVG!H16</f>
        <v>27.2</v>
      </c>
      <c r="N77" s="31" t="n">
        <f aca="false">WRAVG!I16</f>
        <v>9.8</v>
      </c>
      <c r="O77" s="31" t="n">
        <f aca="false">WRAVG!J16</f>
        <v>36</v>
      </c>
      <c r="P77" s="31" t="n">
        <f aca="false">WRAVG!K16</f>
        <v>20.72</v>
      </c>
      <c r="Q77" s="31" t="n">
        <f aca="false">WRAVG!L16</f>
        <v>14.14</v>
      </c>
      <c r="R77" s="31" t="n">
        <f aca="false">WRAVG!M16</f>
        <v>45.5</v>
      </c>
      <c r="S77" s="31" t="n">
        <f aca="false">WRAVG!N16</f>
        <v>26.15</v>
      </c>
      <c r="T77" s="42" t="n">
        <f aca="false">AIAVG!C16</f>
        <v>54600</v>
      </c>
      <c r="U77" s="42" t="n">
        <f aca="false">AIAVG!D16</f>
        <v>55692</v>
      </c>
      <c r="V77" s="42" t="n">
        <f aca="false">AIAVG!E16</f>
        <v>39312</v>
      </c>
      <c r="W77" s="42" t="n">
        <f aca="false">AIAVG!F16</f>
        <v>54781</v>
      </c>
      <c r="X77" s="42" t="n">
        <f aca="false">AIRAVG!C16</f>
        <v>28000</v>
      </c>
      <c r="Y77" s="42" t="n">
        <f aca="false">AIRAVG!D16</f>
        <v>90000</v>
      </c>
      <c r="Z77" s="42" t="n">
        <f aca="false">AIRAVG!E16</f>
        <v>52000</v>
      </c>
      <c r="AA77" s="42" t="n">
        <f aca="false">AIRAVG!F16</f>
        <v>29400</v>
      </c>
      <c r="AB77" s="42" t="n">
        <f aca="false">AIRAVG!G16</f>
        <v>95400</v>
      </c>
      <c r="AC77" s="42" t="n">
        <f aca="false">AIRAVG!H16</f>
        <v>54600</v>
      </c>
      <c r="AD77" s="42" t="n">
        <f aca="false">AIRAVG!I16</f>
        <v>19600</v>
      </c>
      <c r="AE77" s="42" t="n">
        <f aca="false">AIRAVG!J16</f>
        <v>72000</v>
      </c>
      <c r="AF77" s="42" t="n">
        <f aca="false">AIRAVG!K16</f>
        <v>41600</v>
      </c>
      <c r="AG77" s="42" t="n">
        <f aca="false">AIRAVG!L16</f>
        <v>28280</v>
      </c>
      <c r="AH77" s="42" t="n">
        <f aca="false">AIRAVG!M16</f>
        <v>91000</v>
      </c>
      <c r="AI77" s="42" t="n">
        <f aca="false">AIRAVG!N16</f>
        <v>53200</v>
      </c>
      <c r="AJ77" s="3" t="n">
        <f aca="false">AWHW!C16</f>
        <v>40.2</v>
      </c>
      <c r="AK77" s="3" t="n">
        <f aca="false">AWHW!D16</f>
        <v>40.8</v>
      </c>
      <c r="AL77" s="3" t="n">
        <f aca="false">AWHW!E16</f>
        <v>39.5</v>
      </c>
      <c r="AM77" s="3" t="n">
        <f aca="false">AWHW!F16</f>
        <v>40.3</v>
      </c>
      <c r="AR77" s="31"/>
      <c r="AS77" s="31"/>
      <c r="AT77" s="31"/>
      <c r="AU77" s="32"/>
      <c r="AV77" s="31"/>
      <c r="AW77" s="31"/>
      <c r="AX77" s="31"/>
      <c r="AY77" s="31"/>
      <c r="BC77" s="31"/>
      <c r="BD77" s="18"/>
      <c r="BE77" s="18"/>
      <c r="BF77" s="18"/>
      <c r="BG77" s="18"/>
      <c r="BH77" s="18"/>
      <c r="BI77" s="18"/>
      <c r="BJ77" s="18"/>
      <c r="BK77" s="18"/>
      <c r="BT77" s="3"/>
      <c r="BU77" s="3"/>
      <c r="BV77" s="3"/>
      <c r="BW77" s="3"/>
      <c r="BX77" s="3"/>
      <c r="BY77" s="3"/>
      <c r="BZ77" s="3"/>
      <c r="CA77" s="3"/>
      <c r="CF77" s="3"/>
      <c r="CG77" s="3"/>
      <c r="CH77" s="3"/>
      <c r="CI77" s="3"/>
      <c r="CJ77" s="3"/>
      <c r="CK77" s="3"/>
      <c r="CL77" s="3"/>
      <c r="CM77" s="3"/>
      <c r="CV77" s="18"/>
      <c r="CW77" s="18"/>
      <c r="CX77" s="18"/>
      <c r="CY77" s="18"/>
      <c r="DH77" s="18"/>
      <c r="DI77" s="18"/>
      <c r="DJ77" s="18"/>
      <c r="DK77" s="18"/>
      <c r="DP77" s="3"/>
      <c r="DQ77" s="3"/>
      <c r="DR77" s="3"/>
      <c r="DS77" s="3"/>
      <c r="DT77" s="3"/>
      <c r="DU77" s="3"/>
      <c r="DV77" s="3"/>
      <c r="DW77" s="3"/>
    </row>
    <row r="78" customFormat="false" ht="12.8" hidden="false" customHeight="false" outlineLevel="0" collapsed="false">
      <c r="A78" s="21" t="n">
        <v>13</v>
      </c>
      <c r="B78" s="3" t="n">
        <v>51</v>
      </c>
      <c r="C78" s="3" t="s">
        <v>1639</v>
      </c>
      <c r="D78" s="18" t="n">
        <f aca="false">WAVG!C17</f>
        <v>38.5</v>
      </c>
      <c r="E78" s="18" t="n">
        <f aca="false">WAVG!D17</f>
        <v>40.43</v>
      </c>
      <c r="F78" s="18" t="n">
        <f aca="false">WAVG!E17</f>
        <v>32.73</v>
      </c>
      <c r="G78" s="18" t="n">
        <f aca="false">WAVG!F17</f>
        <v>38.88</v>
      </c>
      <c r="H78" s="31" t="n">
        <f aca="false">WRAVG!C17</f>
        <v>20</v>
      </c>
      <c r="I78" s="31" t="n">
        <f aca="false">WRAVG!D17</f>
        <v>70</v>
      </c>
      <c r="J78" s="31" t="n">
        <f aca="false">WRAVG!E17</f>
        <v>38.5</v>
      </c>
      <c r="K78" s="31" t="n">
        <f aca="false">WRAVG!F17</f>
        <v>21</v>
      </c>
      <c r="L78" s="31" t="n">
        <f aca="false">WRAVG!G17</f>
        <v>74.2</v>
      </c>
      <c r="M78" s="31" t="n">
        <f aca="false">WRAVG!H17</f>
        <v>40.43</v>
      </c>
      <c r="N78" s="31" t="n">
        <f aca="false">WRAVG!I17</f>
        <v>14</v>
      </c>
      <c r="O78" s="31" t="n">
        <f aca="false">WRAVG!J17</f>
        <v>56</v>
      </c>
      <c r="P78" s="31" t="n">
        <f aca="false">WRAVG!K17</f>
        <v>32.73</v>
      </c>
      <c r="Q78" s="31" t="n">
        <f aca="false">WRAVG!L17</f>
        <v>20.2</v>
      </c>
      <c r="R78" s="31" t="n">
        <f aca="false">WRAVG!M17</f>
        <v>70.7</v>
      </c>
      <c r="S78" s="31" t="n">
        <f aca="false">WRAVG!N17</f>
        <v>38.88</v>
      </c>
      <c r="T78" s="42" t="n">
        <f aca="false">AIAVG!C17</f>
        <v>83200</v>
      </c>
      <c r="U78" s="42" t="n">
        <f aca="false">AIAVG!D17</f>
        <v>84864</v>
      </c>
      <c r="V78" s="42" t="n">
        <f aca="false">AIAVG!E17</f>
        <v>66560</v>
      </c>
      <c r="W78" s="42" t="n">
        <f aca="false">AIAVG!F17</f>
        <v>83392</v>
      </c>
      <c r="X78" s="42" t="n">
        <f aca="false">AIRAVG!C17</f>
        <v>40000</v>
      </c>
      <c r="Y78" s="42" t="n">
        <f aca="false">AIRAVG!D17</f>
        <v>140000</v>
      </c>
      <c r="Z78" s="42" t="n">
        <f aca="false">AIRAVG!E17</f>
        <v>80000</v>
      </c>
      <c r="AA78" s="42" t="n">
        <f aca="false">AIRAVG!F17</f>
        <v>42000</v>
      </c>
      <c r="AB78" s="42" t="n">
        <f aca="false">AIRAVG!G17</f>
        <v>148000</v>
      </c>
      <c r="AC78" s="42" t="n">
        <f aca="false">AIRAVG!H17</f>
        <v>84000</v>
      </c>
      <c r="AD78" s="42" t="n">
        <f aca="false">AIRAVG!I17</f>
        <v>28000</v>
      </c>
      <c r="AE78" s="42" t="n">
        <f aca="false">AIRAVG!J17</f>
        <v>112000</v>
      </c>
      <c r="AF78" s="42" t="n">
        <f aca="false">AIRAVG!K17</f>
        <v>64000</v>
      </c>
      <c r="AG78" s="42" t="n">
        <f aca="false">AIRAVG!L17</f>
        <v>40400</v>
      </c>
      <c r="AH78" s="42" t="n">
        <f aca="false">AIRAVG!M17</f>
        <v>141400</v>
      </c>
      <c r="AI78" s="42" t="n">
        <f aca="false">AIRAVG!N17</f>
        <v>80600</v>
      </c>
      <c r="AJ78" s="3" t="n">
        <f aca="false">AWHW!C17</f>
        <v>38.5</v>
      </c>
      <c r="AK78" s="3" t="n">
        <f aca="false">AWHW!D17</f>
        <v>39</v>
      </c>
      <c r="AL78" s="3" t="n">
        <f aca="false">AWHW!E17</f>
        <v>37</v>
      </c>
      <c r="AM78" s="3" t="n">
        <f aca="false">AWHW!F17</f>
        <v>38.6</v>
      </c>
      <c r="AR78" s="31"/>
      <c r="AS78" s="31"/>
      <c r="AT78" s="31"/>
      <c r="AU78" s="32"/>
      <c r="AV78" s="31"/>
      <c r="AW78" s="31"/>
      <c r="AX78" s="31"/>
      <c r="AY78" s="31"/>
      <c r="BC78" s="31"/>
      <c r="BD78" s="18"/>
      <c r="BE78" s="18"/>
      <c r="BF78" s="18"/>
      <c r="BG78" s="18"/>
      <c r="BH78" s="18"/>
      <c r="BI78" s="18"/>
      <c r="BJ78" s="18"/>
      <c r="BK78" s="18"/>
      <c r="BT78" s="3"/>
      <c r="BU78" s="3"/>
      <c r="BV78" s="3"/>
      <c r="BW78" s="3"/>
      <c r="BX78" s="3"/>
      <c r="BY78" s="3"/>
      <c r="BZ78" s="3"/>
      <c r="CA78" s="3"/>
      <c r="CF78" s="3"/>
      <c r="CG78" s="3"/>
      <c r="CH78" s="3"/>
      <c r="CI78" s="3"/>
      <c r="CJ78" s="3"/>
      <c r="CK78" s="3"/>
      <c r="CL78" s="3"/>
      <c r="CM78" s="3"/>
      <c r="CV78" s="18"/>
      <c r="CW78" s="18"/>
      <c r="CX78" s="18"/>
      <c r="CY78" s="18"/>
      <c r="DH78" s="18"/>
      <c r="DI78" s="18"/>
      <c r="DJ78" s="18"/>
      <c r="DK78" s="18"/>
      <c r="DP78" s="3"/>
      <c r="DQ78" s="3"/>
      <c r="DR78" s="3"/>
      <c r="DS78" s="3"/>
      <c r="DT78" s="3"/>
      <c r="DU78" s="3"/>
      <c r="DV78" s="3"/>
      <c r="DW78" s="3"/>
    </row>
    <row r="79" customFormat="false" ht="12.8" hidden="false" customHeight="false" outlineLevel="0" collapsed="false">
      <c r="A79" s="17" t="n">
        <v>14</v>
      </c>
      <c r="B79" s="18" t="n">
        <v>52</v>
      </c>
      <c r="C79" s="18" t="s">
        <v>1640</v>
      </c>
      <c r="D79" s="18" t="n">
        <f aca="false">WAVG!C18</f>
        <v>40.1</v>
      </c>
      <c r="E79" s="18" t="n">
        <f aca="false">WAVG!D18</f>
        <v>42.11</v>
      </c>
      <c r="F79" s="18" t="n">
        <f aca="false">WAVG!E18</f>
        <v>34.09</v>
      </c>
      <c r="G79" s="18" t="n">
        <f aca="false">WAVG!F18</f>
        <v>40.5</v>
      </c>
      <c r="H79" s="31" t="n">
        <f aca="false">WRAVG!C18</f>
        <v>22</v>
      </c>
      <c r="I79" s="31" t="n">
        <f aca="false">WRAVG!D18</f>
        <v>75</v>
      </c>
      <c r="J79" s="31" t="n">
        <f aca="false">WRAVG!E18</f>
        <v>40.1</v>
      </c>
      <c r="K79" s="31" t="n">
        <f aca="false">WRAVG!F18</f>
        <v>23.1</v>
      </c>
      <c r="L79" s="31" t="n">
        <f aca="false">WRAVG!G18</f>
        <v>79.5</v>
      </c>
      <c r="M79" s="31" t="n">
        <f aca="false">WRAVG!H18</f>
        <v>42.11</v>
      </c>
      <c r="N79" s="31" t="n">
        <f aca="false">WRAVG!I18</f>
        <v>15.4</v>
      </c>
      <c r="O79" s="31" t="n">
        <f aca="false">WRAVG!J18</f>
        <v>60</v>
      </c>
      <c r="P79" s="31" t="n">
        <f aca="false">WRAVG!K18</f>
        <v>34.09</v>
      </c>
      <c r="Q79" s="31" t="n">
        <f aca="false">WRAVG!L18</f>
        <v>22.2</v>
      </c>
      <c r="R79" s="31" t="n">
        <f aca="false">WRAVG!M18</f>
        <v>75.8</v>
      </c>
      <c r="S79" s="31" t="n">
        <f aca="false">WRAVG!N18</f>
        <v>40.5</v>
      </c>
      <c r="T79" s="42" t="n">
        <f aca="false">AIAVG!C18</f>
        <v>114400</v>
      </c>
      <c r="U79" s="42" t="n">
        <f aca="false">AIAVG!D18</f>
        <v>115544</v>
      </c>
      <c r="V79" s="42" t="n">
        <f aca="false">AIAVG!E18</f>
        <v>97240</v>
      </c>
      <c r="W79" s="42" t="n">
        <f aca="false">AIAVG!F18</f>
        <v>114644</v>
      </c>
      <c r="X79" s="42" t="n">
        <f aca="false">AIRAVG!C18</f>
        <v>44000</v>
      </c>
      <c r="Y79" s="42" t="n">
        <f aca="false">AIRAVG!D18</f>
        <v>150000</v>
      </c>
      <c r="Z79" s="42" t="n">
        <f aca="false">AIRAVG!E18</f>
        <v>83200</v>
      </c>
      <c r="AA79" s="42" t="n">
        <f aca="false">AIRAVG!F18</f>
        <v>46200</v>
      </c>
      <c r="AB79" s="42" t="n">
        <f aca="false">AIRAVG!G18</f>
        <v>159000</v>
      </c>
      <c r="AC79" s="42" t="n">
        <f aca="false">AIRAVG!H18</f>
        <v>87360</v>
      </c>
      <c r="AD79" s="42" t="n">
        <f aca="false">AIRAVG!I18</f>
        <v>30800</v>
      </c>
      <c r="AE79" s="42" t="n">
        <f aca="false">AIRAVG!J18</f>
        <v>120000</v>
      </c>
      <c r="AF79" s="42" t="n">
        <f aca="false">AIRAVG!K18</f>
        <v>66560</v>
      </c>
      <c r="AG79" s="42" t="n">
        <f aca="false">AIRAVG!L18</f>
        <v>44400</v>
      </c>
      <c r="AH79" s="42" t="n">
        <f aca="false">AIRAVG!M18</f>
        <v>151600</v>
      </c>
      <c r="AI79" s="42" t="n">
        <f aca="false">AIRAVG!N18</f>
        <v>84000</v>
      </c>
      <c r="AJ79" s="3" t="n">
        <f aca="false">AWHW!C18</f>
        <v>39</v>
      </c>
      <c r="AK79" s="3" t="n">
        <f aca="false">AWHW!D18</f>
        <v>39.5</v>
      </c>
      <c r="AL79" s="3" t="n">
        <f aca="false">AWHW!E18</f>
        <v>37.5</v>
      </c>
      <c r="AM79" s="3" t="n">
        <f aca="false">AWHW!F18</f>
        <v>39.1</v>
      </c>
      <c r="AR79" s="31"/>
      <c r="AS79" s="31"/>
      <c r="AT79" s="31"/>
      <c r="AU79" s="32"/>
      <c r="AV79" s="31"/>
      <c r="AW79" s="31"/>
      <c r="AX79" s="31"/>
      <c r="AY79" s="31"/>
      <c r="BC79" s="31"/>
      <c r="BD79" s="18"/>
      <c r="BE79" s="18"/>
      <c r="BF79" s="18"/>
      <c r="BG79" s="18"/>
      <c r="BH79" s="18"/>
      <c r="BI79" s="18"/>
      <c r="BJ79" s="18"/>
      <c r="BK79" s="18"/>
      <c r="BT79" s="3"/>
      <c r="BU79" s="3"/>
      <c r="BV79" s="3"/>
      <c r="BW79" s="3"/>
      <c r="BX79" s="3"/>
      <c r="BY79" s="3"/>
      <c r="BZ79" s="3"/>
      <c r="CA79" s="3"/>
      <c r="CF79" s="3"/>
      <c r="CG79" s="3"/>
      <c r="CH79" s="3"/>
      <c r="CI79" s="3"/>
      <c r="CJ79" s="3"/>
      <c r="CK79" s="3"/>
      <c r="CL79" s="3"/>
      <c r="CM79" s="3"/>
      <c r="CV79" s="18"/>
      <c r="CW79" s="18"/>
      <c r="CX79" s="18"/>
      <c r="CY79" s="18"/>
      <c r="DH79" s="18"/>
      <c r="DI79" s="18"/>
      <c r="DJ79" s="18"/>
      <c r="DK79" s="18"/>
      <c r="DP79" s="3"/>
      <c r="DQ79" s="3"/>
      <c r="DR79" s="3"/>
      <c r="DS79" s="3"/>
      <c r="DT79" s="3"/>
      <c r="DU79" s="3"/>
      <c r="DV79" s="3"/>
      <c r="DW79" s="3"/>
    </row>
    <row r="80" customFormat="false" ht="12.8" hidden="false" customHeight="false" outlineLevel="0" collapsed="false">
      <c r="A80" s="17" t="n">
        <v>15</v>
      </c>
      <c r="B80" s="18" t="n">
        <v>53</v>
      </c>
      <c r="C80" s="39" t="s">
        <v>1641</v>
      </c>
      <c r="D80" s="18" t="n">
        <f aca="false">WAVG!C19</f>
        <v>32.4</v>
      </c>
      <c r="E80" s="18" t="n">
        <f aca="false">WAVG!D19</f>
        <v>34.02</v>
      </c>
      <c r="F80" s="18" t="n">
        <f aca="false">WAVG!E19</f>
        <v>27.54</v>
      </c>
      <c r="G80" s="18" t="n">
        <f aca="false">WAVG!F19</f>
        <v>32.73</v>
      </c>
      <c r="H80" s="31" t="n">
        <f aca="false">WRAVG!C19</f>
        <v>17.5</v>
      </c>
      <c r="I80" s="31" t="n">
        <f aca="false">WRAVG!D19</f>
        <v>60</v>
      </c>
      <c r="J80" s="31" t="n">
        <f aca="false">WRAVG!E19</f>
        <v>32.4</v>
      </c>
      <c r="K80" s="31" t="n">
        <f aca="false">WRAVG!F19</f>
        <v>18.38</v>
      </c>
      <c r="L80" s="31" t="n">
        <f aca="false">WRAVG!G19</f>
        <v>63.6</v>
      </c>
      <c r="M80" s="31" t="n">
        <f aca="false">WRAVG!H19</f>
        <v>34.02</v>
      </c>
      <c r="N80" s="31" t="n">
        <f aca="false">WRAVG!I19</f>
        <v>12.25</v>
      </c>
      <c r="O80" s="31" t="n">
        <f aca="false">WRAVG!J19</f>
        <v>48</v>
      </c>
      <c r="P80" s="31" t="n">
        <f aca="false">WRAVG!K19</f>
        <v>27.54</v>
      </c>
      <c r="Q80" s="31" t="n">
        <f aca="false">WRAVG!L19</f>
        <v>17.7</v>
      </c>
      <c r="R80" s="31" t="n">
        <f aca="false">WRAVG!M19</f>
        <v>60.6</v>
      </c>
      <c r="S80" s="31" t="n">
        <f aca="false">WRAVG!N19</f>
        <v>32.73</v>
      </c>
      <c r="T80" s="42" t="n">
        <f aca="false">AIAVG!C19</f>
        <v>64000</v>
      </c>
      <c r="U80" s="42" t="n">
        <f aca="false">AIAVG!D19</f>
        <v>65280</v>
      </c>
      <c r="V80" s="42" t="n">
        <f aca="false">AIAVG!E19</f>
        <v>49920</v>
      </c>
      <c r="W80" s="42" t="n">
        <f aca="false">AIAVG!F19</f>
        <v>64128</v>
      </c>
      <c r="X80" s="42" t="n">
        <f aca="false">AIRAVG!C19</f>
        <v>35000</v>
      </c>
      <c r="Y80" s="42" t="n">
        <f aca="false">AIRAVG!D19</f>
        <v>120000</v>
      </c>
      <c r="Z80" s="42" t="n">
        <f aca="false">AIRAVG!E19</f>
        <v>67200</v>
      </c>
      <c r="AA80" s="42" t="n">
        <f aca="false">AIRAVG!F19</f>
        <v>36750</v>
      </c>
      <c r="AB80" s="42" t="n">
        <f aca="false">AIRAVG!G19</f>
        <v>127200</v>
      </c>
      <c r="AC80" s="42" t="n">
        <f aca="false">AIRAVG!H19</f>
        <v>70560</v>
      </c>
      <c r="AD80" s="42" t="n">
        <f aca="false">AIRAVG!I19</f>
        <v>24500</v>
      </c>
      <c r="AE80" s="42" t="n">
        <f aca="false">AIRAVG!J19</f>
        <v>96000</v>
      </c>
      <c r="AF80" s="42" t="n">
        <f aca="false">AIRAVG!K19</f>
        <v>53760</v>
      </c>
      <c r="AG80" s="42" t="n">
        <f aca="false">AIRAVG!L19</f>
        <v>35400</v>
      </c>
      <c r="AH80" s="42" t="n">
        <f aca="false">AIRAVG!M19</f>
        <v>121200</v>
      </c>
      <c r="AI80" s="42" t="n">
        <f aca="false">AIRAVG!N19</f>
        <v>67400</v>
      </c>
      <c r="AJ80" s="3" t="n">
        <f aca="false">AWHW!C19</f>
        <v>38</v>
      </c>
      <c r="AK80" s="3" t="n">
        <f aca="false">AWHW!D19</f>
        <v>38.8</v>
      </c>
      <c r="AL80" s="3" t="n">
        <f aca="false">AWHW!E19</f>
        <v>36.5</v>
      </c>
      <c r="AM80" s="3" t="n">
        <f aca="false">AWHW!F19</f>
        <v>38.2</v>
      </c>
      <c r="AR80" s="31"/>
      <c r="AS80" s="31"/>
      <c r="AT80" s="31"/>
      <c r="AU80" s="32"/>
      <c r="AV80" s="31"/>
      <c r="AW80" s="31"/>
      <c r="AX80" s="31"/>
      <c r="AY80" s="31"/>
      <c r="BC80" s="31"/>
      <c r="BD80" s="18"/>
      <c r="BE80" s="18"/>
      <c r="BF80" s="18"/>
      <c r="BG80" s="18"/>
      <c r="BH80" s="18"/>
      <c r="BI80" s="18"/>
      <c r="BJ80" s="18"/>
      <c r="BK80" s="18"/>
      <c r="BT80" s="3"/>
      <c r="BU80" s="3"/>
      <c r="BV80" s="3"/>
      <c r="BW80" s="3"/>
      <c r="BX80" s="3"/>
      <c r="BY80" s="3"/>
      <c r="BZ80" s="3"/>
      <c r="CA80" s="3"/>
      <c r="CF80" s="3"/>
      <c r="CG80" s="3"/>
      <c r="CH80" s="3"/>
      <c r="CI80" s="3"/>
      <c r="CJ80" s="3"/>
      <c r="CK80" s="3"/>
      <c r="CL80" s="3"/>
      <c r="CM80" s="3"/>
      <c r="CV80" s="18"/>
      <c r="CW80" s="18"/>
      <c r="CX80" s="18"/>
      <c r="CY80" s="18"/>
      <c r="DH80" s="18"/>
      <c r="DI80" s="18"/>
      <c r="DJ80" s="18"/>
      <c r="DK80" s="18"/>
      <c r="DP80" s="3"/>
      <c r="DQ80" s="3"/>
      <c r="DR80" s="3"/>
      <c r="DS80" s="3"/>
      <c r="DT80" s="3"/>
      <c r="DU80" s="3"/>
      <c r="DV80" s="3"/>
      <c r="DW80" s="3"/>
    </row>
    <row r="81" customFormat="false" ht="23.85" hidden="false" customHeight="false" outlineLevel="0" collapsed="false">
      <c r="A81" s="17" t="n">
        <v>16</v>
      </c>
      <c r="B81" s="18" t="n">
        <v>54</v>
      </c>
      <c r="C81" s="39" t="s">
        <v>1642</v>
      </c>
      <c r="D81" s="18" t="n">
        <f aca="false">WAVG!C20</f>
        <v>45.8</v>
      </c>
      <c r="E81" s="18" t="n">
        <f aca="false">WAVG!D20</f>
        <v>48.09</v>
      </c>
      <c r="F81" s="18" t="n">
        <f aca="false">WAVG!E20</f>
        <v>38.93</v>
      </c>
      <c r="G81" s="18" t="n">
        <f aca="false">WAVG!F20</f>
        <v>46.26</v>
      </c>
      <c r="H81" s="31" t="n">
        <f aca="false">WRAVG!C20</f>
        <v>25</v>
      </c>
      <c r="I81" s="31" t="n">
        <f aca="false">WRAVG!D20</f>
        <v>90</v>
      </c>
      <c r="J81" s="31" t="n">
        <f aca="false">WRAVG!E20</f>
        <v>45.8</v>
      </c>
      <c r="K81" s="31" t="n">
        <f aca="false">WRAVG!F20</f>
        <v>26.25</v>
      </c>
      <c r="L81" s="31" t="n">
        <f aca="false">WRAVG!G20</f>
        <v>95.4</v>
      </c>
      <c r="M81" s="31" t="n">
        <f aca="false">WRAVG!H20</f>
        <v>48.09</v>
      </c>
      <c r="N81" s="31" t="n">
        <f aca="false">WRAVG!I20</f>
        <v>17.5</v>
      </c>
      <c r="O81" s="31" t="n">
        <f aca="false">WRAVG!J20</f>
        <v>72</v>
      </c>
      <c r="P81" s="31" t="n">
        <f aca="false">WRAVG!K20</f>
        <v>38.93</v>
      </c>
      <c r="Q81" s="31" t="n">
        <f aca="false">WRAVG!L20</f>
        <v>25.3</v>
      </c>
      <c r="R81" s="31" t="n">
        <f aca="false">WRAVG!M20</f>
        <v>90.9</v>
      </c>
      <c r="S81" s="31" t="n">
        <f aca="false">WRAVG!N20</f>
        <v>46.26</v>
      </c>
      <c r="T81" s="42" t="n">
        <f aca="false">AIAVG!C20</f>
        <v>96750</v>
      </c>
      <c r="U81" s="42" t="n">
        <f aca="false">AIAVG!D20</f>
        <v>97718</v>
      </c>
      <c r="V81" s="42" t="n">
        <f aca="false">AIAVG!E20</f>
        <v>79335</v>
      </c>
      <c r="W81" s="42" t="n">
        <f aca="false">AIAVG!F20</f>
        <v>96891</v>
      </c>
      <c r="X81" s="42" t="n">
        <f aca="false">AIRAVG!C20</f>
        <v>50000</v>
      </c>
      <c r="Y81" s="42" t="n">
        <f aca="false">AIRAVG!D20</f>
        <v>180000</v>
      </c>
      <c r="Z81" s="42" t="n">
        <f aca="false">AIRAVG!E20</f>
        <v>95040</v>
      </c>
      <c r="AA81" s="42" t="n">
        <f aca="false">AIRAVG!F20</f>
        <v>52500</v>
      </c>
      <c r="AB81" s="42" t="n">
        <f aca="false">AIRAVG!G20</f>
        <v>190800</v>
      </c>
      <c r="AC81" s="42" t="n">
        <f aca="false">AIRAVG!H20</f>
        <v>100792</v>
      </c>
      <c r="AD81" s="42" t="n">
        <f aca="false">AIRAVG!I20</f>
        <v>35000</v>
      </c>
      <c r="AE81" s="42" t="n">
        <f aca="false">AIRAVG!J20</f>
        <v>144000</v>
      </c>
      <c r="AF81" s="42" t="n">
        <f aca="false">AIRAVG!K20</f>
        <v>76160</v>
      </c>
      <c r="AG81" s="42" t="n">
        <f aca="false">AIRAVG!L20</f>
        <v>50600</v>
      </c>
      <c r="AH81" s="42" t="n">
        <f aca="false">AIRAVG!M20</f>
        <v>181800</v>
      </c>
      <c r="AI81" s="42" t="n">
        <f aca="false">AIRAVG!N20</f>
        <v>96000</v>
      </c>
      <c r="AJ81" s="3" t="n">
        <f aca="false">AWHW!C20</f>
        <v>39.8</v>
      </c>
      <c r="AK81" s="3" t="n">
        <f aca="false">AWHW!D20</f>
        <v>40.5</v>
      </c>
      <c r="AL81" s="3" t="n">
        <f aca="false">AWHW!E20</f>
        <v>38</v>
      </c>
      <c r="AM81" s="3" t="n">
        <f aca="false">AWHW!F20</f>
        <v>39.9</v>
      </c>
      <c r="AR81" s="31"/>
      <c r="AS81" s="31"/>
      <c r="AT81" s="31"/>
      <c r="AU81" s="32"/>
      <c r="AV81" s="31"/>
      <c r="AW81" s="31"/>
      <c r="AX81" s="31"/>
      <c r="AY81" s="31"/>
      <c r="BC81" s="31"/>
      <c r="BD81" s="18"/>
      <c r="BE81" s="18"/>
      <c r="BF81" s="18"/>
      <c r="BG81" s="18"/>
      <c r="BH81" s="18"/>
      <c r="BI81" s="18"/>
      <c r="BJ81" s="18"/>
      <c r="BK81" s="18"/>
      <c r="BT81" s="3"/>
      <c r="BU81" s="3"/>
      <c r="BV81" s="3"/>
      <c r="BW81" s="3"/>
      <c r="BX81" s="3"/>
      <c r="BY81" s="3"/>
      <c r="BZ81" s="3"/>
      <c r="CA81" s="3"/>
      <c r="CF81" s="3"/>
      <c r="CG81" s="3"/>
      <c r="CH81" s="3"/>
      <c r="CI81" s="3"/>
      <c r="CJ81" s="3"/>
      <c r="CK81" s="3"/>
      <c r="CL81" s="3"/>
      <c r="CM81" s="3"/>
      <c r="CV81" s="18"/>
      <c r="CW81" s="18"/>
      <c r="CX81" s="18"/>
      <c r="CY81" s="18"/>
      <c r="DH81" s="18"/>
      <c r="DI81" s="18"/>
      <c r="DJ81" s="18"/>
      <c r="DK81" s="18"/>
      <c r="DP81" s="3"/>
      <c r="DQ81" s="3"/>
      <c r="DR81" s="3"/>
      <c r="DS81" s="3"/>
      <c r="DT81" s="3"/>
      <c r="DU81" s="3"/>
      <c r="DV81" s="3"/>
      <c r="DW81" s="3"/>
    </row>
    <row r="82" customFormat="false" ht="35.05" hidden="false" customHeight="false" outlineLevel="0" collapsed="false">
      <c r="A82" s="17" t="n">
        <v>17</v>
      </c>
      <c r="B82" s="18" t="n">
        <v>56</v>
      </c>
      <c r="C82" s="39" t="s">
        <v>1643</v>
      </c>
      <c r="D82" s="18" t="n">
        <f aca="false">WAVG!C21</f>
        <v>22.3</v>
      </c>
      <c r="E82" s="18" t="n">
        <f aca="false">WAVG!D21</f>
        <v>23.42</v>
      </c>
      <c r="F82" s="18" t="n">
        <f aca="false">WAVG!E21</f>
        <v>17.84</v>
      </c>
      <c r="G82" s="18" t="n">
        <f aca="false">WAVG!F21</f>
        <v>22.55</v>
      </c>
      <c r="H82" s="31" t="n">
        <f aca="false">WRAVG!C21</f>
        <v>12</v>
      </c>
      <c r="I82" s="31" t="n">
        <f aca="false">WRAVG!D21</f>
        <v>40</v>
      </c>
      <c r="J82" s="31" t="n">
        <f aca="false">WRAVG!E21</f>
        <v>22.3</v>
      </c>
      <c r="K82" s="31" t="n">
        <f aca="false">WRAVG!F21</f>
        <v>12.6</v>
      </c>
      <c r="L82" s="31" t="n">
        <f aca="false">WRAVG!G21</f>
        <v>42.4</v>
      </c>
      <c r="M82" s="31" t="n">
        <f aca="false">WRAVG!H21</f>
        <v>23.42</v>
      </c>
      <c r="N82" s="31" t="n">
        <f aca="false">WRAVG!I21</f>
        <v>8.4</v>
      </c>
      <c r="O82" s="31" t="n">
        <f aca="false">WRAVG!J21</f>
        <v>32</v>
      </c>
      <c r="P82" s="31" t="n">
        <f aca="false">WRAVG!K21</f>
        <v>17.84</v>
      </c>
      <c r="Q82" s="31" t="n">
        <f aca="false">WRAVG!L21</f>
        <v>12.12</v>
      </c>
      <c r="R82" s="31" t="n">
        <f aca="false">WRAVG!M21</f>
        <v>40.4</v>
      </c>
      <c r="S82" s="31" t="n">
        <f aca="false">WRAVG!N21</f>
        <v>22.55</v>
      </c>
      <c r="T82" s="42" t="n">
        <f aca="false">AIAVG!C21</f>
        <v>45000</v>
      </c>
      <c r="U82" s="42" t="n">
        <f aca="false">AIAVG!D21</f>
        <v>46350</v>
      </c>
      <c r="V82" s="42" t="n">
        <f aca="false">AIAVG!E21</f>
        <v>31500</v>
      </c>
      <c r="W82" s="42" t="n">
        <f aca="false">AIAVG!F21</f>
        <v>45135</v>
      </c>
      <c r="X82" s="42" t="n">
        <f aca="false">AIRAVG!C21</f>
        <v>24000</v>
      </c>
      <c r="Y82" s="42" t="n">
        <f aca="false">AIRAVG!D21</f>
        <v>80000</v>
      </c>
      <c r="Z82" s="42" t="n">
        <f aca="false">AIRAVG!E21</f>
        <v>44600</v>
      </c>
      <c r="AA82" s="42" t="n">
        <f aca="false">AIRAVG!F21</f>
        <v>25200</v>
      </c>
      <c r="AB82" s="42" t="n">
        <f aca="false">AIRAVG!G21</f>
        <v>84800</v>
      </c>
      <c r="AC82" s="42" t="n">
        <f aca="false">AIRAVG!H21</f>
        <v>46880</v>
      </c>
      <c r="AD82" s="42" t="n">
        <f aca="false">AIRAVG!I21</f>
        <v>16800</v>
      </c>
      <c r="AE82" s="42" t="n">
        <f aca="false">AIRAVG!J21</f>
        <v>64000</v>
      </c>
      <c r="AF82" s="42" t="n">
        <f aca="false">AIRAVG!K21</f>
        <v>35840</v>
      </c>
      <c r="AG82" s="42" t="n">
        <f aca="false">AIRAVG!L21</f>
        <v>24240</v>
      </c>
      <c r="AH82" s="42" t="n">
        <f aca="false">AIRAVG!M21</f>
        <v>80800</v>
      </c>
      <c r="AI82" s="42" t="n">
        <f aca="false">AIRAVG!N21</f>
        <v>44900</v>
      </c>
      <c r="AJ82" s="3" t="n">
        <f aca="false">AWHW!C21</f>
        <v>37.5</v>
      </c>
      <c r="AK82" s="3" t="n">
        <f aca="false">AWHW!D21</f>
        <v>38</v>
      </c>
      <c r="AL82" s="3" t="n">
        <f aca="false">AWHW!E21</f>
        <v>36.5</v>
      </c>
      <c r="AM82" s="3" t="n">
        <f aca="false">AWHW!F21</f>
        <v>37.6</v>
      </c>
      <c r="AR82" s="31"/>
      <c r="AS82" s="31"/>
      <c r="AT82" s="31"/>
      <c r="AU82" s="32"/>
      <c r="AV82" s="31"/>
      <c r="AW82" s="31"/>
      <c r="AX82" s="31"/>
      <c r="AY82" s="31"/>
      <c r="BC82" s="31"/>
      <c r="BD82" s="18"/>
      <c r="BE82" s="18"/>
      <c r="BF82" s="18"/>
      <c r="BG82" s="18"/>
      <c r="BH82" s="18"/>
      <c r="BI82" s="18"/>
      <c r="BJ82" s="18"/>
      <c r="BK82" s="18"/>
      <c r="BT82" s="3"/>
      <c r="BU82" s="3"/>
      <c r="BV82" s="3"/>
      <c r="BW82" s="3"/>
      <c r="BX82" s="3"/>
      <c r="BY82" s="3"/>
      <c r="BZ82" s="3"/>
      <c r="CA82" s="3"/>
      <c r="CF82" s="3"/>
      <c r="CG82" s="3"/>
      <c r="CH82" s="3"/>
      <c r="CI82" s="3"/>
      <c r="CJ82" s="3"/>
      <c r="CK82" s="3"/>
      <c r="CL82" s="3"/>
      <c r="CM82" s="3"/>
      <c r="CV82" s="18"/>
      <c r="CW82" s="18"/>
      <c r="CX82" s="18"/>
      <c r="CY82" s="18"/>
      <c r="DH82" s="18"/>
      <c r="DI82" s="18"/>
      <c r="DJ82" s="18"/>
      <c r="DK82" s="18"/>
      <c r="DP82" s="3"/>
      <c r="DQ82" s="3"/>
      <c r="DR82" s="3"/>
      <c r="DS82" s="3"/>
      <c r="DT82" s="3"/>
      <c r="DU82" s="3"/>
      <c r="DV82" s="3"/>
      <c r="DW82" s="3"/>
    </row>
    <row r="83" customFormat="false" ht="12.8" hidden="false" customHeight="false" outlineLevel="0" collapsed="false">
      <c r="A83" s="17" t="n">
        <v>18</v>
      </c>
      <c r="B83" s="18" t="n">
        <v>61</v>
      </c>
      <c r="C83" s="18" t="s">
        <v>1644</v>
      </c>
      <c r="D83" s="18" t="n">
        <f aca="false">WAVG!C22</f>
        <v>34.2</v>
      </c>
      <c r="E83" s="18" t="n">
        <f aca="false">WAVG!D22</f>
        <v>35.91</v>
      </c>
      <c r="F83" s="18" t="n">
        <f aca="false">WAVG!E22</f>
        <v>29.07</v>
      </c>
      <c r="G83" s="18" t="n">
        <f aca="false">WAVG!F22</f>
        <v>34.55</v>
      </c>
      <c r="H83" s="31" t="n">
        <f aca="false">WRAVG!C22</f>
        <v>18.5</v>
      </c>
      <c r="I83" s="31" t="n">
        <f aca="false">WRAVG!D22</f>
        <v>62</v>
      </c>
      <c r="J83" s="31" t="n">
        <f aca="false">WRAVG!E22</f>
        <v>34.2</v>
      </c>
      <c r="K83" s="31" t="n">
        <f aca="false">WRAVG!F22</f>
        <v>19.43</v>
      </c>
      <c r="L83" s="31" t="n">
        <f aca="false">WRAVG!G22</f>
        <v>65.72</v>
      </c>
      <c r="M83" s="31" t="n">
        <f aca="false">WRAVG!H22</f>
        <v>35.91</v>
      </c>
      <c r="N83" s="31" t="n">
        <f aca="false">WRAVG!I22</f>
        <v>12.95</v>
      </c>
      <c r="O83" s="31" t="n">
        <f aca="false">WRAVG!J22</f>
        <v>49.6</v>
      </c>
      <c r="P83" s="31" t="n">
        <f aca="false">WRAVG!K22</f>
        <v>29.07</v>
      </c>
      <c r="Q83" s="31" t="n">
        <f aca="false">WRAVG!L22</f>
        <v>18.7</v>
      </c>
      <c r="R83" s="31" t="n">
        <f aca="false">WRAVG!M22</f>
        <v>62.6</v>
      </c>
      <c r="S83" s="31" t="n">
        <f aca="false">WRAVG!N22</f>
        <v>34.55</v>
      </c>
      <c r="T83" s="42" t="n">
        <f aca="false">AIAVG!C22</f>
        <v>68250</v>
      </c>
      <c r="U83" s="42" t="n">
        <f aca="false">AIAVG!D22</f>
        <v>69314</v>
      </c>
      <c r="V83" s="42" t="n">
        <f aca="false">AIAVG!E22</f>
        <v>54600</v>
      </c>
      <c r="W83" s="42" t="n">
        <f aca="false">AIAVG!F22</f>
        <v>68429</v>
      </c>
      <c r="X83" s="42" t="n">
        <f aca="false">AIRAVG!C22</f>
        <v>37000</v>
      </c>
      <c r="Y83" s="42" t="n">
        <f aca="false">AIRAVG!D22</f>
        <v>124000</v>
      </c>
      <c r="Z83" s="42" t="n">
        <f aca="false">AIRAVG!E22</f>
        <v>70880</v>
      </c>
      <c r="AA83" s="42" t="n">
        <f aca="false">AIRAVG!F22</f>
        <v>38860</v>
      </c>
      <c r="AB83" s="42" t="n">
        <f aca="false">AIRAVG!G22</f>
        <v>131440</v>
      </c>
      <c r="AC83" s="42" t="n">
        <f aca="false">AIRAVG!H22</f>
        <v>74424</v>
      </c>
      <c r="AD83" s="42" t="n">
        <f aca="false">AIRAVG!I22</f>
        <v>25900</v>
      </c>
      <c r="AE83" s="42" t="n">
        <f aca="false">AIRAVG!J22</f>
        <v>99200</v>
      </c>
      <c r="AF83" s="42" t="n">
        <f aca="false">AIRAVG!K22</f>
        <v>56560</v>
      </c>
      <c r="AG83" s="42" t="n">
        <f aca="false">AIRAVG!L22</f>
        <v>37400</v>
      </c>
      <c r="AH83" s="42" t="n">
        <f aca="false">AIRAVG!M22</f>
        <v>125200</v>
      </c>
      <c r="AI83" s="42" t="n">
        <f aca="false">AIRAVG!N22</f>
        <v>71400</v>
      </c>
      <c r="AJ83" s="3" t="n">
        <f aca="false">AWHW!C22</f>
        <v>37</v>
      </c>
      <c r="AK83" s="3" t="n">
        <f aca="false">AWHW!D22</f>
        <v>37.5</v>
      </c>
      <c r="AL83" s="3" t="n">
        <f aca="false">AWHW!E22</f>
        <v>36</v>
      </c>
      <c r="AM83" s="3" t="n">
        <f aca="false">AWHW!F22</f>
        <v>37.1</v>
      </c>
      <c r="AR83" s="31"/>
      <c r="AS83" s="31"/>
      <c r="AT83" s="31"/>
      <c r="AU83" s="32"/>
      <c r="AV83" s="31"/>
      <c r="AW83" s="31"/>
      <c r="AX83" s="31"/>
      <c r="AY83" s="31"/>
      <c r="BC83" s="31"/>
      <c r="BD83" s="18"/>
      <c r="BE83" s="18"/>
      <c r="BF83" s="18"/>
      <c r="BG83" s="18"/>
      <c r="BH83" s="18"/>
      <c r="BI83" s="18"/>
      <c r="BJ83" s="18"/>
      <c r="BK83" s="18"/>
      <c r="BT83" s="3"/>
      <c r="BU83" s="3"/>
      <c r="BV83" s="3"/>
      <c r="BW83" s="3"/>
      <c r="BX83" s="3"/>
      <c r="BY83" s="3"/>
      <c r="BZ83" s="3"/>
      <c r="CA83" s="3"/>
      <c r="CF83" s="3"/>
      <c r="CG83" s="3"/>
      <c r="CH83" s="3"/>
      <c r="CI83" s="3"/>
      <c r="CJ83" s="3"/>
      <c r="CK83" s="3"/>
      <c r="CL83" s="3"/>
      <c r="CM83" s="3"/>
      <c r="CV83" s="18"/>
      <c r="CW83" s="18"/>
      <c r="CX83" s="18"/>
      <c r="CY83" s="18"/>
      <c r="DH83" s="18"/>
      <c r="DI83" s="18"/>
      <c r="DJ83" s="18"/>
      <c r="DK83" s="18"/>
      <c r="DP83" s="3"/>
      <c r="DQ83" s="3"/>
      <c r="DR83" s="3"/>
      <c r="DS83" s="3"/>
      <c r="DT83" s="3"/>
      <c r="DU83" s="3"/>
      <c r="DV83" s="3"/>
      <c r="DW83" s="3"/>
    </row>
    <row r="84" customFormat="false" ht="12.8" hidden="false" customHeight="false" outlineLevel="0" collapsed="false">
      <c r="A84" s="17" t="n">
        <v>19</v>
      </c>
      <c r="B84" s="18" t="n">
        <v>62</v>
      </c>
      <c r="C84" s="39" t="s">
        <v>1645</v>
      </c>
      <c r="D84" s="18" t="n">
        <f aca="false">WAVG!C23</f>
        <v>36.7</v>
      </c>
      <c r="E84" s="18" t="n">
        <f aca="false">WAVG!D23</f>
        <v>38.54</v>
      </c>
      <c r="F84" s="18" t="n">
        <f aca="false">WAVG!E23</f>
        <v>31.2</v>
      </c>
      <c r="G84" s="18" t="n">
        <f aca="false">WAVG!F23</f>
        <v>37.07</v>
      </c>
      <c r="H84" s="31" t="n">
        <f aca="false">WRAVG!C23</f>
        <v>20</v>
      </c>
      <c r="I84" s="31" t="n">
        <f aca="false">WRAVG!D23</f>
        <v>68</v>
      </c>
      <c r="J84" s="31" t="n">
        <f aca="false">WRAVG!E23</f>
        <v>36.7</v>
      </c>
      <c r="K84" s="31" t="n">
        <f aca="false">WRAVG!F23</f>
        <v>21</v>
      </c>
      <c r="L84" s="31" t="n">
        <f aca="false">WRAVG!G23</f>
        <v>72.08</v>
      </c>
      <c r="M84" s="31" t="n">
        <f aca="false">WRAVG!H23</f>
        <v>38.54</v>
      </c>
      <c r="N84" s="31" t="n">
        <f aca="false">WRAVG!I23</f>
        <v>14</v>
      </c>
      <c r="O84" s="31" t="n">
        <f aca="false">WRAVG!J23</f>
        <v>54.4</v>
      </c>
      <c r="P84" s="31" t="n">
        <f aca="false">WRAVG!K23</f>
        <v>31.2</v>
      </c>
      <c r="Q84" s="31" t="n">
        <f aca="false">WRAVG!L23</f>
        <v>20.2</v>
      </c>
      <c r="R84" s="31" t="n">
        <f aca="false">WRAVG!M23</f>
        <v>68.7</v>
      </c>
      <c r="S84" s="31" t="n">
        <f aca="false">WRAVG!N23</f>
        <v>37.07</v>
      </c>
      <c r="T84" s="42" t="n">
        <f aca="false">AIAVG!C23</f>
        <v>70000</v>
      </c>
      <c r="U84" s="42" t="n">
        <f aca="false">AIAVG!D23</f>
        <v>71050</v>
      </c>
      <c r="V84" s="42" t="n">
        <f aca="false">AIAVG!E23</f>
        <v>56000</v>
      </c>
      <c r="W84" s="42" t="n">
        <f aca="false">AIAVG!F23</f>
        <v>70175</v>
      </c>
      <c r="X84" s="42" t="n">
        <f aca="false">AIRAVG!C23</f>
        <v>40000</v>
      </c>
      <c r="Y84" s="42" t="n">
        <f aca="false">AIRAVG!D23</f>
        <v>136000</v>
      </c>
      <c r="Z84" s="42" t="n">
        <f aca="false">AIRAVG!E23</f>
        <v>76480</v>
      </c>
      <c r="AA84" s="42" t="n">
        <f aca="false">AIRAVG!F23</f>
        <v>42000</v>
      </c>
      <c r="AB84" s="42" t="n">
        <f aca="false">AIRAVG!G23</f>
        <v>144160</v>
      </c>
      <c r="AC84" s="42" t="n">
        <f aca="false">AIRAVG!H23</f>
        <v>80304</v>
      </c>
      <c r="AD84" s="42" t="n">
        <f aca="false">AIRAVG!I23</f>
        <v>28000</v>
      </c>
      <c r="AE84" s="42" t="n">
        <f aca="false">AIRAVG!J23</f>
        <v>108800</v>
      </c>
      <c r="AF84" s="42" t="n">
        <f aca="false">AIRAVG!K23</f>
        <v>61120</v>
      </c>
      <c r="AG84" s="42" t="n">
        <f aca="false">AIRAVG!L23</f>
        <v>40400</v>
      </c>
      <c r="AH84" s="42" t="n">
        <f aca="false">AIRAVG!M23</f>
        <v>137400</v>
      </c>
      <c r="AI84" s="42" t="n">
        <f aca="false">AIRAVG!N23</f>
        <v>78300</v>
      </c>
      <c r="AJ84" s="3" t="n">
        <f aca="false">AWHW!C23</f>
        <v>38.2</v>
      </c>
      <c r="AK84" s="3" t="n">
        <f aca="false">AWHW!D23</f>
        <v>38.8</v>
      </c>
      <c r="AL84" s="3" t="n">
        <f aca="false">AWHW!E23</f>
        <v>37</v>
      </c>
      <c r="AM84" s="3" t="n">
        <f aca="false">AWHW!F23</f>
        <v>38.3</v>
      </c>
      <c r="AR84" s="31"/>
      <c r="AS84" s="31"/>
      <c r="AT84" s="31"/>
      <c r="AU84" s="32"/>
      <c r="AV84" s="31"/>
      <c r="AW84" s="31"/>
      <c r="AX84" s="31"/>
      <c r="AY84" s="31"/>
      <c r="BC84" s="31"/>
      <c r="BD84" s="18"/>
      <c r="BE84" s="18"/>
      <c r="BF84" s="18"/>
      <c r="BG84" s="18"/>
      <c r="BH84" s="18"/>
      <c r="BI84" s="18"/>
      <c r="BJ84" s="18"/>
      <c r="BK84" s="18"/>
      <c r="BT84" s="3"/>
      <c r="BU84" s="3"/>
      <c r="BV84" s="3"/>
      <c r="BW84" s="3"/>
      <c r="BX84" s="3"/>
      <c r="BY84" s="3"/>
      <c r="BZ84" s="3"/>
      <c r="CA84" s="3"/>
      <c r="CF84" s="3"/>
      <c r="CG84" s="3"/>
      <c r="CH84" s="3"/>
      <c r="CI84" s="3"/>
      <c r="CJ84" s="3"/>
      <c r="CK84" s="3"/>
      <c r="CL84" s="3"/>
      <c r="CM84" s="3"/>
      <c r="CV84" s="18"/>
      <c r="CW84" s="18"/>
      <c r="CX84" s="18"/>
      <c r="CY84" s="18"/>
      <c r="DH84" s="18"/>
      <c r="DI84" s="18"/>
      <c r="DJ84" s="18"/>
      <c r="DK84" s="18"/>
      <c r="DP84" s="3"/>
      <c r="DQ84" s="3"/>
      <c r="DR84" s="3"/>
      <c r="DS84" s="3"/>
      <c r="DT84" s="3"/>
      <c r="DU84" s="3"/>
      <c r="DV84" s="3"/>
      <c r="DW84" s="3"/>
    </row>
    <row r="85" customFormat="false" ht="12.8" hidden="false" customHeight="false" outlineLevel="0" collapsed="false">
      <c r="A85" s="17" t="n">
        <v>20</v>
      </c>
      <c r="B85" s="18" t="n">
        <v>71</v>
      </c>
      <c r="C85" s="39" t="s">
        <v>1646</v>
      </c>
      <c r="D85" s="18" t="n">
        <f aca="false">WAVG!C24</f>
        <v>24.5</v>
      </c>
      <c r="E85" s="18" t="n">
        <f aca="false">WAVG!D24</f>
        <v>25.73</v>
      </c>
      <c r="F85" s="18" t="n">
        <f aca="false">WAVG!E24</f>
        <v>19.6</v>
      </c>
      <c r="G85" s="18" t="n">
        <f aca="false">WAVG!F24</f>
        <v>24.75</v>
      </c>
      <c r="H85" s="31" t="n">
        <f aca="false">WRAVG!C24</f>
        <v>13</v>
      </c>
      <c r="I85" s="31" t="n">
        <f aca="false">WRAVG!D24</f>
        <v>42</v>
      </c>
      <c r="J85" s="31" t="n">
        <f aca="false">WRAVG!E24</f>
        <v>24.5</v>
      </c>
      <c r="K85" s="31" t="n">
        <f aca="false">WRAVG!F24</f>
        <v>13.65</v>
      </c>
      <c r="L85" s="31" t="n">
        <f aca="false">WRAVG!G24</f>
        <v>44.52</v>
      </c>
      <c r="M85" s="31" t="n">
        <f aca="false">WRAVG!H24</f>
        <v>25.73</v>
      </c>
      <c r="N85" s="31" t="n">
        <f aca="false">WRAVG!I24</f>
        <v>9.1</v>
      </c>
      <c r="O85" s="31" t="n">
        <f aca="false">WRAVG!J24</f>
        <v>33.6</v>
      </c>
      <c r="P85" s="31" t="n">
        <f aca="false">WRAVG!K24</f>
        <v>19.6</v>
      </c>
      <c r="Q85" s="31" t="n">
        <f aca="false">WRAVG!L24</f>
        <v>13.13</v>
      </c>
      <c r="R85" s="31" t="n">
        <f aca="false">WRAVG!M24</f>
        <v>42.4</v>
      </c>
      <c r="S85" s="31" t="n">
        <f aca="false">WRAVG!N24</f>
        <v>24.75</v>
      </c>
      <c r="T85" s="42" t="n">
        <f aca="false">AIAVG!C24</f>
        <v>34000</v>
      </c>
      <c r="U85" s="42" t="n">
        <f aca="false">AIAVG!D24</f>
        <v>35020</v>
      </c>
      <c r="V85" s="42" t="n">
        <f aca="false">AIAVG!E24</f>
        <v>23120</v>
      </c>
      <c r="W85" s="42" t="n">
        <f aca="false">AIAVG!F24</f>
        <v>34134</v>
      </c>
      <c r="X85" s="42" t="n">
        <f aca="false">AIRAVG!C24</f>
        <v>26000</v>
      </c>
      <c r="Y85" s="42" t="n">
        <f aca="false">AIRAVG!D24</f>
        <v>84000</v>
      </c>
      <c r="Z85" s="42" t="n">
        <f aca="false">AIRAVG!E24</f>
        <v>50720</v>
      </c>
      <c r="AA85" s="42" t="n">
        <f aca="false">AIRAVG!F24</f>
        <v>27300</v>
      </c>
      <c r="AB85" s="42" t="n">
        <f aca="false">AIRAVG!G24</f>
        <v>89040</v>
      </c>
      <c r="AC85" s="42" t="n">
        <f aca="false">AIRAVG!H24</f>
        <v>53376</v>
      </c>
      <c r="AD85" s="42" t="n">
        <f aca="false">AIRAVG!I24</f>
        <v>18200</v>
      </c>
      <c r="AE85" s="42" t="n">
        <f aca="false">AIRAVG!J24</f>
        <v>67200</v>
      </c>
      <c r="AF85" s="42" t="n">
        <f aca="false">AIRAVG!K24</f>
        <v>40640</v>
      </c>
      <c r="AG85" s="42" t="n">
        <f aca="false">AIRAVG!L24</f>
        <v>26260</v>
      </c>
      <c r="AH85" s="42" t="n">
        <f aca="false">AIRAVG!M24</f>
        <v>84800</v>
      </c>
      <c r="AI85" s="42" t="n">
        <f aca="false">AIRAVG!N24</f>
        <v>51200</v>
      </c>
      <c r="AJ85" s="3" t="n">
        <f aca="false">AWHW!C24</f>
        <v>34</v>
      </c>
      <c r="AK85" s="3" t="n">
        <f aca="false">AWHW!D24</f>
        <v>34.5</v>
      </c>
      <c r="AL85" s="3" t="n">
        <f aca="false">AWHW!E24</f>
        <v>33</v>
      </c>
      <c r="AM85" s="3" t="n">
        <f aca="false">AWHW!F24</f>
        <v>34.1</v>
      </c>
      <c r="AR85" s="31"/>
      <c r="AS85" s="31"/>
      <c r="AT85" s="31"/>
      <c r="AU85" s="32"/>
      <c r="AV85" s="31"/>
      <c r="AW85" s="31"/>
      <c r="AX85" s="31"/>
      <c r="AY85" s="31"/>
      <c r="BC85" s="31"/>
      <c r="BD85" s="18"/>
      <c r="BE85" s="18"/>
      <c r="BF85" s="18"/>
      <c r="BG85" s="18"/>
      <c r="BH85" s="18"/>
      <c r="BI85" s="18"/>
      <c r="BJ85" s="18"/>
      <c r="BK85" s="18"/>
      <c r="BT85" s="3"/>
      <c r="BU85" s="3"/>
      <c r="BV85" s="3"/>
      <c r="BW85" s="3"/>
      <c r="BX85" s="3"/>
      <c r="BY85" s="3"/>
      <c r="BZ85" s="3"/>
      <c r="CA85" s="3"/>
      <c r="CF85" s="3"/>
      <c r="CG85" s="3"/>
      <c r="CH85" s="3"/>
      <c r="CI85" s="3"/>
      <c r="CJ85" s="3"/>
      <c r="CK85" s="3"/>
      <c r="CL85" s="3"/>
      <c r="CM85" s="3"/>
      <c r="CV85" s="18"/>
      <c r="CW85" s="18"/>
      <c r="CX85" s="18"/>
      <c r="CY85" s="18"/>
      <c r="DH85" s="18"/>
      <c r="DI85" s="18"/>
      <c r="DJ85" s="18"/>
      <c r="DK85" s="18"/>
      <c r="DP85" s="3"/>
      <c r="DQ85" s="3"/>
      <c r="DR85" s="3"/>
      <c r="DS85" s="3"/>
      <c r="DT85" s="3"/>
      <c r="DU85" s="3"/>
      <c r="DV85" s="3"/>
      <c r="DW85" s="3"/>
    </row>
    <row r="86" customFormat="false" ht="12.8" hidden="false" customHeight="false" outlineLevel="0" collapsed="false">
      <c r="A86" s="17" t="n">
        <v>21</v>
      </c>
      <c r="B86" s="18" t="n">
        <v>72</v>
      </c>
      <c r="C86" s="39" t="s">
        <v>1647</v>
      </c>
      <c r="D86" s="18" t="n">
        <f aca="false">WAVG!C25</f>
        <v>16.8</v>
      </c>
      <c r="E86" s="18" t="n">
        <f aca="false">WAVG!D25</f>
        <v>17.64</v>
      </c>
      <c r="F86" s="18" t="n">
        <f aca="false">WAVG!E25</f>
        <v>13.44</v>
      </c>
      <c r="G86" s="18" t="n">
        <f aca="false">WAVG!F25</f>
        <v>17</v>
      </c>
      <c r="H86" s="31" t="n">
        <f aca="false">WRAVG!C25</f>
        <v>9.5</v>
      </c>
      <c r="I86" s="31" t="n">
        <f aca="false">WRAVG!D25</f>
        <v>32</v>
      </c>
      <c r="J86" s="31" t="n">
        <f aca="false">WRAVG!E25</f>
        <v>16.8</v>
      </c>
      <c r="K86" s="31" t="n">
        <f aca="false">WRAVG!F25</f>
        <v>9.98</v>
      </c>
      <c r="L86" s="31" t="n">
        <f aca="false">WRAVG!G25</f>
        <v>33.92</v>
      </c>
      <c r="M86" s="31" t="n">
        <f aca="false">WRAVG!H25</f>
        <v>17.64</v>
      </c>
      <c r="N86" s="31" t="n">
        <f aca="false">WRAVG!I25</f>
        <v>6.65</v>
      </c>
      <c r="O86" s="31" t="n">
        <f aca="false">WRAVG!J25</f>
        <v>25.6</v>
      </c>
      <c r="P86" s="31" t="n">
        <f aca="false">WRAVG!K25</f>
        <v>13.44</v>
      </c>
      <c r="Q86" s="31" t="n">
        <f aca="false">WRAVG!L25</f>
        <v>9.6</v>
      </c>
      <c r="R86" s="31" t="n">
        <f aca="false">WRAVG!M25</f>
        <v>32.3</v>
      </c>
      <c r="S86" s="31" t="n">
        <f aca="false">WRAVG!N25</f>
        <v>17</v>
      </c>
      <c r="T86" s="42" t="n">
        <f aca="false">AIAVG!C25</f>
        <v>25600</v>
      </c>
      <c r="U86" s="42" t="n">
        <f aca="false">AIAVG!D25</f>
        <v>26496</v>
      </c>
      <c r="V86" s="42" t="n">
        <f aca="false">AIAVG!E25</f>
        <v>16640</v>
      </c>
      <c r="W86" s="42" t="n">
        <f aca="false">AIAVG!F25</f>
        <v>25664</v>
      </c>
      <c r="X86" s="42" t="n">
        <f aca="false">AIRAVG!C25</f>
        <v>19000</v>
      </c>
      <c r="Y86" s="42" t="n">
        <f aca="false">AIRAVG!D25</f>
        <v>64000</v>
      </c>
      <c r="Z86" s="42" t="n">
        <f aca="false">AIRAVG!E25</f>
        <v>34960</v>
      </c>
      <c r="AA86" s="42" t="n">
        <f aca="false">AIRAVG!F25</f>
        <v>19950</v>
      </c>
      <c r="AB86" s="42" t="n">
        <f aca="false">AIRAVG!G25</f>
        <v>67840</v>
      </c>
      <c r="AC86" s="42" t="n">
        <f aca="false">AIRAVG!H25</f>
        <v>37152</v>
      </c>
      <c r="AD86" s="42" t="n">
        <f aca="false">AIRAVG!I25</f>
        <v>13300</v>
      </c>
      <c r="AE86" s="42" t="n">
        <f aca="false">AIRAVG!J25</f>
        <v>51200</v>
      </c>
      <c r="AF86" s="42" t="n">
        <f aca="false">AIRAVG!K25</f>
        <v>27968</v>
      </c>
      <c r="AG86" s="42" t="n">
        <f aca="false">AIRAVG!L25</f>
        <v>19200</v>
      </c>
      <c r="AH86" s="42" t="n">
        <f aca="false">AIRAVG!M25</f>
        <v>64600</v>
      </c>
      <c r="AI86" s="42" t="n">
        <f aca="false">AIRAVG!N25</f>
        <v>35300</v>
      </c>
      <c r="AJ86" s="3" t="n">
        <f aca="false">AWHW!C25</f>
        <v>33.5</v>
      </c>
      <c r="AK86" s="3" t="n">
        <f aca="false">AWHW!D25</f>
        <v>34</v>
      </c>
      <c r="AL86" s="3" t="n">
        <f aca="false">AWHW!E25</f>
        <v>32.5</v>
      </c>
      <c r="AM86" s="3" t="n">
        <f aca="false">AWHW!F25</f>
        <v>33.6</v>
      </c>
      <c r="AR86" s="31"/>
      <c r="AS86" s="31"/>
      <c r="AT86" s="31"/>
      <c r="AU86" s="32"/>
      <c r="AV86" s="31"/>
      <c r="AW86" s="31"/>
      <c r="AX86" s="31"/>
      <c r="AY86" s="31"/>
      <c r="BC86" s="31"/>
      <c r="BD86" s="18"/>
      <c r="BE86" s="18"/>
      <c r="BF86" s="18"/>
      <c r="BG86" s="18"/>
      <c r="BH86" s="18"/>
      <c r="BI86" s="18"/>
      <c r="BJ86" s="18"/>
      <c r="BK86" s="18"/>
      <c r="BT86" s="3"/>
      <c r="BU86" s="3"/>
      <c r="BV86" s="3"/>
      <c r="BW86" s="3"/>
      <c r="BX86" s="3"/>
      <c r="BY86" s="3"/>
      <c r="BZ86" s="3"/>
      <c r="CA86" s="3"/>
      <c r="CF86" s="3"/>
      <c r="CG86" s="3"/>
      <c r="CH86" s="3"/>
      <c r="CI86" s="3"/>
      <c r="CJ86" s="3"/>
      <c r="CK86" s="3"/>
      <c r="CL86" s="3"/>
      <c r="CM86" s="3"/>
      <c r="CV86" s="18"/>
      <c r="CW86" s="18"/>
      <c r="CX86" s="18"/>
      <c r="CY86" s="18"/>
      <c r="DH86" s="18"/>
      <c r="DI86" s="18"/>
      <c r="DJ86" s="18"/>
      <c r="DK86" s="18"/>
      <c r="DP86" s="3"/>
      <c r="DQ86" s="3"/>
      <c r="DR86" s="3"/>
      <c r="DS86" s="3"/>
      <c r="DT86" s="3"/>
      <c r="DU86" s="3"/>
      <c r="DV86" s="3"/>
      <c r="DW86" s="3"/>
    </row>
    <row r="87" customFormat="false" ht="23.85" hidden="false" customHeight="false" outlineLevel="0" collapsed="false">
      <c r="A87" s="17" t="n">
        <v>22</v>
      </c>
      <c r="B87" s="18" t="n">
        <v>81</v>
      </c>
      <c r="C87" s="39" t="s">
        <v>1648</v>
      </c>
      <c r="D87" s="18" t="n">
        <f aca="false">WAVG!C26</f>
        <v>26.1</v>
      </c>
      <c r="E87" s="18" t="n">
        <f aca="false">WAVG!D26</f>
        <v>27.41</v>
      </c>
      <c r="F87" s="18" t="n">
        <f aca="false">WAVG!E26</f>
        <v>20.88</v>
      </c>
      <c r="G87" s="18" t="n">
        <f aca="false">WAVG!F26</f>
        <v>26.35</v>
      </c>
      <c r="H87" s="31" t="n">
        <f aca="false">WRAVG!C26</f>
        <v>14</v>
      </c>
      <c r="I87" s="31" t="n">
        <f aca="false">WRAVG!D26</f>
        <v>48</v>
      </c>
      <c r="J87" s="31" t="n">
        <f aca="false">WRAVG!E26</f>
        <v>26.1</v>
      </c>
      <c r="K87" s="31" t="n">
        <f aca="false">WRAVG!F26</f>
        <v>14.7</v>
      </c>
      <c r="L87" s="31" t="n">
        <f aca="false">WRAVG!G26</f>
        <v>50.88</v>
      </c>
      <c r="M87" s="31" t="n">
        <f aca="false">WRAVG!H26</f>
        <v>27.41</v>
      </c>
      <c r="N87" s="31" t="n">
        <f aca="false">WRAVG!I26</f>
        <v>9.8</v>
      </c>
      <c r="O87" s="31" t="n">
        <f aca="false">WRAVG!J26</f>
        <v>38.4</v>
      </c>
      <c r="P87" s="31" t="n">
        <f aca="false">WRAVG!K26</f>
        <v>20.88</v>
      </c>
      <c r="Q87" s="31" t="n">
        <f aca="false">WRAVG!L26</f>
        <v>14.14</v>
      </c>
      <c r="R87" s="31" t="n">
        <f aca="false">WRAVG!M26</f>
        <v>48.5</v>
      </c>
      <c r="S87" s="31" t="n">
        <f aca="false">WRAVG!N26</f>
        <v>26.35</v>
      </c>
      <c r="T87" s="42" t="n">
        <f aca="false">AIAVG!C26</f>
        <v>46250</v>
      </c>
      <c r="U87" s="42" t="n">
        <f aca="false">AIAVG!D26</f>
        <v>47638</v>
      </c>
      <c r="V87" s="42" t="n">
        <f aca="false">AIAVG!E26</f>
        <v>32375</v>
      </c>
      <c r="W87" s="42" t="n">
        <f aca="false">AIAVG!F26</f>
        <v>46431</v>
      </c>
      <c r="X87" s="42" t="n">
        <f aca="false">AIRAVG!C26</f>
        <v>28000</v>
      </c>
      <c r="Y87" s="42" t="n">
        <f aca="false">AIRAVG!D26</f>
        <v>96000</v>
      </c>
      <c r="Z87" s="42" t="n">
        <f aca="false">AIRAVG!E26</f>
        <v>52200</v>
      </c>
      <c r="AA87" s="42" t="n">
        <f aca="false">AIRAVG!F26</f>
        <v>29400</v>
      </c>
      <c r="AB87" s="42" t="n">
        <f aca="false">AIRAVG!G26</f>
        <v>101760</v>
      </c>
      <c r="AC87" s="42" t="n">
        <f aca="false">AIRAVG!H26</f>
        <v>54810</v>
      </c>
      <c r="AD87" s="42" t="n">
        <f aca="false">AIRAVG!I26</f>
        <v>19600</v>
      </c>
      <c r="AE87" s="42" t="n">
        <f aca="false">AIRAVG!J26</f>
        <v>76800</v>
      </c>
      <c r="AF87" s="42" t="n">
        <f aca="false">AIRAVG!K26</f>
        <v>41760</v>
      </c>
      <c r="AG87" s="42" t="n">
        <f aca="false">AIRAVG!L26</f>
        <v>28280</v>
      </c>
      <c r="AH87" s="42" t="n">
        <f aca="false">AIRAVG!M26</f>
        <v>97000</v>
      </c>
      <c r="AI87" s="42" t="n">
        <f aca="false">AIRAVG!N26</f>
        <v>52600</v>
      </c>
      <c r="AJ87" s="3" t="n">
        <f aca="false">AWHW!C26</f>
        <v>36</v>
      </c>
      <c r="AK87" s="3" t="n">
        <f aca="false">AWHW!D26</f>
        <v>36.5</v>
      </c>
      <c r="AL87" s="3" t="n">
        <f aca="false">AWHW!E26</f>
        <v>35</v>
      </c>
      <c r="AM87" s="3" t="n">
        <f aca="false">AWHW!F26</f>
        <v>36.1</v>
      </c>
      <c r="AR87" s="31"/>
      <c r="AS87" s="31"/>
      <c r="AT87" s="31"/>
      <c r="AU87" s="32"/>
      <c r="AV87" s="31"/>
      <c r="AW87" s="31"/>
      <c r="AX87" s="31"/>
      <c r="AY87" s="31"/>
      <c r="BC87" s="31"/>
      <c r="BD87" s="18"/>
      <c r="BE87" s="18"/>
      <c r="BF87" s="18"/>
      <c r="BG87" s="18"/>
      <c r="BH87" s="18"/>
      <c r="BI87" s="18"/>
      <c r="BJ87" s="18"/>
      <c r="BK87" s="18"/>
      <c r="BT87" s="3"/>
      <c r="BU87" s="3"/>
      <c r="BV87" s="3"/>
      <c r="BW87" s="3"/>
      <c r="BX87" s="3"/>
      <c r="BY87" s="3"/>
      <c r="BZ87" s="3"/>
      <c r="CA87" s="3"/>
      <c r="CF87" s="3"/>
      <c r="CG87" s="3"/>
      <c r="CH87" s="3"/>
      <c r="CI87" s="3"/>
      <c r="CJ87" s="3"/>
      <c r="CK87" s="3"/>
      <c r="CL87" s="3"/>
      <c r="CM87" s="3"/>
      <c r="CV87" s="18"/>
      <c r="CW87" s="18"/>
      <c r="CX87" s="18"/>
      <c r="CY87" s="18"/>
      <c r="DH87" s="18"/>
      <c r="DI87" s="18"/>
      <c r="DJ87" s="18"/>
      <c r="DK87" s="18"/>
      <c r="DP87" s="3"/>
      <c r="DQ87" s="3"/>
      <c r="DR87" s="3"/>
      <c r="DS87" s="3"/>
      <c r="DT87" s="3"/>
      <c r="DU87" s="3"/>
      <c r="DV87" s="3"/>
      <c r="DW87" s="3"/>
    </row>
    <row r="88" customFormat="false" ht="12.8" hidden="false" customHeight="false" outlineLevel="0" collapsed="false">
      <c r="A88" s="17" t="n">
        <v>23</v>
      </c>
      <c r="B88" s="18" t="n">
        <v>92</v>
      </c>
      <c r="C88" s="18" t="s">
        <v>1649</v>
      </c>
      <c r="D88" s="18" t="n">
        <f aca="false">WAVG!C27</f>
        <v>38.9</v>
      </c>
      <c r="E88" s="18" t="n">
        <f aca="false">WAVG!D27</f>
        <v>40.85</v>
      </c>
      <c r="F88" s="18" t="n">
        <f aca="false">WAVG!E27</f>
        <v>33.07</v>
      </c>
      <c r="G88" s="18" t="n">
        <f aca="false">WAVG!F27</f>
        <v>39.29</v>
      </c>
      <c r="H88" s="31" t="n">
        <f aca="false">WRAVG!C27</f>
        <v>22</v>
      </c>
      <c r="I88" s="31" t="n">
        <f aca="false">WRAVG!D27</f>
        <v>72</v>
      </c>
      <c r="J88" s="31" t="n">
        <f aca="false">WRAVG!E27</f>
        <v>38.9</v>
      </c>
      <c r="K88" s="31" t="n">
        <f aca="false">WRAVG!F27</f>
        <v>23.1</v>
      </c>
      <c r="L88" s="31" t="n">
        <f aca="false">WRAVG!G27</f>
        <v>76.32</v>
      </c>
      <c r="M88" s="31" t="n">
        <f aca="false">WRAVG!H27</f>
        <v>40.85</v>
      </c>
      <c r="N88" s="31" t="n">
        <f aca="false">WRAVG!I27</f>
        <v>15.4</v>
      </c>
      <c r="O88" s="31" t="n">
        <f aca="false">WRAVG!J27</f>
        <v>57.6</v>
      </c>
      <c r="P88" s="31" t="n">
        <f aca="false">WRAVG!K27</f>
        <v>33.07</v>
      </c>
      <c r="Q88" s="31" t="n">
        <f aca="false">WRAVG!L27</f>
        <v>22.2</v>
      </c>
      <c r="R88" s="31" t="n">
        <f aca="false">WRAVG!M27</f>
        <v>72.7</v>
      </c>
      <c r="S88" s="31" t="n">
        <f aca="false">WRAVG!N27</f>
        <v>39.29</v>
      </c>
      <c r="T88" s="42" t="n">
        <f aca="false">AIAVG!C27</f>
        <v>72800</v>
      </c>
      <c r="U88" s="42" t="n">
        <f aca="false">AIAVG!D27</f>
        <v>73992</v>
      </c>
      <c r="V88" s="42" t="n">
        <f aca="false">AIAVG!E27</f>
        <v>58240</v>
      </c>
      <c r="W88" s="42" t="n">
        <f aca="false">AIAVG!F27</f>
        <v>72984</v>
      </c>
      <c r="X88" s="42" t="n">
        <f aca="false">AIRAVG!C27</f>
        <v>44000</v>
      </c>
      <c r="Y88" s="42" t="n">
        <f aca="false">AIRAVG!D27</f>
        <v>144000</v>
      </c>
      <c r="Z88" s="42" t="n">
        <f aca="false">AIRAVG!E27</f>
        <v>80800</v>
      </c>
      <c r="AA88" s="42" t="n">
        <f aca="false">AIRAVG!F27</f>
        <v>46200</v>
      </c>
      <c r="AB88" s="42" t="n">
        <f aca="false">AIRAVG!G27</f>
        <v>152640</v>
      </c>
      <c r="AC88" s="42" t="n">
        <f aca="false">AIRAVG!H27</f>
        <v>84840</v>
      </c>
      <c r="AD88" s="42" t="n">
        <f aca="false">AIRAVG!I27</f>
        <v>30800</v>
      </c>
      <c r="AE88" s="42" t="n">
        <f aca="false">AIRAVG!J27</f>
        <v>115200</v>
      </c>
      <c r="AF88" s="42" t="n">
        <f aca="false">AIRAVG!K27</f>
        <v>64640</v>
      </c>
      <c r="AG88" s="42" t="n">
        <f aca="false">AIRAVG!L27</f>
        <v>44400</v>
      </c>
      <c r="AH88" s="42" t="n">
        <f aca="false">AIRAVG!M27</f>
        <v>145400</v>
      </c>
      <c r="AI88" s="42" t="n">
        <f aca="false">AIRAVG!N27</f>
        <v>81800</v>
      </c>
      <c r="AJ88" s="3" t="n">
        <f aca="false">AWHW!C27</f>
        <v>39.5</v>
      </c>
      <c r="AK88" s="3" t="n">
        <f aca="false">AWHW!D27</f>
        <v>40</v>
      </c>
      <c r="AL88" s="3" t="n">
        <f aca="false">AWHW!E27</f>
        <v>38</v>
      </c>
      <c r="AM88" s="3" t="n">
        <f aca="false">AWHW!F27</f>
        <v>39.6</v>
      </c>
      <c r="AR88" s="31"/>
      <c r="AS88" s="31"/>
      <c r="AT88" s="31"/>
      <c r="AU88" s="32"/>
      <c r="AV88" s="31"/>
      <c r="AW88" s="31"/>
      <c r="AX88" s="31"/>
      <c r="AY88" s="31"/>
      <c r="BC88" s="31"/>
      <c r="BD88" s="18"/>
      <c r="BE88" s="18"/>
      <c r="BF88" s="18"/>
      <c r="BG88" s="18"/>
      <c r="BH88" s="18"/>
      <c r="BI88" s="18"/>
      <c r="BJ88" s="18"/>
      <c r="BK88" s="18"/>
      <c r="BT88" s="3"/>
      <c r="BU88" s="3"/>
      <c r="BV88" s="3"/>
      <c r="BW88" s="3"/>
      <c r="BX88" s="3"/>
      <c r="BY88" s="3"/>
      <c r="BZ88" s="3"/>
      <c r="CA88" s="3"/>
      <c r="CF88" s="3"/>
      <c r="CG88" s="3"/>
      <c r="CH88" s="3"/>
      <c r="CI88" s="3"/>
      <c r="CJ88" s="3"/>
      <c r="CK88" s="3"/>
      <c r="CL88" s="3"/>
      <c r="CM88" s="3"/>
      <c r="CV88" s="18"/>
      <c r="CW88" s="18"/>
      <c r="CX88" s="18"/>
      <c r="CY88" s="18"/>
      <c r="DH88" s="18"/>
      <c r="DI88" s="18"/>
      <c r="DJ88" s="18"/>
      <c r="DK88" s="18"/>
      <c r="DP88" s="3"/>
      <c r="DQ88" s="3"/>
      <c r="DR88" s="3"/>
      <c r="DS88" s="3"/>
      <c r="DT88" s="3"/>
      <c r="DU88" s="3"/>
      <c r="DV88" s="3"/>
      <c r="DW88" s="3"/>
    </row>
    <row r="91" customFormat="false" ht="12.8" hidden="false" customHeight="false" outlineLevel="0" collapsed="false">
      <c r="A91" s="14" t="str">
        <f aca="false">_xlfn.CONCAT($A$1,".","LFTAX")</f>
        <v>LSD.RID.0.AL.CALC.LFTAX</v>
      </c>
      <c r="B91" s="5" t="s">
        <v>1759</v>
      </c>
    </row>
    <row r="92" customFormat="false" ht="12.8" hidden="false" customHeight="false" outlineLevel="0" collapsed="false">
      <c r="A92" s="40" t="s">
        <v>1597</v>
      </c>
      <c r="B92" s="40"/>
      <c r="C92" s="40"/>
      <c r="D92" s="5" t="s">
        <v>1760</v>
      </c>
      <c r="E92" s="5"/>
      <c r="F92" s="5"/>
      <c r="G92" s="5"/>
      <c r="H92" s="5" t="s">
        <v>1761</v>
      </c>
      <c r="I92" s="5"/>
      <c r="J92" s="5"/>
      <c r="K92" s="5"/>
      <c r="L92" s="5" t="s">
        <v>1762</v>
      </c>
      <c r="M92" s="5"/>
      <c r="N92" s="5"/>
      <c r="O92" s="5"/>
      <c r="P92" s="5" t="s">
        <v>1763</v>
      </c>
      <c r="Q92" s="5"/>
      <c r="R92" s="5"/>
      <c r="S92" s="5"/>
      <c r="T92" s="5" t="s">
        <v>1764</v>
      </c>
      <c r="U92" s="5"/>
      <c r="V92" s="5"/>
      <c r="W92" s="5"/>
      <c r="X92" s="36" t="s">
        <v>1765</v>
      </c>
      <c r="Y92" s="36"/>
      <c r="Z92" s="36"/>
      <c r="AA92" s="36"/>
      <c r="AB92" s="36" t="s">
        <v>1766</v>
      </c>
      <c r="AC92" s="36"/>
      <c r="AD92" s="36"/>
      <c r="AE92" s="36"/>
      <c r="AF92" s="36" t="s">
        <v>1767</v>
      </c>
      <c r="AG92" s="36"/>
      <c r="AH92" s="36"/>
      <c r="AI92" s="36"/>
    </row>
    <row r="93" customFormat="false" ht="12.8" hidden="false" customHeight="false" outlineLevel="0" collapsed="false">
      <c r="A93" s="14" t="s">
        <v>99</v>
      </c>
      <c r="B93" s="22" t="s">
        <v>1603</v>
      </c>
      <c r="C93" s="22" t="s">
        <v>1604</v>
      </c>
      <c r="D93" s="22" t="s">
        <v>1768</v>
      </c>
      <c r="E93" s="22" t="s">
        <v>1769</v>
      </c>
      <c r="F93" s="22" t="s">
        <v>1770</v>
      </c>
      <c r="G93" s="22" t="s">
        <v>1771</v>
      </c>
      <c r="H93" s="22" t="s">
        <v>1772</v>
      </c>
      <c r="I93" s="22" t="s">
        <v>1773</v>
      </c>
      <c r="J93" s="22" t="s">
        <v>1774</v>
      </c>
      <c r="K93" s="22" t="s">
        <v>1775</v>
      </c>
      <c r="L93" s="22" t="s">
        <v>1776</v>
      </c>
      <c r="M93" s="22" t="s">
        <v>1777</v>
      </c>
      <c r="N93" s="22" t="s">
        <v>1778</v>
      </c>
      <c r="O93" s="22" t="s">
        <v>1779</v>
      </c>
      <c r="P93" s="22" t="s">
        <v>1780</v>
      </c>
      <c r="Q93" s="22" t="s">
        <v>1781</v>
      </c>
      <c r="R93" s="22" t="s">
        <v>1782</v>
      </c>
      <c r="S93" s="22" t="s">
        <v>1783</v>
      </c>
      <c r="T93" s="22" t="s">
        <v>1784</v>
      </c>
      <c r="U93" s="22" t="s">
        <v>1785</v>
      </c>
      <c r="V93" s="22" t="s">
        <v>1786</v>
      </c>
      <c r="W93" s="22" t="s">
        <v>1787</v>
      </c>
      <c r="X93" s="22" t="s">
        <v>1788</v>
      </c>
      <c r="Y93" s="22" t="s">
        <v>1789</v>
      </c>
      <c r="Z93" s="22" t="s">
        <v>1790</v>
      </c>
      <c r="AA93" s="22" t="s">
        <v>1791</v>
      </c>
      <c r="AB93" s="22" t="s">
        <v>1792</v>
      </c>
      <c r="AC93" s="22" t="s">
        <v>1793</v>
      </c>
      <c r="AD93" s="22" t="s">
        <v>1794</v>
      </c>
      <c r="AE93" s="22" t="s">
        <v>1795</v>
      </c>
      <c r="AF93" s="22" t="s">
        <v>197</v>
      </c>
      <c r="AG93" s="22" t="s">
        <v>1796</v>
      </c>
      <c r="AH93" s="22" t="s">
        <v>1797</v>
      </c>
      <c r="AI93" s="22" t="s">
        <v>1798</v>
      </c>
    </row>
    <row r="94" customFormat="false" ht="12.8" hidden="false" customHeight="false" outlineLevel="0" collapsed="false">
      <c r="A94" s="17" t="n">
        <v>0</v>
      </c>
      <c r="B94" s="18" t="s">
        <v>1625</v>
      </c>
      <c r="C94" s="18" t="s">
        <v>1626</v>
      </c>
    </row>
    <row r="95" customFormat="false" ht="23.85" hidden="false" customHeight="false" outlineLevel="0" collapsed="false">
      <c r="A95" s="17" t="n">
        <v>1</v>
      </c>
      <c r="B95" s="18" t="n">
        <v>11</v>
      </c>
      <c r="C95" s="39" t="s">
        <v>1627</v>
      </c>
    </row>
    <row r="96" customFormat="false" ht="23.85" hidden="false" customHeight="false" outlineLevel="0" collapsed="false">
      <c r="A96" s="17" t="n">
        <v>2</v>
      </c>
      <c r="B96" s="18" t="n">
        <v>21</v>
      </c>
      <c r="C96" s="39" t="s">
        <v>1628</v>
      </c>
    </row>
    <row r="97" customFormat="false" ht="12.8" hidden="false" customHeight="false" outlineLevel="0" collapsed="false">
      <c r="A97" s="21" t="n">
        <v>3</v>
      </c>
      <c r="B97" s="3" t="n">
        <v>22</v>
      </c>
      <c r="C97" s="3" t="s">
        <v>1629</v>
      </c>
    </row>
    <row r="98" customFormat="false" ht="12.8" hidden="false" customHeight="false" outlineLevel="0" collapsed="false">
      <c r="A98" s="21" t="n">
        <v>4</v>
      </c>
      <c r="B98" s="3" t="n">
        <v>23</v>
      </c>
      <c r="C98" s="3" t="s">
        <v>1630</v>
      </c>
    </row>
    <row r="99" customFormat="false" ht="12.8" hidden="false" customHeight="false" outlineLevel="0" collapsed="false">
      <c r="A99" s="21" t="n">
        <v>5</v>
      </c>
      <c r="B99" s="3" t="n">
        <v>31</v>
      </c>
      <c r="C99" s="39" t="s">
        <v>1631</v>
      </c>
    </row>
    <row r="100" customFormat="false" ht="23.85" hidden="false" customHeight="false" outlineLevel="0" collapsed="false">
      <c r="A100" s="21" t="n">
        <v>6</v>
      </c>
      <c r="B100" s="3" t="n">
        <v>32</v>
      </c>
      <c r="C100" s="39" t="s">
        <v>1632</v>
      </c>
    </row>
    <row r="101" customFormat="false" ht="23.85" hidden="false" customHeight="false" outlineLevel="0" collapsed="false">
      <c r="A101" s="21" t="n">
        <v>7</v>
      </c>
      <c r="B101" s="3" t="n">
        <v>33</v>
      </c>
      <c r="C101" s="39" t="s">
        <v>1633</v>
      </c>
    </row>
    <row r="102" customFormat="false" ht="12.8" hidden="false" customHeight="false" outlineLevel="0" collapsed="false">
      <c r="A102" s="21" t="n">
        <v>8</v>
      </c>
      <c r="B102" s="3" t="n">
        <v>42</v>
      </c>
      <c r="C102" s="3" t="s">
        <v>1634</v>
      </c>
    </row>
    <row r="103" customFormat="false" ht="23.85" hidden="false" customHeight="false" outlineLevel="0" collapsed="false">
      <c r="A103" s="21" t="n">
        <v>9</v>
      </c>
      <c r="B103" s="3" t="n">
        <v>44</v>
      </c>
      <c r="C103" s="39" t="s">
        <v>1635</v>
      </c>
    </row>
    <row r="104" customFormat="false" ht="23.85" hidden="false" customHeight="false" outlineLevel="0" collapsed="false">
      <c r="A104" s="21" t="n">
        <v>10</v>
      </c>
      <c r="B104" s="3" t="n">
        <v>45</v>
      </c>
      <c r="C104" s="39" t="s">
        <v>1636</v>
      </c>
    </row>
    <row r="105" customFormat="false" ht="12.8" hidden="false" customHeight="false" outlineLevel="0" collapsed="false">
      <c r="A105" s="21" t="n">
        <v>11</v>
      </c>
      <c r="B105" s="3" t="n">
        <v>48</v>
      </c>
      <c r="C105" s="3" t="s">
        <v>1637</v>
      </c>
    </row>
    <row r="106" customFormat="false" ht="12.8" hidden="false" customHeight="false" outlineLevel="0" collapsed="false">
      <c r="A106" s="21" t="n">
        <v>12</v>
      </c>
      <c r="B106" s="3" t="n">
        <v>49</v>
      </c>
      <c r="C106" s="3" t="s">
        <v>1638</v>
      </c>
    </row>
    <row r="107" customFormat="false" ht="12.8" hidden="false" customHeight="false" outlineLevel="0" collapsed="false">
      <c r="A107" s="21" t="n">
        <v>13</v>
      </c>
      <c r="B107" s="3" t="n">
        <v>51</v>
      </c>
      <c r="C107" s="3" t="s">
        <v>1639</v>
      </c>
    </row>
    <row r="108" customFormat="false" ht="12.8" hidden="false" customHeight="false" outlineLevel="0" collapsed="false">
      <c r="A108" s="17" t="n">
        <v>14</v>
      </c>
      <c r="B108" s="18" t="n">
        <v>52</v>
      </c>
      <c r="C108" s="18" t="s">
        <v>1640</v>
      </c>
    </row>
    <row r="109" customFormat="false" ht="12.8" hidden="false" customHeight="false" outlineLevel="0" collapsed="false">
      <c r="A109" s="17" t="n">
        <v>15</v>
      </c>
      <c r="B109" s="18" t="n">
        <v>53</v>
      </c>
      <c r="C109" s="39" t="s">
        <v>1641</v>
      </c>
    </row>
    <row r="110" customFormat="false" ht="23.85" hidden="false" customHeight="false" outlineLevel="0" collapsed="false">
      <c r="A110" s="17" t="n">
        <v>16</v>
      </c>
      <c r="B110" s="18" t="n">
        <v>54</v>
      </c>
      <c r="C110" s="39" t="s">
        <v>1642</v>
      </c>
    </row>
    <row r="111" customFormat="false" ht="35.05" hidden="false" customHeight="false" outlineLevel="0" collapsed="false">
      <c r="A111" s="17" t="n">
        <v>17</v>
      </c>
      <c r="B111" s="18" t="n">
        <v>56</v>
      </c>
      <c r="C111" s="39" t="s">
        <v>1643</v>
      </c>
    </row>
    <row r="112" customFormat="false" ht="12.8" hidden="false" customHeight="false" outlineLevel="0" collapsed="false">
      <c r="A112" s="17" t="n">
        <v>18</v>
      </c>
      <c r="B112" s="18" t="n">
        <v>61</v>
      </c>
      <c r="C112" s="18" t="s">
        <v>1644</v>
      </c>
    </row>
    <row r="113" customFormat="false" ht="12.8" hidden="false" customHeight="false" outlineLevel="0" collapsed="false">
      <c r="A113" s="17" t="n">
        <v>19</v>
      </c>
      <c r="B113" s="18" t="n">
        <v>62</v>
      </c>
      <c r="C113" s="39" t="s">
        <v>1645</v>
      </c>
    </row>
    <row r="114" customFormat="false" ht="12.8" hidden="false" customHeight="false" outlineLevel="0" collapsed="false">
      <c r="A114" s="17" t="n">
        <v>20</v>
      </c>
      <c r="B114" s="18" t="n">
        <v>71</v>
      </c>
      <c r="C114" s="39" t="s">
        <v>1646</v>
      </c>
    </row>
    <row r="115" customFormat="false" ht="12.8" hidden="false" customHeight="false" outlineLevel="0" collapsed="false">
      <c r="A115" s="17" t="n">
        <v>21</v>
      </c>
      <c r="B115" s="18" t="n">
        <v>72</v>
      </c>
      <c r="C115" s="39" t="s">
        <v>1647</v>
      </c>
    </row>
    <row r="116" customFormat="false" ht="23.85" hidden="false" customHeight="false" outlineLevel="0" collapsed="false">
      <c r="A116" s="17" t="n">
        <v>22</v>
      </c>
      <c r="B116" s="18" t="n">
        <v>81</v>
      </c>
      <c r="C116" s="39" t="s">
        <v>1648</v>
      </c>
    </row>
    <row r="117" customFormat="false" ht="12.8" hidden="false" customHeight="false" outlineLevel="0" collapsed="false">
      <c r="A117" s="17" t="n">
        <v>23</v>
      </c>
      <c r="B117" s="18" t="n">
        <v>92</v>
      </c>
      <c r="C117" s="18" t="s">
        <v>1649</v>
      </c>
    </row>
  </sheetData>
  <mergeCells count="40">
    <mergeCell ref="A3:C3"/>
    <mergeCell ref="D3:G3"/>
    <mergeCell ref="H3:K3"/>
    <mergeCell ref="L3:O3"/>
    <mergeCell ref="P3:S3"/>
    <mergeCell ref="T3:W3"/>
    <mergeCell ref="A33:C33"/>
    <mergeCell ref="D33:G33"/>
    <mergeCell ref="H33:K33"/>
    <mergeCell ref="L33:O33"/>
    <mergeCell ref="P33:S33"/>
    <mergeCell ref="T33:W33"/>
    <mergeCell ref="X33:AA33"/>
    <mergeCell ref="AB33:AE33"/>
    <mergeCell ref="AF33:AI33"/>
    <mergeCell ref="AJ34:AM34"/>
    <mergeCell ref="AN34:AQ34"/>
    <mergeCell ref="A63:C63"/>
    <mergeCell ref="D63:G63"/>
    <mergeCell ref="H63:J63"/>
    <mergeCell ref="K63:M63"/>
    <mergeCell ref="N63:P63"/>
    <mergeCell ref="Q63:S63"/>
    <mergeCell ref="T63:W63"/>
    <mergeCell ref="X63:Z63"/>
    <mergeCell ref="AA63:AC63"/>
    <mergeCell ref="AD63:AF63"/>
    <mergeCell ref="AG63:AI63"/>
    <mergeCell ref="AJ63:AM63"/>
    <mergeCell ref="AN63:AQ63"/>
    <mergeCell ref="AR63:AU63"/>
    <mergeCell ref="A92:C92"/>
    <mergeCell ref="D92:G92"/>
    <mergeCell ref="H92:K92"/>
    <mergeCell ref="L92:O92"/>
    <mergeCell ref="P92:S92"/>
    <mergeCell ref="T92:W92"/>
    <mergeCell ref="X92:AA92"/>
    <mergeCell ref="AB92:AE92"/>
    <mergeCell ref="AF92:AI9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38"/>
    <pageSetUpPr fitToPage="false"/>
  </sheetPr>
  <dimension ref="A1:BO105"/>
  <sheetViews>
    <sheetView showFormulas="false" showGridLines="true" showRowColHeaders="true" showZeros="true" rightToLeft="false" tabSelected="false" showOutlineSymbols="true" defaultGridColor="true" view="normal" topLeftCell="A7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true" hidden="false" outlineLevel="0" max="1" min="1" style="43" width="27.68"/>
    <col collapsed="false" customWidth="true" hidden="false" outlineLevel="0" max="2" min="2" style="44" width="29.97"/>
    <col collapsed="false" customWidth="true" hidden="false" outlineLevel="0" max="3" min="3" style="44" width="16.84"/>
    <col collapsed="false" customWidth="true" hidden="false" outlineLevel="0" max="8" min="4" style="45" width="16.84"/>
  </cols>
  <sheetData>
    <row r="1" customFormat="false" ht="12.9" hidden="false" customHeight="false" outlineLevel="0" collapsed="false">
      <c r="A1" s="46" t="s">
        <v>53</v>
      </c>
      <c r="B1" s="47" t="s">
        <v>1799</v>
      </c>
      <c r="C1" s="35" t="s">
        <v>2</v>
      </c>
      <c r="D1" s="48" t="s">
        <v>1800</v>
      </c>
    </row>
    <row r="2" customFormat="false" ht="12.8" hidden="false" customHeight="false" outlineLevel="0" collapsed="false">
      <c r="A2" s="46" t="str">
        <f aca="false">_xlfn.CONCAT($A$1, ".", "CALC")</f>
        <v>LSD.RID.0.AL.TNPE.CALC</v>
      </c>
      <c r="B2" s="47" t="str">
        <f aca="false">_xlfn.CONCAT($B$1, " ", "Calculations")</f>
        <v>Alabama Total Non-Farm Payroll Employment (TNPE) Calculations</v>
      </c>
      <c r="C2" s="35" t="str">
        <f aca="false">CALC!D3</f>
        <v>Total Nonfarm Payroll Employment (TNPE)</v>
      </c>
      <c r="D2" s="35"/>
      <c r="E2" s="35"/>
      <c r="F2" s="35"/>
    </row>
    <row r="3" customFormat="false" ht="12.8" hidden="false" customHeight="false" outlineLevel="0" collapsed="false">
      <c r="A3" s="46" t="str">
        <f aca="false">CALC!A34</f>
        <v>LSID</v>
      </c>
      <c r="B3" s="22" t="str">
        <f aca="false">CALC!C34</f>
        <v>Labor Sector</v>
      </c>
      <c r="C3" s="38" t="str">
        <f aca="false">CALC!D4</f>
        <v>Overall TNPE</v>
      </c>
      <c r="D3" s="38" t="str">
        <f aca="false">CALC!E4</f>
        <v>Authorized TNPE</v>
      </c>
      <c r="E3" s="38" t="str">
        <f aca="false">CALC!F4</f>
        <v>Unauthorized TNPE</v>
      </c>
      <c r="F3" s="38" t="str">
        <f aca="false">CALC!G4</f>
        <v>American TNPE</v>
      </c>
      <c r="H3" s="49"/>
    </row>
    <row r="4" customFormat="false" ht="12.8" hidden="false" customHeight="false" outlineLevel="0" collapsed="false">
      <c r="A4" s="46" t="str">
        <f aca="false">_xlfn.CONCAT($A$1, ".CALC.", CALC!A35)</f>
        <v>LSD.RID.0.AL.TNPE.CALC.0</v>
      </c>
      <c r="B4" s="22" t="str">
        <f aca="false">CALC!C35</f>
        <v>All Industries</v>
      </c>
      <c r="C4" s="18" t="n">
        <v>2211200</v>
      </c>
      <c r="D4" s="18" t="n">
        <v>81814</v>
      </c>
      <c r="E4" s="18" t="n">
        <v>48646</v>
      </c>
      <c r="F4" s="18" t="n">
        <v>2080740</v>
      </c>
      <c r="G4" s="18"/>
      <c r="H4" s="18"/>
    </row>
    <row r="5" customFormat="false" ht="22.8" hidden="false" customHeight="false" outlineLevel="0" collapsed="false">
      <c r="A5" s="46" t="str">
        <f aca="false">_xlfn.CONCAT($A$1, ".CALC.", CALC!A36)</f>
        <v>LSD.RID.0.AL.TNPE.CALC.1</v>
      </c>
      <c r="B5" s="50" t="str">
        <f aca="false">CALC!C36</f>
        <v>Agriculture, Forestry, Fishing and Hunting</v>
      </c>
      <c r="C5" s="18" t="n">
        <v>33500</v>
      </c>
      <c r="D5" s="18" t="n">
        <v>1240</v>
      </c>
      <c r="E5" s="18" t="n">
        <v>884</v>
      </c>
      <c r="F5" s="18" t="n">
        <v>31376</v>
      </c>
      <c r="G5" s="18"/>
      <c r="H5" s="18"/>
    </row>
    <row r="6" customFormat="false" ht="22.8" hidden="false" customHeight="false" outlineLevel="0" collapsed="false">
      <c r="A6" s="46" t="str">
        <f aca="false">_xlfn.CONCAT($A$1, ".CALC.", CALC!A37)</f>
        <v>LSD.RID.0.AL.TNPE.CALC.2</v>
      </c>
      <c r="B6" s="50" t="str">
        <f aca="false">CALC!C37</f>
        <v>Mining, Quarrying, and Oil and Gas Extraction</v>
      </c>
      <c r="C6" s="18" t="n">
        <v>4800</v>
      </c>
      <c r="D6" s="18" t="n">
        <v>178</v>
      </c>
      <c r="E6" s="18" t="n">
        <v>106</v>
      </c>
      <c r="F6" s="18" t="n">
        <v>4516</v>
      </c>
      <c r="G6" s="18"/>
      <c r="H6" s="18"/>
    </row>
    <row r="7" customFormat="false" ht="12.8" hidden="false" customHeight="false" outlineLevel="0" collapsed="false">
      <c r="A7" s="46" t="str">
        <f aca="false">_xlfn.CONCAT($A$1, ".CALC.", CALC!A38)</f>
        <v>LSD.RID.0.AL.TNPE.CALC.3</v>
      </c>
      <c r="B7" s="22" t="str">
        <f aca="false">CALC!C38</f>
        <v>Utilities</v>
      </c>
      <c r="C7" s="18" t="n">
        <v>7100</v>
      </c>
      <c r="D7" s="18" t="n">
        <v>263</v>
      </c>
      <c r="E7" s="18" t="n">
        <v>156</v>
      </c>
      <c r="F7" s="18" t="n">
        <v>6681</v>
      </c>
      <c r="G7" s="18"/>
      <c r="H7" s="18"/>
    </row>
    <row r="8" customFormat="false" ht="12.8" hidden="false" customHeight="false" outlineLevel="0" collapsed="false">
      <c r="A8" s="46" t="str">
        <f aca="false">_xlfn.CONCAT($A$1, ".CALC.", CALC!A39)</f>
        <v>LSD.RID.0.AL.TNPE.CALC.4</v>
      </c>
      <c r="B8" s="22" t="str">
        <f aca="false">CALC!C39</f>
        <v>Construction</v>
      </c>
      <c r="C8" s="18" t="n">
        <v>56600</v>
      </c>
      <c r="D8" s="18" t="n">
        <v>2094</v>
      </c>
      <c r="E8" s="18" t="n">
        <v>1681</v>
      </c>
      <c r="F8" s="18" t="n">
        <v>52825</v>
      </c>
      <c r="G8" s="18"/>
      <c r="H8" s="18"/>
    </row>
    <row r="9" customFormat="false" ht="12.8" hidden="false" customHeight="false" outlineLevel="0" collapsed="false">
      <c r="A9" s="46" t="str">
        <f aca="false">_xlfn.CONCAT($A$1, ".CALC.", CALC!A40)</f>
        <v>LSD.RID.0.AL.TNPE.CALC.5</v>
      </c>
      <c r="B9" s="50" t="str">
        <f aca="false">CALC!C40</f>
        <v>Manufacturing (Food,Textile, etc.)</v>
      </c>
      <c r="C9" s="18" t="n">
        <v>47009</v>
      </c>
      <c r="D9" s="18" t="n">
        <v>1034</v>
      </c>
      <c r="E9" s="18" t="n">
        <v>3761</v>
      </c>
      <c r="F9" s="18" t="n">
        <v>42214</v>
      </c>
      <c r="G9" s="18"/>
      <c r="H9" s="18"/>
    </row>
    <row r="10" customFormat="false" ht="22.8" hidden="false" customHeight="false" outlineLevel="0" collapsed="false">
      <c r="A10" s="46" t="str">
        <f aca="false">_xlfn.CONCAT($A$1, ".CALC.", CALC!A41)</f>
        <v>LSD.RID.0.AL.TNPE.CALC.6</v>
      </c>
      <c r="B10" s="50" t="str">
        <f aca="false">CALC!C41</f>
        <v>Manufacturing (Wood, Paper, Printing, etc.)</v>
      </c>
      <c r="C10" s="18" t="n">
        <v>41636</v>
      </c>
      <c r="D10" s="18" t="n">
        <v>916</v>
      </c>
      <c r="E10" s="18" t="n">
        <v>1499</v>
      </c>
      <c r="F10" s="18" t="n">
        <v>39221</v>
      </c>
      <c r="G10" s="18"/>
      <c r="H10" s="18"/>
    </row>
    <row r="11" customFormat="false" ht="22.8" hidden="false" customHeight="false" outlineLevel="0" collapsed="false">
      <c r="A11" s="46" t="str">
        <f aca="false">_xlfn.CONCAT($A$1, ".CALC.", CALC!A42)</f>
        <v>LSD.RID.0.AL.TNPE.CALC.7</v>
      </c>
      <c r="B11" s="50" t="str">
        <f aca="false">CALC!C42</f>
        <v>Manufacturing (Machinery, Transport)</v>
      </c>
      <c r="C11" s="18" t="n">
        <v>85958</v>
      </c>
      <c r="D11" s="18" t="n">
        <v>1891</v>
      </c>
      <c r="E11" s="18" t="n">
        <v>3094</v>
      </c>
      <c r="F11" s="18" t="n">
        <v>80973</v>
      </c>
      <c r="G11" s="18"/>
      <c r="H11" s="18"/>
    </row>
    <row r="12" customFormat="false" ht="12.8" hidden="false" customHeight="false" outlineLevel="0" collapsed="false">
      <c r="A12" s="46" t="str">
        <f aca="false">_xlfn.CONCAT($A$1, ".CALC.", CALC!A43)</f>
        <v>LSD.RID.0.AL.TNPE.CALC.8</v>
      </c>
      <c r="B12" s="22" t="str">
        <f aca="false">CALC!C43</f>
        <v>Wholesale Trade</v>
      </c>
      <c r="C12" s="18" t="n">
        <v>37607</v>
      </c>
      <c r="D12" s="18" t="n">
        <v>827</v>
      </c>
      <c r="E12" s="18" t="n">
        <v>1354</v>
      </c>
      <c r="F12" s="18" t="n">
        <v>35426</v>
      </c>
      <c r="G12" s="18"/>
      <c r="H12" s="18"/>
    </row>
    <row r="13" customFormat="false" ht="22.8" hidden="false" customHeight="false" outlineLevel="0" collapsed="false">
      <c r="A13" s="46" t="str">
        <f aca="false">_xlfn.CONCAT($A$1, ".CALC.", CALC!A44)</f>
        <v>LSD.RID.0.AL.TNPE.CALC.9</v>
      </c>
      <c r="B13" s="50" t="str">
        <f aca="false">CALC!C44</f>
        <v>Retail Trade (Motor Vehicle, Electronics)</v>
      </c>
      <c r="C13" s="18" t="n">
        <v>32234</v>
      </c>
      <c r="D13" s="18" t="n">
        <v>709</v>
      </c>
      <c r="E13" s="18" t="n">
        <v>1160</v>
      </c>
      <c r="F13" s="18" t="n">
        <v>30365</v>
      </c>
      <c r="G13" s="18"/>
      <c r="H13" s="18"/>
    </row>
    <row r="14" customFormat="false" ht="22.8" hidden="false" customHeight="false" outlineLevel="0" collapsed="false">
      <c r="A14" s="46" t="str">
        <f aca="false">_xlfn.CONCAT($A$1, ".CALC.", CALC!A45)</f>
        <v>LSD.RID.0.AL.TNPE.CALC.10</v>
      </c>
      <c r="B14" s="50" t="str">
        <f aca="false">CALC!C45</f>
        <v>Retail Trade (Food, Clothing, General Merchandise, etc.)</v>
      </c>
      <c r="C14" s="18" t="n">
        <v>104762</v>
      </c>
      <c r="D14" s="18" t="n">
        <v>2305</v>
      </c>
      <c r="E14" s="18" t="n">
        <v>8381</v>
      </c>
      <c r="F14" s="18" t="n">
        <v>94076</v>
      </c>
      <c r="G14" s="18"/>
      <c r="H14" s="18"/>
    </row>
    <row r="15" customFormat="false" ht="12.8" hidden="false" customHeight="false" outlineLevel="0" collapsed="false">
      <c r="A15" s="46" t="str">
        <f aca="false">_xlfn.CONCAT($A$1, ".CALC.", CALC!A46)</f>
        <v>LSD.RID.0.AL.TNPE.CALC.11</v>
      </c>
      <c r="B15" s="22" t="str">
        <f aca="false">CALC!C46</f>
        <v>Transportation</v>
      </c>
      <c r="C15" s="18" t="n">
        <v>57753</v>
      </c>
      <c r="D15" s="18" t="n">
        <v>1271</v>
      </c>
      <c r="E15" s="18" t="n">
        <v>2079</v>
      </c>
      <c r="F15" s="18" t="n">
        <v>54403</v>
      </c>
      <c r="G15" s="18"/>
      <c r="H15" s="18"/>
    </row>
    <row r="16" customFormat="false" ht="12.8" hidden="false" customHeight="false" outlineLevel="0" collapsed="false">
      <c r="A16" s="46" t="str">
        <f aca="false">_xlfn.CONCAT($A$1, ".CALC.", CALC!A47)</f>
        <v>LSD.RID.0.AL.TNPE.CALC.12</v>
      </c>
      <c r="B16" s="22" t="str">
        <f aca="false">CALC!C47</f>
        <v>Warehousing and Storage</v>
      </c>
      <c r="C16" s="18" t="n">
        <v>34921</v>
      </c>
      <c r="D16" s="18" t="n">
        <v>768</v>
      </c>
      <c r="E16" s="18" t="n">
        <v>1257</v>
      </c>
      <c r="F16" s="18" t="n">
        <v>32896</v>
      </c>
      <c r="G16" s="18"/>
      <c r="H16" s="18"/>
    </row>
    <row r="17" customFormat="false" ht="12.8" hidden="false" customHeight="false" outlineLevel="0" collapsed="false">
      <c r="A17" s="46" t="str">
        <f aca="false">_xlfn.CONCAT($A$1, ".CALC.", CALC!A48)</f>
        <v>LSD.RID.0.AL.TNPE.CALC.13</v>
      </c>
      <c r="B17" s="22" t="str">
        <f aca="false">CALC!C48</f>
        <v>Information</v>
      </c>
      <c r="C17" s="18" t="n">
        <v>20147</v>
      </c>
      <c r="D17" s="18" t="n">
        <v>443</v>
      </c>
      <c r="E17" s="18" t="n">
        <v>726</v>
      </c>
      <c r="F17" s="18" t="n">
        <v>18978</v>
      </c>
      <c r="G17" s="18"/>
      <c r="H17" s="18"/>
    </row>
    <row r="18" customFormat="false" ht="12.8" hidden="false" customHeight="false" outlineLevel="0" collapsed="false">
      <c r="A18" s="46" t="str">
        <f aca="false">_xlfn.CONCAT($A$1, ".CALC.", CALC!A49)</f>
        <v>LSD.RID.0.AL.TNPE.CALC.14</v>
      </c>
      <c r="B18" s="22" t="str">
        <f aca="false">CALC!C49</f>
        <v>Finance and Insurance</v>
      </c>
      <c r="C18" s="18" t="n">
        <v>48352</v>
      </c>
      <c r="D18" s="18" t="n">
        <v>1064</v>
      </c>
      <c r="E18" s="18" t="n">
        <v>1741</v>
      </c>
      <c r="F18" s="18" t="n">
        <v>45547</v>
      </c>
      <c r="G18" s="18"/>
      <c r="H18" s="18"/>
    </row>
    <row r="19" customFormat="false" ht="22.8" hidden="false" customHeight="false" outlineLevel="0" collapsed="false">
      <c r="A19" s="46" t="str">
        <f aca="false">_xlfn.CONCAT($A$1, ".CALC.", CALC!A50)</f>
        <v>LSD.RID.0.AL.TNPE.CALC.15</v>
      </c>
      <c r="B19" s="50" t="str">
        <f aca="false">CALC!C50</f>
        <v>Real Estate and Rental and Leasing</v>
      </c>
      <c r="C19" s="18" t="n">
        <v>24176</v>
      </c>
      <c r="D19" s="18" t="n">
        <v>532</v>
      </c>
      <c r="E19" s="18" t="n">
        <v>870</v>
      </c>
      <c r="F19" s="18" t="n">
        <v>22774</v>
      </c>
      <c r="G19" s="18"/>
      <c r="H19" s="18"/>
    </row>
    <row r="20" customFormat="false" ht="22.8" hidden="false" customHeight="false" outlineLevel="0" collapsed="false">
      <c r="A20" s="46" t="str">
        <f aca="false">_xlfn.CONCAT($A$1, ".CALC.", CALC!A51)</f>
        <v>LSD.RID.0.AL.TNPE.CALC.16</v>
      </c>
      <c r="B20" s="50" t="str">
        <f aca="false">CALC!C51</f>
        <v>Professional, Scientific, and Technical Services</v>
      </c>
      <c r="C20" s="18" t="n">
        <v>72527</v>
      </c>
      <c r="D20" s="18" t="n">
        <v>1596</v>
      </c>
      <c r="E20" s="18" t="n">
        <v>2611</v>
      </c>
      <c r="F20" s="18" t="n">
        <v>68320</v>
      </c>
      <c r="G20" s="18"/>
      <c r="H20" s="18"/>
    </row>
    <row r="21" customFormat="false" ht="33.35" hidden="false" customHeight="false" outlineLevel="0" collapsed="false">
      <c r="A21" s="46" t="str">
        <f aca="false">_xlfn.CONCAT($A$1, ".CALC.", CALC!A52)</f>
        <v>LSD.RID.0.AL.TNPE.CALC.17</v>
      </c>
      <c r="B21" s="50" t="str">
        <f aca="false">CALC!C52</f>
        <v>Administrative and Support and Waste Management and Remediation Services</v>
      </c>
      <c r="C21" s="18" t="n">
        <v>81929</v>
      </c>
      <c r="D21" s="18" t="n">
        <v>1802</v>
      </c>
      <c r="E21" s="18" t="n">
        <v>6554</v>
      </c>
      <c r="F21" s="18" t="n">
        <v>73573</v>
      </c>
      <c r="G21" s="18"/>
      <c r="H21" s="18"/>
    </row>
    <row r="22" customFormat="false" ht="12.8" hidden="false" customHeight="false" outlineLevel="0" collapsed="false">
      <c r="A22" s="46" t="str">
        <f aca="false">_xlfn.CONCAT($A$1, ".CALC.", CALC!A53)</f>
        <v>LSD.RID.0.AL.TNPE.CALC.18</v>
      </c>
      <c r="B22" s="22" t="str">
        <f aca="false">CALC!C53</f>
        <v>Educational Services</v>
      </c>
      <c r="C22" s="18" t="n">
        <v>122222</v>
      </c>
      <c r="D22" s="18" t="n">
        <v>2689</v>
      </c>
      <c r="E22" s="18" t="n">
        <v>4400</v>
      </c>
      <c r="F22" s="18" t="n">
        <v>115133</v>
      </c>
      <c r="G22" s="18"/>
      <c r="H22" s="18"/>
    </row>
    <row r="23" customFormat="false" ht="22.8" hidden="false" customHeight="false" outlineLevel="0" collapsed="false">
      <c r="A23" s="46" t="str">
        <f aca="false">_xlfn.CONCAT($A$1, ".CALC.", CALC!A54)</f>
        <v>LSD.RID.0.AL.TNPE.CALC.19</v>
      </c>
      <c r="B23" s="50" t="str">
        <f aca="false">CALC!C54</f>
        <v>Health Care and Social Assistance</v>
      </c>
      <c r="C23" s="18" t="n">
        <v>171917</v>
      </c>
      <c r="D23" s="18" t="n">
        <v>3782</v>
      </c>
      <c r="E23" s="18" t="n">
        <v>6189</v>
      </c>
      <c r="F23" s="18" t="n">
        <v>161946</v>
      </c>
      <c r="G23" s="18"/>
      <c r="H23" s="18"/>
    </row>
    <row r="24" customFormat="false" ht="22.8" hidden="false" customHeight="false" outlineLevel="0" collapsed="false">
      <c r="A24" s="46" t="str">
        <f aca="false">_xlfn.CONCAT($A$1, ".CALC.", CALC!A55)</f>
        <v>LSD.RID.0.AL.TNPE.CALC.20</v>
      </c>
      <c r="B24" s="50" t="str">
        <f aca="false">CALC!C55</f>
        <v>Arts, Entertainment,and Recreation</v>
      </c>
      <c r="C24" s="18" t="n">
        <v>24176</v>
      </c>
      <c r="D24" s="18" t="n">
        <v>532</v>
      </c>
      <c r="E24" s="18" t="n">
        <v>870</v>
      </c>
      <c r="F24" s="18" t="n">
        <v>22774</v>
      </c>
      <c r="G24" s="18"/>
      <c r="H24" s="18"/>
    </row>
    <row r="25" customFormat="false" ht="22.8" hidden="false" customHeight="false" outlineLevel="0" collapsed="false">
      <c r="A25" s="46" t="str">
        <f aca="false">_xlfn.CONCAT($A$1, ".CALC.", CALC!A56)</f>
        <v>LSD.RID.0.AL.TNPE.CALC.21</v>
      </c>
      <c r="B25" s="50" t="str">
        <f aca="false">CALC!C56</f>
        <v>Accommodation and Food Services</v>
      </c>
      <c r="C25" s="18" t="n">
        <v>98046</v>
      </c>
      <c r="D25" s="18" t="n">
        <v>2157</v>
      </c>
      <c r="E25" s="18" t="n">
        <v>7844</v>
      </c>
      <c r="F25" s="18" t="n">
        <v>88045</v>
      </c>
      <c r="G25" s="18"/>
      <c r="H25" s="18"/>
    </row>
    <row r="26" customFormat="false" ht="22.8" hidden="false" customHeight="false" outlineLevel="0" collapsed="false">
      <c r="A26" s="46" t="str">
        <f aca="false">_xlfn.CONCAT($A$1, ".CALC.", CALC!A57)</f>
        <v>LSD.RID.0.AL.TNPE.CALC.22</v>
      </c>
      <c r="B26" s="50" t="str">
        <f aca="false">CALC!C57</f>
        <v>Other Services (except Public Administration)</v>
      </c>
      <c r="C26" s="18" t="n">
        <v>52381</v>
      </c>
      <c r="D26" s="18" t="n">
        <v>1152</v>
      </c>
      <c r="E26" s="18" t="n">
        <v>4190</v>
      </c>
      <c r="F26" s="18" t="n">
        <v>47039</v>
      </c>
      <c r="G26" s="18"/>
      <c r="H26" s="18"/>
    </row>
    <row r="27" customFormat="false" ht="12.8" hidden="false" customHeight="false" outlineLevel="0" collapsed="false">
      <c r="A27" s="46" t="str">
        <f aca="false">_xlfn.CONCAT($A$1, ".CALC.", CALC!A58)</f>
        <v>LSD.RID.0.AL.TNPE.CALC.23</v>
      </c>
      <c r="B27" s="22" t="str">
        <f aca="false">CALC!C58</f>
        <v>Public Administration</v>
      </c>
      <c r="C27" s="18" t="n">
        <v>76557</v>
      </c>
      <c r="D27" s="18" t="n">
        <v>1684</v>
      </c>
      <c r="E27" s="18" t="n">
        <v>2756</v>
      </c>
      <c r="F27" s="18" t="n">
        <v>72117</v>
      </c>
      <c r="G27" s="18"/>
      <c r="H27" s="18"/>
    </row>
    <row r="28" customFormat="false" ht="12.8" hidden="false" customHeight="false" outlineLevel="0" collapsed="false">
      <c r="A28" s="46"/>
      <c r="B28" s="22"/>
      <c r="C28" s="45"/>
    </row>
    <row r="30" customFormat="false" ht="12.8" hidden="false" customHeight="false" outlineLevel="0" collapsed="false">
      <c r="A30" s="46" t="str">
        <f aca="false">_xlfn.CONCAT($A$1, ".", "FORM")</f>
        <v>LSD.RID.0.AL.TNPE.FORM</v>
      </c>
      <c r="B30" s="47" t="str">
        <f aca="false">_xlfn.CONCAT($B$1, " ", "Formulae")</f>
        <v>Alabama Total Non-Farm Payroll Employment (TNPE) Formulae</v>
      </c>
      <c r="C30" s="47"/>
    </row>
    <row r="31" customFormat="false" ht="12.8" hidden="false" customHeight="false" outlineLevel="0" collapsed="false">
      <c r="A31" s="14" t="s">
        <v>93</v>
      </c>
      <c r="B31" s="49" t="s">
        <v>1801</v>
      </c>
      <c r="C31" s="49" t="s">
        <v>283</v>
      </c>
      <c r="D31" s="49" t="s">
        <v>1802</v>
      </c>
      <c r="E31" s="49" t="s">
        <v>286</v>
      </c>
      <c r="F31" s="49" t="s">
        <v>287</v>
      </c>
      <c r="G31" s="49" t="s">
        <v>287</v>
      </c>
    </row>
    <row r="32" customFormat="false" ht="12.8" hidden="false" customHeight="false" outlineLevel="0" collapsed="false">
      <c r="A32" s="17" t="s">
        <v>1803</v>
      </c>
      <c r="B32" s="18" t="s">
        <v>1804</v>
      </c>
      <c r="C32" s="18" t="s">
        <v>1805</v>
      </c>
      <c r="D32" s="18" t="s">
        <v>1806</v>
      </c>
      <c r="E32" s="18" t="s">
        <v>1807</v>
      </c>
      <c r="F32" s="18" t="s">
        <v>1808</v>
      </c>
      <c r="G32" s="18" t="s">
        <v>1809</v>
      </c>
    </row>
    <row r="33" customFormat="false" ht="12.8" hidden="false" customHeight="false" outlineLevel="0" collapsed="false">
      <c r="A33" s="17" t="s">
        <v>1810</v>
      </c>
      <c r="B33" s="18" t="s">
        <v>1811</v>
      </c>
      <c r="C33" s="18" t="s">
        <v>1812</v>
      </c>
      <c r="D33" s="18" t="s">
        <v>1813</v>
      </c>
      <c r="E33" s="18" t="s">
        <v>1814</v>
      </c>
      <c r="F33" s="18" t="s">
        <v>1815</v>
      </c>
      <c r="G33" s="18" t="s">
        <v>1816</v>
      </c>
    </row>
    <row r="34" customFormat="false" ht="12.8" hidden="false" customHeight="false" outlineLevel="0" collapsed="false">
      <c r="A34" s="17" t="s">
        <v>1817</v>
      </c>
      <c r="B34" s="18" t="s">
        <v>1818</v>
      </c>
      <c r="C34" s="18" t="s">
        <v>1819</v>
      </c>
      <c r="D34" s="18" t="s">
        <v>1820</v>
      </c>
      <c r="E34" s="18" t="s">
        <v>1821</v>
      </c>
      <c r="F34" s="18" t="s">
        <v>1822</v>
      </c>
      <c r="G34" s="18" t="s">
        <v>1823</v>
      </c>
    </row>
    <row r="35" customFormat="false" ht="12.8" hidden="false" customHeight="false" outlineLevel="0" collapsed="false">
      <c r="A35" s="17" t="s">
        <v>1824</v>
      </c>
      <c r="B35" s="18" t="s">
        <v>1825</v>
      </c>
      <c r="C35" s="18" t="s">
        <v>1826</v>
      </c>
      <c r="D35" s="18" t="s">
        <v>1827</v>
      </c>
      <c r="E35" s="18" t="s">
        <v>1828</v>
      </c>
      <c r="F35" s="18" t="s">
        <v>1829</v>
      </c>
      <c r="G35" s="18" t="s">
        <v>1830</v>
      </c>
    </row>
    <row r="36" customFormat="false" ht="12.8" hidden="false" customHeight="false" outlineLevel="0" collapsed="false">
      <c r="A36" s="17"/>
      <c r="B36" s="13"/>
      <c r="C36" s="13"/>
      <c r="D36" s="18"/>
      <c r="E36" s="18"/>
      <c r="F36" s="18"/>
      <c r="G36" s="18"/>
    </row>
    <row r="37" customFormat="false" ht="12.8" hidden="false" customHeight="false" outlineLevel="0" collapsed="false">
      <c r="A37" s="46" t="str">
        <f aca="false">_xlfn.CONCAT($A$1, ".", "PARAM")</f>
        <v>LSD.RID.0.AL.TNPE.PARAM</v>
      </c>
      <c r="B37" s="47" t="str">
        <f aca="false">_xlfn.CONCAT($B$1, " ", "Parameters")</f>
        <v>Alabama Total Non-Farm Payroll Employment (TNPE) Parameters</v>
      </c>
      <c r="C37" s="47"/>
    </row>
    <row r="38" customFormat="false" ht="12.8" hidden="false" customHeight="false" outlineLevel="0" collapsed="false">
      <c r="A38" s="14" t="s">
        <v>97</v>
      </c>
      <c r="B38" s="49" t="s">
        <v>283</v>
      </c>
      <c r="C38" s="49" t="s">
        <v>849</v>
      </c>
      <c r="D38" s="49" t="s">
        <v>286</v>
      </c>
      <c r="E38" s="49" t="s">
        <v>850</v>
      </c>
      <c r="F38" s="49" t="s">
        <v>851</v>
      </c>
      <c r="G38" s="49" t="s">
        <v>852</v>
      </c>
      <c r="H38" s="49" t="s">
        <v>287</v>
      </c>
    </row>
    <row r="39" customFormat="false" ht="12.8" hidden="false" customHeight="false" outlineLevel="0" collapsed="false">
      <c r="A39" s="17" t="s">
        <v>1831</v>
      </c>
      <c r="B39" s="18" t="s">
        <v>1832</v>
      </c>
      <c r="C39" s="18" t="s">
        <v>857</v>
      </c>
      <c r="D39" s="18" t="s">
        <v>1833</v>
      </c>
      <c r="E39" s="18" t="s">
        <v>857</v>
      </c>
      <c r="F39" s="18" t="s">
        <v>1834</v>
      </c>
      <c r="G39" s="24" t="s">
        <v>859</v>
      </c>
      <c r="H39" s="18" t="s">
        <v>1835</v>
      </c>
    </row>
    <row r="40" customFormat="false" ht="12.8" hidden="false" customHeight="false" outlineLevel="0" collapsed="false">
      <c r="A40" s="17" t="s">
        <v>1836</v>
      </c>
      <c r="B40" s="18" t="s">
        <v>1837</v>
      </c>
      <c r="C40" s="18" t="s">
        <v>857</v>
      </c>
      <c r="D40" s="18" t="s">
        <v>1838</v>
      </c>
      <c r="E40" s="18" t="s">
        <v>857</v>
      </c>
      <c r="F40" s="18" t="s">
        <v>1834</v>
      </c>
      <c r="G40" s="24" t="s">
        <v>859</v>
      </c>
      <c r="H40" s="18"/>
    </row>
    <row r="41" customFormat="false" ht="12.8" hidden="false" customHeight="false" outlineLevel="0" collapsed="false">
      <c r="A41" s="17" t="s">
        <v>1839</v>
      </c>
      <c r="B41" s="18" t="s">
        <v>1840</v>
      </c>
      <c r="C41" s="18" t="s">
        <v>1841</v>
      </c>
      <c r="D41" s="18" t="s">
        <v>1842</v>
      </c>
      <c r="E41" s="18" t="s">
        <v>1841</v>
      </c>
      <c r="F41" s="18" t="s">
        <v>1834</v>
      </c>
      <c r="G41" s="24" t="s">
        <v>859</v>
      </c>
      <c r="H41" s="18"/>
    </row>
    <row r="42" customFormat="false" ht="12.8" hidden="false" customHeight="false" outlineLevel="0" collapsed="false">
      <c r="A42" s="17" t="s">
        <v>1843</v>
      </c>
      <c r="B42" s="18" t="s">
        <v>1844</v>
      </c>
      <c r="C42" s="18" t="s">
        <v>857</v>
      </c>
      <c r="D42" s="18" t="s">
        <v>1845</v>
      </c>
      <c r="E42" s="18" t="s">
        <v>857</v>
      </c>
      <c r="F42" s="18" t="s">
        <v>1834</v>
      </c>
      <c r="G42" s="24" t="s">
        <v>859</v>
      </c>
      <c r="H42" s="18"/>
    </row>
    <row r="43" customFormat="false" ht="12.8" hidden="false" customHeight="false" outlineLevel="0" collapsed="false">
      <c r="A43" s="17" t="s">
        <v>1846</v>
      </c>
      <c r="B43" s="18" t="s">
        <v>1847</v>
      </c>
      <c r="C43" s="18" t="s">
        <v>857</v>
      </c>
      <c r="D43" s="18" t="s">
        <v>1848</v>
      </c>
      <c r="E43" s="18" t="s">
        <v>857</v>
      </c>
      <c r="F43" s="18" t="s">
        <v>1834</v>
      </c>
      <c r="G43" s="24" t="s">
        <v>859</v>
      </c>
      <c r="H43" s="18"/>
    </row>
    <row r="44" customFormat="false" ht="12.8" hidden="false" customHeight="false" outlineLevel="0" collapsed="false">
      <c r="A44" s="17" t="s">
        <v>1849</v>
      </c>
      <c r="B44" s="18" t="s">
        <v>1850</v>
      </c>
      <c r="C44" s="18" t="s">
        <v>857</v>
      </c>
      <c r="D44" s="18" t="s">
        <v>1851</v>
      </c>
      <c r="E44" s="18" t="s">
        <v>857</v>
      </c>
      <c r="F44" s="18" t="s">
        <v>1834</v>
      </c>
      <c r="G44" s="24" t="s">
        <v>859</v>
      </c>
      <c r="H44" s="18"/>
    </row>
    <row r="45" customFormat="false" ht="12.8" hidden="false" customHeight="false" outlineLevel="0" collapsed="false">
      <c r="A45" s="17" t="s">
        <v>1852</v>
      </c>
      <c r="B45" s="18" t="s">
        <v>1853</v>
      </c>
      <c r="C45" s="18" t="s">
        <v>857</v>
      </c>
      <c r="D45" s="18" t="s">
        <v>1854</v>
      </c>
      <c r="E45" s="18" t="s">
        <v>857</v>
      </c>
      <c r="F45" s="18" t="s">
        <v>1834</v>
      </c>
      <c r="G45" s="24" t="s">
        <v>859</v>
      </c>
      <c r="H45" s="18"/>
    </row>
    <row r="46" customFormat="false" ht="12.8" hidden="false" customHeight="false" outlineLevel="0" collapsed="false">
      <c r="A46" s="17" t="s">
        <v>1855</v>
      </c>
      <c r="B46" s="18" t="s">
        <v>1856</v>
      </c>
      <c r="C46" s="18" t="s">
        <v>857</v>
      </c>
      <c r="D46" s="18" t="s">
        <v>1857</v>
      </c>
      <c r="E46" s="18" t="s">
        <v>857</v>
      </c>
      <c r="F46" s="18" t="s">
        <v>1834</v>
      </c>
      <c r="G46" s="24" t="s">
        <v>859</v>
      </c>
      <c r="H46" s="18"/>
    </row>
    <row r="47" customFormat="false" ht="12.8" hidden="false" customHeight="false" outlineLevel="0" collapsed="false">
      <c r="A47" s="17" t="s">
        <v>1858</v>
      </c>
      <c r="B47" s="18" t="s">
        <v>1859</v>
      </c>
      <c r="C47" s="18" t="s">
        <v>857</v>
      </c>
      <c r="D47" s="18" t="s">
        <v>1860</v>
      </c>
      <c r="E47" s="18" t="s">
        <v>857</v>
      </c>
      <c r="F47" s="18" t="s">
        <v>1834</v>
      </c>
      <c r="G47" s="24" t="s">
        <v>859</v>
      </c>
      <c r="H47" s="18"/>
    </row>
    <row r="48" customFormat="false" ht="12.8" hidden="false" customHeight="false" outlineLevel="0" collapsed="false">
      <c r="A48" s="17" t="s">
        <v>1861</v>
      </c>
      <c r="B48" s="18" t="s">
        <v>1862</v>
      </c>
      <c r="C48" s="18" t="s">
        <v>857</v>
      </c>
      <c r="D48" s="18" t="s">
        <v>1863</v>
      </c>
      <c r="E48" s="18" t="s">
        <v>857</v>
      </c>
      <c r="F48" s="18" t="s">
        <v>1834</v>
      </c>
      <c r="G48" s="24" t="s">
        <v>859</v>
      </c>
      <c r="H48" s="18"/>
    </row>
    <row r="49" customFormat="false" ht="12.8" hidden="false" customHeight="false" outlineLevel="0" collapsed="false">
      <c r="A49" s="17" t="s">
        <v>1864</v>
      </c>
      <c r="B49" s="18" t="s">
        <v>1865</v>
      </c>
      <c r="C49" s="18" t="s">
        <v>1841</v>
      </c>
      <c r="D49" s="18" t="s">
        <v>1866</v>
      </c>
      <c r="E49" s="18" t="s">
        <v>1841</v>
      </c>
      <c r="F49" s="18" t="s">
        <v>1834</v>
      </c>
      <c r="G49" s="24" t="s">
        <v>859</v>
      </c>
      <c r="H49" s="18"/>
    </row>
    <row r="50" customFormat="false" ht="12.8" hidden="false" customHeight="false" outlineLevel="0" collapsed="false">
      <c r="A50" s="17" t="s">
        <v>1867</v>
      </c>
      <c r="B50" s="18" t="s">
        <v>1868</v>
      </c>
      <c r="C50" s="18" t="s">
        <v>857</v>
      </c>
      <c r="D50" s="18" t="s">
        <v>1869</v>
      </c>
      <c r="E50" s="18" t="s">
        <v>857</v>
      </c>
      <c r="F50" s="18" t="s">
        <v>1834</v>
      </c>
      <c r="G50" s="24" t="s">
        <v>859</v>
      </c>
      <c r="H50" s="18"/>
    </row>
    <row r="51" customFormat="false" ht="12.8" hidden="false" customHeight="false" outlineLevel="0" collapsed="false">
      <c r="A51" s="17" t="s">
        <v>1870</v>
      </c>
      <c r="B51" s="18" t="s">
        <v>1871</v>
      </c>
      <c r="C51" s="18" t="s">
        <v>857</v>
      </c>
      <c r="D51" s="18" t="s">
        <v>1872</v>
      </c>
      <c r="E51" s="18" t="s">
        <v>857</v>
      </c>
      <c r="F51" s="18" t="s">
        <v>1834</v>
      </c>
      <c r="G51" s="24" t="s">
        <v>859</v>
      </c>
      <c r="H51" s="18"/>
    </row>
    <row r="52" customFormat="false" ht="12.8" hidden="false" customHeight="false" outlineLevel="0" collapsed="false">
      <c r="A52" s="17" t="s">
        <v>1873</v>
      </c>
      <c r="B52" s="18" t="s">
        <v>1874</v>
      </c>
      <c r="C52" s="18" t="s">
        <v>857</v>
      </c>
      <c r="D52" s="18" t="s">
        <v>1875</v>
      </c>
      <c r="E52" s="18" t="s">
        <v>857</v>
      </c>
      <c r="F52" s="18" t="s">
        <v>1834</v>
      </c>
      <c r="G52" s="24" t="s">
        <v>859</v>
      </c>
      <c r="H52" s="18"/>
    </row>
    <row r="53" customFormat="false" ht="12.8" hidden="false" customHeight="false" outlineLevel="0" collapsed="false">
      <c r="A53" s="17" t="s">
        <v>1876</v>
      </c>
      <c r="B53" s="18" t="s">
        <v>1877</v>
      </c>
      <c r="C53" s="18" t="s">
        <v>857</v>
      </c>
      <c r="D53" s="18" t="s">
        <v>1878</v>
      </c>
      <c r="E53" s="18" t="s">
        <v>857</v>
      </c>
      <c r="F53" s="18" t="s">
        <v>1834</v>
      </c>
      <c r="G53" s="24" t="s">
        <v>859</v>
      </c>
      <c r="H53" s="18"/>
    </row>
    <row r="54" customFormat="false" ht="12.8" hidden="false" customHeight="false" outlineLevel="0" collapsed="false">
      <c r="A54" s="17" t="s">
        <v>1879</v>
      </c>
      <c r="B54" s="18" t="s">
        <v>1880</v>
      </c>
      <c r="C54" s="18" t="s">
        <v>1841</v>
      </c>
      <c r="D54" s="18" t="s">
        <v>1881</v>
      </c>
      <c r="E54" s="18" t="s">
        <v>1841</v>
      </c>
      <c r="F54" s="18" t="s">
        <v>1834</v>
      </c>
      <c r="G54" s="24" t="s">
        <v>859</v>
      </c>
      <c r="H54" s="18"/>
    </row>
    <row r="55" customFormat="false" ht="12.8" hidden="false" customHeight="false" outlineLevel="0" collapsed="false">
      <c r="A55" s="17" t="s">
        <v>1882</v>
      </c>
      <c r="B55" s="18" t="s">
        <v>1883</v>
      </c>
      <c r="C55" s="18" t="s">
        <v>857</v>
      </c>
      <c r="D55" s="18" t="s">
        <v>1884</v>
      </c>
      <c r="E55" s="18" t="s">
        <v>857</v>
      </c>
      <c r="F55" s="18" t="s">
        <v>1834</v>
      </c>
      <c r="G55" s="24" t="s">
        <v>859</v>
      </c>
      <c r="H55" s="18"/>
    </row>
    <row r="56" customFormat="false" ht="12.8" hidden="false" customHeight="false" outlineLevel="0" collapsed="false">
      <c r="A56" s="17" t="s">
        <v>1885</v>
      </c>
      <c r="B56" s="18" t="s">
        <v>1886</v>
      </c>
      <c r="C56" s="18" t="s">
        <v>857</v>
      </c>
      <c r="D56" s="18" t="s">
        <v>1887</v>
      </c>
      <c r="E56" s="18" t="s">
        <v>857</v>
      </c>
      <c r="F56" s="18" t="s">
        <v>1834</v>
      </c>
      <c r="G56" s="24" t="s">
        <v>859</v>
      </c>
      <c r="H56" s="18"/>
    </row>
    <row r="57" customFormat="false" ht="12.8" hidden="false" customHeight="false" outlineLevel="0" collapsed="false">
      <c r="A57" s="17" t="s">
        <v>1888</v>
      </c>
      <c r="B57" s="18" t="s">
        <v>1889</v>
      </c>
      <c r="C57" s="18" t="s">
        <v>937</v>
      </c>
      <c r="D57" s="18" t="s">
        <v>1890</v>
      </c>
      <c r="E57" s="18" t="s">
        <v>937</v>
      </c>
      <c r="F57" s="18" t="s">
        <v>1834</v>
      </c>
      <c r="G57" s="24" t="s">
        <v>859</v>
      </c>
      <c r="H57" s="18"/>
    </row>
    <row r="58" customFormat="false" ht="12.8" hidden="false" customHeight="false" outlineLevel="0" collapsed="false">
      <c r="A58" s="17" t="s">
        <v>1891</v>
      </c>
      <c r="B58" s="18" t="s">
        <v>1892</v>
      </c>
      <c r="C58" s="18" t="s">
        <v>1841</v>
      </c>
      <c r="D58" s="18" t="s">
        <v>1893</v>
      </c>
      <c r="E58" s="18" t="s">
        <v>1841</v>
      </c>
      <c r="F58" s="18" t="s">
        <v>1834</v>
      </c>
      <c r="G58" s="24" t="s">
        <v>859</v>
      </c>
      <c r="H58" s="18"/>
    </row>
    <row r="59" customFormat="false" ht="12.8" hidden="false" customHeight="false" outlineLevel="0" collapsed="false">
      <c r="A59" s="17" t="s">
        <v>1894</v>
      </c>
      <c r="B59" s="18" t="s">
        <v>1895</v>
      </c>
      <c r="C59" s="18" t="s">
        <v>857</v>
      </c>
      <c r="D59" s="18" t="s">
        <v>1896</v>
      </c>
      <c r="E59" s="18" t="s">
        <v>857</v>
      </c>
      <c r="F59" s="18" t="s">
        <v>1834</v>
      </c>
      <c r="G59" s="24" t="s">
        <v>859</v>
      </c>
      <c r="H59" s="18"/>
    </row>
    <row r="60" customFormat="false" ht="12.8" hidden="false" customHeight="false" outlineLevel="0" collapsed="false">
      <c r="A60" s="17" t="s">
        <v>1897</v>
      </c>
      <c r="B60" s="18" t="s">
        <v>1898</v>
      </c>
      <c r="C60" s="18" t="s">
        <v>857</v>
      </c>
      <c r="D60" s="18" t="s">
        <v>1899</v>
      </c>
      <c r="E60" s="18" t="s">
        <v>857</v>
      </c>
      <c r="F60" s="18" t="s">
        <v>1834</v>
      </c>
      <c r="G60" s="24" t="s">
        <v>859</v>
      </c>
      <c r="H60" s="18"/>
    </row>
    <row r="61" customFormat="false" ht="12.8" hidden="false" customHeight="false" outlineLevel="0" collapsed="false">
      <c r="A61" s="17" t="s">
        <v>1900</v>
      </c>
      <c r="B61" s="18" t="s">
        <v>1901</v>
      </c>
      <c r="C61" s="18" t="s">
        <v>937</v>
      </c>
      <c r="D61" s="18" t="s">
        <v>1902</v>
      </c>
      <c r="E61" s="18" t="s">
        <v>937</v>
      </c>
      <c r="F61" s="18" t="s">
        <v>1903</v>
      </c>
      <c r="G61" s="24" t="s">
        <v>859</v>
      </c>
      <c r="H61" s="18" t="s">
        <v>1904</v>
      </c>
    </row>
    <row r="62" customFormat="false" ht="12.8" hidden="false" customHeight="false" outlineLevel="0" collapsed="false">
      <c r="A62" s="17" t="s">
        <v>1905</v>
      </c>
      <c r="B62" s="18" t="s">
        <v>1906</v>
      </c>
      <c r="C62" s="18" t="n">
        <v>0.008</v>
      </c>
      <c r="D62" s="18" t="s">
        <v>1907</v>
      </c>
      <c r="E62" s="18" t="s">
        <v>857</v>
      </c>
      <c r="F62" s="18" t="s">
        <v>881</v>
      </c>
      <c r="G62" s="24" t="s">
        <v>859</v>
      </c>
      <c r="H62" s="18" t="s">
        <v>1908</v>
      </c>
    </row>
    <row r="63" customFormat="false" ht="12.8" hidden="false" customHeight="false" outlineLevel="0" collapsed="false">
      <c r="A63" s="17" t="s">
        <v>1909</v>
      </c>
      <c r="B63" s="18" t="s">
        <v>1910</v>
      </c>
      <c r="C63" s="18" t="n">
        <v>0.005</v>
      </c>
      <c r="D63" s="18" t="s">
        <v>1911</v>
      </c>
      <c r="E63" s="18" t="s">
        <v>857</v>
      </c>
      <c r="F63" s="18" t="s">
        <v>881</v>
      </c>
      <c r="G63" s="24" t="s">
        <v>859</v>
      </c>
      <c r="H63" s="18" t="s">
        <v>1835</v>
      </c>
    </row>
    <row r="64" customFormat="false" ht="12.8" hidden="false" customHeight="false" outlineLevel="0" collapsed="false">
      <c r="A64" s="17" t="s">
        <v>1912</v>
      </c>
      <c r="B64" s="18" t="s">
        <v>1913</v>
      </c>
      <c r="C64" s="18" t="n">
        <v>0.004</v>
      </c>
      <c r="D64" s="18" t="s">
        <v>1914</v>
      </c>
      <c r="E64" s="18" t="s">
        <v>857</v>
      </c>
      <c r="F64" s="18" t="s">
        <v>881</v>
      </c>
      <c r="G64" s="24" t="s">
        <v>859</v>
      </c>
      <c r="H64" s="18"/>
    </row>
    <row r="65" customFormat="false" ht="12.8" hidden="false" customHeight="false" outlineLevel="0" collapsed="false">
      <c r="A65" s="17" t="s">
        <v>1915</v>
      </c>
      <c r="B65" s="18" t="s">
        <v>1916</v>
      </c>
      <c r="C65" s="18" t="n">
        <v>0.006</v>
      </c>
      <c r="D65" s="18" t="s">
        <v>1917</v>
      </c>
      <c r="E65" s="18" t="s">
        <v>1841</v>
      </c>
      <c r="F65" s="18" t="s">
        <v>881</v>
      </c>
      <c r="G65" s="24" t="s">
        <v>859</v>
      </c>
      <c r="H65" s="18"/>
    </row>
    <row r="66" customFormat="false" ht="12.8" hidden="false" customHeight="false" outlineLevel="0" collapsed="false">
      <c r="A66" s="17" t="s">
        <v>1918</v>
      </c>
      <c r="B66" s="18" t="s">
        <v>1919</v>
      </c>
      <c r="C66" s="18" t="n">
        <v>0.004</v>
      </c>
      <c r="D66" s="18" t="s">
        <v>1920</v>
      </c>
      <c r="E66" s="18" t="s">
        <v>857</v>
      </c>
      <c r="F66" s="18" t="s">
        <v>881</v>
      </c>
      <c r="G66" s="24" t="s">
        <v>859</v>
      </c>
      <c r="H66" s="18"/>
    </row>
    <row r="67" customFormat="false" ht="12.8" hidden="false" customHeight="false" outlineLevel="0" collapsed="false">
      <c r="A67" s="17" t="s">
        <v>1921</v>
      </c>
      <c r="B67" s="18" t="s">
        <v>1922</v>
      </c>
      <c r="C67" s="18" t="n">
        <v>0.004</v>
      </c>
      <c r="D67" s="18" t="s">
        <v>1923</v>
      </c>
      <c r="E67" s="18" t="s">
        <v>857</v>
      </c>
      <c r="F67" s="18" t="s">
        <v>881</v>
      </c>
      <c r="G67" s="24" t="s">
        <v>859</v>
      </c>
      <c r="H67" s="18"/>
    </row>
    <row r="68" customFormat="false" ht="12.8" hidden="false" customHeight="false" outlineLevel="0" collapsed="false">
      <c r="A68" s="17" t="s">
        <v>1924</v>
      </c>
      <c r="B68" s="18" t="s">
        <v>1925</v>
      </c>
      <c r="C68" s="18" t="n">
        <v>0.003</v>
      </c>
      <c r="D68" s="18" t="s">
        <v>1926</v>
      </c>
      <c r="E68" s="18" t="s">
        <v>857</v>
      </c>
      <c r="F68" s="18" t="s">
        <v>881</v>
      </c>
      <c r="G68" s="24" t="s">
        <v>859</v>
      </c>
      <c r="H68" s="18"/>
    </row>
    <row r="69" customFormat="false" ht="12.8" hidden="false" customHeight="false" outlineLevel="0" collapsed="false">
      <c r="A69" s="17" t="s">
        <v>1927</v>
      </c>
      <c r="B69" s="18" t="s">
        <v>1928</v>
      </c>
      <c r="C69" s="18" t="n">
        <v>0.003</v>
      </c>
      <c r="D69" s="18" t="s">
        <v>1929</v>
      </c>
      <c r="E69" s="18" t="s">
        <v>857</v>
      </c>
      <c r="F69" s="18" t="s">
        <v>881</v>
      </c>
      <c r="G69" s="24" t="s">
        <v>859</v>
      </c>
      <c r="H69" s="18"/>
    </row>
    <row r="70" customFormat="false" ht="12.8" hidden="false" customHeight="false" outlineLevel="0" collapsed="false">
      <c r="A70" s="17" t="s">
        <v>1930</v>
      </c>
      <c r="B70" s="18" t="s">
        <v>1931</v>
      </c>
      <c r="C70" s="18" t="n">
        <v>0.005</v>
      </c>
      <c r="D70" s="18" t="s">
        <v>1932</v>
      </c>
      <c r="E70" s="18" t="s">
        <v>1841</v>
      </c>
      <c r="F70" s="18" t="s">
        <v>881</v>
      </c>
      <c r="G70" s="24" t="s">
        <v>859</v>
      </c>
      <c r="H70" s="18"/>
    </row>
    <row r="71" customFormat="false" ht="12.8" hidden="false" customHeight="false" outlineLevel="0" collapsed="false">
      <c r="A71" s="17" t="s">
        <v>1933</v>
      </c>
      <c r="B71" s="18" t="s">
        <v>1934</v>
      </c>
      <c r="C71" s="18" t="n">
        <v>0.005</v>
      </c>
      <c r="D71" s="18" t="s">
        <v>1935</v>
      </c>
      <c r="E71" s="18" t="s">
        <v>1841</v>
      </c>
      <c r="F71" s="18" t="s">
        <v>881</v>
      </c>
      <c r="G71" s="24" t="s">
        <v>859</v>
      </c>
      <c r="H71" s="18"/>
    </row>
    <row r="72" customFormat="false" ht="12.8" hidden="false" customHeight="false" outlineLevel="0" collapsed="false">
      <c r="A72" s="17" t="s">
        <v>1936</v>
      </c>
      <c r="B72" s="18" t="s">
        <v>1937</v>
      </c>
      <c r="C72" s="18" t="n">
        <v>0.004</v>
      </c>
      <c r="D72" s="18" t="s">
        <v>1938</v>
      </c>
      <c r="E72" s="18" t="s">
        <v>857</v>
      </c>
      <c r="F72" s="18" t="s">
        <v>881</v>
      </c>
      <c r="G72" s="24" t="s">
        <v>859</v>
      </c>
      <c r="H72" s="18"/>
    </row>
    <row r="73" customFormat="false" ht="12.8" hidden="false" customHeight="false" outlineLevel="0" collapsed="false">
      <c r="A73" s="17" t="s">
        <v>1939</v>
      </c>
      <c r="B73" s="18" t="s">
        <v>1940</v>
      </c>
      <c r="C73" s="18" t="n">
        <v>0.005</v>
      </c>
      <c r="D73" s="18" t="s">
        <v>1941</v>
      </c>
      <c r="E73" s="18" t="s">
        <v>1841</v>
      </c>
      <c r="F73" s="18" t="s">
        <v>881</v>
      </c>
      <c r="G73" s="24" t="s">
        <v>859</v>
      </c>
      <c r="H73" s="18"/>
    </row>
    <row r="74" customFormat="false" ht="12.8" hidden="false" customHeight="false" outlineLevel="0" collapsed="false">
      <c r="A74" s="17" t="s">
        <v>1942</v>
      </c>
      <c r="B74" s="18" t="s">
        <v>1943</v>
      </c>
      <c r="C74" s="18" t="n">
        <v>0.003</v>
      </c>
      <c r="D74" s="18" t="s">
        <v>1944</v>
      </c>
      <c r="E74" s="18" t="s">
        <v>857</v>
      </c>
      <c r="F74" s="18" t="s">
        <v>881</v>
      </c>
      <c r="G74" s="24" t="s">
        <v>859</v>
      </c>
      <c r="H74" s="18"/>
    </row>
    <row r="75" customFormat="false" ht="12.8" hidden="false" customHeight="false" outlineLevel="0" collapsed="false">
      <c r="A75" s="17" t="s">
        <v>1945</v>
      </c>
      <c r="B75" s="18" t="s">
        <v>1946</v>
      </c>
      <c r="C75" s="18" t="n">
        <v>0.002</v>
      </c>
      <c r="D75" s="18" t="s">
        <v>1947</v>
      </c>
      <c r="E75" s="18" t="s">
        <v>857</v>
      </c>
      <c r="F75" s="18" t="s">
        <v>881</v>
      </c>
      <c r="G75" s="24" t="s">
        <v>859</v>
      </c>
      <c r="H75" s="18"/>
    </row>
    <row r="76" customFormat="false" ht="12.8" hidden="false" customHeight="false" outlineLevel="0" collapsed="false">
      <c r="A76" s="17" t="s">
        <v>1948</v>
      </c>
      <c r="B76" s="18" t="s">
        <v>1949</v>
      </c>
      <c r="C76" s="18" t="n">
        <v>0.003</v>
      </c>
      <c r="D76" s="18" t="s">
        <v>1950</v>
      </c>
      <c r="E76" s="18" t="s">
        <v>857</v>
      </c>
      <c r="F76" s="18" t="s">
        <v>881</v>
      </c>
      <c r="G76" s="24" t="s">
        <v>859</v>
      </c>
      <c r="H76" s="18"/>
    </row>
    <row r="77" customFormat="false" ht="12.8" hidden="false" customHeight="false" outlineLevel="0" collapsed="false">
      <c r="A77" s="17" t="s">
        <v>1951</v>
      </c>
      <c r="B77" s="18" t="s">
        <v>1952</v>
      </c>
      <c r="C77" s="18" t="n">
        <v>0.002</v>
      </c>
      <c r="D77" s="18" t="s">
        <v>1953</v>
      </c>
      <c r="E77" s="18" t="s">
        <v>857</v>
      </c>
      <c r="F77" s="18" t="s">
        <v>881</v>
      </c>
      <c r="G77" s="24" t="s">
        <v>859</v>
      </c>
      <c r="H77" s="18"/>
    </row>
    <row r="78" customFormat="false" ht="12.8" hidden="false" customHeight="false" outlineLevel="0" collapsed="false">
      <c r="A78" s="17" t="s">
        <v>1954</v>
      </c>
      <c r="B78" s="18" t="s">
        <v>1955</v>
      </c>
      <c r="C78" s="18" t="n">
        <v>0.005</v>
      </c>
      <c r="D78" s="18" t="s">
        <v>1956</v>
      </c>
      <c r="E78" s="18" t="s">
        <v>1841</v>
      </c>
      <c r="F78" s="18" t="s">
        <v>881</v>
      </c>
      <c r="G78" s="24" t="s">
        <v>859</v>
      </c>
      <c r="H78" s="18"/>
    </row>
    <row r="79" customFormat="false" ht="12.8" hidden="false" customHeight="false" outlineLevel="0" collapsed="false">
      <c r="A79" s="17" t="s">
        <v>1957</v>
      </c>
      <c r="B79" s="18" t="s">
        <v>1958</v>
      </c>
      <c r="C79" s="18" t="n">
        <v>0.002</v>
      </c>
      <c r="D79" s="18" t="s">
        <v>1959</v>
      </c>
      <c r="E79" s="18" t="s">
        <v>857</v>
      </c>
      <c r="F79" s="18" t="s">
        <v>881</v>
      </c>
      <c r="G79" s="24" t="s">
        <v>859</v>
      </c>
      <c r="H79" s="18"/>
    </row>
    <row r="80" customFormat="false" ht="12.8" hidden="false" customHeight="false" outlineLevel="0" collapsed="false">
      <c r="A80" s="17" t="s">
        <v>1960</v>
      </c>
      <c r="B80" s="18" t="s">
        <v>1961</v>
      </c>
      <c r="C80" s="18" t="n">
        <v>0.002</v>
      </c>
      <c r="D80" s="18" t="s">
        <v>1962</v>
      </c>
      <c r="E80" s="18" t="s">
        <v>857</v>
      </c>
      <c r="F80" s="18" t="s">
        <v>881</v>
      </c>
      <c r="G80" s="24" t="s">
        <v>859</v>
      </c>
      <c r="H80" s="18"/>
    </row>
    <row r="81" customFormat="false" ht="12.8" hidden="false" customHeight="false" outlineLevel="0" collapsed="false">
      <c r="A81" s="17" t="s">
        <v>1963</v>
      </c>
      <c r="B81" s="18" t="s">
        <v>1964</v>
      </c>
      <c r="C81" s="18" t="n">
        <v>0.006</v>
      </c>
      <c r="D81" s="18" t="s">
        <v>1965</v>
      </c>
      <c r="E81" s="18" t="s">
        <v>937</v>
      </c>
      <c r="F81" s="18" t="s">
        <v>881</v>
      </c>
      <c r="G81" s="24" t="s">
        <v>859</v>
      </c>
      <c r="H81" s="18"/>
    </row>
    <row r="82" customFormat="false" ht="12.8" hidden="false" customHeight="false" outlineLevel="0" collapsed="false">
      <c r="A82" s="17" t="s">
        <v>1966</v>
      </c>
      <c r="B82" s="18" t="s">
        <v>1967</v>
      </c>
      <c r="C82" s="18" t="n">
        <v>0.006</v>
      </c>
      <c r="D82" s="18" t="s">
        <v>1968</v>
      </c>
      <c r="E82" s="18" t="s">
        <v>937</v>
      </c>
      <c r="F82" s="18" t="s">
        <v>881</v>
      </c>
      <c r="G82" s="24" t="s">
        <v>859</v>
      </c>
      <c r="H82" s="18"/>
    </row>
    <row r="83" customFormat="false" ht="12.8" hidden="false" customHeight="false" outlineLevel="0" collapsed="false">
      <c r="A83" s="17" t="s">
        <v>1969</v>
      </c>
      <c r="B83" s="18" t="s">
        <v>1970</v>
      </c>
      <c r="C83" s="18" t="n">
        <v>0.004</v>
      </c>
      <c r="D83" s="18" t="s">
        <v>1971</v>
      </c>
      <c r="E83" s="18" t="s">
        <v>1841</v>
      </c>
      <c r="F83" s="18" t="s">
        <v>881</v>
      </c>
      <c r="G83" s="24" t="s">
        <v>859</v>
      </c>
      <c r="H83" s="18"/>
    </row>
    <row r="84" customFormat="false" ht="12.8" hidden="false" customHeight="false" outlineLevel="0" collapsed="false">
      <c r="A84" s="17" t="s">
        <v>1972</v>
      </c>
      <c r="B84" s="18" t="s">
        <v>1973</v>
      </c>
      <c r="C84" s="18" t="n">
        <v>0.002</v>
      </c>
      <c r="D84" s="18" t="s">
        <v>1974</v>
      </c>
      <c r="E84" s="18" t="s">
        <v>857</v>
      </c>
      <c r="F84" s="18" t="s">
        <v>881</v>
      </c>
      <c r="G84" s="24" t="s">
        <v>859</v>
      </c>
      <c r="H84" s="18"/>
    </row>
    <row r="85" customFormat="false" ht="12.8" hidden="false" customHeight="false" outlineLevel="0" collapsed="false">
      <c r="A85" s="17" t="s">
        <v>1975</v>
      </c>
      <c r="B85" s="18" t="s">
        <v>1976</v>
      </c>
      <c r="C85" s="18" t="n">
        <v>1.04</v>
      </c>
      <c r="D85" s="18" t="s">
        <v>1977</v>
      </c>
      <c r="E85" s="18" t="s">
        <v>1841</v>
      </c>
      <c r="F85" s="18" t="s">
        <v>1978</v>
      </c>
      <c r="G85" s="24" t="s">
        <v>859</v>
      </c>
      <c r="H85" s="18" t="s">
        <v>1908</v>
      </c>
    </row>
    <row r="86" customFormat="false" ht="12.8" hidden="false" customHeight="false" outlineLevel="0" collapsed="false">
      <c r="A86" s="17" t="s">
        <v>1979</v>
      </c>
      <c r="B86" s="18" t="s">
        <v>1980</v>
      </c>
      <c r="C86" s="18" t="s">
        <v>1981</v>
      </c>
      <c r="D86" s="18" t="s">
        <v>1982</v>
      </c>
      <c r="E86" s="18" t="s">
        <v>857</v>
      </c>
      <c r="F86" s="18" t="s">
        <v>1983</v>
      </c>
      <c r="G86" s="24" t="s">
        <v>859</v>
      </c>
      <c r="H86" s="18" t="s">
        <v>1829</v>
      </c>
    </row>
    <row r="87" customFormat="false" ht="12.8" hidden="false" customHeight="false" outlineLevel="0" collapsed="false">
      <c r="A87" s="17" t="s">
        <v>1984</v>
      </c>
      <c r="B87" s="18" t="s">
        <v>1985</v>
      </c>
      <c r="C87" s="18" t="n">
        <v>2211200</v>
      </c>
      <c r="D87" s="18" t="s">
        <v>1986</v>
      </c>
      <c r="E87" s="18" t="s">
        <v>857</v>
      </c>
      <c r="F87" s="18" t="s">
        <v>1987</v>
      </c>
      <c r="G87" s="24" t="s">
        <v>859</v>
      </c>
      <c r="H87" s="18" t="s">
        <v>1988</v>
      </c>
    </row>
    <row r="88" customFormat="false" ht="12.8" hidden="false" customHeight="false" outlineLevel="0" collapsed="false">
      <c r="A88" s="17" t="s">
        <v>1989</v>
      </c>
      <c r="B88" s="18" t="s">
        <v>1990</v>
      </c>
      <c r="C88" s="18" t="n">
        <v>0.9983</v>
      </c>
      <c r="D88" s="18" t="s">
        <v>1991</v>
      </c>
      <c r="E88" s="18" t="s">
        <v>857</v>
      </c>
      <c r="F88" s="18" t="s">
        <v>1992</v>
      </c>
      <c r="G88" s="24" t="s">
        <v>859</v>
      </c>
      <c r="H88" s="18" t="s">
        <v>1993</v>
      </c>
    </row>
    <row r="90" customFormat="false" ht="12.8" hidden="false" customHeight="false" outlineLevel="0" collapsed="false">
      <c r="A90" s="46" t="str">
        <f aca="false">_xlfn.CONCAT($A$1, ".", "VALID")</f>
        <v>LSD.RID.0.AL.TNPE.VALID</v>
      </c>
      <c r="B90" s="47" t="str">
        <f aca="false">_xlfn.CONCAT($B$1, " ", "Validation")</f>
        <v>Alabama Total Non-Farm Payroll Employment (TNPE) Validation</v>
      </c>
    </row>
    <row r="91" customFormat="false" ht="12.8" hidden="false" customHeight="false" outlineLevel="0" collapsed="false">
      <c r="A91" s="14" t="s">
        <v>101</v>
      </c>
      <c r="B91" s="49" t="s">
        <v>1994</v>
      </c>
      <c r="C91" s="49" t="s">
        <v>1995</v>
      </c>
      <c r="D91" s="49" t="s">
        <v>1996</v>
      </c>
      <c r="E91" s="49" t="s">
        <v>1997</v>
      </c>
      <c r="F91" s="49" t="s">
        <v>850</v>
      </c>
      <c r="G91" s="49" t="s">
        <v>1998</v>
      </c>
    </row>
    <row r="92" customFormat="false" ht="12.8" hidden="false" customHeight="false" outlineLevel="0" collapsed="false">
      <c r="A92" s="17" t="s">
        <v>1999</v>
      </c>
      <c r="B92" s="18" t="s">
        <v>2000</v>
      </c>
      <c r="C92" s="18" t="n">
        <v>2211200</v>
      </c>
      <c r="D92" s="18" t="n">
        <v>2211200</v>
      </c>
      <c r="E92" s="18" t="s">
        <v>2001</v>
      </c>
      <c r="F92" s="18" t="s">
        <v>857</v>
      </c>
      <c r="G92" s="18" t="s">
        <v>2002</v>
      </c>
    </row>
    <row r="93" customFormat="false" ht="12.8" hidden="false" customHeight="false" outlineLevel="0" collapsed="false">
      <c r="A93" s="17" t="s">
        <v>2003</v>
      </c>
      <c r="B93" s="18" t="s">
        <v>2004</v>
      </c>
      <c r="C93" s="18" t="n">
        <v>2211200</v>
      </c>
      <c r="D93" s="18" t="s">
        <v>2005</v>
      </c>
      <c r="E93" s="18" t="s">
        <v>2006</v>
      </c>
      <c r="F93" s="18" t="s">
        <v>857</v>
      </c>
      <c r="G93" s="18" t="s">
        <v>2007</v>
      </c>
    </row>
    <row r="94" customFormat="false" ht="12.8" hidden="false" customHeight="false" outlineLevel="0" collapsed="false">
      <c r="A94" s="17" t="s">
        <v>2008</v>
      </c>
      <c r="B94" s="18" t="s">
        <v>2009</v>
      </c>
      <c r="C94" s="18" t="s">
        <v>2010</v>
      </c>
      <c r="D94" s="18" t="s">
        <v>2011</v>
      </c>
      <c r="E94" s="18" t="s">
        <v>2012</v>
      </c>
      <c r="F94" s="18" t="s">
        <v>857</v>
      </c>
      <c r="G94" s="18" t="s">
        <v>2013</v>
      </c>
    </row>
    <row r="95" customFormat="false" ht="12.8" hidden="false" customHeight="false" outlineLevel="0" collapsed="false">
      <c r="A95" s="17" t="s">
        <v>2014</v>
      </c>
      <c r="B95" s="18" t="s">
        <v>2015</v>
      </c>
      <c r="C95" s="18" t="s">
        <v>2016</v>
      </c>
      <c r="D95" s="18" t="s">
        <v>2017</v>
      </c>
      <c r="E95" s="18" t="s">
        <v>2018</v>
      </c>
      <c r="F95" s="18" t="s">
        <v>1841</v>
      </c>
      <c r="G95" s="18" t="s">
        <v>2019</v>
      </c>
    </row>
    <row r="96" customFormat="false" ht="12.8" hidden="false" customHeight="false" outlineLevel="0" collapsed="false">
      <c r="A96" s="17" t="s">
        <v>2020</v>
      </c>
      <c r="B96" s="18" t="s">
        <v>2021</v>
      </c>
      <c r="C96" s="18" t="n">
        <v>0.9983</v>
      </c>
      <c r="D96" s="18" t="s">
        <v>2022</v>
      </c>
      <c r="E96" s="18" t="s">
        <v>2023</v>
      </c>
      <c r="F96" s="18" t="s">
        <v>857</v>
      </c>
      <c r="G96" s="18" t="s">
        <v>2024</v>
      </c>
    </row>
    <row r="97" customFormat="false" ht="12.8" hidden="false" customHeight="false" outlineLevel="0" collapsed="false">
      <c r="A97" s="17" t="s">
        <v>2025</v>
      </c>
      <c r="B97" s="18" t="s">
        <v>2026</v>
      </c>
      <c r="C97" s="18" t="s">
        <v>2027</v>
      </c>
      <c r="D97" s="18" t="s">
        <v>2028</v>
      </c>
      <c r="E97" s="18" t="s">
        <v>2029</v>
      </c>
      <c r="F97" s="18" t="s">
        <v>937</v>
      </c>
      <c r="G97" s="18" t="s">
        <v>2030</v>
      </c>
    </row>
    <row r="98" customFormat="false" ht="12.8" hidden="false" customHeight="false" outlineLevel="0" collapsed="false">
      <c r="A98" s="17" t="s">
        <v>2031</v>
      </c>
      <c r="B98" s="18" t="s">
        <v>2032</v>
      </c>
      <c r="C98" s="18" t="s">
        <v>2033</v>
      </c>
      <c r="D98" s="18" t="s">
        <v>2034</v>
      </c>
      <c r="E98" s="18" t="s">
        <v>2035</v>
      </c>
      <c r="F98" s="18" t="s">
        <v>857</v>
      </c>
      <c r="G98" s="18" t="s">
        <v>2036</v>
      </c>
    </row>
    <row r="99" customFormat="false" ht="12.8" hidden="false" customHeight="false" outlineLevel="0" collapsed="false">
      <c r="A99" s="17" t="s">
        <v>2037</v>
      </c>
      <c r="B99" s="18" t="s">
        <v>2038</v>
      </c>
      <c r="C99" s="18" t="n">
        <v>2211200</v>
      </c>
      <c r="D99" s="18" t="s">
        <v>971</v>
      </c>
      <c r="E99" s="18" t="s">
        <v>857</v>
      </c>
      <c r="F99" s="18" t="s">
        <v>2039</v>
      </c>
      <c r="G99" s="18" t="s">
        <v>2040</v>
      </c>
    </row>
    <row r="100" customFormat="false" ht="12.8" hidden="false" customHeight="false" outlineLevel="0" collapsed="false">
      <c r="A100" s="43" t="s">
        <v>2041</v>
      </c>
      <c r="B100" s="44" t="s">
        <v>2042</v>
      </c>
      <c r="C100" s="44" t="s">
        <v>2043</v>
      </c>
      <c r="D100" s="45" t="s">
        <v>2044</v>
      </c>
      <c r="E100" s="45" t="s">
        <v>857</v>
      </c>
      <c r="F100" s="45" t="s">
        <v>2045</v>
      </c>
    </row>
    <row r="101" customFormat="false" ht="12.8" hidden="false" customHeight="false" outlineLevel="0" collapsed="false">
      <c r="A101" s="43" t="s">
        <v>2046</v>
      </c>
      <c r="B101" s="44" t="s">
        <v>2047</v>
      </c>
      <c r="C101" s="44" t="s">
        <v>2048</v>
      </c>
      <c r="D101" s="45" t="s">
        <v>2049</v>
      </c>
      <c r="E101" s="45" t="s">
        <v>857</v>
      </c>
      <c r="F101" s="45" t="s">
        <v>2050</v>
      </c>
    </row>
    <row r="103" customFormat="false" ht="12.8" hidden="false" customHeight="false" outlineLevel="0" collapsed="false">
      <c r="A103" s="17" t="str">
        <f aca="false">_xlfn.CONCAT(PTER!$A$1, ".", "VIS")</f>
        <v>LSD.RID.0.AL.PTER.VIS</v>
      </c>
      <c r="B103" s="18" t="s">
        <v>2051</v>
      </c>
      <c r="C103" s="18"/>
      <c r="D103" s="18"/>
      <c r="E103" s="18"/>
      <c r="F103" s="18"/>
      <c r="G103" s="18"/>
      <c r="H103" s="18"/>
      <c r="I103" s="18"/>
      <c r="J103" s="18"/>
      <c r="K103" s="18"/>
      <c r="L103" s="18"/>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BD103" s="18"/>
      <c r="BE103" s="18"/>
      <c r="BF103" s="18"/>
      <c r="BG103" s="18"/>
      <c r="BH103" s="18"/>
      <c r="BI103" s="18"/>
      <c r="BJ103" s="18"/>
      <c r="BK103" s="18"/>
      <c r="BL103" s="18"/>
      <c r="BM103" s="18"/>
      <c r="BN103" s="18"/>
      <c r="BO103" s="18"/>
    </row>
    <row r="104" customFormat="false" ht="12.8" hidden="false" customHeight="false" outlineLevel="0" collapsed="false">
      <c r="A104" s="17" t="s">
        <v>103</v>
      </c>
      <c r="B104" s="18" t="s">
        <v>2052</v>
      </c>
      <c r="C104" s="18"/>
      <c r="D104" s="18"/>
      <c r="E104" s="18"/>
      <c r="F104" s="18"/>
      <c r="G104" s="18"/>
      <c r="H104" s="18"/>
      <c r="I104" s="18"/>
      <c r="J104" s="18"/>
      <c r="K104" s="18"/>
      <c r="L104" s="18"/>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BD104" s="18"/>
      <c r="BE104" s="18"/>
      <c r="BF104" s="18"/>
      <c r="BG104" s="18"/>
      <c r="BH104" s="18"/>
      <c r="BI104" s="18"/>
      <c r="BJ104" s="18"/>
      <c r="BK104" s="18"/>
      <c r="BL104" s="18"/>
      <c r="BM104" s="18"/>
      <c r="BN104" s="18"/>
      <c r="BO104" s="18"/>
    </row>
    <row r="105" customFormat="false" ht="12.8" hidden="false" customHeight="false" outlineLevel="0" collapsed="false">
      <c r="A105" s="17" t="str">
        <f aca="false">_xlfn.CONCAT($A$103, ".", 0)</f>
        <v>LSD.RID.0.AL.PTER.VIS.0</v>
      </c>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BD105" s="18"/>
      <c r="BE105" s="18"/>
      <c r="BF105" s="18"/>
      <c r="BG105" s="18"/>
      <c r="BH105" s="18"/>
      <c r="BI105" s="18"/>
      <c r="BJ105" s="18"/>
      <c r="BK105" s="18"/>
      <c r="BL105" s="18"/>
      <c r="BM105" s="18"/>
      <c r="BN105" s="18"/>
      <c r="BO105" s="18"/>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428"/>
    <pageSetUpPr fitToPage="false"/>
  </sheetPr>
  <dimension ref="A1:I5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true" hidden="false" outlineLevel="0" max="1" min="1" style="43" width="27.68"/>
    <col collapsed="false" customWidth="true" hidden="false" outlineLevel="0" max="2" min="2" style="44" width="36.89"/>
    <col collapsed="false" customWidth="true" hidden="false" outlineLevel="0" max="3" min="3" style="44" width="16.84"/>
    <col collapsed="false" customWidth="true" hidden="false" outlineLevel="0" max="10" min="4" style="45" width="16.84"/>
    <col collapsed="false" customWidth="false" hidden="false" outlineLevel="0" max="16384" min="79" style="45" width="11.53"/>
  </cols>
  <sheetData>
    <row r="1" customFormat="false" ht="12.8" hidden="false" customHeight="false" outlineLevel="0" collapsed="false">
      <c r="A1" s="46" t="s">
        <v>54</v>
      </c>
      <c r="B1" s="47" t="s">
        <v>2053</v>
      </c>
      <c r="C1" s="35" t="s">
        <v>2</v>
      </c>
      <c r="D1" s="48" t="s">
        <v>1800</v>
      </c>
    </row>
    <row r="2" customFormat="false" ht="12.8" hidden="false" customHeight="false" outlineLevel="0" collapsed="false">
      <c r="A2" s="46" t="str">
        <f aca="false">_xlfn.CONCAT($A$1, ".", "CALC")</f>
        <v>LSD.RID.0.AL.LFP.CALC</v>
      </c>
      <c r="B2" s="47" t="str">
        <f aca="false">_xlfn.CONCAT($B$1, " ", "Calculations")</f>
        <v>Alabama Labor Force Population (LFP) Calculations</v>
      </c>
      <c r="C2" s="35" t="str">
        <f aca="false">CALC!H3</f>
        <v>Labor Force Population (LFP)</v>
      </c>
      <c r="D2" s="35"/>
      <c r="E2" s="35"/>
      <c r="F2" s="35"/>
    </row>
    <row r="3" customFormat="false" ht="12.8" hidden="false" customHeight="false" outlineLevel="0" collapsed="false">
      <c r="A3" s="46" t="str">
        <f aca="false">CALC!A34</f>
        <v>LSID</v>
      </c>
      <c r="B3" s="22" t="str">
        <f aca="false">CALC!C34</f>
        <v>Labor Sector</v>
      </c>
      <c r="C3" s="38" t="str">
        <f aca="false">CALC!H4</f>
        <v>Overall LFP</v>
      </c>
      <c r="D3" s="38" t="str">
        <f aca="false">CALC!I4</f>
        <v>Authorized LFP</v>
      </c>
      <c r="E3" s="38" t="str">
        <f aca="false">CALC!J4</f>
        <v>Unauthorized LFP</v>
      </c>
      <c r="F3" s="38" t="str">
        <f aca="false">CALC!K4</f>
        <v>American LFP</v>
      </c>
    </row>
    <row r="4" customFormat="false" ht="12.8" hidden="false" customHeight="false" outlineLevel="0" collapsed="false">
      <c r="A4" s="46" t="str">
        <f aca="false">_xlfn.CONCAT($A$1, ".CALC.", CALC!A35)</f>
        <v>LSD.RID.0.AL.LFP.CALC.0</v>
      </c>
      <c r="B4" s="22" t="str">
        <f aca="false">CALC!C35</f>
        <v>All Industries</v>
      </c>
      <c r="C4" s="3" t="n">
        <v>2381000</v>
      </c>
      <c r="D4" s="3" t="n">
        <v>62388</v>
      </c>
      <c r="E4" s="3" t="n">
        <v>50000</v>
      </c>
      <c r="F4" s="3" t="n">
        <v>2270612</v>
      </c>
    </row>
    <row r="5" customFormat="false" ht="12.8" hidden="false" customHeight="false" outlineLevel="0" collapsed="false">
      <c r="A5" s="46" t="str">
        <f aca="false">_xlfn.CONCAT($A$1, ".CALC.", CALC!A36)</f>
        <v>LSD.RID.0.AL.LFP.CALC.1</v>
      </c>
      <c r="B5" s="50" t="str">
        <f aca="false">CALC!C36</f>
        <v>Agriculture, Forestry, Fishing and Hunting</v>
      </c>
      <c r="C5" s="3" t="n">
        <v>38000</v>
      </c>
      <c r="D5" s="3" t="n">
        <v>152</v>
      </c>
      <c r="E5" s="3" t="n">
        <v>5320</v>
      </c>
      <c r="F5" s="3" t="n">
        <v>32528</v>
      </c>
    </row>
    <row r="6" customFormat="false" ht="22.8" hidden="false" customHeight="false" outlineLevel="0" collapsed="false">
      <c r="A6" s="46" t="str">
        <f aca="false">_xlfn.CONCAT($A$1, ".CALC.", CALC!A37)</f>
        <v>LSD.RID.0.AL.LFP.CALC.2</v>
      </c>
      <c r="B6" s="50" t="str">
        <f aca="false">CALC!C37</f>
        <v>Mining, Quarrying, and Oil and Gas Extraction</v>
      </c>
      <c r="C6" s="3" t="n">
        <v>14000</v>
      </c>
      <c r="D6" s="3" t="n">
        <v>196</v>
      </c>
      <c r="E6" s="3" t="n">
        <v>560</v>
      </c>
      <c r="F6" s="3" t="n">
        <v>13244</v>
      </c>
    </row>
    <row r="7" customFormat="false" ht="12.8" hidden="false" customHeight="false" outlineLevel="0" collapsed="false">
      <c r="A7" s="46" t="str">
        <f aca="false">_xlfn.CONCAT($A$1, ".CALC.", CALC!A38)</f>
        <v>LSD.RID.0.AL.LFP.CALC.3</v>
      </c>
      <c r="B7" s="22" t="str">
        <f aca="false">CALC!C38</f>
        <v>Utilities</v>
      </c>
      <c r="C7" s="3" t="n">
        <v>28000</v>
      </c>
      <c r="D7" s="3" t="n">
        <v>560</v>
      </c>
      <c r="E7" s="3" t="n">
        <v>224</v>
      </c>
      <c r="F7" s="3" t="n">
        <v>27216</v>
      </c>
    </row>
    <row r="8" customFormat="false" ht="12.8" hidden="false" customHeight="false" outlineLevel="0" collapsed="false">
      <c r="A8" s="46" t="str">
        <f aca="false">_xlfn.CONCAT($A$1, ".CALC.", CALC!A39)</f>
        <v>LSD.RID.0.AL.LFP.CALC.4</v>
      </c>
      <c r="B8" s="22" t="str">
        <f aca="false">CALC!C39</f>
        <v>Construction</v>
      </c>
      <c r="C8" s="3" t="n">
        <v>135000</v>
      </c>
      <c r="D8" s="3" t="n">
        <v>4590</v>
      </c>
      <c r="E8" s="3" t="n">
        <v>13770</v>
      </c>
      <c r="F8" s="3" t="n">
        <v>116640</v>
      </c>
    </row>
    <row r="9" customFormat="false" ht="12.8" hidden="false" customHeight="false" outlineLevel="0" collapsed="false">
      <c r="A9" s="46" t="str">
        <f aca="false">_xlfn.CONCAT($A$1, ".CALC.", CALC!A40)</f>
        <v>LSD.RID.0.AL.LFP.CALC.5</v>
      </c>
      <c r="B9" s="50" t="str">
        <f aca="false">CALC!C40</f>
        <v>Manufacturing (Food,Textile, etc.)</v>
      </c>
      <c r="C9" s="3" t="n">
        <v>70700</v>
      </c>
      <c r="D9" s="3" t="n">
        <v>1555</v>
      </c>
      <c r="E9" s="3" t="n">
        <v>5656</v>
      </c>
      <c r="F9" s="3" t="n">
        <v>63489</v>
      </c>
    </row>
    <row r="10" customFormat="false" ht="22.8" hidden="false" customHeight="false" outlineLevel="0" collapsed="false">
      <c r="A10" s="46" t="str">
        <f aca="false">_xlfn.CONCAT($A$1, ".CALC.", CALC!A41)</f>
        <v>LSD.RID.0.AL.LFP.CALC.6</v>
      </c>
      <c r="B10" s="50" t="str">
        <f aca="false">CALC!C41</f>
        <v>Manufacturing (Wood, Paper, Printing, etc.)</v>
      </c>
      <c r="C10" s="3" t="n">
        <v>58000</v>
      </c>
      <c r="D10" s="3" t="n">
        <v>1276</v>
      </c>
      <c r="E10" s="3" t="n">
        <v>2088</v>
      </c>
      <c r="F10" s="3" t="n">
        <v>54636</v>
      </c>
    </row>
    <row r="11" customFormat="false" ht="12.8" hidden="false" customHeight="false" outlineLevel="0" collapsed="false">
      <c r="A11" s="46" t="str">
        <f aca="false">_xlfn.CONCAT($A$1, ".CALC.", CALC!A42)</f>
        <v>LSD.RID.0.AL.LFP.CALC.7</v>
      </c>
      <c r="B11" s="50" t="str">
        <f aca="false">CALC!C42</f>
        <v>Manufacturing (Machinery, Transport)</v>
      </c>
      <c r="C11" s="3" t="n">
        <v>120000</v>
      </c>
      <c r="D11" s="3" t="n">
        <v>2640</v>
      </c>
      <c r="E11" s="3" t="n">
        <v>4320</v>
      </c>
      <c r="F11" s="3" t="n">
        <v>113040</v>
      </c>
    </row>
    <row r="12" customFormat="false" ht="12.8" hidden="false" customHeight="false" outlineLevel="0" collapsed="false">
      <c r="A12" s="46" t="str">
        <f aca="false">_xlfn.CONCAT($A$1, ".CALC.", CALC!A43)</f>
        <v>LSD.RID.0.AL.LFP.CALC.8</v>
      </c>
      <c r="B12" s="22" t="str">
        <f aca="false">CALC!C43</f>
        <v>Wholesale Trade</v>
      </c>
      <c r="C12" s="3" t="n">
        <v>49500</v>
      </c>
      <c r="D12" s="3" t="n">
        <v>1089</v>
      </c>
      <c r="E12" s="3" t="n">
        <v>1782</v>
      </c>
      <c r="F12" s="3" t="n">
        <v>46629</v>
      </c>
    </row>
    <row r="13" customFormat="false" ht="12.8" hidden="false" customHeight="false" outlineLevel="0" collapsed="false">
      <c r="A13" s="46" t="str">
        <f aca="false">_xlfn.CONCAT($A$1, ".CALC.", CALC!A44)</f>
        <v>LSD.RID.0.AL.LFP.CALC.9</v>
      </c>
      <c r="B13" s="50" t="str">
        <f aca="false">CALC!C44</f>
        <v>Retail Trade (Motor Vehicle, Electronics)</v>
      </c>
      <c r="C13" s="3" t="n">
        <v>39900</v>
      </c>
      <c r="D13" s="3" t="n">
        <v>878</v>
      </c>
      <c r="E13" s="3" t="n">
        <v>1436</v>
      </c>
      <c r="F13" s="3" t="n">
        <v>37586</v>
      </c>
    </row>
    <row r="14" customFormat="false" ht="22.8" hidden="false" customHeight="false" outlineLevel="0" collapsed="false">
      <c r="A14" s="46" t="str">
        <f aca="false">_xlfn.CONCAT($A$1, ".CALC.", CALC!A45)</f>
        <v>LSD.RID.0.AL.LFP.CALC.10</v>
      </c>
      <c r="B14" s="50" t="str">
        <f aca="false">CALC!C45</f>
        <v>Retail Trade (Food, Clothing, General Merchandise, etc.)</v>
      </c>
      <c r="C14" s="3" t="n">
        <v>129800</v>
      </c>
      <c r="D14" s="3" t="n">
        <v>2856</v>
      </c>
      <c r="E14" s="3" t="n">
        <v>10384</v>
      </c>
      <c r="F14" s="3" t="n">
        <v>116560</v>
      </c>
    </row>
    <row r="15" customFormat="false" ht="12.8" hidden="false" customHeight="false" outlineLevel="0" collapsed="false">
      <c r="A15" s="46" t="str">
        <f aca="false">_xlfn.CONCAT($A$1, ".CALC.", CALC!A46)</f>
        <v>LSD.RID.0.AL.LFP.CALC.11</v>
      </c>
      <c r="B15" s="22" t="str">
        <f aca="false">CALC!C46</f>
        <v>Transportation</v>
      </c>
      <c r="C15" s="3" t="n">
        <v>75500</v>
      </c>
      <c r="D15" s="3" t="n">
        <v>1661</v>
      </c>
      <c r="E15" s="3" t="n">
        <v>2719</v>
      </c>
      <c r="F15" s="3" t="n">
        <v>71120</v>
      </c>
    </row>
    <row r="16" customFormat="false" ht="12.8" hidden="false" customHeight="false" outlineLevel="0" collapsed="false">
      <c r="A16" s="46" t="str">
        <f aca="false">_xlfn.CONCAT($A$1, ".CALC.", CALC!A47)</f>
        <v>LSD.RID.0.AL.LFP.CALC.12</v>
      </c>
      <c r="B16" s="22" t="str">
        <f aca="false">CALC!C47</f>
        <v>Warehousing and Storage</v>
      </c>
      <c r="C16" s="3" t="n">
        <v>50000</v>
      </c>
      <c r="D16" s="3" t="n">
        <v>1100</v>
      </c>
      <c r="E16" s="3" t="n">
        <v>1800</v>
      </c>
      <c r="F16" s="3" t="n">
        <v>47100</v>
      </c>
    </row>
    <row r="17" customFormat="false" ht="12.8" hidden="false" customHeight="false" outlineLevel="0" collapsed="false">
      <c r="A17" s="46" t="str">
        <f aca="false">_xlfn.CONCAT($A$1, ".CALC.", CALC!A48)</f>
        <v>LSD.RID.0.AL.LFP.CALC.13</v>
      </c>
      <c r="B17" s="22" t="str">
        <f aca="false">CALC!C48</f>
        <v>Information</v>
      </c>
      <c r="C17" s="3" t="n">
        <v>28000</v>
      </c>
      <c r="D17" s="3" t="n">
        <v>616</v>
      </c>
      <c r="E17" s="3" t="n">
        <v>1008</v>
      </c>
      <c r="F17" s="3" t="n">
        <v>26376</v>
      </c>
    </row>
    <row r="18" customFormat="false" ht="12.8" hidden="false" customHeight="false" outlineLevel="0" collapsed="false">
      <c r="A18" s="46" t="str">
        <f aca="false">_xlfn.CONCAT($A$1, ".CALC.", CALC!A49)</f>
        <v>LSD.RID.0.AL.LFP.CALC.14</v>
      </c>
      <c r="B18" s="22" t="str">
        <f aca="false">CALC!C49</f>
        <v>Finance and Insurance</v>
      </c>
      <c r="C18" s="3" t="n">
        <v>60800</v>
      </c>
      <c r="D18" s="3" t="n">
        <v>1338</v>
      </c>
      <c r="E18" s="3" t="n">
        <v>2190</v>
      </c>
      <c r="F18" s="3" t="n">
        <v>57272</v>
      </c>
    </row>
    <row r="19" customFormat="false" ht="12.8" hidden="false" customHeight="false" outlineLevel="0" collapsed="false">
      <c r="A19" s="46" t="str">
        <f aca="false">_xlfn.CONCAT($A$1, ".CALC.", CALC!A50)</f>
        <v>LSD.RID.0.AL.LFP.CALC.15</v>
      </c>
      <c r="B19" s="50" t="str">
        <f aca="false">CALC!C50</f>
        <v>Real Estate and Rental and Leasing</v>
      </c>
      <c r="C19" s="3" t="n">
        <v>30400</v>
      </c>
      <c r="D19" s="3" t="n">
        <v>669</v>
      </c>
      <c r="E19" s="3" t="n">
        <v>1094</v>
      </c>
      <c r="F19" s="3" t="n">
        <v>28637</v>
      </c>
    </row>
    <row r="20" customFormat="false" ht="22.8" hidden="false" customHeight="false" outlineLevel="0" collapsed="false">
      <c r="A20" s="46" t="str">
        <f aca="false">_xlfn.CONCAT($A$1, ".CALC.", CALC!A51)</f>
        <v>LSD.RID.0.AL.LFP.CALC.16</v>
      </c>
      <c r="B20" s="50" t="str">
        <f aca="false">CALC!C51</f>
        <v>Professional, Scientific, and Technical Services</v>
      </c>
      <c r="C20" s="3" t="n">
        <v>91200</v>
      </c>
      <c r="D20" s="3" t="n">
        <v>2006</v>
      </c>
      <c r="E20" s="3" t="n">
        <v>3283</v>
      </c>
      <c r="F20" s="3" t="n">
        <v>85911</v>
      </c>
    </row>
    <row r="21" customFormat="false" ht="22.8" hidden="false" customHeight="false" outlineLevel="0" collapsed="false">
      <c r="A21" s="46" t="str">
        <f aca="false">_xlfn.CONCAT($A$1, ".CALC.", CALC!A52)</f>
        <v>LSD.RID.0.AL.LFP.CALC.17</v>
      </c>
      <c r="B21" s="50" t="str">
        <f aca="false">CALC!C52</f>
        <v>Administrative and Support and Waste Management and Remediation Services</v>
      </c>
      <c r="C21" s="3" t="n">
        <v>123000</v>
      </c>
      <c r="D21" s="3" t="n">
        <v>2706</v>
      </c>
      <c r="E21" s="3" t="n">
        <v>9846</v>
      </c>
      <c r="F21" s="3" t="n">
        <v>110448</v>
      </c>
    </row>
    <row r="22" customFormat="false" ht="12.8" hidden="false" customHeight="false" outlineLevel="0" collapsed="false">
      <c r="A22" s="46" t="str">
        <f aca="false">_xlfn.CONCAT($A$1, ".CALC.", CALC!A53)</f>
        <v>LSD.RID.0.AL.LFP.CALC.18</v>
      </c>
      <c r="B22" s="22" t="str">
        <f aca="false">CALC!C53</f>
        <v>Educational Services</v>
      </c>
      <c r="C22" s="3" t="n">
        <v>152000</v>
      </c>
      <c r="D22" s="3" t="n">
        <v>3344</v>
      </c>
      <c r="E22" s="3" t="n">
        <v>5472</v>
      </c>
      <c r="F22" s="3" t="n">
        <v>143184</v>
      </c>
    </row>
    <row r="23" customFormat="false" ht="12.8" hidden="false" customHeight="false" outlineLevel="0" collapsed="false">
      <c r="A23" s="46" t="str">
        <f aca="false">_xlfn.CONCAT($A$1, ".CALC.", CALC!A54)</f>
        <v>LSD.RID.0.AL.LFP.CALC.19</v>
      </c>
      <c r="B23" s="50" t="str">
        <f aca="false">CALC!C54</f>
        <v>Health Care and Social Assistance</v>
      </c>
      <c r="C23" s="3" t="n">
        <v>213800</v>
      </c>
      <c r="D23" s="3" t="n">
        <v>4704</v>
      </c>
      <c r="E23" s="3" t="n">
        <v>7697</v>
      </c>
      <c r="F23" s="3" t="n">
        <v>201399</v>
      </c>
    </row>
    <row r="24" customFormat="false" ht="12.8" hidden="false" customHeight="false" outlineLevel="0" collapsed="false">
      <c r="A24" s="46" t="str">
        <f aca="false">_xlfn.CONCAT($A$1, ".CALC.", CALC!A55)</f>
        <v>LSD.RID.0.AL.LFP.CALC.20</v>
      </c>
      <c r="B24" s="50" t="str">
        <f aca="false">CALC!C55</f>
        <v>Arts, Entertainment,and Recreation</v>
      </c>
      <c r="C24" s="3" t="n">
        <v>30400</v>
      </c>
      <c r="D24" s="3" t="n">
        <v>669</v>
      </c>
      <c r="E24" s="3" t="n">
        <v>1094</v>
      </c>
      <c r="F24" s="3" t="n">
        <v>28637</v>
      </c>
    </row>
    <row r="25" customFormat="false" ht="12.8" hidden="false" customHeight="false" outlineLevel="0" collapsed="false">
      <c r="A25" s="46" t="str">
        <f aca="false">_xlfn.CONCAT($A$1, ".CALC.", CALC!A56)</f>
        <v>LSD.RID.0.AL.LFP.CALC.21</v>
      </c>
      <c r="B25" s="50" t="str">
        <f aca="false">CALC!C56</f>
        <v>Accommodation and Food Services</v>
      </c>
      <c r="C25" s="3" t="n">
        <v>124500</v>
      </c>
      <c r="D25" s="3" t="n">
        <v>2739</v>
      </c>
      <c r="E25" s="3" t="n">
        <v>9950</v>
      </c>
      <c r="F25" s="3" t="n">
        <v>111811</v>
      </c>
    </row>
    <row r="26" customFormat="false" ht="22.8" hidden="false" customHeight="false" outlineLevel="0" collapsed="false">
      <c r="A26" s="46" t="str">
        <f aca="false">_xlfn.CONCAT($A$1, ".CALC.", CALC!A57)</f>
        <v>LSD.RID.0.AL.LFP.CALC.22</v>
      </c>
      <c r="B26" s="50" t="str">
        <f aca="false">CALC!C57</f>
        <v>Other Services (except Public Administration)</v>
      </c>
      <c r="C26" s="3" t="n">
        <v>66500</v>
      </c>
      <c r="D26" s="3" t="n">
        <v>1463</v>
      </c>
      <c r="E26" s="3" t="n">
        <v>5320</v>
      </c>
      <c r="F26" s="3" t="n">
        <v>59717</v>
      </c>
    </row>
    <row r="27" customFormat="false" ht="12.8" hidden="false" customHeight="false" outlineLevel="0" collapsed="false">
      <c r="A27" s="46" t="str">
        <f aca="false">_xlfn.CONCAT($A$1, ".CALC.", CALC!A58)</f>
        <v>LSD.RID.0.AL.LFP.CALC.23</v>
      </c>
      <c r="B27" s="22" t="str">
        <f aca="false">CALC!C58</f>
        <v>Public Administration</v>
      </c>
      <c r="C27" s="3" t="n">
        <v>95000</v>
      </c>
      <c r="D27" s="3" t="n">
        <v>2090</v>
      </c>
      <c r="E27" s="3" t="n">
        <v>3420</v>
      </c>
      <c r="F27" s="3" t="n">
        <v>89490</v>
      </c>
    </row>
    <row r="28" customFormat="false" ht="12.8" hidden="false" customHeight="false" outlineLevel="0" collapsed="false">
      <c r="A28" s="46"/>
      <c r="B28" s="22"/>
      <c r="C28" s="39"/>
      <c r="D28" s="39"/>
      <c r="E28" s="39"/>
      <c r="F28" s="39"/>
    </row>
    <row r="29" customFormat="false" ht="12.8" hidden="false" customHeight="false" outlineLevel="0" collapsed="false">
      <c r="A29" s="46" t="s">
        <v>2054</v>
      </c>
      <c r="B29" s="47" t="s">
        <v>2055</v>
      </c>
      <c r="C29" s="47"/>
    </row>
    <row r="30" customFormat="false" ht="12.8" hidden="false" customHeight="false" outlineLevel="0" collapsed="false">
      <c r="A30" s="14" t="s">
        <v>93</v>
      </c>
      <c r="B30" s="49" t="s">
        <v>1801</v>
      </c>
      <c r="C30" s="49" t="s">
        <v>283</v>
      </c>
      <c r="D30" s="49" t="s">
        <v>2056</v>
      </c>
      <c r="E30" s="49" t="s">
        <v>286</v>
      </c>
      <c r="F30" s="49" t="s">
        <v>287</v>
      </c>
      <c r="G30" s="49" t="s">
        <v>287</v>
      </c>
    </row>
    <row r="31" customFormat="false" ht="12.8" hidden="false" customHeight="false" outlineLevel="0" collapsed="false">
      <c r="A31" s="51" t="s">
        <v>2057</v>
      </c>
      <c r="B31" s="51" t="s">
        <v>2058</v>
      </c>
      <c r="C31" s="51" t="s">
        <v>2059</v>
      </c>
      <c r="D31" s="51" t="s">
        <v>2060</v>
      </c>
      <c r="E31" s="51" t="s">
        <v>2061</v>
      </c>
      <c r="F31" s="51" t="s">
        <v>417</v>
      </c>
      <c r="G31" s="49"/>
    </row>
    <row r="32" customFormat="false" ht="12.8" hidden="false" customHeight="false" outlineLevel="0" collapsed="false">
      <c r="A32" s="51" t="s">
        <v>2062</v>
      </c>
      <c r="B32" s="51" t="s">
        <v>2058</v>
      </c>
      <c r="C32" s="51" t="s">
        <v>2063</v>
      </c>
      <c r="D32" s="51" t="s">
        <v>414</v>
      </c>
      <c r="E32" s="51" t="s">
        <v>2064</v>
      </c>
      <c r="F32" s="51" t="s">
        <v>417</v>
      </c>
      <c r="G32" s="49"/>
    </row>
    <row r="33" customFormat="false" ht="12.8" hidden="false" customHeight="false" outlineLevel="0" collapsed="false">
      <c r="A33" s="51" t="s">
        <v>2065</v>
      </c>
      <c r="B33" s="51" t="s">
        <v>2058</v>
      </c>
      <c r="C33" s="51" t="s">
        <v>2066</v>
      </c>
      <c r="D33" s="51" t="s">
        <v>2067</v>
      </c>
      <c r="E33" s="51" t="s">
        <v>2068</v>
      </c>
      <c r="F33" s="51" t="s">
        <v>417</v>
      </c>
      <c r="G33" s="49"/>
    </row>
    <row r="34" customFormat="false" ht="12.8" hidden="false" customHeight="false" outlineLevel="0" collapsed="false">
      <c r="A34" s="51" t="s">
        <v>2069</v>
      </c>
      <c r="B34" s="51" t="s">
        <v>2058</v>
      </c>
      <c r="C34" s="51" t="s">
        <v>2070</v>
      </c>
      <c r="D34" s="51" t="s">
        <v>420</v>
      </c>
      <c r="E34" s="51" t="s">
        <v>422</v>
      </c>
      <c r="F34" s="51" t="s">
        <v>417</v>
      </c>
      <c r="G34" s="49"/>
    </row>
    <row r="35" customFormat="false" ht="12.8" hidden="false" customHeight="false" outlineLevel="0" collapsed="false">
      <c r="A35" s="17"/>
      <c r="B35" s="13"/>
      <c r="C35" s="13"/>
      <c r="D35" s="18"/>
      <c r="E35" s="18"/>
      <c r="F35" s="18"/>
      <c r="G35" s="18"/>
    </row>
    <row r="36" customFormat="false" ht="12.8" hidden="false" customHeight="false" outlineLevel="0" collapsed="false">
      <c r="A36" s="46" t="s">
        <v>2071</v>
      </c>
      <c r="B36" s="47" t="s">
        <v>2072</v>
      </c>
      <c r="C36" s="47"/>
    </row>
    <row r="37" customFormat="false" ht="12.8" hidden="false" customHeight="false" outlineLevel="0" collapsed="false">
      <c r="A37" s="49" t="s">
        <v>97</v>
      </c>
      <c r="B37" s="49" t="s">
        <v>283</v>
      </c>
      <c r="C37" s="49" t="s">
        <v>2073</v>
      </c>
      <c r="D37" s="49" t="s">
        <v>286</v>
      </c>
      <c r="E37" s="49" t="s">
        <v>850</v>
      </c>
      <c r="F37" s="49" t="s">
        <v>851</v>
      </c>
      <c r="G37" s="49" t="s">
        <v>852</v>
      </c>
      <c r="H37" s="49" t="s">
        <v>287</v>
      </c>
    </row>
    <row r="38" customFormat="false" ht="12.8" hidden="false" customHeight="false" outlineLevel="0" collapsed="false">
      <c r="A38" s="51" t="s">
        <v>2074</v>
      </c>
      <c r="B38" s="51" t="s">
        <v>2075</v>
      </c>
      <c r="C38" s="51" t="n">
        <v>2381000</v>
      </c>
      <c r="D38" s="51" t="s">
        <v>2076</v>
      </c>
      <c r="E38" s="51" t="s">
        <v>857</v>
      </c>
      <c r="F38" s="51" t="s">
        <v>858</v>
      </c>
      <c r="G38" s="52" t="s">
        <v>859</v>
      </c>
      <c r="H38" s="51" t="s">
        <v>417</v>
      </c>
    </row>
    <row r="39" customFormat="false" ht="12.8" hidden="false" customHeight="false" outlineLevel="0" collapsed="false">
      <c r="A39" s="51" t="s">
        <v>2077</v>
      </c>
      <c r="B39" s="51" t="s">
        <v>2078</v>
      </c>
      <c r="C39" s="51" t="s">
        <v>2079</v>
      </c>
      <c r="D39" s="51" t="s">
        <v>2080</v>
      </c>
      <c r="E39" s="51" t="s">
        <v>2081</v>
      </c>
      <c r="F39" s="51" t="s">
        <v>2082</v>
      </c>
      <c r="G39" s="52" t="s">
        <v>859</v>
      </c>
      <c r="H39" s="51" t="s">
        <v>417</v>
      </c>
    </row>
    <row r="40" customFormat="false" ht="12.8" hidden="false" customHeight="false" outlineLevel="0" collapsed="false">
      <c r="A40" s="51" t="s">
        <v>2083</v>
      </c>
      <c r="B40" s="51" t="s">
        <v>2084</v>
      </c>
      <c r="C40" s="51" t="s">
        <v>2085</v>
      </c>
      <c r="D40" s="51" t="s">
        <v>2086</v>
      </c>
      <c r="E40" s="51" t="s">
        <v>2081</v>
      </c>
      <c r="F40" s="51" t="s">
        <v>2082</v>
      </c>
      <c r="G40" s="52" t="s">
        <v>859</v>
      </c>
      <c r="H40" s="51" t="s">
        <v>417</v>
      </c>
    </row>
    <row r="41" customFormat="false" ht="12.8" hidden="false" customHeight="false" outlineLevel="0" collapsed="false">
      <c r="A41" s="51" t="s">
        <v>2087</v>
      </c>
      <c r="B41" s="51" t="s">
        <v>2088</v>
      </c>
      <c r="C41" s="51" t="s">
        <v>2089</v>
      </c>
      <c r="D41" s="51" t="s">
        <v>2090</v>
      </c>
      <c r="E41" s="51" t="s">
        <v>2081</v>
      </c>
      <c r="F41" s="51" t="s">
        <v>2082</v>
      </c>
      <c r="G41" s="52" t="s">
        <v>859</v>
      </c>
      <c r="H41" s="51" t="s">
        <v>1072</v>
      </c>
      <c r="I41" s="45" t="s">
        <v>417</v>
      </c>
    </row>
    <row r="42" customFormat="false" ht="12.8" hidden="false" customHeight="false" outlineLevel="0" collapsed="false">
      <c r="A42" s="18"/>
      <c r="B42" s="18"/>
      <c r="C42" s="18"/>
      <c r="D42" s="18"/>
      <c r="E42" s="18"/>
      <c r="F42" s="18"/>
      <c r="G42" s="18"/>
      <c r="H42" s="49"/>
    </row>
    <row r="43" customFormat="false" ht="12.8" hidden="false" customHeight="false" outlineLevel="0" collapsed="false">
      <c r="A43" s="46" t="s">
        <v>2091</v>
      </c>
      <c r="B43" s="47" t="s">
        <v>2092</v>
      </c>
      <c r="C43" s="47"/>
    </row>
    <row r="44" customFormat="false" ht="12.8" hidden="false" customHeight="false" outlineLevel="0" collapsed="false">
      <c r="A44" s="49" t="s">
        <v>101</v>
      </c>
      <c r="B44" s="49" t="s">
        <v>286</v>
      </c>
      <c r="C44" s="49" t="s">
        <v>849</v>
      </c>
      <c r="D44" s="49" t="s">
        <v>2093</v>
      </c>
      <c r="E44" s="49" t="s">
        <v>850</v>
      </c>
      <c r="F44" s="49" t="s">
        <v>2094</v>
      </c>
      <c r="G44" s="49" t="s">
        <v>2094</v>
      </c>
      <c r="H44" s="49" t="s">
        <v>2095</v>
      </c>
    </row>
    <row r="45" customFormat="false" ht="12.8" hidden="false" customHeight="false" outlineLevel="0" collapsed="false">
      <c r="A45" s="43" t="s">
        <v>2096</v>
      </c>
      <c r="B45" s="44" t="s">
        <v>1609</v>
      </c>
      <c r="C45" s="44" t="n">
        <v>2381000</v>
      </c>
      <c r="D45" s="45" t="s">
        <v>858</v>
      </c>
      <c r="E45" s="45" t="s">
        <v>857</v>
      </c>
      <c r="F45" s="45" t="s">
        <v>2097</v>
      </c>
    </row>
    <row r="46" customFormat="false" ht="12.8" hidden="false" customHeight="false" outlineLevel="0" collapsed="false">
      <c r="A46" s="43" t="s">
        <v>2098</v>
      </c>
      <c r="B46" s="44" t="s">
        <v>2099</v>
      </c>
      <c r="C46" s="44" t="s">
        <v>2100</v>
      </c>
      <c r="D46" s="45" t="s">
        <v>2101</v>
      </c>
      <c r="E46" s="45" t="s">
        <v>857</v>
      </c>
      <c r="F46" s="45" t="s">
        <v>2102</v>
      </c>
    </row>
    <row r="47" customFormat="false" ht="12.8" hidden="false" customHeight="false" outlineLevel="0" collapsed="false">
      <c r="A47" s="43" t="s">
        <v>2103</v>
      </c>
      <c r="B47" s="44" t="s">
        <v>2104</v>
      </c>
      <c r="C47" s="44" t="s">
        <v>2105</v>
      </c>
      <c r="D47" s="45" t="s">
        <v>2106</v>
      </c>
      <c r="E47" s="45" t="s">
        <v>857</v>
      </c>
      <c r="F47" s="45" t="s">
        <v>2107</v>
      </c>
    </row>
    <row r="48" customFormat="false" ht="12.8" hidden="false" customHeight="false" outlineLevel="0" collapsed="false">
      <c r="A48" s="43" t="s">
        <v>2108</v>
      </c>
      <c r="B48" s="44" t="s">
        <v>2109</v>
      </c>
      <c r="C48" s="44" t="s">
        <v>2110</v>
      </c>
      <c r="D48" s="45" t="s">
        <v>2111</v>
      </c>
      <c r="E48" s="45" t="s">
        <v>857</v>
      </c>
      <c r="F48" s="45" t="s">
        <v>2112</v>
      </c>
    </row>
    <row r="49" customFormat="false" ht="12.8" hidden="false" customHeight="false" outlineLevel="0" collapsed="false">
      <c r="A49" s="43" t="s">
        <v>2113</v>
      </c>
      <c r="B49" s="44" t="s">
        <v>2114</v>
      </c>
      <c r="C49" s="44" t="s">
        <v>2115</v>
      </c>
      <c r="D49" s="45" t="s">
        <v>2116</v>
      </c>
      <c r="E49" s="45" t="s">
        <v>857</v>
      </c>
      <c r="F49" s="45" t="s">
        <v>2117</v>
      </c>
    </row>
    <row r="50" customFormat="false" ht="12.8" hidden="false" customHeight="false" outlineLevel="0" collapsed="false">
      <c r="A50" s="43" t="s">
        <v>2118</v>
      </c>
      <c r="B50" s="44" t="s">
        <v>2119</v>
      </c>
      <c r="C50" s="44" t="s">
        <v>2120</v>
      </c>
      <c r="D50" s="45" t="s">
        <v>2121</v>
      </c>
      <c r="E50" s="45" t="s">
        <v>857</v>
      </c>
      <c r="F50" s="45" t="s">
        <v>2122</v>
      </c>
    </row>
    <row r="51" customFormat="false" ht="12.8" hidden="false" customHeight="false" outlineLevel="0" collapsed="false">
      <c r="A51" s="43" t="s">
        <v>2123</v>
      </c>
      <c r="B51" s="44" t="s">
        <v>2124</v>
      </c>
      <c r="C51" s="44" t="s">
        <v>2125</v>
      </c>
      <c r="D51" s="45" t="s">
        <v>2126</v>
      </c>
      <c r="E51" s="45" t="s">
        <v>857</v>
      </c>
      <c r="F51" s="45" t="s">
        <v>2127</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860D"/>
    <pageSetUpPr fitToPage="false"/>
  </sheetPr>
  <dimension ref="A1:BE5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31" activeCellId="0" sqref="D31"/>
    </sheetView>
  </sheetViews>
  <sheetFormatPr defaultColWidth="11.53515625" defaultRowHeight="12.8" customHeight="false" zeroHeight="false" outlineLevelRow="0" outlineLevelCol="0"/>
  <cols>
    <col collapsed="false" customWidth="true" hidden="false" outlineLevel="0" max="1" min="1" style="17" width="13.84"/>
    <col collapsed="false" customWidth="true" hidden="false" outlineLevel="0" max="2" min="2" style="20" width="36.9"/>
    <col collapsed="false" customWidth="true" hidden="false" outlineLevel="0" max="3" min="3" style="18" width="21.47"/>
    <col collapsed="false" customWidth="true" hidden="false" outlineLevel="0" max="22" min="4" style="18" width="16.84"/>
    <col collapsed="false" customWidth="true" hidden="false" outlineLevel="0" max="36" min="23" style="18" width="17.78"/>
    <col collapsed="false" customWidth="true" hidden="false" outlineLevel="0" max="39" min="37" style="18" width="15.48"/>
    <col collapsed="false" customWidth="true" hidden="false" outlineLevel="0" max="44" min="44" style="18" width="18.45"/>
    <col collapsed="false" customWidth="true" hidden="false" outlineLevel="0" max="47" min="45" style="18" width="16.14"/>
    <col collapsed="false" customWidth="true" hidden="false" outlineLevel="0" max="55" min="48" style="18" width="13.84"/>
  </cols>
  <sheetData>
    <row r="1" customFormat="false" ht="12.8" hidden="false" customHeight="false" outlineLevel="0" collapsed="false">
      <c r="A1" s="4" t="s">
        <v>55</v>
      </c>
      <c r="B1" s="53" t="s">
        <v>2128</v>
      </c>
      <c r="C1" s="6" t="s">
        <v>2</v>
      </c>
      <c r="D1" s="18" t="s">
        <v>2129</v>
      </c>
      <c r="AN1" s="18"/>
      <c r="BD1" s="18"/>
    </row>
    <row r="2" customFormat="false" ht="12.8" hidden="false" customHeight="false" outlineLevel="0" collapsed="false">
      <c r="A2" s="46" t="str">
        <f aca="false">_xlfn.CONCAT($A$1, ".", "CALC")</f>
        <v>LSD.RID.0.AL.EP.CALC</v>
      </c>
      <c r="B2" s="47" t="str">
        <f aca="false">_xlfn.CONCAT($B$1, " ", "Calculations")</f>
        <v>Alabama Employed Population Calculations</v>
      </c>
      <c r="C2" s="35" t="str">
        <f aca="false">CALC!L3</f>
        <v>Employed Population (EP)</v>
      </c>
      <c r="D2" s="35"/>
      <c r="E2" s="35"/>
      <c r="F2" s="3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5"/>
      <c r="AT2" s="45"/>
      <c r="AU2" s="3"/>
      <c r="AV2" s="3"/>
      <c r="AW2" s="3"/>
      <c r="AX2" s="3"/>
      <c r="AY2" s="3"/>
      <c r="AZ2" s="3"/>
      <c r="BA2" s="3"/>
      <c r="BB2" s="3"/>
      <c r="BC2" s="3"/>
      <c r="BD2" s="3"/>
      <c r="BE2" s="3"/>
    </row>
    <row r="3" customFormat="false" ht="12.8" hidden="false" customHeight="false" outlineLevel="0" collapsed="false">
      <c r="A3" s="46" t="str">
        <f aca="false">CALC!A34</f>
        <v>LSID</v>
      </c>
      <c r="B3" s="22" t="str">
        <f aca="false">CALC!C34</f>
        <v>Labor Sector</v>
      </c>
      <c r="C3" s="38" t="str">
        <f aca="false">CALC!L4</f>
        <v>Overall EP</v>
      </c>
      <c r="D3" s="38" t="str">
        <f aca="false">CALC!M4</f>
        <v>Authorized EP</v>
      </c>
      <c r="E3" s="38" t="str">
        <f aca="false">CALC!N4</f>
        <v>Unauthorized EP</v>
      </c>
      <c r="F3" s="38" t="str">
        <f aca="false">CALC!O4</f>
        <v>American EP</v>
      </c>
      <c r="G3" s="45"/>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3"/>
      <c r="AP3" s="3"/>
      <c r="AQ3" s="3"/>
      <c r="AR3" s="3"/>
      <c r="AS3" s="3"/>
      <c r="AT3" s="3"/>
      <c r="AU3" s="3"/>
      <c r="AV3" s="3"/>
      <c r="AW3" s="3"/>
      <c r="AX3" s="3"/>
      <c r="AY3" s="3"/>
      <c r="AZ3" s="3"/>
      <c r="BA3" s="3"/>
      <c r="BB3" s="3"/>
      <c r="BC3" s="3"/>
      <c r="BD3" s="3"/>
      <c r="BE3" s="3"/>
    </row>
    <row r="4" customFormat="false" ht="12.8" hidden="false" customHeight="false" outlineLevel="0" collapsed="false">
      <c r="A4" s="46" t="str">
        <f aca="false">_xlfn.CONCAT($A$1, ".CALC.", CALC!A35)</f>
        <v>LSD.RID.0.AL.EP.CALC.0</v>
      </c>
      <c r="B4" s="22" t="str">
        <f aca="false">CALC!C35</f>
        <v>All Industries</v>
      </c>
      <c r="C4" s="3" t="n">
        <v>2317000</v>
      </c>
      <c r="D4" s="3" t="n">
        <v>61250</v>
      </c>
      <c r="E4" s="3" t="n">
        <v>54820</v>
      </c>
      <c r="F4" s="3" t="n">
        <v>2201930</v>
      </c>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R4" s="3"/>
      <c r="AS4" s="3"/>
      <c r="AT4" s="3"/>
      <c r="AU4" s="3"/>
      <c r="AV4" s="3"/>
      <c r="AW4" s="3"/>
      <c r="AX4" s="3"/>
      <c r="AY4" s="3"/>
      <c r="AZ4" s="3"/>
      <c r="BA4" s="3"/>
      <c r="BB4" s="3"/>
      <c r="BC4" s="3"/>
    </row>
    <row r="5" customFormat="false" ht="12.8" hidden="false" customHeight="false" outlineLevel="0" collapsed="false">
      <c r="A5" s="46" t="str">
        <f aca="false">_xlfn.CONCAT($A$1, ".CALC.", CALC!A36)</f>
        <v>LSD.RID.0.AL.EP.CALC.1</v>
      </c>
      <c r="B5" s="50" t="str">
        <f aca="false">CALC!C36</f>
        <v>Agriculture, Forestry, Fishing and Hunting</v>
      </c>
      <c r="C5" s="3" t="n">
        <v>26862</v>
      </c>
      <c r="D5" s="3" t="n">
        <v>520</v>
      </c>
      <c r="E5" s="3" t="n">
        <v>3120</v>
      </c>
      <c r="F5" s="3" t="n">
        <v>23222</v>
      </c>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R5" s="3"/>
      <c r="AS5" s="3"/>
      <c r="AT5" s="3"/>
      <c r="AU5" s="3"/>
      <c r="AV5" s="3"/>
      <c r="AW5" s="3"/>
      <c r="AX5" s="3"/>
      <c r="AY5" s="3"/>
      <c r="AZ5" s="3"/>
      <c r="BA5" s="3"/>
      <c r="BB5" s="3"/>
      <c r="BC5" s="3"/>
    </row>
    <row r="6" customFormat="false" ht="22.8" hidden="false" customHeight="false" outlineLevel="0" collapsed="false">
      <c r="A6" s="46" t="str">
        <f aca="false">_xlfn.CONCAT($A$1, ".CALC.", CALC!A37)</f>
        <v>LSD.RID.0.AL.EP.CALC.2</v>
      </c>
      <c r="B6" s="50" t="str">
        <f aca="false">CALC!C37</f>
        <v>Mining, Quarrying, and Oil and Gas Extraction</v>
      </c>
      <c r="C6" s="3" t="n">
        <v>9402</v>
      </c>
      <c r="D6" s="3" t="n">
        <v>285</v>
      </c>
      <c r="E6" s="3" t="n">
        <v>420</v>
      </c>
      <c r="F6" s="3" t="n">
        <v>8697</v>
      </c>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R6" s="3"/>
      <c r="AS6" s="3"/>
      <c r="AT6" s="3"/>
      <c r="AU6" s="3"/>
      <c r="AV6" s="3"/>
      <c r="AW6" s="3"/>
      <c r="AX6" s="3"/>
      <c r="AY6" s="3"/>
      <c r="AZ6" s="3"/>
      <c r="BA6" s="3"/>
      <c r="BB6" s="3"/>
      <c r="BC6" s="3"/>
    </row>
    <row r="7" customFormat="false" ht="12.8" hidden="false" customHeight="false" outlineLevel="0" collapsed="false">
      <c r="A7" s="46" t="str">
        <f aca="false">_xlfn.CONCAT($A$1, ".CALC.", CALC!A38)</f>
        <v>LSD.RID.0.AL.EP.CALC.3</v>
      </c>
      <c r="B7" s="22" t="str">
        <f aca="false">CALC!C38</f>
        <v>Utilities</v>
      </c>
      <c r="C7" s="3" t="n">
        <v>13431</v>
      </c>
      <c r="D7" s="3" t="n">
        <v>385</v>
      </c>
      <c r="E7" s="3" t="n">
        <v>285</v>
      </c>
      <c r="F7" s="3" t="n">
        <v>12761</v>
      </c>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R7" s="3"/>
      <c r="AS7" s="3"/>
      <c r="AT7" s="3"/>
      <c r="AU7" s="3"/>
      <c r="AV7" s="3"/>
      <c r="AW7" s="3"/>
      <c r="AX7" s="3"/>
      <c r="AY7" s="3"/>
      <c r="AZ7" s="3"/>
      <c r="BA7" s="3"/>
      <c r="BB7" s="3"/>
      <c r="BC7" s="3"/>
    </row>
    <row r="8" customFormat="false" ht="12.8" hidden="false" customHeight="false" outlineLevel="0" collapsed="false">
      <c r="A8" s="46" t="str">
        <f aca="false">_xlfn.CONCAT($A$1, ".CALC.", CALC!A39)</f>
        <v>LSD.RID.0.AL.EP.CALC.4</v>
      </c>
      <c r="B8" s="22" t="str">
        <f aca="false">CALC!C39</f>
        <v>Construction</v>
      </c>
      <c r="C8" s="3" t="n">
        <v>84615</v>
      </c>
      <c r="D8" s="3" t="n">
        <v>1850</v>
      </c>
      <c r="E8" s="3" t="n">
        <v>9850</v>
      </c>
      <c r="F8" s="3" t="n">
        <v>72915</v>
      </c>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R8" s="3"/>
      <c r="AS8" s="3"/>
      <c r="AT8" s="3"/>
      <c r="AU8" s="3"/>
      <c r="AV8" s="3"/>
      <c r="AW8" s="3"/>
      <c r="AX8" s="3"/>
      <c r="AY8" s="3"/>
      <c r="AZ8" s="3"/>
      <c r="BA8" s="3"/>
      <c r="BB8" s="3"/>
      <c r="BC8" s="3"/>
    </row>
    <row r="9" customFormat="false" ht="12.8" hidden="false" customHeight="false" outlineLevel="0" collapsed="false">
      <c r="A9" s="46" t="str">
        <f aca="false">_xlfn.CONCAT($A$1, ".CALC.", CALC!A40)</f>
        <v>LSD.RID.0.AL.EP.CALC.5</v>
      </c>
      <c r="B9" s="50" t="str">
        <f aca="false">CALC!C40</f>
        <v>Manufacturing (Food,Textile, etc.)</v>
      </c>
      <c r="C9" s="3" t="n">
        <v>47009</v>
      </c>
      <c r="D9" s="3" t="n">
        <v>980</v>
      </c>
      <c r="E9" s="3" t="n">
        <v>4520</v>
      </c>
      <c r="F9" s="3" t="n">
        <v>41509</v>
      </c>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R9" s="3"/>
      <c r="AS9" s="3"/>
      <c r="AT9" s="3"/>
      <c r="AU9" s="3"/>
      <c r="AV9" s="3"/>
      <c r="AW9" s="3"/>
      <c r="AX9" s="3"/>
      <c r="AY9" s="3"/>
      <c r="AZ9" s="3"/>
      <c r="BA9" s="3"/>
      <c r="BB9" s="3"/>
      <c r="BC9" s="3"/>
    </row>
    <row r="10" customFormat="false" ht="22.8" hidden="false" customHeight="false" outlineLevel="0" collapsed="false">
      <c r="A10" s="46" t="str">
        <f aca="false">_xlfn.CONCAT($A$1, ".CALC.", CALC!A41)</f>
        <v>LSD.RID.0.AL.EP.CALC.6</v>
      </c>
      <c r="B10" s="50" t="str">
        <f aca="false">CALC!C41</f>
        <v>Manufacturing (Wood, Paper, Printing, etc.)</v>
      </c>
      <c r="C10" s="3" t="n">
        <v>41636</v>
      </c>
      <c r="D10" s="3" t="n">
        <v>916</v>
      </c>
      <c r="E10" s="3" t="n">
        <v>1499</v>
      </c>
      <c r="F10" s="3" t="n">
        <v>39221</v>
      </c>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R10" s="3"/>
      <c r="AS10" s="3"/>
      <c r="AT10" s="3"/>
      <c r="AU10" s="3"/>
      <c r="AV10" s="3"/>
      <c r="AW10" s="3"/>
      <c r="AX10" s="3"/>
      <c r="AY10" s="3"/>
      <c r="AZ10" s="3"/>
      <c r="BA10" s="3"/>
      <c r="BB10" s="3"/>
      <c r="BC10" s="3"/>
    </row>
    <row r="11" customFormat="false" ht="12.8" hidden="false" customHeight="false" outlineLevel="0" collapsed="false">
      <c r="A11" s="46" t="str">
        <f aca="false">_xlfn.CONCAT($A$1, ".CALC.", CALC!A42)</f>
        <v>LSD.RID.0.AL.EP.CALC.7</v>
      </c>
      <c r="B11" s="50" t="str">
        <f aca="false">CALC!C42</f>
        <v>Manufacturing (Machinery, Transport)</v>
      </c>
      <c r="C11" s="3" t="n">
        <v>85958</v>
      </c>
      <c r="D11" s="3" t="n">
        <v>1891</v>
      </c>
      <c r="E11" s="3" t="n">
        <v>3094</v>
      </c>
      <c r="F11" s="3" t="n">
        <v>80973</v>
      </c>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R11" s="3"/>
      <c r="AS11" s="3"/>
      <c r="AT11" s="3"/>
      <c r="AU11" s="3"/>
      <c r="AV11" s="3"/>
      <c r="AW11" s="3"/>
      <c r="AX11" s="3"/>
      <c r="AY11" s="3"/>
      <c r="AZ11" s="3"/>
      <c r="BA11" s="3"/>
      <c r="BB11" s="3"/>
      <c r="BC11" s="3"/>
    </row>
    <row r="12" customFormat="false" ht="12.8" hidden="false" customHeight="false" outlineLevel="0" collapsed="false">
      <c r="A12" s="46" t="str">
        <f aca="false">_xlfn.CONCAT($A$1, ".CALC.", CALC!A43)</f>
        <v>LSD.RID.0.AL.EP.CALC.8</v>
      </c>
      <c r="B12" s="22" t="str">
        <f aca="false">CALC!C43</f>
        <v>Wholesale Trade</v>
      </c>
      <c r="C12" s="3" t="n">
        <v>37607</v>
      </c>
      <c r="D12" s="3" t="n">
        <v>827</v>
      </c>
      <c r="E12" s="3" t="n">
        <v>1354</v>
      </c>
      <c r="F12" s="3" t="n">
        <v>35426</v>
      </c>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R12" s="3"/>
      <c r="AS12" s="3"/>
      <c r="AT12" s="3"/>
      <c r="AU12" s="3"/>
      <c r="AV12" s="3"/>
      <c r="AW12" s="3"/>
      <c r="AX12" s="3"/>
      <c r="AY12" s="3"/>
      <c r="AZ12" s="3"/>
      <c r="BA12" s="3"/>
      <c r="BB12" s="3"/>
      <c r="BC12" s="3"/>
    </row>
    <row r="13" customFormat="false" ht="12.8" hidden="false" customHeight="false" outlineLevel="0" collapsed="false">
      <c r="A13" s="46" t="str">
        <f aca="false">_xlfn.CONCAT($A$1, ".CALC.", CALC!A44)</f>
        <v>LSD.RID.0.AL.EP.CALC.9</v>
      </c>
      <c r="B13" s="50" t="str">
        <f aca="false">CALC!C44</f>
        <v>Retail Trade (Motor Vehicle, Electronics)</v>
      </c>
      <c r="C13" s="3" t="n">
        <v>32234</v>
      </c>
      <c r="D13" s="3" t="n">
        <v>709</v>
      </c>
      <c r="E13" s="3" t="n">
        <v>1160</v>
      </c>
      <c r="F13" s="3" t="n">
        <v>30365</v>
      </c>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R13" s="3"/>
      <c r="AS13" s="3"/>
      <c r="AT13" s="3"/>
      <c r="AU13" s="3"/>
      <c r="AV13" s="3"/>
      <c r="AW13" s="3"/>
      <c r="AX13" s="3"/>
      <c r="AY13" s="3"/>
      <c r="AZ13" s="3"/>
      <c r="BA13" s="3"/>
      <c r="BB13" s="3"/>
      <c r="BC13" s="3"/>
    </row>
    <row r="14" customFormat="false" ht="22.8" hidden="false" customHeight="false" outlineLevel="0" collapsed="false">
      <c r="A14" s="46" t="str">
        <f aca="false">_xlfn.CONCAT($A$1, ".CALC.", CALC!A45)</f>
        <v>LSD.RID.0.AL.EP.CALC.10</v>
      </c>
      <c r="B14" s="50" t="str">
        <f aca="false">CALC!C45</f>
        <v>Retail Trade (Food, Clothing, General Merchandise, etc.)</v>
      </c>
      <c r="C14" s="3" t="n">
        <v>104762</v>
      </c>
      <c r="D14" s="3" t="n">
        <v>2305</v>
      </c>
      <c r="E14" s="3" t="n">
        <v>8381</v>
      </c>
      <c r="F14" s="3" t="n">
        <v>94076</v>
      </c>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R14" s="3"/>
      <c r="AS14" s="3"/>
      <c r="AT14" s="3"/>
      <c r="AU14" s="3"/>
      <c r="AV14" s="3"/>
      <c r="AW14" s="3"/>
      <c r="AX14" s="3"/>
      <c r="AY14" s="3"/>
      <c r="AZ14" s="3"/>
      <c r="BA14" s="3"/>
      <c r="BB14" s="3"/>
      <c r="BC14" s="3"/>
    </row>
    <row r="15" customFormat="false" ht="12.8" hidden="false" customHeight="false" outlineLevel="0" collapsed="false">
      <c r="A15" s="46" t="str">
        <f aca="false">_xlfn.CONCAT($A$1, ".CALC.", CALC!A46)</f>
        <v>LSD.RID.0.AL.EP.CALC.11</v>
      </c>
      <c r="B15" s="22" t="str">
        <f aca="false">CALC!C46</f>
        <v>Transportation</v>
      </c>
      <c r="C15" s="3" t="n">
        <v>57753</v>
      </c>
      <c r="D15" s="3" t="n">
        <v>1271</v>
      </c>
      <c r="E15" s="3" t="n">
        <v>2079</v>
      </c>
      <c r="F15" s="3" t="n">
        <v>54403</v>
      </c>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R15" s="3"/>
      <c r="AS15" s="3"/>
      <c r="AT15" s="3"/>
      <c r="AU15" s="3"/>
      <c r="AV15" s="3"/>
      <c r="AW15" s="3"/>
      <c r="AX15" s="3"/>
      <c r="AY15" s="3"/>
      <c r="AZ15" s="3"/>
      <c r="BA15" s="3"/>
      <c r="BB15" s="3"/>
      <c r="BC15" s="3"/>
    </row>
    <row r="16" customFormat="false" ht="12.8" hidden="false" customHeight="false" outlineLevel="0" collapsed="false">
      <c r="A16" s="46" t="str">
        <f aca="false">_xlfn.CONCAT($A$1, ".CALC.", CALC!A47)</f>
        <v>LSD.RID.0.AL.EP.CALC.12</v>
      </c>
      <c r="B16" s="22" t="str">
        <f aca="false">CALC!C47</f>
        <v>Warehousing and Storage</v>
      </c>
      <c r="C16" s="3" t="n">
        <v>34921</v>
      </c>
      <c r="D16" s="3" t="n">
        <v>768</v>
      </c>
      <c r="E16" s="3" t="n">
        <v>1257</v>
      </c>
      <c r="F16" s="3" t="n">
        <v>32896</v>
      </c>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R16" s="3"/>
      <c r="AS16" s="3"/>
      <c r="AT16" s="3"/>
      <c r="AU16" s="3"/>
      <c r="AV16" s="3"/>
      <c r="AW16" s="3"/>
      <c r="AX16" s="3"/>
      <c r="AY16" s="3"/>
      <c r="AZ16" s="3"/>
      <c r="BA16" s="3"/>
      <c r="BB16" s="3"/>
      <c r="BC16" s="3"/>
    </row>
    <row r="17" customFormat="false" ht="12.8" hidden="false" customHeight="false" outlineLevel="0" collapsed="false">
      <c r="A17" s="46" t="str">
        <f aca="false">_xlfn.CONCAT($A$1, ".CALC.", CALC!A48)</f>
        <v>LSD.RID.0.AL.EP.CALC.13</v>
      </c>
      <c r="B17" s="22" t="str">
        <f aca="false">CALC!C48</f>
        <v>Information</v>
      </c>
      <c r="C17" s="3" t="n">
        <v>20147</v>
      </c>
      <c r="D17" s="3" t="n">
        <v>443</v>
      </c>
      <c r="E17" s="3" t="n">
        <v>726</v>
      </c>
      <c r="F17" s="3" t="n">
        <v>18978</v>
      </c>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R17" s="3"/>
      <c r="AS17" s="3"/>
      <c r="AT17" s="3"/>
      <c r="AU17" s="3"/>
      <c r="AV17" s="3"/>
      <c r="AW17" s="3"/>
      <c r="AX17" s="3"/>
      <c r="AY17" s="3"/>
      <c r="AZ17" s="3"/>
      <c r="BA17" s="3"/>
      <c r="BB17" s="3"/>
      <c r="BC17" s="3"/>
    </row>
    <row r="18" customFormat="false" ht="12.8" hidden="false" customHeight="false" outlineLevel="0" collapsed="false">
      <c r="A18" s="46" t="str">
        <f aca="false">_xlfn.CONCAT($A$1, ".CALC.", CALC!A49)</f>
        <v>LSD.RID.0.AL.EP.CALC.14</v>
      </c>
      <c r="B18" s="22" t="str">
        <f aca="false">CALC!C49</f>
        <v>Finance and Insurance</v>
      </c>
      <c r="C18" s="3" t="n">
        <v>48352</v>
      </c>
      <c r="D18" s="3" t="n">
        <v>1064</v>
      </c>
      <c r="E18" s="3" t="n">
        <v>1741</v>
      </c>
      <c r="F18" s="3" t="n">
        <v>45547</v>
      </c>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R18" s="3"/>
      <c r="AS18" s="3"/>
      <c r="AT18" s="3"/>
      <c r="AU18" s="3"/>
      <c r="AV18" s="3"/>
      <c r="AW18" s="3"/>
      <c r="AX18" s="3"/>
      <c r="AY18" s="3"/>
      <c r="AZ18" s="3"/>
      <c r="BA18" s="3"/>
      <c r="BB18" s="3"/>
      <c r="BC18" s="3"/>
    </row>
    <row r="19" customFormat="false" ht="12.8" hidden="false" customHeight="false" outlineLevel="0" collapsed="false">
      <c r="A19" s="46" t="str">
        <f aca="false">_xlfn.CONCAT($A$1, ".CALC.", CALC!A50)</f>
        <v>LSD.RID.0.AL.EP.CALC.15</v>
      </c>
      <c r="B19" s="50" t="str">
        <f aca="false">CALC!C50</f>
        <v>Real Estate and Rental and Leasing</v>
      </c>
      <c r="C19" s="3" t="n">
        <v>24176</v>
      </c>
      <c r="D19" s="3" t="n">
        <v>532</v>
      </c>
      <c r="E19" s="3" t="n">
        <v>870</v>
      </c>
      <c r="F19" s="3" t="n">
        <v>22774</v>
      </c>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R19" s="3"/>
      <c r="AS19" s="3"/>
      <c r="AT19" s="3"/>
      <c r="AU19" s="3"/>
      <c r="AV19" s="3"/>
      <c r="AW19" s="3"/>
      <c r="AX19" s="3"/>
      <c r="AY19" s="3"/>
      <c r="AZ19" s="3"/>
      <c r="BA19" s="3"/>
      <c r="BB19" s="3"/>
      <c r="BC19" s="3"/>
    </row>
    <row r="20" customFormat="false" ht="22.8" hidden="false" customHeight="false" outlineLevel="0" collapsed="false">
      <c r="A20" s="46" t="str">
        <f aca="false">_xlfn.CONCAT($A$1, ".CALC.", CALC!A51)</f>
        <v>LSD.RID.0.AL.EP.CALC.16</v>
      </c>
      <c r="B20" s="50" t="str">
        <f aca="false">CALC!C51</f>
        <v>Professional, Scientific, and Technical Services</v>
      </c>
      <c r="C20" s="3" t="n">
        <v>72527</v>
      </c>
      <c r="D20" s="3" t="n">
        <v>1596</v>
      </c>
      <c r="E20" s="3" t="n">
        <v>2611</v>
      </c>
      <c r="F20" s="3" t="n">
        <v>68320</v>
      </c>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R20" s="3"/>
      <c r="AS20" s="3"/>
      <c r="AT20" s="3"/>
      <c r="AU20" s="3"/>
      <c r="AV20" s="3"/>
      <c r="AW20" s="3"/>
      <c r="AX20" s="3"/>
      <c r="AY20" s="3"/>
      <c r="AZ20" s="3"/>
      <c r="BA20" s="3"/>
      <c r="BB20" s="3"/>
      <c r="BC20" s="3"/>
    </row>
    <row r="21" customFormat="false" ht="22.8" hidden="false" customHeight="false" outlineLevel="0" collapsed="false">
      <c r="A21" s="46" t="str">
        <f aca="false">_xlfn.CONCAT($A$1, ".CALC.", CALC!A52)</f>
        <v>LSD.RID.0.AL.EP.CALC.17</v>
      </c>
      <c r="B21" s="50" t="str">
        <f aca="false">CALC!C52</f>
        <v>Administrative and Support and Waste Management and Remediation Services</v>
      </c>
      <c r="C21" s="3" t="n">
        <v>81929</v>
      </c>
      <c r="D21" s="3" t="n">
        <v>1802</v>
      </c>
      <c r="E21" s="3" t="n">
        <v>6554</v>
      </c>
      <c r="F21" s="3" t="n">
        <v>73573</v>
      </c>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R21" s="3"/>
      <c r="AS21" s="3"/>
      <c r="AT21" s="3"/>
      <c r="AU21" s="3"/>
      <c r="AV21" s="3"/>
      <c r="AW21" s="3"/>
      <c r="AX21" s="3"/>
      <c r="AY21" s="3"/>
      <c r="AZ21" s="3"/>
      <c r="BA21" s="3"/>
      <c r="BB21" s="3"/>
      <c r="BC21" s="3"/>
    </row>
    <row r="22" customFormat="false" ht="12.8" hidden="false" customHeight="false" outlineLevel="0" collapsed="false">
      <c r="A22" s="46" t="str">
        <f aca="false">_xlfn.CONCAT($A$1, ".CALC.", CALC!A53)</f>
        <v>LSD.RID.0.AL.EP.CALC.18</v>
      </c>
      <c r="B22" s="22" t="str">
        <f aca="false">CALC!C53</f>
        <v>Educational Services</v>
      </c>
      <c r="C22" s="3" t="n">
        <v>122222</v>
      </c>
      <c r="D22" s="3" t="n">
        <v>2689</v>
      </c>
      <c r="E22" s="3" t="n">
        <v>4400</v>
      </c>
      <c r="F22" s="3" t="n">
        <v>115133</v>
      </c>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R22" s="3"/>
      <c r="AS22" s="3"/>
      <c r="AT22" s="3"/>
      <c r="AU22" s="3"/>
      <c r="AV22" s="3"/>
      <c r="AW22" s="3"/>
      <c r="AX22" s="3"/>
      <c r="AY22" s="3"/>
      <c r="AZ22" s="3"/>
      <c r="BA22" s="3"/>
      <c r="BB22" s="3"/>
      <c r="BC22" s="3"/>
    </row>
    <row r="23" customFormat="false" ht="12.8" hidden="false" customHeight="false" outlineLevel="0" collapsed="false">
      <c r="A23" s="46" t="str">
        <f aca="false">_xlfn.CONCAT($A$1, ".CALC.", CALC!A54)</f>
        <v>LSD.RID.0.AL.EP.CALC.19</v>
      </c>
      <c r="B23" s="50" t="str">
        <f aca="false">CALC!C54</f>
        <v>Health Care and Social Assistance</v>
      </c>
      <c r="C23" s="3" t="n">
        <v>171917</v>
      </c>
      <c r="D23" s="3" t="n">
        <v>3782</v>
      </c>
      <c r="E23" s="3" t="n">
        <v>6189</v>
      </c>
      <c r="F23" s="3" t="n">
        <v>161946</v>
      </c>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R23" s="3"/>
      <c r="AS23" s="3"/>
      <c r="AT23" s="3"/>
      <c r="AU23" s="3"/>
      <c r="AV23" s="3"/>
      <c r="AW23" s="3"/>
      <c r="AX23" s="3"/>
      <c r="AY23" s="3"/>
      <c r="AZ23" s="3"/>
      <c r="BA23" s="3"/>
      <c r="BB23" s="3"/>
      <c r="BC23" s="3"/>
    </row>
    <row r="24" customFormat="false" ht="12.8" hidden="false" customHeight="false" outlineLevel="0" collapsed="false">
      <c r="A24" s="46" t="str">
        <f aca="false">_xlfn.CONCAT($A$1, ".CALC.", CALC!A55)</f>
        <v>LSD.RID.0.AL.EP.CALC.20</v>
      </c>
      <c r="B24" s="50" t="str">
        <f aca="false">CALC!C55</f>
        <v>Arts, Entertainment,and Recreation</v>
      </c>
      <c r="C24" s="3" t="n">
        <v>24176</v>
      </c>
      <c r="D24" s="3" t="n">
        <v>532</v>
      </c>
      <c r="E24" s="3" t="n">
        <v>870</v>
      </c>
      <c r="F24" s="3" t="n">
        <v>22774</v>
      </c>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R24" s="3"/>
      <c r="AS24" s="3"/>
      <c r="AT24" s="3"/>
      <c r="AU24" s="3"/>
      <c r="AV24" s="3"/>
      <c r="AW24" s="3"/>
      <c r="AX24" s="3"/>
      <c r="AY24" s="3"/>
      <c r="AZ24" s="3"/>
      <c r="BA24" s="3"/>
      <c r="BB24" s="3"/>
      <c r="BC24" s="3"/>
    </row>
    <row r="25" customFormat="false" ht="12.8" hidden="false" customHeight="false" outlineLevel="0" collapsed="false">
      <c r="A25" s="46" t="str">
        <f aca="false">_xlfn.CONCAT($A$1, ".CALC.", CALC!A56)</f>
        <v>LSD.RID.0.AL.EP.CALC.21</v>
      </c>
      <c r="B25" s="50" t="str">
        <f aca="false">CALC!C56</f>
        <v>Accommodation and Food Services</v>
      </c>
      <c r="C25" s="3" t="n">
        <v>98046</v>
      </c>
      <c r="D25" s="3" t="n">
        <v>2157</v>
      </c>
      <c r="E25" s="3" t="n">
        <v>7844</v>
      </c>
      <c r="F25" s="3" t="n">
        <v>88045</v>
      </c>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R25" s="3"/>
      <c r="AS25" s="3"/>
      <c r="AT25" s="3"/>
      <c r="AU25" s="3"/>
      <c r="AV25" s="3"/>
      <c r="AW25" s="3"/>
      <c r="AX25" s="3"/>
      <c r="AY25" s="3"/>
      <c r="AZ25" s="3"/>
      <c r="BA25" s="3"/>
      <c r="BB25" s="3"/>
      <c r="BC25" s="3"/>
    </row>
    <row r="26" customFormat="false" ht="22.8" hidden="false" customHeight="false" outlineLevel="0" collapsed="false">
      <c r="A26" s="46" t="str">
        <f aca="false">_xlfn.CONCAT($A$1, ".CALC.", CALC!A57)</f>
        <v>LSD.RID.0.AL.EP.CALC.22</v>
      </c>
      <c r="B26" s="50" t="str">
        <f aca="false">CALC!C57</f>
        <v>Other Services (except Public Administration)</v>
      </c>
      <c r="C26" s="3" t="n">
        <v>52381</v>
      </c>
      <c r="D26" s="3" t="n">
        <v>1152</v>
      </c>
      <c r="E26" s="3" t="n">
        <v>4190</v>
      </c>
      <c r="F26" s="3" t="n">
        <v>47039</v>
      </c>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R26" s="3"/>
      <c r="AS26" s="3"/>
      <c r="AT26" s="3"/>
      <c r="AU26" s="3"/>
      <c r="AV26" s="3"/>
      <c r="AW26" s="3"/>
      <c r="AX26" s="3"/>
      <c r="AY26" s="3"/>
      <c r="AZ26" s="3"/>
      <c r="BA26" s="3"/>
      <c r="BB26" s="3"/>
      <c r="BC26" s="3"/>
    </row>
    <row r="27" customFormat="false" ht="12.8" hidden="false" customHeight="false" outlineLevel="0" collapsed="false">
      <c r="A27" s="46" t="str">
        <f aca="false">_xlfn.CONCAT($A$1, ".CALC.", CALC!A58)</f>
        <v>LSD.RID.0.AL.EP.CALC.23</v>
      </c>
      <c r="B27" s="22" t="str">
        <f aca="false">CALC!C58</f>
        <v>Public Administration</v>
      </c>
      <c r="C27" s="3" t="n">
        <v>76557</v>
      </c>
      <c r="D27" s="3" t="n">
        <v>1684</v>
      </c>
      <c r="E27" s="3" t="n">
        <v>2756</v>
      </c>
      <c r="F27" s="3" t="n">
        <v>72117</v>
      </c>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R27" s="3"/>
      <c r="AS27" s="3"/>
      <c r="AT27" s="3"/>
      <c r="AU27" s="3"/>
      <c r="AV27" s="3"/>
      <c r="AW27" s="3"/>
      <c r="AX27" s="3"/>
      <c r="AY27" s="3"/>
      <c r="AZ27" s="3"/>
      <c r="BA27" s="3"/>
      <c r="BB27" s="3"/>
      <c r="BC27" s="3"/>
    </row>
    <row r="29" customFormat="false" ht="12.8" hidden="false" customHeight="false" outlineLevel="0" collapsed="false">
      <c r="A29" s="14" t="s">
        <v>2130</v>
      </c>
      <c r="B29" s="12" t="s">
        <v>2131</v>
      </c>
    </row>
    <row r="30" customFormat="false" ht="12.8" hidden="false" customHeight="false" outlineLevel="0" collapsed="false">
      <c r="A30" s="14" t="s">
        <v>93</v>
      </c>
      <c r="B30" s="20" t="s">
        <v>1801</v>
      </c>
      <c r="C30" s="18" t="s">
        <v>283</v>
      </c>
      <c r="D30" s="18" t="s">
        <v>2056</v>
      </c>
      <c r="E30" s="18" t="s">
        <v>286</v>
      </c>
      <c r="F30" s="18" t="s">
        <v>287</v>
      </c>
      <c r="G30" s="18" t="s">
        <v>2132</v>
      </c>
    </row>
    <row r="31" customFormat="false" ht="12.8" hidden="false" customHeight="false" outlineLevel="0" collapsed="false">
      <c r="A31" s="17" t="s">
        <v>2133</v>
      </c>
      <c r="B31" s="20" t="s">
        <v>2134</v>
      </c>
      <c r="C31" s="18" t="s">
        <v>2135</v>
      </c>
      <c r="D31" s="18" t="s">
        <v>2136</v>
      </c>
      <c r="E31" s="18" t="s">
        <v>2137</v>
      </c>
      <c r="F31" s="18" t="s">
        <v>417</v>
      </c>
      <c r="G31" s="18" t="s">
        <v>2132</v>
      </c>
    </row>
    <row r="32" customFormat="false" ht="12.8" hidden="false" customHeight="false" outlineLevel="0" collapsed="false">
      <c r="A32" s="17" t="s">
        <v>2138</v>
      </c>
      <c r="B32" s="20" t="s">
        <v>2134</v>
      </c>
      <c r="C32" s="18" t="s">
        <v>2063</v>
      </c>
      <c r="D32" s="18" t="s">
        <v>2139</v>
      </c>
      <c r="E32" s="18" t="s">
        <v>2064</v>
      </c>
      <c r="F32" s="18" t="s">
        <v>417</v>
      </c>
      <c r="G32" s="18" t="s">
        <v>2132</v>
      </c>
    </row>
    <row r="33" customFormat="false" ht="12.8" hidden="false" customHeight="false" outlineLevel="0" collapsed="false">
      <c r="A33" s="17" t="s">
        <v>2140</v>
      </c>
      <c r="B33" s="20" t="s">
        <v>2134</v>
      </c>
      <c r="C33" s="18" t="s">
        <v>2066</v>
      </c>
      <c r="D33" s="18" t="s">
        <v>2141</v>
      </c>
      <c r="E33" s="18" t="s">
        <v>2142</v>
      </c>
      <c r="F33" s="18" t="s">
        <v>417</v>
      </c>
      <c r="G33" s="18" t="s">
        <v>2132</v>
      </c>
    </row>
    <row r="34" customFormat="false" ht="12.8" hidden="false" customHeight="false" outlineLevel="0" collapsed="false">
      <c r="A34" s="17" t="s">
        <v>2143</v>
      </c>
      <c r="B34" s="20" t="s">
        <v>2134</v>
      </c>
      <c r="C34" s="18" t="s">
        <v>2144</v>
      </c>
      <c r="D34" s="18" t="s">
        <v>2145</v>
      </c>
      <c r="E34" s="18" t="s">
        <v>422</v>
      </c>
      <c r="F34" s="18" t="s">
        <v>417</v>
      </c>
      <c r="G34" s="18" t="s">
        <v>2132</v>
      </c>
    </row>
    <row r="36" customFormat="false" ht="12.8" hidden="false" customHeight="false" outlineLevel="0" collapsed="false">
      <c r="A36" s="14" t="s">
        <v>2146</v>
      </c>
      <c r="B36" s="12" t="s">
        <v>2147</v>
      </c>
    </row>
    <row r="37" customFormat="false" ht="12.8" hidden="false" customHeight="false" outlineLevel="0" collapsed="false">
      <c r="A37" s="17" t="s">
        <v>97</v>
      </c>
      <c r="B37" s="20" t="s">
        <v>283</v>
      </c>
      <c r="C37" s="18" t="s">
        <v>2073</v>
      </c>
      <c r="D37" s="18" t="s">
        <v>286</v>
      </c>
      <c r="E37" s="18" t="s">
        <v>850</v>
      </c>
      <c r="F37" s="18" t="s">
        <v>851</v>
      </c>
      <c r="G37" s="18" t="s">
        <v>852</v>
      </c>
      <c r="H37" s="18" t="s">
        <v>287</v>
      </c>
    </row>
    <row r="38" customFormat="false" ht="12.8" hidden="false" customHeight="false" outlineLevel="0" collapsed="false">
      <c r="A38" s="17" t="s">
        <v>2148</v>
      </c>
      <c r="B38" s="20" t="s">
        <v>2149</v>
      </c>
      <c r="C38" s="18" t="n">
        <v>2317000</v>
      </c>
      <c r="D38" s="18" t="s">
        <v>2150</v>
      </c>
      <c r="E38" s="18" t="s">
        <v>857</v>
      </c>
      <c r="F38" s="18" t="s">
        <v>858</v>
      </c>
      <c r="G38" s="24" t="s">
        <v>859</v>
      </c>
      <c r="H38" s="18" t="s">
        <v>417</v>
      </c>
    </row>
    <row r="39" customFormat="false" ht="12.8" hidden="false" customHeight="false" outlineLevel="0" collapsed="false">
      <c r="A39" s="17" t="s">
        <v>2151</v>
      </c>
      <c r="B39" s="20" t="s">
        <v>2152</v>
      </c>
      <c r="C39" s="18" t="s">
        <v>2153</v>
      </c>
      <c r="D39" s="18" t="s">
        <v>2080</v>
      </c>
      <c r="E39" s="18" t="s">
        <v>2081</v>
      </c>
      <c r="F39" s="18" t="s">
        <v>2082</v>
      </c>
      <c r="G39" s="24" t="s">
        <v>859</v>
      </c>
      <c r="H39" s="18" t="s">
        <v>417</v>
      </c>
    </row>
    <row r="40" customFormat="false" ht="12.8" hidden="false" customHeight="false" outlineLevel="0" collapsed="false">
      <c r="A40" s="17" t="s">
        <v>2154</v>
      </c>
      <c r="B40" s="20" t="s">
        <v>2155</v>
      </c>
      <c r="C40" s="18" t="s">
        <v>2156</v>
      </c>
      <c r="D40" s="18" t="s">
        <v>2157</v>
      </c>
      <c r="E40" s="18" t="s">
        <v>2081</v>
      </c>
      <c r="F40" s="18" t="s">
        <v>2082</v>
      </c>
      <c r="G40" s="24" t="s">
        <v>859</v>
      </c>
      <c r="H40" s="18" t="s">
        <v>2158</v>
      </c>
      <c r="I40" s="18" t="s">
        <v>417</v>
      </c>
    </row>
    <row r="41" customFormat="false" ht="12.8" hidden="false" customHeight="false" outlineLevel="0" collapsed="false">
      <c r="A41" s="17" t="s">
        <v>2159</v>
      </c>
      <c r="B41" s="20" t="s">
        <v>1194</v>
      </c>
      <c r="C41" s="18" t="n">
        <v>0.75</v>
      </c>
      <c r="D41" s="18" t="s">
        <v>2160</v>
      </c>
      <c r="E41" s="18" t="s">
        <v>857</v>
      </c>
      <c r="F41" s="18" t="s">
        <v>2161</v>
      </c>
      <c r="G41" s="24" t="s">
        <v>859</v>
      </c>
      <c r="H41" s="18" t="s">
        <v>417</v>
      </c>
    </row>
    <row r="42" customFormat="false" ht="12.8" hidden="false" customHeight="false" outlineLevel="0" collapsed="false">
      <c r="A42" s="17" t="s">
        <v>2162</v>
      </c>
      <c r="B42" s="20" t="s">
        <v>2163</v>
      </c>
      <c r="C42" s="18" t="n">
        <v>0.78</v>
      </c>
      <c r="D42" s="18" t="s">
        <v>2164</v>
      </c>
      <c r="E42" s="18" t="s">
        <v>857</v>
      </c>
      <c r="F42" s="18" t="s">
        <v>2165</v>
      </c>
      <c r="G42" s="24" t="s">
        <v>859</v>
      </c>
      <c r="H42" s="18" t="s">
        <v>417</v>
      </c>
    </row>
    <row r="43" customFormat="false" ht="12.8" hidden="false" customHeight="false" outlineLevel="0" collapsed="false">
      <c r="A43" s="17" t="s">
        <v>2166</v>
      </c>
      <c r="B43" s="20" t="s">
        <v>1184</v>
      </c>
      <c r="C43" s="18" t="n">
        <v>4</v>
      </c>
      <c r="D43" s="18" t="s">
        <v>2167</v>
      </c>
      <c r="E43" s="18" t="s">
        <v>857</v>
      </c>
      <c r="F43" s="18" t="s">
        <v>2168</v>
      </c>
      <c r="G43" s="24" t="s">
        <v>859</v>
      </c>
      <c r="H43" s="18" t="s">
        <v>417</v>
      </c>
    </row>
    <row r="44" customFormat="false" ht="12.8" hidden="false" customHeight="false" outlineLevel="0" collapsed="false">
      <c r="A44" s="17" t="s">
        <v>2169</v>
      </c>
      <c r="B44" s="20" t="s">
        <v>2170</v>
      </c>
      <c r="C44" s="18" t="s">
        <v>2171</v>
      </c>
      <c r="D44" s="18" t="s">
        <v>2090</v>
      </c>
      <c r="E44" s="18" t="s">
        <v>2081</v>
      </c>
      <c r="F44" s="18" t="s">
        <v>2082</v>
      </c>
      <c r="G44" s="24" t="s">
        <v>859</v>
      </c>
      <c r="H44" s="18" t="s">
        <v>1072</v>
      </c>
      <c r="I44" s="18" t="s">
        <v>417</v>
      </c>
    </row>
    <row r="46" customFormat="false" ht="12.8" hidden="false" customHeight="false" outlineLevel="0" collapsed="false">
      <c r="A46" s="14" t="s">
        <v>2172</v>
      </c>
      <c r="B46" s="12" t="s">
        <v>2173</v>
      </c>
    </row>
    <row r="47" customFormat="false" ht="12.8" hidden="false" customHeight="false" outlineLevel="0" collapsed="false">
      <c r="A47" s="17" t="s">
        <v>101</v>
      </c>
      <c r="B47" s="20" t="s">
        <v>286</v>
      </c>
      <c r="C47" s="18" t="s">
        <v>849</v>
      </c>
      <c r="D47" s="18" t="s">
        <v>2093</v>
      </c>
      <c r="E47" s="18" t="s">
        <v>850</v>
      </c>
      <c r="F47" s="18" t="s">
        <v>2094</v>
      </c>
    </row>
    <row r="48" customFormat="false" ht="12.8" hidden="false" customHeight="false" outlineLevel="0" collapsed="false">
      <c r="A48" s="17" t="s">
        <v>2174</v>
      </c>
      <c r="B48" s="20" t="s">
        <v>1613</v>
      </c>
      <c r="C48" s="18" t="n">
        <v>2317000</v>
      </c>
      <c r="D48" s="18" t="s">
        <v>858</v>
      </c>
      <c r="E48" s="18" t="s">
        <v>857</v>
      </c>
      <c r="F48" s="18" t="s">
        <v>2097</v>
      </c>
    </row>
    <row r="49" customFormat="false" ht="12.8" hidden="false" customHeight="false" outlineLevel="0" collapsed="false">
      <c r="A49" s="17" t="s">
        <v>2175</v>
      </c>
      <c r="B49" s="20" t="s">
        <v>2099</v>
      </c>
      <c r="C49" s="18" t="s">
        <v>2176</v>
      </c>
      <c r="D49" s="18" t="s">
        <v>2177</v>
      </c>
      <c r="E49" s="18" t="s">
        <v>857</v>
      </c>
      <c r="F49" s="18" t="s">
        <v>2178</v>
      </c>
    </row>
    <row r="50" customFormat="false" ht="12.8" hidden="false" customHeight="false" outlineLevel="0" collapsed="false">
      <c r="A50" s="17" t="s">
        <v>2179</v>
      </c>
      <c r="B50" s="20" t="s">
        <v>2180</v>
      </c>
      <c r="C50" s="18" t="s">
        <v>2105</v>
      </c>
      <c r="D50" s="18" t="s">
        <v>2181</v>
      </c>
      <c r="E50" s="18" t="s">
        <v>857</v>
      </c>
      <c r="F50" s="18" t="s">
        <v>2107</v>
      </c>
    </row>
    <row r="51" customFormat="false" ht="12.8" hidden="false" customHeight="false" outlineLevel="0" collapsed="false">
      <c r="A51" s="17" t="s">
        <v>2182</v>
      </c>
      <c r="B51" s="20" t="s">
        <v>2109</v>
      </c>
      <c r="C51" s="18" t="s">
        <v>2183</v>
      </c>
      <c r="D51" s="18" t="s">
        <v>2184</v>
      </c>
      <c r="E51" s="18" t="s">
        <v>857</v>
      </c>
      <c r="F51" s="18" t="s">
        <v>2112</v>
      </c>
    </row>
    <row r="52" customFormat="false" ht="12.8" hidden="false" customHeight="false" outlineLevel="0" collapsed="false">
      <c r="A52" s="17" t="s">
        <v>2185</v>
      </c>
      <c r="B52" s="20" t="s">
        <v>2114</v>
      </c>
      <c r="C52" s="18" t="s">
        <v>2186</v>
      </c>
      <c r="D52" s="18" t="s">
        <v>2187</v>
      </c>
      <c r="E52" s="18" t="s">
        <v>857</v>
      </c>
      <c r="F52" s="18" t="s">
        <v>2117</v>
      </c>
    </row>
    <row r="53" customFormat="false" ht="12.8" hidden="false" customHeight="false" outlineLevel="0" collapsed="false">
      <c r="A53" s="17" t="s">
        <v>2188</v>
      </c>
      <c r="B53" s="20" t="s">
        <v>2119</v>
      </c>
      <c r="C53" s="18" t="s">
        <v>2120</v>
      </c>
      <c r="D53" s="18" t="s">
        <v>2189</v>
      </c>
      <c r="E53" s="18" t="s">
        <v>857</v>
      </c>
      <c r="F53" s="18" t="s">
        <v>2122</v>
      </c>
    </row>
    <row r="54" customFormat="false" ht="12.8" hidden="false" customHeight="false" outlineLevel="0" collapsed="false">
      <c r="A54" s="17" t="s">
        <v>2190</v>
      </c>
      <c r="B54" s="20" t="s">
        <v>2191</v>
      </c>
      <c r="C54" s="18" t="s">
        <v>2192</v>
      </c>
      <c r="D54" s="18" t="s">
        <v>2126</v>
      </c>
      <c r="E54" s="18" t="s">
        <v>857</v>
      </c>
      <c r="F54" s="18" t="s">
        <v>2127</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J5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true" hidden="false" outlineLevel="0" max="1" min="1" style="17" width="13.84"/>
    <col collapsed="false" customWidth="true" hidden="false" outlineLevel="0" max="2" min="2" style="20" width="36.9"/>
    <col collapsed="false" customWidth="true" hidden="false" outlineLevel="0" max="3" min="3" style="18" width="21.47"/>
    <col collapsed="false" customWidth="true" hidden="false" outlineLevel="0" max="28" min="4" style="18" width="16.84"/>
    <col collapsed="false" customWidth="true" hidden="false" outlineLevel="0" max="42" min="29" style="18" width="17.78"/>
    <col collapsed="false" customWidth="true" hidden="false" outlineLevel="0" max="45" min="43" style="18" width="15.48"/>
    <col collapsed="false" customWidth="true" hidden="false" outlineLevel="0" max="50" min="50" style="18" width="18.45"/>
    <col collapsed="false" customWidth="true" hidden="false" outlineLevel="0" max="53" min="51" style="18" width="16.14"/>
    <col collapsed="false" customWidth="true" hidden="false" outlineLevel="0" max="61" min="54" style="18" width="13.84"/>
  </cols>
  <sheetData>
    <row r="1" customFormat="false" ht="12.8" hidden="false" customHeight="false" outlineLevel="0" collapsed="false">
      <c r="A1" s="4" t="s">
        <v>56</v>
      </c>
      <c r="B1" s="53" t="s">
        <v>2193</v>
      </c>
      <c r="C1" s="6" t="s">
        <v>2</v>
      </c>
      <c r="D1" s="18" t="s">
        <v>2194</v>
      </c>
      <c r="AT1" s="18"/>
      <c r="BJ1" s="18"/>
    </row>
    <row r="2" customFormat="false" ht="12.8" hidden="false" customHeight="false" outlineLevel="0" collapsed="false">
      <c r="A2" s="46" t="str">
        <f aca="false">_xlfn.CONCAT($A$1, ".", "CALC")</f>
        <v>LSD.RID.0.AL.U3P.CALC</v>
      </c>
      <c r="B2" s="47" t="str">
        <f aca="false">_xlfn.CONCAT($B$1, " ", "Calculations")</f>
        <v>Alabama Unemployed Population Calculations</v>
      </c>
      <c r="C2" s="35" t="str">
        <f aca="false">CALC!P3</f>
        <v>Unemployed Population (U3P)</v>
      </c>
      <c r="D2" s="35"/>
      <c r="E2" s="35"/>
      <c r="F2" s="35"/>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X2" s="3"/>
      <c r="AY2" s="3"/>
      <c r="AZ2" s="3"/>
      <c r="BA2" s="3"/>
      <c r="BB2" s="3"/>
      <c r="BC2" s="3"/>
      <c r="BD2" s="3"/>
      <c r="BE2" s="3"/>
      <c r="BF2" s="3"/>
      <c r="BG2" s="3"/>
      <c r="BH2" s="3"/>
      <c r="BI2" s="3"/>
    </row>
    <row r="3" customFormat="false" ht="12.8" hidden="false" customHeight="false" outlineLevel="0" collapsed="false">
      <c r="A3" s="46" t="str">
        <f aca="false">CALC!A34</f>
        <v>LSID</v>
      </c>
      <c r="B3" s="22" t="str">
        <f aca="false">CALC!C34</f>
        <v>Labor Sector</v>
      </c>
      <c r="C3" s="38" t="str">
        <f aca="false">CALC!P4</f>
        <v>Overall U3P</v>
      </c>
      <c r="D3" s="38" t="str">
        <f aca="false">CALC!Q4</f>
        <v>Authorized U3P</v>
      </c>
      <c r="E3" s="38" t="str">
        <f aca="false">CALC!R4</f>
        <v>Unauthorized U3P</v>
      </c>
      <c r="F3" s="38" t="str">
        <f aca="false">CALC!S4</f>
        <v>American U3P</v>
      </c>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X3" s="3"/>
      <c r="AY3" s="3"/>
      <c r="AZ3" s="3"/>
      <c r="BA3" s="3"/>
      <c r="BB3" s="3"/>
      <c r="BC3" s="3"/>
      <c r="BD3" s="3"/>
      <c r="BE3" s="3"/>
      <c r="BF3" s="3"/>
      <c r="BG3" s="3"/>
      <c r="BH3" s="3"/>
      <c r="BI3" s="3"/>
    </row>
    <row r="4" customFormat="false" ht="12.8" hidden="false" customHeight="false" outlineLevel="0" collapsed="false">
      <c r="A4" s="46" t="str">
        <f aca="false">_xlfn.CONCAT($A$1, ".CALC.", CALC!A35)</f>
        <v>LSD.RID.0.AL.U3P.CALC.0</v>
      </c>
      <c r="B4" s="22" t="str">
        <f aca="false">CALC!C35</f>
        <v>All Industries</v>
      </c>
      <c r="C4" s="3" t="n">
        <v>64000</v>
      </c>
      <c r="D4" s="3" t="n">
        <v>1828</v>
      </c>
      <c r="E4" s="3" t="n">
        <v>1658</v>
      </c>
      <c r="F4" s="3" t="n">
        <v>60514</v>
      </c>
      <c r="G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X4" s="3"/>
      <c r="AY4" s="3"/>
      <c r="AZ4" s="3"/>
      <c r="BA4" s="3"/>
      <c r="BB4" s="3"/>
      <c r="BC4" s="3"/>
      <c r="BD4" s="3"/>
      <c r="BE4" s="3"/>
      <c r="BF4" s="3"/>
      <c r="BG4" s="3"/>
      <c r="BH4" s="3"/>
      <c r="BI4" s="3"/>
    </row>
    <row r="5" customFormat="false" ht="12.8" hidden="false" customHeight="false" outlineLevel="0" collapsed="false">
      <c r="A5" s="46" t="str">
        <f aca="false">_xlfn.CONCAT($A$1, ".CALC.", CALC!A36)</f>
        <v>LSD.RID.0.AL.U3P.CALC.1</v>
      </c>
      <c r="B5" s="50" t="str">
        <f aca="false">CALC!C36</f>
        <v>Agriculture, Forestry, Fishing and Hunting</v>
      </c>
      <c r="C5" s="3" t="n">
        <v>11138</v>
      </c>
      <c r="D5" s="3" t="n">
        <v>62</v>
      </c>
      <c r="E5" s="3" t="n">
        <v>2902</v>
      </c>
      <c r="F5" s="3" t="n">
        <v>8174</v>
      </c>
      <c r="G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X5" s="3"/>
      <c r="AY5" s="3"/>
      <c r="AZ5" s="3"/>
      <c r="BA5" s="3"/>
      <c r="BB5" s="3"/>
      <c r="BC5" s="3"/>
      <c r="BD5" s="3"/>
      <c r="BE5" s="3"/>
      <c r="BF5" s="3"/>
      <c r="BG5" s="3"/>
      <c r="BH5" s="3"/>
      <c r="BI5" s="3"/>
    </row>
    <row r="6" customFormat="false" ht="22.8" hidden="false" customHeight="false" outlineLevel="0" collapsed="false">
      <c r="A6" s="46" t="str">
        <f aca="false">_xlfn.CONCAT($A$1, ".CALC.", CALC!A37)</f>
        <v>LSD.RID.0.AL.U3P.CALC.2</v>
      </c>
      <c r="B6" s="50" t="str">
        <f aca="false">CALC!C37</f>
        <v>Mining, Quarrying, and Oil and Gas Extraction</v>
      </c>
      <c r="C6" s="3" t="n">
        <v>4598</v>
      </c>
      <c r="D6" s="3" t="n">
        <v>49</v>
      </c>
      <c r="E6" s="3" t="n">
        <v>222</v>
      </c>
      <c r="F6" s="3" t="n">
        <v>4327</v>
      </c>
      <c r="G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X6" s="3"/>
      <c r="AY6" s="3"/>
      <c r="AZ6" s="3"/>
      <c r="BA6" s="3"/>
      <c r="BB6" s="3"/>
      <c r="BC6" s="3"/>
      <c r="BD6" s="3"/>
      <c r="BE6" s="3"/>
      <c r="BF6" s="3"/>
      <c r="BG6" s="3"/>
      <c r="BH6" s="3"/>
      <c r="BI6" s="3"/>
    </row>
    <row r="7" customFormat="false" ht="12.8" hidden="false" customHeight="false" outlineLevel="0" collapsed="false">
      <c r="A7" s="46" t="str">
        <f aca="false">_xlfn.CONCAT($A$1, ".CALC.", CALC!A38)</f>
        <v>LSD.RID.0.AL.U3P.CALC.3</v>
      </c>
      <c r="B7" s="22" t="str">
        <f aca="false">CALC!C38</f>
        <v>Utilities</v>
      </c>
      <c r="C7" s="3" t="n">
        <v>4589</v>
      </c>
      <c r="D7" s="3" t="n">
        <v>264</v>
      </c>
      <c r="E7" s="3" t="n">
        <v>141</v>
      </c>
      <c r="F7" s="3" t="n">
        <v>4184</v>
      </c>
      <c r="G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X7" s="3"/>
      <c r="AY7" s="3"/>
      <c r="AZ7" s="3"/>
      <c r="BA7" s="3"/>
      <c r="BB7" s="3"/>
      <c r="BC7" s="3"/>
      <c r="BD7" s="3"/>
      <c r="BE7" s="3"/>
      <c r="BF7" s="3"/>
      <c r="BG7" s="3"/>
      <c r="BH7" s="3"/>
      <c r="BI7" s="3"/>
    </row>
    <row r="8" customFormat="false" ht="12.8" hidden="false" customHeight="false" outlineLevel="0" collapsed="false">
      <c r="A8" s="46" t="str">
        <f aca="false">_xlfn.CONCAT($A$1, ".CALC.", CALC!A39)</f>
        <v>LSD.RID.0.AL.U3P.CALC.4</v>
      </c>
      <c r="B8" s="22" t="str">
        <f aca="false">CALC!C39</f>
        <v>Construction</v>
      </c>
      <c r="C8" s="3" t="n">
        <v>50385</v>
      </c>
      <c r="D8" s="3" t="n">
        <v>2728</v>
      </c>
      <c r="E8" s="3" t="n">
        <v>6999</v>
      </c>
      <c r="F8" s="3" t="n">
        <v>40658</v>
      </c>
      <c r="G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X8" s="3"/>
      <c r="AY8" s="3"/>
      <c r="AZ8" s="3"/>
      <c r="BA8" s="3"/>
      <c r="BB8" s="3"/>
      <c r="BC8" s="3"/>
      <c r="BD8" s="3"/>
      <c r="BE8" s="3"/>
      <c r="BF8" s="3"/>
      <c r="BG8" s="3"/>
      <c r="BH8" s="3"/>
      <c r="BI8" s="3"/>
    </row>
    <row r="9" customFormat="false" ht="12.8" hidden="false" customHeight="false" outlineLevel="0" collapsed="false">
      <c r="A9" s="46" t="str">
        <f aca="false">_xlfn.CONCAT($A$1, ".CALC.", CALC!A40)</f>
        <v>LSD.RID.0.AL.U3P.CALC.5</v>
      </c>
      <c r="B9" s="50" t="str">
        <f aca="false">CALC!C40</f>
        <v>Manufacturing (Food,Textile, etc.)</v>
      </c>
      <c r="C9" s="3" t="n">
        <v>23691</v>
      </c>
      <c r="D9" s="3" t="n">
        <v>521</v>
      </c>
      <c r="E9" s="3" t="n">
        <v>1895</v>
      </c>
      <c r="F9" s="3" t="n">
        <v>21275</v>
      </c>
      <c r="G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X9" s="3"/>
      <c r="AY9" s="3"/>
      <c r="AZ9" s="3"/>
      <c r="BA9" s="3"/>
      <c r="BB9" s="3"/>
      <c r="BC9" s="3"/>
      <c r="BD9" s="3"/>
      <c r="BE9" s="3"/>
      <c r="BF9" s="3"/>
      <c r="BG9" s="3"/>
      <c r="BH9" s="3"/>
      <c r="BI9" s="3"/>
    </row>
    <row r="10" customFormat="false" ht="22.8" hidden="false" customHeight="false" outlineLevel="0" collapsed="false">
      <c r="A10" s="46" t="str">
        <f aca="false">_xlfn.CONCAT($A$1, ".CALC.", CALC!A41)</f>
        <v>LSD.RID.0.AL.U3P.CALC.6</v>
      </c>
      <c r="B10" s="50" t="str">
        <f aca="false">CALC!C41</f>
        <v>Manufacturing (Wood, Paper, Printing, etc.)</v>
      </c>
      <c r="C10" s="3" t="n">
        <v>16364</v>
      </c>
      <c r="D10" s="3" t="n">
        <v>360</v>
      </c>
      <c r="E10" s="3" t="n">
        <v>589</v>
      </c>
      <c r="F10" s="3" t="n">
        <v>15415</v>
      </c>
      <c r="G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X10" s="3"/>
      <c r="AY10" s="3"/>
      <c r="AZ10" s="3"/>
      <c r="BA10" s="3"/>
      <c r="BB10" s="3"/>
      <c r="BC10" s="3"/>
      <c r="BD10" s="3"/>
      <c r="BE10" s="3"/>
      <c r="BF10" s="3"/>
      <c r="BG10" s="3"/>
      <c r="BH10" s="3"/>
      <c r="BI10" s="3"/>
    </row>
    <row r="11" customFormat="false" ht="12.8" hidden="false" customHeight="false" outlineLevel="0" collapsed="false">
      <c r="A11" s="46" t="str">
        <f aca="false">_xlfn.CONCAT($A$1, ".CALC.", CALC!A42)</f>
        <v>LSD.RID.0.AL.U3P.CALC.7</v>
      </c>
      <c r="B11" s="50" t="str">
        <f aca="false">CALC!C42</f>
        <v>Manufacturing (Machinery, Transport)</v>
      </c>
      <c r="C11" s="3" t="n">
        <v>34042</v>
      </c>
      <c r="D11" s="3" t="n">
        <v>749</v>
      </c>
      <c r="E11" s="3" t="n">
        <v>1226</v>
      </c>
      <c r="F11" s="3" t="n">
        <v>32067</v>
      </c>
      <c r="G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X11" s="3"/>
      <c r="AY11" s="3"/>
      <c r="AZ11" s="3"/>
      <c r="BA11" s="3"/>
      <c r="BB11" s="3"/>
      <c r="BC11" s="3"/>
      <c r="BD11" s="3"/>
      <c r="BE11" s="3"/>
      <c r="BF11" s="3"/>
      <c r="BG11" s="3"/>
      <c r="BH11" s="3"/>
      <c r="BI11" s="3"/>
    </row>
    <row r="12" customFormat="false" ht="12.8" hidden="false" customHeight="false" outlineLevel="0" collapsed="false">
      <c r="A12" s="46" t="str">
        <f aca="false">_xlfn.CONCAT($A$1, ".CALC.", CALC!A43)</f>
        <v>LSD.RID.0.AL.U3P.CALC.8</v>
      </c>
      <c r="B12" s="22" t="str">
        <f aca="false">CALC!C43</f>
        <v>Wholesale Trade</v>
      </c>
      <c r="C12" s="3" t="n">
        <v>11893</v>
      </c>
      <c r="D12" s="3" t="n">
        <v>262</v>
      </c>
      <c r="E12" s="3" t="n">
        <v>428</v>
      </c>
      <c r="F12" s="3" t="n">
        <v>11203</v>
      </c>
      <c r="G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X12" s="3"/>
      <c r="AY12" s="3"/>
      <c r="AZ12" s="3"/>
      <c r="BA12" s="3"/>
      <c r="BB12" s="3"/>
      <c r="BC12" s="3"/>
      <c r="BD12" s="3"/>
      <c r="BE12" s="3"/>
      <c r="BF12" s="3"/>
      <c r="BG12" s="3"/>
      <c r="BH12" s="3"/>
      <c r="BI12" s="3"/>
    </row>
    <row r="13" customFormat="false" ht="12.8" hidden="false" customHeight="false" outlineLevel="0" collapsed="false">
      <c r="A13" s="46" t="str">
        <f aca="false">_xlfn.CONCAT($A$1, ".CALC.", CALC!A44)</f>
        <v>LSD.RID.0.AL.U3P.CALC.9</v>
      </c>
      <c r="B13" s="50" t="str">
        <f aca="false">CALC!C44</f>
        <v>Retail Trade (Motor Vehicle, Electronics)</v>
      </c>
      <c r="C13" s="3" t="n">
        <v>7766</v>
      </c>
      <c r="D13" s="3" t="n">
        <v>169</v>
      </c>
      <c r="E13" s="3" t="n">
        <v>276</v>
      </c>
      <c r="F13" s="3" t="n">
        <v>7321</v>
      </c>
      <c r="G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X13" s="3"/>
      <c r="AY13" s="3"/>
      <c r="AZ13" s="3"/>
      <c r="BA13" s="3"/>
      <c r="BB13" s="3"/>
      <c r="BC13" s="3"/>
      <c r="BD13" s="3"/>
      <c r="BE13" s="3"/>
      <c r="BF13" s="3"/>
      <c r="BG13" s="3"/>
      <c r="BH13" s="3"/>
      <c r="BI13" s="3"/>
    </row>
    <row r="14" customFormat="false" ht="22.8" hidden="false" customHeight="false" outlineLevel="0" collapsed="false">
      <c r="A14" s="46" t="str">
        <f aca="false">_xlfn.CONCAT($A$1, ".CALC.", CALC!A45)</f>
        <v>LSD.RID.0.AL.U3P.CALC.10</v>
      </c>
      <c r="B14" s="50" t="str">
        <f aca="false">CALC!C45</f>
        <v>Retail Trade (Food, Clothing, General Merchandise, etc.)</v>
      </c>
      <c r="C14" s="3" t="n">
        <v>24838</v>
      </c>
      <c r="D14" s="3" t="n">
        <v>551</v>
      </c>
      <c r="E14" s="3" t="n">
        <v>2003</v>
      </c>
      <c r="F14" s="3" t="n">
        <v>23284</v>
      </c>
      <c r="G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X14" s="3"/>
      <c r="AY14" s="3"/>
      <c r="AZ14" s="3"/>
      <c r="BA14" s="3"/>
      <c r="BB14" s="3"/>
      <c r="BC14" s="3"/>
      <c r="BD14" s="3"/>
      <c r="BE14" s="3"/>
      <c r="BF14" s="3"/>
      <c r="BG14" s="3"/>
      <c r="BH14" s="3"/>
      <c r="BI14" s="3"/>
    </row>
    <row r="15" customFormat="false" ht="12.8" hidden="false" customHeight="false" outlineLevel="0" collapsed="false">
      <c r="A15" s="46" t="str">
        <f aca="false">_xlfn.CONCAT($A$1, ".CALC.", CALC!A46)</f>
        <v>LSD.RID.0.AL.U3P.CALC.11</v>
      </c>
      <c r="B15" s="22" t="str">
        <f aca="false">CALC!C46</f>
        <v>Transportation</v>
      </c>
      <c r="C15" s="3" t="n">
        <v>17747</v>
      </c>
      <c r="D15" s="3" t="n">
        <v>390</v>
      </c>
      <c r="E15" s="3" t="n">
        <v>640</v>
      </c>
      <c r="F15" s="3" t="n">
        <v>16717</v>
      </c>
      <c r="G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X15" s="3"/>
      <c r="AY15" s="3"/>
      <c r="AZ15" s="3"/>
      <c r="BA15" s="3"/>
      <c r="BB15" s="3"/>
      <c r="BC15" s="3"/>
      <c r="BD15" s="3"/>
      <c r="BE15" s="3"/>
      <c r="BF15" s="3"/>
      <c r="BG15" s="3"/>
      <c r="BH15" s="3"/>
      <c r="BI15" s="3"/>
    </row>
    <row r="16" customFormat="false" ht="12.8" hidden="false" customHeight="false" outlineLevel="0" collapsed="false">
      <c r="A16" s="46" t="str">
        <f aca="false">_xlfn.CONCAT($A$1, ".CALC.", CALC!A47)</f>
        <v>LSD.RID.0.AL.U3P.CALC.12</v>
      </c>
      <c r="B16" s="22" t="str">
        <f aca="false">CALC!C47</f>
        <v>Warehousing and Storage</v>
      </c>
      <c r="C16" s="3" t="n">
        <v>15079</v>
      </c>
      <c r="D16" s="3" t="n">
        <v>332</v>
      </c>
      <c r="E16" s="3" t="n">
        <v>543</v>
      </c>
      <c r="F16" s="3" t="n">
        <v>14204</v>
      </c>
      <c r="G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X16" s="3"/>
      <c r="AY16" s="3"/>
      <c r="AZ16" s="3"/>
      <c r="BA16" s="3"/>
      <c r="BB16" s="3"/>
      <c r="BC16" s="3"/>
      <c r="BD16" s="3"/>
      <c r="BE16" s="3"/>
      <c r="BF16" s="3"/>
      <c r="BG16" s="3"/>
      <c r="BH16" s="3"/>
      <c r="BI16" s="3"/>
    </row>
    <row r="17" customFormat="false" ht="12.8" hidden="false" customHeight="false" outlineLevel="0" collapsed="false">
      <c r="A17" s="46" t="str">
        <f aca="false">_xlfn.CONCAT($A$1, ".CALC.", CALC!A48)</f>
        <v>LSD.RID.0.AL.U3P.CALC.13</v>
      </c>
      <c r="B17" s="22" t="str">
        <f aca="false">CALC!C48</f>
        <v>Information</v>
      </c>
      <c r="C17" s="3" t="n">
        <v>7853</v>
      </c>
      <c r="D17" s="3" t="n">
        <v>173</v>
      </c>
      <c r="E17" s="3" t="n">
        <v>282</v>
      </c>
      <c r="F17" s="3" t="n">
        <v>7398</v>
      </c>
      <c r="G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X17" s="3"/>
      <c r="AY17" s="3"/>
      <c r="AZ17" s="3"/>
      <c r="BA17" s="3"/>
      <c r="BB17" s="3"/>
      <c r="BC17" s="3"/>
      <c r="BD17" s="3"/>
      <c r="BE17" s="3"/>
      <c r="BF17" s="3"/>
      <c r="BG17" s="3"/>
      <c r="BH17" s="3"/>
      <c r="BI17" s="3"/>
    </row>
    <row r="18" customFormat="false" ht="12.8" hidden="false" customHeight="false" outlineLevel="0" collapsed="false">
      <c r="A18" s="46" t="str">
        <f aca="false">_xlfn.CONCAT($A$1, ".CALC.", CALC!A49)</f>
        <v>LSD.RID.0.AL.U3P.CALC.14</v>
      </c>
      <c r="B18" s="22" t="str">
        <f aca="false">CALC!C49</f>
        <v>Finance and Insurance</v>
      </c>
      <c r="C18" s="3" t="n">
        <v>12448</v>
      </c>
      <c r="D18" s="3" t="n">
        <v>274</v>
      </c>
      <c r="E18" s="3" t="n">
        <v>449</v>
      </c>
      <c r="F18" s="3" t="n">
        <v>11725</v>
      </c>
      <c r="G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X18" s="3"/>
      <c r="AY18" s="3"/>
      <c r="AZ18" s="3"/>
      <c r="BA18" s="3"/>
      <c r="BB18" s="3"/>
      <c r="BC18" s="3"/>
      <c r="BD18" s="3"/>
      <c r="BE18" s="3"/>
      <c r="BF18" s="3"/>
      <c r="BG18" s="3"/>
      <c r="BH18" s="3"/>
      <c r="BI18" s="3"/>
    </row>
    <row r="19" customFormat="false" ht="12.8" hidden="false" customHeight="false" outlineLevel="0" collapsed="false">
      <c r="A19" s="46" t="str">
        <f aca="false">_xlfn.CONCAT($A$1, ".CALC.", CALC!A50)</f>
        <v>LSD.RID.0.AL.U3P.CALC.15</v>
      </c>
      <c r="B19" s="50" t="str">
        <f aca="false">CALC!C50</f>
        <v>Real Estate and Rental and Leasing</v>
      </c>
      <c r="C19" s="3" t="n">
        <v>6238</v>
      </c>
      <c r="D19" s="3" t="n">
        <v>137</v>
      </c>
      <c r="E19" s="3" t="n">
        <v>224</v>
      </c>
      <c r="F19" s="3" t="n">
        <v>5877</v>
      </c>
      <c r="G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X19" s="3"/>
      <c r="AY19" s="3"/>
      <c r="AZ19" s="3"/>
      <c r="BA19" s="3"/>
      <c r="BB19" s="3"/>
      <c r="BC19" s="3"/>
      <c r="BD19" s="3"/>
      <c r="BE19" s="3"/>
      <c r="BF19" s="3"/>
      <c r="BG19" s="3"/>
      <c r="BH19" s="3"/>
      <c r="BI19" s="3"/>
    </row>
    <row r="20" customFormat="false" ht="22.8" hidden="false" customHeight="false" outlineLevel="0" collapsed="false">
      <c r="A20" s="46" t="str">
        <f aca="false">_xlfn.CONCAT($A$1, ".CALC.", CALC!A51)</f>
        <v>LSD.RID.0.AL.U3P.CALC.16</v>
      </c>
      <c r="B20" s="50" t="str">
        <f aca="false">CALC!C51</f>
        <v>Professional, Scientific, and Technical Services</v>
      </c>
      <c r="C20" s="3" t="n">
        <v>18673</v>
      </c>
      <c r="D20" s="3" t="n">
        <v>410</v>
      </c>
      <c r="E20" s="3" t="n">
        <v>672</v>
      </c>
      <c r="F20" s="3" t="n">
        <v>17591</v>
      </c>
      <c r="G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X20" s="3"/>
      <c r="AY20" s="3"/>
      <c r="AZ20" s="3"/>
      <c r="BA20" s="3"/>
      <c r="BB20" s="3"/>
      <c r="BC20" s="3"/>
      <c r="BD20" s="3"/>
      <c r="BE20" s="3"/>
      <c r="BF20" s="3"/>
      <c r="BG20" s="3"/>
      <c r="BH20" s="3"/>
      <c r="BI20" s="3"/>
    </row>
    <row r="21" customFormat="false" ht="22.8" hidden="false" customHeight="false" outlineLevel="0" collapsed="false">
      <c r="A21" s="46" t="str">
        <f aca="false">_xlfn.CONCAT($A$1, ".CALC.", CALC!A52)</f>
        <v>LSD.RID.0.AL.U3P.CALC.17</v>
      </c>
      <c r="B21" s="50" t="str">
        <f aca="false">CALC!C52</f>
        <v>Administrative and Support and Waste Management and Remediation Services</v>
      </c>
      <c r="C21" s="3" t="n">
        <v>41071</v>
      </c>
      <c r="D21" s="3" t="n">
        <v>904</v>
      </c>
      <c r="E21" s="3" t="n">
        <v>3292</v>
      </c>
      <c r="F21" s="3" t="n">
        <v>36875</v>
      </c>
      <c r="G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X21" s="3"/>
      <c r="AY21" s="3"/>
      <c r="AZ21" s="3"/>
      <c r="BA21" s="3"/>
      <c r="BB21" s="3"/>
      <c r="BC21" s="3"/>
      <c r="BD21" s="3"/>
      <c r="BE21" s="3"/>
      <c r="BF21" s="3"/>
      <c r="BG21" s="3"/>
      <c r="BH21" s="3"/>
      <c r="BI21" s="3"/>
    </row>
    <row r="22" customFormat="false" ht="12.8" hidden="false" customHeight="false" outlineLevel="0" collapsed="false">
      <c r="A22" s="46" t="str">
        <f aca="false">_xlfn.CONCAT($A$1, ".CALC.", CALC!A53)</f>
        <v>LSD.RID.0.AL.U3P.CALC.18</v>
      </c>
      <c r="B22" s="22" t="str">
        <f aca="false">CALC!C53</f>
        <v>Educational Services</v>
      </c>
      <c r="C22" s="3" t="n">
        <v>29778</v>
      </c>
      <c r="D22" s="3" t="n">
        <v>655</v>
      </c>
      <c r="E22" s="3" t="n">
        <v>1072</v>
      </c>
      <c r="F22" s="3" t="n">
        <v>28051</v>
      </c>
      <c r="G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X22" s="3"/>
      <c r="AY22" s="3"/>
      <c r="AZ22" s="3"/>
      <c r="BA22" s="3"/>
      <c r="BB22" s="3"/>
      <c r="BC22" s="3"/>
      <c r="BD22" s="3"/>
      <c r="BE22" s="3"/>
      <c r="BF22" s="3"/>
      <c r="BG22" s="3"/>
      <c r="BH22" s="3"/>
      <c r="BI22" s="3"/>
    </row>
    <row r="23" customFormat="false" ht="12.8" hidden="false" customHeight="false" outlineLevel="0" collapsed="false">
      <c r="A23" s="46" t="str">
        <f aca="false">_xlfn.CONCAT($A$1, ".CALC.", CALC!A54)</f>
        <v>LSD.RID.0.AL.U3P.CALC.19</v>
      </c>
      <c r="B23" s="50" t="str">
        <f aca="false">CALC!C54</f>
        <v>Health Care and Social Assistance</v>
      </c>
      <c r="C23" s="3" t="n">
        <v>41883</v>
      </c>
      <c r="D23" s="3" t="n">
        <v>922</v>
      </c>
      <c r="E23" s="3" t="n">
        <v>1508</v>
      </c>
      <c r="F23" s="3" t="n">
        <v>39453</v>
      </c>
      <c r="G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X23" s="3"/>
      <c r="AY23" s="3"/>
      <c r="AZ23" s="3"/>
      <c r="BA23" s="3"/>
      <c r="BB23" s="3"/>
      <c r="BC23" s="3"/>
      <c r="BD23" s="3"/>
      <c r="BE23" s="3"/>
      <c r="BF23" s="3"/>
      <c r="BG23" s="3"/>
      <c r="BH23" s="3"/>
      <c r="BI23" s="3"/>
    </row>
    <row r="24" customFormat="false" ht="12.8" hidden="false" customHeight="false" outlineLevel="0" collapsed="false">
      <c r="A24" s="46" t="str">
        <f aca="false">_xlfn.CONCAT($A$1, ".CALC.", CALC!A55)</f>
        <v>LSD.RID.0.AL.U3P.CALC.20</v>
      </c>
      <c r="B24" s="50" t="str">
        <f aca="false">CALC!C55</f>
        <v>Arts, Entertainment,and Recreation</v>
      </c>
      <c r="C24" s="3" t="n">
        <v>5894</v>
      </c>
      <c r="D24" s="3" t="n">
        <v>137</v>
      </c>
      <c r="E24" s="3" t="n">
        <v>224</v>
      </c>
      <c r="F24" s="3" t="n">
        <v>5533</v>
      </c>
      <c r="G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X24" s="3"/>
      <c r="AY24" s="3"/>
      <c r="AZ24" s="3"/>
      <c r="BA24" s="3"/>
      <c r="BB24" s="3"/>
      <c r="BC24" s="3"/>
      <c r="BD24" s="3"/>
      <c r="BE24" s="3"/>
      <c r="BF24" s="3"/>
      <c r="BG24" s="3"/>
      <c r="BH24" s="3"/>
      <c r="BI24" s="3"/>
    </row>
    <row r="25" customFormat="false" ht="12.8" hidden="false" customHeight="false" outlineLevel="0" collapsed="false">
      <c r="A25" s="46" t="str">
        <f aca="false">_xlfn.CONCAT($A$1, ".CALC.", CALC!A56)</f>
        <v>LSD.RID.0.AL.U3P.CALC.21</v>
      </c>
      <c r="B25" s="50" t="str">
        <f aca="false">CALC!C56</f>
        <v>Accommodation and Food Services</v>
      </c>
      <c r="C25" s="3" t="n">
        <v>46454</v>
      </c>
      <c r="D25" s="3" t="n">
        <v>582</v>
      </c>
      <c r="E25" s="3" t="n">
        <v>2106</v>
      </c>
      <c r="F25" s="3" t="n">
        <v>43766</v>
      </c>
      <c r="G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X25" s="3"/>
      <c r="AY25" s="3"/>
      <c r="AZ25" s="3"/>
      <c r="BA25" s="3"/>
      <c r="BB25" s="3"/>
      <c r="BC25" s="3"/>
      <c r="BD25" s="3"/>
      <c r="BE25" s="3"/>
      <c r="BF25" s="3"/>
      <c r="BG25" s="3"/>
      <c r="BH25" s="3"/>
      <c r="BI25" s="3"/>
    </row>
    <row r="26" customFormat="false" ht="22.8" hidden="false" customHeight="false" outlineLevel="0" collapsed="false">
      <c r="A26" s="46" t="str">
        <f aca="false">_xlfn.CONCAT($A$1, ".CALC.", CALC!A57)</f>
        <v>LSD.RID.0.AL.U3P.CALC.22</v>
      </c>
      <c r="B26" s="50" t="str">
        <f aca="false">CALC!C57</f>
        <v>Other Services (except Public Administration)</v>
      </c>
      <c r="C26" s="3" t="n">
        <v>12719</v>
      </c>
      <c r="D26" s="3" t="n">
        <v>311</v>
      </c>
      <c r="E26" s="3" t="n">
        <v>1130</v>
      </c>
      <c r="F26" s="3" t="n">
        <v>11278</v>
      </c>
      <c r="G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X26" s="3"/>
      <c r="AY26" s="3"/>
      <c r="AZ26" s="3"/>
      <c r="BA26" s="3"/>
      <c r="BB26" s="3"/>
      <c r="BC26" s="3"/>
      <c r="BD26" s="3"/>
      <c r="BE26" s="3"/>
      <c r="BF26" s="3"/>
      <c r="BG26" s="3"/>
      <c r="BH26" s="3"/>
      <c r="BI26" s="3"/>
    </row>
    <row r="27" customFormat="false" ht="12.8" hidden="false" customHeight="false" outlineLevel="0" collapsed="false">
      <c r="A27" s="46" t="str">
        <f aca="false">_xlfn.CONCAT($A$1, ".CALC.", CALC!A58)</f>
        <v>LSD.RID.0.AL.U3P.CALC.23</v>
      </c>
      <c r="B27" s="22" t="str">
        <f aca="false">CALC!C58</f>
        <v>Public Administration</v>
      </c>
      <c r="C27" s="3" t="n">
        <v>24443</v>
      </c>
      <c r="D27" s="3" t="n">
        <v>406</v>
      </c>
      <c r="E27" s="3" t="n">
        <v>664</v>
      </c>
      <c r="F27" s="3" t="n">
        <v>23373</v>
      </c>
      <c r="G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X27" s="3"/>
      <c r="AY27" s="3"/>
      <c r="AZ27" s="3"/>
      <c r="BA27" s="3"/>
      <c r="BB27" s="3"/>
      <c r="BC27" s="3"/>
      <c r="BD27" s="3"/>
      <c r="BE27" s="3"/>
      <c r="BF27" s="3"/>
      <c r="BG27" s="3"/>
      <c r="BH27" s="3"/>
      <c r="BI27" s="3"/>
    </row>
    <row r="29" customFormat="false" ht="12.8" hidden="false" customHeight="false" outlineLevel="0" collapsed="false">
      <c r="A29" s="14" t="s">
        <v>2195</v>
      </c>
      <c r="B29" s="12" t="s">
        <v>2196</v>
      </c>
    </row>
    <row r="30" customFormat="false" ht="12.8" hidden="false" customHeight="false" outlineLevel="0" collapsed="false">
      <c r="A30" s="14" t="s">
        <v>93</v>
      </c>
      <c r="B30" s="20" t="s">
        <v>1801</v>
      </c>
      <c r="C30" s="18" t="s">
        <v>283</v>
      </c>
      <c r="D30" s="18" t="s">
        <v>2056</v>
      </c>
      <c r="E30" s="18" t="s">
        <v>286</v>
      </c>
      <c r="F30" s="18" t="s">
        <v>287</v>
      </c>
      <c r="G30" s="18" t="s">
        <v>2132</v>
      </c>
    </row>
    <row r="31" customFormat="false" ht="12.8" hidden="false" customHeight="false" outlineLevel="0" collapsed="false">
      <c r="A31" s="17" t="s">
        <v>2197</v>
      </c>
      <c r="B31" s="20" t="s">
        <v>2198</v>
      </c>
      <c r="C31" s="18" t="s">
        <v>2199</v>
      </c>
      <c r="D31" s="18" t="s">
        <v>2200</v>
      </c>
      <c r="E31" s="18" t="s">
        <v>2201</v>
      </c>
      <c r="F31" s="18" t="s">
        <v>417</v>
      </c>
      <c r="G31" s="18" t="s">
        <v>2132</v>
      </c>
    </row>
    <row r="32" customFormat="false" ht="12.8" hidden="false" customHeight="false" outlineLevel="0" collapsed="false">
      <c r="A32" s="17" t="s">
        <v>2202</v>
      </c>
      <c r="B32" s="20" t="s">
        <v>2198</v>
      </c>
      <c r="C32" s="18" t="s">
        <v>2063</v>
      </c>
      <c r="D32" s="18" t="s">
        <v>2203</v>
      </c>
      <c r="E32" s="18" t="s">
        <v>2064</v>
      </c>
      <c r="F32" s="18" t="s">
        <v>417</v>
      </c>
      <c r="G32" s="18" t="s">
        <v>2132</v>
      </c>
    </row>
    <row r="33" customFormat="false" ht="12.8" hidden="false" customHeight="false" outlineLevel="0" collapsed="false">
      <c r="A33" s="17" t="s">
        <v>2204</v>
      </c>
      <c r="B33" s="20" t="s">
        <v>2198</v>
      </c>
      <c r="C33" s="18" t="s">
        <v>2066</v>
      </c>
      <c r="D33" s="18" t="s">
        <v>2205</v>
      </c>
      <c r="E33" s="18" t="s">
        <v>2206</v>
      </c>
      <c r="F33" s="18" t="s">
        <v>417</v>
      </c>
      <c r="G33" s="18" t="s">
        <v>2132</v>
      </c>
    </row>
    <row r="34" customFormat="false" ht="12.8" hidden="false" customHeight="false" outlineLevel="0" collapsed="false">
      <c r="A34" s="17" t="s">
        <v>2207</v>
      </c>
      <c r="B34" s="20" t="s">
        <v>2198</v>
      </c>
      <c r="C34" s="18" t="s">
        <v>2208</v>
      </c>
      <c r="D34" s="18" t="s">
        <v>2209</v>
      </c>
      <c r="E34" s="18" t="s">
        <v>422</v>
      </c>
      <c r="F34" s="18" t="s">
        <v>417</v>
      </c>
      <c r="G34" s="18" t="s">
        <v>2132</v>
      </c>
    </row>
    <row r="36" customFormat="false" ht="12.8" hidden="false" customHeight="false" outlineLevel="0" collapsed="false">
      <c r="A36" s="14" t="s">
        <v>2210</v>
      </c>
      <c r="B36" s="12" t="s">
        <v>2211</v>
      </c>
    </row>
    <row r="37" customFormat="false" ht="12.8" hidden="false" customHeight="false" outlineLevel="0" collapsed="false">
      <c r="A37" s="17" t="s">
        <v>97</v>
      </c>
      <c r="B37" s="20" t="s">
        <v>283</v>
      </c>
      <c r="C37" s="18" t="s">
        <v>2073</v>
      </c>
      <c r="D37" s="18" t="s">
        <v>286</v>
      </c>
      <c r="E37" s="18" t="s">
        <v>850</v>
      </c>
      <c r="F37" s="18" t="s">
        <v>851</v>
      </c>
      <c r="G37" s="18" t="s">
        <v>852</v>
      </c>
      <c r="H37" s="18" t="s">
        <v>287</v>
      </c>
    </row>
    <row r="38" customFormat="false" ht="12.8" hidden="false" customHeight="false" outlineLevel="0" collapsed="false">
      <c r="A38" s="17" t="s">
        <v>2212</v>
      </c>
      <c r="B38" s="20" t="s">
        <v>2213</v>
      </c>
      <c r="C38" s="18" t="n">
        <v>64000</v>
      </c>
      <c r="D38" s="18" t="s">
        <v>2214</v>
      </c>
      <c r="E38" s="18" t="s">
        <v>857</v>
      </c>
      <c r="F38" s="18" t="s">
        <v>858</v>
      </c>
      <c r="G38" s="24" t="s">
        <v>859</v>
      </c>
      <c r="H38" s="18" t="s">
        <v>417</v>
      </c>
    </row>
    <row r="39" customFormat="false" ht="12.8" hidden="false" customHeight="false" outlineLevel="0" collapsed="false">
      <c r="A39" s="17" t="s">
        <v>2215</v>
      </c>
      <c r="B39" s="20" t="s">
        <v>2216</v>
      </c>
      <c r="C39" s="18" t="s">
        <v>2217</v>
      </c>
      <c r="D39" s="18" t="s">
        <v>2080</v>
      </c>
      <c r="E39" s="18" t="s">
        <v>2081</v>
      </c>
      <c r="F39" s="18" t="s">
        <v>2082</v>
      </c>
      <c r="G39" s="24" t="s">
        <v>859</v>
      </c>
      <c r="H39" s="18" t="s">
        <v>417</v>
      </c>
    </row>
    <row r="40" customFormat="false" ht="12.8" hidden="false" customHeight="false" outlineLevel="0" collapsed="false">
      <c r="A40" s="17" t="s">
        <v>2218</v>
      </c>
      <c r="B40" s="20" t="s">
        <v>2219</v>
      </c>
      <c r="C40" s="18" t="s">
        <v>2220</v>
      </c>
      <c r="D40" s="18" t="s">
        <v>2221</v>
      </c>
      <c r="E40" s="18" t="s">
        <v>2081</v>
      </c>
      <c r="F40" s="18" t="s">
        <v>2082</v>
      </c>
      <c r="G40" s="24" t="s">
        <v>859</v>
      </c>
      <c r="H40" s="18" t="s">
        <v>2158</v>
      </c>
      <c r="I40" s="18" t="s">
        <v>417</v>
      </c>
    </row>
    <row r="41" customFormat="false" ht="12.8" hidden="false" customHeight="false" outlineLevel="0" collapsed="false">
      <c r="A41" s="17" t="s">
        <v>2222</v>
      </c>
      <c r="B41" s="20" t="s">
        <v>1246</v>
      </c>
      <c r="C41" s="18" t="n">
        <v>1.25</v>
      </c>
      <c r="D41" s="18" t="s">
        <v>2223</v>
      </c>
      <c r="E41" s="18" t="s">
        <v>857</v>
      </c>
      <c r="F41" s="18" t="s">
        <v>2224</v>
      </c>
      <c r="G41" s="24" t="s">
        <v>859</v>
      </c>
      <c r="H41" s="18" t="s">
        <v>417</v>
      </c>
    </row>
    <row r="42" customFormat="false" ht="12.8" hidden="false" customHeight="false" outlineLevel="0" collapsed="false">
      <c r="A42" s="17" t="s">
        <v>2225</v>
      </c>
      <c r="B42" s="20" t="s">
        <v>2226</v>
      </c>
      <c r="C42" s="18" t="n">
        <v>0.82</v>
      </c>
      <c r="D42" s="18" t="s">
        <v>2227</v>
      </c>
      <c r="E42" s="18" t="s">
        <v>857</v>
      </c>
      <c r="F42" s="18" t="s">
        <v>2228</v>
      </c>
      <c r="G42" s="24" t="s">
        <v>859</v>
      </c>
      <c r="H42" s="18" t="s">
        <v>417</v>
      </c>
    </row>
    <row r="43" customFormat="false" ht="12.8" hidden="false" customHeight="false" outlineLevel="0" collapsed="false">
      <c r="A43" s="17" t="s">
        <v>2229</v>
      </c>
      <c r="B43" s="20" t="s">
        <v>1237</v>
      </c>
      <c r="C43" s="18" t="n">
        <v>4</v>
      </c>
      <c r="D43" s="18" t="s">
        <v>2167</v>
      </c>
      <c r="E43" s="18" t="s">
        <v>857</v>
      </c>
      <c r="F43" s="18" t="s">
        <v>2230</v>
      </c>
      <c r="G43" s="24" t="s">
        <v>859</v>
      </c>
      <c r="H43" s="18" t="s">
        <v>417</v>
      </c>
    </row>
    <row r="44" customFormat="false" ht="12.8" hidden="false" customHeight="false" outlineLevel="0" collapsed="false">
      <c r="A44" s="17" t="s">
        <v>2231</v>
      </c>
      <c r="B44" s="20" t="s">
        <v>2232</v>
      </c>
      <c r="C44" s="18" t="s">
        <v>2233</v>
      </c>
      <c r="D44" s="18" t="s">
        <v>2090</v>
      </c>
      <c r="E44" s="18" t="s">
        <v>2081</v>
      </c>
      <c r="F44" s="18" t="s">
        <v>2082</v>
      </c>
      <c r="G44" s="24" t="s">
        <v>859</v>
      </c>
      <c r="H44" s="18" t="s">
        <v>1072</v>
      </c>
      <c r="I44" s="18" t="s">
        <v>417</v>
      </c>
    </row>
    <row r="46" customFormat="false" ht="12.8" hidden="false" customHeight="false" outlineLevel="0" collapsed="false">
      <c r="A46" s="14" t="s">
        <v>2234</v>
      </c>
      <c r="B46" s="12" t="s">
        <v>2235</v>
      </c>
    </row>
    <row r="47" customFormat="false" ht="12.8" hidden="false" customHeight="false" outlineLevel="0" collapsed="false">
      <c r="A47" s="17" t="s">
        <v>101</v>
      </c>
      <c r="B47" s="20" t="s">
        <v>286</v>
      </c>
      <c r="C47" s="18" t="s">
        <v>849</v>
      </c>
      <c r="D47" s="18" t="s">
        <v>2093</v>
      </c>
      <c r="E47" s="18" t="s">
        <v>850</v>
      </c>
      <c r="F47" s="18" t="s">
        <v>2094</v>
      </c>
    </row>
    <row r="48" customFormat="false" ht="12.8" hidden="false" customHeight="false" outlineLevel="0" collapsed="false">
      <c r="A48" s="17" t="s">
        <v>2236</v>
      </c>
      <c r="B48" s="20" t="s">
        <v>1617</v>
      </c>
      <c r="C48" s="18" t="n">
        <v>64000</v>
      </c>
      <c r="D48" s="18" t="s">
        <v>858</v>
      </c>
      <c r="E48" s="18" t="s">
        <v>857</v>
      </c>
      <c r="F48" s="18" t="s">
        <v>2097</v>
      </c>
    </row>
    <row r="49" customFormat="false" ht="12.8" hidden="false" customHeight="false" outlineLevel="0" collapsed="false">
      <c r="A49" s="17" t="s">
        <v>2237</v>
      </c>
      <c r="B49" s="20" t="s">
        <v>2099</v>
      </c>
      <c r="C49" s="18" t="s">
        <v>2238</v>
      </c>
      <c r="D49" s="18" t="s">
        <v>2239</v>
      </c>
      <c r="E49" s="18" t="s">
        <v>857</v>
      </c>
      <c r="F49" s="18" t="s">
        <v>2240</v>
      </c>
    </row>
    <row r="50" customFormat="false" ht="12.8" hidden="false" customHeight="false" outlineLevel="0" collapsed="false">
      <c r="A50" s="17" t="s">
        <v>2241</v>
      </c>
      <c r="B50" s="20" t="s">
        <v>2242</v>
      </c>
      <c r="C50" s="18" t="s">
        <v>2105</v>
      </c>
      <c r="D50" s="18" t="s">
        <v>2243</v>
      </c>
      <c r="E50" s="18" t="s">
        <v>857</v>
      </c>
      <c r="F50" s="18" t="s">
        <v>2107</v>
      </c>
    </row>
    <row r="51" customFormat="false" ht="12.8" hidden="false" customHeight="false" outlineLevel="0" collapsed="false">
      <c r="A51" s="17" t="s">
        <v>2244</v>
      </c>
      <c r="B51" s="20" t="s">
        <v>2109</v>
      </c>
      <c r="C51" s="18" t="s">
        <v>2245</v>
      </c>
      <c r="D51" s="18" t="s">
        <v>2246</v>
      </c>
      <c r="E51" s="18" t="s">
        <v>857</v>
      </c>
      <c r="F51" s="18" t="s">
        <v>2247</v>
      </c>
    </row>
    <row r="52" customFormat="false" ht="12.8" hidden="false" customHeight="false" outlineLevel="0" collapsed="false">
      <c r="A52" s="17" t="s">
        <v>2248</v>
      </c>
      <c r="B52" s="20" t="s">
        <v>2114</v>
      </c>
      <c r="C52" s="18" t="s">
        <v>2186</v>
      </c>
      <c r="D52" s="18" t="s">
        <v>2249</v>
      </c>
      <c r="E52" s="18" t="s">
        <v>857</v>
      </c>
      <c r="F52" s="18" t="s">
        <v>2250</v>
      </c>
    </row>
    <row r="53" customFormat="false" ht="12.8" hidden="false" customHeight="false" outlineLevel="0" collapsed="false">
      <c r="A53" s="17" t="s">
        <v>2251</v>
      </c>
      <c r="B53" s="20" t="s">
        <v>2119</v>
      </c>
      <c r="C53" s="18" t="s">
        <v>2120</v>
      </c>
      <c r="D53" s="18" t="s">
        <v>2252</v>
      </c>
      <c r="E53" s="18" t="s">
        <v>857</v>
      </c>
      <c r="F53" s="18" t="s">
        <v>2122</v>
      </c>
    </row>
    <row r="54" customFormat="false" ht="12.8" hidden="false" customHeight="false" outlineLevel="0" collapsed="false">
      <c r="A54" s="17" t="s">
        <v>2253</v>
      </c>
      <c r="B54" s="20" t="s">
        <v>2254</v>
      </c>
      <c r="C54" s="18" t="s">
        <v>2255</v>
      </c>
      <c r="D54" s="18" t="s">
        <v>2126</v>
      </c>
      <c r="E54" s="18" t="s">
        <v>857</v>
      </c>
      <c r="F54" s="18" t="s">
        <v>2256</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J5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true" hidden="false" outlineLevel="0" max="1" min="1" style="17" width="13.84"/>
    <col collapsed="false" customWidth="true" hidden="false" outlineLevel="0" max="2" min="2" style="20" width="36.9"/>
    <col collapsed="false" customWidth="true" hidden="false" outlineLevel="0" max="3" min="3" style="18" width="21.47"/>
    <col collapsed="false" customWidth="true" hidden="false" outlineLevel="0" max="28" min="4" style="18" width="16.84"/>
    <col collapsed="false" customWidth="true" hidden="false" outlineLevel="0" max="42" min="29" style="18" width="17.78"/>
    <col collapsed="false" customWidth="true" hidden="false" outlineLevel="0" max="45" min="43" style="18" width="15.48"/>
    <col collapsed="false" customWidth="true" hidden="false" outlineLevel="0" max="50" min="50" style="18" width="18.45"/>
    <col collapsed="false" customWidth="true" hidden="false" outlineLevel="0" max="53" min="51" style="18" width="16.14"/>
    <col collapsed="false" customWidth="true" hidden="false" outlineLevel="0" max="61" min="54" style="18" width="13.84"/>
  </cols>
  <sheetData>
    <row r="1" customFormat="false" ht="12.8" hidden="false" customHeight="false" outlineLevel="0" collapsed="false">
      <c r="A1" s="4" t="s">
        <v>57</v>
      </c>
      <c r="B1" s="12" t="s">
        <v>2257</v>
      </c>
      <c r="C1" s="6" t="s">
        <v>2</v>
      </c>
      <c r="D1" s="18" t="s">
        <v>2258</v>
      </c>
      <c r="AT1" s="18"/>
      <c r="BJ1" s="18"/>
    </row>
    <row r="2" customFormat="false" ht="12.8" hidden="false" customHeight="false" outlineLevel="0" collapsed="false">
      <c r="A2" s="46" t="str">
        <f aca="false">_xlfn.CONCAT($A$1, ".", "CALC")</f>
        <v>LSD.RID.0.AL.U6P.CALC</v>
      </c>
      <c r="B2" s="47" t="str">
        <f aca="false">_xlfn.CONCAT($B$1, " ", "Calculations")</f>
        <v>Alabama Underemployed Population Calculations</v>
      </c>
      <c r="C2" s="35" t="str">
        <f aca="false">CALC!T3</f>
        <v>Underemployed Population (U6P)</v>
      </c>
      <c r="D2" s="35"/>
      <c r="E2" s="35"/>
      <c r="F2" s="35"/>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X2" s="3"/>
      <c r="AY2" s="3"/>
      <c r="AZ2" s="3"/>
      <c r="BA2" s="3"/>
      <c r="BB2" s="3"/>
      <c r="BC2" s="3"/>
      <c r="BD2" s="3"/>
      <c r="BE2" s="3"/>
      <c r="BF2" s="3"/>
      <c r="BG2" s="3"/>
      <c r="BH2" s="3"/>
      <c r="BI2" s="3"/>
    </row>
    <row r="3" customFormat="false" ht="12.8" hidden="false" customHeight="false" outlineLevel="0" collapsed="false">
      <c r="A3" s="46" t="str">
        <f aca="false">CALC!A34</f>
        <v>LSID</v>
      </c>
      <c r="B3" s="22" t="str">
        <f aca="false">CALC!C34</f>
        <v>Labor Sector</v>
      </c>
      <c r="C3" s="38" t="str">
        <f aca="false">CALC!T4</f>
        <v>Overall U6P</v>
      </c>
      <c r="D3" s="38" t="str">
        <f aca="false">CALC!U4</f>
        <v>Authorized U6P</v>
      </c>
      <c r="E3" s="38" t="str">
        <f aca="false">CALC!V4</f>
        <v>Unauthorized U6P</v>
      </c>
      <c r="F3" s="38" t="str">
        <f aca="false">CALC!W4</f>
        <v>American U6P</v>
      </c>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X3" s="3"/>
      <c r="AY3" s="3"/>
      <c r="AZ3" s="3"/>
      <c r="BA3" s="3"/>
      <c r="BB3" s="3"/>
      <c r="BC3" s="3"/>
      <c r="BD3" s="3"/>
      <c r="BE3" s="3"/>
      <c r="BF3" s="3"/>
      <c r="BG3" s="3"/>
      <c r="BH3" s="3"/>
      <c r="BI3" s="3"/>
    </row>
    <row r="4" customFormat="false" ht="12.8" hidden="false" customHeight="false" outlineLevel="0" collapsed="false">
      <c r="A4" s="46" t="str">
        <f aca="false">_xlfn.CONCAT($A$1, ".CALC.", CALC!A35)</f>
        <v>LSD.RID.0.AL.U6P.CALC.0</v>
      </c>
      <c r="B4" s="22" t="str">
        <f aca="false">CALC!C35</f>
        <v>All Industries</v>
      </c>
      <c r="C4" s="3" t="n">
        <v>148000</v>
      </c>
      <c r="D4" s="3" t="n">
        <v>2985</v>
      </c>
      <c r="E4" s="3" t="n">
        <v>12845</v>
      </c>
      <c r="F4" s="3" t="n">
        <v>132170</v>
      </c>
      <c r="G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X4" s="3"/>
      <c r="AY4" s="3"/>
      <c r="AZ4" s="3"/>
      <c r="BA4" s="3"/>
      <c r="BB4" s="3"/>
      <c r="BC4" s="3"/>
      <c r="BD4" s="3"/>
      <c r="BE4" s="3"/>
      <c r="BF4" s="3"/>
      <c r="BG4" s="3"/>
      <c r="BH4" s="3"/>
      <c r="BI4" s="3"/>
    </row>
    <row r="5" customFormat="false" ht="12.8" hidden="false" customHeight="false" outlineLevel="0" collapsed="false">
      <c r="A5" s="46" t="str">
        <f aca="false">_xlfn.CONCAT($A$1, ".CALC.", CALC!A36)</f>
        <v>LSD.RID.0.AL.U6P.CALC.1</v>
      </c>
      <c r="B5" s="50" t="str">
        <f aca="false">CALC!C36</f>
        <v>Agriculture, Forestry, Fishing and Hunting</v>
      </c>
      <c r="C5" s="3" t="n">
        <v>21000</v>
      </c>
      <c r="D5" s="3" t="n">
        <v>142</v>
      </c>
      <c r="E5" s="3" t="n">
        <v>5480</v>
      </c>
      <c r="F5" s="3" t="n">
        <v>15378</v>
      </c>
      <c r="G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X5" s="3"/>
      <c r="AY5" s="3"/>
      <c r="AZ5" s="3"/>
      <c r="BA5" s="3"/>
      <c r="BB5" s="3"/>
      <c r="BC5" s="3"/>
      <c r="BD5" s="3"/>
      <c r="BE5" s="3"/>
      <c r="BF5" s="3"/>
      <c r="BG5" s="3"/>
      <c r="BH5" s="3"/>
      <c r="BI5" s="3"/>
    </row>
    <row r="6" customFormat="false" ht="22.8" hidden="false" customHeight="false" outlineLevel="0" collapsed="false">
      <c r="A6" s="46" t="str">
        <f aca="false">_xlfn.CONCAT($A$1, ".CALC.", CALC!A37)</f>
        <v>LSD.RID.0.AL.U6P.CALC.2</v>
      </c>
      <c r="B6" s="50" t="str">
        <f aca="false">CALC!C37</f>
        <v>Mining, Quarrying, and Oil and Gas Extraction</v>
      </c>
      <c r="C6" s="3" t="n">
        <v>8700</v>
      </c>
      <c r="D6" s="3" t="n">
        <v>89</v>
      </c>
      <c r="E6" s="3" t="n">
        <v>892</v>
      </c>
      <c r="F6" s="3" t="n">
        <v>7719</v>
      </c>
      <c r="G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X6" s="3"/>
      <c r="AY6" s="3"/>
      <c r="AZ6" s="3"/>
      <c r="BA6" s="3"/>
      <c r="BB6" s="3"/>
      <c r="BC6" s="3"/>
      <c r="BD6" s="3"/>
      <c r="BE6" s="3"/>
      <c r="BF6" s="3"/>
      <c r="BG6" s="3"/>
      <c r="BH6" s="3"/>
      <c r="BI6" s="3"/>
    </row>
    <row r="7" customFormat="false" ht="12.8" hidden="false" customHeight="false" outlineLevel="0" collapsed="false">
      <c r="A7" s="46" t="str">
        <f aca="false">_xlfn.CONCAT($A$1, ".CALC.", CALC!A38)</f>
        <v>LSD.RID.0.AL.U6P.CALC.3</v>
      </c>
      <c r="B7" s="22" t="str">
        <f aca="false">CALC!C38</f>
        <v>Utilities</v>
      </c>
      <c r="C7" s="3" t="n">
        <v>8700</v>
      </c>
      <c r="D7" s="3" t="n">
        <v>528</v>
      </c>
      <c r="E7" s="3" t="n">
        <v>672</v>
      </c>
      <c r="F7" s="3" t="n">
        <v>7500</v>
      </c>
      <c r="G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X7" s="3"/>
      <c r="AY7" s="3"/>
      <c r="AZ7" s="3"/>
      <c r="BA7" s="3"/>
      <c r="BB7" s="3"/>
      <c r="BC7" s="3"/>
      <c r="BD7" s="3"/>
      <c r="BE7" s="3"/>
      <c r="BF7" s="3"/>
      <c r="BG7" s="3"/>
      <c r="BH7" s="3"/>
      <c r="BI7" s="3"/>
    </row>
    <row r="8" customFormat="false" ht="12.8" hidden="false" customHeight="false" outlineLevel="0" collapsed="false">
      <c r="A8" s="46" t="str">
        <f aca="false">_xlfn.CONCAT($A$1, ".CALC.", CALC!A39)</f>
        <v>LSD.RID.0.AL.U6P.CALC.4</v>
      </c>
      <c r="B8" s="22" t="str">
        <f aca="false">CALC!C39</f>
        <v>Construction</v>
      </c>
      <c r="C8" s="3" t="n">
        <v>94000</v>
      </c>
      <c r="D8" s="3" t="n">
        <v>5480</v>
      </c>
      <c r="E8" s="3" t="n">
        <v>14800</v>
      </c>
      <c r="F8" s="3" t="n">
        <v>73720</v>
      </c>
      <c r="G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X8" s="3"/>
      <c r="AY8" s="3"/>
      <c r="AZ8" s="3"/>
      <c r="BA8" s="3"/>
      <c r="BB8" s="3"/>
      <c r="BC8" s="3"/>
      <c r="BD8" s="3"/>
      <c r="BE8" s="3"/>
      <c r="BF8" s="3"/>
      <c r="BG8" s="3"/>
      <c r="BH8" s="3"/>
      <c r="BI8" s="3"/>
    </row>
    <row r="9" customFormat="false" ht="12.8" hidden="false" customHeight="false" outlineLevel="0" collapsed="false">
      <c r="A9" s="46" t="str">
        <f aca="false">_xlfn.CONCAT($A$1, ".CALC.", CALC!A40)</f>
        <v>LSD.RID.0.AL.U6P.CALC.5</v>
      </c>
      <c r="B9" s="50" t="str">
        <f aca="false">CALC!C40</f>
        <v>Manufacturing (Food,Textile, etc.)</v>
      </c>
      <c r="C9" s="3" t="n">
        <v>44400</v>
      </c>
      <c r="D9" s="3" t="n">
        <v>1198</v>
      </c>
      <c r="E9" s="3" t="n">
        <v>4800</v>
      </c>
      <c r="F9" s="3" t="n">
        <v>38402</v>
      </c>
      <c r="G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X9" s="3"/>
      <c r="AY9" s="3"/>
      <c r="AZ9" s="3"/>
      <c r="BA9" s="3"/>
      <c r="BB9" s="3"/>
      <c r="BC9" s="3"/>
      <c r="BD9" s="3"/>
      <c r="BE9" s="3"/>
      <c r="BF9" s="3"/>
      <c r="BG9" s="3"/>
      <c r="BH9" s="3"/>
      <c r="BI9" s="3"/>
    </row>
    <row r="10" customFormat="false" ht="22.8" hidden="false" customHeight="false" outlineLevel="0" collapsed="false">
      <c r="A10" s="46" t="str">
        <f aca="false">_xlfn.CONCAT($A$1, ".CALC.", CALC!A41)</f>
        <v>LSD.RID.0.AL.U6P.CALC.6</v>
      </c>
      <c r="B10" s="50" t="str">
        <f aca="false">CALC!C41</f>
        <v>Manufacturing (Wood, Paper, Printing, etc.)</v>
      </c>
      <c r="C10" s="3" t="n">
        <v>30700</v>
      </c>
      <c r="D10" s="3" t="n">
        <v>1288</v>
      </c>
      <c r="E10" s="3" t="n">
        <v>1840</v>
      </c>
      <c r="F10" s="3" t="n">
        <v>27572</v>
      </c>
      <c r="G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X10" s="3"/>
      <c r="AY10" s="3"/>
      <c r="AZ10" s="3"/>
      <c r="BA10" s="3"/>
      <c r="BB10" s="3"/>
      <c r="BC10" s="3"/>
      <c r="BD10" s="3"/>
      <c r="BE10" s="3"/>
      <c r="BF10" s="3"/>
      <c r="BG10" s="3"/>
      <c r="BH10" s="3"/>
      <c r="BI10" s="3"/>
    </row>
    <row r="11" customFormat="false" ht="12.8" hidden="false" customHeight="false" outlineLevel="0" collapsed="false">
      <c r="A11" s="46" t="str">
        <f aca="false">_xlfn.CONCAT($A$1, ".CALC.", CALC!A42)</f>
        <v>LSD.RID.0.AL.U6P.CALC.7</v>
      </c>
      <c r="B11" s="50" t="str">
        <f aca="false">CALC!C42</f>
        <v>Manufacturing (Machinery, Transport)</v>
      </c>
      <c r="C11" s="3" t="n">
        <v>63800</v>
      </c>
      <c r="D11" s="3" t="n">
        <v>3398</v>
      </c>
      <c r="E11" s="3" t="n">
        <v>3692</v>
      </c>
      <c r="F11" s="3" t="n">
        <v>56710</v>
      </c>
      <c r="G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X11" s="3"/>
      <c r="AY11" s="3"/>
      <c r="AZ11" s="3"/>
      <c r="BA11" s="3"/>
      <c r="BB11" s="3"/>
      <c r="BC11" s="3"/>
      <c r="BD11" s="3"/>
      <c r="BE11" s="3"/>
      <c r="BF11" s="3"/>
      <c r="BG11" s="3"/>
      <c r="BH11" s="3"/>
      <c r="BI11" s="3"/>
    </row>
    <row r="12" customFormat="false" ht="12.8" hidden="false" customHeight="false" outlineLevel="0" collapsed="false">
      <c r="A12" s="46" t="str">
        <f aca="false">_xlfn.CONCAT($A$1, ".CALC.", CALC!A43)</f>
        <v>LSD.RID.0.AL.U6P.CALC.8</v>
      </c>
      <c r="B12" s="22" t="str">
        <f aca="false">CALC!C43</f>
        <v>Wholesale Trade</v>
      </c>
      <c r="C12" s="3" t="n">
        <v>22300</v>
      </c>
      <c r="D12" s="3" t="n">
        <v>1466</v>
      </c>
      <c r="E12" s="3" t="n">
        <v>1652</v>
      </c>
      <c r="F12" s="3" t="n">
        <v>19182</v>
      </c>
      <c r="G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X12" s="3"/>
      <c r="AY12" s="3"/>
      <c r="AZ12" s="3"/>
      <c r="BA12" s="3"/>
      <c r="BB12" s="3"/>
      <c r="BC12" s="3"/>
      <c r="BD12" s="3"/>
      <c r="BE12" s="3"/>
      <c r="BF12" s="3"/>
      <c r="BG12" s="3"/>
      <c r="BH12" s="3"/>
      <c r="BI12" s="3"/>
    </row>
    <row r="13" customFormat="false" ht="12.8" hidden="false" customHeight="false" outlineLevel="0" collapsed="false">
      <c r="A13" s="46" t="str">
        <f aca="false">_xlfn.CONCAT($A$1, ".CALC.", CALC!A44)</f>
        <v>LSD.RID.0.AL.U6P.CALC.9</v>
      </c>
      <c r="B13" s="50" t="str">
        <f aca="false">CALC!C44</f>
        <v>Retail Trade (Motor Vehicle, Electronics)</v>
      </c>
      <c r="C13" s="3" t="n">
        <v>14500</v>
      </c>
      <c r="D13" s="3" t="n">
        <v>1702</v>
      </c>
      <c r="E13" s="3" t="n">
        <v>2044</v>
      </c>
      <c r="F13" s="3" t="n">
        <v>10754</v>
      </c>
      <c r="G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X13" s="3"/>
      <c r="AY13" s="3"/>
      <c r="AZ13" s="3"/>
      <c r="BA13" s="3"/>
      <c r="BB13" s="3"/>
      <c r="BC13" s="3"/>
      <c r="BD13" s="3"/>
      <c r="BE13" s="3"/>
      <c r="BF13" s="3"/>
      <c r="BG13" s="3"/>
      <c r="BH13" s="3"/>
      <c r="BI13" s="3"/>
    </row>
    <row r="14" customFormat="false" ht="22.8" hidden="false" customHeight="false" outlineLevel="0" collapsed="false">
      <c r="A14" s="46" t="str">
        <f aca="false">_xlfn.CONCAT($A$1, ".CALC.", CALC!A45)</f>
        <v>LSD.RID.0.AL.U6P.CALC.10</v>
      </c>
      <c r="B14" s="50" t="str">
        <f aca="false">CALC!C45</f>
        <v>Retail Trade (Food, Clothing, General Merchandise, etc.)</v>
      </c>
      <c r="C14" s="3" t="n">
        <v>46500</v>
      </c>
      <c r="D14" s="3" t="n">
        <v>4570</v>
      </c>
      <c r="E14" s="3" t="n">
        <v>7198</v>
      </c>
      <c r="F14" s="3" t="n">
        <v>34732</v>
      </c>
      <c r="G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X14" s="3"/>
      <c r="AY14" s="3"/>
      <c r="AZ14" s="3"/>
      <c r="BA14" s="3"/>
      <c r="BB14" s="3"/>
      <c r="BC14" s="3"/>
      <c r="BD14" s="3"/>
      <c r="BE14" s="3"/>
      <c r="BF14" s="3"/>
      <c r="BG14" s="3"/>
      <c r="BH14" s="3"/>
      <c r="BI14" s="3"/>
    </row>
    <row r="15" customFormat="false" ht="12.8" hidden="false" customHeight="false" outlineLevel="0" collapsed="false">
      <c r="A15" s="46" t="str">
        <f aca="false">_xlfn.CONCAT($A$1, ".CALC.", CALC!A46)</f>
        <v>LSD.RID.0.AL.U6P.CALC.11</v>
      </c>
      <c r="B15" s="22" t="str">
        <f aca="false">CALC!C46</f>
        <v>Transportation</v>
      </c>
      <c r="C15" s="3" t="n">
        <v>33300</v>
      </c>
      <c r="D15" s="3" t="n">
        <v>578</v>
      </c>
      <c r="E15" s="3" t="n">
        <v>2402</v>
      </c>
      <c r="F15" s="3" t="n">
        <v>30320</v>
      </c>
      <c r="G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X15" s="3"/>
      <c r="AY15" s="3"/>
      <c r="AZ15" s="3"/>
      <c r="BA15" s="3"/>
      <c r="BB15" s="3"/>
      <c r="BC15" s="3"/>
      <c r="BD15" s="3"/>
      <c r="BE15" s="3"/>
      <c r="BF15" s="3"/>
      <c r="BG15" s="3"/>
      <c r="BH15" s="3"/>
      <c r="BI15" s="3"/>
    </row>
    <row r="16" customFormat="false" ht="12.8" hidden="false" customHeight="false" outlineLevel="0" collapsed="false">
      <c r="A16" s="46" t="str">
        <f aca="false">_xlfn.CONCAT($A$1, ".CALC.", CALC!A47)</f>
        <v>LSD.RID.0.AL.U6P.CALC.12</v>
      </c>
      <c r="B16" s="22" t="str">
        <f aca="false">CALC!C47</f>
        <v>Warehousing and Storage</v>
      </c>
      <c r="C16" s="3" t="n">
        <v>28200</v>
      </c>
      <c r="D16" s="3" t="n">
        <v>464</v>
      </c>
      <c r="E16" s="3" t="n">
        <v>1856</v>
      </c>
      <c r="F16" s="3" t="n">
        <v>25880</v>
      </c>
      <c r="G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X16" s="3"/>
      <c r="AY16" s="3"/>
      <c r="AZ16" s="3"/>
      <c r="BA16" s="3"/>
      <c r="BB16" s="3"/>
      <c r="BC16" s="3"/>
      <c r="BD16" s="3"/>
      <c r="BE16" s="3"/>
      <c r="BF16" s="3"/>
      <c r="BG16" s="3"/>
      <c r="BH16" s="3"/>
      <c r="BI16" s="3"/>
    </row>
    <row r="17" customFormat="false" ht="12.8" hidden="false" customHeight="false" outlineLevel="0" collapsed="false">
      <c r="A17" s="46" t="str">
        <f aca="false">_xlfn.CONCAT($A$1, ".CALC.", CALC!A48)</f>
        <v>LSD.RID.0.AL.U6P.CALC.13</v>
      </c>
      <c r="B17" s="22" t="str">
        <f aca="false">CALC!C48</f>
        <v>Information</v>
      </c>
      <c r="C17" s="3" t="n">
        <v>14700</v>
      </c>
      <c r="D17" s="3" t="n">
        <v>234</v>
      </c>
      <c r="E17" s="3" t="n">
        <v>998</v>
      </c>
      <c r="F17" s="3" t="n">
        <v>13468</v>
      </c>
      <c r="G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X17" s="3"/>
      <c r="AY17" s="3"/>
      <c r="AZ17" s="3"/>
      <c r="BA17" s="3"/>
      <c r="BB17" s="3"/>
      <c r="BC17" s="3"/>
      <c r="BD17" s="3"/>
      <c r="BE17" s="3"/>
      <c r="BF17" s="3"/>
      <c r="BG17" s="3"/>
      <c r="BH17" s="3"/>
      <c r="BI17" s="3"/>
    </row>
    <row r="18" customFormat="false" ht="12.8" hidden="false" customHeight="false" outlineLevel="0" collapsed="false">
      <c r="A18" s="46" t="str">
        <f aca="false">_xlfn.CONCAT($A$1, ".CALC.", CALC!A49)</f>
        <v>LSD.RID.0.AL.U6P.CALC.14</v>
      </c>
      <c r="B18" s="22" t="str">
        <f aca="false">CALC!C49</f>
        <v>Finance and Insurance</v>
      </c>
      <c r="C18" s="3" t="n">
        <v>23300</v>
      </c>
      <c r="D18" s="3" t="n">
        <v>0</v>
      </c>
      <c r="E18" s="3" t="n">
        <v>0</v>
      </c>
      <c r="F18" s="3" t="n">
        <v>23300</v>
      </c>
      <c r="G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X18" s="3"/>
      <c r="AY18" s="3"/>
      <c r="AZ18" s="3"/>
      <c r="BA18" s="3"/>
      <c r="BB18" s="3"/>
      <c r="BC18" s="3"/>
      <c r="BD18" s="3"/>
      <c r="BE18" s="3"/>
      <c r="BF18" s="3"/>
      <c r="BG18" s="3"/>
      <c r="BH18" s="3"/>
      <c r="BI18" s="3"/>
    </row>
    <row r="19" customFormat="false" ht="12.8" hidden="false" customHeight="false" outlineLevel="0" collapsed="false">
      <c r="A19" s="46" t="str">
        <f aca="false">_xlfn.CONCAT($A$1, ".CALC.", CALC!A50)</f>
        <v>LSD.RID.0.AL.U6P.CALC.15</v>
      </c>
      <c r="B19" s="50" t="str">
        <f aca="false">CALC!C50</f>
        <v>Real Estate and Rental and Leasing</v>
      </c>
      <c r="C19" s="3" t="n">
        <v>11700</v>
      </c>
      <c r="D19" s="3" t="n">
        <v>56</v>
      </c>
      <c r="E19" s="3" t="n">
        <v>0</v>
      </c>
      <c r="F19" s="3" t="n">
        <v>11644</v>
      </c>
      <c r="G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X19" s="3"/>
      <c r="AY19" s="3"/>
      <c r="AZ19" s="3"/>
      <c r="BA19" s="3"/>
      <c r="BB19" s="3"/>
      <c r="BC19" s="3"/>
      <c r="BD19" s="3"/>
      <c r="BE19" s="3"/>
      <c r="BF19" s="3"/>
      <c r="BG19" s="3"/>
      <c r="BH19" s="3"/>
      <c r="BI19" s="3"/>
    </row>
    <row r="20" customFormat="false" ht="22.8" hidden="false" customHeight="false" outlineLevel="0" collapsed="false">
      <c r="A20" s="46" t="str">
        <f aca="false">_xlfn.CONCAT($A$1, ".CALC.", CALC!A51)</f>
        <v>LSD.RID.0.AL.U6P.CALC.16</v>
      </c>
      <c r="B20" s="50" t="str">
        <f aca="false">CALC!C51</f>
        <v>Professional, Scientific, and Technical Services</v>
      </c>
      <c r="C20" s="3" t="n">
        <v>35000</v>
      </c>
      <c r="D20" s="3" t="n">
        <v>0</v>
      </c>
      <c r="E20" s="3" t="n">
        <v>0</v>
      </c>
      <c r="F20" s="3" t="n">
        <v>35000</v>
      </c>
      <c r="G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X20" s="3"/>
      <c r="AY20" s="3"/>
      <c r="AZ20" s="3"/>
      <c r="BA20" s="3"/>
      <c r="BB20" s="3"/>
      <c r="BC20" s="3"/>
      <c r="BD20" s="3"/>
      <c r="BE20" s="3"/>
      <c r="BF20" s="3"/>
      <c r="BG20" s="3"/>
      <c r="BH20" s="3"/>
      <c r="BI20" s="3"/>
    </row>
    <row r="21" customFormat="false" ht="22.8" hidden="false" customHeight="false" outlineLevel="0" collapsed="false">
      <c r="A21" s="46" t="str">
        <f aca="false">_xlfn.CONCAT($A$1, ".CALC.", CALC!A52)</f>
        <v>LSD.RID.0.AL.U6P.CALC.17</v>
      </c>
      <c r="B21" s="50" t="str">
        <f aca="false">CALC!C52</f>
        <v>Administrative and Support and Waste Management and Remediation Services</v>
      </c>
      <c r="C21" s="3" t="n">
        <v>77000</v>
      </c>
      <c r="D21" s="3" t="n">
        <v>5576</v>
      </c>
      <c r="E21" s="3" t="n">
        <v>13640</v>
      </c>
      <c r="F21" s="3" t="n">
        <v>57784</v>
      </c>
      <c r="G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X21" s="3"/>
      <c r="AY21" s="3"/>
      <c r="AZ21" s="3"/>
      <c r="BA21" s="3"/>
      <c r="BB21" s="3"/>
      <c r="BC21" s="3"/>
      <c r="BD21" s="3"/>
      <c r="BE21" s="3"/>
      <c r="BF21" s="3"/>
      <c r="BG21" s="3"/>
      <c r="BH21" s="3"/>
      <c r="BI21" s="3"/>
    </row>
    <row r="22" customFormat="false" ht="12.8" hidden="false" customHeight="false" outlineLevel="0" collapsed="false">
      <c r="A22" s="46" t="str">
        <f aca="false">_xlfn.CONCAT($A$1, ".CALC.", CALC!A53)</f>
        <v>LSD.RID.0.AL.U6P.CALC.18</v>
      </c>
      <c r="B22" s="22" t="str">
        <f aca="false">CALC!C53</f>
        <v>Educational Services</v>
      </c>
      <c r="C22" s="3" t="n">
        <v>55800</v>
      </c>
      <c r="D22" s="3" t="n">
        <v>602</v>
      </c>
      <c r="E22" s="3" t="n">
        <v>3200</v>
      </c>
      <c r="F22" s="3" t="n">
        <v>51998</v>
      </c>
      <c r="G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X22" s="3"/>
      <c r="AY22" s="3"/>
      <c r="AZ22" s="3"/>
      <c r="BA22" s="3"/>
      <c r="BB22" s="3"/>
      <c r="BC22" s="3"/>
      <c r="BD22" s="3"/>
      <c r="BE22" s="3"/>
      <c r="BF22" s="3"/>
      <c r="BG22" s="3"/>
      <c r="BH22" s="3"/>
      <c r="BI22" s="3"/>
    </row>
    <row r="23" customFormat="false" ht="12.8" hidden="false" customHeight="false" outlineLevel="0" collapsed="false">
      <c r="A23" s="46" t="str">
        <f aca="false">_xlfn.CONCAT($A$1, ".CALC.", CALC!A54)</f>
        <v>LSD.RID.0.AL.U6P.CALC.19</v>
      </c>
      <c r="B23" s="50" t="str">
        <f aca="false">CALC!C54</f>
        <v>Health Care and Social Assistance</v>
      </c>
      <c r="C23" s="3" t="n">
        <v>78500</v>
      </c>
      <c r="D23" s="3" t="n">
        <v>2016</v>
      </c>
      <c r="E23" s="3" t="n">
        <v>3296</v>
      </c>
      <c r="F23" s="3" t="n">
        <v>73288</v>
      </c>
      <c r="G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X23" s="3"/>
      <c r="AY23" s="3"/>
      <c r="AZ23" s="3"/>
      <c r="BA23" s="3"/>
      <c r="BB23" s="3"/>
      <c r="BC23" s="3"/>
      <c r="BD23" s="3"/>
      <c r="BE23" s="3"/>
      <c r="BF23" s="3"/>
      <c r="BG23" s="3"/>
      <c r="BH23" s="3"/>
      <c r="BI23" s="3"/>
    </row>
    <row r="24" customFormat="false" ht="12.8" hidden="false" customHeight="false" outlineLevel="0" collapsed="false">
      <c r="A24" s="46" t="str">
        <f aca="false">_xlfn.CONCAT($A$1, ".CALC.", CALC!A55)</f>
        <v>LSD.RID.0.AL.U6P.CALC.20</v>
      </c>
      <c r="B24" s="50" t="str">
        <f aca="false">CALC!C55</f>
        <v>Arts, Entertainment,and Recreation</v>
      </c>
      <c r="C24" s="3" t="n">
        <v>11000</v>
      </c>
      <c r="D24" s="3" t="n">
        <v>56</v>
      </c>
      <c r="E24" s="3" t="n">
        <v>0</v>
      </c>
      <c r="F24" s="3" t="n">
        <v>10944</v>
      </c>
      <c r="G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X24" s="3"/>
      <c r="AY24" s="3"/>
      <c r="AZ24" s="3"/>
      <c r="BA24" s="3"/>
      <c r="BB24" s="3"/>
      <c r="BC24" s="3"/>
      <c r="BD24" s="3"/>
      <c r="BE24" s="3"/>
      <c r="BF24" s="3"/>
      <c r="BG24" s="3"/>
      <c r="BH24" s="3"/>
      <c r="BI24" s="3"/>
    </row>
    <row r="25" customFormat="false" ht="12.8" hidden="false" customHeight="false" outlineLevel="0" collapsed="false">
      <c r="A25" s="46" t="str">
        <f aca="false">_xlfn.CONCAT($A$1, ".CALC.", CALC!A56)</f>
        <v>LSD.RID.0.AL.U6P.CALC.21</v>
      </c>
      <c r="B25" s="50" t="str">
        <f aca="false">CALC!C56</f>
        <v>Accommodation and Food Services</v>
      </c>
      <c r="C25" s="3" t="n">
        <v>87000</v>
      </c>
      <c r="D25" s="3" t="n">
        <v>486</v>
      </c>
      <c r="E25" s="3" t="n">
        <v>10314</v>
      </c>
      <c r="F25" s="3" t="n">
        <v>76200</v>
      </c>
      <c r="G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X25" s="3"/>
      <c r="AY25" s="3"/>
      <c r="AZ25" s="3"/>
      <c r="BA25" s="3"/>
      <c r="BB25" s="3"/>
      <c r="BC25" s="3"/>
      <c r="BD25" s="3"/>
      <c r="BE25" s="3"/>
      <c r="BF25" s="3"/>
      <c r="BG25" s="3"/>
      <c r="BH25" s="3"/>
      <c r="BI25" s="3"/>
    </row>
    <row r="26" customFormat="false" ht="22.8" hidden="false" customHeight="false" outlineLevel="0" collapsed="false">
      <c r="A26" s="46" t="str">
        <f aca="false">_xlfn.CONCAT($A$1, ".CALC.", CALC!A57)</f>
        <v>LSD.RID.0.AL.U6P.CALC.22</v>
      </c>
      <c r="B26" s="50" t="str">
        <f aca="false">CALC!C57</f>
        <v>Other Services (except Public Administration)</v>
      </c>
      <c r="C26" s="3" t="n">
        <v>23800</v>
      </c>
      <c r="D26" s="3" t="n">
        <v>496</v>
      </c>
      <c r="E26" s="3" t="n">
        <v>3620</v>
      </c>
      <c r="F26" s="3" t="n">
        <v>19684</v>
      </c>
      <c r="G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X26" s="3"/>
      <c r="AY26" s="3"/>
      <c r="AZ26" s="3"/>
      <c r="BA26" s="3"/>
      <c r="BB26" s="3"/>
      <c r="BC26" s="3"/>
      <c r="BD26" s="3"/>
      <c r="BE26" s="3"/>
      <c r="BF26" s="3"/>
      <c r="BG26" s="3"/>
      <c r="BH26" s="3"/>
      <c r="BI26" s="3"/>
    </row>
    <row r="27" customFormat="false" ht="12.8" hidden="false" customHeight="false" outlineLevel="0" collapsed="false">
      <c r="A27" s="46" t="str">
        <f aca="false">_xlfn.CONCAT($A$1, ".CALC.", CALC!A58)</f>
        <v>LSD.RID.0.AL.U6P.CALC.23</v>
      </c>
      <c r="B27" s="22" t="str">
        <f aca="false">CALC!C58</f>
        <v>Public Administration</v>
      </c>
      <c r="C27" s="3" t="n">
        <v>45800</v>
      </c>
      <c r="D27" s="3" t="n">
        <v>632</v>
      </c>
      <c r="E27" s="3" t="n">
        <v>1772</v>
      </c>
      <c r="F27" s="3" t="n">
        <v>43396</v>
      </c>
      <c r="G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X27" s="3"/>
      <c r="AY27" s="3"/>
      <c r="AZ27" s="3"/>
      <c r="BA27" s="3"/>
      <c r="BB27" s="3"/>
      <c r="BC27" s="3"/>
      <c r="BD27" s="3"/>
      <c r="BE27" s="3"/>
      <c r="BF27" s="3"/>
      <c r="BG27" s="3"/>
      <c r="BH27" s="3"/>
      <c r="BI27" s="3"/>
    </row>
    <row r="29" customFormat="false" ht="12.8" hidden="false" customHeight="false" outlineLevel="0" collapsed="false">
      <c r="A29" s="14" t="s">
        <v>2259</v>
      </c>
      <c r="B29" s="12" t="s">
        <v>2260</v>
      </c>
    </row>
    <row r="30" customFormat="false" ht="12.8" hidden="false" customHeight="false" outlineLevel="0" collapsed="false">
      <c r="A30" s="14" t="s">
        <v>93</v>
      </c>
      <c r="B30" s="20" t="s">
        <v>1801</v>
      </c>
      <c r="C30" s="18" t="s">
        <v>283</v>
      </c>
      <c r="D30" s="18" t="s">
        <v>2056</v>
      </c>
      <c r="E30" s="18" t="s">
        <v>286</v>
      </c>
      <c r="F30" s="18" t="s">
        <v>287</v>
      </c>
    </row>
    <row r="31" customFormat="false" ht="12.8" hidden="false" customHeight="false" outlineLevel="0" collapsed="false">
      <c r="A31" s="17" t="s">
        <v>2261</v>
      </c>
      <c r="B31" s="20" t="s">
        <v>2262</v>
      </c>
      <c r="C31" s="18" t="s">
        <v>2263</v>
      </c>
      <c r="D31" s="18" t="s">
        <v>2264</v>
      </c>
      <c r="E31" s="18" t="s">
        <v>2265</v>
      </c>
      <c r="F31" s="18" t="s">
        <v>417</v>
      </c>
    </row>
    <row r="32" customFormat="false" ht="12.8" hidden="false" customHeight="false" outlineLevel="0" collapsed="false">
      <c r="A32" s="17" t="s">
        <v>2266</v>
      </c>
      <c r="B32" s="20" t="s">
        <v>2262</v>
      </c>
      <c r="C32" s="18" t="s">
        <v>2063</v>
      </c>
      <c r="D32" s="18" t="s">
        <v>2267</v>
      </c>
      <c r="E32" s="18" t="s">
        <v>2064</v>
      </c>
      <c r="F32" s="18" t="s">
        <v>417</v>
      </c>
    </row>
    <row r="33" customFormat="false" ht="12.8" hidden="false" customHeight="false" outlineLevel="0" collapsed="false">
      <c r="A33" s="17" t="s">
        <v>2268</v>
      </c>
      <c r="B33" s="20" t="s">
        <v>2262</v>
      </c>
      <c r="C33" s="18" t="s">
        <v>2066</v>
      </c>
      <c r="D33" s="18" t="s">
        <v>2269</v>
      </c>
      <c r="E33" s="18" t="s">
        <v>2270</v>
      </c>
      <c r="F33" s="18" t="s">
        <v>417</v>
      </c>
    </row>
    <row r="34" customFormat="false" ht="12.8" hidden="false" customHeight="false" outlineLevel="0" collapsed="false">
      <c r="A34" s="17" t="s">
        <v>2271</v>
      </c>
      <c r="B34" s="20" t="s">
        <v>2262</v>
      </c>
      <c r="C34" s="18" t="s">
        <v>2272</v>
      </c>
      <c r="D34" s="18" t="s">
        <v>2273</v>
      </c>
      <c r="E34" s="18" t="s">
        <v>422</v>
      </c>
      <c r="F34" s="18" t="s">
        <v>417</v>
      </c>
    </row>
    <row r="36" customFormat="false" ht="12.8" hidden="false" customHeight="false" outlineLevel="0" collapsed="false">
      <c r="A36" s="14" t="s">
        <v>2274</v>
      </c>
      <c r="B36" s="12" t="s">
        <v>2275</v>
      </c>
    </row>
    <row r="37" customFormat="false" ht="12.8" hidden="false" customHeight="false" outlineLevel="0" collapsed="false">
      <c r="A37" s="17" t="s">
        <v>97</v>
      </c>
      <c r="B37" s="20" t="s">
        <v>283</v>
      </c>
      <c r="C37" s="18" t="s">
        <v>2073</v>
      </c>
      <c r="D37" s="18" t="s">
        <v>286</v>
      </c>
      <c r="E37" s="18" t="s">
        <v>850</v>
      </c>
      <c r="F37" s="18" t="s">
        <v>851</v>
      </c>
      <c r="G37" s="18" t="s">
        <v>852</v>
      </c>
      <c r="H37" s="18" t="s">
        <v>287</v>
      </c>
    </row>
    <row r="38" customFormat="false" ht="12.8" hidden="false" customHeight="false" outlineLevel="0" collapsed="false">
      <c r="A38" s="17" t="s">
        <v>2276</v>
      </c>
      <c r="B38" s="20" t="s">
        <v>2277</v>
      </c>
      <c r="C38" s="18" t="n">
        <v>148000</v>
      </c>
      <c r="D38" s="18" t="s">
        <v>2278</v>
      </c>
      <c r="E38" s="18" t="s">
        <v>857</v>
      </c>
      <c r="F38" s="18" t="s">
        <v>2279</v>
      </c>
      <c r="G38" s="24" t="s">
        <v>859</v>
      </c>
      <c r="H38" s="18" t="s">
        <v>417</v>
      </c>
    </row>
    <row r="39" customFormat="false" ht="12.8" hidden="false" customHeight="false" outlineLevel="0" collapsed="false">
      <c r="A39" s="17" t="s">
        <v>2280</v>
      </c>
      <c r="B39" s="20" t="s">
        <v>2281</v>
      </c>
      <c r="C39" s="18" t="s">
        <v>2282</v>
      </c>
      <c r="D39" s="18" t="s">
        <v>2283</v>
      </c>
      <c r="E39" s="18" t="s">
        <v>2081</v>
      </c>
      <c r="F39" s="18" t="s">
        <v>2082</v>
      </c>
      <c r="G39" s="24" t="s">
        <v>859</v>
      </c>
      <c r="H39" s="18" t="s">
        <v>417</v>
      </c>
    </row>
    <row r="40" customFormat="false" ht="12.8" hidden="false" customHeight="false" outlineLevel="0" collapsed="false">
      <c r="A40" s="17" t="s">
        <v>2284</v>
      </c>
      <c r="B40" s="20" t="s">
        <v>2285</v>
      </c>
      <c r="C40" s="18" t="s">
        <v>2286</v>
      </c>
      <c r="D40" s="18" t="s">
        <v>2287</v>
      </c>
      <c r="E40" s="18" t="s">
        <v>2081</v>
      </c>
      <c r="F40" s="18" t="s">
        <v>2082</v>
      </c>
      <c r="G40" s="24" t="s">
        <v>859</v>
      </c>
      <c r="H40" s="18" t="s">
        <v>417</v>
      </c>
    </row>
    <row r="41" customFormat="false" ht="12.8" hidden="false" customHeight="false" outlineLevel="0" collapsed="false">
      <c r="A41" s="17" t="s">
        <v>2288</v>
      </c>
      <c r="B41" s="20" t="s">
        <v>1352</v>
      </c>
      <c r="C41" s="18" t="n">
        <v>1.15</v>
      </c>
      <c r="D41" s="18" t="s">
        <v>2289</v>
      </c>
      <c r="E41" s="18" t="s">
        <v>857</v>
      </c>
      <c r="F41" s="18" t="s">
        <v>2290</v>
      </c>
      <c r="G41" s="24" t="s">
        <v>859</v>
      </c>
      <c r="H41" s="18" t="s">
        <v>417</v>
      </c>
    </row>
    <row r="42" customFormat="false" ht="12.8" hidden="false" customHeight="false" outlineLevel="0" collapsed="false">
      <c r="A42" s="17" t="s">
        <v>2291</v>
      </c>
      <c r="B42" s="20" t="s">
        <v>2292</v>
      </c>
      <c r="C42" s="18" t="n">
        <v>0.8</v>
      </c>
      <c r="D42" s="18" t="s">
        <v>2293</v>
      </c>
      <c r="E42" s="18" t="s">
        <v>857</v>
      </c>
      <c r="F42" s="18" t="s">
        <v>2294</v>
      </c>
      <c r="G42" s="24" t="s">
        <v>859</v>
      </c>
      <c r="H42" s="18" t="s">
        <v>417</v>
      </c>
    </row>
    <row r="43" customFormat="false" ht="12.8" hidden="false" customHeight="false" outlineLevel="0" collapsed="false">
      <c r="A43" s="17" t="s">
        <v>2295</v>
      </c>
      <c r="B43" s="20" t="s">
        <v>1294</v>
      </c>
      <c r="C43" s="18" t="n">
        <v>5</v>
      </c>
      <c r="D43" s="18" t="s">
        <v>2296</v>
      </c>
      <c r="E43" s="18" t="s">
        <v>857</v>
      </c>
      <c r="F43" s="18" t="s">
        <v>2297</v>
      </c>
      <c r="G43" s="24" t="s">
        <v>859</v>
      </c>
      <c r="H43" s="18" t="s">
        <v>417</v>
      </c>
    </row>
    <row r="44" customFormat="false" ht="12.8" hidden="false" customHeight="false" outlineLevel="0" collapsed="false">
      <c r="A44" s="17" t="s">
        <v>2298</v>
      </c>
      <c r="B44" s="20" t="s">
        <v>2299</v>
      </c>
      <c r="C44" s="18" t="s">
        <v>2300</v>
      </c>
      <c r="D44" s="18" t="s">
        <v>2301</v>
      </c>
      <c r="E44" s="18" t="s">
        <v>2081</v>
      </c>
      <c r="F44" s="18" t="s">
        <v>2082</v>
      </c>
      <c r="G44" s="24" t="s">
        <v>859</v>
      </c>
      <c r="H44" s="18" t="s">
        <v>2158</v>
      </c>
      <c r="I44" s="18" t="s">
        <v>417</v>
      </c>
    </row>
    <row r="45" customFormat="false" ht="12.8" hidden="false" customHeight="false" outlineLevel="0" collapsed="false">
      <c r="A45" s="17" t="s">
        <v>2302</v>
      </c>
      <c r="B45" s="20" t="s">
        <v>2303</v>
      </c>
      <c r="C45" s="18" t="s">
        <v>2304</v>
      </c>
      <c r="D45" s="18" t="s">
        <v>2090</v>
      </c>
      <c r="E45" s="18" t="s">
        <v>2081</v>
      </c>
      <c r="F45" s="18" t="s">
        <v>2082</v>
      </c>
      <c r="G45" s="24" t="s">
        <v>859</v>
      </c>
      <c r="H45" s="18" t="s">
        <v>1072</v>
      </c>
      <c r="I45" s="18" t="s">
        <v>417</v>
      </c>
    </row>
    <row r="47" customFormat="false" ht="12.8" hidden="false" customHeight="false" outlineLevel="0" collapsed="false">
      <c r="A47" s="14" t="s">
        <v>2305</v>
      </c>
      <c r="B47" s="12" t="s">
        <v>2306</v>
      </c>
    </row>
    <row r="48" customFormat="false" ht="12.8" hidden="false" customHeight="false" outlineLevel="0" collapsed="false">
      <c r="A48" s="17" t="s">
        <v>101</v>
      </c>
      <c r="B48" s="20" t="s">
        <v>286</v>
      </c>
      <c r="C48" s="18" t="s">
        <v>849</v>
      </c>
      <c r="D48" s="18" t="s">
        <v>2093</v>
      </c>
      <c r="E48" s="18" t="s">
        <v>850</v>
      </c>
      <c r="F48" s="18" t="s">
        <v>2094</v>
      </c>
    </row>
    <row r="49" customFormat="false" ht="12.8" hidden="false" customHeight="false" outlineLevel="0" collapsed="false">
      <c r="A49" s="17" t="s">
        <v>2307</v>
      </c>
      <c r="B49" s="20" t="s">
        <v>1621</v>
      </c>
      <c r="C49" s="18" t="n">
        <v>148000</v>
      </c>
      <c r="D49" s="18" t="s">
        <v>2308</v>
      </c>
      <c r="E49" s="18" t="s">
        <v>857</v>
      </c>
      <c r="F49" s="18" t="s">
        <v>2309</v>
      </c>
    </row>
    <row r="50" customFormat="false" ht="12.8" hidden="false" customHeight="false" outlineLevel="0" collapsed="false">
      <c r="A50" s="17" t="s">
        <v>2310</v>
      </c>
      <c r="B50" s="20" t="s">
        <v>2099</v>
      </c>
      <c r="C50" s="18" t="s">
        <v>2311</v>
      </c>
      <c r="D50" s="18" t="s">
        <v>2312</v>
      </c>
      <c r="E50" s="18" t="s">
        <v>857</v>
      </c>
      <c r="F50" s="18" t="s">
        <v>2313</v>
      </c>
    </row>
    <row r="51" customFormat="false" ht="12.8" hidden="false" customHeight="false" outlineLevel="0" collapsed="false">
      <c r="A51" s="17" t="s">
        <v>2314</v>
      </c>
      <c r="B51" s="20" t="s">
        <v>2315</v>
      </c>
      <c r="C51" s="18" t="s">
        <v>2316</v>
      </c>
      <c r="D51" s="18" t="s">
        <v>2317</v>
      </c>
      <c r="E51" s="18" t="s">
        <v>857</v>
      </c>
      <c r="F51" s="18" t="s">
        <v>2107</v>
      </c>
    </row>
    <row r="52" customFormat="false" ht="12.8" hidden="false" customHeight="false" outlineLevel="0" collapsed="false">
      <c r="A52" s="17" t="s">
        <v>2318</v>
      </c>
      <c r="B52" s="20" t="s">
        <v>2109</v>
      </c>
      <c r="C52" s="18" t="s">
        <v>2319</v>
      </c>
      <c r="D52" s="18" t="s">
        <v>2320</v>
      </c>
      <c r="E52" s="18" t="s">
        <v>857</v>
      </c>
      <c r="F52" s="18" t="s">
        <v>2247</v>
      </c>
    </row>
    <row r="53" customFormat="false" ht="12.8" hidden="false" customHeight="false" outlineLevel="0" collapsed="false">
      <c r="A53" s="17" t="s">
        <v>2321</v>
      </c>
      <c r="B53" s="20" t="s">
        <v>2114</v>
      </c>
      <c r="C53" s="18" t="s">
        <v>2115</v>
      </c>
      <c r="D53" s="18" t="s">
        <v>2322</v>
      </c>
      <c r="E53" s="18" t="s">
        <v>857</v>
      </c>
      <c r="F53" s="18" t="s">
        <v>2250</v>
      </c>
    </row>
    <row r="54" customFormat="false" ht="12.8" hidden="false" customHeight="false" outlineLevel="0" collapsed="false">
      <c r="A54" s="17" t="s">
        <v>2323</v>
      </c>
      <c r="B54" s="20" t="s">
        <v>2119</v>
      </c>
      <c r="C54" s="18" t="s">
        <v>2120</v>
      </c>
      <c r="D54" s="18" t="s">
        <v>2324</v>
      </c>
      <c r="E54" s="18" t="s">
        <v>857</v>
      </c>
      <c r="F54" s="18" t="s">
        <v>2122</v>
      </c>
    </row>
    <row r="55" customFormat="false" ht="12.8" hidden="false" customHeight="false" outlineLevel="0" collapsed="false">
      <c r="A55" s="17" t="s">
        <v>2325</v>
      </c>
      <c r="B55" s="20" t="s">
        <v>2326</v>
      </c>
      <c r="C55" s="18" t="s">
        <v>2327</v>
      </c>
      <c r="D55" s="18" t="s">
        <v>2328</v>
      </c>
      <c r="E55" s="18" t="s">
        <v>857</v>
      </c>
      <c r="F55" s="18" t="s">
        <v>2256</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U53"/>
  <sheetViews>
    <sheetView showFormulas="false" showGridLines="true" showRowColHeaders="true" showZeros="true" rightToLeft="false" tabSelected="false" showOutlineSymbols="true" defaultGridColor="true" view="normal" topLeftCell="A3"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true" hidden="false" outlineLevel="0" max="1" min="1" style="17" width="23.07"/>
    <col collapsed="false" customWidth="true" hidden="false" outlineLevel="0" max="2" min="2" style="18" width="27.68"/>
    <col collapsed="false" customWidth="true" hidden="false" outlineLevel="0" max="3" min="3" style="18" width="21.47"/>
    <col collapsed="false" customWidth="true" hidden="false" outlineLevel="0" max="26" min="4" style="18" width="16.84"/>
    <col collapsed="false" customWidth="true" hidden="false" outlineLevel="0" max="40" min="27" style="18" width="17.78"/>
    <col collapsed="false" customWidth="true" hidden="false" outlineLevel="0" max="43" min="41" style="18" width="15.48"/>
    <col collapsed="false" customWidth="false" hidden="false" outlineLevel="0" max="47" min="44" style="3" width="11.53"/>
    <col collapsed="false" customWidth="true" hidden="false" outlineLevel="0" max="48" min="48" style="18" width="18.45"/>
    <col collapsed="false" customWidth="true" hidden="false" outlineLevel="0" max="51" min="49" style="18" width="16.14"/>
    <col collapsed="false" customWidth="true" hidden="false" outlineLevel="0" max="59" min="52" style="18" width="13.84"/>
    <col collapsed="false" customWidth="false" hidden="false" outlineLevel="0" max="16384" min="68" style="3" width="11.53"/>
  </cols>
  <sheetData>
    <row r="1" customFormat="false" ht="12.9" hidden="false" customHeight="false" outlineLevel="0" collapsed="false">
      <c r="A1" s="14" t="s">
        <v>59</v>
      </c>
      <c r="B1" s="22" t="s">
        <v>2329</v>
      </c>
      <c r="C1" s="6" t="s">
        <v>2</v>
      </c>
      <c r="D1" s="22" t="s">
        <v>2330</v>
      </c>
      <c r="E1" s="48" t="s">
        <v>2331</v>
      </c>
      <c r="AR1" s="18"/>
      <c r="AS1" s="18"/>
      <c r="AT1" s="18"/>
      <c r="AU1" s="18"/>
    </row>
    <row r="2" customFormat="false" ht="12.8" hidden="false" customHeight="false" outlineLevel="0" collapsed="false">
      <c r="A2" s="46" t="str">
        <f aca="false">_xlfn.CONCAT($A$1, ".", "CALC")</f>
        <v>LSD.RID.0.AL.LFPR.CALC</v>
      </c>
      <c r="B2" s="47" t="str">
        <f aca="false">_xlfn.CONCAT($B$1, " ", "Calculations")</f>
        <v>Alabama Labor Force Participation Rate (LFPR) Calculations</v>
      </c>
      <c r="C2" s="3"/>
      <c r="D2" s="3"/>
      <c r="E2" s="3"/>
      <c r="F2" s="3"/>
    </row>
    <row r="3" s="3" customFormat="true" ht="12.8" hidden="false" customHeight="false" outlineLevel="0" collapsed="false">
      <c r="A3" s="46" t="str">
        <f aca="false">CALC!A34</f>
        <v>LSID</v>
      </c>
      <c r="B3" s="22" t="str">
        <f aca="false">CALC!C34</f>
        <v>Labor Sector</v>
      </c>
      <c r="C3" s="54" t="str">
        <f aca="false">CALC!D34</f>
        <v>Overall LFPR</v>
      </c>
      <c r="D3" s="54" t="str">
        <f aca="false">CALC!E34</f>
        <v>Authorized LFPR</v>
      </c>
      <c r="E3" s="54" t="str">
        <f aca="false">CALC!F34</f>
        <v>Unauthorized LFPR</v>
      </c>
      <c r="F3" s="54" t="str">
        <f aca="false">CALC!G34</f>
        <v>American LFPR</v>
      </c>
      <c r="G3" s="18"/>
      <c r="H3" s="18"/>
    </row>
    <row r="4" s="3" customFormat="true" ht="12.8" hidden="false" customHeight="false" outlineLevel="0" collapsed="false">
      <c r="A4" s="46" t="str">
        <f aca="false">_xlfn.CONCAT($A$1, ".CALC.", CALC!A35)</f>
        <v>LSD.RID.0.AL.LFPR.CALC.0</v>
      </c>
      <c r="B4" s="22" t="str">
        <f aca="false">CALC!C35</f>
        <v>All Industries</v>
      </c>
      <c r="C4" s="18" t="n">
        <v>0.577</v>
      </c>
      <c r="D4" s="18" t="n">
        <v>0.41</v>
      </c>
      <c r="E4" s="18" t="n">
        <v>0.61</v>
      </c>
      <c r="F4" s="18" t="n">
        <v>0.583</v>
      </c>
      <c r="G4" s="18"/>
      <c r="H4" s="18"/>
    </row>
    <row r="5" s="3" customFormat="true" ht="22.8" hidden="false" customHeight="false" outlineLevel="0" collapsed="false">
      <c r="A5" s="46" t="str">
        <f aca="false">_xlfn.CONCAT($A$1, ".CALC.", CALC!A36)</f>
        <v>LSD.RID.0.AL.LFPR.CALC.1</v>
      </c>
      <c r="B5" s="50" t="str">
        <f aca="false">CALC!C36</f>
        <v>Agriculture, Forestry, Fishing and Hunting</v>
      </c>
      <c r="C5" s="18" t="n">
        <v>0.545</v>
      </c>
      <c r="D5" s="18" t="n">
        <v>0.4</v>
      </c>
      <c r="E5" s="18" t="n">
        <v>0.7</v>
      </c>
      <c r="F5" s="18" t="n">
        <v>0.545</v>
      </c>
      <c r="G5" s="18"/>
      <c r="H5" s="18"/>
    </row>
    <row r="6" s="3" customFormat="true" ht="22.8" hidden="false" customHeight="false" outlineLevel="0" collapsed="false">
      <c r="A6" s="46" t="str">
        <f aca="false">_xlfn.CONCAT($A$1, ".CALC.", CALC!A37)</f>
        <v>LSD.RID.0.AL.LFPR.CALC.2</v>
      </c>
      <c r="B6" s="50" t="str">
        <f aca="false">CALC!C37</f>
        <v>Mining, Quarrying, and Oil and Gas Extraction</v>
      </c>
      <c r="C6" s="18" t="n">
        <v>0.585</v>
      </c>
      <c r="D6" s="18" t="n">
        <v>0.415</v>
      </c>
      <c r="E6" s="18" t="n">
        <v>0.65</v>
      </c>
      <c r="F6" s="18" t="n">
        <v>0.585</v>
      </c>
      <c r="G6" s="18"/>
      <c r="H6" s="18"/>
    </row>
    <row r="7" s="3" customFormat="true" ht="12.8" hidden="false" customHeight="false" outlineLevel="0" collapsed="false">
      <c r="A7" s="46" t="str">
        <f aca="false">_xlfn.CONCAT($A$1, ".CALC.", CALC!A38)</f>
        <v>LSD.RID.0.AL.LFPR.CALC.3</v>
      </c>
      <c r="B7" s="22" t="str">
        <f aca="false">CALC!C38</f>
        <v>Utilities</v>
      </c>
      <c r="C7" s="18" t="n">
        <v>0.575</v>
      </c>
      <c r="D7" s="18" t="n">
        <v>0.41</v>
      </c>
      <c r="E7" s="18" t="n">
        <v>0.62</v>
      </c>
      <c r="F7" s="18" t="n">
        <v>0.575</v>
      </c>
      <c r="G7" s="18"/>
      <c r="H7" s="18"/>
    </row>
    <row r="8" s="3" customFormat="true" ht="12.8" hidden="false" customHeight="false" outlineLevel="0" collapsed="false">
      <c r="A8" s="46" t="str">
        <f aca="false">_xlfn.CONCAT($A$1, ".CALC.", CALC!A39)</f>
        <v>LSD.RID.0.AL.LFPR.CALC.4</v>
      </c>
      <c r="B8" s="22" t="str">
        <f aca="false">CALC!C39</f>
        <v>Construction</v>
      </c>
      <c r="C8" s="18" t="n">
        <v>0.565</v>
      </c>
      <c r="D8" s="18" t="n">
        <v>0.405</v>
      </c>
      <c r="E8" s="18" t="n">
        <v>0.67</v>
      </c>
      <c r="F8" s="18" t="n">
        <v>0.565</v>
      </c>
      <c r="G8" s="18"/>
      <c r="H8" s="18"/>
    </row>
    <row r="9" s="3" customFormat="true" ht="22.8" hidden="false" customHeight="false" outlineLevel="0" collapsed="false">
      <c r="A9" s="46" t="str">
        <f aca="false">_xlfn.CONCAT($A$1, ".CALC.", CALC!A40)</f>
        <v>LSD.RID.0.AL.LFPR.CALC.5</v>
      </c>
      <c r="B9" s="50" t="str">
        <f aca="false">CALC!C40</f>
        <v>Manufacturing (Food,Textile, etc.)</v>
      </c>
      <c r="C9" s="18" t="n">
        <v>0.57</v>
      </c>
      <c r="D9" s="18" t="n">
        <v>0.405</v>
      </c>
      <c r="E9" s="18" t="n">
        <v>0.66</v>
      </c>
      <c r="F9" s="18" t="n">
        <v>0.57</v>
      </c>
      <c r="G9" s="18"/>
      <c r="H9" s="18"/>
    </row>
    <row r="10" s="3" customFormat="true" ht="22.8" hidden="false" customHeight="false" outlineLevel="0" collapsed="false">
      <c r="A10" s="46" t="str">
        <f aca="false">_xlfn.CONCAT($A$1, ".CALC.", CALC!A41)</f>
        <v>LSD.RID.0.AL.LFPR.CALC.6</v>
      </c>
      <c r="B10" s="50" t="str">
        <f aca="false">CALC!C41</f>
        <v>Manufacturing (Wood, Paper, Printing, etc.)</v>
      </c>
      <c r="C10" s="18" t="n">
        <v>0.56</v>
      </c>
      <c r="D10" s="18" t="n">
        <v>0.4</v>
      </c>
      <c r="E10" s="18" t="n">
        <v>0.65</v>
      </c>
      <c r="F10" s="18" t="n">
        <v>0.56</v>
      </c>
      <c r="G10" s="18"/>
      <c r="H10" s="18"/>
    </row>
    <row r="11" s="3" customFormat="true" ht="22.8" hidden="false" customHeight="false" outlineLevel="0" collapsed="false">
      <c r="A11" s="46" t="str">
        <f aca="false">_xlfn.CONCAT($A$1, ".CALC.", CALC!A42)</f>
        <v>LSD.RID.0.AL.LFPR.CALC.7</v>
      </c>
      <c r="B11" s="50" t="str">
        <f aca="false">CALC!C42</f>
        <v>Manufacturing (Machinery, Transport)</v>
      </c>
      <c r="C11" s="18" t="n">
        <v>0.58</v>
      </c>
      <c r="D11" s="18" t="n">
        <v>0.415</v>
      </c>
      <c r="E11" s="18" t="n">
        <v>0.68</v>
      </c>
      <c r="F11" s="18" t="n">
        <v>0.58</v>
      </c>
      <c r="G11" s="18"/>
      <c r="H11" s="18"/>
    </row>
    <row r="12" s="3" customFormat="true" ht="12.8" hidden="false" customHeight="false" outlineLevel="0" collapsed="false">
      <c r="A12" s="46" t="str">
        <f aca="false">_xlfn.CONCAT($A$1, ".CALC.", CALC!A43)</f>
        <v>LSD.RID.0.AL.LFPR.CALC.8</v>
      </c>
      <c r="B12" s="22" t="str">
        <f aca="false">CALC!C43</f>
        <v>Wholesale Trade</v>
      </c>
      <c r="C12" s="18" t="n">
        <v>0.55</v>
      </c>
      <c r="D12" s="18" t="n">
        <v>0.395</v>
      </c>
      <c r="E12" s="18" t="n">
        <v>0.64</v>
      </c>
      <c r="F12" s="18" t="n">
        <v>0.55</v>
      </c>
      <c r="G12" s="18"/>
      <c r="H12" s="18"/>
    </row>
    <row r="13" s="3" customFormat="true" ht="22.8" hidden="false" customHeight="false" outlineLevel="0" collapsed="false">
      <c r="A13" s="46" t="str">
        <f aca="false">_xlfn.CONCAT($A$1, ".CALC.", CALC!A44)</f>
        <v>LSD.RID.0.AL.LFPR.CALC.9</v>
      </c>
      <c r="B13" s="50" t="str">
        <f aca="false">CALC!C44</f>
        <v>Retail Trade (Motor Vehicle, Electronics)</v>
      </c>
      <c r="C13" s="18" t="n">
        <v>0.54</v>
      </c>
      <c r="D13" s="18" t="n">
        <v>0.39</v>
      </c>
      <c r="E13" s="18" t="n">
        <v>0.63</v>
      </c>
      <c r="F13" s="18" t="n">
        <v>0.54</v>
      </c>
      <c r="G13" s="18"/>
      <c r="H13" s="18"/>
    </row>
    <row r="14" s="3" customFormat="true" ht="22.8" hidden="false" customHeight="false" outlineLevel="0" collapsed="false">
      <c r="A14" s="46" t="str">
        <f aca="false">_xlfn.CONCAT($A$1, ".CALC.", CALC!A45)</f>
        <v>LSD.RID.0.AL.LFPR.CALC.10</v>
      </c>
      <c r="B14" s="50" t="str">
        <f aca="false">CALC!C45</f>
        <v>Retail Trade (Food, Clothing, General Merchandise, etc.)</v>
      </c>
      <c r="C14" s="18" t="n">
        <v>0.58</v>
      </c>
      <c r="D14" s="18" t="n">
        <v>0.415</v>
      </c>
      <c r="E14" s="18" t="n">
        <v>0.68</v>
      </c>
      <c r="F14" s="18" t="n">
        <v>0.58</v>
      </c>
      <c r="G14" s="18"/>
      <c r="H14" s="18"/>
    </row>
    <row r="15" s="3" customFormat="true" ht="12.8" hidden="false" customHeight="false" outlineLevel="0" collapsed="false">
      <c r="A15" s="46" t="str">
        <f aca="false">_xlfn.CONCAT($A$1, ".CALC.", CALC!A46)</f>
        <v>LSD.RID.0.AL.LFPR.CALC.11</v>
      </c>
      <c r="B15" s="22" t="str">
        <f aca="false">CALC!C46</f>
        <v>Transportation</v>
      </c>
      <c r="C15" s="18" t="n">
        <v>0.57</v>
      </c>
      <c r="D15" s="18" t="n">
        <v>0.41</v>
      </c>
      <c r="E15" s="18" t="n">
        <v>0.67</v>
      </c>
      <c r="F15" s="18" t="n">
        <v>0.57</v>
      </c>
      <c r="G15" s="18"/>
      <c r="H15" s="18"/>
    </row>
    <row r="16" s="3" customFormat="true" ht="12.8" hidden="false" customHeight="false" outlineLevel="0" collapsed="false">
      <c r="A16" s="46" t="str">
        <f aca="false">_xlfn.CONCAT($A$1, ".CALC.", CALC!A47)</f>
        <v>LSD.RID.0.AL.LFPR.CALC.12</v>
      </c>
      <c r="B16" s="22" t="str">
        <f aca="false">CALC!C47</f>
        <v>Warehousing and Storage</v>
      </c>
      <c r="C16" s="18" t="n">
        <v>0.56</v>
      </c>
      <c r="D16" s="18" t="n">
        <v>0.4</v>
      </c>
      <c r="E16" s="18" t="n">
        <v>0.66</v>
      </c>
      <c r="F16" s="18" t="n">
        <v>0.56</v>
      </c>
      <c r="G16" s="18"/>
      <c r="H16" s="18"/>
    </row>
    <row r="17" s="3" customFormat="true" ht="12.8" hidden="false" customHeight="false" outlineLevel="0" collapsed="false">
      <c r="A17" s="46" t="str">
        <f aca="false">_xlfn.CONCAT($A$1, ".CALC.", CALC!A48)</f>
        <v>LSD.RID.0.AL.LFPR.CALC.13</v>
      </c>
      <c r="B17" s="22" t="str">
        <f aca="false">CALC!C48</f>
        <v>Information</v>
      </c>
      <c r="C17" s="18" t="n">
        <v>0.55</v>
      </c>
      <c r="D17" s="18" t="n">
        <v>0.395</v>
      </c>
      <c r="E17" s="18" t="n">
        <v>0.64</v>
      </c>
      <c r="F17" s="18" t="n">
        <v>0.55</v>
      </c>
      <c r="G17" s="18"/>
      <c r="H17" s="18"/>
    </row>
    <row r="18" s="3" customFormat="true" ht="12.8" hidden="false" customHeight="false" outlineLevel="0" collapsed="false">
      <c r="A18" s="46" t="str">
        <f aca="false">_xlfn.CONCAT($A$1, ".CALC.", CALC!A49)</f>
        <v>LSD.RID.0.AL.LFPR.CALC.14</v>
      </c>
      <c r="B18" s="22" t="str">
        <f aca="false">CALC!C49</f>
        <v>Finance and Insurance</v>
      </c>
      <c r="C18" s="18" t="n">
        <v>0.59</v>
      </c>
      <c r="D18" s="18" t="n">
        <v>0.42</v>
      </c>
      <c r="E18" s="18" t="n">
        <v>0.69</v>
      </c>
      <c r="F18" s="18" t="n">
        <v>0.59</v>
      </c>
      <c r="G18" s="18"/>
      <c r="H18" s="18"/>
    </row>
    <row r="19" s="3" customFormat="true" ht="22.8" hidden="false" customHeight="false" outlineLevel="0" collapsed="false">
      <c r="A19" s="46" t="str">
        <f aca="false">_xlfn.CONCAT($A$1, ".CALC.", CALC!A50)</f>
        <v>LSD.RID.0.AL.LFPR.CALC.15</v>
      </c>
      <c r="B19" s="50" t="str">
        <f aca="false">CALC!C50</f>
        <v>Real Estate and Rental and Leasing</v>
      </c>
      <c r="C19" s="18" t="n">
        <v>0.58</v>
      </c>
      <c r="D19" s="18" t="n">
        <v>0.415</v>
      </c>
      <c r="E19" s="18" t="n">
        <v>0.68</v>
      </c>
      <c r="F19" s="18" t="n">
        <v>0.58</v>
      </c>
      <c r="G19" s="18"/>
      <c r="H19" s="18"/>
    </row>
    <row r="20" s="3" customFormat="true" ht="22.8" hidden="false" customHeight="false" outlineLevel="0" collapsed="false">
      <c r="A20" s="46" t="str">
        <f aca="false">_xlfn.CONCAT($A$1, ".CALC.", CALC!A51)</f>
        <v>LSD.RID.0.AL.LFPR.CALC.16</v>
      </c>
      <c r="B20" s="50" t="str">
        <f aca="false">CALC!C51</f>
        <v>Professional, Scientific, and Technical Services</v>
      </c>
      <c r="C20" s="18" t="n">
        <v>0.6</v>
      </c>
      <c r="D20" s="18" t="n">
        <v>0.43</v>
      </c>
      <c r="E20" s="18" t="n">
        <v>0.7</v>
      </c>
      <c r="F20" s="18" t="n">
        <v>0.6</v>
      </c>
      <c r="G20" s="18"/>
      <c r="H20" s="18"/>
    </row>
    <row r="21" s="3" customFormat="true" ht="33.35" hidden="false" customHeight="false" outlineLevel="0" collapsed="false">
      <c r="A21" s="46" t="str">
        <f aca="false">_xlfn.CONCAT($A$1, ".CALC.", CALC!A52)</f>
        <v>LSD.RID.0.AL.LFPR.CALC.17</v>
      </c>
      <c r="B21" s="50" t="str">
        <f aca="false">CALC!C52</f>
        <v>Administrative and Support and Waste Management and Remediation Services</v>
      </c>
      <c r="C21" s="18" t="n">
        <v>0.56</v>
      </c>
      <c r="D21" s="18" t="n">
        <v>0.4</v>
      </c>
      <c r="E21" s="18" t="n">
        <v>0.66</v>
      </c>
      <c r="F21" s="18" t="n">
        <v>0.56</v>
      </c>
      <c r="G21" s="18"/>
      <c r="H21" s="18"/>
    </row>
    <row r="22" s="3" customFormat="true" ht="12.8" hidden="false" customHeight="false" outlineLevel="0" collapsed="false">
      <c r="A22" s="46" t="str">
        <f aca="false">_xlfn.CONCAT($A$1, ".CALC.", CALC!A53)</f>
        <v>LSD.RID.0.AL.LFPR.CALC.18</v>
      </c>
      <c r="B22" s="22" t="str">
        <f aca="false">CALC!C53</f>
        <v>Educational Services</v>
      </c>
      <c r="C22" s="18" t="n">
        <v>0.59</v>
      </c>
      <c r="D22" s="18" t="n">
        <v>0.42</v>
      </c>
      <c r="E22" s="18" t="n">
        <v>0.69</v>
      </c>
      <c r="F22" s="18" t="n">
        <v>0.59</v>
      </c>
      <c r="G22" s="18"/>
      <c r="H22" s="18"/>
    </row>
    <row r="23" s="3" customFormat="true" ht="22.8" hidden="false" customHeight="false" outlineLevel="0" collapsed="false">
      <c r="A23" s="46" t="str">
        <f aca="false">_xlfn.CONCAT($A$1, ".CALC.", CALC!A54)</f>
        <v>LSD.RID.0.AL.LFPR.CALC.19</v>
      </c>
      <c r="B23" s="50" t="str">
        <f aca="false">CALC!C54</f>
        <v>Health Care and Social Assistance</v>
      </c>
      <c r="C23" s="18" t="n">
        <v>0.61</v>
      </c>
      <c r="D23" s="18" t="n">
        <v>0.435</v>
      </c>
      <c r="E23" s="18" t="n">
        <v>0.71</v>
      </c>
      <c r="F23" s="18" t="n">
        <v>0.61</v>
      </c>
      <c r="G23" s="18"/>
      <c r="H23" s="18"/>
    </row>
    <row r="24" s="3" customFormat="true" ht="22.8" hidden="false" customHeight="false" outlineLevel="0" collapsed="false">
      <c r="A24" s="46" t="str">
        <f aca="false">_xlfn.CONCAT($A$1, ".CALC.", CALC!A55)</f>
        <v>LSD.RID.0.AL.LFPR.CALC.20</v>
      </c>
      <c r="B24" s="50" t="str">
        <f aca="false">CALC!C55</f>
        <v>Arts, Entertainment,and Recreation</v>
      </c>
      <c r="C24" s="18" t="n">
        <v>0.58</v>
      </c>
      <c r="D24" s="18" t="n">
        <v>0.415</v>
      </c>
      <c r="E24" s="18" t="n">
        <v>0.68</v>
      </c>
      <c r="F24" s="18" t="n">
        <v>0.58</v>
      </c>
      <c r="G24" s="18"/>
      <c r="H24" s="18"/>
    </row>
    <row r="25" s="3" customFormat="true" ht="22.8" hidden="false" customHeight="false" outlineLevel="0" collapsed="false">
      <c r="A25" s="46" t="str">
        <f aca="false">_xlfn.CONCAT($A$1, ".CALC.", CALC!A56)</f>
        <v>LSD.RID.0.AL.LFPR.CALC.21</v>
      </c>
      <c r="B25" s="50" t="str">
        <f aca="false">CALC!C56</f>
        <v>Accommodation and Food Services</v>
      </c>
      <c r="C25" s="18" t="n">
        <v>0.57</v>
      </c>
      <c r="D25" s="18" t="n">
        <v>0.41</v>
      </c>
      <c r="E25" s="18" t="n">
        <v>0.67</v>
      </c>
      <c r="F25" s="18" t="n">
        <v>0.57</v>
      </c>
      <c r="G25" s="18"/>
      <c r="H25" s="18"/>
    </row>
    <row r="26" s="3" customFormat="true" ht="22.8" hidden="false" customHeight="false" outlineLevel="0" collapsed="false">
      <c r="A26" s="46" t="str">
        <f aca="false">_xlfn.CONCAT($A$1, ".CALC.", CALC!A57)</f>
        <v>LSD.RID.0.AL.LFPR.CALC.22</v>
      </c>
      <c r="B26" s="50" t="str">
        <f aca="false">CALC!C57</f>
        <v>Other Services (except Public Administration)</v>
      </c>
      <c r="C26" s="18" t="n">
        <v>0.56</v>
      </c>
      <c r="D26" s="18" t="n">
        <v>0.4</v>
      </c>
      <c r="E26" s="18" t="n">
        <v>0.66</v>
      </c>
      <c r="F26" s="18" t="n">
        <v>0.56</v>
      </c>
      <c r="G26" s="18"/>
      <c r="H26" s="18"/>
    </row>
    <row r="27" s="3" customFormat="true" ht="12.8" hidden="false" customHeight="false" outlineLevel="0" collapsed="false">
      <c r="A27" s="46" t="str">
        <f aca="false">_xlfn.CONCAT($A$1, ".CALC.", CALC!A58)</f>
        <v>LSD.RID.0.AL.LFPR.CALC.23</v>
      </c>
      <c r="B27" s="22" t="str">
        <f aca="false">CALC!C58</f>
        <v>Public Administration</v>
      </c>
      <c r="C27" s="18" t="n">
        <v>0.62</v>
      </c>
      <c r="D27" s="18" t="n">
        <v>0.44</v>
      </c>
      <c r="E27" s="18" t="n">
        <v>0.72</v>
      </c>
      <c r="F27" s="18" t="n">
        <v>0.62</v>
      </c>
      <c r="G27" s="18"/>
      <c r="H27" s="18"/>
    </row>
    <row r="28" s="3" customFormat="true" ht="12.8" hidden="false" customHeight="false" outlineLevel="0" collapsed="false">
      <c r="A28" s="4"/>
      <c r="B28" s="49"/>
      <c r="C28" s="54"/>
      <c r="D28" s="54"/>
      <c r="E28" s="54"/>
      <c r="F28" s="54"/>
      <c r="G28" s="18"/>
      <c r="H28" s="18"/>
    </row>
    <row r="29" customFormat="false" ht="12.8" hidden="false" customHeight="false" outlineLevel="0" collapsed="false">
      <c r="A29" s="46" t="s">
        <v>2332</v>
      </c>
      <c r="B29" s="47" t="s">
        <v>2333</v>
      </c>
    </row>
    <row r="30" customFormat="false" ht="12.8" hidden="false" customHeight="false" outlineLevel="0" collapsed="false">
      <c r="A30" s="14" t="s">
        <v>93</v>
      </c>
      <c r="B30" s="49" t="s">
        <v>1801</v>
      </c>
      <c r="C30" s="49" t="s">
        <v>283</v>
      </c>
      <c r="D30" s="49" t="s">
        <v>2056</v>
      </c>
      <c r="E30" s="49" t="s">
        <v>286</v>
      </c>
      <c r="F30" s="49" t="s">
        <v>287</v>
      </c>
    </row>
    <row r="31" customFormat="false" ht="12.8" hidden="false" customHeight="false" outlineLevel="0" collapsed="false">
      <c r="A31" s="18" t="s">
        <v>2334</v>
      </c>
      <c r="B31" s="18" t="s">
        <v>2335</v>
      </c>
      <c r="C31" s="18" t="s">
        <v>429</v>
      </c>
      <c r="D31" s="18" t="s">
        <v>2336</v>
      </c>
      <c r="E31" s="18" t="s">
        <v>430</v>
      </c>
      <c r="F31" s="18" t="s">
        <v>2337</v>
      </c>
    </row>
    <row r="32" customFormat="false" ht="12.8" hidden="false" customHeight="false" outlineLevel="0" collapsed="false">
      <c r="A32" s="18" t="s">
        <v>2338</v>
      </c>
      <c r="B32" s="18" t="s">
        <v>2335</v>
      </c>
      <c r="C32" s="18" t="s">
        <v>435</v>
      </c>
      <c r="D32" s="18" t="s">
        <v>2339</v>
      </c>
      <c r="E32" s="18" t="s">
        <v>436</v>
      </c>
      <c r="F32" s="18" t="s">
        <v>2340</v>
      </c>
    </row>
    <row r="33" customFormat="false" ht="12.8" hidden="false" customHeight="false" outlineLevel="0" collapsed="false">
      <c r="A33" s="18" t="s">
        <v>2341</v>
      </c>
      <c r="B33" s="18" t="s">
        <v>2335</v>
      </c>
      <c r="C33" s="18" t="s">
        <v>439</v>
      </c>
      <c r="D33" s="18" t="s">
        <v>440</v>
      </c>
      <c r="E33" s="18" t="s">
        <v>410</v>
      </c>
      <c r="F33" s="18" t="s">
        <v>411</v>
      </c>
    </row>
    <row r="34" customFormat="false" ht="12.8" hidden="false" customHeight="false" outlineLevel="0" collapsed="false">
      <c r="A34" s="17" t="s">
        <v>2342</v>
      </c>
      <c r="B34" s="18" t="s">
        <v>2335</v>
      </c>
      <c r="C34" s="18" t="s">
        <v>2066</v>
      </c>
      <c r="D34" s="18" t="s">
        <v>414</v>
      </c>
      <c r="E34" s="18" t="s">
        <v>2343</v>
      </c>
      <c r="F34" s="18" t="s">
        <v>417</v>
      </c>
    </row>
    <row r="35" customFormat="false" ht="12.8" hidden="false" customHeight="false" outlineLevel="0" collapsed="false">
      <c r="A35" s="17" t="s">
        <v>2344</v>
      </c>
      <c r="B35" s="18" t="s">
        <v>2335</v>
      </c>
      <c r="C35" s="18" t="s">
        <v>2345</v>
      </c>
      <c r="D35" s="18" t="s">
        <v>420</v>
      </c>
      <c r="E35" s="18" t="s">
        <v>422</v>
      </c>
      <c r="F35" s="18" t="s">
        <v>417</v>
      </c>
    </row>
    <row r="37" customFormat="false" ht="12.8" hidden="false" customHeight="false" outlineLevel="0" collapsed="false">
      <c r="A37" s="46" t="str">
        <f aca="false">_xlfn.CONCAT($A$1, ".", "PARAM")</f>
        <v>LSD.RID.0.AL.LFPR.PARAM</v>
      </c>
      <c r="B37" s="47" t="str">
        <f aca="false">_xlfn.CONCAT($B$1, " ", "Parameters")</f>
        <v>Alabama Labor Force Participation Rate (LFPR) Parameters</v>
      </c>
    </row>
    <row r="38" customFormat="false" ht="12.8" hidden="false" customHeight="false" outlineLevel="0" collapsed="false">
      <c r="A38" s="49" t="s">
        <v>848</v>
      </c>
      <c r="B38" s="49" t="s">
        <v>283</v>
      </c>
      <c r="C38" s="49" t="s">
        <v>2073</v>
      </c>
      <c r="D38" s="49" t="s">
        <v>286</v>
      </c>
      <c r="E38" s="49" t="s">
        <v>850</v>
      </c>
      <c r="F38" s="49" t="s">
        <v>851</v>
      </c>
    </row>
    <row r="39" customFormat="false" ht="12.8" hidden="false" customHeight="false" outlineLevel="0" collapsed="false">
      <c r="A39" s="18" t="s">
        <v>2346</v>
      </c>
      <c r="B39" s="18" t="s">
        <v>2347</v>
      </c>
      <c r="C39" s="18" t="n">
        <v>0.577</v>
      </c>
      <c r="D39" s="18" t="s">
        <v>2348</v>
      </c>
      <c r="E39" s="18" t="s">
        <v>857</v>
      </c>
      <c r="F39" s="18" t="s">
        <v>858</v>
      </c>
    </row>
    <row r="40" customFormat="false" ht="12.8" hidden="false" customHeight="false" outlineLevel="0" collapsed="false">
      <c r="A40" s="18" t="s">
        <v>2349</v>
      </c>
      <c r="B40" s="18" t="s">
        <v>2350</v>
      </c>
      <c r="C40" s="18" t="s">
        <v>2351</v>
      </c>
      <c r="D40" s="18" t="s">
        <v>2352</v>
      </c>
      <c r="E40" s="18" t="s">
        <v>2081</v>
      </c>
      <c r="F40" s="18" t="s">
        <v>2082</v>
      </c>
    </row>
    <row r="41" customFormat="false" ht="12.8" hidden="false" customHeight="false" outlineLevel="0" collapsed="false">
      <c r="A41" s="18" t="s">
        <v>2353</v>
      </c>
      <c r="B41" s="18" t="s">
        <v>2354</v>
      </c>
      <c r="C41" s="18" t="s">
        <v>2355</v>
      </c>
      <c r="D41" s="18" t="s">
        <v>2356</v>
      </c>
      <c r="E41" s="18" t="s">
        <v>2081</v>
      </c>
      <c r="F41" s="18" t="s">
        <v>2082</v>
      </c>
    </row>
    <row r="42" customFormat="false" ht="12.8" hidden="false" customHeight="false" outlineLevel="0" collapsed="false">
      <c r="A42" s="18" t="s">
        <v>2357</v>
      </c>
      <c r="B42" s="18" t="s">
        <v>2358</v>
      </c>
      <c r="C42" s="18" t="s">
        <v>2359</v>
      </c>
      <c r="D42" s="18" t="s">
        <v>2360</v>
      </c>
      <c r="E42" s="18" t="s">
        <v>2081</v>
      </c>
      <c r="F42" s="18" t="s">
        <v>2082</v>
      </c>
    </row>
    <row r="43" customFormat="false" ht="12.8" hidden="false" customHeight="false" outlineLevel="0" collapsed="false">
      <c r="A43" s="18" t="s">
        <v>2361</v>
      </c>
      <c r="B43" s="18" t="s">
        <v>2362</v>
      </c>
      <c r="C43" s="18" t="s">
        <v>2363</v>
      </c>
      <c r="D43" s="18" t="s">
        <v>2080</v>
      </c>
      <c r="E43" s="18" t="s">
        <v>2081</v>
      </c>
      <c r="F43" s="18" t="s">
        <v>2082</v>
      </c>
    </row>
    <row r="45" customFormat="false" ht="12.8" hidden="false" customHeight="false" outlineLevel="0" collapsed="false">
      <c r="A45" s="46" t="s">
        <v>2364</v>
      </c>
      <c r="B45" s="47" t="s">
        <v>2365</v>
      </c>
    </row>
    <row r="46" customFormat="false" ht="12.8" hidden="false" customHeight="false" outlineLevel="0" collapsed="false">
      <c r="A46" s="49" t="s">
        <v>101</v>
      </c>
      <c r="B46" s="49" t="s">
        <v>286</v>
      </c>
      <c r="C46" s="49" t="s">
        <v>849</v>
      </c>
      <c r="D46" s="49" t="s">
        <v>2093</v>
      </c>
      <c r="E46" s="49" t="s">
        <v>850</v>
      </c>
      <c r="F46" s="49" t="s">
        <v>2094</v>
      </c>
    </row>
    <row r="47" customFormat="false" ht="12.8" hidden="false" customHeight="false" outlineLevel="0" collapsed="false">
      <c r="A47" s="17" t="s">
        <v>2366</v>
      </c>
      <c r="B47" s="18" t="s">
        <v>1659</v>
      </c>
      <c r="C47" s="18" t="n">
        <v>0.577</v>
      </c>
      <c r="D47" s="18" t="s">
        <v>858</v>
      </c>
      <c r="E47" s="18" t="s">
        <v>857</v>
      </c>
      <c r="F47" s="18" t="s">
        <v>2097</v>
      </c>
    </row>
    <row r="48" customFormat="false" ht="12.8" hidden="false" customHeight="false" outlineLevel="0" collapsed="false">
      <c r="A48" s="17" t="s">
        <v>2367</v>
      </c>
      <c r="B48" s="18" t="s">
        <v>2099</v>
      </c>
      <c r="C48" s="18" t="s">
        <v>2368</v>
      </c>
      <c r="D48" s="18" t="s">
        <v>2369</v>
      </c>
      <c r="E48" s="18" t="s">
        <v>857</v>
      </c>
      <c r="F48" s="18" t="s">
        <v>2370</v>
      </c>
    </row>
    <row r="49" customFormat="false" ht="12.8" hidden="false" customHeight="false" outlineLevel="0" collapsed="false">
      <c r="A49" s="17" t="s">
        <v>2371</v>
      </c>
      <c r="B49" s="18" t="s">
        <v>2372</v>
      </c>
      <c r="C49" s="18" t="s">
        <v>2373</v>
      </c>
      <c r="D49" s="18" t="s">
        <v>2374</v>
      </c>
      <c r="E49" s="18" t="s">
        <v>857</v>
      </c>
      <c r="F49" s="18" t="s">
        <v>2375</v>
      </c>
      <c r="G49" s="18" t="s">
        <v>417</v>
      </c>
    </row>
    <row r="50" customFormat="false" ht="12.8" hidden="false" customHeight="false" outlineLevel="0" collapsed="false">
      <c r="A50" s="17" t="s">
        <v>2376</v>
      </c>
      <c r="B50" s="18" t="s">
        <v>2109</v>
      </c>
      <c r="C50" s="18" t="s">
        <v>2377</v>
      </c>
      <c r="D50" s="18" t="s">
        <v>2378</v>
      </c>
      <c r="E50" s="18" t="s">
        <v>857</v>
      </c>
      <c r="F50" s="18" t="s">
        <v>2379</v>
      </c>
      <c r="G50" s="18" t="s">
        <v>417</v>
      </c>
    </row>
    <row r="51" customFormat="false" ht="12.8" hidden="false" customHeight="false" outlineLevel="0" collapsed="false">
      <c r="A51" s="17" t="s">
        <v>2380</v>
      </c>
      <c r="B51" s="18" t="s">
        <v>2114</v>
      </c>
      <c r="C51" s="18" t="s">
        <v>2186</v>
      </c>
      <c r="D51" s="18" t="s">
        <v>2116</v>
      </c>
      <c r="E51" s="18" t="s">
        <v>857</v>
      </c>
      <c r="F51" s="18" t="s">
        <v>2117</v>
      </c>
    </row>
    <row r="52" customFormat="false" ht="12.8" hidden="false" customHeight="false" outlineLevel="0" collapsed="false">
      <c r="A52" s="17" t="s">
        <v>2381</v>
      </c>
      <c r="B52" s="18" t="s">
        <v>2119</v>
      </c>
      <c r="C52" s="18" t="s">
        <v>2120</v>
      </c>
      <c r="D52" s="18" t="s">
        <v>2382</v>
      </c>
      <c r="E52" s="18" t="s">
        <v>857</v>
      </c>
      <c r="F52" s="18" t="s">
        <v>2383</v>
      </c>
    </row>
    <row r="53" customFormat="false" ht="12.8" hidden="false" customHeight="false" outlineLevel="0" collapsed="false">
      <c r="A53" s="17" t="s">
        <v>2384</v>
      </c>
      <c r="B53" s="18" t="s">
        <v>2385</v>
      </c>
      <c r="C53" s="18" t="s">
        <v>2386</v>
      </c>
      <c r="D53" s="18" t="s">
        <v>2126</v>
      </c>
      <c r="E53" s="18" t="s">
        <v>857</v>
      </c>
      <c r="F53" s="18" t="s">
        <v>2127</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BF00"/>
    <pageSetUpPr fitToPage="false"/>
  </sheetPr>
  <dimension ref="A1:BH53"/>
  <sheetViews>
    <sheetView showFormulas="false" showGridLines="true" showRowColHeaders="true" showZeros="true" rightToLeft="false" tabSelected="false" showOutlineSymbols="true" defaultGridColor="true" view="normal" topLeftCell="A3"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true" hidden="false" outlineLevel="0" max="1" min="1" style="17" width="27.68"/>
    <col collapsed="false" customWidth="true" hidden="false" outlineLevel="0" max="2" min="2" style="18" width="27.68"/>
    <col collapsed="false" customWidth="true" hidden="false" outlineLevel="0" max="3" min="3" style="18" width="21.47"/>
    <col collapsed="false" customWidth="true" hidden="false" outlineLevel="0" max="6" min="4" style="18" width="19.14"/>
    <col collapsed="false" customWidth="true" hidden="false" outlineLevel="0" max="26" min="7" style="18" width="16.84"/>
    <col collapsed="false" customWidth="true" hidden="false" outlineLevel="0" max="40" min="27" style="18" width="17.78"/>
    <col collapsed="false" customWidth="true" hidden="false" outlineLevel="0" max="43" min="41" style="18" width="15.48"/>
    <col collapsed="false" customWidth="true" hidden="false" outlineLevel="0" max="48" min="48" style="18" width="18.45"/>
    <col collapsed="false" customWidth="true" hidden="false" outlineLevel="0" max="51" min="49" style="18" width="16.14"/>
    <col collapsed="false" customWidth="true" hidden="false" outlineLevel="0" max="59" min="52" style="18" width="13.84"/>
  </cols>
  <sheetData>
    <row r="1" customFormat="false" ht="12.9" hidden="false" customHeight="false" outlineLevel="0" collapsed="false">
      <c r="A1" s="4" t="s">
        <v>60</v>
      </c>
      <c r="B1" s="22" t="s">
        <v>2387</v>
      </c>
      <c r="C1" s="6" t="s">
        <v>2</v>
      </c>
      <c r="D1" s="48" t="s">
        <v>2388</v>
      </c>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c r="BC1" s="9"/>
      <c r="BD1" s="9"/>
      <c r="BE1" s="9"/>
      <c r="BF1" s="9"/>
      <c r="BG1" s="9"/>
      <c r="BH1" s="9"/>
    </row>
    <row r="2" customFormat="false" ht="12.8" hidden="false" customHeight="false" outlineLevel="0" collapsed="false">
      <c r="A2" s="46" t="str">
        <f aca="false">_xlfn.CONCAT($A$1, ".", "CALC")</f>
        <v>LSD.RID.0.AL.ETPR.CALC</v>
      </c>
      <c r="B2" s="47" t="str">
        <f aca="false">_xlfn.CONCAT($B$1, " ", "Calculations")</f>
        <v>Alabama Employment-to-Population Ratio (ETPR) Calculations</v>
      </c>
      <c r="C2" s="35" t="str">
        <f aca="false">CALC!H33</f>
        <v>Employment-to-Population Ratio (ETPR)</v>
      </c>
      <c r="D2" s="35"/>
      <c r="E2" s="35"/>
      <c r="F2" s="3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5"/>
      <c r="AT2" s="45"/>
      <c r="AU2" s="45"/>
      <c r="AV2" s="45"/>
      <c r="AW2" s="45"/>
      <c r="AX2" s="45"/>
      <c r="AY2" s="45"/>
      <c r="AZ2" s="45"/>
      <c r="BA2" s="45"/>
      <c r="BB2" s="45"/>
      <c r="BC2" s="45"/>
      <c r="BD2" s="45"/>
      <c r="BE2" s="45"/>
      <c r="BF2" s="45"/>
      <c r="BG2" s="45"/>
      <c r="BH2" s="45"/>
    </row>
    <row r="3" customFormat="false" ht="12.8" hidden="false" customHeight="false" outlineLevel="0" collapsed="false">
      <c r="A3" s="46" t="str">
        <f aca="false">CALC!A34</f>
        <v>LSID</v>
      </c>
      <c r="B3" s="22" t="str">
        <f aca="false">CALC!C34</f>
        <v>Labor Sector</v>
      </c>
      <c r="C3" s="37" t="str">
        <f aca="false">CALC!H34</f>
        <v>Overall ETPR</v>
      </c>
      <c r="D3" s="37" t="str">
        <f aca="false">CALC!I34</f>
        <v>Authorized ETPR</v>
      </c>
      <c r="E3" s="37" t="str">
        <f aca="false">CALC!J34</f>
        <v>Unauthorized ETPR</v>
      </c>
      <c r="F3" s="37" t="str">
        <f aca="false">CALC!K34</f>
        <v>American ETPR</v>
      </c>
      <c r="AF3" s="3"/>
      <c r="AG3" s="3"/>
      <c r="AH3" s="3"/>
      <c r="AI3" s="3"/>
      <c r="AR3" s="18"/>
      <c r="AS3" s="18"/>
      <c r="AT3" s="18"/>
      <c r="AU3" s="18"/>
      <c r="AV3" s="3"/>
      <c r="AW3" s="3"/>
      <c r="AX3" s="3"/>
      <c r="AY3" s="3"/>
      <c r="AZ3" s="3"/>
      <c r="BA3" s="3"/>
      <c r="BB3" s="3"/>
      <c r="BC3" s="3"/>
      <c r="BD3" s="3"/>
      <c r="BE3" s="3"/>
      <c r="BF3" s="3"/>
      <c r="BG3" s="3"/>
    </row>
    <row r="4" customFormat="false" ht="12.8" hidden="false" customHeight="false" outlineLevel="0" collapsed="false">
      <c r="A4" s="46" t="str">
        <f aca="false">_xlfn.CONCAT($A$1, ".CALC.", CALC!A35)</f>
        <v>LSD.RID.0.AL.ETPR.CALC.0</v>
      </c>
      <c r="B4" s="22" t="str">
        <f aca="false">CALC!C35</f>
        <v>All Industries</v>
      </c>
      <c r="C4" s="18" t="n">
        <v>0.561</v>
      </c>
      <c r="D4" s="18" t="n">
        <v>0.538</v>
      </c>
      <c r="E4" s="18" t="n">
        <v>0.594</v>
      </c>
      <c r="F4" s="18" t="n">
        <v>0.564</v>
      </c>
      <c r="AF4" s="3"/>
      <c r="AG4" s="3"/>
      <c r="AH4" s="3"/>
      <c r="AI4" s="3"/>
      <c r="AR4" s="18"/>
      <c r="AS4" s="18"/>
      <c r="AT4" s="18"/>
      <c r="AU4" s="18"/>
      <c r="AV4" s="3"/>
      <c r="AW4" s="3"/>
      <c r="AX4" s="3"/>
      <c r="AY4" s="3"/>
      <c r="AZ4" s="3"/>
      <c r="BA4" s="3"/>
      <c r="BB4" s="3"/>
      <c r="BC4" s="3"/>
      <c r="BD4" s="3"/>
      <c r="BE4" s="3"/>
      <c r="BF4" s="3"/>
      <c r="BG4" s="3"/>
    </row>
    <row r="5" customFormat="false" ht="22.8" hidden="false" customHeight="false" outlineLevel="0" collapsed="false">
      <c r="A5" s="46" t="str">
        <f aca="false">_xlfn.CONCAT($A$1, ".CALC.", CALC!A36)</f>
        <v>LSD.RID.0.AL.ETPR.CALC.1</v>
      </c>
      <c r="B5" s="50" t="str">
        <f aca="false">CALC!C36</f>
        <v>Agriculture, Forestry, Fishing and Hunting</v>
      </c>
      <c r="C5" s="18" t="n">
        <v>0.61</v>
      </c>
      <c r="D5" s="18" t="n">
        <v>0.62</v>
      </c>
      <c r="E5" s="18" t="n">
        <v>0.68</v>
      </c>
      <c r="F5" s="18" t="n">
        <v>0.605</v>
      </c>
      <c r="AF5" s="3"/>
      <c r="AG5" s="3"/>
      <c r="AH5" s="3"/>
      <c r="AI5" s="3"/>
      <c r="AR5" s="18"/>
      <c r="AS5" s="18"/>
      <c r="AT5" s="18"/>
      <c r="AU5" s="18"/>
      <c r="AV5" s="3"/>
      <c r="AW5" s="3"/>
      <c r="AX5" s="3"/>
      <c r="AY5" s="3"/>
      <c r="AZ5" s="3"/>
      <c r="BA5" s="3"/>
      <c r="BB5" s="3"/>
      <c r="BC5" s="3"/>
      <c r="BD5" s="3"/>
      <c r="BE5" s="3"/>
      <c r="BF5" s="3"/>
      <c r="BG5" s="3"/>
    </row>
    <row r="6" customFormat="false" ht="22.8" hidden="false" customHeight="false" outlineLevel="0" collapsed="false">
      <c r="A6" s="46" t="str">
        <f aca="false">_xlfn.CONCAT($A$1, ".CALC.", CALC!A37)</f>
        <v>LSD.RID.0.AL.ETPR.CALC.2</v>
      </c>
      <c r="B6" s="50" t="str">
        <f aca="false">CALC!C37</f>
        <v>Mining, Quarrying, and Oil and Gas Extraction</v>
      </c>
      <c r="C6" s="18" t="n">
        <v>0.68</v>
      </c>
      <c r="D6" s="18" t="n">
        <v>0.67</v>
      </c>
      <c r="E6" s="18" t="n">
        <v>0.71</v>
      </c>
      <c r="F6" s="18" t="n">
        <v>0.682</v>
      </c>
      <c r="AF6" s="3"/>
      <c r="AG6" s="3"/>
      <c r="AH6" s="3"/>
      <c r="AI6" s="3"/>
      <c r="AR6" s="18"/>
      <c r="AS6" s="18"/>
      <c r="AT6" s="18"/>
      <c r="AU6" s="18"/>
      <c r="AV6" s="3"/>
      <c r="AW6" s="3"/>
      <c r="AX6" s="3"/>
      <c r="AY6" s="3"/>
      <c r="AZ6" s="3"/>
      <c r="BA6" s="3"/>
      <c r="BB6" s="3"/>
      <c r="BC6" s="3"/>
      <c r="BD6" s="3"/>
      <c r="BE6" s="3"/>
      <c r="BF6" s="3"/>
      <c r="BG6" s="3"/>
    </row>
    <row r="7" customFormat="false" ht="12.8" hidden="false" customHeight="false" outlineLevel="0" collapsed="false">
      <c r="A7" s="46" t="str">
        <f aca="false">_xlfn.CONCAT($A$1, ".CALC.", CALC!A38)</f>
        <v>LSD.RID.0.AL.ETPR.CALC.3</v>
      </c>
      <c r="B7" s="22" t="str">
        <f aca="false">CALC!C38</f>
        <v>Utilities</v>
      </c>
      <c r="C7" s="18" t="n">
        <v>0.78</v>
      </c>
      <c r="D7" s="18" t="n">
        <v>0.77</v>
      </c>
      <c r="E7" s="18" t="n">
        <v>0.8</v>
      </c>
      <c r="F7" s="18" t="n">
        <v>0.781</v>
      </c>
      <c r="AF7" s="3"/>
      <c r="AG7" s="3"/>
      <c r="AH7" s="3"/>
      <c r="AI7" s="3"/>
      <c r="AR7" s="18"/>
      <c r="AS7" s="18"/>
      <c r="AT7" s="18"/>
      <c r="AU7" s="18"/>
      <c r="AV7" s="3"/>
      <c r="AW7" s="3"/>
      <c r="AX7" s="3"/>
      <c r="AY7" s="3"/>
      <c r="AZ7" s="3"/>
      <c r="BA7" s="3"/>
      <c r="BB7" s="3"/>
      <c r="BC7" s="3"/>
      <c r="BD7" s="3"/>
      <c r="BE7" s="3"/>
      <c r="BF7" s="3"/>
      <c r="BG7" s="3"/>
    </row>
    <row r="8" customFormat="false" ht="12.8" hidden="false" customHeight="false" outlineLevel="0" collapsed="false">
      <c r="A8" s="46" t="str">
        <f aca="false">_xlfn.CONCAT($A$1, ".CALC.", CALC!A39)</f>
        <v>LSD.RID.0.AL.ETPR.CALC.4</v>
      </c>
      <c r="B8" s="22" t="str">
        <f aca="false">CALC!C39</f>
        <v>Construction</v>
      </c>
      <c r="C8" s="18" t="n">
        <v>0.62</v>
      </c>
      <c r="D8" s="18" t="n">
        <v>0.59</v>
      </c>
      <c r="E8" s="18" t="n">
        <v>0.68</v>
      </c>
      <c r="F8" s="18" t="n">
        <v>0.62</v>
      </c>
      <c r="AF8" s="3"/>
      <c r="AG8" s="3"/>
      <c r="AH8" s="3"/>
      <c r="AI8" s="3"/>
      <c r="AR8" s="18"/>
      <c r="AS8" s="18"/>
      <c r="AT8" s="18"/>
      <c r="AU8" s="18"/>
      <c r="AV8" s="3"/>
      <c r="AW8" s="3"/>
      <c r="AX8" s="3"/>
      <c r="AY8" s="3"/>
      <c r="AZ8" s="3"/>
      <c r="BA8" s="3"/>
      <c r="BB8" s="3"/>
      <c r="BC8" s="3"/>
      <c r="BD8" s="3"/>
      <c r="BE8" s="3"/>
      <c r="BF8" s="3"/>
      <c r="BG8" s="3"/>
    </row>
    <row r="9" customFormat="false" ht="22.8" hidden="false" customHeight="false" outlineLevel="0" collapsed="false">
      <c r="A9" s="46" t="str">
        <f aca="false">_xlfn.CONCAT($A$1, ".CALC.", CALC!A40)</f>
        <v>LSD.RID.0.AL.ETPR.CALC.5</v>
      </c>
      <c r="B9" s="50" t="str">
        <f aca="false">CALC!C40</f>
        <v>Manufacturing (Food,Textile, etc.)</v>
      </c>
      <c r="C9" s="18" t="n">
        <v>0.66</v>
      </c>
      <c r="D9" s="18" t="n">
        <v>0.63</v>
      </c>
      <c r="E9" s="18" t="n">
        <v>0.7</v>
      </c>
      <c r="F9" s="18" t="n">
        <v>0.66</v>
      </c>
      <c r="AF9" s="3"/>
      <c r="AG9" s="3"/>
      <c r="AH9" s="3"/>
      <c r="AI9" s="3"/>
      <c r="AR9" s="18"/>
      <c r="AS9" s="18"/>
      <c r="AT9" s="18"/>
      <c r="AU9" s="18"/>
      <c r="AV9" s="3"/>
      <c r="AW9" s="3"/>
      <c r="AX9" s="3"/>
      <c r="AY9" s="3"/>
      <c r="AZ9" s="3"/>
      <c r="BA9" s="3"/>
      <c r="BB9" s="3"/>
      <c r="BC9" s="3"/>
      <c r="BD9" s="3"/>
      <c r="BE9" s="3"/>
      <c r="BF9" s="3"/>
      <c r="BG9" s="3"/>
    </row>
    <row r="10" customFormat="false" ht="22.8" hidden="false" customHeight="false" outlineLevel="0" collapsed="false">
      <c r="A10" s="46" t="str">
        <f aca="false">_xlfn.CONCAT($A$1, ".CALC.", CALC!A41)</f>
        <v>LSD.RID.0.AL.ETPR.CALC.6</v>
      </c>
      <c r="B10" s="50" t="str">
        <f aca="false">CALC!C41</f>
        <v>Manufacturing (Wood, Paper, Printing, etc.)</v>
      </c>
      <c r="C10" s="18" t="n">
        <v>0.72</v>
      </c>
      <c r="D10" s="18" t="n">
        <v>0.69</v>
      </c>
      <c r="E10" s="18" t="n">
        <v>0.76</v>
      </c>
      <c r="F10" s="18" t="n">
        <v>0.72</v>
      </c>
      <c r="AF10" s="3"/>
      <c r="AG10" s="3"/>
      <c r="AH10" s="3"/>
      <c r="AI10" s="3"/>
      <c r="AR10" s="18"/>
      <c r="AS10" s="18"/>
      <c r="AT10" s="18"/>
      <c r="AU10" s="18"/>
      <c r="AV10" s="3"/>
      <c r="AW10" s="3"/>
      <c r="AX10" s="3"/>
      <c r="AY10" s="3"/>
      <c r="AZ10" s="3"/>
      <c r="BA10" s="3"/>
      <c r="BB10" s="3"/>
      <c r="BC10" s="3"/>
      <c r="BD10" s="3"/>
      <c r="BE10" s="3"/>
      <c r="BF10" s="3"/>
      <c r="BG10" s="3"/>
    </row>
    <row r="11" customFormat="false" ht="22.8" hidden="false" customHeight="false" outlineLevel="0" collapsed="false">
      <c r="A11" s="46" t="str">
        <f aca="false">_xlfn.CONCAT($A$1, ".CALC.", CALC!A42)</f>
        <v>LSD.RID.0.AL.ETPR.CALC.7</v>
      </c>
      <c r="B11" s="50" t="str">
        <f aca="false">CALC!C42</f>
        <v>Manufacturing (Machinery, Transport)</v>
      </c>
      <c r="C11" s="18" t="n">
        <v>0.72</v>
      </c>
      <c r="D11" s="18" t="n">
        <v>0.69</v>
      </c>
      <c r="E11" s="18" t="n">
        <v>0.76</v>
      </c>
      <c r="F11" s="18" t="n">
        <v>0.72</v>
      </c>
      <c r="AF11" s="3"/>
      <c r="AG11" s="3"/>
      <c r="AH11" s="3"/>
      <c r="AI11" s="3"/>
      <c r="AR11" s="18"/>
      <c r="AS11" s="18"/>
      <c r="AT11" s="18"/>
      <c r="AU11" s="18"/>
      <c r="AV11" s="3"/>
      <c r="AW11" s="3"/>
      <c r="AX11" s="3"/>
      <c r="AY11" s="3"/>
      <c r="AZ11" s="3"/>
      <c r="BA11" s="3"/>
      <c r="BB11" s="3"/>
      <c r="BC11" s="3"/>
      <c r="BD11" s="3"/>
      <c r="BE11" s="3"/>
      <c r="BF11" s="3"/>
      <c r="BG11" s="3"/>
    </row>
    <row r="12" customFormat="false" ht="12.8" hidden="false" customHeight="false" outlineLevel="0" collapsed="false">
      <c r="A12" s="46" t="str">
        <f aca="false">_xlfn.CONCAT($A$1, ".CALC.", CALC!A43)</f>
        <v>LSD.RID.0.AL.ETPR.CALC.8</v>
      </c>
      <c r="B12" s="22" t="str">
        <f aca="false">CALC!C43</f>
        <v>Wholesale Trade</v>
      </c>
      <c r="C12" s="18" t="n">
        <v>0.76</v>
      </c>
      <c r="D12" s="18" t="n">
        <v>0.73</v>
      </c>
      <c r="E12" s="18" t="n">
        <v>0.8</v>
      </c>
      <c r="F12" s="18" t="n">
        <v>0.76</v>
      </c>
      <c r="AF12" s="3"/>
      <c r="AG12" s="3"/>
      <c r="AH12" s="3"/>
      <c r="AI12" s="3"/>
      <c r="AR12" s="18"/>
      <c r="AS12" s="18"/>
      <c r="AT12" s="18"/>
      <c r="AU12" s="18"/>
      <c r="AV12" s="3"/>
      <c r="AW12" s="3"/>
      <c r="AX12" s="3"/>
      <c r="AY12" s="3"/>
      <c r="AZ12" s="3"/>
      <c r="BA12" s="3"/>
      <c r="BB12" s="3"/>
      <c r="BC12" s="3"/>
      <c r="BD12" s="3"/>
      <c r="BE12" s="3"/>
      <c r="BF12" s="3"/>
      <c r="BG12" s="3"/>
    </row>
    <row r="13" customFormat="false" ht="22.8" hidden="false" customHeight="false" outlineLevel="0" collapsed="false">
      <c r="A13" s="46" t="str">
        <f aca="false">_xlfn.CONCAT($A$1, ".CALC.", CALC!A44)</f>
        <v>LSD.RID.0.AL.ETPR.CALC.9</v>
      </c>
      <c r="B13" s="50" t="str">
        <f aca="false">CALC!C44</f>
        <v>Retail Trade (Motor Vehicle, Electronics)</v>
      </c>
      <c r="C13" s="18" t="n">
        <v>0.81</v>
      </c>
      <c r="D13" s="18" t="n">
        <v>0.78</v>
      </c>
      <c r="E13" s="18" t="n">
        <v>0.85</v>
      </c>
      <c r="F13" s="18" t="n">
        <v>0.81</v>
      </c>
      <c r="AF13" s="3"/>
      <c r="AG13" s="3"/>
      <c r="AH13" s="3"/>
      <c r="AI13" s="3"/>
      <c r="AR13" s="18"/>
      <c r="AS13" s="18"/>
      <c r="AT13" s="18"/>
      <c r="AU13" s="18"/>
      <c r="AV13" s="3"/>
      <c r="AW13" s="3"/>
      <c r="AX13" s="3"/>
      <c r="AY13" s="3"/>
      <c r="AZ13" s="3"/>
      <c r="BA13" s="3"/>
      <c r="BB13" s="3"/>
      <c r="BC13" s="3"/>
      <c r="BD13" s="3"/>
      <c r="BE13" s="3"/>
      <c r="BF13" s="3"/>
      <c r="BG13" s="3"/>
    </row>
    <row r="14" customFormat="false" ht="22.8" hidden="false" customHeight="false" outlineLevel="0" collapsed="false">
      <c r="A14" s="46" t="str">
        <f aca="false">_xlfn.CONCAT($A$1, ".CALC.", CALC!A45)</f>
        <v>LSD.RID.0.AL.ETPR.CALC.10</v>
      </c>
      <c r="B14" s="50" t="str">
        <f aca="false">CALC!C45</f>
        <v>Retail Trade (Food, Clothing, General Merchandise, etc.)</v>
      </c>
      <c r="C14" s="18" t="n">
        <v>0.81</v>
      </c>
      <c r="D14" s="18" t="n">
        <v>0.78</v>
      </c>
      <c r="E14" s="18" t="n">
        <v>0.85</v>
      </c>
      <c r="F14" s="18" t="n">
        <v>0.81</v>
      </c>
      <c r="AF14" s="3"/>
      <c r="AG14" s="3"/>
      <c r="AH14" s="3"/>
      <c r="AI14" s="3"/>
      <c r="AR14" s="18"/>
      <c r="AS14" s="18"/>
      <c r="AT14" s="18"/>
      <c r="AU14" s="18"/>
      <c r="AV14" s="3"/>
      <c r="AW14" s="3"/>
      <c r="AX14" s="3"/>
      <c r="AY14" s="3"/>
      <c r="AZ14" s="3"/>
      <c r="BA14" s="3"/>
      <c r="BB14" s="3"/>
      <c r="BC14" s="3"/>
      <c r="BD14" s="3"/>
      <c r="BE14" s="3"/>
      <c r="BF14" s="3"/>
      <c r="BG14" s="3"/>
    </row>
    <row r="15" customFormat="false" ht="12.8" hidden="false" customHeight="false" outlineLevel="0" collapsed="false">
      <c r="A15" s="46" t="str">
        <f aca="false">_xlfn.CONCAT($A$1, ".CALC.", CALC!A46)</f>
        <v>LSD.RID.0.AL.ETPR.CALC.11</v>
      </c>
      <c r="B15" s="22" t="str">
        <f aca="false">CALC!C46</f>
        <v>Transportation</v>
      </c>
      <c r="C15" s="18" t="n">
        <v>0.77</v>
      </c>
      <c r="D15" s="18" t="n">
        <v>0.74</v>
      </c>
      <c r="E15" s="18" t="n">
        <v>0.81</v>
      </c>
      <c r="F15" s="18" t="n">
        <v>0.77</v>
      </c>
      <c r="AF15" s="3"/>
      <c r="AG15" s="3"/>
      <c r="AH15" s="3"/>
      <c r="AI15" s="3"/>
      <c r="AR15" s="18"/>
      <c r="AS15" s="18"/>
      <c r="AT15" s="18"/>
      <c r="AU15" s="18"/>
      <c r="AV15" s="3"/>
      <c r="AW15" s="3"/>
      <c r="AX15" s="3"/>
      <c r="AY15" s="3"/>
      <c r="AZ15" s="3"/>
      <c r="BA15" s="3"/>
      <c r="BB15" s="3"/>
      <c r="BC15" s="3"/>
      <c r="BD15" s="3"/>
      <c r="BE15" s="3"/>
      <c r="BF15" s="3"/>
      <c r="BG15" s="3"/>
    </row>
    <row r="16" customFormat="false" ht="12.8" hidden="false" customHeight="false" outlineLevel="0" collapsed="false">
      <c r="A16" s="46" t="str">
        <f aca="false">_xlfn.CONCAT($A$1, ".CALC.", CALC!A47)</f>
        <v>LSD.RID.0.AL.ETPR.CALC.12</v>
      </c>
      <c r="B16" s="22" t="str">
        <f aca="false">CALC!C47</f>
        <v>Warehousing and Storage</v>
      </c>
      <c r="C16" s="18" t="n">
        <v>0.7</v>
      </c>
      <c r="D16" s="18" t="n">
        <v>0.67</v>
      </c>
      <c r="E16" s="18" t="n">
        <v>0.74</v>
      </c>
      <c r="F16" s="18" t="n">
        <v>0.7</v>
      </c>
      <c r="AF16" s="3"/>
      <c r="AG16" s="3"/>
      <c r="AH16" s="3"/>
      <c r="AI16" s="3"/>
      <c r="AR16" s="18"/>
      <c r="AS16" s="18"/>
      <c r="AT16" s="18"/>
      <c r="AU16" s="18"/>
      <c r="AV16" s="3"/>
      <c r="AW16" s="3"/>
      <c r="AX16" s="3"/>
      <c r="AY16" s="3"/>
      <c r="AZ16" s="3"/>
      <c r="BA16" s="3"/>
      <c r="BB16" s="3"/>
      <c r="BC16" s="3"/>
      <c r="BD16" s="3"/>
      <c r="BE16" s="3"/>
      <c r="BF16" s="3"/>
      <c r="BG16" s="3"/>
    </row>
    <row r="17" customFormat="false" ht="12.8" hidden="false" customHeight="false" outlineLevel="0" collapsed="false">
      <c r="A17" s="46" t="str">
        <f aca="false">_xlfn.CONCAT($A$1, ".CALC.", CALC!A48)</f>
        <v>LSD.RID.0.AL.ETPR.CALC.13</v>
      </c>
      <c r="B17" s="22" t="str">
        <f aca="false">CALC!C48</f>
        <v>Information</v>
      </c>
      <c r="C17" s="18" t="n">
        <v>0.72</v>
      </c>
      <c r="D17" s="18" t="n">
        <v>0.69</v>
      </c>
      <c r="E17" s="18" t="n">
        <v>0.76</v>
      </c>
      <c r="F17" s="18" t="n">
        <v>0.72</v>
      </c>
      <c r="AF17" s="3"/>
      <c r="AG17" s="3"/>
      <c r="AH17" s="3"/>
      <c r="AI17" s="3"/>
      <c r="AR17" s="18"/>
      <c r="AS17" s="18"/>
      <c r="AT17" s="18"/>
      <c r="AU17" s="18"/>
      <c r="AV17" s="3"/>
      <c r="AW17" s="3"/>
      <c r="AX17" s="3"/>
      <c r="AY17" s="3"/>
      <c r="AZ17" s="3"/>
      <c r="BA17" s="3"/>
      <c r="BB17" s="3"/>
      <c r="BC17" s="3"/>
      <c r="BD17" s="3"/>
      <c r="BE17" s="3"/>
      <c r="BF17" s="3"/>
      <c r="BG17" s="3"/>
    </row>
    <row r="18" customFormat="false" ht="12.8" hidden="false" customHeight="false" outlineLevel="0" collapsed="false">
      <c r="A18" s="46" t="str">
        <f aca="false">_xlfn.CONCAT($A$1, ".CALC.", CALC!A49)</f>
        <v>LSD.RID.0.AL.ETPR.CALC.14</v>
      </c>
      <c r="B18" s="22" t="str">
        <f aca="false">CALC!C49</f>
        <v>Finance and Insurance</v>
      </c>
      <c r="C18" s="18" t="n">
        <v>0.8</v>
      </c>
      <c r="D18" s="18" t="n">
        <v>0.77</v>
      </c>
      <c r="E18" s="18" t="n">
        <v>0.84</v>
      </c>
      <c r="F18" s="18" t="n">
        <v>0.8</v>
      </c>
      <c r="AF18" s="3"/>
      <c r="AG18" s="3"/>
      <c r="AH18" s="3"/>
      <c r="AI18" s="3"/>
      <c r="AR18" s="18"/>
      <c r="AS18" s="18"/>
      <c r="AT18" s="18"/>
      <c r="AU18" s="18"/>
      <c r="AV18" s="3"/>
      <c r="AW18" s="3"/>
      <c r="AX18" s="3"/>
      <c r="AY18" s="3"/>
      <c r="AZ18" s="3"/>
      <c r="BA18" s="3"/>
      <c r="BB18" s="3"/>
      <c r="BC18" s="3"/>
      <c r="BD18" s="3"/>
      <c r="BE18" s="3"/>
      <c r="BF18" s="3"/>
      <c r="BG18" s="3"/>
    </row>
    <row r="19" customFormat="false" ht="22.8" hidden="false" customHeight="false" outlineLevel="0" collapsed="false">
      <c r="A19" s="46" t="str">
        <f aca="false">_xlfn.CONCAT($A$1, ".CALC.", CALC!A50)</f>
        <v>LSD.RID.0.AL.ETPR.CALC.15</v>
      </c>
      <c r="B19" s="50" t="str">
        <f aca="false">CALC!C50</f>
        <v>Real Estate and Rental and Leasing</v>
      </c>
      <c r="C19" s="18" t="n">
        <v>0.8</v>
      </c>
      <c r="D19" s="18" t="n">
        <v>0.77</v>
      </c>
      <c r="E19" s="18" t="n">
        <v>0.84</v>
      </c>
      <c r="F19" s="18" t="n">
        <v>0.8</v>
      </c>
      <c r="AF19" s="3"/>
      <c r="AG19" s="3"/>
      <c r="AH19" s="3"/>
      <c r="AI19" s="3"/>
      <c r="AR19" s="18"/>
      <c r="AS19" s="18"/>
      <c r="AT19" s="18"/>
      <c r="AU19" s="18"/>
      <c r="AV19" s="3"/>
      <c r="AW19" s="3"/>
      <c r="AX19" s="3"/>
      <c r="AY19" s="3"/>
      <c r="AZ19" s="3"/>
      <c r="BA19" s="3"/>
      <c r="BB19" s="3"/>
      <c r="BC19" s="3"/>
      <c r="BD19" s="3"/>
      <c r="BE19" s="3"/>
      <c r="BF19" s="3"/>
      <c r="BG19" s="3"/>
    </row>
    <row r="20" customFormat="false" ht="22.8" hidden="false" customHeight="false" outlineLevel="0" collapsed="false">
      <c r="A20" s="46" t="str">
        <f aca="false">_xlfn.CONCAT($A$1, ".CALC.", CALC!A51)</f>
        <v>LSD.RID.0.AL.ETPR.CALC.16</v>
      </c>
      <c r="B20" s="50" t="str">
        <f aca="false">CALC!C51</f>
        <v>Professional, Scientific, and Technical Services</v>
      </c>
      <c r="C20" s="18" t="n">
        <v>0.8</v>
      </c>
      <c r="D20" s="18" t="n">
        <v>0.77</v>
      </c>
      <c r="E20" s="18" t="n">
        <v>0.84</v>
      </c>
      <c r="F20" s="18" t="n">
        <v>0.8</v>
      </c>
      <c r="AF20" s="3"/>
      <c r="AG20" s="3"/>
      <c r="AH20" s="3"/>
      <c r="AI20" s="3"/>
      <c r="AR20" s="18"/>
      <c r="AS20" s="18"/>
      <c r="AT20" s="18"/>
      <c r="AU20" s="18"/>
      <c r="AV20" s="3"/>
      <c r="AW20" s="3"/>
      <c r="AX20" s="3"/>
      <c r="AY20" s="3"/>
      <c r="AZ20" s="3"/>
      <c r="BA20" s="3"/>
      <c r="BB20" s="3"/>
      <c r="BC20" s="3"/>
      <c r="BD20" s="3"/>
      <c r="BE20" s="3"/>
      <c r="BF20" s="3"/>
      <c r="BG20" s="3"/>
    </row>
    <row r="21" customFormat="false" ht="33.35" hidden="false" customHeight="false" outlineLevel="0" collapsed="false">
      <c r="A21" s="46" t="str">
        <f aca="false">_xlfn.CONCAT($A$1, ".CALC.", CALC!A52)</f>
        <v>LSD.RID.0.AL.ETPR.CALC.17</v>
      </c>
      <c r="B21" s="50" t="str">
        <f aca="false">CALC!C52</f>
        <v>Administrative and Support and Waste Management and Remediation Services</v>
      </c>
      <c r="C21" s="18" t="n">
        <v>0.67</v>
      </c>
      <c r="D21" s="18" t="n">
        <v>0.64</v>
      </c>
      <c r="E21" s="18" t="n">
        <v>0.71</v>
      </c>
      <c r="F21" s="18" t="n">
        <v>0.67</v>
      </c>
      <c r="AF21" s="3"/>
      <c r="AG21" s="3"/>
      <c r="AH21" s="3"/>
      <c r="AI21" s="3"/>
      <c r="AR21" s="18"/>
      <c r="AS21" s="18"/>
      <c r="AT21" s="18"/>
      <c r="AU21" s="18"/>
      <c r="AV21" s="3"/>
      <c r="AW21" s="3"/>
      <c r="AX21" s="3"/>
      <c r="AY21" s="3"/>
      <c r="AZ21" s="3"/>
      <c r="BA21" s="3"/>
      <c r="BB21" s="3"/>
      <c r="BC21" s="3"/>
      <c r="BD21" s="3"/>
      <c r="BE21" s="3"/>
      <c r="BF21" s="3"/>
      <c r="BG21" s="3"/>
    </row>
    <row r="22" customFormat="false" ht="12.9" hidden="false" customHeight="false" outlineLevel="0" collapsed="false">
      <c r="A22" s="46" t="str">
        <f aca="false">_xlfn.CONCAT($A$1, ".CALC.", CALC!A53)</f>
        <v>LSD.RID.0.AL.ETPR.CALC.18</v>
      </c>
      <c r="B22" s="22" t="str">
        <f aca="false">CALC!C53</f>
        <v>Educational Services</v>
      </c>
      <c r="C22" s="18" t="n">
        <v>0.8</v>
      </c>
      <c r="D22" s="18" t="n">
        <v>0.77</v>
      </c>
      <c r="E22" s="18" t="n">
        <v>0.84</v>
      </c>
      <c r="F22" s="18" t="n">
        <v>0.8</v>
      </c>
      <c r="AF22" s="3"/>
      <c r="AG22" s="3"/>
      <c r="AH22" s="3"/>
      <c r="AI22" s="3"/>
      <c r="AR22" s="18"/>
      <c r="AS22" s="18"/>
      <c r="AT22" s="18"/>
      <c r="AU22" s="18"/>
      <c r="AV22" s="3"/>
      <c r="AW22" s="3"/>
      <c r="AX22" s="3"/>
      <c r="AY22" s="3"/>
      <c r="AZ22" s="3"/>
      <c r="BA22" s="3"/>
      <c r="BB22" s="3"/>
      <c r="BC22" s="3"/>
      <c r="BD22" s="3"/>
      <c r="BE22" s="3"/>
      <c r="BF22" s="3"/>
      <c r="BG22" s="3"/>
    </row>
    <row r="23" customFormat="false" ht="22.8" hidden="false" customHeight="false" outlineLevel="0" collapsed="false">
      <c r="A23" s="46" t="str">
        <f aca="false">_xlfn.CONCAT($A$1, ".CALC.", CALC!A54)</f>
        <v>LSD.RID.0.AL.ETPR.CALC.19</v>
      </c>
      <c r="B23" s="50" t="str">
        <f aca="false">CALC!C54</f>
        <v>Health Care and Social Assistance</v>
      </c>
      <c r="C23" s="18" t="n">
        <v>0.8</v>
      </c>
      <c r="D23" s="18" t="n">
        <v>0.77</v>
      </c>
      <c r="E23" s="18" t="n">
        <v>0.84</v>
      </c>
      <c r="F23" s="18" t="n">
        <v>0.8</v>
      </c>
      <c r="AF23" s="3"/>
      <c r="AG23" s="3"/>
      <c r="AH23" s="3"/>
      <c r="AI23" s="3"/>
      <c r="AR23" s="18"/>
      <c r="AS23" s="18"/>
      <c r="AT23" s="18"/>
      <c r="AU23" s="18"/>
      <c r="AV23" s="3"/>
      <c r="AW23" s="3"/>
      <c r="AX23" s="3"/>
      <c r="AY23" s="3"/>
      <c r="AZ23" s="3"/>
      <c r="BA23" s="3"/>
      <c r="BB23" s="3"/>
      <c r="BC23" s="3"/>
      <c r="BD23" s="3"/>
      <c r="BE23" s="3"/>
      <c r="BF23" s="3"/>
      <c r="BG23" s="3"/>
    </row>
    <row r="24" customFormat="false" ht="22.8" hidden="false" customHeight="false" outlineLevel="0" collapsed="false">
      <c r="A24" s="46" t="str">
        <f aca="false">_xlfn.CONCAT($A$1, ".CALC.", CALC!A55)</f>
        <v>LSD.RID.0.AL.ETPR.CALC.20</v>
      </c>
      <c r="B24" s="50" t="str">
        <f aca="false">CALC!C55</f>
        <v>Arts, Entertainment,and Recreation</v>
      </c>
      <c r="C24" s="18" t="n">
        <v>0.8</v>
      </c>
      <c r="D24" s="18" t="n">
        <v>0.77</v>
      </c>
      <c r="E24" s="18" t="n">
        <v>0.84</v>
      </c>
      <c r="F24" s="18" t="n">
        <v>0.8</v>
      </c>
      <c r="AF24" s="3"/>
      <c r="AG24" s="3"/>
      <c r="AH24" s="3"/>
      <c r="AI24" s="3"/>
      <c r="AR24" s="18"/>
      <c r="AS24" s="18"/>
      <c r="AT24" s="18"/>
      <c r="AU24" s="18"/>
      <c r="AV24" s="3"/>
      <c r="AW24" s="3"/>
      <c r="AX24" s="3"/>
      <c r="AY24" s="3"/>
      <c r="AZ24" s="3"/>
      <c r="BA24" s="3"/>
      <c r="BB24" s="3"/>
      <c r="BC24" s="3"/>
      <c r="BD24" s="3"/>
      <c r="BE24" s="3"/>
      <c r="BF24" s="3"/>
      <c r="BG24" s="3"/>
    </row>
    <row r="25" customFormat="false" ht="22.8" hidden="false" customHeight="false" outlineLevel="0" collapsed="false">
      <c r="A25" s="46" t="str">
        <f aca="false">_xlfn.CONCAT($A$1, ".CALC.", CALC!A56)</f>
        <v>LSD.RID.0.AL.ETPR.CALC.21</v>
      </c>
      <c r="B25" s="50" t="str">
        <f aca="false">CALC!C56</f>
        <v>Accommodation and Food Services</v>
      </c>
      <c r="C25" s="18" t="n">
        <v>0.79</v>
      </c>
      <c r="D25" s="18" t="n">
        <v>0.76</v>
      </c>
      <c r="E25" s="18" t="n">
        <v>0.83</v>
      </c>
      <c r="F25" s="18" t="n">
        <v>0.79</v>
      </c>
      <c r="AF25" s="3"/>
      <c r="AG25" s="3"/>
      <c r="AH25" s="3"/>
      <c r="AI25" s="3"/>
      <c r="AR25" s="18"/>
      <c r="AS25" s="18"/>
      <c r="AT25" s="18"/>
      <c r="AU25" s="18"/>
      <c r="AV25" s="3"/>
      <c r="AW25" s="3"/>
      <c r="AX25" s="3"/>
      <c r="AY25" s="3"/>
      <c r="AZ25" s="3"/>
      <c r="BA25" s="3"/>
      <c r="BB25" s="3"/>
      <c r="BC25" s="3"/>
      <c r="BD25" s="3"/>
      <c r="BE25" s="3"/>
      <c r="BF25" s="3"/>
      <c r="BG25" s="3"/>
    </row>
    <row r="26" customFormat="false" ht="22.8" hidden="false" customHeight="false" outlineLevel="0" collapsed="false">
      <c r="A26" s="46" t="str">
        <f aca="false">_xlfn.CONCAT($A$1, ".CALC.", CALC!A57)</f>
        <v>LSD.RID.0.AL.ETPR.CALC.22</v>
      </c>
      <c r="B26" s="50" t="str">
        <f aca="false">CALC!C57</f>
        <v>Other Services (except Public Administration)</v>
      </c>
      <c r="C26" s="18" t="n">
        <v>0.79</v>
      </c>
      <c r="D26" s="18" t="n">
        <v>0.76</v>
      </c>
      <c r="E26" s="18" t="n">
        <v>0.83</v>
      </c>
      <c r="F26" s="18" t="n">
        <v>0.79</v>
      </c>
      <c r="AF26" s="3"/>
      <c r="AG26" s="3"/>
      <c r="AH26" s="3"/>
      <c r="AI26" s="3"/>
      <c r="AR26" s="18"/>
      <c r="AS26" s="18"/>
      <c r="AT26" s="18"/>
      <c r="AU26" s="18"/>
      <c r="AV26" s="3"/>
      <c r="AW26" s="3"/>
      <c r="AX26" s="3"/>
      <c r="AY26" s="3"/>
      <c r="AZ26" s="3"/>
      <c r="BA26" s="3"/>
      <c r="BB26" s="3"/>
      <c r="BC26" s="3"/>
      <c r="BD26" s="3"/>
      <c r="BE26" s="3"/>
      <c r="BF26" s="3"/>
      <c r="BG26" s="3"/>
    </row>
    <row r="27" customFormat="false" ht="12.8" hidden="false" customHeight="false" outlineLevel="0" collapsed="false">
      <c r="A27" s="46" t="str">
        <f aca="false">_xlfn.CONCAT($A$1, ".CALC.", CALC!A58)</f>
        <v>LSD.RID.0.AL.ETPR.CALC.23</v>
      </c>
      <c r="B27" s="22" t="str">
        <f aca="false">CALC!C58</f>
        <v>Public Administration</v>
      </c>
      <c r="C27" s="18" t="n">
        <v>0.81</v>
      </c>
      <c r="D27" s="18" t="n">
        <v>0.78</v>
      </c>
      <c r="E27" s="18" t="n">
        <v>0.85</v>
      </c>
      <c r="F27" s="18" t="n">
        <v>0.81</v>
      </c>
      <c r="AF27" s="3"/>
      <c r="AG27" s="3"/>
      <c r="AH27" s="3"/>
      <c r="AI27" s="3"/>
      <c r="AR27" s="18"/>
      <c r="AS27" s="18"/>
      <c r="AT27" s="18"/>
      <c r="AU27" s="18"/>
      <c r="AV27" s="3"/>
      <c r="AW27" s="3"/>
      <c r="AX27" s="3"/>
      <c r="AY27" s="3"/>
      <c r="AZ27" s="3"/>
      <c r="BA27" s="3"/>
      <c r="BB27" s="3"/>
      <c r="BC27" s="3"/>
      <c r="BD27" s="3"/>
      <c r="BE27" s="3"/>
      <c r="BF27" s="3"/>
      <c r="BG27" s="3"/>
    </row>
    <row r="29" customFormat="false" ht="12.8" hidden="false" customHeight="false" outlineLevel="0" collapsed="false">
      <c r="A29" s="46" t="str">
        <f aca="false">_xlfn.CONCAT($A$1, ".", "FORM")</f>
        <v>LSD.RID.0.AL.ETPR.FORM</v>
      </c>
      <c r="B29" s="47" t="str">
        <f aca="false">_xlfn.CONCAT($B$1, " ", "Formulae")</f>
        <v>Alabama Employment-to-Population Ratio (ETPR) Formulae</v>
      </c>
    </row>
    <row r="30" customFormat="false" ht="12.8" hidden="false" customHeight="false" outlineLevel="0" collapsed="false">
      <c r="A30" s="14" t="s">
        <v>93</v>
      </c>
      <c r="B30" s="49" t="s">
        <v>1801</v>
      </c>
      <c r="C30" s="49" t="s">
        <v>283</v>
      </c>
      <c r="D30" s="49" t="s">
        <v>285</v>
      </c>
      <c r="E30" s="49" t="s">
        <v>286</v>
      </c>
      <c r="F30" s="49" t="s">
        <v>287</v>
      </c>
      <c r="K30" s="49"/>
      <c r="L30" s="3"/>
      <c r="M30" s="3"/>
      <c r="N30" s="3"/>
      <c r="O30" s="3"/>
      <c r="P30" s="3"/>
    </row>
    <row r="31" customFormat="false" ht="12.8" hidden="false" customHeight="false" outlineLevel="0" collapsed="false">
      <c r="A31" s="18" t="s">
        <v>2389</v>
      </c>
      <c r="B31" s="18" t="s">
        <v>2390</v>
      </c>
      <c r="C31" s="18" t="s">
        <v>2391</v>
      </c>
      <c r="D31" s="18" t="s">
        <v>2392</v>
      </c>
      <c r="E31" s="18" t="s">
        <v>2393</v>
      </c>
      <c r="F31" s="18" t="s">
        <v>417</v>
      </c>
      <c r="L31" s="3"/>
      <c r="M31" s="3"/>
      <c r="N31" s="3"/>
      <c r="O31" s="3"/>
      <c r="P31" s="3"/>
    </row>
    <row r="32" customFormat="false" ht="12.8" hidden="false" customHeight="false" outlineLevel="0" collapsed="false">
      <c r="A32" s="18" t="s">
        <v>2394</v>
      </c>
      <c r="B32" s="18" t="s">
        <v>2390</v>
      </c>
      <c r="C32" s="18" t="s">
        <v>2063</v>
      </c>
      <c r="D32" s="18" t="s">
        <v>2395</v>
      </c>
      <c r="E32" s="18" t="s">
        <v>2064</v>
      </c>
      <c r="F32" s="18" t="s">
        <v>417</v>
      </c>
      <c r="L32" s="3"/>
      <c r="M32" s="3"/>
      <c r="N32" s="3"/>
      <c r="O32" s="3"/>
      <c r="P32" s="3"/>
    </row>
    <row r="33" customFormat="false" ht="12.8" hidden="false" customHeight="false" outlineLevel="0" collapsed="false">
      <c r="A33" s="18" t="s">
        <v>2396</v>
      </c>
      <c r="B33" s="18" t="s">
        <v>2390</v>
      </c>
      <c r="C33" s="18" t="s">
        <v>2066</v>
      </c>
      <c r="D33" s="18" t="s">
        <v>2397</v>
      </c>
      <c r="E33" s="18" t="s">
        <v>416</v>
      </c>
      <c r="F33" s="18" t="s">
        <v>417</v>
      </c>
      <c r="L33" s="3"/>
      <c r="M33" s="3"/>
      <c r="N33" s="3"/>
      <c r="O33" s="3"/>
      <c r="P33" s="3"/>
    </row>
    <row r="34" customFormat="false" ht="12.8" hidden="false" customHeight="false" outlineLevel="0" collapsed="false">
      <c r="A34" s="18" t="s">
        <v>2398</v>
      </c>
      <c r="B34" s="18" t="s">
        <v>2390</v>
      </c>
      <c r="C34" s="18" t="s">
        <v>419</v>
      </c>
      <c r="D34" s="18" t="s">
        <v>2399</v>
      </c>
      <c r="E34" s="18" t="s">
        <v>422</v>
      </c>
      <c r="F34" s="18" t="s">
        <v>417</v>
      </c>
      <c r="L34" s="3"/>
      <c r="M34" s="3"/>
      <c r="N34" s="3"/>
      <c r="O34" s="3"/>
      <c r="P34" s="3"/>
    </row>
    <row r="36" customFormat="false" ht="12.8" hidden="false" customHeight="false" outlineLevel="0" collapsed="false">
      <c r="A36" s="46" t="str">
        <f aca="false">_xlfn.CONCAT($A$1, ".", "PARAM")</f>
        <v>LSD.RID.0.AL.ETPR.PARAM</v>
      </c>
      <c r="B36" s="47" t="str">
        <f aca="false">_xlfn.CONCAT($B$1, " ", "Parameters")</f>
        <v>Alabama Employment-to-Population Ratio (ETPR) Parameters</v>
      </c>
    </row>
    <row r="37" customFormat="false" ht="12.8" hidden="false" customHeight="false" outlineLevel="0" collapsed="false">
      <c r="A37" s="49" t="s">
        <v>97</v>
      </c>
      <c r="B37" s="49" t="s">
        <v>283</v>
      </c>
      <c r="C37" s="49" t="s">
        <v>849</v>
      </c>
      <c r="D37" s="49" t="s">
        <v>286</v>
      </c>
      <c r="E37" s="49" t="s">
        <v>850</v>
      </c>
      <c r="F37" s="49" t="s">
        <v>851</v>
      </c>
      <c r="G37" s="49" t="s">
        <v>852</v>
      </c>
      <c r="H37" s="49" t="s">
        <v>287</v>
      </c>
    </row>
    <row r="38" customFormat="false" ht="12.8" hidden="false" customHeight="false" outlineLevel="0" collapsed="false">
      <c r="A38" s="51" t="s">
        <v>2400</v>
      </c>
      <c r="B38" s="51" t="s">
        <v>2401</v>
      </c>
      <c r="C38" s="51" t="n">
        <v>0.561</v>
      </c>
      <c r="D38" s="51" t="s">
        <v>2402</v>
      </c>
      <c r="E38" s="51" t="s">
        <v>857</v>
      </c>
      <c r="F38" s="51" t="s">
        <v>858</v>
      </c>
      <c r="G38" s="52" t="s">
        <v>859</v>
      </c>
      <c r="H38" s="51" t="s">
        <v>417</v>
      </c>
      <c r="AR38" s="18"/>
      <c r="AS38" s="18"/>
      <c r="AT38" s="18"/>
      <c r="AU38" s="18"/>
      <c r="BH38" s="18"/>
    </row>
    <row r="39" customFormat="false" ht="12.8" hidden="false" customHeight="false" outlineLevel="0" collapsed="false">
      <c r="A39" s="51" t="s">
        <v>2403</v>
      </c>
      <c r="B39" s="51" t="s">
        <v>2404</v>
      </c>
      <c r="C39" s="51" t="s">
        <v>2405</v>
      </c>
      <c r="D39" s="51" t="s">
        <v>2080</v>
      </c>
      <c r="E39" s="51" t="s">
        <v>2081</v>
      </c>
      <c r="F39" s="51" t="s">
        <v>2082</v>
      </c>
      <c r="G39" s="52" t="s">
        <v>859</v>
      </c>
      <c r="H39" s="51" t="s">
        <v>417</v>
      </c>
      <c r="AR39" s="18"/>
      <c r="AS39" s="18"/>
      <c r="AT39" s="18"/>
      <c r="AU39" s="18"/>
      <c r="BH39" s="18"/>
    </row>
    <row r="40" customFormat="false" ht="12.8" hidden="false" customHeight="false" outlineLevel="0" collapsed="false">
      <c r="A40" s="51" t="s">
        <v>2406</v>
      </c>
      <c r="B40" s="51" t="s">
        <v>2407</v>
      </c>
      <c r="C40" s="51" t="s">
        <v>2408</v>
      </c>
      <c r="D40" s="51" t="s">
        <v>2409</v>
      </c>
      <c r="E40" s="51" t="s">
        <v>2081</v>
      </c>
      <c r="F40" s="51" t="s">
        <v>2082</v>
      </c>
      <c r="G40" s="52" t="s">
        <v>859</v>
      </c>
      <c r="H40" s="51" t="s">
        <v>2158</v>
      </c>
      <c r="I40" s="18" t="s">
        <v>417</v>
      </c>
      <c r="AR40" s="18"/>
      <c r="AS40" s="18"/>
      <c r="AT40" s="18"/>
      <c r="AU40" s="18"/>
      <c r="BH40" s="18"/>
    </row>
    <row r="41" customFormat="false" ht="12.8" hidden="false" customHeight="false" outlineLevel="0" collapsed="false">
      <c r="A41" s="51" t="s">
        <v>2410</v>
      </c>
      <c r="B41" s="51" t="s">
        <v>2411</v>
      </c>
      <c r="C41" s="51" t="s">
        <v>2412</v>
      </c>
      <c r="D41" s="51" t="s">
        <v>2090</v>
      </c>
      <c r="E41" s="51" t="s">
        <v>2081</v>
      </c>
      <c r="F41" s="51" t="s">
        <v>2082</v>
      </c>
      <c r="G41" s="52" t="s">
        <v>859</v>
      </c>
      <c r="H41" s="51" t="s">
        <v>1072</v>
      </c>
      <c r="I41" s="18" t="s">
        <v>417</v>
      </c>
      <c r="AR41" s="18"/>
      <c r="AS41" s="18"/>
      <c r="AT41" s="18"/>
      <c r="AU41" s="18"/>
      <c r="BH41" s="18"/>
    </row>
    <row r="42" customFormat="false" ht="12.8" hidden="false" customHeight="false" outlineLevel="0" collapsed="false">
      <c r="A42" s="18" t="s">
        <v>2413</v>
      </c>
      <c r="B42" s="18" t="s">
        <v>2414</v>
      </c>
      <c r="C42" s="18" t="n">
        <v>0.65</v>
      </c>
      <c r="D42" s="18" t="s">
        <v>2293</v>
      </c>
      <c r="E42" s="18" t="s">
        <v>857</v>
      </c>
      <c r="F42" s="18" t="s">
        <v>2415</v>
      </c>
      <c r="G42" s="24" t="s">
        <v>859</v>
      </c>
      <c r="H42" s="18" t="s">
        <v>417</v>
      </c>
      <c r="AR42" s="18"/>
      <c r="AS42" s="18"/>
      <c r="AT42" s="18"/>
      <c r="AU42" s="18"/>
      <c r="BH42" s="18"/>
    </row>
    <row r="43" customFormat="false" ht="12.8" hidden="false" customHeight="false" outlineLevel="0" collapsed="false">
      <c r="A43" s="18" t="s">
        <v>2416</v>
      </c>
      <c r="B43" s="18" t="s">
        <v>1099</v>
      </c>
      <c r="C43" s="18" t="n">
        <v>4</v>
      </c>
      <c r="D43" s="18" t="s">
        <v>2167</v>
      </c>
      <c r="E43" s="18" t="s">
        <v>857</v>
      </c>
      <c r="F43" s="18" t="s">
        <v>2417</v>
      </c>
      <c r="G43" s="24" t="s">
        <v>859</v>
      </c>
      <c r="H43" s="18" t="s">
        <v>417</v>
      </c>
      <c r="AR43" s="18"/>
      <c r="AS43" s="18"/>
      <c r="AT43" s="18"/>
      <c r="AU43" s="18"/>
      <c r="BH43" s="18"/>
    </row>
    <row r="44" customFormat="false" ht="12.8" hidden="false" customHeight="false" outlineLevel="0" collapsed="false">
      <c r="A44" s="18"/>
      <c r="G44" s="24"/>
    </row>
    <row r="45" customFormat="false" ht="12.8" hidden="false" customHeight="false" outlineLevel="0" collapsed="false">
      <c r="A45" s="46" t="s">
        <v>2418</v>
      </c>
      <c r="B45" s="47" t="s">
        <v>2419</v>
      </c>
    </row>
    <row r="46" customFormat="false" ht="12.8" hidden="false" customHeight="false" outlineLevel="0" collapsed="false">
      <c r="A46" s="49" t="s">
        <v>101</v>
      </c>
      <c r="B46" s="49" t="s">
        <v>286</v>
      </c>
      <c r="C46" s="49" t="s">
        <v>849</v>
      </c>
      <c r="D46" s="49" t="s">
        <v>2093</v>
      </c>
      <c r="E46" s="49" t="s">
        <v>850</v>
      </c>
      <c r="F46" s="49" t="s">
        <v>2094</v>
      </c>
      <c r="G46" s="49" t="s">
        <v>2420</v>
      </c>
      <c r="H46" s="49" t="s">
        <v>2420</v>
      </c>
    </row>
    <row r="47" customFormat="false" ht="12.8" hidden="false" customHeight="false" outlineLevel="0" collapsed="false">
      <c r="A47" s="18" t="s">
        <v>2421</v>
      </c>
      <c r="B47" s="18" t="s">
        <v>1663</v>
      </c>
      <c r="C47" s="18" t="n">
        <v>0.561</v>
      </c>
      <c r="D47" s="18" t="s">
        <v>858</v>
      </c>
      <c r="E47" s="18" t="s">
        <v>857</v>
      </c>
      <c r="F47" s="18" t="s">
        <v>2097</v>
      </c>
      <c r="G47" s="18" t="s">
        <v>2422</v>
      </c>
    </row>
    <row r="48" customFormat="false" ht="12.8" hidden="false" customHeight="false" outlineLevel="0" collapsed="false">
      <c r="A48" s="18" t="s">
        <v>2423</v>
      </c>
      <c r="B48" s="18" t="s">
        <v>2099</v>
      </c>
      <c r="C48" s="18" t="s">
        <v>2424</v>
      </c>
      <c r="D48" s="18" t="s">
        <v>2425</v>
      </c>
      <c r="E48" s="18" t="s">
        <v>857</v>
      </c>
      <c r="F48" s="18" t="s">
        <v>2178</v>
      </c>
      <c r="G48" s="18" t="s">
        <v>2426</v>
      </c>
    </row>
    <row r="49" customFormat="false" ht="12.8" hidden="false" customHeight="false" outlineLevel="0" collapsed="false">
      <c r="A49" s="18" t="s">
        <v>2427</v>
      </c>
      <c r="B49" s="18" t="s">
        <v>2428</v>
      </c>
      <c r="C49" s="18" t="s">
        <v>2429</v>
      </c>
      <c r="D49" s="18" t="s">
        <v>2430</v>
      </c>
      <c r="E49" s="18" t="s">
        <v>857</v>
      </c>
      <c r="F49" s="18" t="s">
        <v>2375</v>
      </c>
      <c r="G49" s="18" t="s">
        <v>2431</v>
      </c>
    </row>
    <row r="50" customFormat="false" ht="12.8" hidden="false" customHeight="false" outlineLevel="0" collapsed="false">
      <c r="A50" s="18" t="s">
        <v>2432</v>
      </c>
      <c r="B50" s="18" t="s">
        <v>2109</v>
      </c>
      <c r="C50" s="18" t="s">
        <v>2433</v>
      </c>
      <c r="D50" s="18" t="s">
        <v>2434</v>
      </c>
      <c r="E50" s="18" t="s">
        <v>857</v>
      </c>
      <c r="F50" s="18" t="s">
        <v>2435</v>
      </c>
      <c r="G50" s="18" t="s">
        <v>2436</v>
      </c>
    </row>
    <row r="51" customFormat="false" ht="12.8" hidden="false" customHeight="false" outlineLevel="0" collapsed="false">
      <c r="A51" s="18" t="s">
        <v>2437</v>
      </c>
      <c r="B51" s="18" t="s">
        <v>2114</v>
      </c>
      <c r="C51" s="18" t="s">
        <v>2186</v>
      </c>
      <c r="D51" s="18" t="s">
        <v>2116</v>
      </c>
      <c r="E51" s="18" t="s">
        <v>857</v>
      </c>
      <c r="F51" s="18" t="s">
        <v>2117</v>
      </c>
      <c r="G51" s="18" t="s">
        <v>2438</v>
      </c>
    </row>
    <row r="52" customFormat="false" ht="12.8" hidden="false" customHeight="false" outlineLevel="0" collapsed="false">
      <c r="A52" s="18" t="s">
        <v>2439</v>
      </c>
      <c r="B52" s="18" t="s">
        <v>2119</v>
      </c>
      <c r="C52" s="18" t="s">
        <v>2120</v>
      </c>
      <c r="D52" s="18" t="s">
        <v>2440</v>
      </c>
      <c r="E52" s="18" t="s">
        <v>857</v>
      </c>
      <c r="F52" s="18" t="s">
        <v>2383</v>
      </c>
      <c r="G52" s="18" t="s">
        <v>2441</v>
      </c>
    </row>
    <row r="53" customFormat="false" ht="12.8" hidden="false" customHeight="false" outlineLevel="0" collapsed="false">
      <c r="A53" s="18" t="s">
        <v>2442</v>
      </c>
      <c r="B53" s="18" t="s">
        <v>2443</v>
      </c>
      <c r="C53" s="18" t="s">
        <v>2444</v>
      </c>
      <c r="D53" s="18" t="s">
        <v>2126</v>
      </c>
      <c r="E53" s="18" t="s">
        <v>857</v>
      </c>
      <c r="F53" s="18" t="s">
        <v>2127</v>
      </c>
      <c r="G53" s="18" t="s">
        <v>2445</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860D"/>
    <pageSetUpPr fitToPage="false"/>
  </sheetPr>
  <dimension ref="A1:BC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true" hidden="false" outlineLevel="0" max="1" min="1" style="17" width="20.76"/>
    <col collapsed="false" customWidth="true" hidden="false" outlineLevel="0" max="2" min="2" style="18" width="29.98"/>
    <col collapsed="false" customWidth="true" hidden="false" outlineLevel="0" max="3" min="3" style="18" width="21.47"/>
    <col collapsed="false" customWidth="true" hidden="false" outlineLevel="0" max="21" min="4" style="18" width="16.84"/>
    <col collapsed="false" customWidth="true" hidden="false" outlineLevel="0" max="35" min="22" style="18" width="17.78"/>
    <col collapsed="false" customWidth="true" hidden="false" outlineLevel="0" max="38" min="36" style="18" width="15.48"/>
    <col collapsed="false" customWidth="true" hidden="false" outlineLevel="0" max="43" min="43" style="18" width="18.45"/>
    <col collapsed="false" customWidth="true" hidden="false" outlineLevel="0" max="46" min="44" style="18" width="16.14"/>
    <col collapsed="false" customWidth="true" hidden="false" outlineLevel="0" max="54" min="47" style="18" width="13.84"/>
  </cols>
  <sheetData>
    <row r="1" customFormat="false" ht="12.9" hidden="false" customHeight="false" outlineLevel="0" collapsed="false">
      <c r="A1" s="14" t="s">
        <v>61</v>
      </c>
      <c r="B1" s="22" t="s">
        <v>2446</v>
      </c>
      <c r="C1" s="6" t="s">
        <v>2</v>
      </c>
      <c r="D1" s="48" t="s">
        <v>2447</v>
      </c>
      <c r="AM1" s="18"/>
      <c r="BC1" s="18"/>
    </row>
    <row r="2" customFormat="false" ht="12.8" hidden="false" customHeight="false" outlineLevel="0" collapsed="false">
      <c r="A2" s="46" t="str">
        <f aca="false">_xlfn.CONCAT($A$1, ".", "CALC")</f>
        <v>LSD.RID.0.AL.U3R.CALC</v>
      </c>
      <c r="B2" s="47" t="str">
        <f aca="false">_xlfn.CONCAT($B$1, " ", "Calculations")</f>
        <v>Alabama Unemployment Rate (U3R) Calculations</v>
      </c>
      <c r="C2" s="3"/>
      <c r="D2" s="3"/>
      <c r="E2" s="3"/>
      <c r="F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Q2" s="3"/>
      <c r="AR2" s="3"/>
      <c r="AS2" s="3"/>
      <c r="AT2" s="3"/>
      <c r="AU2" s="3"/>
      <c r="AV2" s="3"/>
      <c r="AW2" s="3"/>
      <c r="AX2" s="3"/>
      <c r="AY2" s="3"/>
      <c r="AZ2" s="3"/>
      <c r="BA2" s="3"/>
      <c r="BB2" s="3"/>
    </row>
    <row r="3" customFormat="false" ht="12.8" hidden="false" customHeight="false" outlineLevel="0" collapsed="false">
      <c r="A3" s="46" t="str">
        <f aca="false">CALC!A34</f>
        <v>LSID</v>
      </c>
      <c r="B3" s="22" t="str">
        <f aca="false">CALC!C34</f>
        <v>Labor Sector</v>
      </c>
      <c r="C3" s="54" t="str">
        <f aca="false">CALC!L34</f>
        <v>Overall U3R</v>
      </c>
      <c r="D3" s="54" t="str">
        <f aca="false">CALC!M34</f>
        <v>Authorized U3R</v>
      </c>
      <c r="E3" s="54" t="str">
        <f aca="false">CALC!N34</f>
        <v>Unauthorized U3R</v>
      </c>
      <c r="F3" s="54" t="str">
        <f aca="false">CALC!O34</f>
        <v>American U3R</v>
      </c>
      <c r="H3" s="55"/>
      <c r="J3" s="3"/>
      <c r="K3" s="3"/>
      <c r="L3" s="3"/>
      <c r="M3" s="3"/>
      <c r="N3" s="3"/>
      <c r="O3" s="3"/>
      <c r="P3" s="3"/>
      <c r="Q3" s="3"/>
      <c r="R3" s="3"/>
      <c r="S3" s="3"/>
      <c r="T3" s="3"/>
      <c r="U3" s="3"/>
      <c r="V3" s="3"/>
      <c r="W3" s="3"/>
      <c r="X3" s="3"/>
      <c r="Y3" s="3"/>
      <c r="Z3" s="3"/>
      <c r="AA3" s="3"/>
      <c r="AB3" s="3"/>
      <c r="AC3" s="3"/>
      <c r="AD3" s="3"/>
      <c r="AE3" s="3"/>
      <c r="AF3" s="3"/>
      <c r="AG3" s="3"/>
      <c r="AH3" s="3"/>
      <c r="AI3" s="3"/>
      <c r="AJ3" s="3"/>
      <c r="AK3" s="3"/>
      <c r="AL3" s="3"/>
      <c r="AQ3" s="3"/>
      <c r="AR3" s="3"/>
      <c r="AS3" s="3"/>
      <c r="AT3" s="3"/>
      <c r="AU3" s="3"/>
      <c r="AV3" s="3"/>
      <c r="AW3" s="3"/>
      <c r="AX3" s="3"/>
      <c r="AY3" s="3"/>
      <c r="AZ3" s="3"/>
      <c r="BA3" s="3"/>
      <c r="BB3" s="3"/>
    </row>
    <row r="4" customFormat="false" ht="12.8" hidden="false" customHeight="false" outlineLevel="0" collapsed="false">
      <c r="A4" s="46" t="str">
        <f aca="false">_xlfn.CONCAT($A$1, ".CALC.", CALC!A35)</f>
        <v>LSD.RID.0.AL.U3R.CALC.0</v>
      </c>
      <c r="B4" s="22" t="str">
        <f aca="false">CALC!C35</f>
        <v>All Industries</v>
      </c>
      <c r="C4" s="3" t="n">
        <v>0.027</v>
      </c>
      <c r="D4" s="3" t="n">
        <v>0.029</v>
      </c>
      <c r="E4" s="3" t="n">
        <v>0.033</v>
      </c>
      <c r="F4" s="3" t="n">
        <v>0.027</v>
      </c>
      <c r="G4" s="39"/>
      <c r="H4" s="39"/>
      <c r="J4" s="3"/>
      <c r="K4" s="3"/>
      <c r="L4" s="3"/>
      <c r="M4" s="3"/>
      <c r="N4" s="3"/>
      <c r="O4" s="3"/>
      <c r="P4" s="3"/>
      <c r="Q4" s="3"/>
      <c r="R4" s="3"/>
      <c r="S4" s="3"/>
      <c r="T4" s="3"/>
      <c r="U4" s="3"/>
      <c r="V4" s="3"/>
      <c r="W4" s="3"/>
      <c r="X4" s="3"/>
      <c r="Y4" s="3"/>
      <c r="Z4" s="3"/>
      <c r="AA4" s="3"/>
      <c r="AB4" s="3"/>
      <c r="AC4" s="3"/>
      <c r="AD4" s="3"/>
      <c r="AE4" s="3"/>
      <c r="AF4" s="3"/>
      <c r="AG4" s="3"/>
      <c r="AH4" s="3"/>
      <c r="AI4" s="3"/>
      <c r="AJ4" s="3"/>
      <c r="AK4" s="3"/>
      <c r="AL4" s="3"/>
      <c r="AQ4" s="3"/>
      <c r="AR4" s="3"/>
      <c r="AS4" s="3"/>
      <c r="AT4" s="3"/>
      <c r="AU4" s="3"/>
      <c r="AV4" s="3"/>
      <c r="AW4" s="3"/>
      <c r="AX4" s="3"/>
      <c r="AY4" s="3"/>
      <c r="AZ4" s="3"/>
      <c r="BA4" s="3"/>
      <c r="BB4" s="3"/>
    </row>
    <row r="5" customFormat="false" ht="22.8" hidden="false" customHeight="false" outlineLevel="0" collapsed="false">
      <c r="A5" s="46" t="str">
        <f aca="false">_xlfn.CONCAT($A$1, ".CALC.", CALC!A36)</f>
        <v>LSD.RID.0.AL.U3R.CALC.1</v>
      </c>
      <c r="B5" s="39" t="str">
        <f aca="false">CALC!C36</f>
        <v>Agriculture, Forestry, Fishing and Hunting</v>
      </c>
      <c r="C5" s="3" t="n">
        <v>0.045</v>
      </c>
      <c r="D5" s="3" t="n">
        <v>0.048</v>
      </c>
      <c r="E5" s="3" t="n">
        <v>0.062</v>
      </c>
      <c r="F5" s="3" t="n">
        <v>0.042</v>
      </c>
      <c r="G5" s="39"/>
      <c r="H5" s="39"/>
      <c r="J5" s="3"/>
      <c r="K5" s="3"/>
      <c r="L5" s="3"/>
      <c r="M5" s="3"/>
      <c r="N5" s="3"/>
      <c r="O5" s="3"/>
      <c r="P5" s="3"/>
      <c r="Q5" s="3"/>
      <c r="R5" s="3"/>
      <c r="S5" s="3"/>
      <c r="T5" s="3"/>
      <c r="U5" s="3"/>
      <c r="V5" s="3"/>
      <c r="W5" s="3"/>
      <c r="X5" s="3"/>
      <c r="Y5" s="3"/>
      <c r="Z5" s="3"/>
      <c r="AA5" s="3"/>
      <c r="AB5" s="3"/>
      <c r="AC5" s="3"/>
      <c r="AD5" s="3"/>
      <c r="AE5" s="3"/>
      <c r="AF5" s="3"/>
      <c r="AG5" s="3"/>
      <c r="AH5" s="3"/>
      <c r="AI5" s="3"/>
      <c r="AJ5" s="3"/>
      <c r="AK5" s="3"/>
      <c r="AL5" s="3"/>
      <c r="AQ5" s="3"/>
      <c r="AR5" s="3"/>
      <c r="AS5" s="3"/>
      <c r="AT5" s="3"/>
      <c r="AU5" s="3"/>
      <c r="AV5" s="3"/>
      <c r="AW5" s="3"/>
      <c r="AX5" s="3"/>
      <c r="AY5" s="3"/>
      <c r="AZ5" s="3"/>
      <c r="BA5" s="3"/>
      <c r="BB5" s="3"/>
    </row>
    <row r="6" customFormat="false" ht="22.8" hidden="false" customHeight="false" outlineLevel="0" collapsed="false">
      <c r="A6" s="46" t="str">
        <f aca="false">_xlfn.CONCAT($A$1, ".CALC.", CALC!A37)</f>
        <v>LSD.RID.0.AL.U3R.CALC.2</v>
      </c>
      <c r="B6" s="39" t="str">
        <f aca="false">CALC!C37</f>
        <v>Mining, Quarrying, and Oil and Gas Extraction</v>
      </c>
      <c r="C6" s="3" t="n">
        <v>0.038</v>
      </c>
      <c r="D6" s="3" t="n">
        <v>0.04</v>
      </c>
      <c r="E6" s="3" t="n">
        <v>0.052</v>
      </c>
      <c r="F6" s="3" t="n">
        <v>0.036</v>
      </c>
      <c r="G6" s="39"/>
      <c r="H6" s="39"/>
      <c r="J6" s="3"/>
      <c r="K6" s="3"/>
      <c r="L6" s="3"/>
      <c r="M6" s="3"/>
      <c r="N6" s="3"/>
      <c r="O6" s="3"/>
      <c r="P6" s="3"/>
      <c r="Q6" s="3"/>
      <c r="R6" s="3"/>
      <c r="S6" s="3"/>
      <c r="T6" s="3"/>
      <c r="U6" s="3"/>
      <c r="V6" s="3"/>
      <c r="W6" s="3"/>
      <c r="X6" s="3"/>
      <c r="Y6" s="3"/>
      <c r="Z6" s="3"/>
      <c r="AA6" s="3"/>
      <c r="AB6" s="3"/>
      <c r="AC6" s="3"/>
      <c r="AD6" s="3"/>
      <c r="AE6" s="3"/>
      <c r="AF6" s="3"/>
      <c r="AG6" s="3"/>
      <c r="AH6" s="3"/>
      <c r="AI6" s="3"/>
      <c r="AJ6" s="3"/>
      <c r="AK6" s="3"/>
      <c r="AL6" s="3"/>
      <c r="AQ6" s="3"/>
      <c r="AR6" s="3"/>
      <c r="AS6" s="3"/>
      <c r="AT6" s="3"/>
      <c r="AU6" s="3"/>
      <c r="AV6" s="3"/>
      <c r="AW6" s="3"/>
      <c r="AX6" s="3"/>
      <c r="AY6" s="3"/>
      <c r="AZ6" s="3"/>
      <c r="BA6" s="3"/>
      <c r="BB6" s="3"/>
    </row>
    <row r="7" customFormat="false" ht="12.8" hidden="false" customHeight="false" outlineLevel="0" collapsed="false">
      <c r="A7" s="46" t="str">
        <f aca="false">_xlfn.CONCAT($A$1, ".CALC.", CALC!A38)</f>
        <v>LSD.RID.0.AL.U3R.CALC.3</v>
      </c>
      <c r="B7" s="18" t="str">
        <f aca="false">CALC!C38</f>
        <v>Utilities</v>
      </c>
      <c r="C7" s="3" t="n">
        <v>0.018</v>
      </c>
      <c r="D7" s="3" t="n">
        <v>0.019</v>
      </c>
      <c r="E7" s="3" t="n">
        <v>0.022</v>
      </c>
      <c r="F7" s="3" t="n">
        <v>0.018</v>
      </c>
      <c r="G7" s="39"/>
      <c r="H7" s="39"/>
      <c r="J7" s="3"/>
      <c r="K7" s="3"/>
      <c r="L7" s="3"/>
      <c r="M7" s="3"/>
      <c r="N7" s="3"/>
      <c r="O7" s="3"/>
      <c r="P7" s="3"/>
      <c r="Q7" s="3"/>
      <c r="R7" s="3"/>
      <c r="S7" s="3"/>
      <c r="T7" s="3"/>
      <c r="U7" s="3"/>
      <c r="V7" s="3"/>
      <c r="W7" s="3"/>
      <c r="X7" s="3"/>
      <c r="Y7" s="3"/>
      <c r="Z7" s="3"/>
      <c r="AA7" s="3"/>
      <c r="AB7" s="3"/>
      <c r="AC7" s="3"/>
      <c r="AD7" s="3"/>
      <c r="AE7" s="3"/>
      <c r="AF7" s="3"/>
      <c r="AG7" s="3"/>
      <c r="AH7" s="3"/>
      <c r="AI7" s="3"/>
      <c r="AJ7" s="3"/>
      <c r="AK7" s="3"/>
      <c r="AL7" s="3"/>
      <c r="AQ7" s="3"/>
      <c r="AR7" s="3"/>
      <c r="AS7" s="3"/>
      <c r="AT7" s="3"/>
      <c r="AU7" s="3"/>
      <c r="AV7" s="3"/>
      <c r="AW7" s="3"/>
      <c r="AX7" s="3"/>
      <c r="AY7" s="3"/>
      <c r="AZ7" s="3"/>
      <c r="BA7" s="3"/>
      <c r="BB7" s="3"/>
    </row>
    <row r="8" customFormat="false" ht="12.8" hidden="false" customHeight="false" outlineLevel="0" collapsed="false">
      <c r="A8" s="46" t="str">
        <f aca="false">_xlfn.CONCAT($A$1, ".CALC.", CALC!A39)</f>
        <v>LSD.RID.0.AL.U3R.CALC.4</v>
      </c>
      <c r="B8" s="18" t="str">
        <f aca="false">CALC!C39</f>
        <v>Construction</v>
      </c>
      <c r="C8" s="3" t="n">
        <v>0.052</v>
      </c>
      <c r="D8" s="3" t="n">
        <v>0.056</v>
      </c>
      <c r="E8" s="3" t="n">
        <v>0.075</v>
      </c>
      <c r="F8" s="3" t="n">
        <v>0.048</v>
      </c>
      <c r="G8" s="39"/>
      <c r="H8" s="39"/>
      <c r="J8" s="3"/>
      <c r="K8" s="3"/>
      <c r="L8" s="3"/>
      <c r="M8" s="3"/>
      <c r="N8" s="3"/>
      <c r="O8" s="3"/>
      <c r="P8" s="3"/>
      <c r="Q8" s="3"/>
      <c r="R8" s="3"/>
      <c r="S8" s="3"/>
      <c r="T8" s="3"/>
      <c r="U8" s="3"/>
      <c r="V8" s="3"/>
      <c r="W8" s="3"/>
      <c r="X8" s="3"/>
      <c r="Y8" s="3"/>
      <c r="Z8" s="3"/>
      <c r="AA8" s="3"/>
      <c r="AB8" s="3"/>
      <c r="AC8" s="3"/>
      <c r="AD8" s="3"/>
      <c r="AE8" s="3"/>
      <c r="AF8" s="3"/>
      <c r="AG8" s="3"/>
      <c r="AH8" s="3"/>
      <c r="AI8" s="3"/>
      <c r="AJ8" s="3"/>
      <c r="AK8" s="3"/>
      <c r="AL8" s="3"/>
      <c r="AQ8" s="3"/>
      <c r="AR8" s="3"/>
      <c r="AS8" s="3"/>
      <c r="AT8" s="3"/>
      <c r="AU8" s="3"/>
      <c r="AV8" s="3"/>
      <c r="AW8" s="3"/>
      <c r="AX8" s="3"/>
      <c r="AY8" s="3"/>
      <c r="AZ8" s="3"/>
      <c r="BA8" s="3"/>
      <c r="BB8" s="3"/>
    </row>
    <row r="9" customFormat="false" ht="12.8" hidden="false" customHeight="false" outlineLevel="0" collapsed="false">
      <c r="A9" s="46" t="str">
        <f aca="false">_xlfn.CONCAT($A$1, ".CALC.", CALC!A40)</f>
        <v>LSD.RID.0.AL.U3R.CALC.5</v>
      </c>
      <c r="B9" s="39" t="str">
        <f aca="false">CALC!C40</f>
        <v>Manufacturing (Food,Textile, etc.)</v>
      </c>
      <c r="C9" s="3" t="n">
        <v>0.045</v>
      </c>
      <c r="D9" s="3" t="n">
        <v>0.048</v>
      </c>
      <c r="E9" s="3" t="n">
        <v>0.062</v>
      </c>
      <c r="F9" s="3" t="n">
        <v>0.042</v>
      </c>
      <c r="G9" s="39"/>
      <c r="H9" s="39"/>
      <c r="J9" s="3"/>
      <c r="K9" s="3"/>
      <c r="L9" s="3"/>
      <c r="M9" s="3"/>
      <c r="N9" s="3"/>
      <c r="O9" s="3"/>
      <c r="P9" s="3"/>
      <c r="Q9" s="3"/>
      <c r="R9" s="3"/>
      <c r="S9" s="3"/>
      <c r="T9" s="3"/>
      <c r="U9" s="3"/>
      <c r="V9" s="3"/>
      <c r="W9" s="3"/>
      <c r="X9" s="3"/>
      <c r="Y9" s="3"/>
      <c r="Z9" s="3"/>
      <c r="AA9" s="3"/>
      <c r="AB9" s="3"/>
      <c r="AC9" s="3"/>
      <c r="AD9" s="3"/>
      <c r="AE9" s="3"/>
      <c r="AF9" s="3"/>
      <c r="AG9" s="3"/>
      <c r="AH9" s="3"/>
      <c r="AI9" s="3"/>
      <c r="AJ9" s="3"/>
      <c r="AK9" s="3"/>
      <c r="AL9" s="3"/>
      <c r="AQ9" s="3"/>
      <c r="AR9" s="3"/>
      <c r="AS9" s="3"/>
      <c r="AT9" s="3"/>
      <c r="AU9" s="3"/>
      <c r="AV9" s="3"/>
      <c r="AW9" s="3"/>
      <c r="AX9" s="3"/>
      <c r="AY9" s="3"/>
      <c r="AZ9" s="3"/>
      <c r="BA9" s="3"/>
      <c r="BB9" s="3"/>
    </row>
    <row r="10" customFormat="false" ht="22.8" hidden="false" customHeight="false" outlineLevel="0" collapsed="false">
      <c r="A10" s="46" t="str">
        <f aca="false">_xlfn.CONCAT($A$1, ".CALC.", CALC!A41)</f>
        <v>LSD.RID.0.AL.U3R.CALC.6</v>
      </c>
      <c r="B10" s="39" t="str">
        <f aca="false">CALC!C41</f>
        <v>Manufacturing (Wood, Paper, Printing, etc.)</v>
      </c>
      <c r="C10" s="3" t="n">
        <v>0.038</v>
      </c>
      <c r="D10" s="3" t="n">
        <v>0.04</v>
      </c>
      <c r="E10" s="3" t="n">
        <v>0.052</v>
      </c>
      <c r="F10" s="3" t="n">
        <v>0.036</v>
      </c>
      <c r="G10" s="39"/>
      <c r="H10" s="39"/>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Q10" s="3"/>
      <c r="AR10" s="3"/>
      <c r="AS10" s="3"/>
      <c r="AT10" s="3"/>
      <c r="AU10" s="3"/>
      <c r="AV10" s="3"/>
      <c r="AW10" s="3"/>
      <c r="AX10" s="3"/>
      <c r="AY10" s="3"/>
      <c r="AZ10" s="3"/>
      <c r="BA10" s="3"/>
      <c r="BB10" s="3"/>
    </row>
    <row r="11" customFormat="false" ht="22.8" hidden="false" customHeight="false" outlineLevel="0" collapsed="false">
      <c r="A11" s="46" t="str">
        <f aca="false">_xlfn.CONCAT($A$1, ".CALC.", CALC!A42)</f>
        <v>LSD.RID.0.AL.U3R.CALC.7</v>
      </c>
      <c r="B11" s="39" t="str">
        <f aca="false">CALC!C42</f>
        <v>Manufacturing (Machinery, Transport)</v>
      </c>
      <c r="C11" s="3" t="n">
        <v>0.038</v>
      </c>
      <c r="D11" s="3" t="n">
        <v>0.04</v>
      </c>
      <c r="E11" s="3" t="n">
        <v>0.052</v>
      </c>
      <c r="F11" s="3" t="n">
        <v>0.036</v>
      </c>
      <c r="G11" s="39"/>
      <c r="H11" s="39"/>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Q11" s="3"/>
      <c r="AR11" s="3"/>
      <c r="AS11" s="3"/>
      <c r="AT11" s="3"/>
      <c r="AU11" s="3"/>
      <c r="AV11" s="3"/>
      <c r="AW11" s="3"/>
      <c r="AX11" s="3"/>
      <c r="AY11" s="3"/>
      <c r="AZ11" s="3"/>
      <c r="BA11" s="3"/>
      <c r="BB11" s="3"/>
    </row>
    <row r="12" customFormat="false" ht="12.9" hidden="false" customHeight="false" outlineLevel="0" collapsed="false">
      <c r="A12" s="46" t="str">
        <f aca="false">_xlfn.CONCAT($A$1, ".CALC.", CALC!A43)</f>
        <v>LSD.RID.0.AL.U3R.CALC.8</v>
      </c>
      <c r="B12" s="18" t="str">
        <f aca="false">CALC!C43</f>
        <v>Wholesale Trade</v>
      </c>
      <c r="C12" s="3" t="n">
        <v>0.028</v>
      </c>
      <c r="D12" s="3" t="n">
        <v>0.03</v>
      </c>
      <c r="E12" s="3" t="n">
        <v>0.04</v>
      </c>
      <c r="F12" s="3" t="n">
        <v>0.027</v>
      </c>
      <c r="G12" s="39"/>
      <c r="H12" s="39"/>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Q12" s="3"/>
      <c r="AR12" s="3"/>
      <c r="AS12" s="3"/>
      <c r="AT12" s="3"/>
      <c r="AU12" s="3"/>
      <c r="AV12" s="3"/>
      <c r="AW12" s="3"/>
      <c r="AX12" s="3"/>
      <c r="AY12" s="3"/>
      <c r="AZ12" s="3"/>
      <c r="BA12" s="3"/>
      <c r="BB12" s="3"/>
    </row>
    <row r="13" customFormat="false" ht="22.8" hidden="false" customHeight="false" outlineLevel="0" collapsed="false">
      <c r="A13" s="46" t="str">
        <f aca="false">_xlfn.CONCAT($A$1, ".CALC.", CALC!A44)</f>
        <v>LSD.RID.0.AL.U3R.CALC.9</v>
      </c>
      <c r="B13" s="39" t="str">
        <f aca="false">CALC!C44</f>
        <v>Retail Trade (Motor Vehicle, Electronics)</v>
      </c>
      <c r="C13" s="3" t="n">
        <v>0.028</v>
      </c>
      <c r="D13" s="3" t="n">
        <v>0.03</v>
      </c>
      <c r="E13" s="3" t="n">
        <v>0.04</v>
      </c>
      <c r="F13" s="3" t="n">
        <v>0.027</v>
      </c>
      <c r="G13" s="39"/>
      <c r="H13" s="39"/>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Q13" s="3"/>
      <c r="AR13" s="3"/>
      <c r="AS13" s="3"/>
      <c r="AT13" s="3"/>
      <c r="AU13" s="3"/>
      <c r="AV13" s="3"/>
      <c r="AW13" s="3"/>
      <c r="AX13" s="3"/>
      <c r="AY13" s="3"/>
      <c r="AZ13" s="3"/>
      <c r="BA13" s="3"/>
      <c r="BB13" s="3"/>
    </row>
    <row r="14" customFormat="false" ht="22.8" hidden="false" customHeight="false" outlineLevel="0" collapsed="false">
      <c r="A14" s="46" t="str">
        <f aca="false">_xlfn.CONCAT($A$1, ".CALC.", CALC!A45)</f>
        <v>LSD.RID.0.AL.U3R.CALC.10</v>
      </c>
      <c r="B14" s="39" t="str">
        <f aca="false">CALC!C45</f>
        <v>Retail Trade (Food, Clothing, General Merchandise, etc.)</v>
      </c>
      <c r="C14" s="3" t="n">
        <v>0.028</v>
      </c>
      <c r="D14" s="3" t="n">
        <v>0.03</v>
      </c>
      <c r="E14" s="3" t="n">
        <v>0.04</v>
      </c>
      <c r="F14" s="3" t="n">
        <v>0.027</v>
      </c>
      <c r="G14" s="39"/>
      <c r="H14" s="39"/>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Q14" s="3"/>
      <c r="AR14" s="3"/>
      <c r="AS14" s="3"/>
      <c r="AT14" s="3"/>
      <c r="AU14" s="3"/>
      <c r="AV14" s="3"/>
      <c r="AW14" s="3"/>
      <c r="AX14" s="3"/>
      <c r="AY14" s="3"/>
      <c r="AZ14" s="3"/>
      <c r="BA14" s="3"/>
      <c r="BB14" s="3"/>
    </row>
    <row r="15" customFormat="false" ht="12.8" hidden="false" customHeight="false" outlineLevel="0" collapsed="false">
      <c r="A15" s="46" t="str">
        <f aca="false">_xlfn.CONCAT($A$1, ".CALC.", CALC!A46)</f>
        <v>LSD.RID.0.AL.U3R.CALC.11</v>
      </c>
      <c r="B15" s="18" t="str">
        <f aca="false">CALC!C46</f>
        <v>Transportation</v>
      </c>
      <c r="C15" s="3" t="n">
        <v>0.028</v>
      </c>
      <c r="D15" s="3" t="n">
        <v>0.03</v>
      </c>
      <c r="E15" s="3" t="n">
        <v>0.04</v>
      </c>
      <c r="F15" s="3" t="n">
        <v>0.027</v>
      </c>
      <c r="G15" s="39"/>
      <c r="H15" s="39"/>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Q15" s="3"/>
      <c r="AR15" s="3"/>
      <c r="AS15" s="3"/>
      <c r="AT15" s="3"/>
      <c r="AU15" s="3"/>
      <c r="AV15" s="3"/>
      <c r="AW15" s="3"/>
      <c r="AX15" s="3"/>
      <c r="AY15" s="3"/>
      <c r="AZ15" s="3"/>
      <c r="BA15" s="3"/>
      <c r="BB15" s="3"/>
    </row>
    <row r="16" customFormat="false" ht="12.8" hidden="false" customHeight="false" outlineLevel="0" collapsed="false">
      <c r="A16" s="46" t="str">
        <f aca="false">_xlfn.CONCAT($A$1, ".CALC.", CALC!A47)</f>
        <v>LSD.RID.0.AL.U3R.CALC.12</v>
      </c>
      <c r="B16" s="18" t="str">
        <f aca="false">CALC!C47</f>
        <v>Warehousing and Storage</v>
      </c>
      <c r="C16" s="3" t="n">
        <v>0.028</v>
      </c>
      <c r="D16" s="3" t="n">
        <v>0.03</v>
      </c>
      <c r="E16" s="3" t="n">
        <v>0.04</v>
      </c>
      <c r="F16" s="3" t="n">
        <v>0.027</v>
      </c>
      <c r="G16" s="39"/>
      <c r="H16" s="39"/>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Q16" s="3"/>
      <c r="AR16" s="3"/>
      <c r="AS16" s="3"/>
      <c r="AT16" s="3"/>
      <c r="AU16" s="3"/>
      <c r="AV16" s="3"/>
      <c r="AW16" s="3"/>
      <c r="AX16" s="3"/>
      <c r="AY16" s="3"/>
      <c r="AZ16" s="3"/>
      <c r="BA16" s="3"/>
      <c r="BB16" s="3"/>
    </row>
    <row r="17" customFormat="false" ht="12.8" hidden="false" customHeight="false" outlineLevel="0" collapsed="false">
      <c r="A17" s="46" t="str">
        <f aca="false">_xlfn.CONCAT($A$1, ".CALC.", CALC!A48)</f>
        <v>LSD.RID.0.AL.U3R.CALC.13</v>
      </c>
      <c r="B17" s="18" t="str">
        <f aca="false">CALC!C48</f>
        <v>Information</v>
      </c>
      <c r="C17" s="3" t="n">
        <v>0.028</v>
      </c>
      <c r="D17" s="3" t="n">
        <v>0.03</v>
      </c>
      <c r="E17" s="3" t="n">
        <v>0.04</v>
      </c>
      <c r="F17" s="3" t="n">
        <v>0.027</v>
      </c>
      <c r="G17" s="39"/>
      <c r="H17" s="39"/>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Q17" s="3"/>
      <c r="AR17" s="3"/>
      <c r="AS17" s="3"/>
      <c r="AT17" s="3"/>
      <c r="AU17" s="3"/>
      <c r="AV17" s="3"/>
      <c r="AW17" s="3"/>
      <c r="AX17" s="3"/>
      <c r="AY17" s="3"/>
      <c r="AZ17" s="3"/>
      <c r="BA17" s="3"/>
      <c r="BB17" s="3"/>
    </row>
    <row r="18" customFormat="false" ht="12.8" hidden="false" customHeight="false" outlineLevel="0" collapsed="false">
      <c r="A18" s="46" t="str">
        <f aca="false">_xlfn.CONCAT($A$1, ".CALC.", CALC!A49)</f>
        <v>LSD.RID.0.AL.U3R.CALC.14</v>
      </c>
      <c r="B18" s="18" t="str">
        <f aca="false">CALC!C49</f>
        <v>Finance and Insurance</v>
      </c>
      <c r="C18" s="3" t="n">
        <v>0.018</v>
      </c>
      <c r="D18" s="3" t="n">
        <v>0.019</v>
      </c>
      <c r="E18" s="3" t="n">
        <v>0.022</v>
      </c>
      <c r="F18" s="3" t="n">
        <v>0.018</v>
      </c>
      <c r="G18" s="39"/>
      <c r="H18" s="39"/>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Q18" s="3"/>
      <c r="AR18" s="3"/>
      <c r="AS18" s="3"/>
      <c r="AT18" s="3"/>
      <c r="AU18" s="3"/>
      <c r="AV18" s="3"/>
      <c r="AW18" s="3"/>
      <c r="AX18" s="3"/>
      <c r="AY18" s="3"/>
      <c r="AZ18" s="3"/>
      <c r="BA18" s="3"/>
      <c r="BB18" s="3"/>
    </row>
    <row r="19" customFormat="false" ht="12.8" hidden="false" customHeight="false" outlineLevel="0" collapsed="false">
      <c r="A19" s="46" t="str">
        <f aca="false">_xlfn.CONCAT($A$1, ".CALC.", CALC!A50)</f>
        <v>LSD.RID.0.AL.U3R.CALC.15</v>
      </c>
      <c r="B19" s="39" t="str">
        <f aca="false">CALC!C50</f>
        <v>Real Estate and Rental and Leasing</v>
      </c>
      <c r="C19" s="3" t="n">
        <v>0.018</v>
      </c>
      <c r="D19" s="3" t="n">
        <v>0.019</v>
      </c>
      <c r="E19" s="3" t="n">
        <v>0.022</v>
      </c>
      <c r="F19" s="3" t="n">
        <v>0.018</v>
      </c>
      <c r="G19" s="39"/>
      <c r="H19" s="39"/>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Q19" s="3"/>
      <c r="AR19" s="3"/>
      <c r="AS19" s="3"/>
      <c r="AT19" s="3"/>
      <c r="AU19" s="3"/>
      <c r="AV19" s="3"/>
      <c r="AW19" s="3"/>
      <c r="AX19" s="3"/>
      <c r="AY19" s="3"/>
      <c r="AZ19" s="3"/>
      <c r="BA19" s="3"/>
      <c r="BB19" s="3"/>
    </row>
    <row r="20" customFormat="false" ht="22.8" hidden="false" customHeight="false" outlineLevel="0" collapsed="false">
      <c r="A20" s="46" t="str">
        <f aca="false">_xlfn.CONCAT($A$1, ".CALC.", CALC!A51)</f>
        <v>LSD.RID.0.AL.U3R.CALC.16</v>
      </c>
      <c r="B20" s="39" t="str">
        <f aca="false">CALC!C51</f>
        <v>Professional, Scientific, and Technical Services</v>
      </c>
      <c r="C20" s="3" t="n">
        <v>0.018</v>
      </c>
      <c r="D20" s="3" t="n">
        <v>0.019</v>
      </c>
      <c r="E20" s="3" t="n">
        <v>0.022</v>
      </c>
      <c r="F20" s="3" t="n">
        <v>0.018</v>
      </c>
      <c r="G20" s="39"/>
      <c r="H20" s="39"/>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Q20" s="3"/>
      <c r="AR20" s="3"/>
      <c r="AS20" s="3"/>
      <c r="AT20" s="3"/>
      <c r="AU20" s="3"/>
      <c r="AV20" s="3"/>
      <c r="AW20" s="3"/>
      <c r="AX20" s="3"/>
      <c r="AY20" s="3"/>
      <c r="AZ20" s="3"/>
      <c r="BA20" s="3"/>
      <c r="BB20" s="3"/>
    </row>
    <row r="21" customFormat="false" ht="33.35" hidden="false" customHeight="false" outlineLevel="0" collapsed="false">
      <c r="A21" s="46" t="str">
        <f aca="false">_xlfn.CONCAT($A$1, ".CALC.", CALC!A52)</f>
        <v>LSD.RID.0.AL.U3R.CALC.17</v>
      </c>
      <c r="B21" s="39" t="str">
        <f aca="false">CALC!C52</f>
        <v>Administrative and Support and Waste Management and Remediation Services</v>
      </c>
      <c r="C21" s="3" t="n">
        <v>0.045</v>
      </c>
      <c r="D21" s="3" t="n">
        <v>0.048</v>
      </c>
      <c r="E21" s="3" t="n">
        <v>0.062</v>
      </c>
      <c r="F21" s="3" t="n">
        <v>0.042</v>
      </c>
      <c r="G21" s="39"/>
      <c r="H21" s="39"/>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Q21" s="3"/>
      <c r="AR21" s="3"/>
      <c r="AS21" s="3"/>
      <c r="AT21" s="3"/>
      <c r="AU21" s="3"/>
      <c r="AV21" s="3"/>
      <c r="AW21" s="3"/>
      <c r="AX21" s="3"/>
      <c r="AY21" s="3"/>
      <c r="AZ21" s="3"/>
      <c r="BA21" s="3"/>
      <c r="BB21" s="3"/>
    </row>
    <row r="22" customFormat="false" ht="12.8" hidden="false" customHeight="false" outlineLevel="0" collapsed="false">
      <c r="A22" s="46" t="str">
        <f aca="false">_xlfn.CONCAT($A$1, ".CALC.", CALC!A53)</f>
        <v>LSD.RID.0.AL.U3R.CALC.18</v>
      </c>
      <c r="B22" s="18" t="str">
        <f aca="false">CALC!C53</f>
        <v>Educational Services</v>
      </c>
      <c r="C22" s="3" t="n">
        <v>0.018</v>
      </c>
      <c r="D22" s="3" t="n">
        <v>0.019</v>
      </c>
      <c r="E22" s="3" t="n">
        <v>0.022</v>
      </c>
      <c r="F22" s="3" t="n">
        <v>0.018</v>
      </c>
      <c r="G22" s="39"/>
      <c r="H22" s="39"/>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Q22" s="3"/>
      <c r="AR22" s="3"/>
      <c r="AS22" s="3"/>
      <c r="AT22" s="3"/>
      <c r="AU22" s="3"/>
      <c r="AV22" s="3"/>
      <c r="AW22" s="3"/>
      <c r="AX22" s="3"/>
      <c r="AY22" s="3"/>
      <c r="AZ22" s="3"/>
      <c r="BA22" s="3"/>
      <c r="BB22" s="3"/>
    </row>
    <row r="23" customFormat="false" ht="12.8" hidden="false" customHeight="false" outlineLevel="0" collapsed="false">
      <c r="A23" s="46" t="str">
        <f aca="false">_xlfn.CONCAT($A$1, ".CALC.", CALC!A54)</f>
        <v>LSD.RID.0.AL.U3R.CALC.19</v>
      </c>
      <c r="B23" s="39" t="str">
        <f aca="false">CALC!C54</f>
        <v>Health Care and Social Assistance</v>
      </c>
      <c r="C23" s="3" t="n">
        <v>0.018</v>
      </c>
      <c r="D23" s="3" t="n">
        <v>0.019</v>
      </c>
      <c r="E23" s="3" t="n">
        <v>0.022</v>
      </c>
      <c r="F23" s="3" t="n">
        <v>0.018</v>
      </c>
      <c r="G23" s="39"/>
      <c r="H23" s="39"/>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Q23" s="3"/>
      <c r="AR23" s="3"/>
      <c r="AS23" s="3"/>
      <c r="AT23" s="3"/>
      <c r="AU23" s="3"/>
      <c r="AV23" s="3"/>
      <c r="AW23" s="3"/>
      <c r="AX23" s="3"/>
      <c r="AY23" s="3"/>
      <c r="AZ23" s="3"/>
      <c r="BA23" s="3"/>
      <c r="BB23" s="3"/>
    </row>
    <row r="24" customFormat="false" ht="12.8" hidden="false" customHeight="false" outlineLevel="0" collapsed="false">
      <c r="A24" s="46" t="str">
        <f aca="false">_xlfn.CONCAT($A$1, ".CALC.", CALC!A55)</f>
        <v>LSD.RID.0.AL.U3R.CALC.20</v>
      </c>
      <c r="B24" s="39" t="str">
        <f aca="false">CALC!C55</f>
        <v>Arts, Entertainment,and Recreation</v>
      </c>
      <c r="C24" s="3" t="n">
        <v>0.018</v>
      </c>
      <c r="D24" s="3" t="n">
        <v>0.019</v>
      </c>
      <c r="E24" s="3" t="n">
        <v>0.022</v>
      </c>
      <c r="F24" s="3" t="n">
        <v>0.018</v>
      </c>
      <c r="G24" s="39"/>
      <c r="H24" s="39"/>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Q24" s="3"/>
      <c r="AR24" s="3"/>
      <c r="AS24" s="3"/>
      <c r="AT24" s="3"/>
      <c r="AU24" s="3"/>
      <c r="AV24" s="3"/>
      <c r="AW24" s="3"/>
      <c r="AX24" s="3"/>
      <c r="AY24" s="3"/>
      <c r="AZ24" s="3"/>
      <c r="BA24" s="3"/>
      <c r="BB24" s="3"/>
    </row>
    <row r="25" customFormat="false" ht="12.8" hidden="false" customHeight="false" outlineLevel="0" collapsed="false">
      <c r="A25" s="46" t="str">
        <f aca="false">_xlfn.CONCAT($A$1, ".CALC.", CALC!A56)</f>
        <v>LSD.RID.0.AL.U3R.CALC.21</v>
      </c>
      <c r="B25" s="39" t="str">
        <f aca="false">CALC!C56</f>
        <v>Accommodation and Food Services</v>
      </c>
      <c r="C25" s="3" t="n">
        <v>0.045</v>
      </c>
      <c r="D25" s="3" t="n">
        <v>0.048</v>
      </c>
      <c r="E25" s="3" t="n">
        <v>0.062</v>
      </c>
      <c r="F25" s="3" t="n">
        <v>0.042</v>
      </c>
      <c r="G25" s="39"/>
      <c r="H25" s="39"/>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Q25" s="3"/>
      <c r="AR25" s="3"/>
      <c r="AS25" s="3"/>
      <c r="AT25" s="3"/>
      <c r="AU25" s="3"/>
      <c r="AV25" s="3"/>
      <c r="AW25" s="3"/>
      <c r="AX25" s="3"/>
      <c r="AY25" s="3"/>
      <c r="AZ25" s="3"/>
      <c r="BA25" s="3"/>
      <c r="BB25" s="3"/>
    </row>
    <row r="26" customFormat="false" ht="22.8" hidden="false" customHeight="false" outlineLevel="0" collapsed="false">
      <c r="A26" s="46" t="str">
        <f aca="false">_xlfn.CONCAT($A$1, ".CALC.", CALC!A57)</f>
        <v>LSD.RID.0.AL.U3R.CALC.22</v>
      </c>
      <c r="B26" s="39" t="str">
        <f aca="false">CALC!C57</f>
        <v>Other Services (except Public Administration)</v>
      </c>
      <c r="C26" s="3" t="n">
        <v>0.028</v>
      </c>
      <c r="D26" s="3" t="n">
        <v>0.03</v>
      </c>
      <c r="E26" s="3" t="n">
        <v>0.04</v>
      </c>
      <c r="F26" s="3" t="n">
        <v>0.027</v>
      </c>
      <c r="G26" s="39"/>
      <c r="H26" s="39"/>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Q26" s="3"/>
      <c r="AR26" s="3"/>
      <c r="AS26" s="3"/>
      <c r="AT26" s="3"/>
      <c r="AU26" s="3"/>
      <c r="AV26" s="3"/>
      <c r="AW26" s="3"/>
      <c r="AX26" s="3"/>
      <c r="AY26" s="3"/>
      <c r="AZ26" s="3"/>
      <c r="BA26" s="3"/>
      <c r="BB26" s="3"/>
    </row>
    <row r="27" customFormat="false" ht="12.8" hidden="false" customHeight="false" outlineLevel="0" collapsed="false">
      <c r="A27" s="46" t="str">
        <f aca="false">_xlfn.CONCAT($A$1, ".CALC.", CALC!A58)</f>
        <v>LSD.RID.0.AL.U3R.CALC.23</v>
      </c>
      <c r="B27" s="18" t="str">
        <f aca="false">CALC!C58</f>
        <v>Public Administration</v>
      </c>
      <c r="C27" s="3" t="n">
        <v>0.018</v>
      </c>
      <c r="D27" s="3" t="n">
        <v>0.019</v>
      </c>
      <c r="E27" s="3" t="n">
        <v>0.022</v>
      </c>
      <c r="F27" s="3" t="n">
        <v>0.018</v>
      </c>
      <c r="H27" s="39"/>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Q27" s="3"/>
      <c r="AR27" s="3"/>
      <c r="AS27" s="3"/>
      <c r="AT27" s="3"/>
      <c r="AU27" s="3"/>
      <c r="AV27" s="3"/>
      <c r="AW27" s="3"/>
      <c r="AX27" s="3"/>
      <c r="AY27" s="3"/>
      <c r="AZ27" s="3"/>
      <c r="BA27" s="3"/>
      <c r="BB27" s="3"/>
    </row>
    <row r="29" customFormat="false" ht="12.8" hidden="false" customHeight="false" outlineLevel="0" collapsed="false">
      <c r="A29" s="46" t="s">
        <v>2448</v>
      </c>
      <c r="B29" s="47" t="s">
        <v>2449</v>
      </c>
    </row>
    <row r="30" customFormat="false" ht="12.8" hidden="false" customHeight="false" outlineLevel="0" collapsed="false">
      <c r="A30" s="14" t="s">
        <v>93</v>
      </c>
      <c r="B30" s="49" t="s">
        <v>1801</v>
      </c>
      <c r="C30" s="49" t="s">
        <v>283</v>
      </c>
      <c r="D30" s="49" t="s">
        <v>2056</v>
      </c>
      <c r="E30" s="49" t="s">
        <v>286</v>
      </c>
      <c r="F30" s="49" t="s">
        <v>287</v>
      </c>
    </row>
    <row r="31" customFormat="false" ht="12.8" hidden="false" customHeight="false" outlineLevel="0" collapsed="false">
      <c r="A31" s="18" t="s">
        <v>2450</v>
      </c>
      <c r="B31" s="18" t="s">
        <v>2451</v>
      </c>
      <c r="C31" s="18" t="s">
        <v>2452</v>
      </c>
      <c r="D31" s="18" t="s">
        <v>2453</v>
      </c>
      <c r="E31" s="18" t="s">
        <v>2454</v>
      </c>
      <c r="F31" s="18" t="s">
        <v>417</v>
      </c>
    </row>
    <row r="32" customFormat="false" ht="12.8" hidden="false" customHeight="false" outlineLevel="0" collapsed="false">
      <c r="A32" s="18" t="s">
        <v>2455</v>
      </c>
      <c r="B32" s="18" t="s">
        <v>2451</v>
      </c>
      <c r="C32" s="18" t="s">
        <v>2063</v>
      </c>
      <c r="D32" s="18" t="s">
        <v>2456</v>
      </c>
      <c r="E32" s="18" t="s">
        <v>2064</v>
      </c>
      <c r="F32" s="18" t="s">
        <v>417</v>
      </c>
    </row>
    <row r="33" customFormat="false" ht="12.8" hidden="false" customHeight="false" outlineLevel="0" collapsed="false">
      <c r="A33" s="18" t="s">
        <v>2457</v>
      </c>
      <c r="B33" s="18" t="s">
        <v>2451</v>
      </c>
      <c r="C33" s="18" t="s">
        <v>2066</v>
      </c>
      <c r="D33" s="18" t="s">
        <v>2458</v>
      </c>
      <c r="E33" s="18" t="s">
        <v>2459</v>
      </c>
      <c r="F33" s="18" t="s">
        <v>417</v>
      </c>
    </row>
    <row r="34" customFormat="false" ht="12.8" hidden="false" customHeight="false" outlineLevel="0" collapsed="false">
      <c r="A34" s="18" t="s">
        <v>2460</v>
      </c>
      <c r="B34" s="18" t="s">
        <v>2451</v>
      </c>
      <c r="C34" s="18" t="s">
        <v>2461</v>
      </c>
      <c r="D34" s="18" t="s">
        <v>2462</v>
      </c>
      <c r="E34" s="18" t="s">
        <v>422</v>
      </c>
      <c r="F34" s="18" t="s">
        <v>417</v>
      </c>
    </row>
    <row r="36" customFormat="false" ht="12.8" hidden="false" customHeight="false" outlineLevel="0" collapsed="false">
      <c r="A36" s="46" t="s">
        <v>2463</v>
      </c>
      <c r="B36" s="47" t="s">
        <v>2464</v>
      </c>
    </row>
    <row r="37" customFormat="false" ht="12.8" hidden="false" customHeight="false" outlineLevel="0" collapsed="false">
      <c r="A37" s="49" t="s">
        <v>97</v>
      </c>
      <c r="B37" s="49" t="s">
        <v>283</v>
      </c>
      <c r="C37" s="49" t="s">
        <v>2073</v>
      </c>
      <c r="D37" s="49" t="s">
        <v>286</v>
      </c>
      <c r="E37" s="49" t="s">
        <v>850</v>
      </c>
      <c r="F37" s="49" t="s">
        <v>851</v>
      </c>
      <c r="G37" s="49" t="s">
        <v>852</v>
      </c>
      <c r="H37" s="49" t="s">
        <v>287</v>
      </c>
    </row>
    <row r="38" customFormat="false" ht="12.8" hidden="false" customHeight="false" outlineLevel="0" collapsed="false">
      <c r="A38" s="18" t="s">
        <v>2465</v>
      </c>
      <c r="B38" s="18" t="s">
        <v>2466</v>
      </c>
      <c r="C38" s="18" t="n">
        <v>0.027</v>
      </c>
      <c r="D38" s="18" t="s">
        <v>2467</v>
      </c>
      <c r="E38" s="18" t="s">
        <v>857</v>
      </c>
      <c r="F38" s="18" t="s">
        <v>858</v>
      </c>
      <c r="G38" s="24" t="s">
        <v>859</v>
      </c>
      <c r="H38" s="18" t="s">
        <v>417</v>
      </c>
    </row>
    <row r="39" customFormat="false" ht="12.8" hidden="false" customHeight="false" outlineLevel="0" collapsed="false">
      <c r="A39" s="18" t="s">
        <v>2468</v>
      </c>
      <c r="B39" s="18" t="s">
        <v>2469</v>
      </c>
      <c r="C39" s="18" t="s">
        <v>2470</v>
      </c>
      <c r="D39" s="18" t="s">
        <v>2080</v>
      </c>
      <c r="E39" s="18" t="s">
        <v>2081</v>
      </c>
      <c r="F39" s="18" t="s">
        <v>2082</v>
      </c>
      <c r="G39" s="24" t="s">
        <v>859</v>
      </c>
      <c r="H39" s="18" t="s">
        <v>417</v>
      </c>
    </row>
    <row r="40" customFormat="false" ht="12.8" hidden="false" customHeight="false" outlineLevel="0" collapsed="false">
      <c r="A40" s="18" t="s">
        <v>2471</v>
      </c>
      <c r="B40" s="18" t="s">
        <v>2472</v>
      </c>
      <c r="C40" s="18" t="s">
        <v>2473</v>
      </c>
      <c r="D40" s="18" t="s">
        <v>2474</v>
      </c>
      <c r="E40" s="18" t="s">
        <v>2081</v>
      </c>
      <c r="F40" s="18" t="s">
        <v>2082</v>
      </c>
      <c r="G40" s="24" t="s">
        <v>859</v>
      </c>
      <c r="H40" s="18" t="s">
        <v>2158</v>
      </c>
      <c r="I40" s="18" t="s">
        <v>417</v>
      </c>
    </row>
    <row r="41" customFormat="false" ht="12.8" hidden="false" customHeight="false" outlineLevel="0" collapsed="false">
      <c r="A41" s="18" t="s">
        <v>2475</v>
      </c>
      <c r="B41" s="18" t="s">
        <v>2476</v>
      </c>
      <c r="C41" s="18" t="s">
        <v>2477</v>
      </c>
      <c r="D41" s="18" t="s">
        <v>2090</v>
      </c>
      <c r="E41" s="18" t="s">
        <v>2081</v>
      </c>
      <c r="F41" s="18" t="s">
        <v>2082</v>
      </c>
      <c r="G41" s="24" t="s">
        <v>859</v>
      </c>
      <c r="H41" s="18" t="s">
        <v>1072</v>
      </c>
      <c r="I41" s="18" t="s">
        <v>417</v>
      </c>
    </row>
    <row r="42" customFormat="false" ht="12.8" hidden="false" customHeight="false" outlineLevel="0" collapsed="false">
      <c r="A42" s="18" t="s">
        <v>2478</v>
      </c>
      <c r="B42" s="18" t="s">
        <v>2479</v>
      </c>
      <c r="C42" s="18" t="n">
        <v>0.72</v>
      </c>
      <c r="D42" s="18" t="s">
        <v>2293</v>
      </c>
      <c r="E42" s="18" t="s">
        <v>857</v>
      </c>
      <c r="F42" s="18" t="s">
        <v>2480</v>
      </c>
      <c r="G42" s="24" t="s">
        <v>859</v>
      </c>
      <c r="H42" s="18" t="s">
        <v>417</v>
      </c>
    </row>
    <row r="43" customFormat="false" ht="12.8" hidden="false" customHeight="false" outlineLevel="0" collapsed="false">
      <c r="A43" s="17" t="s">
        <v>2481</v>
      </c>
      <c r="B43" s="18" t="s">
        <v>1213</v>
      </c>
      <c r="C43" s="18" t="n">
        <v>5</v>
      </c>
      <c r="D43" s="18" t="s">
        <v>2167</v>
      </c>
      <c r="E43" s="18" t="s">
        <v>857</v>
      </c>
      <c r="F43" s="18" t="s">
        <v>2482</v>
      </c>
      <c r="G43" s="24" t="s">
        <v>859</v>
      </c>
      <c r="H43" s="18" t="s">
        <v>417</v>
      </c>
    </row>
    <row r="45" customFormat="false" ht="12.8" hidden="false" customHeight="false" outlineLevel="0" collapsed="false">
      <c r="A45" s="46" t="s">
        <v>2483</v>
      </c>
      <c r="B45" s="47" t="s">
        <v>2484</v>
      </c>
    </row>
    <row r="46" customFormat="false" ht="12.8" hidden="false" customHeight="false" outlineLevel="0" collapsed="false">
      <c r="A46" s="49" t="s">
        <v>101</v>
      </c>
      <c r="B46" s="49" t="s">
        <v>286</v>
      </c>
      <c r="C46" s="49" t="s">
        <v>849</v>
      </c>
      <c r="D46" s="49" t="s">
        <v>2093</v>
      </c>
      <c r="E46" s="49" t="s">
        <v>850</v>
      </c>
      <c r="F46" s="49" t="s">
        <v>2094</v>
      </c>
      <c r="G46" s="49"/>
    </row>
    <row r="47" customFormat="false" ht="12.8" hidden="false" customHeight="false" outlineLevel="0" collapsed="false">
      <c r="A47" s="18" t="s">
        <v>2485</v>
      </c>
      <c r="B47" s="18" t="s">
        <v>1667</v>
      </c>
      <c r="C47" s="18" t="n">
        <v>0.027</v>
      </c>
      <c r="D47" s="18" t="s">
        <v>858</v>
      </c>
      <c r="E47" s="18" t="s">
        <v>857</v>
      </c>
      <c r="F47" s="18" t="s">
        <v>2486</v>
      </c>
    </row>
    <row r="48" customFormat="false" ht="12.8" hidden="false" customHeight="false" outlineLevel="0" collapsed="false">
      <c r="A48" s="18" t="s">
        <v>2487</v>
      </c>
      <c r="B48" s="18" t="s">
        <v>2099</v>
      </c>
      <c r="C48" s="18" t="s">
        <v>2488</v>
      </c>
      <c r="D48" s="18" t="s">
        <v>2489</v>
      </c>
      <c r="E48" s="18" t="s">
        <v>857</v>
      </c>
      <c r="F48" s="18" t="s">
        <v>2240</v>
      </c>
    </row>
    <row r="49" customFormat="false" ht="12.8" hidden="false" customHeight="false" outlineLevel="0" collapsed="false">
      <c r="A49" s="18" t="s">
        <v>2490</v>
      </c>
      <c r="B49" s="18" t="s">
        <v>2491</v>
      </c>
      <c r="C49" s="18" t="s">
        <v>2492</v>
      </c>
      <c r="D49" s="18" t="s">
        <v>2493</v>
      </c>
      <c r="E49" s="18" t="s">
        <v>857</v>
      </c>
      <c r="F49" s="18" t="s">
        <v>2375</v>
      </c>
    </row>
    <row r="50" customFormat="false" ht="12.8" hidden="false" customHeight="false" outlineLevel="0" collapsed="false">
      <c r="A50" s="18" t="s">
        <v>2494</v>
      </c>
      <c r="B50" s="18" t="s">
        <v>2109</v>
      </c>
      <c r="C50" s="18" t="s">
        <v>2495</v>
      </c>
      <c r="D50" s="18" t="s">
        <v>2496</v>
      </c>
      <c r="E50" s="18" t="s">
        <v>857</v>
      </c>
      <c r="F50" s="18" t="s">
        <v>2497</v>
      </c>
    </row>
    <row r="51" customFormat="false" ht="12.8" hidden="false" customHeight="false" outlineLevel="0" collapsed="false">
      <c r="A51" s="18" t="s">
        <v>2498</v>
      </c>
      <c r="B51" s="18" t="s">
        <v>2114</v>
      </c>
      <c r="C51" s="18" t="s">
        <v>2115</v>
      </c>
      <c r="D51" s="18" t="s">
        <v>2499</v>
      </c>
      <c r="E51" s="18" t="s">
        <v>857</v>
      </c>
      <c r="F51" s="18" t="s">
        <v>2250</v>
      </c>
      <c r="G51" s="18" t="s">
        <v>2500</v>
      </c>
    </row>
    <row r="52" customFormat="false" ht="12.8" hidden="false" customHeight="false" outlineLevel="0" collapsed="false">
      <c r="A52" s="18" t="s">
        <v>2501</v>
      </c>
      <c r="B52" s="18" t="s">
        <v>2119</v>
      </c>
      <c r="C52" s="18" t="s">
        <v>2120</v>
      </c>
      <c r="D52" s="18" t="s">
        <v>2440</v>
      </c>
      <c r="E52" s="18" t="s">
        <v>857</v>
      </c>
      <c r="F52" s="18" t="s">
        <v>2383</v>
      </c>
    </row>
    <row r="53" customFormat="false" ht="12.8" hidden="false" customHeight="false" outlineLevel="0" collapsed="false">
      <c r="A53" s="18" t="s">
        <v>2502</v>
      </c>
      <c r="B53" s="18" t="s">
        <v>2503</v>
      </c>
      <c r="C53" s="18" t="s">
        <v>2504</v>
      </c>
      <c r="D53" s="18" t="s">
        <v>2126</v>
      </c>
      <c r="E53" s="18" t="s">
        <v>857</v>
      </c>
      <c r="F53" s="18" t="s">
        <v>2127</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B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C16" activeCellId="0" sqref="C16"/>
    </sheetView>
  </sheetViews>
  <sheetFormatPr defaultColWidth="11.53515625" defaultRowHeight="12.8" customHeight="false" zeroHeight="false" outlineLevelRow="0" outlineLevelCol="0"/>
  <cols>
    <col collapsed="false" customWidth="true" hidden="false" outlineLevel="0" max="1" min="1" style="17" width="27.68"/>
    <col collapsed="false" customWidth="true" hidden="false" outlineLevel="0" max="2" min="2" style="18" width="27.68"/>
    <col collapsed="false" customWidth="true" hidden="false" outlineLevel="0" max="3" min="3" style="18" width="21.47"/>
    <col collapsed="false" customWidth="true" hidden="false" outlineLevel="0" max="6" min="4" style="18" width="19.14"/>
    <col collapsed="false" customWidth="true" hidden="false" outlineLevel="0" max="20" min="7" style="18" width="16.84"/>
    <col collapsed="false" customWidth="true" hidden="false" outlineLevel="0" max="34" min="21" style="18" width="17.78"/>
    <col collapsed="false" customWidth="true" hidden="false" outlineLevel="0" max="37" min="35" style="18" width="15.48"/>
    <col collapsed="false" customWidth="true" hidden="false" outlineLevel="0" max="42" min="42" style="18" width="18.45"/>
    <col collapsed="false" customWidth="true" hidden="false" outlineLevel="0" max="45" min="43" style="18" width="16.14"/>
    <col collapsed="false" customWidth="true" hidden="false" outlineLevel="0" max="53" min="46" style="18" width="13.84"/>
  </cols>
  <sheetData>
    <row r="1" customFormat="false" ht="12.9" hidden="false" customHeight="false" outlineLevel="0" collapsed="false">
      <c r="A1" s="4" t="s">
        <v>62</v>
      </c>
      <c r="B1" s="22" t="s">
        <v>2505</v>
      </c>
      <c r="C1" s="6" t="s">
        <v>2</v>
      </c>
      <c r="D1" s="48" t="s">
        <v>2506</v>
      </c>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c r="BA1" s="9"/>
      <c r="BB1" s="9"/>
    </row>
    <row r="2" customFormat="false" ht="12.8" hidden="false" customHeight="false" outlineLevel="0" collapsed="false">
      <c r="A2" s="46" t="str">
        <f aca="false">_xlfn.CONCAT($A$1, ".", "CALC")</f>
        <v>LSD.RID.0.AL.U3TPR.CALC</v>
      </c>
      <c r="B2" s="47" t="str">
        <f aca="false">_xlfn.CONCAT($B$1, " ", "Calculations")</f>
        <v>Alabama Unemployment-to-Population Ratio (U3TPR) Calculations</v>
      </c>
      <c r="C2" s="35" t="str">
        <f aca="false">CALC!P33</f>
        <v>Unemployment-to-Population Ratio (U3TPR)</v>
      </c>
      <c r="D2" s="35"/>
      <c r="E2" s="35"/>
      <c r="F2" s="35"/>
      <c r="G2" s="45"/>
      <c r="H2" s="45"/>
      <c r="I2" s="45"/>
      <c r="J2" s="45"/>
      <c r="K2" s="45" t="s">
        <v>2507</v>
      </c>
      <c r="L2" s="45" t="s">
        <v>2508</v>
      </c>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5"/>
      <c r="AT2" s="45"/>
      <c r="AU2" s="45"/>
      <c r="AV2" s="45"/>
      <c r="AW2" s="45"/>
      <c r="AX2" s="45"/>
      <c r="AY2" s="45"/>
      <c r="AZ2" s="45"/>
      <c r="BA2" s="45"/>
      <c r="BB2" s="45"/>
    </row>
    <row r="3" customFormat="false" ht="12.8" hidden="false" customHeight="false" outlineLevel="0" collapsed="false">
      <c r="A3" s="46" t="str">
        <f aca="false">CALC!A34</f>
        <v>LSID</v>
      </c>
      <c r="B3" s="22" t="str">
        <f aca="false">CALC!C34</f>
        <v>Labor Sector</v>
      </c>
      <c r="C3" s="37" t="str">
        <f aca="false">CALC!P34</f>
        <v>Overall U3TPR</v>
      </c>
      <c r="D3" s="37" t="str">
        <f aca="false">CALC!Q34</f>
        <v>Authorized U3TPR</v>
      </c>
      <c r="E3" s="37" t="str">
        <f aca="false">CALC!R34</f>
        <v>Unauthorized U3TPR</v>
      </c>
      <c r="F3" s="37" t="str">
        <f aca="false">CALC!S34</f>
        <v>American U3TPR</v>
      </c>
      <c r="K3" s="18" t="s">
        <v>99</v>
      </c>
      <c r="L3" s="18" t="s">
        <v>1604</v>
      </c>
      <c r="M3" s="18" t="s">
        <v>1671</v>
      </c>
      <c r="N3" s="18" t="s">
        <v>1672</v>
      </c>
      <c r="O3" s="18" t="s">
        <v>1673</v>
      </c>
      <c r="P3" s="18" t="s">
        <v>1674</v>
      </c>
      <c r="Z3" s="3"/>
      <c r="AA3" s="3"/>
      <c r="AB3" s="3"/>
      <c r="AC3" s="3"/>
      <c r="AL3" s="18"/>
      <c r="AM3" s="18"/>
      <c r="AN3" s="18"/>
      <c r="AO3" s="18"/>
      <c r="AP3" s="3"/>
      <c r="AQ3" s="3"/>
      <c r="AR3" s="3"/>
      <c r="AS3" s="3"/>
      <c r="AT3" s="3"/>
      <c r="AU3" s="3"/>
      <c r="AV3" s="3"/>
      <c r="AW3" s="3"/>
      <c r="AX3" s="3"/>
      <c r="AY3" s="3"/>
      <c r="AZ3" s="3"/>
      <c r="BA3" s="3"/>
    </row>
    <row r="4" customFormat="false" ht="12.8" hidden="false" customHeight="false" outlineLevel="0" collapsed="false">
      <c r="A4" s="46" t="str">
        <f aca="false">_xlfn.CONCAT($A$1, ".CALC.", CALC!A35)</f>
        <v>LSD.RID.0.AL.U3TPR.CALC.0</v>
      </c>
      <c r="B4" s="22" t="str">
        <f aca="false">CALC!C35</f>
        <v>All Industries</v>
      </c>
      <c r="C4" s="18" t="n">
        <v>0.0155</v>
      </c>
      <c r="D4" s="18" t="n">
        <v>0.0128</v>
      </c>
      <c r="E4" s="18" t="n">
        <v>0.0482</v>
      </c>
      <c r="F4" s="18" t="n">
        <v>0.0151</v>
      </c>
      <c r="K4" s="18" t="s">
        <v>2509</v>
      </c>
      <c r="L4" s="18" t="s">
        <v>1626</v>
      </c>
      <c r="M4" s="18" t="n">
        <v>0.0155</v>
      </c>
      <c r="N4" s="18" t="n">
        <v>0.0128</v>
      </c>
      <c r="O4" s="18" t="n">
        <v>0.0482</v>
      </c>
      <c r="P4" s="18" t="n">
        <v>0.0151</v>
      </c>
      <c r="Z4" s="3"/>
      <c r="AA4" s="3"/>
      <c r="AB4" s="3"/>
      <c r="AC4" s="3"/>
      <c r="AL4" s="18"/>
      <c r="AM4" s="18"/>
      <c r="AN4" s="18"/>
      <c r="AO4" s="18"/>
      <c r="AP4" s="3"/>
      <c r="AQ4" s="3"/>
      <c r="AR4" s="3"/>
      <c r="AS4" s="3"/>
      <c r="AT4" s="3"/>
      <c r="AU4" s="3"/>
      <c r="AV4" s="3"/>
      <c r="AW4" s="3"/>
      <c r="AX4" s="3"/>
      <c r="AY4" s="3"/>
      <c r="AZ4" s="3"/>
      <c r="BA4" s="3"/>
    </row>
    <row r="5" customFormat="false" ht="22.8" hidden="false" customHeight="false" outlineLevel="0" collapsed="false">
      <c r="A5" s="46" t="str">
        <f aca="false">_xlfn.CONCAT($A$1, ".CALC.", CALC!A36)</f>
        <v>LSD.RID.0.AL.U3TPR.CALC.1</v>
      </c>
      <c r="B5" s="50" t="str">
        <f aca="false">CALC!C36</f>
        <v>Agriculture, Forestry, Fishing and Hunting</v>
      </c>
      <c r="C5" s="18" t="n">
        <v>0.0293</v>
      </c>
      <c r="D5" s="18" t="n">
        <v>0.0185</v>
      </c>
      <c r="E5" s="18" t="n">
        <v>0.0921</v>
      </c>
      <c r="F5" s="18" t="n">
        <v>0.0284</v>
      </c>
      <c r="K5" s="18" t="s">
        <v>2510</v>
      </c>
      <c r="L5" s="18" t="s">
        <v>2511</v>
      </c>
      <c r="M5" s="18" t="n">
        <v>0.0293</v>
      </c>
      <c r="N5" s="18" t="n">
        <v>0.0185</v>
      </c>
      <c r="O5" s="18" t="n">
        <v>0.0921</v>
      </c>
      <c r="P5" s="18" t="n">
        <v>0.0284</v>
      </c>
      <c r="Z5" s="3"/>
      <c r="AA5" s="3"/>
      <c r="AB5" s="3"/>
      <c r="AC5" s="3"/>
      <c r="AL5" s="18"/>
      <c r="AM5" s="18"/>
      <c r="AN5" s="18"/>
      <c r="AO5" s="18"/>
      <c r="AP5" s="3"/>
      <c r="AQ5" s="3"/>
      <c r="AR5" s="3"/>
      <c r="AS5" s="3"/>
      <c r="AT5" s="3"/>
      <c r="AU5" s="3"/>
      <c r="AV5" s="3"/>
      <c r="AW5" s="3"/>
      <c r="AX5" s="3"/>
      <c r="AY5" s="3"/>
      <c r="AZ5" s="3"/>
      <c r="BA5" s="3"/>
    </row>
    <row r="6" customFormat="false" ht="22.8" hidden="false" customHeight="false" outlineLevel="0" collapsed="false">
      <c r="A6" s="46" t="str">
        <f aca="false">_xlfn.CONCAT($A$1, ".CALC.", CALC!A37)</f>
        <v>LSD.RID.0.AL.U3TPR.CALC.2</v>
      </c>
      <c r="B6" s="50" t="str">
        <f aca="false">CALC!C37</f>
        <v>Mining, Quarrying, and Oil and Gas Extraction</v>
      </c>
      <c r="C6" s="18" t="n">
        <v>0.0111</v>
      </c>
      <c r="D6" s="18" t="n">
        <v>0.0092</v>
      </c>
      <c r="E6" s="18" t="n">
        <v>0.0584</v>
      </c>
      <c r="F6" s="18" t="n">
        <v>0.0108</v>
      </c>
      <c r="K6" s="18" t="s">
        <v>2512</v>
      </c>
      <c r="L6" s="18" t="s">
        <v>2513</v>
      </c>
      <c r="M6" s="18" t="n">
        <v>0.0111</v>
      </c>
      <c r="N6" s="18" t="n">
        <v>0.0092</v>
      </c>
      <c r="O6" s="18" t="n">
        <v>0.0584</v>
      </c>
      <c r="P6" s="18" t="n">
        <v>0.0108</v>
      </c>
      <c r="Z6" s="3"/>
      <c r="AA6" s="3"/>
      <c r="AB6" s="3"/>
      <c r="AC6" s="3"/>
      <c r="AL6" s="18"/>
      <c r="AM6" s="18"/>
      <c r="AN6" s="18"/>
      <c r="AO6" s="18"/>
      <c r="AP6" s="3"/>
      <c r="AQ6" s="3"/>
      <c r="AR6" s="3"/>
      <c r="AS6" s="3"/>
      <c r="AT6" s="3"/>
      <c r="AU6" s="3"/>
      <c r="AV6" s="3"/>
      <c r="AW6" s="3"/>
      <c r="AX6" s="3"/>
      <c r="AY6" s="3"/>
      <c r="AZ6" s="3"/>
      <c r="BA6" s="3"/>
    </row>
    <row r="7" customFormat="false" ht="12.8" hidden="false" customHeight="false" outlineLevel="0" collapsed="false">
      <c r="A7" s="46" t="str">
        <f aca="false">_xlfn.CONCAT($A$1, ".CALC.", CALC!A38)</f>
        <v>LSD.RID.0.AL.U3TPR.CALC.3</v>
      </c>
      <c r="B7" s="22" t="str">
        <f aca="false">CALC!C38</f>
        <v>Utilities</v>
      </c>
      <c r="C7" s="18" t="n">
        <v>0.0111</v>
      </c>
      <c r="D7" s="18" t="n">
        <v>0.0098</v>
      </c>
      <c r="E7" s="18" t="n">
        <v>0.0742</v>
      </c>
      <c r="F7" s="18" t="n">
        <v>0.0107</v>
      </c>
      <c r="K7" s="18" t="s">
        <v>2514</v>
      </c>
      <c r="L7" s="18" t="s">
        <v>1629</v>
      </c>
      <c r="M7" s="18" t="n">
        <v>0.0111</v>
      </c>
      <c r="N7" s="18" t="n">
        <v>0.0098</v>
      </c>
      <c r="O7" s="18" t="n">
        <v>0.0742</v>
      </c>
      <c r="P7" s="18" t="n">
        <v>0.0107</v>
      </c>
      <c r="Z7" s="3"/>
      <c r="AA7" s="3"/>
      <c r="AB7" s="3"/>
      <c r="AC7" s="3"/>
      <c r="AL7" s="18"/>
      <c r="AM7" s="18"/>
      <c r="AN7" s="18"/>
      <c r="AO7" s="18"/>
      <c r="AP7" s="3"/>
      <c r="AQ7" s="3"/>
      <c r="AR7" s="3"/>
      <c r="AS7" s="3"/>
      <c r="AT7" s="3"/>
      <c r="AU7" s="3"/>
      <c r="AV7" s="3"/>
      <c r="AW7" s="3"/>
      <c r="AX7" s="3"/>
      <c r="AY7" s="3"/>
      <c r="AZ7" s="3"/>
      <c r="BA7" s="3"/>
    </row>
    <row r="8" customFormat="false" ht="12.8" hidden="false" customHeight="false" outlineLevel="0" collapsed="false">
      <c r="A8" s="46" t="str">
        <f aca="false">_xlfn.CONCAT($A$1, ".CALC.", CALC!A39)</f>
        <v>LSD.RID.0.AL.U3TPR.CALC.4</v>
      </c>
      <c r="B8" s="22" t="str">
        <f aca="false">CALC!C39</f>
        <v>Construction</v>
      </c>
      <c r="C8" s="18" t="n">
        <v>0.0122</v>
      </c>
      <c r="D8" s="18" t="n">
        <v>0.0101</v>
      </c>
      <c r="E8" s="18" t="n">
        <v>0.0789</v>
      </c>
      <c r="F8" s="18" t="n">
        <v>0.0119</v>
      </c>
      <c r="K8" s="18" t="s">
        <v>2515</v>
      </c>
      <c r="L8" s="18" t="s">
        <v>1630</v>
      </c>
      <c r="M8" s="18" t="n">
        <v>0.0122</v>
      </c>
      <c r="N8" s="18" t="n">
        <v>0.0101</v>
      </c>
      <c r="O8" s="18" t="n">
        <v>0.0789</v>
      </c>
      <c r="P8" s="18" t="n">
        <v>0.0119</v>
      </c>
      <c r="Z8" s="3"/>
      <c r="AA8" s="3"/>
      <c r="AB8" s="3"/>
      <c r="AC8" s="3"/>
      <c r="AL8" s="18"/>
      <c r="AM8" s="18"/>
      <c r="AN8" s="18"/>
      <c r="AO8" s="18"/>
      <c r="AP8" s="3"/>
      <c r="AQ8" s="3"/>
      <c r="AR8" s="3"/>
      <c r="AS8" s="3"/>
      <c r="AT8" s="3"/>
      <c r="AU8" s="3"/>
      <c r="AV8" s="3"/>
      <c r="AW8" s="3"/>
      <c r="AX8" s="3"/>
      <c r="AY8" s="3"/>
      <c r="AZ8" s="3"/>
      <c r="BA8" s="3"/>
    </row>
    <row r="9" customFormat="false" ht="22.8" hidden="false" customHeight="false" outlineLevel="0" collapsed="false">
      <c r="A9" s="46" t="str">
        <f aca="false">_xlfn.CONCAT($A$1, ".CALC.", CALC!A40)</f>
        <v>LSD.RID.0.AL.U3TPR.CALC.5</v>
      </c>
      <c r="B9" s="50" t="str">
        <f aca="false">CALC!C40</f>
        <v>Manufacturing (Food,Textile, etc.)</v>
      </c>
      <c r="C9" s="18" t="n">
        <v>0.0057</v>
      </c>
      <c r="D9" s="18" t="n">
        <v>0.0047</v>
      </c>
      <c r="E9" s="18" t="n">
        <v>0.0468</v>
      </c>
      <c r="F9" s="18" t="n">
        <v>0.0055</v>
      </c>
      <c r="K9" s="18" t="s">
        <v>2516</v>
      </c>
      <c r="L9" s="18" t="s">
        <v>2517</v>
      </c>
      <c r="M9" s="18" t="n">
        <v>0.0057</v>
      </c>
      <c r="N9" s="18" t="n">
        <v>0.0047</v>
      </c>
      <c r="O9" s="18" t="n">
        <v>0.0468</v>
      </c>
      <c r="P9" s="18" t="n">
        <v>0.0055</v>
      </c>
      <c r="Z9" s="3"/>
      <c r="AA9" s="3"/>
      <c r="AB9" s="3"/>
      <c r="AC9" s="3"/>
      <c r="AL9" s="18"/>
      <c r="AM9" s="18"/>
      <c r="AN9" s="18"/>
      <c r="AO9" s="18"/>
      <c r="AP9" s="3"/>
      <c r="AQ9" s="3"/>
      <c r="AR9" s="3"/>
      <c r="AS9" s="3"/>
      <c r="AT9" s="3"/>
      <c r="AU9" s="3"/>
      <c r="AV9" s="3"/>
      <c r="AW9" s="3"/>
      <c r="AX9" s="3"/>
      <c r="AY9" s="3"/>
      <c r="AZ9" s="3"/>
      <c r="BA9" s="3"/>
    </row>
    <row r="10" customFormat="false" ht="22.8" hidden="false" customHeight="false" outlineLevel="0" collapsed="false">
      <c r="A10" s="46" t="str">
        <f aca="false">_xlfn.CONCAT($A$1, ".CALC.", CALC!A41)</f>
        <v>LSD.RID.0.AL.U3TPR.CALC.6</v>
      </c>
      <c r="B10" s="50" t="str">
        <f aca="false">CALC!C41</f>
        <v>Manufacturing (Wood, Paper, Printing, etc.)</v>
      </c>
      <c r="C10" s="18" t="n">
        <v>0.004</v>
      </c>
      <c r="D10" s="18" t="n">
        <v>0.0033</v>
      </c>
      <c r="E10" s="18" t="n">
        <v>0.0395</v>
      </c>
      <c r="F10" s="18" t="n">
        <v>0.0039</v>
      </c>
      <c r="K10" s="18" t="s">
        <v>2518</v>
      </c>
      <c r="L10" s="18" t="s">
        <v>2519</v>
      </c>
      <c r="M10" s="18" t="n">
        <v>0.004</v>
      </c>
      <c r="N10" s="18" t="n">
        <v>0.0033</v>
      </c>
      <c r="O10" s="18" t="n">
        <v>0.0395</v>
      </c>
      <c r="P10" s="18" t="n">
        <v>0.0039</v>
      </c>
      <c r="Z10" s="3"/>
      <c r="AA10" s="3"/>
      <c r="AB10" s="3"/>
      <c r="AC10" s="3"/>
      <c r="AL10" s="18"/>
      <c r="AM10" s="18"/>
      <c r="AN10" s="18"/>
      <c r="AO10" s="18"/>
      <c r="AP10" s="3"/>
      <c r="AQ10" s="3"/>
      <c r="AR10" s="3"/>
      <c r="AS10" s="3"/>
      <c r="AT10" s="3"/>
      <c r="AU10" s="3"/>
      <c r="AV10" s="3"/>
      <c r="AW10" s="3"/>
      <c r="AX10" s="3"/>
      <c r="AY10" s="3"/>
      <c r="AZ10" s="3"/>
      <c r="BA10" s="3"/>
    </row>
    <row r="11" customFormat="false" ht="22.8" hidden="false" customHeight="false" outlineLevel="0" collapsed="false">
      <c r="A11" s="46" t="str">
        <f aca="false">_xlfn.CONCAT($A$1, ".CALC.", CALC!A42)</f>
        <v>LSD.RID.0.AL.U3TPR.CALC.7</v>
      </c>
      <c r="B11" s="50" t="str">
        <f aca="false">CALC!C42</f>
        <v>Manufacturing (Machinery, Transport)</v>
      </c>
      <c r="C11" s="18" t="n">
        <v>0.0082</v>
      </c>
      <c r="D11" s="18" t="n">
        <v>0.0068</v>
      </c>
      <c r="E11" s="18" t="n">
        <v>0.0512</v>
      </c>
      <c r="F11" s="18" t="n">
        <v>0.008</v>
      </c>
      <c r="K11" s="18" t="s">
        <v>2520</v>
      </c>
      <c r="L11" s="18" t="s">
        <v>2521</v>
      </c>
      <c r="M11" s="18" t="n">
        <v>0.0082</v>
      </c>
      <c r="N11" s="18" t="n">
        <v>0.0068</v>
      </c>
      <c r="O11" s="18" t="n">
        <v>0.0512</v>
      </c>
      <c r="P11" s="18" t="n">
        <v>0.008</v>
      </c>
      <c r="Z11" s="3"/>
      <c r="AA11" s="3"/>
      <c r="AB11" s="3"/>
      <c r="AC11" s="3"/>
      <c r="AL11" s="18"/>
      <c r="AM11" s="18"/>
      <c r="AN11" s="18"/>
      <c r="AO11" s="18"/>
      <c r="AP11" s="3"/>
      <c r="AQ11" s="3"/>
      <c r="AR11" s="3"/>
      <c r="AS11" s="3"/>
      <c r="AT11" s="3"/>
      <c r="AU11" s="3"/>
      <c r="AV11" s="3"/>
      <c r="AW11" s="3"/>
      <c r="AX11" s="3"/>
      <c r="AY11" s="3"/>
      <c r="AZ11" s="3"/>
      <c r="BA11" s="3"/>
    </row>
    <row r="12" customFormat="false" ht="12.8" hidden="false" customHeight="false" outlineLevel="0" collapsed="false">
      <c r="A12" s="46" t="str">
        <f aca="false">_xlfn.CONCAT($A$1, ".CALC.", CALC!A43)</f>
        <v>LSD.RID.0.AL.U3TPR.CALC.8</v>
      </c>
      <c r="B12" s="22" t="str">
        <f aca="false">CALC!C43</f>
        <v>Wholesale Trade</v>
      </c>
      <c r="C12" s="18" t="n">
        <v>0.0029</v>
      </c>
      <c r="D12" s="18" t="n">
        <v>0.0024</v>
      </c>
      <c r="E12" s="18" t="n">
        <v>0.0321</v>
      </c>
      <c r="F12" s="18" t="n">
        <v>0.0028</v>
      </c>
      <c r="K12" s="18" t="s">
        <v>2522</v>
      </c>
      <c r="L12" s="18" t="s">
        <v>1634</v>
      </c>
      <c r="M12" s="18" t="n">
        <v>0.0029</v>
      </c>
      <c r="N12" s="18" t="n">
        <v>0.0024</v>
      </c>
      <c r="O12" s="18" t="n">
        <v>0.0321</v>
      </c>
      <c r="P12" s="18" t="n">
        <v>0.0028</v>
      </c>
      <c r="Z12" s="3"/>
      <c r="AA12" s="3"/>
      <c r="AB12" s="3"/>
      <c r="AC12" s="3"/>
      <c r="AL12" s="18"/>
      <c r="AM12" s="18"/>
      <c r="AN12" s="18"/>
      <c r="AO12" s="18"/>
      <c r="AP12" s="3"/>
      <c r="AQ12" s="3"/>
      <c r="AR12" s="3"/>
      <c r="AS12" s="3"/>
      <c r="AT12" s="3"/>
      <c r="AU12" s="3"/>
      <c r="AV12" s="3"/>
      <c r="AW12" s="3"/>
      <c r="AX12" s="3"/>
      <c r="AY12" s="3"/>
      <c r="AZ12" s="3"/>
      <c r="BA12" s="3"/>
    </row>
    <row r="13" customFormat="false" ht="22.8" hidden="false" customHeight="false" outlineLevel="0" collapsed="false">
      <c r="A13" s="46" t="str">
        <f aca="false">_xlfn.CONCAT($A$1, ".CALC.", CALC!A44)</f>
        <v>LSD.RID.0.AL.U3TPR.CALC.9</v>
      </c>
      <c r="B13" s="50" t="str">
        <f aca="false">CALC!C44</f>
        <v>Retail Trade (Motor Vehicle, Electronics)</v>
      </c>
      <c r="C13" s="18" t="n">
        <v>0.0019</v>
      </c>
      <c r="D13" s="18" t="n">
        <v>0.0016</v>
      </c>
      <c r="E13" s="18" t="n">
        <v>0.0284</v>
      </c>
      <c r="F13" s="18" t="n">
        <v>0.0018</v>
      </c>
      <c r="K13" s="18" t="s">
        <v>2523</v>
      </c>
      <c r="L13" s="18" t="s">
        <v>2524</v>
      </c>
      <c r="M13" s="18" t="n">
        <v>0.0019</v>
      </c>
      <c r="N13" s="18" t="n">
        <v>0.0016</v>
      </c>
      <c r="O13" s="18" t="n">
        <v>0.0284</v>
      </c>
      <c r="P13" s="18" t="n">
        <v>0.0018</v>
      </c>
      <c r="Z13" s="3"/>
      <c r="AA13" s="3"/>
      <c r="AB13" s="3"/>
      <c r="AC13" s="3"/>
      <c r="AL13" s="18"/>
      <c r="AM13" s="18"/>
      <c r="AN13" s="18"/>
      <c r="AO13" s="18"/>
      <c r="AP13" s="3"/>
      <c r="AQ13" s="3"/>
      <c r="AR13" s="3"/>
      <c r="AS13" s="3"/>
      <c r="AT13" s="3"/>
      <c r="AU13" s="3"/>
      <c r="AV13" s="3"/>
      <c r="AW13" s="3"/>
      <c r="AX13" s="3"/>
      <c r="AY13" s="3"/>
      <c r="AZ13" s="3"/>
      <c r="BA13" s="3"/>
    </row>
    <row r="14" customFormat="false" ht="22.8" hidden="false" customHeight="false" outlineLevel="0" collapsed="false">
      <c r="A14" s="46" t="str">
        <f aca="false">_xlfn.CONCAT($A$1, ".CALC.", CALC!A45)</f>
        <v>LSD.RID.0.AL.U3TPR.CALC.10</v>
      </c>
      <c r="B14" s="50" t="str">
        <f aca="false">CALC!C45</f>
        <v>Retail Trade (Food, Clothing, General Merchandise, etc.)</v>
      </c>
      <c r="C14" s="18" t="n">
        <v>0.006</v>
      </c>
      <c r="D14" s="18" t="n">
        <v>0.005</v>
      </c>
      <c r="E14" s="18" t="n">
        <v>0.0453</v>
      </c>
      <c r="F14" s="18" t="n">
        <v>0.0058</v>
      </c>
      <c r="K14" s="18" t="s">
        <v>2525</v>
      </c>
      <c r="L14" s="18" t="s">
        <v>2526</v>
      </c>
      <c r="M14" s="18" t="n">
        <v>0.006</v>
      </c>
      <c r="N14" s="18" t="n">
        <v>0.005</v>
      </c>
      <c r="O14" s="18" t="n">
        <v>0.0453</v>
      </c>
      <c r="P14" s="18" t="n">
        <v>0.0058</v>
      </c>
      <c r="Z14" s="3"/>
      <c r="AA14" s="3"/>
      <c r="AB14" s="3"/>
      <c r="AC14" s="3"/>
      <c r="AL14" s="18"/>
      <c r="AM14" s="18"/>
      <c r="AN14" s="18"/>
      <c r="AO14" s="18"/>
      <c r="AP14" s="3"/>
      <c r="AQ14" s="3"/>
      <c r="AR14" s="3"/>
      <c r="AS14" s="3"/>
      <c r="AT14" s="3"/>
      <c r="AU14" s="3"/>
      <c r="AV14" s="3"/>
      <c r="AW14" s="3"/>
      <c r="AX14" s="3"/>
      <c r="AY14" s="3"/>
      <c r="AZ14" s="3"/>
      <c r="BA14" s="3"/>
    </row>
    <row r="15" customFormat="false" ht="12.8" hidden="false" customHeight="false" outlineLevel="0" collapsed="false">
      <c r="A15" s="46" t="str">
        <f aca="false">_xlfn.CONCAT($A$1, ".CALC.", CALC!A46)</f>
        <v>LSD.RID.0.AL.U3TPR.CALC.11</v>
      </c>
      <c r="B15" s="22" t="str">
        <f aca="false">CALC!C46</f>
        <v>Transportation</v>
      </c>
      <c r="C15" s="18" t="n">
        <v>0.0043</v>
      </c>
      <c r="D15" s="18" t="n">
        <v>0.0036</v>
      </c>
      <c r="E15" s="18" t="n">
        <v>0.0402</v>
      </c>
      <c r="F15" s="18" t="n">
        <v>0.0042</v>
      </c>
      <c r="K15" s="18" t="s">
        <v>2527</v>
      </c>
      <c r="L15" s="18" t="s">
        <v>1637</v>
      </c>
      <c r="M15" s="18" t="n">
        <v>0.0043</v>
      </c>
      <c r="N15" s="18" t="n">
        <v>0.0036</v>
      </c>
      <c r="O15" s="18" t="n">
        <v>0.0402</v>
      </c>
      <c r="P15" s="18" t="n">
        <v>0.0042</v>
      </c>
      <c r="Z15" s="3"/>
      <c r="AA15" s="3"/>
      <c r="AB15" s="3"/>
      <c r="AC15" s="3"/>
      <c r="AL15" s="18"/>
      <c r="AM15" s="18"/>
      <c r="AN15" s="18"/>
      <c r="AO15" s="18"/>
      <c r="AP15" s="3"/>
      <c r="AQ15" s="3"/>
      <c r="AR15" s="3"/>
      <c r="AS15" s="3"/>
      <c r="AT15" s="3"/>
      <c r="AU15" s="3"/>
      <c r="AV15" s="3"/>
      <c r="AW15" s="3"/>
      <c r="AX15" s="3"/>
      <c r="AY15" s="3"/>
      <c r="AZ15" s="3"/>
      <c r="BA15" s="3"/>
    </row>
    <row r="16" customFormat="false" ht="12.8" hidden="false" customHeight="false" outlineLevel="0" collapsed="false">
      <c r="A16" s="46" t="str">
        <f aca="false">_xlfn.CONCAT($A$1, ".CALC.", CALC!A47)</f>
        <v>LSD.RID.0.AL.U3TPR.CALC.12</v>
      </c>
      <c r="B16" s="22" t="str">
        <f aca="false">CALC!C47</f>
        <v>Warehousing and Storage</v>
      </c>
      <c r="C16" s="18" t="n">
        <v>0.0037</v>
      </c>
      <c r="D16" s="18" t="n">
        <v>0.0031</v>
      </c>
      <c r="E16" s="18" t="n">
        <v>0.0378</v>
      </c>
      <c r="F16" s="18" t="n">
        <v>0.0036</v>
      </c>
      <c r="K16" s="18" t="s">
        <v>2528</v>
      </c>
      <c r="L16" s="18" t="s">
        <v>1638</v>
      </c>
      <c r="M16" s="18" t="n">
        <v>0.0037</v>
      </c>
      <c r="N16" s="18" t="n">
        <v>0.0031</v>
      </c>
      <c r="O16" s="18" t="n">
        <v>0.0378</v>
      </c>
      <c r="P16" s="18" t="n">
        <v>0.0036</v>
      </c>
      <c r="Z16" s="3"/>
      <c r="AA16" s="3"/>
      <c r="AB16" s="3"/>
      <c r="AC16" s="3"/>
      <c r="AL16" s="18"/>
      <c r="AM16" s="18"/>
      <c r="AN16" s="18"/>
      <c r="AO16" s="18"/>
      <c r="AP16" s="3"/>
      <c r="AQ16" s="3"/>
      <c r="AR16" s="3"/>
      <c r="AS16" s="3"/>
      <c r="AT16" s="3"/>
      <c r="AU16" s="3"/>
      <c r="AV16" s="3"/>
      <c r="AW16" s="3"/>
      <c r="AX16" s="3"/>
      <c r="AY16" s="3"/>
      <c r="AZ16" s="3"/>
      <c r="BA16" s="3"/>
    </row>
    <row r="17" customFormat="false" ht="12.8" hidden="false" customHeight="false" outlineLevel="0" collapsed="false">
      <c r="A17" s="46" t="str">
        <f aca="false">_xlfn.CONCAT($A$1, ".CALC.", CALC!A48)</f>
        <v>LSD.RID.0.AL.U3TPR.CALC.13</v>
      </c>
      <c r="B17" s="22" t="str">
        <f aca="false">CALC!C48</f>
        <v>Information</v>
      </c>
      <c r="C17" s="18" t="n">
        <v>0.0019</v>
      </c>
      <c r="D17" s="18" t="n">
        <v>0.0016</v>
      </c>
      <c r="E17" s="18" t="n">
        <v>0.0305</v>
      </c>
      <c r="F17" s="18" t="n">
        <v>0.0018</v>
      </c>
      <c r="K17" s="18" t="s">
        <v>2529</v>
      </c>
      <c r="L17" s="18" t="s">
        <v>1639</v>
      </c>
      <c r="M17" s="18" t="n">
        <v>0.0019</v>
      </c>
      <c r="N17" s="18" t="n">
        <v>0.0016</v>
      </c>
      <c r="O17" s="18" t="n">
        <v>0.0305</v>
      </c>
      <c r="P17" s="18" t="n">
        <v>0.0018</v>
      </c>
      <c r="Z17" s="3"/>
      <c r="AA17" s="3"/>
      <c r="AB17" s="3"/>
      <c r="AC17" s="3"/>
      <c r="AL17" s="18"/>
      <c r="AM17" s="18"/>
      <c r="AN17" s="18"/>
      <c r="AO17" s="18"/>
      <c r="AP17" s="3"/>
      <c r="AQ17" s="3"/>
      <c r="AR17" s="3"/>
      <c r="AS17" s="3"/>
      <c r="AT17" s="3"/>
      <c r="AU17" s="3"/>
      <c r="AV17" s="3"/>
      <c r="AW17" s="3"/>
      <c r="AX17" s="3"/>
      <c r="AY17" s="3"/>
      <c r="AZ17" s="3"/>
      <c r="BA17" s="3"/>
    </row>
    <row r="18" customFormat="false" ht="12.8" hidden="false" customHeight="false" outlineLevel="0" collapsed="false">
      <c r="A18" s="46" t="str">
        <f aca="false">_xlfn.CONCAT($A$1, ".CALC.", CALC!A49)</f>
        <v>LSD.RID.0.AL.U3TPR.CALC.14</v>
      </c>
      <c r="B18" s="22" t="str">
        <f aca="false">CALC!C49</f>
        <v>Finance and Insurance</v>
      </c>
      <c r="C18" s="18" t="n">
        <v>0.003</v>
      </c>
      <c r="D18" s="18" t="n">
        <v>0.0025</v>
      </c>
      <c r="E18" s="18" t="n">
        <v>0.0289</v>
      </c>
      <c r="F18" s="18" t="n">
        <v>0.0029</v>
      </c>
      <c r="K18" s="18" t="s">
        <v>2530</v>
      </c>
      <c r="L18" s="18" t="s">
        <v>1640</v>
      </c>
      <c r="M18" s="18" t="n">
        <v>0.003</v>
      </c>
      <c r="N18" s="18" t="n">
        <v>0.0025</v>
      </c>
      <c r="O18" s="18" t="n">
        <v>0.0289</v>
      </c>
      <c r="P18" s="18" t="n">
        <v>0.0029</v>
      </c>
      <c r="Z18" s="3"/>
      <c r="AA18" s="3"/>
      <c r="AB18" s="3"/>
      <c r="AC18" s="3"/>
      <c r="AL18" s="18"/>
      <c r="AM18" s="18"/>
      <c r="AN18" s="18"/>
      <c r="AO18" s="18"/>
      <c r="AP18" s="3"/>
      <c r="AQ18" s="3"/>
      <c r="AR18" s="3"/>
      <c r="AS18" s="3"/>
      <c r="AT18" s="3"/>
      <c r="AU18" s="3"/>
      <c r="AV18" s="3"/>
      <c r="AW18" s="3"/>
      <c r="AX18" s="3"/>
      <c r="AY18" s="3"/>
      <c r="AZ18" s="3"/>
      <c r="BA18" s="3"/>
    </row>
    <row r="19" customFormat="false" ht="22.8" hidden="false" customHeight="false" outlineLevel="0" collapsed="false">
      <c r="A19" s="46" t="str">
        <f aca="false">_xlfn.CONCAT($A$1, ".CALC.", CALC!A50)</f>
        <v>LSD.RID.0.AL.U3TPR.CALC.15</v>
      </c>
      <c r="B19" s="50" t="str">
        <f aca="false">CALC!C50</f>
        <v>Real Estate and Rental and Leasing</v>
      </c>
      <c r="C19" s="18" t="n">
        <v>0.0015</v>
      </c>
      <c r="D19" s="18" t="n">
        <v>0.0013</v>
      </c>
      <c r="E19" s="18" t="n">
        <v>0.0267</v>
      </c>
      <c r="F19" s="18" t="n">
        <v>0.0015</v>
      </c>
      <c r="K19" s="18" t="s">
        <v>2531</v>
      </c>
      <c r="L19" s="18" t="s">
        <v>1641</v>
      </c>
      <c r="M19" s="18" t="n">
        <v>0.0015</v>
      </c>
      <c r="N19" s="18" t="n">
        <v>0.0013</v>
      </c>
      <c r="O19" s="18" t="n">
        <v>0.0267</v>
      </c>
      <c r="P19" s="18" t="n">
        <v>0.0015</v>
      </c>
      <c r="Z19" s="3"/>
      <c r="AA19" s="3"/>
      <c r="AB19" s="3"/>
      <c r="AC19" s="3"/>
      <c r="AL19" s="18"/>
      <c r="AM19" s="18"/>
      <c r="AN19" s="18"/>
      <c r="AO19" s="18"/>
      <c r="AP19" s="3"/>
      <c r="AQ19" s="3"/>
      <c r="AR19" s="3"/>
      <c r="AS19" s="3"/>
      <c r="AT19" s="3"/>
      <c r="AU19" s="3"/>
      <c r="AV19" s="3"/>
      <c r="AW19" s="3"/>
      <c r="AX19" s="3"/>
      <c r="AY19" s="3"/>
      <c r="AZ19" s="3"/>
      <c r="BA19" s="3"/>
    </row>
    <row r="20" customFormat="false" ht="22.8" hidden="false" customHeight="false" outlineLevel="0" collapsed="false">
      <c r="A20" s="46" t="str">
        <f aca="false">_xlfn.CONCAT($A$1, ".CALC.", CALC!A51)</f>
        <v>LSD.RID.0.AL.U3TPR.CALC.16</v>
      </c>
      <c r="B20" s="50" t="str">
        <f aca="false">CALC!C51</f>
        <v>Professional, Scientific, and Technical Services</v>
      </c>
      <c r="C20" s="18" t="n">
        <v>0.0045</v>
      </c>
      <c r="D20" s="18" t="n">
        <v>0.0037</v>
      </c>
      <c r="E20" s="18" t="n">
        <v>0.0324</v>
      </c>
      <c r="F20" s="18" t="n">
        <v>0.0044</v>
      </c>
      <c r="K20" s="18" t="s">
        <v>2532</v>
      </c>
      <c r="L20" s="18" t="s">
        <v>2533</v>
      </c>
      <c r="M20" s="18" t="n">
        <v>0.0045</v>
      </c>
      <c r="N20" s="18" t="n">
        <v>0.0037</v>
      </c>
      <c r="O20" s="18" t="n">
        <v>0.0324</v>
      </c>
      <c r="P20" s="18" t="n">
        <v>0.0044</v>
      </c>
      <c r="Z20" s="3"/>
      <c r="AA20" s="3"/>
      <c r="AB20" s="3"/>
      <c r="AC20" s="3"/>
      <c r="AL20" s="18"/>
      <c r="AM20" s="18"/>
      <c r="AN20" s="18"/>
      <c r="AO20" s="18"/>
      <c r="AP20" s="3"/>
      <c r="AQ20" s="3"/>
      <c r="AR20" s="3"/>
      <c r="AS20" s="3"/>
      <c r="AT20" s="3"/>
      <c r="AU20" s="3"/>
      <c r="AV20" s="3"/>
      <c r="AW20" s="3"/>
      <c r="AX20" s="3"/>
      <c r="AY20" s="3"/>
      <c r="AZ20" s="3"/>
      <c r="BA20" s="3"/>
    </row>
    <row r="21" customFormat="false" ht="33.35" hidden="false" customHeight="false" outlineLevel="0" collapsed="false">
      <c r="A21" s="46" t="str">
        <f aca="false">_xlfn.CONCAT($A$1, ".CALC.", CALC!A52)</f>
        <v>LSD.RID.0.AL.U3TPR.CALC.17</v>
      </c>
      <c r="B21" s="50" t="str">
        <f aca="false">CALC!C52</f>
        <v>Administrative and Support and Waste Management and Remediation Services</v>
      </c>
      <c r="C21" s="18" t="n">
        <v>0.01</v>
      </c>
      <c r="D21" s="18" t="n">
        <v>0.0083</v>
      </c>
      <c r="E21" s="18" t="n">
        <v>0.0587</v>
      </c>
      <c r="F21" s="18" t="n">
        <v>0.0097</v>
      </c>
      <c r="K21" s="18" t="s">
        <v>2534</v>
      </c>
      <c r="L21" s="18" t="s">
        <v>1643</v>
      </c>
      <c r="M21" s="18" t="n">
        <v>0.01</v>
      </c>
      <c r="N21" s="18" t="n">
        <v>0.0083</v>
      </c>
      <c r="O21" s="18" t="n">
        <v>0.0587</v>
      </c>
      <c r="P21" s="18" t="n">
        <v>0.0097</v>
      </c>
      <c r="Z21" s="3"/>
      <c r="AA21" s="3"/>
      <c r="AB21" s="3"/>
      <c r="AC21" s="3"/>
      <c r="AL21" s="18"/>
      <c r="AM21" s="18"/>
      <c r="AN21" s="18"/>
      <c r="AO21" s="18"/>
      <c r="AP21" s="3"/>
      <c r="AQ21" s="3"/>
      <c r="AR21" s="3"/>
      <c r="AS21" s="3"/>
      <c r="AT21" s="3"/>
      <c r="AU21" s="3"/>
      <c r="AV21" s="3"/>
      <c r="AW21" s="3"/>
      <c r="AX21" s="3"/>
      <c r="AY21" s="3"/>
      <c r="AZ21" s="3"/>
      <c r="BA21" s="3"/>
    </row>
    <row r="22" customFormat="false" ht="12.9" hidden="false" customHeight="false" outlineLevel="0" collapsed="false">
      <c r="A22" s="46" t="str">
        <f aca="false">_xlfn.CONCAT($A$1, ".CALC.", CALC!A53)</f>
        <v>LSD.RID.0.AL.U3TPR.CALC.18</v>
      </c>
      <c r="B22" s="22" t="str">
        <f aca="false">CALC!C53</f>
        <v>Educational Services</v>
      </c>
      <c r="C22" s="18" t="n">
        <v>0.0072</v>
      </c>
      <c r="D22" s="18" t="n">
        <v>0.006</v>
      </c>
      <c r="E22" s="18" t="n">
        <v>0.0418</v>
      </c>
      <c r="F22" s="18" t="n">
        <v>0.007</v>
      </c>
      <c r="K22" s="18" t="s">
        <v>2535</v>
      </c>
      <c r="L22" s="18" t="s">
        <v>1644</v>
      </c>
      <c r="M22" s="18" t="n">
        <v>0.0072</v>
      </c>
      <c r="N22" s="18" t="n">
        <v>0.006</v>
      </c>
      <c r="O22" s="18" t="n">
        <v>0.0418</v>
      </c>
      <c r="P22" s="18" t="n">
        <v>0.007</v>
      </c>
      <c r="Z22" s="3"/>
      <c r="AA22" s="3"/>
      <c r="AB22" s="3"/>
      <c r="AC22" s="3"/>
      <c r="AL22" s="18"/>
      <c r="AM22" s="18"/>
      <c r="AN22" s="18"/>
      <c r="AO22" s="18"/>
      <c r="AP22" s="3"/>
      <c r="AQ22" s="3"/>
      <c r="AR22" s="3"/>
      <c r="AS22" s="3"/>
      <c r="AT22" s="3"/>
      <c r="AU22" s="3"/>
      <c r="AV22" s="3"/>
      <c r="AW22" s="3"/>
      <c r="AX22" s="3"/>
      <c r="AY22" s="3"/>
      <c r="AZ22" s="3"/>
      <c r="BA22" s="3"/>
    </row>
    <row r="23" customFormat="false" ht="22.8" hidden="false" customHeight="false" outlineLevel="0" collapsed="false">
      <c r="A23" s="46" t="str">
        <f aca="false">_xlfn.CONCAT($A$1, ".CALC.", CALC!A54)</f>
        <v>LSD.RID.0.AL.U3TPR.CALC.19</v>
      </c>
      <c r="B23" s="50" t="str">
        <f aca="false">CALC!C54</f>
        <v>Health Care and Social Assistance</v>
      </c>
      <c r="C23" s="18" t="n">
        <v>0.0101</v>
      </c>
      <c r="D23" s="18" t="n">
        <v>0.0084</v>
      </c>
      <c r="E23" s="18" t="n">
        <v>0.0442</v>
      </c>
      <c r="F23" s="18" t="n">
        <v>0.0098</v>
      </c>
      <c r="K23" s="18" t="s">
        <v>2536</v>
      </c>
      <c r="L23" s="18" t="s">
        <v>1645</v>
      </c>
      <c r="M23" s="18" t="n">
        <v>0.0101</v>
      </c>
      <c r="N23" s="18" t="n">
        <v>0.0084</v>
      </c>
      <c r="O23" s="18" t="n">
        <v>0.0442</v>
      </c>
      <c r="P23" s="18" t="n">
        <v>0.0098</v>
      </c>
      <c r="Z23" s="3"/>
      <c r="AA23" s="3"/>
      <c r="AB23" s="3"/>
      <c r="AC23" s="3"/>
      <c r="AL23" s="18"/>
      <c r="AM23" s="18"/>
      <c r="AN23" s="18"/>
      <c r="AO23" s="18"/>
      <c r="AP23" s="3"/>
      <c r="AQ23" s="3"/>
      <c r="AR23" s="3"/>
      <c r="AS23" s="3"/>
      <c r="AT23" s="3"/>
      <c r="AU23" s="3"/>
      <c r="AV23" s="3"/>
      <c r="AW23" s="3"/>
      <c r="AX23" s="3"/>
      <c r="AY23" s="3"/>
      <c r="AZ23" s="3"/>
      <c r="BA23" s="3"/>
    </row>
    <row r="24" customFormat="false" ht="22.8" hidden="false" customHeight="false" outlineLevel="0" collapsed="false">
      <c r="A24" s="46" t="str">
        <f aca="false">_xlfn.CONCAT($A$1, ".CALC.", CALC!A55)</f>
        <v>LSD.RID.0.AL.U3TPR.CALC.20</v>
      </c>
      <c r="B24" s="50" t="str">
        <f aca="false">CALC!C55</f>
        <v>Arts, Entertainment,and Recreation</v>
      </c>
      <c r="C24" s="18" t="n">
        <v>0.0014</v>
      </c>
      <c r="D24" s="18" t="n">
        <v>0.0012</v>
      </c>
      <c r="E24" s="18" t="n">
        <v>0.0259</v>
      </c>
      <c r="F24" s="18" t="n">
        <v>0.0014</v>
      </c>
      <c r="K24" s="18" t="s">
        <v>2537</v>
      </c>
      <c r="L24" s="18" t="s">
        <v>2538</v>
      </c>
      <c r="M24" s="18" t="n">
        <v>0.0014</v>
      </c>
      <c r="N24" s="18" t="n">
        <v>0.0012</v>
      </c>
      <c r="O24" s="18" t="n">
        <v>0.0259</v>
      </c>
      <c r="P24" s="18" t="n">
        <v>0.0014</v>
      </c>
      <c r="Z24" s="3"/>
      <c r="AA24" s="3"/>
      <c r="AB24" s="3"/>
      <c r="AC24" s="3"/>
      <c r="AL24" s="18"/>
      <c r="AM24" s="18"/>
      <c r="AN24" s="18"/>
      <c r="AO24" s="18"/>
      <c r="AP24" s="3"/>
      <c r="AQ24" s="3"/>
      <c r="AR24" s="3"/>
      <c r="AS24" s="3"/>
      <c r="AT24" s="3"/>
      <c r="AU24" s="3"/>
      <c r="AV24" s="3"/>
      <c r="AW24" s="3"/>
      <c r="AX24" s="3"/>
      <c r="AY24" s="3"/>
      <c r="AZ24" s="3"/>
      <c r="BA24" s="3"/>
    </row>
    <row r="25" customFormat="false" ht="22.8" hidden="false" customHeight="false" outlineLevel="0" collapsed="false">
      <c r="A25" s="46" t="str">
        <f aca="false">_xlfn.CONCAT($A$1, ".CALC.", CALC!A56)</f>
        <v>LSD.RID.0.AL.U3TPR.CALC.21</v>
      </c>
      <c r="B25" s="50" t="str">
        <f aca="false">CALC!C56</f>
        <v>Accommodation and Food Services</v>
      </c>
      <c r="C25" s="18" t="n">
        <v>0.0113</v>
      </c>
      <c r="D25" s="18" t="n">
        <v>0.0094</v>
      </c>
      <c r="E25" s="18" t="n">
        <v>0.0621</v>
      </c>
      <c r="F25" s="18" t="n">
        <v>0.011</v>
      </c>
      <c r="K25" s="18" t="s">
        <v>2539</v>
      </c>
      <c r="L25" s="18" t="s">
        <v>1647</v>
      </c>
      <c r="M25" s="18" t="n">
        <v>0.0113</v>
      </c>
      <c r="N25" s="18" t="n">
        <v>0.0094</v>
      </c>
      <c r="O25" s="18" t="n">
        <v>0.0621</v>
      </c>
      <c r="P25" s="18" t="n">
        <v>0.011</v>
      </c>
      <c r="Z25" s="3"/>
      <c r="AA25" s="3"/>
      <c r="AB25" s="3"/>
      <c r="AC25" s="3"/>
      <c r="AL25" s="18"/>
      <c r="AM25" s="18"/>
      <c r="AN25" s="18"/>
      <c r="AO25" s="18"/>
      <c r="AP25" s="3"/>
      <c r="AQ25" s="3"/>
      <c r="AR25" s="3"/>
      <c r="AS25" s="3"/>
      <c r="AT25" s="3"/>
      <c r="AU25" s="3"/>
      <c r="AV25" s="3"/>
      <c r="AW25" s="3"/>
      <c r="AX25" s="3"/>
      <c r="AY25" s="3"/>
      <c r="AZ25" s="3"/>
      <c r="BA25" s="3"/>
    </row>
    <row r="26" customFormat="false" ht="22.8" hidden="false" customHeight="false" outlineLevel="0" collapsed="false">
      <c r="A26" s="46" t="str">
        <f aca="false">_xlfn.CONCAT($A$1, ".CALC.", CALC!A57)</f>
        <v>LSD.RID.0.AL.U3TPR.CALC.22</v>
      </c>
      <c r="B26" s="50" t="str">
        <f aca="false">CALC!C57</f>
        <v>Other Services (except Public Administration)</v>
      </c>
      <c r="C26" s="18" t="n">
        <v>0.0031</v>
      </c>
      <c r="D26" s="18" t="n">
        <v>0.0026</v>
      </c>
      <c r="E26" s="18" t="n">
        <v>0.0345</v>
      </c>
      <c r="F26" s="18" t="n">
        <v>0.003</v>
      </c>
      <c r="K26" s="18" t="s">
        <v>2540</v>
      </c>
      <c r="L26" s="18" t="s">
        <v>1648</v>
      </c>
      <c r="M26" s="18" t="n">
        <v>0.0031</v>
      </c>
      <c r="N26" s="18" t="n">
        <v>0.0026</v>
      </c>
      <c r="O26" s="18" t="n">
        <v>0.0345</v>
      </c>
      <c r="P26" s="18" t="n">
        <v>0.003</v>
      </c>
      <c r="Z26" s="3"/>
      <c r="AA26" s="3"/>
      <c r="AB26" s="3"/>
      <c r="AC26" s="3"/>
      <c r="AL26" s="18"/>
      <c r="AM26" s="18"/>
      <c r="AN26" s="18"/>
      <c r="AO26" s="18"/>
      <c r="AP26" s="3"/>
      <c r="AQ26" s="3"/>
      <c r="AR26" s="3"/>
      <c r="AS26" s="3"/>
      <c r="AT26" s="3"/>
      <c r="AU26" s="3"/>
      <c r="AV26" s="3"/>
      <c r="AW26" s="3"/>
      <c r="AX26" s="3"/>
      <c r="AY26" s="3"/>
      <c r="AZ26" s="3"/>
      <c r="BA26" s="3"/>
    </row>
    <row r="27" customFormat="false" ht="12.8" hidden="false" customHeight="false" outlineLevel="0" collapsed="false">
      <c r="A27" s="46" t="str">
        <f aca="false">_xlfn.CONCAT($A$1, ".CALC.", CALC!A58)</f>
        <v>LSD.RID.0.AL.U3TPR.CALC.23</v>
      </c>
      <c r="B27" s="22" t="str">
        <f aca="false">CALC!C58</f>
        <v>Public Administration</v>
      </c>
      <c r="C27" s="18" t="n">
        <v>0.0059</v>
      </c>
      <c r="D27" s="18" t="n">
        <v>0.0049</v>
      </c>
      <c r="E27" s="18" t="n">
        <v>0.0386</v>
      </c>
      <c r="F27" s="18" t="n">
        <v>0.0057</v>
      </c>
      <c r="K27" s="18" t="s">
        <v>2541</v>
      </c>
      <c r="L27" s="18" t="s">
        <v>1649</v>
      </c>
      <c r="M27" s="18" t="n">
        <v>0.0059</v>
      </c>
      <c r="N27" s="18" t="n">
        <v>0.0049</v>
      </c>
      <c r="O27" s="18" t="n">
        <v>0.0386</v>
      </c>
      <c r="P27" s="18" t="n">
        <v>0.0057</v>
      </c>
      <c r="Z27" s="3"/>
      <c r="AA27" s="3"/>
      <c r="AB27" s="3"/>
      <c r="AC27" s="3"/>
      <c r="AL27" s="18"/>
      <c r="AM27" s="18"/>
      <c r="AN27" s="18"/>
      <c r="AO27" s="18"/>
      <c r="AP27" s="3"/>
      <c r="AQ27" s="3"/>
      <c r="AR27" s="3"/>
      <c r="AS27" s="3"/>
      <c r="AT27" s="3"/>
      <c r="AU27" s="3"/>
      <c r="AV27" s="3"/>
      <c r="AW27" s="3"/>
      <c r="AX27" s="3"/>
      <c r="AY27" s="3"/>
      <c r="AZ27" s="3"/>
      <c r="BA27" s="3"/>
    </row>
    <row r="29" customFormat="false" ht="12.8" hidden="false" customHeight="false" outlineLevel="0" collapsed="false">
      <c r="A29" s="46" t="s">
        <v>2542</v>
      </c>
      <c r="B29" s="47" t="s">
        <v>2543</v>
      </c>
    </row>
    <row r="30" customFormat="false" ht="12.8" hidden="false" customHeight="false" outlineLevel="0" collapsed="false">
      <c r="A30" s="14" t="s">
        <v>93</v>
      </c>
      <c r="B30" s="49" t="s">
        <v>1801</v>
      </c>
      <c r="C30" s="49" t="s">
        <v>283</v>
      </c>
      <c r="D30" s="49" t="s">
        <v>2056</v>
      </c>
      <c r="E30" s="49" t="s">
        <v>286</v>
      </c>
      <c r="F30" s="49" t="s">
        <v>287</v>
      </c>
      <c r="K30" s="49"/>
      <c r="L30" s="3"/>
    </row>
    <row r="31" customFormat="false" ht="12.8" hidden="false" customHeight="false" outlineLevel="0" collapsed="false">
      <c r="A31" s="18" t="s">
        <v>2544</v>
      </c>
      <c r="B31" s="18" t="s">
        <v>2545</v>
      </c>
      <c r="C31" s="18" t="s">
        <v>2546</v>
      </c>
      <c r="D31" s="18" t="s">
        <v>2547</v>
      </c>
      <c r="E31" s="18" t="s">
        <v>2548</v>
      </c>
      <c r="F31" s="18" t="s">
        <v>417</v>
      </c>
      <c r="L31" s="3"/>
    </row>
    <row r="32" customFormat="false" ht="12.8" hidden="false" customHeight="false" outlineLevel="0" collapsed="false">
      <c r="A32" s="18" t="s">
        <v>2549</v>
      </c>
      <c r="B32" s="18" t="s">
        <v>2545</v>
      </c>
      <c r="C32" s="18" t="s">
        <v>2063</v>
      </c>
      <c r="D32" s="18" t="s">
        <v>2550</v>
      </c>
      <c r="E32" s="18" t="s">
        <v>2551</v>
      </c>
      <c r="F32" s="18" t="s">
        <v>417</v>
      </c>
      <c r="L32" s="3"/>
    </row>
    <row r="33" customFormat="false" ht="12.8" hidden="false" customHeight="false" outlineLevel="0" collapsed="false">
      <c r="A33" s="18" t="s">
        <v>2552</v>
      </c>
      <c r="B33" s="18" t="s">
        <v>2545</v>
      </c>
      <c r="C33" s="18" t="s">
        <v>2066</v>
      </c>
      <c r="D33" s="18" t="s">
        <v>2553</v>
      </c>
      <c r="E33" s="18" t="s">
        <v>2554</v>
      </c>
      <c r="F33" s="18" t="s">
        <v>417</v>
      </c>
      <c r="L33" s="3"/>
    </row>
    <row r="34" customFormat="false" ht="12.8" hidden="false" customHeight="false" outlineLevel="0" collapsed="false">
      <c r="A34" s="18" t="s">
        <v>2555</v>
      </c>
      <c r="B34" s="18" t="s">
        <v>2545</v>
      </c>
      <c r="C34" s="18" t="s">
        <v>2556</v>
      </c>
      <c r="D34" s="18" t="s">
        <v>2557</v>
      </c>
      <c r="E34" s="18" t="s">
        <v>422</v>
      </c>
      <c r="F34" s="18" t="s">
        <v>417</v>
      </c>
      <c r="L34" s="3"/>
    </row>
    <row r="35" customFormat="false" ht="12.8" hidden="false" customHeight="false" outlineLevel="0" collapsed="false">
      <c r="A35" s="18"/>
      <c r="L35" s="3"/>
    </row>
    <row r="36" customFormat="false" ht="12.8" hidden="false" customHeight="false" outlineLevel="0" collapsed="false">
      <c r="A36" s="46" t="s">
        <v>2558</v>
      </c>
      <c r="B36" s="47" t="s">
        <v>2559</v>
      </c>
    </row>
    <row r="37" customFormat="false" ht="12.8" hidden="false" customHeight="false" outlineLevel="0" collapsed="false">
      <c r="A37" s="49" t="s">
        <v>97</v>
      </c>
      <c r="B37" s="49" t="s">
        <v>283</v>
      </c>
      <c r="C37" s="49" t="s">
        <v>2073</v>
      </c>
      <c r="D37" s="49" t="s">
        <v>286</v>
      </c>
      <c r="E37" s="49" t="s">
        <v>850</v>
      </c>
      <c r="F37" s="49" t="s">
        <v>851</v>
      </c>
      <c r="G37" s="49" t="s">
        <v>852</v>
      </c>
      <c r="H37" s="49" t="s">
        <v>287</v>
      </c>
    </row>
    <row r="38" customFormat="false" ht="12.8" hidden="false" customHeight="false" outlineLevel="0" collapsed="false">
      <c r="A38" s="18" t="s">
        <v>2560</v>
      </c>
      <c r="B38" s="18" t="s">
        <v>2561</v>
      </c>
      <c r="C38" s="18" t="n">
        <v>0.0155</v>
      </c>
      <c r="D38" s="18" t="s">
        <v>2562</v>
      </c>
      <c r="E38" s="18" t="s">
        <v>857</v>
      </c>
      <c r="F38" s="18" t="s">
        <v>858</v>
      </c>
      <c r="G38" s="24" t="s">
        <v>859</v>
      </c>
      <c r="H38" s="18" t="s">
        <v>417</v>
      </c>
    </row>
    <row r="39" customFormat="false" ht="12.8" hidden="false" customHeight="false" outlineLevel="0" collapsed="false">
      <c r="A39" s="18" t="s">
        <v>2563</v>
      </c>
      <c r="B39" s="18" t="s">
        <v>2564</v>
      </c>
      <c r="C39" s="18" t="s">
        <v>2565</v>
      </c>
      <c r="D39" s="18" t="s">
        <v>2080</v>
      </c>
      <c r="E39" s="18" t="s">
        <v>2081</v>
      </c>
      <c r="F39" s="18" t="s">
        <v>2082</v>
      </c>
      <c r="G39" s="24" t="s">
        <v>859</v>
      </c>
      <c r="H39" s="18" t="s">
        <v>417</v>
      </c>
    </row>
    <row r="40" customFormat="false" ht="12.8" hidden="false" customHeight="false" outlineLevel="0" collapsed="false">
      <c r="A40" s="18" t="s">
        <v>2566</v>
      </c>
      <c r="B40" s="18" t="s">
        <v>2567</v>
      </c>
      <c r="C40" s="18" t="s">
        <v>2568</v>
      </c>
      <c r="D40" s="18" t="s">
        <v>2569</v>
      </c>
      <c r="E40" s="18" t="s">
        <v>2081</v>
      </c>
      <c r="F40" s="18" t="s">
        <v>2082</v>
      </c>
      <c r="G40" s="24" t="s">
        <v>859</v>
      </c>
      <c r="H40" s="18" t="s">
        <v>417</v>
      </c>
    </row>
    <row r="41" customFormat="false" ht="12.8" hidden="false" customHeight="false" outlineLevel="0" collapsed="false">
      <c r="A41" s="18" t="s">
        <v>2570</v>
      </c>
      <c r="B41" s="18" t="s">
        <v>2571</v>
      </c>
      <c r="C41" s="18" t="n">
        <v>0.85</v>
      </c>
      <c r="D41" s="18" t="s">
        <v>2293</v>
      </c>
      <c r="E41" s="18" t="s">
        <v>857</v>
      </c>
      <c r="F41" s="18" t="s">
        <v>2572</v>
      </c>
      <c r="G41" s="24" t="s">
        <v>859</v>
      </c>
      <c r="H41" s="18" t="s">
        <v>417</v>
      </c>
    </row>
    <row r="42" customFormat="false" ht="12.8" hidden="false" customHeight="false" outlineLevel="0" collapsed="false">
      <c r="A42" s="18" t="s">
        <v>2573</v>
      </c>
      <c r="B42" s="18" t="s">
        <v>1317</v>
      </c>
      <c r="C42" s="18" t="n">
        <v>4</v>
      </c>
      <c r="D42" s="18" t="s">
        <v>2167</v>
      </c>
      <c r="E42" s="18" t="s">
        <v>857</v>
      </c>
      <c r="F42" s="18" t="s">
        <v>2574</v>
      </c>
      <c r="G42" s="24" t="s">
        <v>859</v>
      </c>
      <c r="H42" s="18" t="s">
        <v>417</v>
      </c>
    </row>
    <row r="43" customFormat="false" ht="12.8" hidden="false" customHeight="false" outlineLevel="0" collapsed="false">
      <c r="A43" s="18"/>
      <c r="G43" s="24"/>
    </row>
    <row r="44" customFormat="false" ht="12.8" hidden="false" customHeight="false" outlineLevel="0" collapsed="false">
      <c r="A44" s="46" t="s">
        <v>2575</v>
      </c>
      <c r="B44" s="47" t="s">
        <v>2576</v>
      </c>
    </row>
    <row r="45" customFormat="false" ht="12.8" hidden="false" customHeight="false" outlineLevel="0" collapsed="false">
      <c r="A45" s="49" t="s">
        <v>101</v>
      </c>
      <c r="B45" s="49" t="s">
        <v>286</v>
      </c>
      <c r="C45" s="49" t="s">
        <v>849</v>
      </c>
      <c r="D45" s="49" t="s">
        <v>2093</v>
      </c>
      <c r="E45" s="49" t="s">
        <v>850</v>
      </c>
      <c r="F45" s="49" t="s">
        <v>2094</v>
      </c>
      <c r="G45" s="49" t="s">
        <v>2420</v>
      </c>
      <c r="H45" s="49" t="s">
        <v>2420</v>
      </c>
    </row>
    <row r="46" customFormat="false" ht="12.8" hidden="false" customHeight="false" outlineLevel="0" collapsed="false">
      <c r="A46" s="18" t="s">
        <v>2577</v>
      </c>
      <c r="B46" s="18" t="s">
        <v>1671</v>
      </c>
      <c r="C46" s="18" t="n">
        <v>0.0155</v>
      </c>
      <c r="D46" s="18" t="s">
        <v>2578</v>
      </c>
      <c r="E46" s="18" t="s">
        <v>857</v>
      </c>
      <c r="F46" s="18" t="s">
        <v>2579</v>
      </c>
    </row>
    <row r="47" customFormat="false" ht="12.8" hidden="false" customHeight="false" outlineLevel="0" collapsed="false">
      <c r="A47" s="18" t="s">
        <v>2580</v>
      </c>
      <c r="B47" s="18" t="s">
        <v>2099</v>
      </c>
      <c r="C47" s="18" t="s">
        <v>2581</v>
      </c>
      <c r="D47" s="18" t="s">
        <v>2582</v>
      </c>
      <c r="E47" s="18" t="s">
        <v>857</v>
      </c>
      <c r="F47" s="18" t="s">
        <v>2583</v>
      </c>
    </row>
    <row r="48" customFormat="false" ht="12.8" hidden="false" customHeight="false" outlineLevel="0" collapsed="false">
      <c r="A48" s="18" t="s">
        <v>2584</v>
      </c>
      <c r="B48" s="18" t="s">
        <v>2585</v>
      </c>
      <c r="C48" s="18" t="s">
        <v>2586</v>
      </c>
      <c r="D48" s="18" t="s">
        <v>2587</v>
      </c>
      <c r="E48" s="18" t="s">
        <v>857</v>
      </c>
      <c r="F48" s="18" t="s">
        <v>2588</v>
      </c>
    </row>
    <row r="49" customFormat="false" ht="12.8" hidden="false" customHeight="false" outlineLevel="0" collapsed="false">
      <c r="A49" s="18" t="s">
        <v>2589</v>
      </c>
      <c r="B49" s="18" t="s">
        <v>2590</v>
      </c>
      <c r="C49" s="18" t="s">
        <v>2591</v>
      </c>
      <c r="D49" s="18" t="s">
        <v>2592</v>
      </c>
      <c r="E49" s="18" t="s">
        <v>857</v>
      </c>
      <c r="F49" s="18" t="s">
        <v>2593</v>
      </c>
    </row>
    <row r="50" customFormat="false" ht="12.8" hidden="false" customHeight="false" outlineLevel="0" collapsed="false">
      <c r="A50" s="18" t="s">
        <v>2594</v>
      </c>
      <c r="B50" s="18" t="s">
        <v>2114</v>
      </c>
      <c r="C50" s="18" t="s">
        <v>2186</v>
      </c>
      <c r="D50" s="18" t="s">
        <v>2595</v>
      </c>
      <c r="E50" s="18" t="s">
        <v>857</v>
      </c>
      <c r="F50" s="18" t="s">
        <v>2596</v>
      </c>
    </row>
    <row r="51" customFormat="false" ht="12.8" hidden="false" customHeight="false" outlineLevel="0" collapsed="false">
      <c r="A51" s="18" t="s">
        <v>2597</v>
      </c>
      <c r="B51" s="18" t="s">
        <v>2119</v>
      </c>
      <c r="C51" s="18" t="s">
        <v>2120</v>
      </c>
      <c r="D51" s="18" t="s">
        <v>2598</v>
      </c>
      <c r="E51" s="18" t="s">
        <v>857</v>
      </c>
      <c r="F51" s="18" t="s">
        <v>2599</v>
      </c>
    </row>
    <row r="52" customFormat="false" ht="12.8" hidden="false" customHeight="false" outlineLevel="0" collapsed="false">
      <c r="A52" s="18" t="s">
        <v>2600</v>
      </c>
      <c r="B52" s="18" t="s">
        <v>2601</v>
      </c>
      <c r="C52" s="18" t="s">
        <v>2602</v>
      </c>
      <c r="D52" s="18" t="s">
        <v>2126</v>
      </c>
      <c r="E52" s="18" t="s">
        <v>857</v>
      </c>
      <c r="F52" s="18" t="s">
        <v>2603</v>
      </c>
    </row>
    <row r="53" customFormat="false" ht="12.8" hidden="false" customHeight="false" outlineLevel="0" collapsed="false">
      <c r="A53" s="18"/>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P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false" hidden="false" outlineLevel="0" max="1" min="1" style="17" width="11.53"/>
    <col collapsed="false" customWidth="true" hidden="false" outlineLevel="0" max="2" min="2" style="18" width="41.51"/>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2604</v>
      </c>
      <c r="B1" s="22" t="s">
        <v>2605</v>
      </c>
      <c r="C1" s="6" t="s">
        <v>2</v>
      </c>
      <c r="D1" s="48" t="s">
        <v>2606</v>
      </c>
      <c r="AZ1" s="18"/>
      <c r="BP1" s="18"/>
    </row>
    <row r="2" customFormat="false" ht="12.8" hidden="false" customHeight="false" outlineLevel="0" collapsed="false">
      <c r="A2" s="46" t="str">
        <f aca="false">_xlfn.CONCAT($A$1, ".", "CALC")</f>
        <v>LSD.RID.0.AL.U6R.CALC</v>
      </c>
      <c r="B2" s="47" t="str">
        <f aca="false">_xlfn.CONCAT($B$1, " ", "Calculations")</f>
        <v>Alabama Underemployment Rate (U6R) Calculations</v>
      </c>
      <c r="C2" s="3"/>
      <c r="D2" s="3"/>
      <c r="E2" s="3"/>
      <c r="F2" s="3"/>
      <c r="AZ2" s="3"/>
      <c r="BA2" s="3"/>
      <c r="BB2" s="3"/>
      <c r="BC2" s="3"/>
    </row>
    <row r="3" customFormat="false" ht="12.8" hidden="false" customHeight="false" outlineLevel="0" collapsed="false">
      <c r="A3" s="46" t="str">
        <f aca="false">CALC!A34</f>
        <v>LSID</v>
      </c>
      <c r="B3" s="22" t="str">
        <f aca="false">CALC!C34</f>
        <v>Labor Sector</v>
      </c>
      <c r="C3" s="54" t="str">
        <f aca="false">CALC!T34</f>
        <v>Overall U6R</v>
      </c>
      <c r="D3" s="54" t="str">
        <f aca="false">CALC!U34</f>
        <v>Authorized U6R</v>
      </c>
      <c r="E3" s="54" t="str">
        <f aca="false">CALC!V34</f>
        <v>Unauthorized U6R</v>
      </c>
      <c r="F3" s="54" t="str">
        <f aca="false">CALC!W34</f>
        <v>American U6R</v>
      </c>
      <c r="H3" s="55"/>
      <c r="I3" s="55"/>
      <c r="J3" s="55"/>
      <c r="K3" s="55"/>
      <c r="L3" s="55"/>
      <c r="M3" s="55"/>
      <c r="N3" s="55"/>
    </row>
    <row r="4" customFormat="false" ht="12.8" hidden="false" customHeight="false" outlineLevel="0" collapsed="false">
      <c r="A4" s="46" t="str">
        <f aca="false">_xlfn.CONCAT($A$1, ".CALC.", CALC!A35)</f>
        <v>LSD.RID.0.AL.U6R.CALC.0</v>
      </c>
      <c r="B4" s="22" t="str">
        <f aca="false">CALC!C35</f>
        <v>All Industries</v>
      </c>
      <c r="C4" s="18" t="n">
        <v>0.062</v>
      </c>
      <c r="D4" s="18" t="n">
        <v>0.048</v>
      </c>
      <c r="E4" s="18" t="n">
        <v>0.198</v>
      </c>
      <c r="F4" s="18" t="n">
        <v>0.059</v>
      </c>
      <c r="G4" s="39"/>
      <c r="H4" s="39"/>
      <c r="I4" s="39"/>
      <c r="J4" s="39"/>
      <c r="K4" s="39"/>
      <c r="L4" s="39"/>
      <c r="M4" s="39"/>
      <c r="N4" s="39"/>
    </row>
    <row r="5" customFormat="false" ht="12.8" hidden="false" customHeight="false" outlineLevel="0" collapsed="false">
      <c r="A5" s="46" t="str">
        <f aca="false">_xlfn.CONCAT($A$1, ".CALC.", CALC!A36)</f>
        <v>LSD.RID.0.AL.U6R.CALC.1</v>
      </c>
      <c r="B5" s="50" t="str">
        <f aca="false">CALC!C36</f>
        <v>Agriculture, Forestry, Fishing and Hunting</v>
      </c>
      <c r="C5" s="18" t="n">
        <v>0.072</v>
      </c>
      <c r="D5" s="18" t="n">
        <v>0.059</v>
      </c>
      <c r="E5" s="18" t="n">
        <v>0.318</v>
      </c>
      <c r="F5" s="18" t="n">
        <v>0.069</v>
      </c>
      <c r="G5" s="39"/>
      <c r="H5" s="39"/>
      <c r="I5" s="39"/>
      <c r="J5" s="39"/>
      <c r="K5" s="39"/>
      <c r="L5" s="39"/>
      <c r="M5" s="39"/>
      <c r="N5" s="39"/>
    </row>
    <row r="6" customFormat="false" ht="12.8" hidden="false" customHeight="false" outlineLevel="0" collapsed="false">
      <c r="A6" s="46" t="str">
        <f aca="false">_xlfn.CONCAT($A$1, ".CALC.", CALC!A37)</f>
        <v>LSD.RID.0.AL.U6R.CALC.2</v>
      </c>
      <c r="B6" s="50" t="str">
        <f aca="false">CALC!C37</f>
        <v>Mining, Quarrying, and Oil and Gas Extraction</v>
      </c>
      <c r="C6" s="18" t="n">
        <v>0.055</v>
      </c>
      <c r="D6" s="18" t="n">
        <v>0.045</v>
      </c>
      <c r="E6" s="18" t="n">
        <v>0.19</v>
      </c>
      <c r="F6" s="18" t="n">
        <v>0.053</v>
      </c>
      <c r="G6" s="39"/>
      <c r="H6" s="39"/>
      <c r="I6" s="39"/>
      <c r="J6" s="39"/>
      <c r="K6" s="39"/>
      <c r="L6" s="39"/>
      <c r="M6" s="39"/>
      <c r="N6" s="39"/>
    </row>
    <row r="7" customFormat="false" ht="12.8" hidden="false" customHeight="false" outlineLevel="0" collapsed="false">
      <c r="A7" s="46" t="str">
        <f aca="false">_xlfn.CONCAT($A$1, ".CALC.", CALC!A38)</f>
        <v>LSD.RID.0.AL.U6R.CALC.3</v>
      </c>
      <c r="B7" s="22" t="str">
        <f aca="false">CALC!C38</f>
        <v>Utilities</v>
      </c>
      <c r="C7" s="18" t="n">
        <v>0.055</v>
      </c>
      <c r="D7" s="18" t="n">
        <v>0.045</v>
      </c>
      <c r="E7" s="18" t="n">
        <v>0.225</v>
      </c>
      <c r="F7" s="18" t="n">
        <v>0.053</v>
      </c>
      <c r="G7" s="39"/>
      <c r="H7" s="39"/>
      <c r="I7" s="39"/>
      <c r="J7" s="39"/>
      <c r="K7" s="39"/>
      <c r="L7" s="39"/>
      <c r="M7" s="39"/>
      <c r="N7" s="39"/>
    </row>
    <row r="8" customFormat="false" ht="12.8" hidden="false" customHeight="false" outlineLevel="0" collapsed="false">
      <c r="A8" s="46" t="str">
        <f aca="false">_xlfn.CONCAT($A$1, ".CALC.", CALC!A39)</f>
        <v>LSD.RID.0.AL.U6R.CALC.4</v>
      </c>
      <c r="B8" s="22" t="str">
        <f aca="false">CALC!C39</f>
        <v>Construction</v>
      </c>
      <c r="C8" s="18" t="n">
        <v>0.088</v>
      </c>
      <c r="D8" s="18" t="n">
        <v>0.072</v>
      </c>
      <c r="E8" s="18" t="n">
        <v>0.232</v>
      </c>
      <c r="F8" s="18" t="n">
        <v>0.085</v>
      </c>
      <c r="G8" s="39"/>
      <c r="H8" s="39"/>
      <c r="I8" s="39"/>
      <c r="J8" s="39"/>
      <c r="K8" s="39"/>
      <c r="L8" s="39"/>
      <c r="M8" s="39"/>
      <c r="N8" s="39"/>
    </row>
    <row r="9" customFormat="false" ht="12.8" hidden="false" customHeight="false" outlineLevel="0" collapsed="false">
      <c r="A9" s="46" t="str">
        <f aca="false">_xlfn.CONCAT($A$1, ".CALC.", CALC!A40)</f>
        <v>LSD.RID.0.AL.U6R.CALC.5</v>
      </c>
      <c r="B9" s="50" t="str">
        <f aca="false">CALC!C40</f>
        <v>Manufacturing (Food,Textile, etc.)</v>
      </c>
      <c r="C9" s="18" t="n">
        <v>0.072</v>
      </c>
      <c r="D9" s="18" t="n">
        <v>0.059</v>
      </c>
      <c r="E9" s="18" t="n">
        <v>0.142</v>
      </c>
      <c r="F9" s="18" t="n">
        <v>0.069</v>
      </c>
      <c r="G9" s="39"/>
      <c r="H9" s="39"/>
      <c r="I9" s="39"/>
      <c r="J9" s="39"/>
      <c r="K9" s="39"/>
      <c r="L9" s="39"/>
      <c r="M9" s="39"/>
      <c r="N9" s="39"/>
    </row>
    <row r="10" customFormat="false" ht="12.8" hidden="false" customHeight="false" outlineLevel="0" collapsed="false">
      <c r="A10" s="46" t="str">
        <f aca="false">_xlfn.CONCAT($A$1, ".CALC.", CALC!A41)</f>
        <v>LSD.RID.0.AL.U6R.CALC.6</v>
      </c>
      <c r="B10" s="50" t="str">
        <f aca="false">CALC!C41</f>
        <v>Manufacturing (Wood, Paper, Printing, etc.)</v>
      </c>
      <c r="C10" s="18" t="n">
        <v>0.062</v>
      </c>
      <c r="D10" s="18" t="n">
        <v>0.051</v>
      </c>
      <c r="E10" s="18" t="n">
        <v>0.12</v>
      </c>
      <c r="F10" s="18" t="n">
        <v>0.059</v>
      </c>
      <c r="G10" s="39"/>
      <c r="H10" s="39"/>
      <c r="I10" s="39"/>
      <c r="J10" s="39"/>
      <c r="K10" s="39"/>
      <c r="L10" s="39"/>
      <c r="M10" s="39"/>
      <c r="N10" s="39"/>
    </row>
    <row r="11" customFormat="false" ht="12.8" hidden="false" customHeight="false" outlineLevel="0" collapsed="false">
      <c r="A11" s="46" t="str">
        <f aca="false">_xlfn.CONCAT($A$1, ".CALC.", CALC!A42)</f>
        <v>LSD.RID.0.AL.U6R.CALC.7</v>
      </c>
      <c r="B11" s="50" t="str">
        <f aca="false">CALC!C42</f>
        <v>Manufacturing (Machinery, Transport)</v>
      </c>
      <c r="C11" s="18" t="n">
        <v>0.072</v>
      </c>
      <c r="D11" s="18" t="n">
        <v>0.059</v>
      </c>
      <c r="E11" s="18" t="n">
        <v>0.155</v>
      </c>
      <c r="F11" s="18" t="n">
        <v>0.069</v>
      </c>
      <c r="G11" s="39"/>
      <c r="H11" s="39"/>
      <c r="I11" s="39"/>
      <c r="J11" s="39"/>
      <c r="K11" s="39"/>
      <c r="L11" s="39"/>
      <c r="M11" s="39"/>
      <c r="N11" s="39"/>
    </row>
    <row r="12" customFormat="false" ht="12.8" hidden="false" customHeight="false" outlineLevel="0" collapsed="false">
      <c r="A12" s="46" t="str">
        <f aca="false">_xlfn.CONCAT($A$1, ".CALC.", CALC!A43)</f>
        <v>LSD.RID.0.AL.U6R.CALC.8</v>
      </c>
      <c r="B12" s="22" t="str">
        <f aca="false">CALC!C43</f>
        <v>Wholesale Trade</v>
      </c>
      <c r="C12" s="18" t="n">
        <v>0.055</v>
      </c>
      <c r="D12" s="18" t="n">
        <v>0.045</v>
      </c>
      <c r="E12" s="18" t="n">
        <v>0.098</v>
      </c>
      <c r="F12" s="18" t="n">
        <v>0.053</v>
      </c>
      <c r="G12" s="39"/>
      <c r="H12" s="39"/>
      <c r="I12" s="39"/>
      <c r="J12" s="39"/>
      <c r="K12" s="39"/>
      <c r="L12" s="39"/>
      <c r="M12" s="39"/>
      <c r="N12" s="39"/>
    </row>
    <row r="13" customFormat="false" ht="12.8" hidden="false" customHeight="false" outlineLevel="0" collapsed="false">
      <c r="A13" s="46" t="str">
        <f aca="false">_xlfn.CONCAT($A$1, ".CALC.", CALC!A44)</f>
        <v>LSD.RID.0.AL.U6R.CALC.9</v>
      </c>
      <c r="B13" s="50" t="str">
        <f aca="false">CALC!C44</f>
        <v>Retail Trade (Motor Vehicle, Electronics)</v>
      </c>
      <c r="C13" s="18" t="n">
        <v>0.048</v>
      </c>
      <c r="D13" s="18" t="n">
        <v>0.039</v>
      </c>
      <c r="E13" s="18" t="n">
        <v>0.087</v>
      </c>
      <c r="F13" s="18" t="n">
        <v>0.046</v>
      </c>
      <c r="G13" s="39"/>
      <c r="H13" s="39"/>
      <c r="I13" s="39"/>
      <c r="J13" s="39"/>
      <c r="K13" s="39"/>
      <c r="L13" s="39"/>
      <c r="M13" s="39"/>
      <c r="N13" s="39"/>
    </row>
    <row r="14" customFormat="false" ht="22.8" hidden="false" customHeight="false" outlineLevel="0" collapsed="false">
      <c r="A14" s="46" t="str">
        <f aca="false">_xlfn.CONCAT($A$1, ".CALC.", CALC!A45)</f>
        <v>LSD.RID.0.AL.U6R.CALC.10</v>
      </c>
      <c r="B14" s="50" t="str">
        <f aca="false">CALC!C45</f>
        <v>Retail Trade (Food, Clothing, General Merchandise, etc.)</v>
      </c>
      <c r="C14" s="18" t="n">
        <v>0.072</v>
      </c>
      <c r="D14" s="18" t="n">
        <v>0.059</v>
      </c>
      <c r="E14" s="18" t="n">
        <v>0.138</v>
      </c>
      <c r="F14" s="18" t="n">
        <v>0.069</v>
      </c>
      <c r="G14" s="39"/>
      <c r="H14" s="39"/>
      <c r="I14" s="39"/>
      <c r="J14" s="39"/>
      <c r="K14" s="39"/>
      <c r="L14" s="39"/>
      <c r="M14" s="39"/>
      <c r="N14" s="39"/>
    </row>
    <row r="15" customFormat="false" ht="12.8" hidden="false" customHeight="false" outlineLevel="0" collapsed="false">
      <c r="A15" s="46" t="str">
        <f aca="false">_xlfn.CONCAT($A$1, ".CALC.", CALC!A46)</f>
        <v>LSD.RID.0.AL.U6R.CALC.11</v>
      </c>
      <c r="B15" s="22" t="str">
        <f aca="false">CALC!C46</f>
        <v>Transportation</v>
      </c>
      <c r="C15" s="18" t="n">
        <v>0.062</v>
      </c>
      <c r="D15" s="18" t="n">
        <v>0.051</v>
      </c>
      <c r="E15" s="18" t="n">
        <v>0.122</v>
      </c>
      <c r="F15" s="18" t="n">
        <v>0.059</v>
      </c>
      <c r="G15" s="39"/>
      <c r="H15" s="39"/>
      <c r="I15" s="39"/>
      <c r="J15" s="39"/>
      <c r="K15" s="39"/>
      <c r="L15" s="39"/>
      <c r="M15" s="39"/>
      <c r="N15" s="39"/>
    </row>
    <row r="16" customFormat="false" ht="12.8" hidden="false" customHeight="false" outlineLevel="0" collapsed="false">
      <c r="A16" s="46" t="str">
        <f aca="false">_xlfn.CONCAT($A$1, ".CALC.", CALC!A47)</f>
        <v>LSD.RID.0.AL.U6R.CALC.12</v>
      </c>
      <c r="B16" s="22" t="str">
        <f aca="false">CALC!C47</f>
        <v>Warehousing and Storage</v>
      </c>
      <c r="C16" s="18" t="n">
        <v>0.055</v>
      </c>
      <c r="D16" s="18" t="n">
        <v>0.045</v>
      </c>
      <c r="E16" s="18" t="n">
        <v>0.115</v>
      </c>
      <c r="F16" s="18" t="n">
        <v>0.053</v>
      </c>
      <c r="G16" s="39"/>
      <c r="H16" s="39"/>
      <c r="I16" s="39"/>
      <c r="J16" s="39"/>
      <c r="K16" s="39"/>
      <c r="L16" s="39"/>
      <c r="M16" s="39"/>
      <c r="N16" s="39"/>
    </row>
    <row r="17" customFormat="false" ht="12.8" hidden="false" customHeight="false" outlineLevel="0" collapsed="false">
      <c r="A17" s="46" t="str">
        <f aca="false">_xlfn.CONCAT($A$1, ".CALC.", CALC!A48)</f>
        <v>LSD.RID.0.AL.U6R.CALC.13</v>
      </c>
      <c r="B17" s="22" t="str">
        <f aca="false">CALC!C48</f>
        <v>Information</v>
      </c>
      <c r="C17" s="18" t="n">
        <v>0.048</v>
      </c>
      <c r="D17" s="18" t="n">
        <v>0.039</v>
      </c>
      <c r="E17" s="18" t="n">
        <v>0.093</v>
      </c>
      <c r="F17" s="18" t="n">
        <v>0.046</v>
      </c>
      <c r="G17" s="39"/>
      <c r="H17" s="39"/>
      <c r="I17" s="39"/>
      <c r="J17" s="39"/>
      <c r="K17" s="39"/>
      <c r="L17" s="39"/>
      <c r="M17" s="39"/>
      <c r="N17" s="39"/>
    </row>
    <row r="18" customFormat="false" ht="12.8" hidden="false" customHeight="false" outlineLevel="0" collapsed="false">
      <c r="A18" s="46" t="str">
        <f aca="false">_xlfn.CONCAT($A$1, ".CALC.", CALC!A49)</f>
        <v>LSD.RID.0.AL.U6R.CALC.14</v>
      </c>
      <c r="B18" s="22" t="str">
        <f aca="false">CALC!C49</f>
        <v>Finance and Insurance</v>
      </c>
      <c r="C18" s="18" t="n">
        <v>0.038</v>
      </c>
      <c r="D18" s="18" t="n">
        <v>0.031</v>
      </c>
      <c r="E18" s="18" t="n">
        <v>0.088</v>
      </c>
      <c r="F18" s="18" t="n">
        <v>0.036</v>
      </c>
      <c r="G18" s="39"/>
      <c r="H18" s="39"/>
      <c r="I18" s="39"/>
      <c r="J18" s="39"/>
      <c r="K18" s="39"/>
      <c r="L18" s="39"/>
      <c r="M18" s="39"/>
      <c r="N18" s="39"/>
    </row>
    <row r="19" customFormat="false" ht="12.8" hidden="false" customHeight="false" outlineLevel="0" collapsed="false">
      <c r="A19" s="46" t="str">
        <f aca="false">_xlfn.CONCAT($A$1, ".CALC.", CALC!A50)</f>
        <v>LSD.RID.0.AL.U6R.CALC.15</v>
      </c>
      <c r="B19" s="50" t="str">
        <f aca="false">CALC!C50</f>
        <v>Real Estate and Rental and Leasing</v>
      </c>
      <c r="C19" s="18" t="n">
        <v>0.038</v>
      </c>
      <c r="D19" s="18" t="n">
        <v>0.031</v>
      </c>
      <c r="E19" s="18" t="n">
        <v>0.081</v>
      </c>
      <c r="F19" s="18" t="n">
        <v>0.036</v>
      </c>
      <c r="G19" s="39"/>
      <c r="H19" s="39"/>
      <c r="I19" s="39"/>
      <c r="J19" s="39"/>
      <c r="K19" s="39"/>
      <c r="L19" s="39"/>
      <c r="M19" s="39"/>
      <c r="N19" s="39"/>
    </row>
    <row r="20" customFormat="false" ht="12.8" hidden="false" customHeight="false" outlineLevel="0" collapsed="false">
      <c r="A20" s="46" t="str">
        <f aca="false">_xlfn.CONCAT($A$1, ".CALC.", CALC!A51)</f>
        <v>LSD.RID.0.AL.U6R.CALC.16</v>
      </c>
      <c r="B20" s="50" t="str">
        <f aca="false">CALC!C51</f>
        <v>Professional, Scientific, and Technical Services</v>
      </c>
      <c r="C20" s="18" t="n">
        <v>0.045</v>
      </c>
      <c r="D20" s="18" t="n">
        <v>0.037</v>
      </c>
      <c r="E20" s="18" t="n">
        <v>0.098</v>
      </c>
      <c r="F20" s="18" t="n">
        <v>0.043</v>
      </c>
      <c r="G20" s="39"/>
      <c r="H20" s="39"/>
      <c r="I20" s="39"/>
      <c r="J20" s="39"/>
      <c r="K20" s="39"/>
      <c r="L20" s="39"/>
      <c r="M20" s="39"/>
      <c r="N20" s="39"/>
    </row>
    <row r="21" customFormat="false" ht="22.8" hidden="false" customHeight="false" outlineLevel="0" collapsed="false">
      <c r="A21" s="46" t="str">
        <f aca="false">_xlfn.CONCAT($A$1, ".CALC.", CALC!A52)</f>
        <v>LSD.RID.0.AL.U6R.CALC.17</v>
      </c>
      <c r="B21" s="50" t="str">
        <f aca="false">CALC!C52</f>
        <v>Administrative and Support and Waste Management and Remediation Services</v>
      </c>
      <c r="C21" s="18" t="n">
        <v>0.095</v>
      </c>
      <c r="D21" s="18" t="n">
        <v>0.078</v>
      </c>
      <c r="E21" s="18" t="n">
        <v>0.178</v>
      </c>
      <c r="F21" s="18" t="n">
        <v>0.091</v>
      </c>
      <c r="G21" s="39"/>
      <c r="H21" s="39"/>
      <c r="I21" s="39"/>
      <c r="J21" s="39"/>
      <c r="K21" s="39"/>
      <c r="L21" s="39"/>
      <c r="M21" s="39"/>
      <c r="N21" s="39"/>
    </row>
    <row r="22" customFormat="false" ht="12.8" hidden="false" customHeight="false" outlineLevel="0" collapsed="false">
      <c r="A22" s="46" t="str">
        <f aca="false">_xlfn.CONCAT($A$1, ".CALC.", CALC!A53)</f>
        <v>LSD.RID.0.AL.U6R.CALC.18</v>
      </c>
      <c r="B22" s="22" t="str">
        <f aca="false">CALC!C53</f>
        <v>Educational Services</v>
      </c>
      <c r="C22" s="18" t="n">
        <v>0.055</v>
      </c>
      <c r="D22" s="18" t="n">
        <v>0.045</v>
      </c>
      <c r="E22" s="18" t="n">
        <v>0.127</v>
      </c>
      <c r="F22" s="18" t="n">
        <v>0.053</v>
      </c>
      <c r="G22" s="39"/>
      <c r="H22" s="39"/>
      <c r="I22" s="39"/>
      <c r="J22" s="39"/>
      <c r="K22" s="39"/>
      <c r="L22" s="39"/>
      <c r="M22" s="39"/>
      <c r="N22" s="39"/>
    </row>
    <row r="23" customFormat="false" ht="12.8" hidden="false" customHeight="false" outlineLevel="0" collapsed="false">
      <c r="A23" s="46" t="str">
        <f aca="false">_xlfn.CONCAT($A$1, ".CALC.", CALC!A54)</f>
        <v>LSD.RID.0.AL.U6R.CALC.19</v>
      </c>
      <c r="B23" s="50" t="str">
        <f aca="false">CALC!C54</f>
        <v>Health Care and Social Assistance</v>
      </c>
      <c r="C23" s="18" t="n">
        <v>0.055</v>
      </c>
      <c r="D23" s="18" t="n">
        <v>0.045</v>
      </c>
      <c r="E23" s="18" t="n">
        <v>0.134</v>
      </c>
      <c r="F23" s="18" t="n">
        <v>0.053</v>
      </c>
      <c r="G23" s="39"/>
      <c r="H23" s="39"/>
      <c r="I23" s="39"/>
      <c r="J23" s="39"/>
      <c r="K23" s="39"/>
      <c r="L23" s="39"/>
      <c r="M23" s="39"/>
      <c r="N23" s="39"/>
    </row>
    <row r="24" customFormat="false" ht="12.8" hidden="false" customHeight="false" outlineLevel="0" collapsed="false">
      <c r="A24" s="46" t="str">
        <f aca="false">_xlfn.CONCAT($A$1, ".CALC.", CALC!A55)</f>
        <v>LSD.RID.0.AL.U6R.CALC.20</v>
      </c>
      <c r="B24" s="50" t="str">
        <f aca="false">CALC!C55</f>
        <v>Arts, Entertainment,and Recreation</v>
      </c>
      <c r="C24" s="18" t="n">
        <v>0.038</v>
      </c>
      <c r="D24" s="18" t="n">
        <v>0.031</v>
      </c>
      <c r="E24" s="18" t="n">
        <v>0.079</v>
      </c>
      <c r="F24" s="18" t="n">
        <v>0.036</v>
      </c>
      <c r="G24" s="39"/>
      <c r="H24" s="39"/>
      <c r="I24" s="39"/>
      <c r="J24" s="39"/>
      <c r="K24" s="39"/>
      <c r="L24" s="39"/>
      <c r="M24" s="39"/>
      <c r="N24" s="39"/>
    </row>
    <row r="25" customFormat="false" ht="12.8" hidden="false" customHeight="false" outlineLevel="0" collapsed="false">
      <c r="A25" s="46" t="str">
        <f aca="false">_xlfn.CONCAT($A$1, ".CALC.", CALC!A56)</f>
        <v>LSD.RID.0.AL.U6R.CALC.21</v>
      </c>
      <c r="B25" s="50" t="str">
        <f aca="false">CALC!C56</f>
        <v>Accommodation and Food Services</v>
      </c>
      <c r="C25" s="18" t="n">
        <v>0.095</v>
      </c>
      <c r="D25" s="18" t="n">
        <v>0.078</v>
      </c>
      <c r="E25" s="18" t="n">
        <v>0.188</v>
      </c>
      <c r="F25" s="18" t="n">
        <v>0.091</v>
      </c>
      <c r="G25" s="39"/>
      <c r="H25" s="39"/>
      <c r="I25" s="39"/>
      <c r="J25" s="39"/>
      <c r="K25" s="39"/>
      <c r="L25" s="39"/>
      <c r="M25" s="39"/>
      <c r="N25" s="39"/>
    </row>
    <row r="26" customFormat="false" ht="12.8" hidden="false" customHeight="false" outlineLevel="0" collapsed="false">
      <c r="A26" s="46" t="str">
        <f aca="false">_xlfn.CONCAT($A$1, ".CALC.", CALC!A57)</f>
        <v>LSD.RID.0.AL.U6R.CALC.22</v>
      </c>
      <c r="B26" s="50" t="str">
        <f aca="false">CALC!C57</f>
        <v>Other Services (except Public Administration)</v>
      </c>
      <c r="C26" s="18" t="n">
        <v>0.055</v>
      </c>
      <c r="D26" s="18" t="n">
        <v>0.045</v>
      </c>
      <c r="E26" s="18" t="n">
        <v>0.105</v>
      </c>
      <c r="F26" s="18" t="n">
        <v>0.053</v>
      </c>
      <c r="G26" s="39"/>
      <c r="H26" s="39"/>
      <c r="I26" s="39"/>
      <c r="J26" s="39"/>
      <c r="K26" s="39"/>
      <c r="L26" s="39"/>
      <c r="M26" s="39"/>
      <c r="N26" s="39"/>
    </row>
    <row r="27" customFormat="false" ht="12.8" hidden="false" customHeight="false" outlineLevel="0" collapsed="false">
      <c r="A27" s="46" t="str">
        <f aca="false">_xlfn.CONCAT($A$1, ".CALC.", CALC!A58)</f>
        <v>LSD.RID.0.AL.U6R.CALC.23</v>
      </c>
      <c r="B27" s="22" t="str">
        <f aca="false">CALC!C58</f>
        <v>Public Administration</v>
      </c>
      <c r="C27" s="18" t="n">
        <v>0.038</v>
      </c>
      <c r="D27" s="18" t="n">
        <v>0.031</v>
      </c>
      <c r="E27" s="18" t="n">
        <v>0.117</v>
      </c>
      <c r="F27" s="18" t="n">
        <v>0.036</v>
      </c>
      <c r="G27" s="39"/>
      <c r="H27" s="39"/>
      <c r="I27" s="39"/>
      <c r="J27" s="39"/>
      <c r="K27" s="39"/>
      <c r="L27" s="39"/>
      <c r="M27" s="39"/>
      <c r="N27" s="39"/>
    </row>
    <row r="28" customFormat="false" ht="12.8" hidden="false" customHeight="false" outlineLevel="0" collapsed="false">
      <c r="A28" s="46"/>
      <c r="B28" s="22"/>
      <c r="C28" s="39"/>
      <c r="D28" s="39"/>
      <c r="E28" s="39"/>
      <c r="F28" s="39"/>
      <c r="G28" s="39"/>
      <c r="H28" s="39"/>
      <c r="I28" s="39"/>
      <c r="J28" s="39"/>
      <c r="K28" s="39"/>
      <c r="L28" s="39"/>
      <c r="M28" s="39"/>
      <c r="N28" s="39"/>
    </row>
    <row r="29" customFormat="false" ht="12.8" hidden="false" customHeight="false" outlineLevel="0" collapsed="false">
      <c r="A29" s="46" t="s">
        <v>2607</v>
      </c>
      <c r="B29" s="46" t="s">
        <v>2608</v>
      </c>
      <c r="C29" s="47" t="str">
        <f aca="false">_xlfn.CONCAT($B$1, " ", "Formulae")</f>
        <v>Alabama Underemployment Rate (U6R) Formulae</v>
      </c>
    </row>
    <row r="30" customFormat="false" ht="12.8" hidden="false" customHeight="false" outlineLevel="0" collapsed="false">
      <c r="A30" s="14" t="s">
        <v>93</v>
      </c>
      <c r="B30" s="3" t="s">
        <v>1801</v>
      </c>
      <c r="C30" s="3" t="s">
        <v>283</v>
      </c>
      <c r="D30" s="3" t="s">
        <v>2056</v>
      </c>
      <c r="E30" s="3" t="s">
        <v>286</v>
      </c>
      <c r="F30" s="3" t="s">
        <v>287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BD30" s="3"/>
      <c r="BE30" s="3"/>
      <c r="BF30" s="3"/>
      <c r="BG30" s="3"/>
      <c r="BH30" s="3"/>
      <c r="BI30" s="3"/>
      <c r="BJ30" s="3"/>
      <c r="BK30" s="3"/>
      <c r="BL30" s="3"/>
      <c r="BM30" s="3"/>
      <c r="BN30" s="3"/>
      <c r="BO30" s="3"/>
    </row>
    <row r="31" customFormat="false" ht="12.8" hidden="false" customHeight="false" outlineLevel="0" collapsed="false">
      <c r="A31" s="21" t="s">
        <v>2609</v>
      </c>
      <c r="B31" s="3" t="s">
        <v>2610</v>
      </c>
      <c r="C31" s="3" t="s">
        <v>2611</v>
      </c>
      <c r="D31" s="3" t="s">
        <v>2453</v>
      </c>
      <c r="E31" s="3" t="s">
        <v>2612</v>
      </c>
      <c r="F31" s="3" t="s">
        <v>417</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BD31" s="3"/>
      <c r="BE31" s="3"/>
      <c r="BF31" s="3"/>
      <c r="BG31" s="3"/>
      <c r="BH31" s="3"/>
      <c r="BI31" s="3"/>
      <c r="BJ31" s="3"/>
      <c r="BK31" s="3"/>
      <c r="BL31" s="3"/>
      <c r="BM31" s="3"/>
      <c r="BN31" s="3"/>
      <c r="BO31" s="3"/>
    </row>
    <row r="32" customFormat="false" ht="12.8" hidden="false" customHeight="false" outlineLevel="0" collapsed="false">
      <c r="A32" s="21" t="s">
        <v>2613</v>
      </c>
      <c r="B32" s="3" t="s">
        <v>2610</v>
      </c>
      <c r="C32" s="3" t="s">
        <v>2063</v>
      </c>
      <c r="D32" s="3" t="s">
        <v>2456</v>
      </c>
      <c r="E32" s="3" t="s">
        <v>2064</v>
      </c>
      <c r="F32" s="3" t="s">
        <v>417</v>
      </c>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BD32" s="3"/>
      <c r="BE32" s="3"/>
      <c r="BF32" s="3"/>
      <c r="BG32" s="3"/>
      <c r="BH32" s="3"/>
      <c r="BI32" s="3"/>
      <c r="BJ32" s="3"/>
      <c r="BK32" s="3"/>
      <c r="BL32" s="3"/>
      <c r="BM32" s="3"/>
      <c r="BN32" s="3"/>
      <c r="BO32" s="3"/>
    </row>
    <row r="33" customFormat="false" ht="12.8" hidden="false" customHeight="false" outlineLevel="0" collapsed="false">
      <c r="A33" s="21" t="s">
        <v>2614</v>
      </c>
      <c r="B33" s="3" t="s">
        <v>2610</v>
      </c>
      <c r="C33" s="3" t="s">
        <v>2066</v>
      </c>
      <c r="D33" s="3" t="s">
        <v>2458</v>
      </c>
      <c r="E33" s="3" t="s">
        <v>2615</v>
      </c>
      <c r="F33" s="3" t="s">
        <v>417</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row>
    <row r="34" customFormat="false" ht="12.8" hidden="false" customHeight="false" outlineLevel="0" collapsed="false">
      <c r="A34" s="17" t="s">
        <v>2616</v>
      </c>
      <c r="B34" s="18" t="s">
        <v>2610</v>
      </c>
      <c r="C34" s="18" t="s">
        <v>2617</v>
      </c>
      <c r="D34" s="18" t="s">
        <v>2462</v>
      </c>
      <c r="E34" s="18" t="s">
        <v>422</v>
      </c>
      <c r="F34" s="18" t="s">
        <v>417</v>
      </c>
    </row>
    <row r="36" customFormat="false" ht="12.8" hidden="false" customHeight="false" outlineLevel="0" collapsed="false">
      <c r="A36" s="46" t="s">
        <v>2618</v>
      </c>
      <c r="B36" s="46" t="s">
        <v>2619</v>
      </c>
      <c r="C36" s="47" t="str">
        <f aca="false">_xlfn.CONCAT($B$1, " ", "Parameters")</f>
        <v>Alabama Underemployment Rate (U6R) Parameters</v>
      </c>
    </row>
    <row r="37" customFormat="false" ht="12.8" hidden="false" customHeight="false" outlineLevel="0" collapsed="false">
      <c r="A37" s="49" t="s">
        <v>97</v>
      </c>
      <c r="B37" s="49" t="s">
        <v>283</v>
      </c>
      <c r="C37" s="49" t="s">
        <v>2073</v>
      </c>
      <c r="D37" s="49" t="s">
        <v>286</v>
      </c>
      <c r="E37" s="49" t="s">
        <v>850</v>
      </c>
      <c r="F37" s="49" t="s">
        <v>851</v>
      </c>
      <c r="G37" s="49" t="s">
        <v>852</v>
      </c>
      <c r="H37" s="49" t="s">
        <v>287</v>
      </c>
      <c r="AY37" s="3"/>
      <c r="BC37" s="18"/>
      <c r="BO37" s="3"/>
    </row>
    <row r="38" customFormat="false" ht="12.8" hidden="false" customHeight="false" outlineLevel="0" collapsed="false">
      <c r="A38" s="21" t="s">
        <v>2620</v>
      </c>
      <c r="B38" s="3" t="s">
        <v>2621</v>
      </c>
      <c r="C38" s="3" t="n">
        <v>0.062</v>
      </c>
      <c r="D38" s="3" t="s">
        <v>2622</v>
      </c>
      <c r="E38" s="3" t="s">
        <v>857</v>
      </c>
      <c r="F38" s="3" t="s">
        <v>2623</v>
      </c>
      <c r="G38" s="24" t="s">
        <v>859</v>
      </c>
      <c r="H38" s="3" t="s">
        <v>417</v>
      </c>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BD38" s="3"/>
      <c r="BE38" s="3"/>
      <c r="BF38" s="3"/>
      <c r="BG38" s="3"/>
      <c r="BH38" s="3"/>
      <c r="BI38" s="3"/>
      <c r="BJ38" s="3"/>
      <c r="BK38" s="3"/>
      <c r="BL38" s="3"/>
      <c r="BM38" s="3"/>
      <c r="BN38" s="3"/>
      <c r="BO38" s="3"/>
    </row>
    <row r="39" customFormat="false" ht="12.8" hidden="false" customHeight="false" outlineLevel="0" collapsed="false">
      <c r="A39" s="21" t="s">
        <v>2624</v>
      </c>
      <c r="B39" s="3" t="s">
        <v>2625</v>
      </c>
      <c r="C39" s="3" t="s">
        <v>2626</v>
      </c>
      <c r="D39" s="3" t="s">
        <v>2080</v>
      </c>
      <c r="E39" s="3" t="s">
        <v>2081</v>
      </c>
      <c r="F39" s="3" t="s">
        <v>2082</v>
      </c>
      <c r="G39" s="24" t="s">
        <v>859</v>
      </c>
      <c r="H39" s="3" t="s">
        <v>417</v>
      </c>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BD39" s="3"/>
      <c r="BE39" s="3"/>
      <c r="BF39" s="3"/>
      <c r="BG39" s="3"/>
      <c r="BH39" s="3"/>
      <c r="BI39" s="3"/>
      <c r="BJ39" s="3"/>
      <c r="BK39" s="3"/>
      <c r="BL39" s="3"/>
      <c r="BM39" s="3"/>
      <c r="BN39" s="3"/>
      <c r="BO39" s="3"/>
    </row>
    <row r="40" customFormat="false" ht="12.8" hidden="false" customHeight="false" outlineLevel="0" collapsed="false">
      <c r="A40" s="21" t="s">
        <v>2627</v>
      </c>
      <c r="B40" s="3" t="s">
        <v>2628</v>
      </c>
      <c r="C40" s="3" t="s">
        <v>2473</v>
      </c>
      <c r="D40" s="3" t="s">
        <v>2629</v>
      </c>
      <c r="E40" s="3" t="s">
        <v>2081</v>
      </c>
      <c r="F40" s="3" t="s">
        <v>2082</v>
      </c>
      <c r="G40" s="24" t="s">
        <v>859</v>
      </c>
      <c r="H40" s="3" t="s">
        <v>2158</v>
      </c>
      <c r="I40" s="3" t="s">
        <v>417</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BD40" s="3"/>
      <c r="BE40" s="3"/>
      <c r="BF40" s="3"/>
      <c r="BG40" s="3"/>
      <c r="BH40" s="3"/>
      <c r="BI40" s="3"/>
      <c r="BJ40" s="3"/>
      <c r="BK40" s="3"/>
      <c r="BL40" s="3"/>
      <c r="BM40" s="3"/>
      <c r="BN40" s="3"/>
      <c r="BO40" s="3"/>
    </row>
    <row r="41" customFormat="false" ht="12.8" hidden="false" customHeight="false" outlineLevel="0" collapsed="false">
      <c r="A41" s="21" t="s">
        <v>2630</v>
      </c>
      <c r="B41" s="3" t="s">
        <v>2631</v>
      </c>
      <c r="C41" s="3" t="s">
        <v>2477</v>
      </c>
      <c r="D41" s="3" t="s">
        <v>2090</v>
      </c>
      <c r="E41" s="3" t="s">
        <v>2081</v>
      </c>
      <c r="F41" s="3" t="s">
        <v>2082</v>
      </c>
      <c r="G41" s="24" t="s">
        <v>859</v>
      </c>
      <c r="H41" s="3" t="s">
        <v>1072</v>
      </c>
      <c r="I41" s="3" t="s">
        <v>417</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BD41" s="3"/>
      <c r="BE41" s="3"/>
      <c r="BF41" s="3"/>
      <c r="BG41" s="3"/>
      <c r="BH41" s="3"/>
      <c r="BI41" s="3"/>
      <c r="BJ41" s="3"/>
      <c r="BK41" s="3"/>
      <c r="BL41" s="3"/>
      <c r="BM41" s="3"/>
      <c r="BN41" s="3"/>
      <c r="BO41" s="3"/>
    </row>
    <row r="42" customFormat="false" ht="12.8" hidden="false" customHeight="false" outlineLevel="0" collapsed="false">
      <c r="A42" s="21" t="s">
        <v>2632</v>
      </c>
      <c r="B42" s="3" t="s">
        <v>2633</v>
      </c>
      <c r="C42" s="3" t="n">
        <v>0.7</v>
      </c>
      <c r="D42" s="3" t="s">
        <v>2634</v>
      </c>
      <c r="E42" s="3" t="s">
        <v>857</v>
      </c>
      <c r="F42" s="3" t="s">
        <v>2480</v>
      </c>
      <c r="G42" s="24" t="s">
        <v>859</v>
      </c>
      <c r="H42" s="3" t="s">
        <v>417</v>
      </c>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BD42" s="3"/>
      <c r="BE42" s="3"/>
      <c r="BF42" s="3"/>
      <c r="BG42" s="3"/>
      <c r="BH42" s="3"/>
      <c r="BI42" s="3"/>
      <c r="BJ42" s="3"/>
      <c r="BK42" s="3"/>
      <c r="BL42" s="3"/>
      <c r="BM42" s="3"/>
      <c r="BN42" s="3"/>
      <c r="BO42" s="3"/>
    </row>
    <row r="43" customFormat="false" ht="12.8" hidden="false" customHeight="false" outlineLevel="0" collapsed="false">
      <c r="A43" s="43" t="s">
        <v>2635</v>
      </c>
      <c r="B43" s="44" t="s">
        <v>1270</v>
      </c>
      <c r="C43" s="18" t="n">
        <v>5</v>
      </c>
      <c r="D43" s="18" t="s">
        <v>2167</v>
      </c>
      <c r="E43" s="18" t="s">
        <v>857</v>
      </c>
      <c r="F43" s="18" t="s">
        <v>2482</v>
      </c>
      <c r="G43" s="24" t="s">
        <v>859</v>
      </c>
      <c r="H43" s="18" t="s">
        <v>417</v>
      </c>
      <c r="AZ43" s="18"/>
      <c r="BA43" s="18"/>
      <c r="BB43" s="18"/>
      <c r="BC43" s="18"/>
      <c r="BP43" s="18"/>
    </row>
    <row r="44" customFormat="false" ht="12.8" hidden="false" customHeight="false" outlineLevel="0" collapsed="false">
      <c r="A44" s="46"/>
      <c r="B44" s="47"/>
      <c r="G44" s="24"/>
    </row>
    <row r="45" customFormat="false" ht="12.8" hidden="false" customHeight="false" outlineLevel="0" collapsed="false">
      <c r="A45" s="46" t="s">
        <v>2636</v>
      </c>
      <c r="B45" s="47" t="s">
        <v>2637</v>
      </c>
    </row>
    <row r="46" customFormat="false" ht="12.8" hidden="false" customHeight="false" outlineLevel="0" collapsed="false">
      <c r="A46" s="49" t="s">
        <v>101</v>
      </c>
      <c r="B46" s="49" t="s">
        <v>286</v>
      </c>
      <c r="C46" s="49" t="s">
        <v>849</v>
      </c>
      <c r="D46" s="49" t="s">
        <v>2093</v>
      </c>
      <c r="E46" s="49" t="s">
        <v>850</v>
      </c>
      <c r="F46" s="49" t="s">
        <v>2094</v>
      </c>
      <c r="G46" s="49" t="s">
        <v>1998</v>
      </c>
    </row>
    <row r="47" customFormat="false" ht="12.8" hidden="false" customHeight="false" outlineLevel="0" collapsed="false">
      <c r="A47" s="21" t="s">
        <v>2638</v>
      </c>
      <c r="B47" s="3" t="s">
        <v>1675</v>
      </c>
      <c r="C47" s="3" t="n">
        <v>0.062</v>
      </c>
      <c r="D47" s="3" t="s">
        <v>2639</v>
      </c>
      <c r="E47" s="3" t="s">
        <v>857</v>
      </c>
      <c r="F47" s="3" t="s">
        <v>2640</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BD47" s="3"/>
      <c r="BE47" s="3"/>
      <c r="BF47" s="3"/>
      <c r="BG47" s="3"/>
      <c r="BH47" s="3"/>
      <c r="BI47" s="3"/>
      <c r="BJ47" s="3"/>
      <c r="BK47" s="3"/>
      <c r="BL47" s="3"/>
      <c r="BM47" s="3"/>
      <c r="BN47" s="3"/>
      <c r="BO47" s="3"/>
    </row>
    <row r="48" customFormat="false" ht="12.8" hidden="false" customHeight="false" outlineLevel="0" collapsed="false">
      <c r="A48" s="21" t="s">
        <v>2641</v>
      </c>
      <c r="B48" s="3" t="s">
        <v>2099</v>
      </c>
      <c r="C48" s="3" t="s">
        <v>2642</v>
      </c>
      <c r="D48" s="3" t="s">
        <v>2643</v>
      </c>
      <c r="E48" s="3" t="s">
        <v>857</v>
      </c>
      <c r="F48" s="3" t="s">
        <v>2644</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BD48" s="3"/>
      <c r="BE48" s="3"/>
      <c r="BF48" s="3"/>
      <c r="BG48" s="3"/>
      <c r="BH48" s="3"/>
      <c r="BI48" s="3"/>
      <c r="BJ48" s="3"/>
      <c r="BK48" s="3"/>
      <c r="BL48" s="3"/>
      <c r="BM48" s="3"/>
      <c r="BN48" s="3"/>
      <c r="BO48" s="3"/>
    </row>
    <row r="49" customFormat="false" ht="12.8" hidden="false" customHeight="false" outlineLevel="0" collapsed="false">
      <c r="A49" s="21" t="s">
        <v>2645</v>
      </c>
      <c r="B49" s="3" t="s">
        <v>2585</v>
      </c>
      <c r="C49" s="3" t="s">
        <v>2646</v>
      </c>
      <c r="D49" s="3" t="s">
        <v>2647</v>
      </c>
      <c r="E49" s="3" t="s">
        <v>857</v>
      </c>
      <c r="F49" s="3" t="s">
        <v>2375</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BD49" s="3"/>
      <c r="BE49" s="3"/>
      <c r="BF49" s="3"/>
      <c r="BG49" s="3"/>
      <c r="BH49" s="3"/>
      <c r="BI49" s="3"/>
      <c r="BJ49" s="3"/>
      <c r="BK49" s="3"/>
      <c r="BL49" s="3"/>
      <c r="BM49" s="3"/>
      <c r="BN49" s="3"/>
      <c r="BO49" s="3"/>
    </row>
    <row r="50" customFormat="false" ht="12.8" hidden="false" customHeight="false" outlineLevel="0" collapsed="false">
      <c r="A50" s="21" t="s">
        <v>2648</v>
      </c>
      <c r="B50" s="3" t="s">
        <v>2109</v>
      </c>
      <c r="C50" s="3" t="s">
        <v>2649</v>
      </c>
      <c r="D50" s="3" t="s">
        <v>2650</v>
      </c>
      <c r="E50" s="3" t="s">
        <v>857</v>
      </c>
      <c r="F50" s="3" t="s">
        <v>2651</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BD50" s="3"/>
      <c r="BE50" s="3"/>
      <c r="BF50" s="3"/>
      <c r="BG50" s="3"/>
      <c r="BH50" s="3"/>
      <c r="BI50" s="3"/>
      <c r="BJ50" s="3"/>
      <c r="BK50" s="3"/>
      <c r="BL50" s="3"/>
      <c r="BM50" s="3"/>
      <c r="BN50" s="3"/>
      <c r="BO50" s="3"/>
    </row>
    <row r="51" customFormat="false" ht="12.8" hidden="false" customHeight="false" outlineLevel="0" collapsed="false">
      <c r="A51" s="21" t="s">
        <v>2652</v>
      </c>
      <c r="B51" s="3" t="s">
        <v>2114</v>
      </c>
      <c r="C51" s="3" t="s">
        <v>2115</v>
      </c>
      <c r="D51" s="3" t="s">
        <v>2653</v>
      </c>
      <c r="E51" s="3" t="s">
        <v>857</v>
      </c>
      <c r="F51" s="3" t="s">
        <v>2250</v>
      </c>
      <c r="G51" s="3" t="s">
        <v>2654</v>
      </c>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BD51" s="3"/>
      <c r="BE51" s="3"/>
      <c r="BF51" s="3"/>
      <c r="BG51" s="3"/>
      <c r="BH51" s="3"/>
      <c r="BI51" s="3"/>
      <c r="BJ51" s="3"/>
      <c r="BK51" s="3"/>
      <c r="BL51" s="3"/>
      <c r="BM51" s="3"/>
      <c r="BN51" s="3"/>
      <c r="BO51" s="3"/>
    </row>
    <row r="52" customFormat="false" ht="12.8" hidden="false" customHeight="false" outlineLevel="0" collapsed="false">
      <c r="A52" s="21" t="s">
        <v>2655</v>
      </c>
      <c r="B52" s="3" t="s">
        <v>2119</v>
      </c>
      <c r="C52" s="3" t="s">
        <v>2120</v>
      </c>
      <c r="D52" s="3" t="s">
        <v>2656</v>
      </c>
      <c r="E52" s="3" t="s">
        <v>857</v>
      </c>
      <c r="F52" s="3" t="s">
        <v>2383</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BD52" s="3"/>
      <c r="BE52" s="3"/>
      <c r="BF52" s="3"/>
      <c r="BG52" s="3"/>
      <c r="BH52" s="3"/>
      <c r="BI52" s="3"/>
      <c r="BJ52" s="3"/>
      <c r="BK52" s="3"/>
      <c r="BL52" s="3"/>
      <c r="BM52" s="3"/>
      <c r="BN52" s="3"/>
      <c r="BO52" s="3"/>
    </row>
    <row r="53" customFormat="false" ht="12.8" hidden="false" customHeight="false" outlineLevel="0" collapsed="false">
      <c r="A53" s="21" t="s">
        <v>2657</v>
      </c>
      <c r="B53" s="3" t="s">
        <v>2658</v>
      </c>
      <c r="C53" s="3" t="s">
        <v>2659</v>
      </c>
      <c r="D53" s="3" t="s">
        <v>2328</v>
      </c>
      <c r="E53" s="3" t="s">
        <v>857</v>
      </c>
      <c r="F53" s="3" t="s">
        <v>2660</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BD53" s="3"/>
      <c r="BE53" s="3"/>
      <c r="BF53" s="3"/>
      <c r="BG53" s="3"/>
      <c r="BH53" s="3"/>
      <c r="BI53" s="3"/>
      <c r="BJ53" s="3"/>
      <c r="BK53" s="3"/>
      <c r="BL53" s="3"/>
      <c r="BM53" s="3"/>
      <c r="BN53" s="3"/>
      <c r="BO53" s="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2E4E"/>
    <pageSetUpPr fitToPage="false"/>
  </sheetPr>
  <dimension ref="A1:AP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true" hidden="false" outlineLevel="0" max="1" min="1" style="17" width="27.68"/>
    <col collapsed="false" customWidth="true" hidden="false" outlineLevel="0" max="2" min="2" style="18" width="27.68"/>
    <col collapsed="false" customWidth="true" hidden="false" outlineLevel="0" max="3" min="3" style="18" width="21.47"/>
    <col collapsed="false" customWidth="true" hidden="false" outlineLevel="0" max="6" min="4" style="18" width="19.14"/>
    <col collapsed="false" customWidth="true" hidden="false" outlineLevel="0" max="9" min="7" style="18" width="16.84"/>
    <col collapsed="false" customWidth="true" hidden="false" outlineLevel="0" max="22" min="10" style="18" width="17.78"/>
    <col collapsed="false" customWidth="true" hidden="false" outlineLevel="0" max="25" min="23" style="18" width="15.48"/>
    <col collapsed="false" customWidth="true" hidden="false" outlineLevel="0" max="30" min="30" style="18" width="18.45"/>
    <col collapsed="false" customWidth="true" hidden="false" outlineLevel="0" max="33" min="31" style="18" width="16.14"/>
    <col collapsed="false" customWidth="true" hidden="false" outlineLevel="0" max="41" min="34" style="18" width="13.84"/>
  </cols>
  <sheetData>
    <row r="1" customFormat="false" ht="12.9" hidden="false" customHeight="false" outlineLevel="0" collapsed="false">
      <c r="A1" s="4" t="s">
        <v>64</v>
      </c>
      <c r="B1" s="22" t="s">
        <v>2661</v>
      </c>
      <c r="C1" s="6" t="s">
        <v>2</v>
      </c>
      <c r="D1" s="48" t="s">
        <v>2662</v>
      </c>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row>
    <row r="2" customFormat="false" ht="12.8" hidden="false" customHeight="false" outlineLevel="0" collapsed="false">
      <c r="A2" s="46" t="str">
        <f aca="false">_xlfn.CONCAT($A$1, ".", "CALC")</f>
        <v>LSD.RID.0.AL.U6TPR.CALC</v>
      </c>
      <c r="B2" s="47" t="str">
        <f aca="false">_xlfn.CONCAT($B$1, " ", "Calculations")</f>
        <v>Alabama Underemployment-to-Population Ratio (U6TPR) Calculations</v>
      </c>
      <c r="C2" s="35" t="str">
        <f aca="false">CALC!P33</f>
        <v>Unemployment-to-Population Ratio (U3TPR)</v>
      </c>
      <c r="D2" s="35"/>
      <c r="E2" s="35"/>
      <c r="F2" s="3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row>
    <row r="3" customFormat="false" ht="12.8" hidden="false" customHeight="false" outlineLevel="0" collapsed="false">
      <c r="A3" s="46" t="str">
        <f aca="false">CALC!A34</f>
        <v>LSID</v>
      </c>
      <c r="B3" s="22" t="str">
        <f aca="false">CALC!C34</f>
        <v>Labor Sector</v>
      </c>
      <c r="C3" s="37" t="str">
        <f aca="false">CALC!P34</f>
        <v>Overall U3TPR</v>
      </c>
      <c r="D3" s="37" t="str">
        <f aca="false">CALC!Q34</f>
        <v>Authorized U3TPR</v>
      </c>
      <c r="E3" s="37" t="str">
        <f aca="false">CALC!R34</f>
        <v>Unauthorized U3TPR</v>
      </c>
      <c r="F3" s="37" t="str">
        <f aca="false">CALC!S34</f>
        <v>American U3TPR</v>
      </c>
      <c r="N3" s="3"/>
      <c r="O3" s="3"/>
      <c r="P3" s="3"/>
      <c r="Q3" s="3"/>
      <c r="Z3" s="18"/>
      <c r="AA3" s="18"/>
      <c r="AB3" s="18"/>
      <c r="AC3" s="18"/>
      <c r="AD3" s="3"/>
      <c r="AE3" s="3"/>
      <c r="AF3" s="3"/>
      <c r="AG3" s="3"/>
      <c r="AH3" s="3"/>
      <c r="AI3" s="3"/>
      <c r="AJ3" s="3"/>
      <c r="AK3" s="3"/>
      <c r="AL3" s="3"/>
      <c r="AM3" s="3"/>
      <c r="AN3" s="3"/>
      <c r="AO3" s="3"/>
    </row>
    <row r="4" customFormat="false" ht="12.8" hidden="false" customHeight="false" outlineLevel="0" collapsed="false">
      <c r="A4" s="46" t="str">
        <f aca="false">_xlfn.CONCAT($A$1, ".CALC.", CALC!A35)</f>
        <v>LSD.RID.0.AL.U6TPR.CALC.0</v>
      </c>
      <c r="B4" s="22" t="str">
        <f aca="false">CALC!C35</f>
        <v>All Industries</v>
      </c>
      <c r="C4" s="18" t="n">
        <v>0.0358</v>
      </c>
      <c r="D4" s="18" t="n">
        <v>0.0295</v>
      </c>
      <c r="E4" s="18" t="n">
        <v>0.1984</v>
      </c>
      <c r="F4" s="18" t="n">
        <v>0.035</v>
      </c>
      <c r="N4" s="3"/>
      <c r="O4" s="3"/>
      <c r="P4" s="3"/>
      <c r="Q4" s="3"/>
      <c r="Z4" s="18"/>
      <c r="AA4" s="18"/>
      <c r="AB4" s="18"/>
      <c r="AC4" s="18"/>
      <c r="AD4" s="3"/>
      <c r="AE4" s="3"/>
      <c r="AF4" s="3"/>
      <c r="AG4" s="3"/>
      <c r="AH4" s="3"/>
      <c r="AI4" s="3"/>
      <c r="AJ4" s="3"/>
      <c r="AK4" s="3"/>
      <c r="AL4" s="3"/>
      <c r="AM4" s="3"/>
      <c r="AN4" s="3"/>
      <c r="AO4" s="3"/>
    </row>
    <row r="5" customFormat="false" ht="22.8" hidden="false" customHeight="false" outlineLevel="0" collapsed="false">
      <c r="A5" s="46" t="str">
        <f aca="false">_xlfn.CONCAT($A$1, ".CALC.", CALC!A36)</f>
        <v>LSD.RID.0.AL.U6TPR.CALC.1</v>
      </c>
      <c r="B5" s="50" t="str">
        <f aca="false">CALC!C36</f>
        <v>Agriculture, Forestry, Fishing and Hunting</v>
      </c>
      <c r="C5" s="18" t="n">
        <v>0.0647</v>
      </c>
      <c r="D5" s="18" t="n">
        <v>0.0532</v>
      </c>
      <c r="E5" s="18" t="n">
        <v>0.3185</v>
      </c>
      <c r="F5" s="18" t="n">
        <v>0.0628</v>
      </c>
      <c r="N5" s="3"/>
      <c r="O5" s="3"/>
      <c r="P5" s="3"/>
      <c r="Q5" s="3"/>
      <c r="Z5" s="18"/>
      <c r="AA5" s="18"/>
      <c r="AB5" s="18"/>
      <c r="AC5" s="18"/>
      <c r="AD5" s="3"/>
      <c r="AE5" s="3"/>
      <c r="AF5" s="3"/>
      <c r="AG5" s="3"/>
      <c r="AH5" s="3"/>
      <c r="AI5" s="3"/>
      <c r="AJ5" s="3"/>
      <c r="AK5" s="3"/>
      <c r="AL5" s="3"/>
      <c r="AM5" s="3"/>
      <c r="AN5" s="3"/>
      <c r="AO5" s="3"/>
    </row>
    <row r="6" customFormat="false" ht="22.8" hidden="false" customHeight="false" outlineLevel="0" collapsed="false">
      <c r="A6" s="46" t="str">
        <f aca="false">_xlfn.CONCAT($A$1, ".CALC.", CALC!A37)</f>
        <v>LSD.RID.0.AL.U6TPR.CALC.2</v>
      </c>
      <c r="B6" s="50" t="str">
        <f aca="false">CALC!C37</f>
        <v>Mining, Quarrying, and Oil and Gas Extraction</v>
      </c>
      <c r="C6" s="18" t="n">
        <v>0.0211</v>
      </c>
      <c r="D6" s="18" t="n">
        <v>0.0174</v>
      </c>
      <c r="E6" s="18" t="n">
        <v>0.1897</v>
      </c>
      <c r="F6" s="18" t="n">
        <v>0.0205</v>
      </c>
      <c r="N6" s="3"/>
      <c r="O6" s="3"/>
      <c r="P6" s="3"/>
      <c r="Q6" s="3"/>
      <c r="Z6" s="18"/>
      <c r="AA6" s="18"/>
      <c r="AB6" s="18"/>
      <c r="AC6" s="18"/>
      <c r="AD6" s="3"/>
      <c r="AE6" s="3"/>
      <c r="AF6" s="3"/>
      <c r="AG6" s="3"/>
      <c r="AH6" s="3"/>
      <c r="AI6" s="3"/>
      <c r="AJ6" s="3"/>
      <c r="AK6" s="3"/>
      <c r="AL6" s="3"/>
      <c r="AM6" s="3"/>
      <c r="AN6" s="3"/>
      <c r="AO6" s="3"/>
    </row>
    <row r="7" customFormat="false" ht="12.8" hidden="false" customHeight="false" outlineLevel="0" collapsed="false">
      <c r="A7" s="46" t="str">
        <f aca="false">_xlfn.CONCAT($A$1, ".CALC.", CALC!A38)</f>
        <v>LSD.RID.0.AL.U6TPR.CALC.3</v>
      </c>
      <c r="B7" s="22" t="str">
        <f aca="false">CALC!C38</f>
        <v>Utilities</v>
      </c>
      <c r="C7" s="18" t="n">
        <v>0.0211</v>
      </c>
      <c r="D7" s="18" t="n">
        <v>0.0178</v>
      </c>
      <c r="E7" s="18" t="n">
        <v>0.225</v>
      </c>
      <c r="F7" s="18" t="n">
        <v>0.0203</v>
      </c>
      <c r="N7" s="3"/>
      <c r="O7" s="3"/>
      <c r="P7" s="3"/>
      <c r="Q7" s="3"/>
      <c r="Z7" s="18"/>
      <c r="AA7" s="18"/>
      <c r="AB7" s="18"/>
      <c r="AC7" s="18"/>
      <c r="AD7" s="3"/>
      <c r="AE7" s="3"/>
      <c r="AF7" s="3"/>
      <c r="AG7" s="3"/>
      <c r="AH7" s="3"/>
      <c r="AI7" s="3"/>
      <c r="AJ7" s="3"/>
      <c r="AK7" s="3"/>
      <c r="AL7" s="3"/>
      <c r="AM7" s="3"/>
      <c r="AN7" s="3"/>
      <c r="AO7" s="3"/>
    </row>
    <row r="8" customFormat="false" ht="12.8" hidden="false" customHeight="false" outlineLevel="0" collapsed="false">
      <c r="A8" s="46" t="str">
        <f aca="false">_xlfn.CONCAT($A$1, ".CALC.", CALC!A39)</f>
        <v>LSD.RID.0.AL.U6TPR.CALC.4</v>
      </c>
      <c r="B8" s="22" t="str">
        <f aca="false">CALC!C39</f>
        <v>Construction</v>
      </c>
      <c r="C8" s="18" t="n">
        <v>0.0266</v>
      </c>
      <c r="D8" s="18" t="n">
        <v>0.0219</v>
      </c>
      <c r="E8" s="18" t="n">
        <v>0.2321</v>
      </c>
      <c r="F8" s="18" t="n">
        <v>0.0259</v>
      </c>
      <c r="N8" s="3"/>
      <c r="O8" s="3"/>
      <c r="P8" s="3"/>
      <c r="Q8" s="3"/>
      <c r="Z8" s="18"/>
      <c r="AA8" s="18"/>
      <c r="AB8" s="18"/>
      <c r="AC8" s="18"/>
      <c r="AD8" s="3"/>
      <c r="AE8" s="3"/>
      <c r="AF8" s="3"/>
      <c r="AG8" s="3"/>
      <c r="AH8" s="3"/>
      <c r="AI8" s="3"/>
      <c r="AJ8" s="3"/>
      <c r="AK8" s="3"/>
      <c r="AL8" s="3"/>
      <c r="AM8" s="3"/>
      <c r="AN8" s="3"/>
      <c r="AO8" s="3"/>
    </row>
    <row r="9" customFormat="false" ht="22.8" hidden="false" customHeight="false" outlineLevel="0" collapsed="false">
      <c r="A9" s="46" t="str">
        <f aca="false">_xlfn.CONCAT($A$1, ".CALC.", CALC!A40)</f>
        <v>LSD.RID.0.AL.U6TPR.CALC.5</v>
      </c>
      <c r="B9" s="50" t="str">
        <f aca="false">CALC!C40</f>
        <v>Manufacturing (Food,Textile, etc.)</v>
      </c>
      <c r="C9" s="18" t="n">
        <v>0.0108</v>
      </c>
      <c r="D9" s="18" t="n">
        <v>0.0089</v>
      </c>
      <c r="E9" s="18" t="n">
        <v>0.1423</v>
      </c>
      <c r="F9" s="18" t="n">
        <v>0.0105</v>
      </c>
      <c r="N9" s="3"/>
      <c r="O9" s="3"/>
      <c r="P9" s="3"/>
      <c r="Q9" s="3"/>
      <c r="Z9" s="18"/>
      <c r="AA9" s="18"/>
      <c r="AB9" s="18"/>
      <c r="AC9" s="18"/>
      <c r="AD9" s="3"/>
      <c r="AE9" s="3"/>
      <c r="AF9" s="3"/>
      <c r="AG9" s="3"/>
      <c r="AH9" s="3"/>
      <c r="AI9" s="3"/>
      <c r="AJ9" s="3"/>
      <c r="AK9" s="3"/>
      <c r="AL9" s="3"/>
      <c r="AM9" s="3"/>
      <c r="AN9" s="3"/>
      <c r="AO9" s="3"/>
    </row>
    <row r="10" customFormat="false" ht="22.8" hidden="false" customHeight="false" outlineLevel="0" collapsed="false">
      <c r="A10" s="46" t="str">
        <f aca="false">_xlfn.CONCAT($A$1, ".CALC.", CALC!A41)</f>
        <v>LSD.RID.0.AL.U6TPR.CALC.6</v>
      </c>
      <c r="B10" s="50" t="str">
        <f aca="false">CALC!C41</f>
        <v>Manufacturing (Wood, Paper, Printing, etc.)</v>
      </c>
      <c r="C10" s="18" t="n">
        <v>0.0074</v>
      </c>
      <c r="D10" s="18" t="n">
        <v>0.0061</v>
      </c>
      <c r="E10" s="18" t="n">
        <v>0.1198</v>
      </c>
      <c r="F10" s="18" t="n">
        <v>0.0072</v>
      </c>
      <c r="N10" s="3"/>
      <c r="O10" s="3"/>
      <c r="P10" s="3"/>
      <c r="Q10" s="3"/>
      <c r="Z10" s="18"/>
      <c r="AA10" s="18"/>
      <c r="AB10" s="18"/>
      <c r="AC10" s="18"/>
      <c r="AD10" s="3"/>
      <c r="AE10" s="3"/>
      <c r="AF10" s="3"/>
      <c r="AG10" s="3"/>
      <c r="AH10" s="3"/>
      <c r="AI10" s="3"/>
      <c r="AJ10" s="3"/>
      <c r="AK10" s="3"/>
      <c r="AL10" s="3"/>
      <c r="AM10" s="3"/>
      <c r="AN10" s="3"/>
      <c r="AO10" s="3"/>
    </row>
    <row r="11" customFormat="false" ht="22.8" hidden="false" customHeight="false" outlineLevel="0" collapsed="false">
      <c r="A11" s="46" t="str">
        <f aca="false">_xlfn.CONCAT($A$1, ".CALC.", CALC!A42)</f>
        <v>LSD.RID.0.AL.U6TPR.CALC.7</v>
      </c>
      <c r="B11" s="50" t="str">
        <f aca="false">CALC!C42</f>
        <v>Manufacturing (Machinery, Transport)</v>
      </c>
      <c r="C11" s="18" t="n">
        <v>0.0183</v>
      </c>
      <c r="D11" s="18" t="n">
        <v>0.0151</v>
      </c>
      <c r="E11" s="18" t="n">
        <v>0.1554</v>
      </c>
      <c r="F11" s="18" t="n">
        <v>0.0178</v>
      </c>
      <c r="N11" s="3"/>
      <c r="O11" s="3"/>
      <c r="P11" s="3"/>
      <c r="Q11" s="3"/>
      <c r="Z11" s="18"/>
      <c r="AA11" s="18"/>
      <c r="AB11" s="18"/>
      <c r="AC11" s="18"/>
      <c r="AD11" s="3"/>
      <c r="AE11" s="3"/>
      <c r="AF11" s="3"/>
      <c r="AG11" s="3"/>
      <c r="AH11" s="3"/>
      <c r="AI11" s="3"/>
      <c r="AJ11" s="3"/>
      <c r="AK11" s="3"/>
      <c r="AL11" s="3"/>
      <c r="AM11" s="3"/>
      <c r="AN11" s="3"/>
      <c r="AO11" s="3"/>
    </row>
    <row r="12" customFormat="false" ht="12.8" hidden="false" customHeight="false" outlineLevel="0" collapsed="false">
      <c r="A12" s="46" t="str">
        <f aca="false">_xlfn.CONCAT($A$1, ".CALC.", CALC!A43)</f>
        <v>LSD.RID.0.AL.U6TPR.CALC.8</v>
      </c>
      <c r="B12" s="22" t="str">
        <f aca="false">CALC!C43</f>
        <v>Wholesale Trade</v>
      </c>
      <c r="C12" s="18" t="n">
        <v>0.0054</v>
      </c>
      <c r="D12" s="18" t="n">
        <v>0.0045</v>
      </c>
      <c r="E12" s="18" t="n">
        <v>0.0976</v>
      </c>
      <c r="F12" s="18" t="n">
        <v>0.0053</v>
      </c>
      <c r="N12" s="3"/>
      <c r="O12" s="3"/>
      <c r="P12" s="3"/>
      <c r="Q12" s="3"/>
      <c r="Z12" s="18"/>
      <c r="AA12" s="18"/>
      <c r="AB12" s="18"/>
      <c r="AC12" s="18"/>
      <c r="AD12" s="3"/>
      <c r="AE12" s="3"/>
      <c r="AF12" s="3"/>
      <c r="AG12" s="3"/>
      <c r="AH12" s="3"/>
      <c r="AI12" s="3"/>
      <c r="AJ12" s="3"/>
      <c r="AK12" s="3"/>
      <c r="AL12" s="3"/>
      <c r="AM12" s="3"/>
      <c r="AN12" s="3"/>
      <c r="AO12" s="3"/>
    </row>
    <row r="13" customFormat="false" ht="22.8" hidden="false" customHeight="false" outlineLevel="0" collapsed="false">
      <c r="A13" s="46" t="str">
        <f aca="false">_xlfn.CONCAT($A$1, ".CALC.", CALC!A44)</f>
        <v>LSD.RID.0.AL.U6TPR.CALC.9</v>
      </c>
      <c r="B13" s="50" t="str">
        <f aca="false">CALC!C44</f>
        <v>Retail Trade (Motor Vehicle, Electronics)</v>
      </c>
      <c r="C13" s="18" t="n">
        <v>0.0035</v>
      </c>
      <c r="D13" s="18" t="n">
        <v>0.0029</v>
      </c>
      <c r="E13" s="18" t="n">
        <v>0.0865</v>
      </c>
      <c r="F13" s="18" t="n">
        <v>0.0034</v>
      </c>
      <c r="N13" s="3"/>
      <c r="O13" s="3"/>
      <c r="P13" s="3"/>
      <c r="Q13" s="3"/>
      <c r="Z13" s="18"/>
      <c r="AA13" s="18"/>
      <c r="AB13" s="18"/>
      <c r="AC13" s="18"/>
      <c r="AD13" s="3"/>
      <c r="AE13" s="3"/>
      <c r="AF13" s="3"/>
      <c r="AG13" s="3"/>
      <c r="AH13" s="3"/>
      <c r="AI13" s="3"/>
      <c r="AJ13" s="3"/>
      <c r="AK13" s="3"/>
      <c r="AL13" s="3"/>
      <c r="AM13" s="3"/>
      <c r="AN13" s="3"/>
      <c r="AO13" s="3"/>
    </row>
    <row r="14" customFormat="false" ht="22.8" hidden="false" customHeight="false" outlineLevel="0" collapsed="false">
      <c r="A14" s="46" t="str">
        <f aca="false">_xlfn.CONCAT($A$1, ".CALC.", CALC!A45)</f>
        <v>LSD.RID.0.AL.U6TPR.CALC.10</v>
      </c>
      <c r="B14" s="50" t="str">
        <f aca="false">CALC!C45</f>
        <v>Retail Trade (Food, Clothing, General Merchandise, etc.)</v>
      </c>
      <c r="C14" s="18" t="n">
        <v>0.0133</v>
      </c>
      <c r="D14" s="18" t="n">
        <v>0.011</v>
      </c>
      <c r="E14" s="18" t="n">
        <v>0.1378</v>
      </c>
      <c r="F14" s="18" t="n">
        <v>0.013</v>
      </c>
      <c r="N14" s="3"/>
      <c r="O14" s="3"/>
      <c r="P14" s="3"/>
      <c r="Q14" s="3"/>
      <c r="Z14" s="18"/>
      <c r="AA14" s="18"/>
      <c r="AB14" s="18"/>
      <c r="AC14" s="18"/>
      <c r="AD14" s="3"/>
      <c r="AE14" s="3"/>
      <c r="AF14" s="3"/>
      <c r="AG14" s="3"/>
      <c r="AH14" s="3"/>
      <c r="AI14" s="3"/>
      <c r="AJ14" s="3"/>
      <c r="AK14" s="3"/>
      <c r="AL14" s="3"/>
      <c r="AM14" s="3"/>
      <c r="AN14" s="3"/>
      <c r="AO14" s="3"/>
    </row>
    <row r="15" customFormat="false" ht="12.8" hidden="false" customHeight="false" outlineLevel="0" collapsed="false">
      <c r="A15" s="46" t="str">
        <f aca="false">_xlfn.CONCAT($A$1, ".CALC.", CALC!A46)</f>
        <v>LSD.RID.0.AL.U6TPR.CALC.11</v>
      </c>
      <c r="B15" s="22" t="str">
        <f aca="false">CALC!C46</f>
        <v>Transportation</v>
      </c>
      <c r="C15" s="18" t="n">
        <v>0.0095</v>
      </c>
      <c r="D15" s="18" t="n">
        <v>0.0078</v>
      </c>
      <c r="E15" s="18" t="n">
        <v>0.1221</v>
      </c>
      <c r="F15" s="18" t="n">
        <v>0.0093</v>
      </c>
      <c r="N15" s="3"/>
      <c r="O15" s="3"/>
      <c r="P15" s="3"/>
      <c r="Q15" s="3"/>
      <c r="Z15" s="18"/>
      <c r="AA15" s="18"/>
      <c r="AB15" s="18"/>
      <c r="AC15" s="18"/>
      <c r="AD15" s="3"/>
      <c r="AE15" s="3"/>
      <c r="AF15" s="3"/>
      <c r="AG15" s="3"/>
      <c r="AH15" s="3"/>
      <c r="AI15" s="3"/>
      <c r="AJ15" s="3"/>
      <c r="AK15" s="3"/>
      <c r="AL15" s="3"/>
      <c r="AM15" s="3"/>
      <c r="AN15" s="3"/>
      <c r="AO15" s="3"/>
    </row>
    <row r="16" customFormat="false" ht="12.8" hidden="false" customHeight="false" outlineLevel="0" collapsed="false">
      <c r="A16" s="46" t="str">
        <f aca="false">_xlfn.CONCAT($A$1, ".CALC.", CALC!A47)</f>
        <v>LSD.RID.0.AL.U6TPR.CALC.12</v>
      </c>
      <c r="B16" s="22" t="str">
        <f aca="false">CALC!C47</f>
        <v>Warehousing and Storage</v>
      </c>
      <c r="C16" s="18" t="n">
        <v>0.0081</v>
      </c>
      <c r="D16" s="18" t="n">
        <v>0.0067</v>
      </c>
      <c r="E16" s="18" t="n">
        <v>0.1148</v>
      </c>
      <c r="F16" s="18" t="n">
        <v>0.0079</v>
      </c>
      <c r="N16" s="3"/>
      <c r="O16" s="3"/>
      <c r="P16" s="3"/>
      <c r="Q16" s="3"/>
      <c r="Z16" s="18"/>
      <c r="AA16" s="18"/>
      <c r="AB16" s="18"/>
      <c r="AC16" s="18"/>
      <c r="AD16" s="3"/>
      <c r="AE16" s="3"/>
      <c r="AF16" s="3"/>
      <c r="AG16" s="3"/>
      <c r="AH16" s="3"/>
      <c r="AI16" s="3"/>
      <c r="AJ16" s="3"/>
      <c r="AK16" s="3"/>
      <c r="AL16" s="3"/>
      <c r="AM16" s="3"/>
      <c r="AN16" s="3"/>
      <c r="AO16" s="3"/>
    </row>
    <row r="17" customFormat="false" ht="12.8" hidden="false" customHeight="false" outlineLevel="0" collapsed="false">
      <c r="A17" s="46" t="str">
        <f aca="false">_xlfn.CONCAT($A$1, ".CALC.", CALC!A48)</f>
        <v>LSD.RID.0.AL.U6TPR.CALC.13</v>
      </c>
      <c r="B17" s="22" t="str">
        <f aca="false">CALC!C48</f>
        <v>Information</v>
      </c>
      <c r="C17" s="18" t="n">
        <v>0.0042</v>
      </c>
      <c r="D17" s="18" t="n">
        <v>0.0035</v>
      </c>
      <c r="E17" s="18" t="n">
        <v>0.0927</v>
      </c>
      <c r="F17" s="18" t="n">
        <v>0.0041</v>
      </c>
      <c r="N17" s="3"/>
      <c r="O17" s="3"/>
      <c r="P17" s="3"/>
      <c r="Q17" s="3"/>
      <c r="Z17" s="18"/>
      <c r="AA17" s="18"/>
      <c r="AB17" s="18"/>
      <c r="AC17" s="18"/>
      <c r="AD17" s="3"/>
      <c r="AE17" s="3"/>
      <c r="AF17" s="3"/>
      <c r="AG17" s="3"/>
      <c r="AH17" s="3"/>
      <c r="AI17" s="3"/>
      <c r="AJ17" s="3"/>
      <c r="AK17" s="3"/>
      <c r="AL17" s="3"/>
      <c r="AM17" s="3"/>
      <c r="AN17" s="3"/>
      <c r="AO17" s="3"/>
    </row>
    <row r="18" customFormat="false" ht="12.8" hidden="false" customHeight="false" outlineLevel="0" collapsed="false">
      <c r="A18" s="46" t="str">
        <f aca="false">_xlfn.CONCAT($A$1, ".CALC.", CALC!A49)</f>
        <v>LSD.RID.0.AL.U6TPR.CALC.14</v>
      </c>
      <c r="B18" s="22" t="str">
        <f aca="false">CALC!C49</f>
        <v>Finance and Insurance</v>
      </c>
      <c r="C18" s="18" t="n">
        <v>0.0067</v>
      </c>
      <c r="D18" s="18" t="n">
        <v>0.0055</v>
      </c>
      <c r="E18" s="18" t="n">
        <v>0.0879</v>
      </c>
      <c r="F18" s="18" t="n">
        <v>0.0065</v>
      </c>
      <c r="N18" s="3"/>
      <c r="O18" s="3"/>
      <c r="P18" s="3"/>
      <c r="Q18" s="3"/>
      <c r="Z18" s="18"/>
      <c r="AA18" s="18"/>
      <c r="AB18" s="18"/>
      <c r="AC18" s="18"/>
      <c r="AD18" s="3"/>
      <c r="AE18" s="3"/>
      <c r="AF18" s="3"/>
      <c r="AG18" s="3"/>
      <c r="AH18" s="3"/>
      <c r="AI18" s="3"/>
      <c r="AJ18" s="3"/>
      <c r="AK18" s="3"/>
      <c r="AL18" s="3"/>
      <c r="AM18" s="3"/>
      <c r="AN18" s="3"/>
      <c r="AO18" s="3"/>
    </row>
    <row r="19" customFormat="false" ht="22.8" hidden="false" customHeight="false" outlineLevel="0" collapsed="false">
      <c r="A19" s="46" t="str">
        <f aca="false">_xlfn.CONCAT($A$1, ".CALC.", CALC!A50)</f>
        <v>LSD.RID.0.AL.U6TPR.CALC.15</v>
      </c>
      <c r="B19" s="50" t="str">
        <f aca="false">CALC!C50</f>
        <v>Real Estate and Rental and Leasing</v>
      </c>
      <c r="C19" s="18" t="n">
        <v>0.0034</v>
      </c>
      <c r="D19" s="18" t="n">
        <v>0.0028</v>
      </c>
      <c r="E19" s="18" t="n">
        <v>0.0812</v>
      </c>
      <c r="F19" s="18" t="n">
        <v>0.0033</v>
      </c>
      <c r="N19" s="3"/>
      <c r="O19" s="3"/>
      <c r="P19" s="3"/>
      <c r="Q19" s="3"/>
      <c r="Z19" s="18"/>
      <c r="AA19" s="18"/>
      <c r="AB19" s="18"/>
      <c r="AC19" s="18"/>
      <c r="AD19" s="3"/>
      <c r="AE19" s="3"/>
      <c r="AF19" s="3"/>
      <c r="AG19" s="3"/>
      <c r="AH19" s="3"/>
      <c r="AI19" s="3"/>
      <c r="AJ19" s="3"/>
      <c r="AK19" s="3"/>
      <c r="AL19" s="3"/>
      <c r="AM19" s="3"/>
      <c r="AN19" s="3"/>
      <c r="AO19" s="3"/>
    </row>
    <row r="20" customFormat="false" ht="22.8" hidden="false" customHeight="false" outlineLevel="0" collapsed="false">
      <c r="A20" s="46" t="str">
        <f aca="false">_xlfn.CONCAT($A$1, ".CALC.", CALC!A51)</f>
        <v>LSD.RID.0.AL.U6TPR.CALC.16</v>
      </c>
      <c r="B20" s="50" t="str">
        <f aca="false">CALC!C51</f>
        <v>Professional, Scientific, and Technical Services</v>
      </c>
      <c r="C20" s="18" t="n">
        <v>0.0101</v>
      </c>
      <c r="D20" s="18" t="n">
        <v>0.0083</v>
      </c>
      <c r="E20" s="18" t="n">
        <v>0.0983</v>
      </c>
      <c r="F20" s="18" t="n">
        <v>0.0098</v>
      </c>
      <c r="N20" s="3"/>
      <c r="O20" s="3"/>
      <c r="P20" s="3"/>
      <c r="Q20" s="3"/>
      <c r="Z20" s="18"/>
      <c r="AA20" s="18"/>
      <c r="AB20" s="18"/>
      <c r="AC20" s="18"/>
      <c r="AD20" s="3"/>
      <c r="AE20" s="3"/>
      <c r="AF20" s="3"/>
      <c r="AG20" s="3"/>
      <c r="AH20" s="3"/>
      <c r="AI20" s="3"/>
      <c r="AJ20" s="3"/>
      <c r="AK20" s="3"/>
      <c r="AL20" s="3"/>
      <c r="AM20" s="3"/>
      <c r="AN20" s="3"/>
      <c r="AO20" s="3"/>
    </row>
    <row r="21" customFormat="false" ht="33.35" hidden="false" customHeight="false" outlineLevel="0" collapsed="false">
      <c r="A21" s="46" t="str">
        <f aca="false">_xlfn.CONCAT($A$1, ".CALC.", CALC!A52)</f>
        <v>LSD.RID.0.AL.U6TPR.CALC.17</v>
      </c>
      <c r="B21" s="50" t="str">
        <f aca="false">CALC!C52</f>
        <v>Administrative and Support and Waste Management and Remediation Services</v>
      </c>
      <c r="C21" s="18" t="n">
        <v>0.0221</v>
      </c>
      <c r="D21" s="18" t="n">
        <v>0.0182</v>
      </c>
      <c r="E21" s="18" t="n">
        <v>0.1779</v>
      </c>
      <c r="F21" s="18" t="n">
        <v>0.0215</v>
      </c>
      <c r="N21" s="3"/>
      <c r="O21" s="3"/>
      <c r="P21" s="3"/>
      <c r="Q21" s="3"/>
      <c r="Z21" s="18"/>
      <c r="AA21" s="18"/>
      <c r="AB21" s="18"/>
      <c r="AC21" s="18"/>
      <c r="AD21" s="3"/>
      <c r="AE21" s="3"/>
      <c r="AF21" s="3"/>
      <c r="AG21" s="3"/>
      <c r="AH21" s="3"/>
      <c r="AI21" s="3"/>
      <c r="AJ21" s="3"/>
      <c r="AK21" s="3"/>
      <c r="AL21" s="3"/>
      <c r="AM21" s="3"/>
      <c r="AN21" s="3"/>
      <c r="AO21" s="3"/>
    </row>
    <row r="22" customFormat="false" ht="12.9" hidden="false" customHeight="false" outlineLevel="0" collapsed="false">
      <c r="A22" s="46" t="str">
        <f aca="false">_xlfn.CONCAT($A$1, ".CALC.", CALC!A53)</f>
        <v>LSD.RID.0.AL.U6TPR.CALC.18</v>
      </c>
      <c r="B22" s="22" t="str">
        <f aca="false">CALC!C53</f>
        <v>Educational Services</v>
      </c>
      <c r="C22" s="18" t="n">
        <v>0.0159</v>
      </c>
      <c r="D22" s="18" t="n">
        <v>0.0131</v>
      </c>
      <c r="E22" s="18" t="n">
        <v>0.1267</v>
      </c>
      <c r="F22" s="18" t="n">
        <v>0.0155</v>
      </c>
      <c r="N22" s="3"/>
      <c r="O22" s="3"/>
      <c r="P22" s="3"/>
      <c r="Q22" s="3"/>
      <c r="Z22" s="18"/>
      <c r="AA22" s="18"/>
      <c r="AB22" s="18"/>
      <c r="AC22" s="18"/>
      <c r="AD22" s="3"/>
      <c r="AE22" s="3"/>
      <c r="AF22" s="3"/>
      <c r="AG22" s="3"/>
      <c r="AH22" s="3"/>
      <c r="AI22" s="3"/>
      <c r="AJ22" s="3"/>
      <c r="AK22" s="3"/>
      <c r="AL22" s="3"/>
      <c r="AM22" s="3"/>
      <c r="AN22" s="3"/>
      <c r="AO22" s="3"/>
    </row>
    <row r="23" customFormat="false" ht="22.8" hidden="false" customHeight="false" outlineLevel="0" collapsed="false">
      <c r="A23" s="46" t="str">
        <f aca="false">_xlfn.CONCAT($A$1, ".CALC.", CALC!A54)</f>
        <v>LSD.RID.0.AL.U6TPR.CALC.19</v>
      </c>
      <c r="B23" s="50" t="str">
        <f aca="false">CALC!C54</f>
        <v>Health Care and Social Assistance</v>
      </c>
      <c r="C23" s="18" t="n">
        <v>0.0223</v>
      </c>
      <c r="D23" s="18" t="n">
        <v>0.0184</v>
      </c>
      <c r="E23" s="18" t="n">
        <v>0.1338</v>
      </c>
      <c r="F23" s="18" t="n">
        <v>0.0217</v>
      </c>
      <c r="N23" s="3"/>
      <c r="O23" s="3"/>
      <c r="P23" s="3"/>
      <c r="Q23" s="3"/>
      <c r="Z23" s="18"/>
      <c r="AA23" s="18"/>
      <c r="AB23" s="18"/>
      <c r="AC23" s="18"/>
      <c r="AD23" s="3"/>
      <c r="AE23" s="3"/>
      <c r="AF23" s="3"/>
      <c r="AG23" s="3"/>
      <c r="AH23" s="3"/>
      <c r="AI23" s="3"/>
      <c r="AJ23" s="3"/>
      <c r="AK23" s="3"/>
      <c r="AL23" s="3"/>
      <c r="AM23" s="3"/>
      <c r="AN23" s="3"/>
      <c r="AO23" s="3"/>
    </row>
    <row r="24" customFormat="false" ht="22.8" hidden="false" customHeight="false" outlineLevel="0" collapsed="false">
      <c r="A24" s="46" t="str">
        <f aca="false">_xlfn.CONCAT($A$1, ".CALC.", CALC!A55)</f>
        <v>LSD.RID.0.AL.U6TPR.CALC.20</v>
      </c>
      <c r="B24" s="50" t="str">
        <f aca="false">CALC!C55</f>
        <v>Arts, Entertainment,and Recreation</v>
      </c>
      <c r="C24" s="18" t="n">
        <v>0.0032</v>
      </c>
      <c r="D24" s="18" t="n">
        <v>0.0026</v>
      </c>
      <c r="E24" s="18" t="n">
        <v>0.0788</v>
      </c>
      <c r="F24" s="18" t="n">
        <v>0.0031</v>
      </c>
      <c r="N24" s="3"/>
      <c r="O24" s="3"/>
      <c r="P24" s="3"/>
      <c r="Q24" s="3"/>
      <c r="Z24" s="18"/>
      <c r="AA24" s="18"/>
      <c r="AB24" s="18"/>
      <c r="AC24" s="18"/>
      <c r="AD24" s="3"/>
      <c r="AE24" s="3"/>
      <c r="AF24" s="3"/>
      <c r="AG24" s="3"/>
      <c r="AH24" s="3"/>
      <c r="AI24" s="3"/>
      <c r="AJ24" s="3"/>
      <c r="AK24" s="3"/>
      <c r="AL24" s="3"/>
      <c r="AM24" s="3"/>
      <c r="AN24" s="3"/>
      <c r="AO24" s="3"/>
    </row>
    <row r="25" customFormat="false" ht="22.8" hidden="false" customHeight="false" outlineLevel="0" collapsed="false">
      <c r="A25" s="46" t="str">
        <f aca="false">_xlfn.CONCAT($A$1, ".CALC.", CALC!A56)</f>
        <v>LSD.RID.0.AL.U6TPR.CALC.21</v>
      </c>
      <c r="B25" s="50" t="str">
        <f aca="false">CALC!C56</f>
        <v>Accommodation and Food Services</v>
      </c>
      <c r="C25" s="18" t="n">
        <v>0.0251</v>
      </c>
      <c r="D25" s="18" t="n">
        <v>0.0207</v>
      </c>
      <c r="E25" s="18" t="n">
        <v>0.1882</v>
      </c>
      <c r="F25" s="18" t="n">
        <v>0.0244</v>
      </c>
      <c r="N25" s="3"/>
      <c r="O25" s="3"/>
      <c r="P25" s="3"/>
      <c r="Q25" s="3"/>
      <c r="Z25" s="18"/>
      <c r="AA25" s="18"/>
      <c r="AB25" s="18"/>
      <c r="AC25" s="18"/>
      <c r="AD25" s="3"/>
      <c r="AE25" s="3"/>
      <c r="AF25" s="3"/>
      <c r="AG25" s="3"/>
      <c r="AH25" s="3"/>
      <c r="AI25" s="3"/>
      <c r="AJ25" s="3"/>
      <c r="AK25" s="3"/>
      <c r="AL25" s="3"/>
      <c r="AM25" s="3"/>
      <c r="AN25" s="3"/>
      <c r="AO25" s="3"/>
    </row>
    <row r="26" customFormat="false" ht="22.8" hidden="false" customHeight="false" outlineLevel="0" collapsed="false">
      <c r="A26" s="46" t="str">
        <f aca="false">_xlfn.CONCAT($A$1, ".CALC.", CALC!A57)</f>
        <v>LSD.RID.0.AL.U6TPR.CALC.22</v>
      </c>
      <c r="B26" s="50" t="str">
        <f aca="false">CALC!C57</f>
        <v>Other Services (except Public Administration)</v>
      </c>
      <c r="C26" s="18" t="n">
        <v>0.0069</v>
      </c>
      <c r="D26" s="18" t="n">
        <v>0.0057</v>
      </c>
      <c r="E26" s="18" t="n">
        <v>0.1046</v>
      </c>
      <c r="F26" s="18" t="n">
        <v>0.0067</v>
      </c>
      <c r="N26" s="3"/>
      <c r="O26" s="3"/>
      <c r="P26" s="3"/>
      <c r="Q26" s="3"/>
      <c r="Z26" s="18"/>
      <c r="AA26" s="18"/>
      <c r="AB26" s="18"/>
      <c r="AC26" s="18"/>
      <c r="AD26" s="3"/>
      <c r="AE26" s="3"/>
      <c r="AF26" s="3"/>
      <c r="AG26" s="3"/>
      <c r="AH26" s="3"/>
      <c r="AI26" s="3"/>
      <c r="AJ26" s="3"/>
      <c r="AK26" s="3"/>
      <c r="AL26" s="3"/>
      <c r="AM26" s="3"/>
      <c r="AN26" s="3"/>
      <c r="AO26" s="3"/>
    </row>
    <row r="27" customFormat="false" ht="12.8" hidden="false" customHeight="false" outlineLevel="0" collapsed="false">
      <c r="A27" s="46" t="str">
        <f aca="false">_xlfn.CONCAT($A$1, ".CALC.", CALC!A58)</f>
        <v>LSD.RID.0.AL.U6TPR.CALC.23</v>
      </c>
      <c r="B27" s="22" t="str">
        <f aca="false">CALC!C58</f>
        <v>Public Administration</v>
      </c>
      <c r="C27" s="18" t="n">
        <v>0.0131</v>
      </c>
      <c r="D27" s="18" t="n">
        <v>0.0108</v>
      </c>
      <c r="E27" s="18" t="n">
        <v>0.117</v>
      </c>
      <c r="F27" s="18" t="n">
        <v>0.0128</v>
      </c>
      <c r="N27" s="3"/>
      <c r="O27" s="3"/>
      <c r="P27" s="3"/>
      <c r="Q27" s="3"/>
      <c r="Z27" s="18"/>
      <c r="AA27" s="18"/>
      <c r="AB27" s="18"/>
      <c r="AC27" s="18"/>
      <c r="AD27" s="3"/>
      <c r="AE27" s="3"/>
      <c r="AF27" s="3"/>
      <c r="AG27" s="3"/>
      <c r="AH27" s="3"/>
      <c r="AI27" s="3"/>
      <c r="AJ27" s="3"/>
      <c r="AK27" s="3"/>
      <c r="AL27" s="3"/>
      <c r="AM27" s="3"/>
      <c r="AN27" s="3"/>
      <c r="AO27" s="3"/>
    </row>
    <row r="28" customFormat="false" ht="12.8" hidden="false" customHeight="false" outlineLevel="0" collapsed="false">
      <c r="A28" s="46"/>
      <c r="B28" s="22"/>
      <c r="N28" s="3"/>
      <c r="O28" s="3"/>
      <c r="P28" s="3"/>
      <c r="Q28" s="3"/>
      <c r="Z28" s="18"/>
      <c r="AA28" s="18"/>
      <c r="AB28" s="18"/>
      <c r="AC28" s="18"/>
      <c r="AD28" s="3"/>
      <c r="AE28" s="3"/>
      <c r="AF28" s="3"/>
      <c r="AG28" s="3"/>
      <c r="AH28" s="3"/>
      <c r="AI28" s="3"/>
      <c r="AJ28" s="3"/>
      <c r="AK28" s="3"/>
      <c r="AL28" s="3"/>
      <c r="AM28" s="3"/>
      <c r="AN28" s="3"/>
      <c r="AO28" s="3"/>
    </row>
    <row r="29" customFormat="false" ht="12.8" hidden="false" customHeight="false" outlineLevel="0" collapsed="false">
      <c r="A29" s="46" t="s">
        <v>2663</v>
      </c>
      <c r="B29" s="47" t="s">
        <v>2664</v>
      </c>
    </row>
    <row r="30" customFormat="false" ht="12.8" hidden="false" customHeight="false" outlineLevel="0" collapsed="false">
      <c r="A30" s="14" t="s">
        <v>93</v>
      </c>
      <c r="B30" s="49" t="s">
        <v>1801</v>
      </c>
      <c r="C30" s="49" t="s">
        <v>283</v>
      </c>
      <c r="D30" s="49" t="s">
        <v>2056</v>
      </c>
      <c r="E30" s="49" t="s">
        <v>286</v>
      </c>
      <c r="F30" s="49" t="s">
        <v>287</v>
      </c>
    </row>
    <row r="31" customFormat="false" ht="12.8" hidden="false" customHeight="false" outlineLevel="0" collapsed="false">
      <c r="A31" s="18" t="s">
        <v>2665</v>
      </c>
      <c r="B31" s="18" t="s">
        <v>2666</v>
      </c>
      <c r="C31" s="18" t="s">
        <v>2667</v>
      </c>
      <c r="D31" s="18" t="s">
        <v>2668</v>
      </c>
      <c r="E31" s="18" t="s">
        <v>2669</v>
      </c>
      <c r="F31" s="18" t="s">
        <v>417</v>
      </c>
    </row>
    <row r="32" customFormat="false" ht="12.8" hidden="false" customHeight="false" outlineLevel="0" collapsed="false">
      <c r="A32" s="18" t="s">
        <v>2670</v>
      </c>
      <c r="B32" s="18" t="s">
        <v>2666</v>
      </c>
      <c r="C32" s="18" t="s">
        <v>2063</v>
      </c>
      <c r="D32" s="18" t="s">
        <v>2671</v>
      </c>
      <c r="E32" s="18" t="s">
        <v>2551</v>
      </c>
      <c r="F32" s="18" t="s">
        <v>417</v>
      </c>
    </row>
    <row r="33" customFormat="false" ht="12.8" hidden="false" customHeight="false" outlineLevel="0" collapsed="false">
      <c r="A33" s="18" t="s">
        <v>2672</v>
      </c>
      <c r="B33" s="18" t="s">
        <v>2666</v>
      </c>
      <c r="C33" s="18" t="s">
        <v>2066</v>
      </c>
      <c r="D33" s="18" t="s">
        <v>2673</v>
      </c>
      <c r="E33" s="18" t="s">
        <v>2674</v>
      </c>
      <c r="F33" s="18" t="s">
        <v>417</v>
      </c>
    </row>
    <row r="34" customFormat="false" ht="12.8" hidden="false" customHeight="false" outlineLevel="0" collapsed="false">
      <c r="A34" s="18" t="s">
        <v>2675</v>
      </c>
      <c r="B34" s="18" t="s">
        <v>2666</v>
      </c>
      <c r="C34" s="18" t="s">
        <v>2676</v>
      </c>
      <c r="D34" s="18" t="s">
        <v>2677</v>
      </c>
      <c r="E34" s="18" t="s">
        <v>422</v>
      </c>
      <c r="F34" s="18" t="s">
        <v>417</v>
      </c>
    </row>
    <row r="36" customFormat="false" ht="12.8" hidden="false" customHeight="false" outlineLevel="0" collapsed="false">
      <c r="A36" s="46" t="s">
        <v>2678</v>
      </c>
      <c r="B36" s="47" t="s">
        <v>2679</v>
      </c>
    </row>
    <row r="37" customFormat="false" ht="12.8" hidden="false" customHeight="false" outlineLevel="0" collapsed="false">
      <c r="A37" s="49" t="s">
        <v>97</v>
      </c>
      <c r="B37" s="49" t="s">
        <v>283</v>
      </c>
      <c r="C37" s="49" t="s">
        <v>2073</v>
      </c>
      <c r="D37" s="49" t="s">
        <v>286</v>
      </c>
      <c r="E37" s="49" t="s">
        <v>850</v>
      </c>
      <c r="F37" s="49" t="s">
        <v>851</v>
      </c>
      <c r="G37" s="49" t="s">
        <v>852</v>
      </c>
      <c r="H37" s="49" t="s">
        <v>287</v>
      </c>
    </row>
    <row r="38" customFormat="false" ht="12.8" hidden="false" customHeight="false" outlineLevel="0" collapsed="false">
      <c r="A38" s="18" t="s">
        <v>2680</v>
      </c>
      <c r="B38" s="18" t="s">
        <v>2681</v>
      </c>
      <c r="C38" s="18" t="n">
        <v>0.0358</v>
      </c>
      <c r="D38" s="18" t="s">
        <v>2682</v>
      </c>
      <c r="E38" s="18" t="s">
        <v>857</v>
      </c>
      <c r="F38" s="18" t="s">
        <v>2683</v>
      </c>
      <c r="G38" s="24" t="s">
        <v>859</v>
      </c>
      <c r="H38" s="18" t="s">
        <v>417</v>
      </c>
    </row>
    <row r="39" customFormat="false" ht="12.8" hidden="false" customHeight="false" outlineLevel="0" collapsed="false">
      <c r="A39" s="18" t="s">
        <v>2684</v>
      </c>
      <c r="B39" s="18" t="s">
        <v>2685</v>
      </c>
      <c r="C39" s="18" t="s">
        <v>2686</v>
      </c>
      <c r="D39" s="18" t="s">
        <v>2080</v>
      </c>
      <c r="E39" s="18" t="s">
        <v>2081</v>
      </c>
      <c r="F39" s="18" t="s">
        <v>2082</v>
      </c>
      <c r="G39" s="24" t="s">
        <v>859</v>
      </c>
      <c r="H39" s="18" t="s">
        <v>417</v>
      </c>
    </row>
    <row r="40" customFormat="false" ht="12.8" hidden="false" customHeight="false" outlineLevel="0" collapsed="false">
      <c r="A40" s="18" t="s">
        <v>2687</v>
      </c>
      <c r="B40" s="18" t="s">
        <v>2688</v>
      </c>
      <c r="C40" s="18" t="s">
        <v>2689</v>
      </c>
      <c r="D40" s="18" t="s">
        <v>2690</v>
      </c>
      <c r="E40" s="18" t="s">
        <v>2081</v>
      </c>
      <c r="F40" s="18" t="s">
        <v>2082</v>
      </c>
      <c r="G40" s="24" t="s">
        <v>859</v>
      </c>
      <c r="H40" s="18" t="s">
        <v>417</v>
      </c>
    </row>
    <row r="41" customFormat="false" ht="12.8" hidden="false" customHeight="false" outlineLevel="0" collapsed="false">
      <c r="A41" s="18" t="s">
        <v>2691</v>
      </c>
      <c r="B41" s="18" t="s">
        <v>2692</v>
      </c>
      <c r="C41" s="18" t="n">
        <v>0.82</v>
      </c>
      <c r="D41" s="18" t="s">
        <v>2293</v>
      </c>
      <c r="E41" s="18" t="s">
        <v>857</v>
      </c>
      <c r="F41" s="18" t="s">
        <v>2693</v>
      </c>
      <c r="G41" s="24" t="s">
        <v>859</v>
      </c>
      <c r="H41" s="18" t="s">
        <v>417</v>
      </c>
    </row>
    <row r="42" customFormat="false" ht="12.8" hidden="false" customHeight="false" outlineLevel="0" collapsed="false">
      <c r="A42" s="18" t="s">
        <v>2694</v>
      </c>
      <c r="B42" s="18" t="s">
        <v>1343</v>
      </c>
      <c r="C42" s="18" t="n">
        <v>4</v>
      </c>
      <c r="D42" s="18" t="s">
        <v>2167</v>
      </c>
      <c r="E42" s="18" t="s">
        <v>857</v>
      </c>
      <c r="F42" s="18" t="s">
        <v>2695</v>
      </c>
      <c r="G42" s="24" t="s">
        <v>859</v>
      </c>
      <c r="H42" s="18" t="s">
        <v>417</v>
      </c>
    </row>
    <row r="43" customFormat="false" ht="12.8" hidden="false" customHeight="false" outlineLevel="0" collapsed="false">
      <c r="A43" s="18"/>
      <c r="G43" s="24"/>
    </row>
    <row r="44" customFormat="false" ht="12.8" hidden="false" customHeight="false" outlineLevel="0" collapsed="false">
      <c r="A44" s="46" t="s">
        <v>2696</v>
      </c>
      <c r="B44" s="47" t="s">
        <v>2697</v>
      </c>
    </row>
    <row r="45" customFormat="false" ht="12.8" hidden="false" customHeight="false" outlineLevel="0" collapsed="false">
      <c r="A45" s="49" t="s">
        <v>101</v>
      </c>
      <c r="B45" s="49" t="s">
        <v>286</v>
      </c>
      <c r="C45" s="49" t="s">
        <v>849</v>
      </c>
      <c r="D45" s="49" t="s">
        <v>2093</v>
      </c>
      <c r="E45" s="49" t="s">
        <v>850</v>
      </c>
      <c r="F45" s="49" t="s">
        <v>2094</v>
      </c>
      <c r="G45" s="49" t="s">
        <v>2420</v>
      </c>
      <c r="H45" s="49" t="s">
        <v>2420</v>
      </c>
    </row>
    <row r="46" customFormat="false" ht="12.8" hidden="false" customHeight="false" outlineLevel="0" collapsed="false">
      <c r="A46" s="18" t="s">
        <v>2698</v>
      </c>
      <c r="B46" s="18" t="s">
        <v>1679</v>
      </c>
      <c r="C46" s="18" t="n">
        <v>0.0358</v>
      </c>
      <c r="D46" s="18" t="s">
        <v>2699</v>
      </c>
      <c r="E46" s="18" t="s">
        <v>857</v>
      </c>
      <c r="F46" s="18" t="s">
        <v>2700</v>
      </c>
    </row>
    <row r="47" customFormat="false" ht="12.8" hidden="false" customHeight="false" outlineLevel="0" collapsed="false">
      <c r="A47" s="18" t="s">
        <v>2701</v>
      </c>
      <c r="B47" s="18" t="s">
        <v>2099</v>
      </c>
      <c r="C47" s="18" t="s">
        <v>2702</v>
      </c>
      <c r="D47" s="18" t="s">
        <v>2703</v>
      </c>
      <c r="E47" s="18" t="s">
        <v>857</v>
      </c>
      <c r="F47" s="18" t="s">
        <v>2704</v>
      </c>
    </row>
    <row r="48" customFormat="false" ht="12.8" hidden="false" customHeight="false" outlineLevel="0" collapsed="false">
      <c r="A48" s="18" t="s">
        <v>2705</v>
      </c>
      <c r="B48" s="18" t="s">
        <v>2706</v>
      </c>
      <c r="C48" s="18" t="s">
        <v>2707</v>
      </c>
      <c r="D48" s="18" t="s">
        <v>2708</v>
      </c>
      <c r="E48" s="18" t="s">
        <v>857</v>
      </c>
      <c r="F48" s="18" t="s">
        <v>2709</v>
      </c>
    </row>
    <row r="49" customFormat="false" ht="12.8" hidden="false" customHeight="false" outlineLevel="0" collapsed="false">
      <c r="A49" s="18" t="s">
        <v>2710</v>
      </c>
      <c r="B49" s="18" t="s">
        <v>2711</v>
      </c>
      <c r="C49" s="18" t="s">
        <v>2712</v>
      </c>
      <c r="D49" s="18" t="s">
        <v>2713</v>
      </c>
      <c r="E49" s="18" t="s">
        <v>857</v>
      </c>
      <c r="F49" s="18" t="s">
        <v>2593</v>
      </c>
    </row>
    <row r="50" customFormat="false" ht="12.8" hidden="false" customHeight="false" outlineLevel="0" collapsed="false">
      <c r="A50" s="18" t="s">
        <v>2714</v>
      </c>
      <c r="B50" s="18" t="s">
        <v>2114</v>
      </c>
      <c r="C50" s="18" t="s">
        <v>2186</v>
      </c>
      <c r="D50" s="18" t="s">
        <v>2715</v>
      </c>
      <c r="E50" s="18" t="s">
        <v>857</v>
      </c>
      <c r="F50" s="18" t="s">
        <v>2596</v>
      </c>
    </row>
    <row r="51" customFormat="false" ht="12.8" hidden="false" customHeight="false" outlineLevel="0" collapsed="false">
      <c r="A51" s="18" t="s">
        <v>2716</v>
      </c>
      <c r="B51" s="18" t="s">
        <v>2119</v>
      </c>
      <c r="C51" s="18" t="s">
        <v>2120</v>
      </c>
      <c r="D51" s="18" t="s">
        <v>2717</v>
      </c>
      <c r="E51" s="18" t="s">
        <v>857</v>
      </c>
      <c r="F51" s="18" t="s">
        <v>2383</v>
      </c>
    </row>
    <row r="52" customFormat="false" ht="12.8" hidden="false" customHeight="false" outlineLevel="0" collapsed="false">
      <c r="A52" s="18" t="s">
        <v>2718</v>
      </c>
      <c r="B52" s="18" t="s">
        <v>2719</v>
      </c>
      <c r="C52" s="18" t="s">
        <v>2720</v>
      </c>
      <c r="D52" s="18" t="s">
        <v>2328</v>
      </c>
      <c r="E52" s="18" t="s">
        <v>857</v>
      </c>
      <c r="F52" s="18" t="s">
        <v>2721</v>
      </c>
    </row>
    <row r="53" customFormat="false" ht="12.8" hidden="false" customHeight="false" outlineLevel="0" collapsed="false">
      <c r="A53" s="18"/>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1D75"/>
    <pageSetUpPr fitToPage="false"/>
  </sheetPr>
  <dimension ref="A1:BP53"/>
  <sheetViews>
    <sheetView showFormulas="false" showGridLines="true" showRowColHeaders="true" showZeros="true" rightToLeft="false" tabSelected="false" showOutlineSymbols="true" defaultGridColor="true" view="normal" topLeftCell="A3"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false" hidden="false" outlineLevel="0" max="1" min="1" style="17" width="11.53"/>
    <col collapsed="false" customWidth="true" hidden="false" outlineLevel="0" max="2" min="2" style="18" width="41.51"/>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65</v>
      </c>
      <c r="B1" s="22" t="s">
        <v>2722</v>
      </c>
      <c r="C1" s="6" t="s">
        <v>2</v>
      </c>
      <c r="D1" s="48" t="s">
        <v>2723</v>
      </c>
      <c r="AZ1" s="18"/>
      <c r="BP1" s="18"/>
    </row>
    <row r="2" customFormat="false" ht="12.8" hidden="false" customHeight="false" outlineLevel="0" collapsed="false">
      <c r="A2" s="46" t="str">
        <f aca="false">_xlfn.CONCAT($A$1, ".", "CALC")</f>
        <v>LSD.RID.0.AL.FTER.CALC</v>
      </c>
      <c r="B2" s="47" t="str">
        <f aca="false">_xlfn.CONCAT($B$1, " ", "Calculations")</f>
        <v>Alabama Full-Time Employment Rate (FTER) Calculations</v>
      </c>
    </row>
    <row r="3" customFormat="false" ht="12.8" hidden="false" customHeight="false" outlineLevel="0" collapsed="false">
      <c r="A3" s="46" t="str">
        <f aca="false">CALC!A34</f>
        <v>LSID</v>
      </c>
      <c r="B3" s="22" t="str">
        <f aca="false">CALC!C34</f>
        <v>Labor Sector</v>
      </c>
      <c r="C3" s="56" t="str">
        <f aca="false">CALC!AB34</f>
        <v>Overall FTER</v>
      </c>
      <c r="D3" s="56" t="str">
        <f aca="false">CALC!AC34</f>
        <v>Authorized FTER</v>
      </c>
      <c r="E3" s="56" t="str">
        <f aca="false">CALC!AD34</f>
        <v>Unauthorized FTER</v>
      </c>
      <c r="F3" s="56" t="str">
        <f aca="false">CALC!AE34</f>
        <v>American FTER</v>
      </c>
      <c r="AT3" s="3"/>
      <c r="AU3" s="3"/>
      <c r="AV3" s="3"/>
      <c r="AW3" s="3"/>
      <c r="AZ3" s="18"/>
      <c r="BA3" s="18"/>
      <c r="BB3" s="18"/>
      <c r="BC3" s="18"/>
      <c r="BJ3" s="3"/>
      <c r="BK3" s="3"/>
      <c r="BL3" s="3"/>
      <c r="BM3" s="3"/>
      <c r="BN3" s="3"/>
      <c r="BO3" s="3"/>
    </row>
    <row r="4" customFormat="false" ht="12.8" hidden="false" customHeight="false" outlineLevel="0" collapsed="false">
      <c r="A4" s="46" t="str">
        <f aca="false">_xlfn.CONCAT($A$1, ".CALC.", CALC!A35)</f>
        <v>LSD.RID.0.AL.FTER.CALC.0</v>
      </c>
      <c r="B4" s="18" t="str">
        <f aca="false">CALC!C35</f>
        <v>All Industries</v>
      </c>
      <c r="C4" s="18" t="n">
        <v>0.82</v>
      </c>
      <c r="D4" s="18" t="n">
        <v>0.84</v>
      </c>
      <c r="E4" s="18" t="n">
        <v>0.78</v>
      </c>
      <c r="F4" s="18" t="n">
        <v>0.82</v>
      </c>
      <c r="AT4" s="3"/>
      <c r="AU4" s="3"/>
      <c r="AV4" s="3"/>
      <c r="AW4" s="3"/>
      <c r="AZ4" s="18"/>
      <c r="BA4" s="18"/>
      <c r="BB4" s="18"/>
      <c r="BC4" s="18"/>
      <c r="BJ4" s="3"/>
      <c r="BK4" s="3"/>
      <c r="BL4" s="3"/>
      <c r="BM4" s="3"/>
      <c r="BN4" s="3"/>
      <c r="BO4" s="3"/>
    </row>
    <row r="5" customFormat="false" ht="12.8" hidden="false" customHeight="false" outlineLevel="0" collapsed="false">
      <c r="A5" s="46" t="str">
        <f aca="false">_xlfn.CONCAT($A$1, ".CALC.", CALC!A36)</f>
        <v>LSD.RID.0.AL.FTER.CALC.1</v>
      </c>
      <c r="B5" s="39" t="str">
        <f aca="false">CALC!C36</f>
        <v>Agriculture, Forestry, Fishing and Hunting</v>
      </c>
      <c r="C5" s="18" t="n">
        <v>0.78</v>
      </c>
      <c r="D5" s="18" t="n">
        <v>0.76</v>
      </c>
      <c r="E5" s="18" t="n">
        <v>0.82</v>
      </c>
      <c r="F5" s="18" t="n">
        <v>0.78</v>
      </c>
      <c r="AT5" s="3"/>
      <c r="AU5" s="3"/>
      <c r="AV5" s="3"/>
      <c r="AW5" s="3"/>
      <c r="AZ5" s="18"/>
      <c r="BA5" s="18"/>
      <c r="BB5" s="18"/>
      <c r="BC5" s="18"/>
      <c r="BJ5" s="3"/>
      <c r="BK5" s="3"/>
      <c r="BL5" s="3"/>
      <c r="BM5" s="3"/>
      <c r="BN5" s="3"/>
      <c r="BO5" s="3"/>
    </row>
    <row r="6" customFormat="false" ht="12.8" hidden="false" customHeight="false" outlineLevel="0" collapsed="false">
      <c r="A6" s="46" t="str">
        <f aca="false">_xlfn.CONCAT($A$1, ".CALC.", CALC!A37)</f>
        <v>LSD.RID.0.AL.FTER.CALC.2</v>
      </c>
      <c r="B6" s="39" t="str">
        <f aca="false">CALC!C37</f>
        <v>Mining, Quarrying, and Oil and Gas Extraction</v>
      </c>
      <c r="C6" s="18" t="n">
        <v>0.85</v>
      </c>
      <c r="D6" s="18" t="n">
        <v>0.86</v>
      </c>
      <c r="E6" s="18" t="n">
        <v>0.83</v>
      </c>
      <c r="F6" s="18" t="n">
        <v>0.85</v>
      </c>
      <c r="AT6" s="3"/>
      <c r="AU6" s="3"/>
      <c r="AV6" s="3"/>
      <c r="AW6" s="3"/>
      <c r="AZ6" s="18"/>
      <c r="BA6" s="18"/>
      <c r="BB6" s="18"/>
      <c r="BC6" s="18"/>
      <c r="BJ6" s="3"/>
      <c r="BK6" s="3"/>
      <c r="BL6" s="3"/>
      <c r="BM6" s="3"/>
      <c r="BN6" s="3"/>
      <c r="BO6" s="3"/>
    </row>
    <row r="7" customFormat="false" ht="12.8" hidden="false" customHeight="false" outlineLevel="0" collapsed="false">
      <c r="A7" s="46" t="str">
        <f aca="false">_xlfn.CONCAT($A$1, ".CALC.", CALC!A38)</f>
        <v>LSD.RID.0.AL.FTER.CALC.3</v>
      </c>
      <c r="B7" s="18" t="str">
        <f aca="false">CALC!C38</f>
        <v>Utilities</v>
      </c>
      <c r="C7" s="18" t="n">
        <v>0.88</v>
      </c>
      <c r="D7" s="18" t="n">
        <v>0.89</v>
      </c>
      <c r="E7" s="18" t="n">
        <v>0.85</v>
      </c>
      <c r="F7" s="18" t="n">
        <v>0.88</v>
      </c>
      <c r="AT7" s="3"/>
      <c r="AU7" s="3"/>
      <c r="AV7" s="3"/>
      <c r="AW7" s="3"/>
      <c r="AZ7" s="18"/>
      <c r="BA7" s="18"/>
      <c r="BB7" s="18"/>
      <c r="BC7" s="18"/>
      <c r="BJ7" s="3"/>
      <c r="BK7" s="3"/>
      <c r="BL7" s="3"/>
      <c r="BM7" s="3"/>
      <c r="BN7" s="3"/>
      <c r="BO7" s="3"/>
    </row>
    <row r="8" customFormat="false" ht="12.8" hidden="false" customHeight="false" outlineLevel="0" collapsed="false">
      <c r="A8" s="46" t="str">
        <f aca="false">_xlfn.CONCAT($A$1, ".CALC.", CALC!A39)</f>
        <v>LSD.RID.0.AL.FTER.CALC.4</v>
      </c>
      <c r="B8" s="18" t="str">
        <f aca="false">CALC!C39</f>
        <v>Construction</v>
      </c>
      <c r="C8" s="18" t="n">
        <v>0.8</v>
      </c>
      <c r="D8" s="18" t="n">
        <v>0.78</v>
      </c>
      <c r="E8" s="18" t="n">
        <v>0.84</v>
      </c>
      <c r="F8" s="18" t="n">
        <v>0.8</v>
      </c>
      <c r="AT8" s="3"/>
      <c r="AU8" s="3"/>
      <c r="AV8" s="3"/>
      <c r="AW8" s="3"/>
      <c r="AZ8" s="18"/>
      <c r="BA8" s="18"/>
      <c r="BB8" s="18"/>
      <c r="BC8" s="18"/>
      <c r="BJ8" s="3"/>
      <c r="BK8" s="3"/>
      <c r="BL8" s="3"/>
      <c r="BM8" s="3"/>
      <c r="BN8" s="3"/>
      <c r="BO8" s="3"/>
    </row>
    <row r="9" customFormat="false" ht="12.8" hidden="false" customHeight="false" outlineLevel="0" collapsed="false">
      <c r="A9" s="46" t="str">
        <f aca="false">_xlfn.CONCAT($A$1, ".CALC.", CALC!A40)</f>
        <v>LSD.RID.0.AL.FTER.CALC.5</v>
      </c>
      <c r="B9" s="39" t="str">
        <f aca="false">CALC!C40</f>
        <v>Manufacturing (Food,Textile, etc.)</v>
      </c>
      <c r="C9" s="18" t="n">
        <v>0.84</v>
      </c>
      <c r="D9" s="18" t="n">
        <v>0.82</v>
      </c>
      <c r="E9" s="18" t="n">
        <v>0.86</v>
      </c>
      <c r="F9" s="18" t="n">
        <v>0.84</v>
      </c>
      <c r="AT9" s="3"/>
      <c r="AU9" s="3"/>
      <c r="AV9" s="3"/>
      <c r="AW9" s="3"/>
      <c r="AZ9" s="18"/>
      <c r="BA9" s="18"/>
      <c r="BB9" s="18"/>
      <c r="BC9" s="18"/>
      <c r="BJ9" s="3"/>
      <c r="BK9" s="3"/>
      <c r="BL9" s="3"/>
      <c r="BM9" s="3"/>
      <c r="BN9" s="3"/>
      <c r="BO9" s="3"/>
    </row>
    <row r="10" customFormat="false" ht="12.8" hidden="false" customHeight="false" outlineLevel="0" collapsed="false">
      <c r="A10" s="46" t="str">
        <f aca="false">_xlfn.CONCAT($A$1, ".CALC.", CALC!A41)</f>
        <v>LSD.RID.0.AL.FTER.CALC.6</v>
      </c>
      <c r="B10" s="39" t="str">
        <f aca="false">CALC!C41</f>
        <v>Manufacturing (Wood, Paper, Printing, etc.)</v>
      </c>
      <c r="C10" s="18" t="n">
        <v>0.85</v>
      </c>
      <c r="D10" s="18" t="n">
        <v>0.84</v>
      </c>
      <c r="E10" s="18" t="n">
        <v>0.87</v>
      </c>
      <c r="F10" s="18" t="n">
        <v>0.85</v>
      </c>
      <c r="AT10" s="3"/>
      <c r="AU10" s="3"/>
      <c r="AV10" s="3"/>
      <c r="AW10" s="3"/>
      <c r="AZ10" s="18"/>
      <c r="BA10" s="18"/>
      <c r="BB10" s="18"/>
      <c r="BC10" s="18"/>
      <c r="BJ10" s="3"/>
      <c r="BK10" s="3"/>
      <c r="BL10" s="3"/>
      <c r="BM10" s="3"/>
      <c r="BN10" s="3"/>
      <c r="BO10" s="3"/>
    </row>
    <row r="11" customFormat="false" ht="12.8" hidden="false" customHeight="false" outlineLevel="0" collapsed="false">
      <c r="A11" s="46" t="str">
        <f aca="false">_xlfn.CONCAT($A$1, ".CALC.", CALC!A42)</f>
        <v>LSD.RID.0.AL.FTER.CALC.7</v>
      </c>
      <c r="B11" s="39" t="str">
        <f aca="false">CALC!C42</f>
        <v>Manufacturing (Machinery, Transport)</v>
      </c>
      <c r="C11" s="18" t="n">
        <v>0.86</v>
      </c>
      <c r="D11" s="18" t="n">
        <v>0.85</v>
      </c>
      <c r="E11" s="18" t="n">
        <v>0.88</v>
      </c>
      <c r="F11" s="18" t="n">
        <v>0.86</v>
      </c>
      <c r="AT11" s="3"/>
      <c r="AU11" s="3"/>
      <c r="AV11" s="3"/>
      <c r="AW11" s="3"/>
      <c r="AZ11" s="18"/>
      <c r="BA11" s="18"/>
      <c r="BB11" s="18"/>
      <c r="BC11" s="18"/>
      <c r="BJ11" s="3"/>
      <c r="BK11" s="3"/>
      <c r="BL11" s="3"/>
      <c r="BM11" s="3"/>
      <c r="BN11" s="3"/>
      <c r="BO11" s="3"/>
    </row>
    <row r="12" customFormat="false" ht="12.8" hidden="false" customHeight="false" outlineLevel="0" collapsed="false">
      <c r="A12" s="46" t="str">
        <f aca="false">_xlfn.CONCAT($A$1, ".CALC.", CALC!A43)</f>
        <v>LSD.RID.0.AL.FTER.CALC.8</v>
      </c>
      <c r="B12" s="18" t="str">
        <f aca="false">CALC!C43</f>
        <v>Wholesale Trade</v>
      </c>
      <c r="C12" s="18" t="n">
        <v>0.83</v>
      </c>
      <c r="D12" s="18" t="n">
        <v>0.84</v>
      </c>
      <c r="E12" s="18" t="n">
        <v>0.8</v>
      </c>
      <c r="F12" s="18" t="n">
        <v>0.83</v>
      </c>
      <c r="AT12" s="3"/>
      <c r="AU12" s="3"/>
      <c r="AV12" s="3"/>
      <c r="AW12" s="3"/>
      <c r="AZ12" s="18"/>
      <c r="BA12" s="18"/>
      <c r="BB12" s="18"/>
      <c r="BC12" s="18"/>
      <c r="BJ12" s="3"/>
      <c r="BK12" s="3"/>
      <c r="BL12" s="3"/>
      <c r="BM12" s="3"/>
      <c r="BN12" s="3"/>
      <c r="BO12" s="3"/>
    </row>
    <row r="13" customFormat="false" ht="12.8" hidden="false" customHeight="false" outlineLevel="0" collapsed="false">
      <c r="A13" s="46" t="str">
        <f aca="false">_xlfn.CONCAT($A$1, ".CALC.", CALC!A44)</f>
        <v>LSD.RID.0.AL.FTER.CALC.9</v>
      </c>
      <c r="B13" s="39" t="str">
        <f aca="false">CALC!C44</f>
        <v>Retail Trade (Motor Vehicle, Electronics)</v>
      </c>
      <c r="C13" s="18" t="n">
        <v>0.81</v>
      </c>
      <c r="D13" s="18" t="n">
        <v>0.82</v>
      </c>
      <c r="E13" s="18" t="n">
        <v>0.78</v>
      </c>
      <c r="F13" s="18" t="n">
        <v>0.81</v>
      </c>
      <c r="AT13" s="3"/>
      <c r="AU13" s="3"/>
      <c r="AV13" s="3"/>
      <c r="AW13" s="3"/>
      <c r="AZ13" s="18"/>
      <c r="BA13" s="18"/>
      <c r="BB13" s="18"/>
      <c r="BC13" s="18"/>
      <c r="BJ13" s="3"/>
      <c r="BK13" s="3"/>
      <c r="BL13" s="3"/>
      <c r="BM13" s="3"/>
      <c r="BN13" s="3"/>
      <c r="BO13" s="3"/>
    </row>
    <row r="14" customFormat="false" ht="22.8" hidden="false" customHeight="false" outlineLevel="0" collapsed="false">
      <c r="A14" s="46" t="str">
        <f aca="false">_xlfn.CONCAT($A$1, ".CALC.", CALC!A45)</f>
        <v>LSD.RID.0.AL.FTER.CALC.10</v>
      </c>
      <c r="B14" s="39" t="str">
        <f aca="false">CALC!C45</f>
        <v>Retail Trade (Food, Clothing, General Merchandise, etc.)</v>
      </c>
      <c r="C14" s="18" t="n">
        <v>0.72</v>
      </c>
      <c r="D14" s="18" t="n">
        <v>0.74</v>
      </c>
      <c r="E14" s="18" t="n">
        <v>0.68</v>
      </c>
      <c r="F14" s="18" t="n">
        <v>0.72</v>
      </c>
      <c r="AT14" s="3"/>
      <c r="AU14" s="3"/>
      <c r="AV14" s="3"/>
      <c r="AW14" s="3"/>
      <c r="AZ14" s="18"/>
      <c r="BA14" s="18"/>
      <c r="BB14" s="18"/>
      <c r="BC14" s="18"/>
      <c r="BJ14" s="3"/>
      <c r="BK14" s="3"/>
      <c r="BL14" s="3"/>
      <c r="BM14" s="3"/>
      <c r="BN14" s="3"/>
      <c r="BO14" s="3"/>
    </row>
    <row r="15" customFormat="false" ht="12.8" hidden="false" customHeight="false" outlineLevel="0" collapsed="false">
      <c r="A15" s="46" t="str">
        <f aca="false">_xlfn.CONCAT($A$1, ".CALC.", CALC!A46)</f>
        <v>LSD.RID.0.AL.FTER.CALC.11</v>
      </c>
      <c r="B15" s="18" t="str">
        <f aca="false">CALC!C46</f>
        <v>Transportation</v>
      </c>
      <c r="C15" s="18" t="n">
        <v>0.84</v>
      </c>
      <c r="D15" s="18" t="n">
        <v>0.85</v>
      </c>
      <c r="E15" s="18" t="n">
        <v>0.81</v>
      </c>
      <c r="F15" s="18" t="n">
        <v>0.84</v>
      </c>
      <c r="AT15" s="3"/>
      <c r="AU15" s="3"/>
      <c r="AV15" s="3"/>
      <c r="AW15" s="3"/>
      <c r="AZ15" s="18"/>
      <c r="BA15" s="18"/>
      <c r="BB15" s="18"/>
      <c r="BC15" s="18"/>
      <c r="BJ15" s="3"/>
      <c r="BK15" s="3"/>
      <c r="BL15" s="3"/>
      <c r="BM15" s="3"/>
      <c r="BN15" s="3"/>
      <c r="BO15" s="3"/>
    </row>
    <row r="16" customFormat="false" ht="12.8" hidden="false" customHeight="false" outlineLevel="0" collapsed="false">
      <c r="A16" s="46" t="str">
        <f aca="false">_xlfn.CONCAT($A$1, ".CALC.", CALC!A47)</f>
        <v>LSD.RID.0.AL.FTER.CALC.12</v>
      </c>
      <c r="B16" s="18" t="str">
        <f aca="false">CALC!C47</f>
        <v>Warehousing and Storage</v>
      </c>
      <c r="C16" s="18" t="n">
        <v>0.82</v>
      </c>
      <c r="D16" s="18" t="n">
        <v>0.83</v>
      </c>
      <c r="E16" s="18" t="n">
        <v>0.79</v>
      </c>
      <c r="F16" s="18" t="n">
        <v>0.82</v>
      </c>
      <c r="AT16" s="3"/>
      <c r="AU16" s="3"/>
      <c r="AV16" s="3"/>
      <c r="AW16" s="3"/>
      <c r="AZ16" s="18"/>
      <c r="BA16" s="18"/>
      <c r="BB16" s="18"/>
      <c r="BC16" s="18"/>
      <c r="BJ16" s="3"/>
      <c r="BK16" s="3"/>
      <c r="BL16" s="3"/>
      <c r="BM16" s="3"/>
      <c r="BN16" s="3"/>
      <c r="BO16" s="3"/>
    </row>
    <row r="17" customFormat="false" ht="12.8" hidden="false" customHeight="false" outlineLevel="0" collapsed="false">
      <c r="A17" s="46" t="str">
        <f aca="false">_xlfn.CONCAT($A$1, ".CALC.", CALC!A48)</f>
        <v>LSD.RID.0.AL.FTER.CALC.13</v>
      </c>
      <c r="B17" s="18" t="str">
        <f aca="false">CALC!C48</f>
        <v>Information</v>
      </c>
      <c r="C17" s="18" t="n">
        <v>0.83</v>
      </c>
      <c r="D17" s="18" t="n">
        <v>0.85</v>
      </c>
      <c r="E17" s="18" t="n">
        <v>0.79</v>
      </c>
      <c r="F17" s="18" t="n">
        <v>0.83</v>
      </c>
      <c r="AT17" s="3"/>
      <c r="AU17" s="3"/>
      <c r="AV17" s="3"/>
      <c r="AW17" s="3"/>
      <c r="AZ17" s="18"/>
      <c r="BA17" s="18"/>
      <c r="BB17" s="18"/>
      <c r="BC17" s="18"/>
      <c r="BJ17" s="3"/>
      <c r="BK17" s="3"/>
      <c r="BL17" s="3"/>
      <c r="BM17" s="3"/>
      <c r="BN17" s="3"/>
      <c r="BO17" s="3"/>
    </row>
    <row r="18" customFormat="false" ht="12.8" hidden="false" customHeight="false" outlineLevel="0" collapsed="false">
      <c r="A18" s="46" t="str">
        <f aca="false">_xlfn.CONCAT($A$1, ".CALC.", CALC!A49)</f>
        <v>LSD.RID.0.AL.FTER.CALC.14</v>
      </c>
      <c r="B18" s="18" t="str">
        <f aca="false">CALC!C49</f>
        <v>Finance and Insurance</v>
      </c>
      <c r="C18" s="18" t="n">
        <v>0.85</v>
      </c>
      <c r="D18" s="18" t="n">
        <v>0.87</v>
      </c>
      <c r="E18" s="18" t="n">
        <v>0.81</v>
      </c>
      <c r="F18" s="18" t="n">
        <v>0.85</v>
      </c>
      <c r="AT18" s="3"/>
      <c r="AU18" s="3"/>
      <c r="AV18" s="3"/>
      <c r="AW18" s="3"/>
      <c r="AZ18" s="18"/>
      <c r="BA18" s="18"/>
      <c r="BB18" s="18"/>
      <c r="BC18" s="18"/>
      <c r="BJ18" s="3"/>
      <c r="BK18" s="3"/>
      <c r="BL18" s="3"/>
      <c r="BM18" s="3"/>
      <c r="BN18" s="3"/>
      <c r="BO18" s="3"/>
    </row>
    <row r="19" customFormat="false" ht="12.8" hidden="false" customHeight="false" outlineLevel="0" collapsed="false">
      <c r="A19" s="46" t="str">
        <f aca="false">_xlfn.CONCAT($A$1, ".CALC.", CALC!A50)</f>
        <v>LSD.RID.0.AL.FTER.CALC.15</v>
      </c>
      <c r="B19" s="39" t="str">
        <f aca="false">CALC!C50</f>
        <v>Real Estate and Rental and Leasing</v>
      </c>
      <c r="C19" s="18" t="n">
        <v>0.82</v>
      </c>
      <c r="D19" s="18" t="n">
        <v>0.84</v>
      </c>
      <c r="E19" s="18" t="n">
        <v>0.78</v>
      </c>
      <c r="F19" s="18" t="n">
        <v>0.82</v>
      </c>
      <c r="AT19" s="3"/>
      <c r="AU19" s="3"/>
      <c r="AV19" s="3"/>
      <c r="AW19" s="3"/>
      <c r="AZ19" s="18"/>
      <c r="BA19" s="18"/>
      <c r="BB19" s="18"/>
      <c r="BC19" s="18"/>
      <c r="BJ19" s="3"/>
      <c r="BK19" s="3"/>
      <c r="BL19" s="3"/>
      <c r="BM19" s="3"/>
      <c r="BN19" s="3"/>
      <c r="BO19" s="3"/>
    </row>
    <row r="20" customFormat="false" ht="12.8" hidden="false" customHeight="false" outlineLevel="0" collapsed="false">
      <c r="A20" s="46" t="str">
        <f aca="false">_xlfn.CONCAT($A$1, ".CALC.", CALC!A51)</f>
        <v>LSD.RID.0.AL.FTER.CALC.16</v>
      </c>
      <c r="B20" s="39" t="str">
        <f aca="false">CALC!C51</f>
        <v>Professional, Scientific, and Technical Services</v>
      </c>
      <c r="C20" s="18" t="n">
        <v>0.87</v>
      </c>
      <c r="D20" s="18" t="n">
        <v>0.89</v>
      </c>
      <c r="E20" s="18" t="n">
        <v>0.82</v>
      </c>
      <c r="F20" s="18" t="n">
        <v>0.87</v>
      </c>
      <c r="AT20" s="3"/>
      <c r="AU20" s="3"/>
      <c r="AV20" s="3"/>
      <c r="AW20" s="3"/>
      <c r="AZ20" s="18"/>
      <c r="BA20" s="18"/>
      <c r="BB20" s="18"/>
      <c r="BC20" s="18"/>
      <c r="BJ20" s="3"/>
      <c r="BK20" s="3"/>
      <c r="BL20" s="3"/>
      <c r="BM20" s="3"/>
      <c r="BN20" s="3"/>
      <c r="BO20" s="3"/>
    </row>
    <row r="21" customFormat="false" ht="22.8" hidden="false" customHeight="false" outlineLevel="0" collapsed="false">
      <c r="A21" s="46" t="str">
        <f aca="false">_xlfn.CONCAT($A$1, ".CALC.", CALC!A52)</f>
        <v>LSD.RID.0.AL.FTER.CALC.17</v>
      </c>
      <c r="B21" s="39" t="str">
        <f aca="false">CALC!C52</f>
        <v>Administrative and Support and Waste Management and Remediation Services</v>
      </c>
      <c r="C21" s="18" t="n">
        <v>0.76</v>
      </c>
      <c r="D21" s="18" t="n">
        <v>0.78</v>
      </c>
      <c r="E21" s="18" t="n">
        <v>0.72</v>
      </c>
      <c r="F21" s="18" t="n">
        <v>0.76</v>
      </c>
      <c r="AT21" s="3"/>
      <c r="AU21" s="3"/>
      <c r="AV21" s="3"/>
      <c r="AW21" s="3"/>
      <c r="AZ21" s="18"/>
      <c r="BA21" s="18"/>
      <c r="BB21" s="18"/>
      <c r="BC21" s="18"/>
      <c r="BJ21" s="3"/>
      <c r="BK21" s="3"/>
      <c r="BL21" s="3"/>
      <c r="BM21" s="3"/>
      <c r="BN21" s="3"/>
      <c r="BO21" s="3"/>
    </row>
    <row r="22" customFormat="false" ht="12.8" hidden="false" customHeight="false" outlineLevel="0" collapsed="false">
      <c r="A22" s="46" t="str">
        <f aca="false">_xlfn.CONCAT($A$1, ".CALC.", CALC!A53)</f>
        <v>LSD.RID.0.AL.FTER.CALC.18</v>
      </c>
      <c r="B22" s="18" t="str">
        <f aca="false">CALC!C53</f>
        <v>Educational Services</v>
      </c>
      <c r="C22" s="18" t="n">
        <v>0.84</v>
      </c>
      <c r="D22" s="18" t="n">
        <v>0.86</v>
      </c>
      <c r="E22" s="18" t="n">
        <v>0.8</v>
      </c>
      <c r="F22" s="18" t="n">
        <v>0.84</v>
      </c>
      <c r="AT22" s="3"/>
      <c r="AU22" s="3"/>
      <c r="AV22" s="3"/>
      <c r="AW22" s="3"/>
      <c r="AZ22" s="18"/>
      <c r="BA22" s="18"/>
      <c r="BB22" s="18"/>
      <c r="BC22" s="18"/>
      <c r="BJ22" s="3"/>
      <c r="BK22" s="3"/>
      <c r="BL22" s="3"/>
      <c r="BM22" s="3"/>
      <c r="BN22" s="3"/>
      <c r="BO22" s="3"/>
    </row>
    <row r="23" customFormat="false" ht="12.8" hidden="false" customHeight="false" outlineLevel="0" collapsed="false">
      <c r="A23" s="46" t="str">
        <f aca="false">_xlfn.CONCAT($A$1, ".CALC.", CALC!A54)</f>
        <v>LSD.RID.0.AL.FTER.CALC.19</v>
      </c>
      <c r="B23" s="39" t="str">
        <f aca="false">CALC!C54</f>
        <v>Health Care and Social Assistance</v>
      </c>
      <c r="C23" s="18" t="n">
        <v>0.85</v>
      </c>
      <c r="D23" s="18" t="n">
        <v>0.87</v>
      </c>
      <c r="E23" s="18" t="n">
        <v>0.81</v>
      </c>
      <c r="F23" s="18" t="n">
        <v>0.85</v>
      </c>
      <c r="AT23" s="3"/>
      <c r="AU23" s="3"/>
      <c r="AV23" s="3"/>
      <c r="AW23" s="3"/>
      <c r="AZ23" s="18"/>
      <c r="BA23" s="18"/>
      <c r="BB23" s="18"/>
      <c r="BC23" s="18"/>
      <c r="BJ23" s="3"/>
      <c r="BK23" s="3"/>
      <c r="BL23" s="3"/>
      <c r="BM23" s="3"/>
      <c r="BN23" s="3"/>
      <c r="BO23" s="3"/>
    </row>
    <row r="24" customFormat="false" ht="12.8" hidden="false" customHeight="false" outlineLevel="0" collapsed="false">
      <c r="A24" s="46" t="str">
        <f aca="false">_xlfn.CONCAT($A$1, ".CALC.", CALC!A55)</f>
        <v>LSD.RID.0.AL.FTER.CALC.20</v>
      </c>
      <c r="B24" s="39" t="str">
        <f aca="false">CALC!C55</f>
        <v>Arts, Entertainment,and Recreation</v>
      </c>
      <c r="C24" s="18" t="n">
        <v>0.7</v>
      </c>
      <c r="D24" s="18" t="n">
        <v>0.72</v>
      </c>
      <c r="E24" s="18" t="n">
        <v>0.66</v>
      </c>
      <c r="F24" s="18" t="n">
        <v>0.7</v>
      </c>
      <c r="AT24" s="3"/>
      <c r="AU24" s="3"/>
      <c r="AV24" s="3"/>
      <c r="AW24" s="3"/>
      <c r="AZ24" s="18"/>
      <c r="BA24" s="18"/>
      <c r="BB24" s="18"/>
      <c r="BC24" s="18"/>
      <c r="BJ24" s="3"/>
      <c r="BK24" s="3"/>
      <c r="BL24" s="3"/>
      <c r="BM24" s="3"/>
      <c r="BN24" s="3"/>
      <c r="BO24" s="3"/>
    </row>
    <row r="25" customFormat="false" ht="12.8" hidden="false" customHeight="false" outlineLevel="0" collapsed="false">
      <c r="A25" s="46" t="str">
        <f aca="false">_xlfn.CONCAT($A$1, ".CALC.", CALC!A56)</f>
        <v>LSD.RID.0.AL.FTER.CALC.21</v>
      </c>
      <c r="B25" s="39" t="str">
        <f aca="false">CALC!C56</f>
        <v>Accommodation and Food Services</v>
      </c>
      <c r="C25" s="18" t="n">
        <v>0.68</v>
      </c>
      <c r="D25" s="18" t="n">
        <v>0.7</v>
      </c>
      <c r="E25" s="18" t="n">
        <v>0.64</v>
      </c>
      <c r="F25" s="18" t="n">
        <v>0.68</v>
      </c>
      <c r="AT25" s="3"/>
      <c r="AU25" s="3"/>
      <c r="AV25" s="3"/>
      <c r="AW25" s="3"/>
      <c r="AZ25" s="18"/>
      <c r="BA25" s="18"/>
      <c r="BB25" s="18"/>
      <c r="BC25" s="18"/>
      <c r="BJ25" s="3"/>
      <c r="BK25" s="3"/>
      <c r="BL25" s="3"/>
      <c r="BM25" s="3"/>
      <c r="BN25" s="3"/>
      <c r="BO25" s="3"/>
    </row>
    <row r="26" customFormat="false" ht="12.8" hidden="false" customHeight="false" outlineLevel="0" collapsed="false">
      <c r="A26" s="46" t="str">
        <f aca="false">_xlfn.CONCAT($A$1, ".CALC.", CALC!A57)</f>
        <v>LSD.RID.0.AL.FTER.CALC.22</v>
      </c>
      <c r="B26" s="39" t="str">
        <f aca="false">CALC!C57</f>
        <v>Other Services (except Public Administration)</v>
      </c>
      <c r="C26" s="18" t="n">
        <v>0.78</v>
      </c>
      <c r="D26" s="18" t="n">
        <v>0.8</v>
      </c>
      <c r="E26" s="18" t="n">
        <v>0.74</v>
      </c>
      <c r="F26" s="18" t="n">
        <v>0.78</v>
      </c>
      <c r="AT26" s="3"/>
      <c r="AU26" s="3"/>
      <c r="AV26" s="3"/>
      <c r="AW26" s="3"/>
      <c r="AZ26" s="18"/>
      <c r="BA26" s="18"/>
      <c r="BB26" s="18"/>
      <c r="BC26" s="18"/>
      <c r="BJ26" s="3"/>
      <c r="BK26" s="3"/>
      <c r="BL26" s="3"/>
      <c r="BM26" s="3"/>
      <c r="BN26" s="3"/>
      <c r="BO26" s="3"/>
    </row>
    <row r="27" customFormat="false" ht="12.8" hidden="false" customHeight="false" outlineLevel="0" collapsed="false">
      <c r="A27" s="46" t="str">
        <f aca="false">_xlfn.CONCAT($A$1, ".CALC.", CALC!A58)</f>
        <v>LSD.RID.0.AL.FTER.CALC.23</v>
      </c>
      <c r="B27" s="18" t="str">
        <f aca="false">CALC!C58</f>
        <v>Public Administration</v>
      </c>
      <c r="C27" s="18" t="n">
        <v>0.88</v>
      </c>
      <c r="D27" s="18" t="n">
        <v>0.89</v>
      </c>
      <c r="E27" s="18" t="n">
        <v>0.85</v>
      </c>
      <c r="F27" s="18" t="n">
        <v>0.88</v>
      </c>
      <c r="AT27" s="3"/>
      <c r="AU27" s="3"/>
      <c r="AV27" s="3"/>
      <c r="AW27" s="3"/>
      <c r="AZ27" s="18"/>
      <c r="BA27" s="18"/>
      <c r="BB27" s="18"/>
      <c r="BC27" s="18"/>
      <c r="BJ27" s="3"/>
      <c r="BK27" s="3"/>
      <c r="BL27" s="3"/>
      <c r="BM27" s="3"/>
      <c r="BN27" s="3"/>
      <c r="BO27" s="3"/>
    </row>
    <row r="28" customFormat="false" ht="12.8" hidden="false" customHeight="false" outlineLevel="0" collapsed="false">
      <c r="A28" s="43"/>
      <c r="AT28" s="3"/>
      <c r="AU28" s="3"/>
      <c r="AV28" s="3"/>
      <c r="AW28" s="3"/>
      <c r="AZ28" s="18"/>
      <c r="BA28" s="18"/>
      <c r="BB28" s="18"/>
      <c r="BC28" s="18"/>
      <c r="BJ28" s="3"/>
      <c r="BK28" s="3"/>
      <c r="BL28" s="3"/>
      <c r="BM28" s="3"/>
      <c r="BN28" s="3"/>
      <c r="BO28" s="3"/>
    </row>
    <row r="29" customFormat="false" ht="12.8" hidden="false" customHeight="false" outlineLevel="0" collapsed="false">
      <c r="A29" s="46" t="s">
        <v>2724</v>
      </c>
      <c r="B29" s="47" t="s">
        <v>2725</v>
      </c>
      <c r="C29" s="47"/>
    </row>
    <row r="30" customFormat="false" ht="12.8" hidden="false" customHeight="false" outlineLevel="0" collapsed="false">
      <c r="A30" s="14" t="s">
        <v>93</v>
      </c>
      <c r="B30" s="49" t="s">
        <v>1801</v>
      </c>
      <c r="C30" s="49" t="s">
        <v>283</v>
      </c>
      <c r="D30" s="49" t="s">
        <v>2056</v>
      </c>
      <c r="E30" s="49" t="s">
        <v>286</v>
      </c>
      <c r="F30" s="49" t="s">
        <v>287</v>
      </c>
    </row>
    <row r="31" customFormat="false" ht="12.8" hidden="false" customHeight="false" outlineLevel="0" collapsed="false">
      <c r="A31" s="18" t="s">
        <v>2726</v>
      </c>
      <c r="B31" s="18" t="s">
        <v>2727</v>
      </c>
      <c r="C31" s="18" t="s">
        <v>2728</v>
      </c>
      <c r="D31" s="18" t="s">
        <v>2729</v>
      </c>
      <c r="E31" s="18" t="s">
        <v>2730</v>
      </c>
      <c r="F31" s="18" t="s">
        <v>417</v>
      </c>
    </row>
    <row r="32" customFormat="false" ht="12.8" hidden="false" customHeight="false" outlineLevel="0" collapsed="false">
      <c r="A32" s="18" t="s">
        <v>2731</v>
      </c>
      <c r="B32" s="18" t="s">
        <v>2727</v>
      </c>
      <c r="C32" s="18" t="s">
        <v>2063</v>
      </c>
      <c r="D32" s="18" t="s">
        <v>2732</v>
      </c>
      <c r="E32" s="18" t="s">
        <v>2733</v>
      </c>
      <c r="F32" s="18" t="s">
        <v>417</v>
      </c>
    </row>
    <row r="33" customFormat="false" ht="12.8" hidden="false" customHeight="false" outlineLevel="0" collapsed="false">
      <c r="A33" s="18" t="s">
        <v>2734</v>
      </c>
      <c r="B33" s="18" t="s">
        <v>2727</v>
      </c>
      <c r="C33" s="18" t="s">
        <v>2066</v>
      </c>
      <c r="D33" s="18" t="s">
        <v>2735</v>
      </c>
      <c r="E33" s="18" t="s">
        <v>819</v>
      </c>
      <c r="F33" s="18" t="s">
        <v>417</v>
      </c>
    </row>
    <row r="34" customFormat="false" ht="12.8" hidden="false" customHeight="false" outlineLevel="0" collapsed="false">
      <c r="A34" s="17" t="s">
        <v>2736</v>
      </c>
      <c r="B34" s="18" t="s">
        <v>2727</v>
      </c>
      <c r="C34" s="18" t="s">
        <v>2737</v>
      </c>
      <c r="D34" s="18" t="s">
        <v>2738</v>
      </c>
      <c r="E34" s="18" t="s">
        <v>422</v>
      </c>
      <c r="F34" s="18" t="s">
        <v>417</v>
      </c>
    </row>
    <row r="36" customFormat="false" ht="12.8" hidden="false" customHeight="false" outlineLevel="0" collapsed="false">
      <c r="A36" s="46" t="s">
        <v>2739</v>
      </c>
      <c r="B36" s="47" t="s">
        <v>2740</v>
      </c>
      <c r="C36" s="47"/>
    </row>
    <row r="37" customFormat="false" ht="12.8" hidden="false" customHeight="false" outlineLevel="0" collapsed="false">
      <c r="A37" s="49" t="s">
        <v>97</v>
      </c>
      <c r="B37" s="49" t="s">
        <v>283</v>
      </c>
      <c r="C37" s="49" t="s">
        <v>2073</v>
      </c>
      <c r="D37" s="49" t="s">
        <v>286</v>
      </c>
      <c r="E37" s="49" t="s">
        <v>850</v>
      </c>
      <c r="F37" s="49" t="s">
        <v>851</v>
      </c>
      <c r="G37" s="49" t="s">
        <v>852</v>
      </c>
      <c r="H37" s="49" t="s">
        <v>287</v>
      </c>
    </row>
    <row r="38" customFormat="false" ht="12.8" hidden="false" customHeight="false" outlineLevel="0" collapsed="false">
      <c r="A38" s="18" t="s">
        <v>2741</v>
      </c>
      <c r="B38" s="18" t="s">
        <v>2742</v>
      </c>
      <c r="C38" s="18" t="n">
        <v>0.82</v>
      </c>
      <c r="D38" s="18" t="s">
        <v>2743</v>
      </c>
      <c r="E38" s="18" t="s">
        <v>857</v>
      </c>
      <c r="F38" s="18" t="s">
        <v>971</v>
      </c>
      <c r="G38" s="24" t="s">
        <v>859</v>
      </c>
      <c r="H38" s="18" t="s">
        <v>417</v>
      </c>
    </row>
    <row r="39" customFormat="false" ht="12.8" hidden="false" customHeight="false" outlineLevel="0" collapsed="false">
      <c r="A39" s="18" t="s">
        <v>2744</v>
      </c>
      <c r="B39" s="18" t="s">
        <v>2745</v>
      </c>
      <c r="C39" s="18" t="s">
        <v>2746</v>
      </c>
      <c r="D39" s="18" t="s">
        <v>2747</v>
      </c>
      <c r="E39" s="18" t="s">
        <v>857</v>
      </c>
      <c r="F39" s="18" t="s">
        <v>1987</v>
      </c>
      <c r="G39" s="24" t="s">
        <v>859</v>
      </c>
      <c r="H39" s="18" t="s">
        <v>2158</v>
      </c>
    </row>
    <row r="40" customFormat="false" ht="12.8" hidden="false" customHeight="false" outlineLevel="0" collapsed="false">
      <c r="A40" s="18" t="s">
        <v>2748</v>
      </c>
      <c r="B40" s="18" t="s">
        <v>2749</v>
      </c>
      <c r="C40" s="18" t="s">
        <v>2750</v>
      </c>
      <c r="D40" s="18" t="s">
        <v>2751</v>
      </c>
      <c r="E40" s="18" t="s">
        <v>857</v>
      </c>
      <c r="F40" s="18" t="s">
        <v>2752</v>
      </c>
      <c r="G40" s="24" t="s">
        <v>859</v>
      </c>
      <c r="H40" s="18" t="s">
        <v>2753</v>
      </c>
    </row>
    <row r="41" customFormat="false" ht="12.8" hidden="false" customHeight="false" outlineLevel="0" collapsed="false">
      <c r="A41" s="18" t="s">
        <v>2754</v>
      </c>
      <c r="B41" s="18" t="s">
        <v>2755</v>
      </c>
      <c r="C41" s="18" t="s">
        <v>2756</v>
      </c>
      <c r="D41" s="18" t="s">
        <v>2757</v>
      </c>
      <c r="E41" s="18" t="s">
        <v>857</v>
      </c>
      <c r="F41" s="18" t="s">
        <v>2758</v>
      </c>
      <c r="G41" s="24" t="s">
        <v>859</v>
      </c>
      <c r="H41" s="18" t="s">
        <v>2753</v>
      </c>
    </row>
    <row r="42" customFormat="false" ht="12.8" hidden="false" customHeight="false" outlineLevel="0" collapsed="false">
      <c r="A42" s="18" t="s">
        <v>2759</v>
      </c>
      <c r="B42" s="18" t="s">
        <v>2760</v>
      </c>
      <c r="C42" s="18" t="n">
        <v>0.9</v>
      </c>
      <c r="D42" s="18" t="s">
        <v>2761</v>
      </c>
      <c r="E42" s="18" t="s">
        <v>857</v>
      </c>
      <c r="F42" s="18" t="s">
        <v>2762</v>
      </c>
      <c r="G42" s="24" t="s">
        <v>859</v>
      </c>
      <c r="H42" s="18" t="s">
        <v>417</v>
      </c>
    </row>
    <row r="43" customFormat="false" ht="12.8" hidden="false" customHeight="false" outlineLevel="0" collapsed="false">
      <c r="A43" s="18" t="s">
        <v>2763</v>
      </c>
      <c r="B43" s="18" t="s">
        <v>1514</v>
      </c>
      <c r="C43" s="18" t="n">
        <v>4</v>
      </c>
      <c r="D43" s="18" t="s">
        <v>2167</v>
      </c>
      <c r="E43" s="18" t="s">
        <v>857</v>
      </c>
      <c r="F43" s="18" t="s">
        <v>2764</v>
      </c>
      <c r="G43" s="24" t="s">
        <v>859</v>
      </c>
      <c r="H43" s="18" t="s">
        <v>417</v>
      </c>
    </row>
    <row r="44" customFormat="false" ht="12.8" hidden="false" customHeight="false" outlineLevel="0" collapsed="false">
      <c r="A44" s="39"/>
      <c r="B44" s="39"/>
      <c r="C44" s="39"/>
      <c r="D44" s="39"/>
      <c r="E44" s="39"/>
      <c r="F44" s="39"/>
      <c r="G44" s="57"/>
      <c r="H44" s="39"/>
    </row>
    <row r="45" customFormat="false" ht="12.8" hidden="false" customHeight="false" outlineLevel="0" collapsed="false">
      <c r="A45" s="46" t="s">
        <v>2765</v>
      </c>
      <c r="B45" s="47" t="s">
        <v>2766</v>
      </c>
    </row>
    <row r="46" customFormat="false" ht="12.8" hidden="false" customHeight="false" outlineLevel="0" collapsed="false">
      <c r="A46" s="17" t="s">
        <v>101</v>
      </c>
      <c r="B46" s="18" t="s">
        <v>286</v>
      </c>
      <c r="C46" s="18" t="s">
        <v>849</v>
      </c>
      <c r="D46" s="18" t="s">
        <v>2093</v>
      </c>
      <c r="E46" s="18" t="s">
        <v>850</v>
      </c>
      <c r="F46" s="18" t="s">
        <v>2094</v>
      </c>
    </row>
    <row r="47" customFormat="false" ht="12.8" hidden="false" customHeight="false" outlineLevel="0" collapsed="false">
      <c r="A47" s="17" t="s">
        <v>2767</v>
      </c>
      <c r="B47" s="18" t="s">
        <v>1683</v>
      </c>
      <c r="C47" s="18" t="n">
        <v>0.82</v>
      </c>
      <c r="D47" s="18" t="s">
        <v>2768</v>
      </c>
      <c r="E47" s="18" t="s">
        <v>857</v>
      </c>
      <c r="F47" s="18" t="s">
        <v>2097</v>
      </c>
    </row>
    <row r="48" customFormat="false" ht="12.8" hidden="false" customHeight="false" outlineLevel="0" collapsed="false">
      <c r="A48" s="17" t="s">
        <v>2769</v>
      </c>
      <c r="B48" s="18" t="s">
        <v>2099</v>
      </c>
      <c r="C48" s="18" t="s">
        <v>2770</v>
      </c>
      <c r="D48" s="18" t="s">
        <v>857</v>
      </c>
      <c r="E48" s="18" t="s">
        <v>2771</v>
      </c>
    </row>
    <row r="49" customFormat="false" ht="12.8" hidden="false" customHeight="false" outlineLevel="0" collapsed="false">
      <c r="A49" s="17" t="s">
        <v>2772</v>
      </c>
      <c r="B49" s="18" t="s">
        <v>2773</v>
      </c>
      <c r="C49" s="18" t="s">
        <v>2774</v>
      </c>
      <c r="D49" s="18" t="s">
        <v>2775</v>
      </c>
      <c r="E49" s="18" t="s">
        <v>857</v>
      </c>
      <c r="F49" s="18" t="s">
        <v>2776</v>
      </c>
    </row>
    <row r="50" customFormat="false" ht="12.8" hidden="false" customHeight="false" outlineLevel="0" collapsed="false">
      <c r="A50" s="17" t="s">
        <v>2777</v>
      </c>
      <c r="B50" s="18" t="s">
        <v>2109</v>
      </c>
      <c r="C50" s="18" t="s">
        <v>2778</v>
      </c>
      <c r="D50" s="18" t="s">
        <v>2779</v>
      </c>
      <c r="E50" s="18" t="s">
        <v>857</v>
      </c>
      <c r="F50" s="18" t="s">
        <v>2780</v>
      </c>
    </row>
    <row r="51" customFormat="false" ht="12.8" hidden="false" customHeight="false" outlineLevel="0" collapsed="false">
      <c r="A51" s="17" t="s">
        <v>2781</v>
      </c>
      <c r="B51" s="18" t="s">
        <v>2114</v>
      </c>
      <c r="C51" s="18" t="s">
        <v>2186</v>
      </c>
      <c r="D51" s="18" t="s">
        <v>2782</v>
      </c>
      <c r="E51" s="18" t="s">
        <v>857</v>
      </c>
      <c r="F51" s="18" t="s">
        <v>2250</v>
      </c>
    </row>
    <row r="52" customFormat="false" ht="12.8" hidden="false" customHeight="false" outlineLevel="0" collapsed="false">
      <c r="A52" s="17" t="s">
        <v>2783</v>
      </c>
      <c r="B52" s="18" t="s">
        <v>2119</v>
      </c>
      <c r="C52" s="18" t="s">
        <v>2120</v>
      </c>
      <c r="D52" s="18" t="s">
        <v>2784</v>
      </c>
      <c r="E52" s="18" t="s">
        <v>857</v>
      </c>
      <c r="F52" s="18" t="s">
        <v>2785</v>
      </c>
    </row>
    <row r="53" customFormat="false" ht="12.8" hidden="false" customHeight="false" outlineLevel="0" collapsed="false">
      <c r="A53" s="17" t="s">
        <v>2786</v>
      </c>
      <c r="B53" s="18" t="s">
        <v>2787</v>
      </c>
      <c r="C53" s="18" t="s">
        <v>2788</v>
      </c>
      <c r="D53" s="18" t="s">
        <v>2789</v>
      </c>
      <c r="E53" s="18" t="s">
        <v>857</v>
      </c>
      <c r="F53" s="18" t="s">
        <v>2660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5E9B"/>
    <pageSetUpPr fitToPage="false"/>
  </sheetPr>
  <dimension ref="A1:BP5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55" activeCellId="0" sqref="A55"/>
    </sheetView>
  </sheetViews>
  <sheetFormatPr defaultColWidth="11.53515625" defaultRowHeight="12.8" customHeight="false" zeroHeight="false" outlineLevelRow="0" outlineLevelCol="0"/>
  <cols>
    <col collapsed="false" customWidth="false" hidden="false" outlineLevel="0" max="1" min="1" style="17" width="11.53"/>
    <col collapsed="false" customWidth="true" hidden="false" outlineLevel="0" max="2" min="2" style="18" width="41.51"/>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66</v>
      </c>
      <c r="B1" s="22" t="s">
        <v>2790</v>
      </c>
      <c r="C1" s="6" t="s">
        <v>2</v>
      </c>
      <c r="D1" s="48" t="s">
        <v>2791</v>
      </c>
      <c r="AZ1" s="18"/>
      <c r="BP1" s="18"/>
    </row>
    <row r="2" customFormat="false" ht="12.8" hidden="false" customHeight="false" outlineLevel="0" collapsed="false">
      <c r="A2" s="46" t="str">
        <f aca="false">_xlfn.CONCAT($A$1, ".", "CALC")</f>
        <v>LSD.RID.0.AL.PTER.CALC</v>
      </c>
      <c r="B2" s="47" t="str">
        <f aca="false">_xlfn.CONCAT($B$1, " ", "Calculations")</f>
        <v>Alabama Part-Time Employment Rate (PTER) Calculations</v>
      </c>
    </row>
    <row r="3" customFormat="false" ht="12.8" hidden="false" customHeight="false" outlineLevel="0" collapsed="false">
      <c r="A3" s="46" t="str">
        <f aca="false">CALC!A34</f>
        <v>LSID</v>
      </c>
      <c r="B3" s="22" t="str">
        <f aca="false">CALC!C34</f>
        <v>Labor Sector</v>
      </c>
      <c r="C3" s="56" t="str">
        <f aca="false">CALC!AB34</f>
        <v>Overall FTER</v>
      </c>
      <c r="D3" s="56" t="str">
        <f aca="false">CALC!AC34</f>
        <v>Authorized FTER</v>
      </c>
      <c r="E3" s="56" t="str">
        <f aca="false">CALC!AD34</f>
        <v>Unauthorized FTER</v>
      </c>
      <c r="F3" s="56" t="str">
        <f aca="false">CALC!AE34</f>
        <v>American FTER</v>
      </c>
      <c r="AT3" s="3"/>
      <c r="AU3" s="3"/>
      <c r="AV3" s="3"/>
      <c r="AW3" s="3"/>
      <c r="AZ3" s="18"/>
      <c r="BA3" s="18"/>
      <c r="BB3" s="18"/>
      <c r="BC3" s="18"/>
      <c r="BJ3" s="3"/>
      <c r="BK3" s="3"/>
      <c r="BL3" s="3"/>
      <c r="BM3" s="3"/>
      <c r="BN3" s="3"/>
      <c r="BO3" s="3"/>
    </row>
    <row r="4" customFormat="false" ht="12.8" hidden="false" customHeight="false" outlineLevel="0" collapsed="false">
      <c r="A4" s="46" t="str">
        <f aca="false">_xlfn.CONCAT($A$1, ".CALC.", CALC!A35)</f>
        <v>LSD.RID.0.AL.PTER.CALC.0</v>
      </c>
      <c r="B4" s="18" t="str">
        <f aca="false">CALC!C35</f>
        <v>All Industries</v>
      </c>
      <c r="C4" s="18" t="n">
        <v>0.18</v>
      </c>
      <c r="D4" s="18" t="n">
        <v>0.16</v>
      </c>
      <c r="E4" s="18" t="n">
        <v>0.22</v>
      </c>
      <c r="F4" s="18" t="n">
        <v>0.18</v>
      </c>
      <c r="AT4" s="3"/>
      <c r="AU4" s="3"/>
      <c r="AV4" s="3"/>
      <c r="AW4" s="3"/>
      <c r="AZ4" s="18"/>
      <c r="BA4" s="18"/>
      <c r="BB4" s="18"/>
      <c r="BC4" s="18"/>
      <c r="BJ4" s="3"/>
      <c r="BK4" s="3"/>
      <c r="BL4" s="3"/>
      <c r="BM4" s="3"/>
      <c r="BN4" s="3"/>
      <c r="BO4" s="3"/>
    </row>
    <row r="5" customFormat="false" ht="12.8" hidden="false" customHeight="false" outlineLevel="0" collapsed="false">
      <c r="A5" s="46" t="str">
        <f aca="false">_xlfn.CONCAT($A$1, ".CALC.", CALC!A36)</f>
        <v>LSD.RID.0.AL.PTER.CALC.1</v>
      </c>
      <c r="B5" s="39" t="str">
        <f aca="false">CALC!C36</f>
        <v>Agriculture, Forestry, Fishing and Hunting</v>
      </c>
      <c r="C5" s="18" t="n">
        <v>0.22</v>
      </c>
      <c r="D5" s="18" t="n">
        <v>0.24</v>
      </c>
      <c r="E5" s="18" t="n">
        <v>0.18</v>
      </c>
      <c r="F5" s="18" t="n">
        <v>0.22</v>
      </c>
      <c r="AT5" s="3"/>
      <c r="AU5" s="3"/>
      <c r="AV5" s="3"/>
      <c r="AW5" s="3"/>
      <c r="AZ5" s="18"/>
      <c r="BA5" s="18"/>
      <c r="BB5" s="18"/>
      <c r="BC5" s="18"/>
      <c r="BJ5" s="3"/>
      <c r="BK5" s="3"/>
      <c r="BL5" s="3"/>
      <c r="BM5" s="3"/>
      <c r="BN5" s="3"/>
      <c r="BO5" s="3"/>
    </row>
    <row r="6" customFormat="false" ht="12.8" hidden="false" customHeight="false" outlineLevel="0" collapsed="false">
      <c r="A6" s="46" t="str">
        <f aca="false">_xlfn.CONCAT($A$1, ".CALC.", CALC!A37)</f>
        <v>LSD.RID.0.AL.PTER.CALC.2</v>
      </c>
      <c r="B6" s="39" t="str">
        <f aca="false">CALC!C37</f>
        <v>Mining, Quarrying, and Oil and Gas Extraction</v>
      </c>
      <c r="C6" s="18" t="n">
        <v>0.15</v>
      </c>
      <c r="D6" s="18" t="n">
        <v>0.14</v>
      </c>
      <c r="E6" s="18" t="n">
        <v>0.17</v>
      </c>
      <c r="F6" s="18" t="n">
        <v>0.15</v>
      </c>
      <c r="AT6" s="3"/>
      <c r="AU6" s="3"/>
      <c r="AV6" s="3"/>
      <c r="AW6" s="3"/>
      <c r="AZ6" s="18"/>
      <c r="BA6" s="18"/>
      <c r="BB6" s="18"/>
      <c r="BC6" s="18"/>
      <c r="BJ6" s="3"/>
      <c r="BK6" s="3"/>
      <c r="BL6" s="3"/>
      <c r="BM6" s="3"/>
      <c r="BN6" s="3"/>
      <c r="BO6" s="3"/>
    </row>
    <row r="7" customFormat="false" ht="12.8" hidden="false" customHeight="false" outlineLevel="0" collapsed="false">
      <c r="A7" s="46" t="str">
        <f aca="false">_xlfn.CONCAT($A$1, ".CALC.", CALC!A38)</f>
        <v>LSD.RID.0.AL.PTER.CALC.3</v>
      </c>
      <c r="B7" s="18" t="str">
        <f aca="false">CALC!C38</f>
        <v>Utilities</v>
      </c>
      <c r="C7" s="18" t="n">
        <v>0.12</v>
      </c>
      <c r="D7" s="18" t="n">
        <v>0.11</v>
      </c>
      <c r="E7" s="18" t="n">
        <v>0.15</v>
      </c>
      <c r="F7" s="18" t="n">
        <v>0.12</v>
      </c>
      <c r="AT7" s="3"/>
      <c r="AU7" s="3"/>
      <c r="AV7" s="3"/>
      <c r="AW7" s="3"/>
      <c r="AZ7" s="18"/>
      <c r="BA7" s="18"/>
      <c r="BB7" s="18"/>
      <c r="BC7" s="18"/>
      <c r="BJ7" s="3"/>
      <c r="BK7" s="3"/>
      <c r="BL7" s="3"/>
      <c r="BM7" s="3"/>
      <c r="BN7" s="3"/>
      <c r="BO7" s="3"/>
    </row>
    <row r="8" customFormat="false" ht="12.8" hidden="false" customHeight="false" outlineLevel="0" collapsed="false">
      <c r="A8" s="46" t="str">
        <f aca="false">_xlfn.CONCAT($A$1, ".CALC.", CALC!A39)</f>
        <v>LSD.RID.0.AL.PTER.CALC.4</v>
      </c>
      <c r="B8" s="18" t="str">
        <f aca="false">CALC!C39</f>
        <v>Construction</v>
      </c>
      <c r="C8" s="18" t="n">
        <v>0.2</v>
      </c>
      <c r="D8" s="18" t="n">
        <v>0.22</v>
      </c>
      <c r="E8" s="18" t="n">
        <v>0.16</v>
      </c>
      <c r="F8" s="18" t="n">
        <v>0.2</v>
      </c>
      <c r="AT8" s="3"/>
      <c r="AU8" s="3"/>
      <c r="AV8" s="3"/>
      <c r="AW8" s="3"/>
      <c r="AZ8" s="18"/>
      <c r="BA8" s="18"/>
      <c r="BB8" s="18"/>
      <c r="BC8" s="18"/>
      <c r="BJ8" s="3"/>
      <c r="BK8" s="3"/>
      <c r="BL8" s="3"/>
      <c r="BM8" s="3"/>
      <c r="BN8" s="3"/>
      <c r="BO8" s="3"/>
    </row>
    <row r="9" customFormat="false" ht="12.8" hidden="false" customHeight="false" outlineLevel="0" collapsed="false">
      <c r="A9" s="46" t="str">
        <f aca="false">_xlfn.CONCAT($A$1, ".CALC.", CALC!A40)</f>
        <v>LSD.RID.0.AL.PTER.CALC.5</v>
      </c>
      <c r="B9" s="39" t="str">
        <f aca="false">CALC!C40</f>
        <v>Manufacturing (Food,Textile, etc.)</v>
      </c>
      <c r="C9" s="18" t="n">
        <v>0.16</v>
      </c>
      <c r="D9" s="18" t="n">
        <v>0.18</v>
      </c>
      <c r="E9" s="18" t="n">
        <v>0.14</v>
      </c>
      <c r="F9" s="18" t="n">
        <v>0.16</v>
      </c>
      <c r="AT9" s="3"/>
      <c r="AU9" s="3"/>
      <c r="AV9" s="3"/>
      <c r="AW9" s="3"/>
      <c r="AZ9" s="18"/>
      <c r="BA9" s="18"/>
      <c r="BB9" s="18"/>
      <c r="BC9" s="18"/>
      <c r="BJ9" s="3"/>
      <c r="BK9" s="3"/>
      <c r="BL9" s="3"/>
      <c r="BM9" s="3"/>
      <c r="BN9" s="3"/>
      <c r="BO9" s="3"/>
    </row>
    <row r="10" customFormat="false" ht="12.8" hidden="false" customHeight="false" outlineLevel="0" collapsed="false">
      <c r="A10" s="46" t="str">
        <f aca="false">_xlfn.CONCAT($A$1, ".CALC.", CALC!A41)</f>
        <v>LSD.RID.0.AL.PTER.CALC.6</v>
      </c>
      <c r="B10" s="39" t="str">
        <f aca="false">CALC!C41</f>
        <v>Manufacturing (Wood, Paper, Printing, etc.)</v>
      </c>
      <c r="C10" s="18" t="n">
        <v>0.15</v>
      </c>
      <c r="D10" s="18" t="n">
        <v>0.16</v>
      </c>
      <c r="E10" s="18" t="n">
        <v>0.13</v>
      </c>
      <c r="F10" s="18" t="n">
        <v>0.15</v>
      </c>
      <c r="AT10" s="3"/>
      <c r="AU10" s="3"/>
      <c r="AV10" s="3"/>
      <c r="AW10" s="3"/>
      <c r="AZ10" s="18"/>
      <c r="BA10" s="18"/>
      <c r="BB10" s="18"/>
      <c r="BC10" s="18"/>
      <c r="BJ10" s="3"/>
      <c r="BK10" s="3"/>
      <c r="BL10" s="3"/>
      <c r="BM10" s="3"/>
      <c r="BN10" s="3"/>
      <c r="BO10" s="3"/>
    </row>
    <row r="11" customFormat="false" ht="12.8" hidden="false" customHeight="false" outlineLevel="0" collapsed="false">
      <c r="A11" s="46" t="str">
        <f aca="false">_xlfn.CONCAT($A$1, ".CALC.", CALC!A42)</f>
        <v>LSD.RID.0.AL.PTER.CALC.7</v>
      </c>
      <c r="B11" s="39" t="str">
        <f aca="false">CALC!C42</f>
        <v>Manufacturing (Machinery, Transport)</v>
      </c>
      <c r="C11" s="18" t="n">
        <v>0.14</v>
      </c>
      <c r="D11" s="18" t="n">
        <v>0.15</v>
      </c>
      <c r="E11" s="18" t="n">
        <v>0.12</v>
      </c>
      <c r="F11" s="18" t="n">
        <v>0.14</v>
      </c>
      <c r="AT11" s="3"/>
      <c r="AU11" s="3"/>
      <c r="AV11" s="3"/>
      <c r="AW11" s="3"/>
      <c r="AZ11" s="18"/>
      <c r="BA11" s="18"/>
      <c r="BB11" s="18"/>
      <c r="BC11" s="18"/>
      <c r="BJ11" s="3"/>
      <c r="BK11" s="3"/>
      <c r="BL11" s="3"/>
      <c r="BM11" s="3"/>
      <c r="BN11" s="3"/>
      <c r="BO11" s="3"/>
    </row>
    <row r="12" customFormat="false" ht="12.8" hidden="false" customHeight="false" outlineLevel="0" collapsed="false">
      <c r="A12" s="46" t="str">
        <f aca="false">_xlfn.CONCAT($A$1, ".CALC.", CALC!A43)</f>
        <v>LSD.RID.0.AL.PTER.CALC.8</v>
      </c>
      <c r="B12" s="18" t="str">
        <f aca="false">CALC!C43</f>
        <v>Wholesale Trade</v>
      </c>
      <c r="C12" s="18" t="n">
        <v>0.17</v>
      </c>
      <c r="D12" s="18" t="n">
        <v>0.16</v>
      </c>
      <c r="E12" s="18" t="n">
        <v>0.2</v>
      </c>
      <c r="F12" s="18" t="n">
        <v>0.17</v>
      </c>
      <c r="AT12" s="3"/>
      <c r="AU12" s="3"/>
      <c r="AV12" s="3"/>
      <c r="AW12" s="3"/>
      <c r="AZ12" s="18"/>
      <c r="BA12" s="18"/>
      <c r="BB12" s="18"/>
      <c r="BC12" s="18"/>
      <c r="BJ12" s="3"/>
      <c r="BK12" s="3"/>
      <c r="BL12" s="3"/>
      <c r="BM12" s="3"/>
      <c r="BN12" s="3"/>
      <c r="BO12" s="3"/>
    </row>
    <row r="13" customFormat="false" ht="12.8" hidden="false" customHeight="false" outlineLevel="0" collapsed="false">
      <c r="A13" s="46" t="str">
        <f aca="false">_xlfn.CONCAT($A$1, ".CALC.", CALC!A44)</f>
        <v>LSD.RID.0.AL.PTER.CALC.9</v>
      </c>
      <c r="B13" s="39" t="str">
        <f aca="false">CALC!C44</f>
        <v>Retail Trade (Motor Vehicle, Electronics)</v>
      </c>
      <c r="C13" s="18" t="n">
        <v>0.19</v>
      </c>
      <c r="D13" s="18" t="n">
        <v>0.18</v>
      </c>
      <c r="E13" s="18" t="n">
        <v>0.22</v>
      </c>
      <c r="F13" s="18" t="n">
        <v>0.19</v>
      </c>
      <c r="AT13" s="3"/>
      <c r="AU13" s="3"/>
      <c r="AV13" s="3"/>
      <c r="AW13" s="3"/>
      <c r="AZ13" s="18"/>
      <c r="BA13" s="18"/>
      <c r="BB13" s="18"/>
      <c r="BC13" s="18"/>
      <c r="BJ13" s="3"/>
      <c r="BK13" s="3"/>
      <c r="BL13" s="3"/>
      <c r="BM13" s="3"/>
      <c r="BN13" s="3"/>
      <c r="BO13" s="3"/>
    </row>
    <row r="14" customFormat="false" ht="22.8" hidden="false" customHeight="false" outlineLevel="0" collapsed="false">
      <c r="A14" s="46" t="str">
        <f aca="false">_xlfn.CONCAT($A$1, ".CALC.", CALC!A45)</f>
        <v>LSD.RID.0.AL.PTER.CALC.10</v>
      </c>
      <c r="B14" s="39" t="str">
        <f aca="false">CALC!C45</f>
        <v>Retail Trade (Food, Clothing, General Merchandise, etc.)</v>
      </c>
      <c r="C14" s="18" t="n">
        <v>0.28</v>
      </c>
      <c r="D14" s="18" t="n">
        <v>0.26</v>
      </c>
      <c r="E14" s="18" t="n">
        <v>0.32</v>
      </c>
      <c r="F14" s="18" t="n">
        <v>0.28</v>
      </c>
      <c r="AT14" s="3"/>
      <c r="AU14" s="3"/>
      <c r="AV14" s="3"/>
      <c r="AW14" s="3"/>
      <c r="AZ14" s="18"/>
      <c r="BA14" s="18"/>
      <c r="BB14" s="18"/>
      <c r="BC14" s="18"/>
      <c r="BJ14" s="3"/>
      <c r="BK14" s="3"/>
      <c r="BL14" s="3"/>
      <c r="BM14" s="3"/>
      <c r="BN14" s="3"/>
      <c r="BO14" s="3"/>
    </row>
    <row r="15" customFormat="false" ht="12.8" hidden="false" customHeight="false" outlineLevel="0" collapsed="false">
      <c r="A15" s="46" t="str">
        <f aca="false">_xlfn.CONCAT($A$1, ".CALC.", CALC!A46)</f>
        <v>LSD.RID.0.AL.PTER.CALC.11</v>
      </c>
      <c r="B15" s="18" t="str">
        <f aca="false">CALC!C46</f>
        <v>Transportation</v>
      </c>
      <c r="C15" s="18" t="n">
        <v>0.16</v>
      </c>
      <c r="D15" s="18" t="n">
        <v>0.15</v>
      </c>
      <c r="E15" s="18" t="n">
        <v>0.19</v>
      </c>
      <c r="F15" s="18" t="n">
        <v>0.16</v>
      </c>
      <c r="AT15" s="3"/>
      <c r="AU15" s="3"/>
      <c r="AV15" s="3"/>
      <c r="AW15" s="3"/>
      <c r="AZ15" s="18"/>
      <c r="BA15" s="18"/>
      <c r="BB15" s="18"/>
      <c r="BC15" s="18"/>
      <c r="BJ15" s="3"/>
      <c r="BK15" s="3"/>
      <c r="BL15" s="3"/>
      <c r="BM15" s="3"/>
      <c r="BN15" s="3"/>
      <c r="BO15" s="3"/>
    </row>
    <row r="16" customFormat="false" ht="12.8" hidden="false" customHeight="false" outlineLevel="0" collapsed="false">
      <c r="A16" s="46" t="str">
        <f aca="false">_xlfn.CONCAT($A$1, ".CALC.", CALC!A47)</f>
        <v>LSD.RID.0.AL.PTER.CALC.12</v>
      </c>
      <c r="B16" s="18" t="str">
        <f aca="false">CALC!C47</f>
        <v>Warehousing and Storage</v>
      </c>
      <c r="C16" s="18" t="n">
        <v>0.18</v>
      </c>
      <c r="D16" s="18" t="n">
        <v>0.17</v>
      </c>
      <c r="E16" s="18" t="n">
        <v>0.21</v>
      </c>
      <c r="F16" s="18" t="n">
        <v>0.18</v>
      </c>
      <c r="AT16" s="3"/>
      <c r="AU16" s="3"/>
      <c r="AV16" s="3"/>
      <c r="AW16" s="3"/>
      <c r="AZ16" s="18"/>
      <c r="BA16" s="18"/>
      <c r="BB16" s="18"/>
      <c r="BC16" s="18"/>
      <c r="BJ16" s="3"/>
      <c r="BK16" s="3"/>
      <c r="BL16" s="3"/>
      <c r="BM16" s="3"/>
      <c r="BN16" s="3"/>
      <c r="BO16" s="3"/>
    </row>
    <row r="17" customFormat="false" ht="12.8" hidden="false" customHeight="false" outlineLevel="0" collapsed="false">
      <c r="A17" s="46" t="str">
        <f aca="false">_xlfn.CONCAT($A$1, ".CALC.", CALC!A48)</f>
        <v>LSD.RID.0.AL.PTER.CALC.13</v>
      </c>
      <c r="B17" s="18" t="str">
        <f aca="false">CALC!C48</f>
        <v>Information</v>
      </c>
      <c r="C17" s="18" t="n">
        <v>0.17</v>
      </c>
      <c r="D17" s="18" t="n">
        <v>0.15</v>
      </c>
      <c r="E17" s="18" t="n">
        <v>0.21</v>
      </c>
      <c r="F17" s="18" t="n">
        <v>0.17</v>
      </c>
      <c r="AT17" s="3"/>
      <c r="AU17" s="3"/>
      <c r="AV17" s="3"/>
      <c r="AW17" s="3"/>
      <c r="AZ17" s="18"/>
      <c r="BA17" s="18"/>
      <c r="BB17" s="18"/>
      <c r="BC17" s="18"/>
      <c r="BJ17" s="3"/>
      <c r="BK17" s="3"/>
      <c r="BL17" s="3"/>
      <c r="BM17" s="3"/>
      <c r="BN17" s="3"/>
      <c r="BO17" s="3"/>
    </row>
    <row r="18" customFormat="false" ht="12.8" hidden="false" customHeight="false" outlineLevel="0" collapsed="false">
      <c r="A18" s="46" t="str">
        <f aca="false">_xlfn.CONCAT($A$1, ".CALC.", CALC!A49)</f>
        <v>LSD.RID.0.AL.PTER.CALC.14</v>
      </c>
      <c r="B18" s="18" t="str">
        <f aca="false">CALC!C49</f>
        <v>Finance and Insurance</v>
      </c>
      <c r="C18" s="18" t="n">
        <v>0.15</v>
      </c>
      <c r="D18" s="18" t="n">
        <v>0.13</v>
      </c>
      <c r="E18" s="18" t="n">
        <v>0.19</v>
      </c>
      <c r="F18" s="18" t="n">
        <v>0.15</v>
      </c>
      <c r="AT18" s="3"/>
      <c r="AU18" s="3"/>
      <c r="AV18" s="3"/>
      <c r="AW18" s="3"/>
      <c r="AZ18" s="18"/>
      <c r="BA18" s="18"/>
      <c r="BB18" s="18"/>
      <c r="BC18" s="18"/>
      <c r="BJ18" s="3"/>
      <c r="BK18" s="3"/>
      <c r="BL18" s="3"/>
      <c r="BM18" s="3"/>
      <c r="BN18" s="3"/>
      <c r="BO18" s="3"/>
    </row>
    <row r="19" customFormat="false" ht="12.8" hidden="false" customHeight="false" outlineLevel="0" collapsed="false">
      <c r="A19" s="46" t="str">
        <f aca="false">_xlfn.CONCAT($A$1, ".CALC.", CALC!A50)</f>
        <v>LSD.RID.0.AL.PTER.CALC.15</v>
      </c>
      <c r="B19" s="39" t="str">
        <f aca="false">CALC!C50</f>
        <v>Real Estate and Rental and Leasing</v>
      </c>
      <c r="C19" s="18" t="n">
        <v>0.18</v>
      </c>
      <c r="D19" s="18" t="n">
        <v>0.16</v>
      </c>
      <c r="E19" s="18" t="n">
        <v>0.22</v>
      </c>
      <c r="F19" s="18" t="n">
        <v>0.18</v>
      </c>
      <c r="AT19" s="3"/>
      <c r="AU19" s="3"/>
      <c r="AV19" s="3"/>
      <c r="AW19" s="3"/>
      <c r="AZ19" s="18"/>
      <c r="BA19" s="18"/>
      <c r="BB19" s="18"/>
      <c r="BC19" s="18"/>
      <c r="BJ19" s="3"/>
      <c r="BK19" s="3"/>
      <c r="BL19" s="3"/>
      <c r="BM19" s="3"/>
      <c r="BN19" s="3"/>
      <c r="BO19" s="3"/>
    </row>
    <row r="20" customFormat="false" ht="12.8" hidden="false" customHeight="false" outlineLevel="0" collapsed="false">
      <c r="A20" s="46" t="str">
        <f aca="false">_xlfn.CONCAT($A$1, ".CALC.", CALC!A51)</f>
        <v>LSD.RID.0.AL.PTER.CALC.16</v>
      </c>
      <c r="B20" s="39" t="str">
        <f aca="false">CALC!C51</f>
        <v>Professional, Scientific, and Technical Services</v>
      </c>
      <c r="C20" s="18" t="n">
        <v>0.13</v>
      </c>
      <c r="D20" s="18" t="n">
        <v>0.11</v>
      </c>
      <c r="E20" s="18" t="n">
        <v>0.18</v>
      </c>
      <c r="F20" s="18" t="n">
        <v>0.13</v>
      </c>
      <c r="AT20" s="3"/>
      <c r="AU20" s="3"/>
      <c r="AV20" s="3"/>
      <c r="AW20" s="3"/>
      <c r="AZ20" s="18"/>
      <c r="BA20" s="18"/>
      <c r="BB20" s="18"/>
      <c r="BC20" s="18"/>
      <c r="BJ20" s="3"/>
      <c r="BK20" s="3"/>
      <c r="BL20" s="3"/>
      <c r="BM20" s="3"/>
      <c r="BN20" s="3"/>
      <c r="BO20" s="3"/>
    </row>
    <row r="21" customFormat="false" ht="22.8" hidden="false" customHeight="false" outlineLevel="0" collapsed="false">
      <c r="A21" s="46" t="str">
        <f aca="false">_xlfn.CONCAT($A$1, ".CALC.", CALC!A52)</f>
        <v>LSD.RID.0.AL.PTER.CALC.17</v>
      </c>
      <c r="B21" s="39" t="str">
        <f aca="false">CALC!C52</f>
        <v>Administrative and Support and Waste Management and Remediation Services</v>
      </c>
      <c r="C21" s="18" t="n">
        <v>0.24</v>
      </c>
      <c r="D21" s="18" t="n">
        <v>0.22</v>
      </c>
      <c r="E21" s="18" t="n">
        <v>0.28</v>
      </c>
      <c r="F21" s="18" t="n">
        <v>0.24</v>
      </c>
      <c r="AT21" s="3"/>
      <c r="AU21" s="3"/>
      <c r="AV21" s="3"/>
      <c r="AW21" s="3"/>
      <c r="AZ21" s="18"/>
      <c r="BA21" s="18"/>
      <c r="BB21" s="18"/>
      <c r="BC21" s="18"/>
      <c r="BJ21" s="3"/>
      <c r="BK21" s="3"/>
      <c r="BL21" s="3"/>
      <c r="BM21" s="3"/>
      <c r="BN21" s="3"/>
      <c r="BO21" s="3"/>
    </row>
    <row r="22" customFormat="false" ht="12.8" hidden="false" customHeight="false" outlineLevel="0" collapsed="false">
      <c r="A22" s="46" t="str">
        <f aca="false">_xlfn.CONCAT($A$1, ".CALC.", CALC!A53)</f>
        <v>LSD.RID.0.AL.PTER.CALC.18</v>
      </c>
      <c r="B22" s="18" t="str">
        <f aca="false">CALC!C53</f>
        <v>Educational Services</v>
      </c>
      <c r="C22" s="18" t="n">
        <v>0.16</v>
      </c>
      <c r="D22" s="18" t="n">
        <v>0.14</v>
      </c>
      <c r="E22" s="18" t="n">
        <v>0.2</v>
      </c>
      <c r="F22" s="18" t="n">
        <v>0.16</v>
      </c>
      <c r="AT22" s="3"/>
      <c r="AU22" s="3"/>
      <c r="AV22" s="3"/>
      <c r="AW22" s="3"/>
      <c r="AZ22" s="18"/>
      <c r="BA22" s="18"/>
      <c r="BB22" s="18"/>
      <c r="BC22" s="18"/>
      <c r="BJ22" s="3"/>
      <c r="BK22" s="3"/>
      <c r="BL22" s="3"/>
      <c r="BM22" s="3"/>
      <c r="BN22" s="3"/>
      <c r="BO22" s="3"/>
    </row>
    <row r="23" customFormat="false" ht="12.8" hidden="false" customHeight="false" outlineLevel="0" collapsed="false">
      <c r="A23" s="46" t="str">
        <f aca="false">_xlfn.CONCAT($A$1, ".CALC.", CALC!A54)</f>
        <v>LSD.RID.0.AL.PTER.CALC.19</v>
      </c>
      <c r="B23" s="39" t="str">
        <f aca="false">CALC!C54</f>
        <v>Health Care and Social Assistance</v>
      </c>
      <c r="C23" s="18" t="n">
        <v>0.15</v>
      </c>
      <c r="D23" s="18" t="n">
        <v>0.13</v>
      </c>
      <c r="E23" s="18" t="n">
        <v>0.19</v>
      </c>
      <c r="F23" s="18" t="n">
        <v>0.15</v>
      </c>
      <c r="AT23" s="3"/>
      <c r="AU23" s="3"/>
      <c r="AV23" s="3"/>
      <c r="AW23" s="3"/>
      <c r="AZ23" s="18"/>
      <c r="BA23" s="18"/>
      <c r="BB23" s="18"/>
      <c r="BC23" s="18"/>
      <c r="BJ23" s="3"/>
      <c r="BK23" s="3"/>
      <c r="BL23" s="3"/>
      <c r="BM23" s="3"/>
      <c r="BN23" s="3"/>
      <c r="BO23" s="3"/>
    </row>
    <row r="24" customFormat="false" ht="12.8" hidden="false" customHeight="false" outlineLevel="0" collapsed="false">
      <c r="A24" s="46" t="str">
        <f aca="false">_xlfn.CONCAT($A$1, ".CALC.", CALC!A55)</f>
        <v>LSD.RID.0.AL.PTER.CALC.20</v>
      </c>
      <c r="B24" s="39" t="str">
        <f aca="false">CALC!C55</f>
        <v>Arts, Entertainment,and Recreation</v>
      </c>
      <c r="C24" s="18" t="n">
        <v>0.3</v>
      </c>
      <c r="D24" s="18" t="n">
        <v>0.28</v>
      </c>
      <c r="E24" s="18" t="n">
        <v>0.34</v>
      </c>
      <c r="F24" s="18" t="n">
        <v>0.3</v>
      </c>
      <c r="AT24" s="3"/>
      <c r="AU24" s="3"/>
      <c r="AV24" s="3"/>
      <c r="AW24" s="3"/>
      <c r="AZ24" s="18"/>
      <c r="BA24" s="18"/>
      <c r="BB24" s="18"/>
      <c r="BC24" s="18"/>
      <c r="BJ24" s="3"/>
      <c r="BK24" s="3"/>
      <c r="BL24" s="3"/>
      <c r="BM24" s="3"/>
      <c r="BN24" s="3"/>
      <c r="BO24" s="3"/>
    </row>
    <row r="25" customFormat="false" ht="12.8" hidden="false" customHeight="false" outlineLevel="0" collapsed="false">
      <c r="A25" s="46" t="str">
        <f aca="false">_xlfn.CONCAT($A$1, ".CALC.", CALC!A56)</f>
        <v>LSD.RID.0.AL.PTER.CALC.21</v>
      </c>
      <c r="B25" s="39" t="str">
        <f aca="false">CALC!C56</f>
        <v>Accommodation and Food Services</v>
      </c>
      <c r="C25" s="18" t="n">
        <v>0.32</v>
      </c>
      <c r="D25" s="18" t="n">
        <v>0.3</v>
      </c>
      <c r="E25" s="18" t="n">
        <v>0.36</v>
      </c>
      <c r="F25" s="18" t="n">
        <v>0.32</v>
      </c>
      <c r="AT25" s="3"/>
      <c r="AU25" s="3"/>
      <c r="AV25" s="3"/>
      <c r="AW25" s="3"/>
      <c r="AZ25" s="18"/>
      <c r="BA25" s="18"/>
      <c r="BB25" s="18"/>
      <c r="BC25" s="18"/>
      <c r="BJ25" s="3"/>
      <c r="BK25" s="3"/>
      <c r="BL25" s="3"/>
      <c r="BM25" s="3"/>
      <c r="BN25" s="3"/>
      <c r="BO25" s="3"/>
    </row>
    <row r="26" customFormat="false" ht="12.8" hidden="false" customHeight="false" outlineLevel="0" collapsed="false">
      <c r="A26" s="46" t="str">
        <f aca="false">_xlfn.CONCAT($A$1, ".CALC.", CALC!A57)</f>
        <v>LSD.RID.0.AL.PTER.CALC.22</v>
      </c>
      <c r="B26" s="39" t="str">
        <f aca="false">CALC!C57</f>
        <v>Other Services (except Public Administration)</v>
      </c>
      <c r="C26" s="18" t="n">
        <v>0.22</v>
      </c>
      <c r="D26" s="18" t="n">
        <v>0.2</v>
      </c>
      <c r="E26" s="18" t="n">
        <v>0.26</v>
      </c>
      <c r="F26" s="18" t="n">
        <v>0.22</v>
      </c>
      <c r="AT26" s="3"/>
      <c r="AU26" s="3"/>
      <c r="AV26" s="3"/>
      <c r="AW26" s="3"/>
      <c r="AZ26" s="18"/>
      <c r="BA26" s="18"/>
      <c r="BB26" s="18"/>
      <c r="BC26" s="18"/>
      <c r="BJ26" s="3"/>
      <c r="BK26" s="3"/>
      <c r="BL26" s="3"/>
      <c r="BM26" s="3"/>
      <c r="BN26" s="3"/>
      <c r="BO26" s="3"/>
    </row>
    <row r="27" customFormat="false" ht="12.8" hidden="false" customHeight="false" outlineLevel="0" collapsed="false">
      <c r="A27" s="46" t="str">
        <f aca="false">_xlfn.CONCAT($A$1, ".CALC.", CALC!A58)</f>
        <v>LSD.RID.0.AL.PTER.CALC.23</v>
      </c>
      <c r="B27" s="18" t="str">
        <f aca="false">CALC!C58</f>
        <v>Public Administration</v>
      </c>
      <c r="C27" s="18" t="n">
        <v>0.12</v>
      </c>
      <c r="D27" s="18" t="n">
        <v>0.11</v>
      </c>
      <c r="E27" s="18" t="n">
        <v>0.15</v>
      </c>
      <c r="F27" s="18" t="n">
        <v>0.12</v>
      </c>
      <c r="AT27" s="3"/>
      <c r="AU27" s="3"/>
      <c r="AV27" s="3"/>
      <c r="AW27" s="3"/>
      <c r="AZ27" s="18"/>
      <c r="BA27" s="18"/>
      <c r="BB27" s="18"/>
      <c r="BC27" s="18"/>
      <c r="BJ27" s="3"/>
      <c r="BK27" s="3"/>
      <c r="BL27" s="3"/>
      <c r="BM27" s="3"/>
      <c r="BN27" s="3"/>
      <c r="BO27" s="3"/>
    </row>
    <row r="29" customFormat="false" ht="12.8" hidden="false" customHeight="false" outlineLevel="0" collapsed="false">
      <c r="A29" s="46" t="s">
        <v>2792</v>
      </c>
      <c r="B29" s="47" t="s">
        <v>2793</v>
      </c>
      <c r="C29" s="47"/>
    </row>
    <row r="30" customFormat="false" ht="12.8" hidden="false" customHeight="false" outlineLevel="0" collapsed="false">
      <c r="A30" s="14" t="s">
        <v>93</v>
      </c>
      <c r="B30" s="49" t="s">
        <v>1801</v>
      </c>
      <c r="C30" s="49" t="s">
        <v>283</v>
      </c>
      <c r="D30" s="49" t="s">
        <v>2056</v>
      </c>
      <c r="E30" s="49" t="s">
        <v>286</v>
      </c>
      <c r="F30" s="49" t="s">
        <v>287</v>
      </c>
    </row>
    <row r="31" customFormat="false" ht="12.8" hidden="false" customHeight="false" outlineLevel="0" collapsed="false">
      <c r="A31" s="18" t="s">
        <v>2794</v>
      </c>
      <c r="B31" s="18" t="s">
        <v>2795</v>
      </c>
      <c r="C31" s="18" t="s">
        <v>2796</v>
      </c>
      <c r="D31" s="18" t="s">
        <v>2797</v>
      </c>
      <c r="E31" s="18" t="s">
        <v>2798</v>
      </c>
      <c r="F31" s="18" t="s">
        <v>417</v>
      </c>
    </row>
    <row r="32" customFormat="false" ht="12.8" hidden="false" customHeight="false" outlineLevel="0" collapsed="false">
      <c r="A32" s="18" t="s">
        <v>2799</v>
      </c>
      <c r="B32" s="18" t="s">
        <v>2795</v>
      </c>
      <c r="C32" s="18" t="s">
        <v>2063</v>
      </c>
      <c r="D32" s="18" t="s">
        <v>2800</v>
      </c>
      <c r="E32" s="18" t="s">
        <v>2733</v>
      </c>
      <c r="F32" s="18" t="s">
        <v>417</v>
      </c>
    </row>
    <row r="33" customFormat="false" ht="12.8" hidden="false" customHeight="false" outlineLevel="0" collapsed="false">
      <c r="A33" s="18" t="s">
        <v>2801</v>
      </c>
      <c r="B33" s="18" t="s">
        <v>2795</v>
      </c>
      <c r="C33" s="18" t="s">
        <v>2066</v>
      </c>
      <c r="D33" s="18" t="s">
        <v>2802</v>
      </c>
      <c r="E33" s="18" t="s">
        <v>845</v>
      </c>
      <c r="F33" s="18" t="s">
        <v>417</v>
      </c>
    </row>
    <row r="34" customFormat="false" ht="12.8" hidden="false" customHeight="false" outlineLevel="0" collapsed="false">
      <c r="A34" s="17" t="s">
        <v>2803</v>
      </c>
      <c r="B34" s="18" t="s">
        <v>2795</v>
      </c>
      <c r="C34" s="18" t="s">
        <v>2804</v>
      </c>
      <c r="D34" s="18" t="s">
        <v>2805</v>
      </c>
      <c r="E34" s="18" t="s">
        <v>422</v>
      </c>
      <c r="F34" s="18" t="s">
        <v>417</v>
      </c>
    </row>
    <row r="36" customFormat="false" ht="12.8" hidden="false" customHeight="false" outlineLevel="0" collapsed="false">
      <c r="A36" s="46" t="s">
        <v>2806</v>
      </c>
      <c r="B36" s="47" t="s">
        <v>2807</v>
      </c>
      <c r="C36" s="47"/>
    </row>
    <row r="37" customFormat="false" ht="12.8" hidden="false" customHeight="false" outlineLevel="0" collapsed="false">
      <c r="A37" s="49" t="s">
        <v>97</v>
      </c>
      <c r="B37" s="49" t="s">
        <v>283</v>
      </c>
      <c r="C37" s="49" t="s">
        <v>2073</v>
      </c>
      <c r="D37" s="49" t="s">
        <v>286</v>
      </c>
      <c r="E37" s="49" t="s">
        <v>850</v>
      </c>
      <c r="F37" s="49" t="s">
        <v>851</v>
      </c>
      <c r="G37" s="49" t="s">
        <v>852</v>
      </c>
      <c r="H37" s="49" t="s">
        <v>287</v>
      </c>
    </row>
    <row r="38" customFormat="false" ht="12.8" hidden="false" customHeight="false" outlineLevel="0" collapsed="false">
      <c r="A38" s="18" t="s">
        <v>2808</v>
      </c>
      <c r="B38" s="18" t="s">
        <v>2809</v>
      </c>
      <c r="C38" s="18" t="n">
        <v>0.18</v>
      </c>
      <c r="D38" s="18" t="s">
        <v>2810</v>
      </c>
      <c r="E38" s="18" t="s">
        <v>857</v>
      </c>
      <c r="F38" s="18" t="s">
        <v>971</v>
      </c>
      <c r="G38" s="24" t="s">
        <v>859</v>
      </c>
      <c r="H38" s="18" t="s">
        <v>417</v>
      </c>
    </row>
    <row r="39" customFormat="false" ht="12.8" hidden="false" customHeight="false" outlineLevel="0" collapsed="false">
      <c r="A39" s="18" t="s">
        <v>2811</v>
      </c>
      <c r="B39" s="18" t="s">
        <v>2812</v>
      </c>
      <c r="C39" s="18" t="s">
        <v>2813</v>
      </c>
      <c r="D39" s="18" t="s">
        <v>2814</v>
      </c>
      <c r="E39" s="18" t="s">
        <v>857</v>
      </c>
      <c r="F39" s="18" t="s">
        <v>1987</v>
      </c>
      <c r="G39" s="24" t="s">
        <v>859</v>
      </c>
      <c r="H39" s="18" t="s">
        <v>2158</v>
      </c>
    </row>
    <row r="40" customFormat="false" ht="12.8" hidden="false" customHeight="false" outlineLevel="0" collapsed="false">
      <c r="A40" s="18" t="s">
        <v>2815</v>
      </c>
      <c r="B40" s="18" t="s">
        <v>2816</v>
      </c>
      <c r="C40" s="18" t="s">
        <v>2817</v>
      </c>
      <c r="D40" s="18" t="s">
        <v>1527</v>
      </c>
      <c r="E40" s="18" t="s">
        <v>857</v>
      </c>
      <c r="F40" s="18" t="s">
        <v>2752</v>
      </c>
      <c r="G40" s="24" t="s">
        <v>859</v>
      </c>
      <c r="H40" s="18" t="s">
        <v>2753</v>
      </c>
    </row>
    <row r="41" customFormat="false" ht="12.8" hidden="false" customHeight="false" outlineLevel="0" collapsed="false">
      <c r="A41" s="18" t="s">
        <v>2818</v>
      </c>
      <c r="B41" s="18" t="s">
        <v>2819</v>
      </c>
      <c r="C41" s="18" t="s">
        <v>2820</v>
      </c>
      <c r="D41" s="18" t="s">
        <v>2821</v>
      </c>
      <c r="E41" s="18" t="s">
        <v>857</v>
      </c>
      <c r="F41" s="18" t="s">
        <v>2758</v>
      </c>
      <c r="G41" s="24" t="s">
        <v>859</v>
      </c>
      <c r="H41" s="18" t="s">
        <v>2753</v>
      </c>
    </row>
    <row r="42" customFormat="false" ht="12.8" hidden="false" customHeight="false" outlineLevel="0" collapsed="false">
      <c r="A42" s="18" t="s">
        <v>2822</v>
      </c>
      <c r="B42" s="18" t="s">
        <v>2823</v>
      </c>
      <c r="C42" s="18" t="n">
        <v>0.9</v>
      </c>
      <c r="D42" s="18" t="s">
        <v>2824</v>
      </c>
      <c r="E42" s="18" t="s">
        <v>857</v>
      </c>
      <c r="F42" s="18" t="s">
        <v>2825</v>
      </c>
      <c r="G42" s="24" t="s">
        <v>859</v>
      </c>
      <c r="H42" s="18" t="s">
        <v>417</v>
      </c>
    </row>
    <row r="43" customFormat="false" ht="12.8" hidden="false" customHeight="false" outlineLevel="0" collapsed="false">
      <c r="A43" s="18" t="s">
        <v>2826</v>
      </c>
      <c r="B43" s="18" t="s">
        <v>1536</v>
      </c>
      <c r="C43" s="18" t="n">
        <v>4</v>
      </c>
      <c r="D43" s="18" t="s">
        <v>2167</v>
      </c>
      <c r="E43" s="18" t="s">
        <v>857</v>
      </c>
      <c r="F43" s="18" t="s">
        <v>2764</v>
      </c>
      <c r="G43" s="24" t="s">
        <v>859</v>
      </c>
      <c r="H43" s="18" t="s">
        <v>417</v>
      </c>
    </row>
    <row r="44" customFormat="false" ht="12.8" hidden="false" customHeight="false" outlineLevel="0" collapsed="false">
      <c r="A44" s="39"/>
      <c r="B44" s="39"/>
      <c r="C44" s="39"/>
      <c r="D44" s="39"/>
      <c r="E44" s="39"/>
      <c r="F44" s="39"/>
      <c r="G44" s="57"/>
      <c r="H44" s="39"/>
    </row>
    <row r="45" customFormat="false" ht="12.8" hidden="false" customHeight="false" outlineLevel="0" collapsed="false">
      <c r="A45" s="46" t="s">
        <v>2827</v>
      </c>
      <c r="B45" s="47" t="s">
        <v>2828</v>
      </c>
    </row>
    <row r="46" customFormat="false" ht="12.8" hidden="false" customHeight="false" outlineLevel="0" collapsed="false">
      <c r="A46" s="14" t="s">
        <v>101</v>
      </c>
      <c r="B46" s="22" t="s">
        <v>286</v>
      </c>
      <c r="C46" s="22" t="s">
        <v>849</v>
      </c>
      <c r="D46" s="22" t="s">
        <v>2093</v>
      </c>
      <c r="E46" s="22" t="s">
        <v>850</v>
      </c>
      <c r="F46" s="22" t="s">
        <v>2094</v>
      </c>
    </row>
    <row r="47" customFormat="false" ht="12.8" hidden="false" customHeight="false" outlineLevel="0" collapsed="false">
      <c r="A47" s="17" t="s">
        <v>2829</v>
      </c>
      <c r="B47" s="18" t="s">
        <v>1687</v>
      </c>
      <c r="C47" s="18" t="n">
        <v>0.18</v>
      </c>
      <c r="D47" s="18" t="s">
        <v>2830</v>
      </c>
      <c r="E47" s="18" t="s">
        <v>857</v>
      </c>
      <c r="F47" s="18" t="s">
        <v>2097</v>
      </c>
    </row>
    <row r="48" customFormat="false" ht="12.8" hidden="false" customHeight="false" outlineLevel="0" collapsed="false">
      <c r="A48" s="17" t="s">
        <v>2831</v>
      </c>
      <c r="B48" s="18" t="s">
        <v>2099</v>
      </c>
      <c r="C48" s="18" t="s">
        <v>2832</v>
      </c>
      <c r="D48" s="18" t="s">
        <v>857</v>
      </c>
      <c r="E48" s="18" t="s">
        <v>2771</v>
      </c>
    </row>
    <row r="49" customFormat="false" ht="12.8" hidden="false" customHeight="false" outlineLevel="0" collapsed="false">
      <c r="A49" s="17" t="s">
        <v>2833</v>
      </c>
      <c r="B49" s="18" t="s">
        <v>2834</v>
      </c>
      <c r="C49" s="18" t="s">
        <v>2835</v>
      </c>
      <c r="D49" s="18" t="s">
        <v>2836</v>
      </c>
      <c r="E49" s="18" t="s">
        <v>857</v>
      </c>
      <c r="F49" s="18" t="s">
        <v>2837</v>
      </c>
    </row>
    <row r="50" customFormat="false" ht="12.8" hidden="false" customHeight="false" outlineLevel="0" collapsed="false">
      <c r="A50" s="17" t="s">
        <v>2838</v>
      </c>
      <c r="B50" s="18" t="s">
        <v>2109</v>
      </c>
      <c r="C50" s="18" t="s">
        <v>2839</v>
      </c>
      <c r="D50" s="18" t="s">
        <v>2840</v>
      </c>
      <c r="E50" s="18" t="s">
        <v>857</v>
      </c>
      <c r="F50" s="18" t="s">
        <v>2841</v>
      </c>
    </row>
    <row r="51" customFormat="false" ht="12.8" hidden="false" customHeight="false" outlineLevel="0" collapsed="false">
      <c r="A51" s="17" t="s">
        <v>2842</v>
      </c>
      <c r="B51" s="18" t="s">
        <v>2114</v>
      </c>
      <c r="C51" s="18" t="s">
        <v>2186</v>
      </c>
      <c r="D51" s="18" t="s">
        <v>2843</v>
      </c>
      <c r="E51" s="18" t="s">
        <v>857</v>
      </c>
      <c r="F51" s="18" t="s">
        <v>2250</v>
      </c>
    </row>
    <row r="52" customFormat="false" ht="12.8" hidden="false" customHeight="false" outlineLevel="0" collapsed="false">
      <c r="A52" s="17" t="s">
        <v>2844</v>
      </c>
      <c r="B52" s="18" t="s">
        <v>2119</v>
      </c>
      <c r="C52" s="18" t="s">
        <v>2120</v>
      </c>
      <c r="D52" s="18" t="s">
        <v>2845</v>
      </c>
      <c r="E52" s="18" t="s">
        <v>857</v>
      </c>
      <c r="F52" s="18" t="s">
        <v>2785</v>
      </c>
    </row>
    <row r="53" customFormat="false" ht="12.8" hidden="false" customHeight="false" outlineLevel="0" collapsed="false">
      <c r="A53" s="17" t="s">
        <v>2846</v>
      </c>
      <c r="B53" s="18" t="s">
        <v>2847</v>
      </c>
      <c r="C53" s="18" t="s">
        <v>2848</v>
      </c>
      <c r="D53" s="18" t="s">
        <v>2789</v>
      </c>
      <c r="E53" s="18" t="s">
        <v>857</v>
      </c>
      <c r="F53" s="18" t="s">
        <v>2660</v>
      </c>
    </row>
    <row r="55" customFormat="false" ht="12.8" hidden="false" customHeight="false" outlineLevel="0" collapsed="false">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BD55" s="3"/>
      <c r="BE55" s="3"/>
      <c r="BF55" s="3"/>
      <c r="BG55" s="3"/>
      <c r="BH55" s="3"/>
      <c r="BI55" s="3"/>
      <c r="BJ55" s="3"/>
      <c r="BK55" s="3"/>
      <c r="BL55" s="3"/>
      <c r="BM55" s="3"/>
      <c r="BN55" s="3"/>
      <c r="BO55" s="3"/>
    </row>
    <row r="56" customFormat="false" ht="12.8" hidden="false" customHeight="false" outlineLevel="0" collapsed="false">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BD56" s="3"/>
      <c r="BE56" s="3"/>
      <c r="BF56" s="3"/>
      <c r="BG56" s="3"/>
      <c r="BH56" s="3"/>
      <c r="BI56" s="3"/>
      <c r="BJ56" s="3"/>
      <c r="BK56" s="3"/>
      <c r="BL56" s="3"/>
      <c r="BM56" s="3"/>
      <c r="BN56" s="3"/>
      <c r="BO56" s="3"/>
    </row>
    <row r="57" customFormat="false" ht="12.8" hidden="false" customHeight="fals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BD57" s="3"/>
      <c r="BE57" s="3"/>
      <c r="BF57" s="3"/>
      <c r="BG57" s="3"/>
      <c r="BH57" s="3"/>
      <c r="BI57" s="3"/>
      <c r="BJ57" s="3"/>
      <c r="BK57" s="3"/>
      <c r="BL57" s="3"/>
      <c r="BM57" s="3"/>
      <c r="BN57" s="3"/>
      <c r="BO57" s="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38"/>
    <pageSetUpPr fitToPage="false"/>
  </sheetPr>
  <dimension ref="A1:BP5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false" hidden="false" outlineLevel="0" max="1" min="1" style="17" width="11.53"/>
    <col collapsed="false" customWidth="true" hidden="false" outlineLevel="0" max="2" min="2" style="18" width="29.98"/>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2849</v>
      </c>
      <c r="B1" s="50" t="s">
        <v>2850</v>
      </c>
      <c r="C1" s="6" t="s">
        <v>2</v>
      </c>
      <c r="D1" s="48" t="s">
        <v>2851</v>
      </c>
      <c r="AZ1" s="18"/>
      <c r="BP1" s="18"/>
    </row>
    <row r="2" customFormat="false" ht="12.8" hidden="false" customHeight="false" outlineLevel="0" collapsed="false">
      <c r="A2" s="46" t="str">
        <f aca="false">_xlfn.CONCAT($A$1, ".", "CALC")</f>
        <v>LSD.RID.0.AL.WAVG.CALC</v>
      </c>
      <c r="B2" s="47" t="str">
        <f aca="false">_xlfn.CONCAT($B$1, " ", "Calculations")</f>
        <v>Alabama Wage Average (WAVG) Calculations</v>
      </c>
      <c r="C2" s="3"/>
      <c r="D2" s="3"/>
      <c r="E2" s="3"/>
      <c r="F2" s="3"/>
      <c r="AT2" s="3"/>
      <c r="AU2" s="3"/>
      <c r="AV2" s="3"/>
      <c r="AW2" s="3"/>
      <c r="AZ2" s="18"/>
      <c r="BA2" s="18"/>
      <c r="BB2" s="18"/>
      <c r="BC2" s="18"/>
      <c r="BJ2" s="3"/>
      <c r="BK2" s="3"/>
      <c r="BL2" s="3"/>
      <c r="BM2" s="3"/>
      <c r="BN2" s="3"/>
      <c r="BO2" s="3"/>
    </row>
    <row r="3" customFormat="false" ht="23.85" hidden="false" customHeight="false" outlineLevel="0" collapsed="false">
      <c r="A3" s="46" t="str">
        <f aca="false">CALC!A34</f>
        <v>LSID</v>
      </c>
      <c r="B3" s="22" t="str">
        <f aca="false">CALC!C34</f>
        <v>Labor Sector</v>
      </c>
      <c r="C3" s="58" t="str">
        <f aca="false">CALC!D64</f>
        <v>Overall WAVG</v>
      </c>
      <c r="D3" s="58" t="str">
        <f aca="false">CALC!E64</f>
        <v>Authorized WAVG</v>
      </c>
      <c r="E3" s="58" t="str">
        <f aca="false">CALC!F64</f>
        <v>Unauthorized WAVG</v>
      </c>
      <c r="F3" s="58" t="str">
        <f aca="false">CALC!G64</f>
        <v>American WAVG</v>
      </c>
      <c r="AG3" s="3"/>
      <c r="AH3" s="3"/>
      <c r="AI3" s="3"/>
      <c r="AJ3" s="3"/>
      <c r="AW3" s="3"/>
      <c r="AX3" s="3"/>
      <c r="AY3" s="3"/>
      <c r="AZ3" s="3"/>
      <c r="BA3" s="3"/>
      <c r="BB3" s="3"/>
      <c r="BC3" s="3"/>
      <c r="BD3" s="3"/>
      <c r="BE3" s="3"/>
      <c r="BF3" s="3"/>
      <c r="BG3" s="3"/>
      <c r="BH3" s="3"/>
      <c r="BI3" s="3"/>
      <c r="BJ3" s="3"/>
      <c r="BK3" s="3"/>
      <c r="BL3" s="3"/>
      <c r="BM3" s="3"/>
      <c r="BN3" s="3"/>
      <c r="BO3" s="3"/>
    </row>
    <row r="4" customFormat="false" ht="12.8" hidden="false" customHeight="false" outlineLevel="0" collapsed="false">
      <c r="A4" s="46" t="str">
        <f aca="false">_xlfn.CONCAT($A$1, ".CALC.", CALC!A35)</f>
        <v>LSD.RID.0.AL.WAVG.CALC.0</v>
      </c>
      <c r="B4" s="22" t="str">
        <f aca="false">CALC!C35</f>
        <v>All Industries</v>
      </c>
      <c r="C4" s="18" t="n">
        <v>31.96</v>
      </c>
      <c r="D4" s="18" t="n">
        <v>32.68</v>
      </c>
      <c r="E4" s="18" t="n">
        <v>25.57</v>
      </c>
      <c r="F4" s="18" t="n">
        <v>32.12</v>
      </c>
      <c r="AG4" s="3"/>
      <c r="AH4" s="3"/>
      <c r="AI4" s="3"/>
      <c r="AJ4" s="3"/>
      <c r="AW4" s="3"/>
      <c r="AX4" s="3"/>
      <c r="AY4" s="3"/>
      <c r="AZ4" s="3"/>
      <c r="BA4" s="3"/>
      <c r="BB4" s="3"/>
      <c r="BC4" s="3"/>
      <c r="BD4" s="3"/>
      <c r="BE4" s="3"/>
      <c r="BF4" s="3"/>
      <c r="BG4" s="3"/>
      <c r="BH4" s="3"/>
      <c r="BI4" s="3"/>
      <c r="BJ4" s="3"/>
      <c r="BK4" s="3"/>
      <c r="BL4" s="3"/>
      <c r="BM4" s="3"/>
      <c r="BN4" s="3"/>
      <c r="BO4" s="3"/>
    </row>
    <row r="5" customFormat="false" ht="22.8" hidden="false" customHeight="false" outlineLevel="0" collapsed="false">
      <c r="A5" s="46" t="str">
        <f aca="false">_xlfn.CONCAT($A$1, ".CALC.", CALC!A36)</f>
        <v>LSD.RID.0.AL.WAVG.CALC.1</v>
      </c>
      <c r="B5" s="50" t="str">
        <f aca="false">CALC!C36</f>
        <v>Agriculture, Forestry, Fishing and Hunting</v>
      </c>
      <c r="C5" s="18" t="n">
        <v>18.5</v>
      </c>
      <c r="D5" s="18" t="n">
        <v>19.42</v>
      </c>
      <c r="E5" s="18" t="n">
        <v>14.8</v>
      </c>
      <c r="F5" s="18" t="n">
        <v>18.72</v>
      </c>
      <c r="AG5" s="3"/>
      <c r="AH5" s="3"/>
      <c r="AI5" s="3"/>
      <c r="AJ5" s="3"/>
      <c r="AW5" s="3"/>
      <c r="AX5" s="3"/>
      <c r="AY5" s="3"/>
      <c r="AZ5" s="3"/>
      <c r="BA5" s="3"/>
      <c r="BB5" s="3"/>
      <c r="BC5" s="3"/>
      <c r="BD5" s="3"/>
      <c r="BE5" s="3"/>
      <c r="BF5" s="3"/>
      <c r="BG5" s="3"/>
      <c r="BH5" s="3"/>
      <c r="BI5" s="3"/>
      <c r="BJ5" s="3"/>
      <c r="BK5" s="3"/>
      <c r="BL5" s="3"/>
      <c r="BM5" s="3"/>
      <c r="BN5" s="3"/>
      <c r="BO5" s="3"/>
    </row>
    <row r="6" customFormat="false" ht="22.8" hidden="false" customHeight="false" outlineLevel="0" collapsed="false">
      <c r="A6" s="46" t="str">
        <f aca="false">_xlfn.CONCAT($A$1, ".CALC.", CALC!A37)</f>
        <v>LSD.RID.0.AL.WAVG.CALC.2</v>
      </c>
      <c r="B6" s="50" t="str">
        <f aca="false">CALC!C37</f>
        <v>Mining, Quarrying, and Oil and Gas Extraction</v>
      </c>
      <c r="C6" s="18" t="n">
        <v>35.2</v>
      </c>
      <c r="D6" s="18" t="n">
        <v>36.01</v>
      </c>
      <c r="E6" s="18" t="n">
        <v>29.92</v>
      </c>
      <c r="F6" s="18" t="n">
        <v>35.45</v>
      </c>
      <c r="AG6" s="3"/>
      <c r="AH6" s="3"/>
      <c r="AI6" s="3"/>
      <c r="AJ6" s="3"/>
      <c r="AW6" s="3"/>
      <c r="AX6" s="3"/>
      <c r="AY6" s="3"/>
      <c r="AZ6" s="3"/>
      <c r="BA6" s="3"/>
      <c r="BB6" s="3"/>
      <c r="BC6" s="3"/>
      <c r="BD6" s="3"/>
      <c r="BE6" s="3"/>
      <c r="BF6" s="3"/>
      <c r="BG6" s="3"/>
      <c r="BH6" s="3"/>
      <c r="BI6" s="3"/>
      <c r="BJ6" s="3"/>
      <c r="BK6" s="3"/>
      <c r="BL6" s="3"/>
      <c r="BM6" s="3"/>
      <c r="BN6" s="3"/>
      <c r="BO6" s="3"/>
    </row>
    <row r="7" customFormat="false" ht="12.8" hidden="false" customHeight="false" outlineLevel="0" collapsed="false">
      <c r="A7" s="46" t="str">
        <f aca="false">_xlfn.CONCAT($A$1, ".CALC.", CALC!A38)</f>
        <v>LSD.RID.0.AL.WAVG.CALC.3</v>
      </c>
      <c r="B7" s="22" t="str">
        <f aca="false">CALC!C38</f>
        <v>Utilities</v>
      </c>
      <c r="C7" s="18" t="n">
        <v>42.8</v>
      </c>
      <c r="D7" s="18" t="n">
        <v>43.66</v>
      </c>
      <c r="E7" s="18" t="n">
        <v>36.38</v>
      </c>
      <c r="F7" s="18" t="n">
        <v>43.12</v>
      </c>
      <c r="AG7" s="3"/>
      <c r="AH7" s="3"/>
      <c r="AI7" s="3"/>
      <c r="AJ7" s="3"/>
      <c r="AW7" s="3"/>
      <c r="AX7" s="3"/>
      <c r="AY7" s="3"/>
      <c r="AZ7" s="3"/>
      <c r="BA7" s="3"/>
      <c r="BB7" s="3"/>
      <c r="BC7" s="3"/>
      <c r="BD7" s="3"/>
      <c r="BE7" s="3"/>
      <c r="BF7" s="3"/>
      <c r="BG7" s="3"/>
      <c r="BH7" s="3"/>
      <c r="BI7" s="3"/>
      <c r="BJ7" s="3"/>
      <c r="BK7" s="3"/>
      <c r="BL7" s="3"/>
      <c r="BM7" s="3"/>
      <c r="BN7" s="3"/>
      <c r="BO7" s="3"/>
    </row>
    <row r="8" customFormat="false" ht="12.8" hidden="false" customHeight="false" outlineLevel="0" collapsed="false">
      <c r="A8" s="46" t="str">
        <f aca="false">_xlfn.CONCAT($A$1, ".CALC.", CALC!A39)</f>
        <v>LSD.RID.0.AL.WAVG.CALC.4</v>
      </c>
      <c r="B8" s="22" t="str">
        <f aca="false">CALC!C39</f>
        <v>Construction</v>
      </c>
      <c r="C8" s="18" t="n">
        <v>28.4</v>
      </c>
      <c r="D8" s="18" t="n">
        <v>29.79</v>
      </c>
      <c r="E8" s="18" t="n">
        <v>22.72</v>
      </c>
      <c r="F8" s="18" t="n">
        <v>28.65</v>
      </c>
      <c r="AG8" s="3"/>
      <c r="AH8" s="3"/>
      <c r="AI8" s="3"/>
      <c r="AJ8" s="3"/>
      <c r="AW8" s="3"/>
      <c r="AX8" s="3"/>
      <c r="AY8" s="3"/>
      <c r="AZ8" s="3"/>
      <c r="BA8" s="3"/>
      <c r="BB8" s="3"/>
      <c r="BC8" s="3"/>
      <c r="BD8" s="3"/>
      <c r="BE8" s="3"/>
      <c r="BF8" s="3"/>
      <c r="BG8" s="3"/>
      <c r="BH8" s="3"/>
      <c r="BI8" s="3"/>
      <c r="BJ8" s="3"/>
      <c r="BK8" s="3"/>
      <c r="BL8" s="3"/>
      <c r="BM8" s="3"/>
      <c r="BN8" s="3"/>
      <c r="BO8" s="3"/>
    </row>
    <row r="9" customFormat="false" ht="12.8" hidden="false" customHeight="false" outlineLevel="0" collapsed="false">
      <c r="A9" s="46" t="str">
        <f aca="false">_xlfn.CONCAT($A$1, ".CALC.", CALC!A40)</f>
        <v>LSD.RID.0.AL.WAVG.CALC.5</v>
      </c>
      <c r="B9" s="50" t="str">
        <f aca="false">CALC!C40</f>
        <v>Manufacturing (Food,Textile, etc.)</v>
      </c>
      <c r="C9" s="18" t="n">
        <v>24.1</v>
      </c>
      <c r="D9" s="18" t="n">
        <v>25.3</v>
      </c>
      <c r="E9" s="18" t="n">
        <v>19.28</v>
      </c>
      <c r="F9" s="18" t="n">
        <v>24.35</v>
      </c>
      <c r="AG9" s="3"/>
      <c r="AH9" s="3"/>
      <c r="AI9" s="3"/>
      <c r="AJ9" s="3"/>
      <c r="AW9" s="3"/>
      <c r="AX9" s="3"/>
      <c r="AY9" s="3"/>
      <c r="AZ9" s="3"/>
      <c r="BA9" s="3"/>
      <c r="BB9" s="3"/>
      <c r="BC9" s="3"/>
      <c r="BD9" s="3"/>
      <c r="BE9" s="3"/>
      <c r="BF9" s="3"/>
      <c r="BG9" s="3"/>
      <c r="BH9" s="3"/>
      <c r="BI9" s="3"/>
      <c r="BJ9" s="3"/>
      <c r="BK9" s="3"/>
      <c r="BL9" s="3"/>
      <c r="BM9" s="3"/>
      <c r="BN9" s="3"/>
      <c r="BO9" s="3"/>
    </row>
    <row r="10" customFormat="false" ht="22.8" hidden="false" customHeight="false" outlineLevel="0" collapsed="false">
      <c r="A10" s="46" t="str">
        <f aca="false">_xlfn.CONCAT($A$1, ".CALC.", CALC!A41)</f>
        <v>LSD.RID.0.AL.WAVG.CALC.6</v>
      </c>
      <c r="B10" s="50" t="str">
        <f aca="false">CALC!C41</f>
        <v>Manufacturing (Wood, Paper, Printing, etc.)</v>
      </c>
      <c r="C10" s="18" t="n">
        <v>26.5</v>
      </c>
      <c r="D10" s="18" t="n">
        <v>27.83</v>
      </c>
      <c r="E10" s="18" t="n">
        <v>21.2</v>
      </c>
      <c r="F10" s="18" t="n">
        <v>26.78</v>
      </c>
      <c r="AG10" s="3"/>
      <c r="AH10" s="3"/>
      <c r="AI10" s="3"/>
      <c r="AJ10" s="3"/>
      <c r="AW10" s="3"/>
      <c r="AX10" s="3"/>
      <c r="AY10" s="3"/>
      <c r="AZ10" s="3"/>
      <c r="BA10" s="3"/>
      <c r="BB10" s="3"/>
      <c r="BC10" s="3"/>
      <c r="BD10" s="3"/>
      <c r="BE10" s="3"/>
      <c r="BF10" s="3"/>
      <c r="BG10" s="3"/>
      <c r="BH10" s="3"/>
      <c r="BI10" s="3"/>
      <c r="BJ10" s="3"/>
      <c r="BK10" s="3"/>
      <c r="BL10" s="3"/>
      <c r="BM10" s="3"/>
      <c r="BN10" s="3"/>
      <c r="BO10" s="3"/>
    </row>
    <row r="11" customFormat="false" ht="22.8" hidden="false" customHeight="false" outlineLevel="0" collapsed="false">
      <c r="A11" s="46" t="str">
        <f aca="false">_xlfn.CONCAT($A$1, ".CALC.", CALC!A42)</f>
        <v>LSD.RID.0.AL.WAVG.CALC.7</v>
      </c>
      <c r="B11" s="50" t="str">
        <f aca="false">CALC!C42</f>
        <v>Manufacturing (Machinery, Transport)</v>
      </c>
      <c r="C11" s="18" t="n">
        <v>32.9</v>
      </c>
      <c r="D11" s="18" t="n">
        <v>34.55</v>
      </c>
      <c r="E11" s="18" t="n">
        <v>26.32</v>
      </c>
      <c r="F11" s="18" t="n">
        <v>33.23</v>
      </c>
      <c r="AG11" s="3"/>
      <c r="AH11" s="3"/>
      <c r="AI11" s="3"/>
      <c r="AJ11" s="3"/>
      <c r="AW11" s="3"/>
      <c r="AX11" s="3"/>
      <c r="AY11" s="3"/>
      <c r="AZ11" s="3"/>
      <c r="BA11" s="3"/>
      <c r="BB11" s="3"/>
      <c r="BC11" s="3"/>
      <c r="BD11" s="3"/>
      <c r="BE11" s="3"/>
      <c r="BF11" s="3"/>
      <c r="BG11" s="3"/>
      <c r="BH11" s="3"/>
      <c r="BI11" s="3"/>
      <c r="BJ11" s="3"/>
      <c r="BK11" s="3"/>
      <c r="BL11" s="3"/>
      <c r="BM11" s="3"/>
      <c r="BN11" s="3"/>
      <c r="BO11" s="3"/>
    </row>
    <row r="12" customFormat="false" ht="12.9" hidden="false" customHeight="false" outlineLevel="0" collapsed="false">
      <c r="A12" s="46" t="str">
        <f aca="false">_xlfn.CONCAT($A$1, ".CALC.", CALC!A43)</f>
        <v>LSD.RID.0.AL.WAVG.CALC.8</v>
      </c>
      <c r="B12" s="22" t="str">
        <f aca="false">CALC!C43</f>
        <v>Wholesale Trade</v>
      </c>
      <c r="C12" s="18" t="n">
        <v>30.2</v>
      </c>
      <c r="D12" s="18" t="n">
        <v>31.71</v>
      </c>
      <c r="E12" s="18" t="n">
        <v>24.16</v>
      </c>
      <c r="F12" s="18" t="n">
        <v>30.5</v>
      </c>
      <c r="AG12" s="3"/>
      <c r="AH12" s="3"/>
      <c r="AI12" s="3"/>
      <c r="AJ12" s="3"/>
      <c r="AW12" s="3"/>
      <c r="AX12" s="3"/>
      <c r="AY12" s="3"/>
      <c r="AZ12" s="3"/>
      <c r="BA12" s="3"/>
      <c r="BB12" s="3"/>
      <c r="BC12" s="3"/>
      <c r="BD12" s="3"/>
      <c r="BE12" s="3"/>
      <c r="BF12" s="3"/>
      <c r="BG12" s="3"/>
      <c r="BH12" s="3"/>
      <c r="BI12" s="3"/>
      <c r="BJ12" s="3"/>
      <c r="BK12" s="3"/>
      <c r="BL12" s="3"/>
      <c r="BM12" s="3"/>
      <c r="BN12" s="3"/>
      <c r="BO12" s="3"/>
    </row>
    <row r="13" customFormat="false" ht="22.8" hidden="false" customHeight="false" outlineLevel="0" collapsed="false">
      <c r="A13" s="46" t="str">
        <f aca="false">_xlfn.CONCAT($A$1, ".CALC.", CALC!A44)</f>
        <v>LSD.RID.0.AL.WAVG.CALC.9</v>
      </c>
      <c r="B13" s="50" t="str">
        <f aca="false">CALC!C44</f>
        <v>Retail Trade (Motor Vehicle, Electronics)</v>
      </c>
      <c r="C13" s="18" t="n">
        <v>28.1</v>
      </c>
      <c r="D13" s="18" t="n">
        <v>29.51</v>
      </c>
      <c r="E13" s="18" t="n">
        <v>22.48</v>
      </c>
      <c r="F13" s="18" t="n">
        <v>28.35</v>
      </c>
      <c r="AG13" s="3"/>
      <c r="AH13" s="3"/>
      <c r="AI13" s="3"/>
      <c r="AJ13" s="3"/>
      <c r="AW13" s="3"/>
      <c r="AX13" s="3"/>
      <c r="AY13" s="3"/>
      <c r="AZ13" s="3"/>
      <c r="BA13" s="3"/>
      <c r="BB13" s="3"/>
      <c r="BC13" s="3"/>
      <c r="BD13" s="3"/>
      <c r="BE13" s="3"/>
      <c r="BF13" s="3"/>
      <c r="BG13" s="3"/>
      <c r="BH13" s="3"/>
      <c r="BI13" s="3"/>
      <c r="BJ13" s="3"/>
      <c r="BK13" s="3"/>
      <c r="BL13" s="3"/>
      <c r="BM13" s="3"/>
      <c r="BN13" s="3"/>
      <c r="BO13" s="3"/>
    </row>
    <row r="14" customFormat="false" ht="22.8" hidden="false" customHeight="false" outlineLevel="0" collapsed="false">
      <c r="A14" s="46" t="str">
        <f aca="false">_xlfn.CONCAT($A$1, ".CALC.", CALC!A45)</f>
        <v>LSD.RID.0.AL.WAVG.CALC.10</v>
      </c>
      <c r="B14" s="50" t="str">
        <f aca="false">CALC!C45</f>
        <v>Retail Trade (Food, Clothing, General Merchandise, etc.)</v>
      </c>
      <c r="C14" s="18" t="n">
        <v>20.8</v>
      </c>
      <c r="D14" s="18" t="n">
        <v>21.84</v>
      </c>
      <c r="E14" s="18" t="n">
        <v>16.64</v>
      </c>
      <c r="F14" s="18" t="n">
        <v>21</v>
      </c>
      <c r="AG14" s="3"/>
      <c r="AH14" s="3"/>
      <c r="AI14" s="3"/>
      <c r="AJ14" s="3"/>
      <c r="AW14" s="3"/>
      <c r="AX14" s="3"/>
      <c r="AY14" s="3"/>
      <c r="AZ14" s="3"/>
      <c r="BA14" s="3"/>
      <c r="BB14" s="3"/>
      <c r="BC14" s="3"/>
      <c r="BD14" s="3"/>
      <c r="BE14" s="3"/>
      <c r="BF14" s="3"/>
      <c r="BG14" s="3"/>
      <c r="BH14" s="3"/>
      <c r="BI14" s="3"/>
      <c r="BJ14" s="3"/>
      <c r="BK14" s="3"/>
      <c r="BL14" s="3"/>
      <c r="BM14" s="3"/>
      <c r="BN14" s="3"/>
      <c r="BO14" s="3"/>
    </row>
    <row r="15" customFormat="false" ht="12.8" hidden="false" customHeight="false" outlineLevel="0" collapsed="false">
      <c r="A15" s="46" t="str">
        <f aca="false">_xlfn.CONCAT($A$1, ".CALC.", CALC!A46)</f>
        <v>LSD.RID.0.AL.WAVG.CALC.11</v>
      </c>
      <c r="B15" s="22" t="str">
        <f aca="false">CALC!C46</f>
        <v>Transportation</v>
      </c>
      <c r="C15" s="18" t="n">
        <v>31.7</v>
      </c>
      <c r="D15" s="18" t="n">
        <v>33.29</v>
      </c>
      <c r="E15" s="18" t="n">
        <v>25.36</v>
      </c>
      <c r="F15" s="18" t="n">
        <v>32.02</v>
      </c>
      <c r="AG15" s="3"/>
      <c r="AH15" s="3"/>
      <c r="AI15" s="3"/>
      <c r="AJ15" s="3"/>
      <c r="AW15" s="3"/>
      <c r="AX15" s="3"/>
      <c r="AY15" s="3"/>
      <c r="AZ15" s="3"/>
      <c r="BA15" s="3"/>
      <c r="BB15" s="3"/>
      <c r="BC15" s="3"/>
      <c r="BD15" s="3"/>
      <c r="BE15" s="3"/>
      <c r="BF15" s="3"/>
      <c r="BG15" s="3"/>
      <c r="BH15" s="3"/>
      <c r="BI15" s="3"/>
      <c r="BJ15" s="3"/>
      <c r="BK15" s="3"/>
      <c r="BL15" s="3"/>
      <c r="BM15" s="3"/>
      <c r="BN15" s="3"/>
      <c r="BO15" s="3"/>
    </row>
    <row r="16" customFormat="false" ht="12.8" hidden="false" customHeight="false" outlineLevel="0" collapsed="false">
      <c r="A16" s="46" t="str">
        <f aca="false">_xlfn.CONCAT($A$1, ".CALC.", CALC!A47)</f>
        <v>LSD.RID.0.AL.WAVG.CALC.12</v>
      </c>
      <c r="B16" s="22" t="str">
        <f aca="false">CALC!C47</f>
        <v>Warehousing and Storage</v>
      </c>
      <c r="C16" s="18" t="n">
        <v>25.9</v>
      </c>
      <c r="D16" s="18" t="n">
        <v>27.2</v>
      </c>
      <c r="E16" s="18" t="n">
        <v>20.72</v>
      </c>
      <c r="F16" s="18" t="n">
        <v>26.15</v>
      </c>
      <c r="AG16" s="3"/>
      <c r="AH16" s="3"/>
      <c r="AI16" s="3"/>
      <c r="AJ16" s="3"/>
      <c r="AW16" s="3"/>
      <c r="AX16" s="3"/>
      <c r="AY16" s="3"/>
      <c r="AZ16" s="3"/>
      <c r="BA16" s="3"/>
      <c r="BB16" s="3"/>
      <c r="BC16" s="3"/>
      <c r="BD16" s="3"/>
      <c r="BE16" s="3"/>
      <c r="BF16" s="3"/>
      <c r="BG16" s="3"/>
      <c r="BH16" s="3"/>
      <c r="BI16" s="3"/>
      <c r="BJ16" s="3"/>
      <c r="BK16" s="3"/>
      <c r="BL16" s="3"/>
      <c r="BM16" s="3"/>
      <c r="BN16" s="3"/>
      <c r="BO16" s="3"/>
    </row>
    <row r="17" customFormat="false" ht="12.8" hidden="false" customHeight="false" outlineLevel="0" collapsed="false">
      <c r="A17" s="46" t="str">
        <f aca="false">_xlfn.CONCAT($A$1, ".CALC.", CALC!A48)</f>
        <v>LSD.RID.0.AL.WAVG.CALC.13</v>
      </c>
      <c r="B17" s="22" t="str">
        <f aca="false">CALC!C48</f>
        <v>Information</v>
      </c>
      <c r="C17" s="18" t="n">
        <v>38.5</v>
      </c>
      <c r="D17" s="18" t="n">
        <v>40.43</v>
      </c>
      <c r="E17" s="18" t="n">
        <v>32.73</v>
      </c>
      <c r="F17" s="18" t="n">
        <v>38.88</v>
      </c>
      <c r="AG17" s="3"/>
      <c r="AH17" s="3"/>
      <c r="AI17" s="3"/>
      <c r="AJ17" s="3"/>
      <c r="AW17" s="3"/>
      <c r="AX17" s="3"/>
      <c r="AY17" s="3"/>
      <c r="AZ17" s="3"/>
      <c r="BA17" s="3"/>
      <c r="BB17" s="3"/>
      <c r="BC17" s="3"/>
      <c r="BD17" s="3"/>
      <c r="BE17" s="3"/>
      <c r="BF17" s="3"/>
      <c r="BG17" s="3"/>
      <c r="BH17" s="3"/>
      <c r="BI17" s="3"/>
      <c r="BJ17" s="3"/>
      <c r="BK17" s="3"/>
      <c r="BL17" s="3"/>
      <c r="BM17" s="3"/>
      <c r="BN17" s="3"/>
      <c r="BO17" s="3"/>
    </row>
    <row r="18" customFormat="false" ht="12.8" hidden="false" customHeight="false" outlineLevel="0" collapsed="false">
      <c r="A18" s="46" t="str">
        <f aca="false">_xlfn.CONCAT($A$1, ".CALC.", CALC!A49)</f>
        <v>LSD.RID.0.AL.WAVG.CALC.14</v>
      </c>
      <c r="B18" s="22" t="str">
        <f aca="false">CALC!C49</f>
        <v>Finance and Insurance</v>
      </c>
      <c r="C18" s="18" t="n">
        <v>40.1</v>
      </c>
      <c r="D18" s="18" t="n">
        <v>42.11</v>
      </c>
      <c r="E18" s="18" t="n">
        <v>34.09</v>
      </c>
      <c r="F18" s="18" t="n">
        <v>40.5</v>
      </c>
      <c r="AG18" s="3"/>
      <c r="AH18" s="3"/>
      <c r="AI18" s="3"/>
      <c r="AJ18" s="3"/>
      <c r="AW18" s="3"/>
      <c r="AX18" s="3"/>
      <c r="AY18" s="3"/>
      <c r="AZ18" s="3"/>
      <c r="BA18" s="3"/>
      <c r="BB18" s="3"/>
      <c r="BC18" s="3"/>
      <c r="BD18" s="3"/>
      <c r="BE18" s="3"/>
      <c r="BF18" s="3"/>
      <c r="BG18" s="3"/>
      <c r="BH18" s="3"/>
      <c r="BI18" s="3"/>
      <c r="BJ18" s="3"/>
      <c r="BK18" s="3"/>
      <c r="BL18" s="3"/>
      <c r="BM18" s="3"/>
      <c r="BN18" s="3"/>
      <c r="BO18" s="3"/>
    </row>
    <row r="19" customFormat="false" ht="22.8" hidden="false" customHeight="false" outlineLevel="0" collapsed="false">
      <c r="A19" s="46" t="str">
        <f aca="false">_xlfn.CONCAT($A$1, ".CALC.", CALC!A50)</f>
        <v>LSD.RID.0.AL.WAVG.CALC.15</v>
      </c>
      <c r="B19" s="50" t="str">
        <f aca="false">CALC!C50</f>
        <v>Real Estate and Rental and Leasing</v>
      </c>
      <c r="C19" s="18" t="n">
        <v>32.4</v>
      </c>
      <c r="D19" s="18" t="n">
        <v>34.02</v>
      </c>
      <c r="E19" s="18" t="n">
        <v>27.54</v>
      </c>
      <c r="F19" s="18" t="n">
        <v>32.73</v>
      </c>
      <c r="AG19" s="3"/>
      <c r="AH19" s="3"/>
      <c r="AI19" s="3"/>
      <c r="AJ19" s="3"/>
      <c r="AW19" s="3"/>
      <c r="AX19" s="3"/>
      <c r="AY19" s="3"/>
      <c r="AZ19" s="3"/>
      <c r="BA19" s="3"/>
      <c r="BB19" s="3"/>
      <c r="BC19" s="3"/>
      <c r="BD19" s="3"/>
      <c r="BE19" s="3"/>
      <c r="BF19" s="3"/>
      <c r="BG19" s="3"/>
      <c r="BH19" s="3"/>
      <c r="BI19" s="3"/>
      <c r="BJ19" s="3"/>
      <c r="BK19" s="3"/>
      <c r="BL19" s="3"/>
      <c r="BM19" s="3"/>
      <c r="BN19" s="3"/>
      <c r="BO19" s="3"/>
    </row>
    <row r="20" customFormat="false" ht="22.8" hidden="false" customHeight="false" outlineLevel="0" collapsed="false">
      <c r="A20" s="46" t="str">
        <f aca="false">_xlfn.CONCAT($A$1, ".CALC.", CALC!A51)</f>
        <v>LSD.RID.0.AL.WAVG.CALC.16</v>
      </c>
      <c r="B20" s="50" t="str">
        <f aca="false">CALC!C51</f>
        <v>Professional, Scientific, and Technical Services</v>
      </c>
      <c r="C20" s="18" t="n">
        <v>45.8</v>
      </c>
      <c r="D20" s="18" t="n">
        <v>48.09</v>
      </c>
      <c r="E20" s="18" t="n">
        <v>38.93</v>
      </c>
      <c r="F20" s="18" t="n">
        <v>46.26</v>
      </c>
      <c r="AG20" s="3"/>
      <c r="AH20" s="3"/>
      <c r="AI20" s="3"/>
      <c r="AJ20" s="3"/>
      <c r="AW20" s="3"/>
      <c r="AX20" s="3"/>
      <c r="AY20" s="3"/>
      <c r="AZ20" s="3"/>
      <c r="BA20" s="3"/>
      <c r="BB20" s="3"/>
      <c r="BC20" s="3"/>
      <c r="BD20" s="3"/>
      <c r="BE20" s="3"/>
      <c r="BF20" s="3"/>
      <c r="BG20" s="3"/>
      <c r="BH20" s="3"/>
      <c r="BI20" s="3"/>
      <c r="BJ20" s="3"/>
      <c r="BK20" s="3"/>
      <c r="BL20" s="3"/>
      <c r="BM20" s="3"/>
      <c r="BN20" s="3"/>
      <c r="BO20" s="3"/>
    </row>
    <row r="21" customFormat="false" ht="33.35" hidden="false" customHeight="false" outlineLevel="0" collapsed="false">
      <c r="A21" s="46" t="str">
        <f aca="false">_xlfn.CONCAT($A$1, ".CALC.", CALC!A52)</f>
        <v>LSD.RID.0.AL.WAVG.CALC.17</v>
      </c>
      <c r="B21" s="50" t="str">
        <f aca="false">CALC!C52</f>
        <v>Administrative and Support and Waste Management and Remediation Services</v>
      </c>
      <c r="C21" s="18" t="n">
        <v>22.3</v>
      </c>
      <c r="D21" s="18" t="n">
        <v>23.42</v>
      </c>
      <c r="E21" s="18" t="n">
        <v>17.84</v>
      </c>
      <c r="F21" s="18" t="n">
        <v>22.55</v>
      </c>
      <c r="AG21" s="3"/>
      <c r="AH21" s="3"/>
      <c r="AI21" s="3"/>
      <c r="AJ21" s="3"/>
      <c r="AW21" s="3"/>
      <c r="AX21" s="3"/>
      <c r="AY21" s="3"/>
      <c r="AZ21" s="3"/>
      <c r="BA21" s="3"/>
      <c r="BB21" s="3"/>
      <c r="BC21" s="3"/>
      <c r="BD21" s="3"/>
      <c r="BE21" s="3"/>
      <c r="BF21" s="3"/>
      <c r="BG21" s="3"/>
      <c r="BH21" s="3"/>
      <c r="BI21" s="3"/>
      <c r="BJ21" s="3"/>
      <c r="BK21" s="3"/>
      <c r="BL21" s="3"/>
      <c r="BM21" s="3"/>
      <c r="BN21" s="3"/>
      <c r="BO21" s="3"/>
    </row>
    <row r="22" customFormat="false" ht="12.8" hidden="false" customHeight="false" outlineLevel="0" collapsed="false">
      <c r="A22" s="46" t="str">
        <f aca="false">_xlfn.CONCAT($A$1, ".CALC.", CALC!A53)</f>
        <v>LSD.RID.0.AL.WAVG.CALC.18</v>
      </c>
      <c r="B22" s="22" t="str">
        <f aca="false">CALC!C53</f>
        <v>Educational Services</v>
      </c>
      <c r="C22" s="18" t="n">
        <v>34.2</v>
      </c>
      <c r="D22" s="18" t="n">
        <v>35.91</v>
      </c>
      <c r="E22" s="18" t="n">
        <v>29.07</v>
      </c>
      <c r="F22" s="18" t="n">
        <v>34.55</v>
      </c>
      <c r="AG22" s="3"/>
      <c r="AH22" s="3"/>
      <c r="AI22" s="3"/>
      <c r="AJ22" s="3"/>
      <c r="AW22" s="3"/>
      <c r="AX22" s="3"/>
      <c r="AY22" s="3"/>
      <c r="AZ22" s="3"/>
      <c r="BA22" s="3"/>
      <c r="BB22" s="3"/>
      <c r="BC22" s="3"/>
      <c r="BD22" s="3"/>
      <c r="BE22" s="3"/>
      <c r="BF22" s="3"/>
      <c r="BG22" s="3"/>
      <c r="BH22" s="3"/>
      <c r="BI22" s="3"/>
      <c r="BJ22" s="3"/>
      <c r="BK22" s="3"/>
      <c r="BL22" s="3"/>
      <c r="BM22" s="3"/>
      <c r="BN22" s="3"/>
      <c r="BO22" s="3"/>
    </row>
    <row r="23" customFormat="false" ht="22.8" hidden="false" customHeight="false" outlineLevel="0" collapsed="false">
      <c r="A23" s="46" t="str">
        <f aca="false">_xlfn.CONCAT($A$1, ".CALC.", CALC!A54)</f>
        <v>LSD.RID.0.AL.WAVG.CALC.19</v>
      </c>
      <c r="B23" s="50" t="str">
        <f aca="false">CALC!C54</f>
        <v>Health Care and Social Assistance</v>
      </c>
      <c r="C23" s="18" t="n">
        <v>36.7</v>
      </c>
      <c r="D23" s="18" t="n">
        <v>38.54</v>
      </c>
      <c r="E23" s="18" t="n">
        <v>31.2</v>
      </c>
      <c r="F23" s="18" t="n">
        <v>37.07</v>
      </c>
      <c r="AG23" s="3"/>
      <c r="AH23" s="3"/>
      <c r="AI23" s="3"/>
      <c r="AJ23" s="3"/>
      <c r="AW23" s="3"/>
      <c r="AX23" s="3"/>
      <c r="AY23" s="3"/>
      <c r="AZ23" s="3"/>
      <c r="BA23" s="3"/>
      <c r="BB23" s="3"/>
      <c r="BC23" s="3"/>
      <c r="BD23" s="3"/>
      <c r="BE23" s="3"/>
      <c r="BF23" s="3"/>
      <c r="BG23" s="3"/>
      <c r="BH23" s="3"/>
      <c r="BI23" s="3"/>
      <c r="BJ23" s="3"/>
      <c r="BK23" s="3"/>
      <c r="BL23" s="3"/>
      <c r="BM23" s="3"/>
      <c r="BN23" s="3"/>
      <c r="BO23" s="3"/>
    </row>
    <row r="24" customFormat="false" ht="22.8" hidden="false" customHeight="false" outlineLevel="0" collapsed="false">
      <c r="A24" s="46" t="str">
        <f aca="false">_xlfn.CONCAT($A$1, ".CALC.", CALC!A55)</f>
        <v>LSD.RID.0.AL.WAVG.CALC.20</v>
      </c>
      <c r="B24" s="50" t="str">
        <f aca="false">CALC!C55</f>
        <v>Arts, Entertainment,and Recreation</v>
      </c>
      <c r="C24" s="18" t="n">
        <v>24.5</v>
      </c>
      <c r="D24" s="18" t="n">
        <v>25.73</v>
      </c>
      <c r="E24" s="18" t="n">
        <v>19.6</v>
      </c>
      <c r="F24" s="18" t="n">
        <v>24.75</v>
      </c>
      <c r="AG24" s="3"/>
      <c r="AH24" s="3"/>
      <c r="AI24" s="3"/>
      <c r="AJ24" s="3"/>
      <c r="AW24" s="3"/>
      <c r="AX24" s="3"/>
      <c r="AY24" s="3"/>
      <c r="AZ24" s="3"/>
      <c r="BA24" s="3"/>
      <c r="BB24" s="3"/>
      <c r="BC24" s="3"/>
      <c r="BD24" s="3"/>
      <c r="BE24" s="3"/>
      <c r="BF24" s="3"/>
      <c r="BG24" s="3"/>
      <c r="BH24" s="3"/>
      <c r="BI24" s="3"/>
      <c r="BJ24" s="3"/>
      <c r="BK24" s="3"/>
      <c r="BL24" s="3"/>
      <c r="BM24" s="3"/>
      <c r="BN24" s="3"/>
      <c r="BO24" s="3"/>
    </row>
    <row r="25" customFormat="false" ht="22.8" hidden="false" customHeight="false" outlineLevel="0" collapsed="false">
      <c r="A25" s="46" t="str">
        <f aca="false">_xlfn.CONCAT($A$1, ".CALC.", CALC!A56)</f>
        <v>LSD.RID.0.AL.WAVG.CALC.21</v>
      </c>
      <c r="B25" s="50" t="str">
        <f aca="false">CALC!C56</f>
        <v>Accommodation and Food Services</v>
      </c>
      <c r="C25" s="18" t="n">
        <v>16.8</v>
      </c>
      <c r="D25" s="18" t="n">
        <v>17.64</v>
      </c>
      <c r="E25" s="18" t="n">
        <v>13.44</v>
      </c>
      <c r="F25" s="18" t="n">
        <v>17</v>
      </c>
      <c r="AG25" s="3"/>
      <c r="AH25" s="3"/>
      <c r="AI25" s="3"/>
      <c r="AJ25" s="3"/>
      <c r="AW25" s="3"/>
      <c r="AX25" s="3"/>
      <c r="AY25" s="3"/>
      <c r="AZ25" s="3"/>
      <c r="BA25" s="3"/>
      <c r="BB25" s="3"/>
      <c r="BC25" s="3"/>
      <c r="BD25" s="3"/>
      <c r="BE25" s="3"/>
      <c r="BF25" s="3"/>
      <c r="BG25" s="3"/>
      <c r="BH25" s="3"/>
      <c r="BI25" s="3"/>
      <c r="BJ25" s="3"/>
      <c r="BK25" s="3"/>
      <c r="BL25" s="3"/>
      <c r="BM25" s="3"/>
      <c r="BN25" s="3"/>
      <c r="BO25" s="3"/>
    </row>
    <row r="26" customFormat="false" ht="22.8" hidden="false" customHeight="false" outlineLevel="0" collapsed="false">
      <c r="A26" s="46" t="str">
        <f aca="false">_xlfn.CONCAT($A$1, ".CALC.", CALC!A57)</f>
        <v>LSD.RID.0.AL.WAVG.CALC.22</v>
      </c>
      <c r="B26" s="50" t="str">
        <f aca="false">CALC!C57</f>
        <v>Other Services (except Public Administration)</v>
      </c>
      <c r="C26" s="18" t="n">
        <v>26.1</v>
      </c>
      <c r="D26" s="18" t="n">
        <v>27.41</v>
      </c>
      <c r="E26" s="18" t="n">
        <v>20.88</v>
      </c>
      <c r="F26" s="18" t="n">
        <v>26.35</v>
      </c>
      <c r="AG26" s="3"/>
      <c r="AH26" s="3"/>
      <c r="AI26" s="3"/>
      <c r="AJ26" s="3"/>
      <c r="AW26" s="3"/>
      <c r="AX26" s="3"/>
      <c r="AY26" s="3"/>
      <c r="AZ26" s="3"/>
      <c r="BA26" s="3"/>
      <c r="BB26" s="3"/>
      <c r="BC26" s="3"/>
      <c r="BD26" s="3"/>
      <c r="BE26" s="3"/>
      <c r="BF26" s="3"/>
      <c r="BG26" s="3"/>
      <c r="BH26" s="3"/>
      <c r="BI26" s="3"/>
      <c r="BJ26" s="3"/>
      <c r="BK26" s="3"/>
      <c r="BL26" s="3"/>
      <c r="BM26" s="3"/>
      <c r="BN26" s="3"/>
      <c r="BO26" s="3"/>
    </row>
    <row r="27" customFormat="false" ht="12.8" hidden="false" customHeight="false" outlineLevel="0" collapsed="false">
      <c r="A27" s="46" t="str">
        <f aca="false">_xlfn.CONCAT($A$1, ".CALC.", CALC!A58)</f>
        <v>LSD.RID.0.AL.WAVG.CALC.23</v>
      </c>
      <c r="B27" s="22" t="str">
        <f aca="false">CALC!C58</f>
        <v>Public Administration</v>
      </c>
      <c r="C27" s="18" t="n">
        <v>38.9</v>
      </c>
      <c r="D27" s="18" t="n">
        <v>40.85</v>
      </c>
      <c r="E27" s="18" t="n">
        <v>33.07</v>
      </c>
      <c r="F27" s="18" t="n">
        <v>39.29</v>
      </c>
      <c r="AG27" s="3"/>
      <c r="AH27" s="3"/>
      <c r="AI27" s="3"/>
      <c r="AJ27" s="3"/>
      <c r="AW27" s="3"/>
      <c r="AX27" s="3"/>
      <c r="AY27" s="3"/>
      <c r="AZ27" s="3"/>
      <c r="BA27" s="3"/>
      <c r="BB27" s="3"/>
      <c r="BC27" s="3"/>
      <c r="BD27" s="3"/>
      <c r="BE27" s="3"/>
      <c r="BF27" s="3"/>
      <c r="BG27" s="3"/>
      <c r="BH27" s="3"/>
      <c r="BI27" s="3"/>
      <c r="BJ27" s="3"/>
      <c r="BK27" s="3"/>
      <c r="BL27" s="3"/>
      <c r="BM27" s="3"/>
      <c r="BN27" s="3"/>
      <c r="BO27" s="3"/>
    </row>
    <row r="29" customFormat="false" ht="12.8" hidden="false" customHeight="false" outlineLevel="0" collapsed="false">
      <c r="A29" s="46" t="str">
        <f aca="false">_xlfn.CONCAT($A$1, ".", "FORM")</f>
        <v>LSD.RID.0.AL.WAVG.FORM</v>
      </c>
      <c r="B29" s="47" t="str">
        <f aca="false">_xlfn.CONCAT($B$1, " ", "Formulae")</f>
        <v>Alabama Wage Average (WAVG) Formulae</v>
      </c>
      <c r="C29" s="47"/>
    </row>
    <row r="30" customFormat="false" ht="12.8" hidden="false" customHeight="false" outlineLevel="0" collapsed="false">
      <c r="A30" s="14" t="s">
        <v>93</v>
      </c>
      <c r="B30" s="49" t="s">
        <v>1801</v>
      </c>
      <c r="C30" s="49" t="s">
        <v>283</v>
      </c>
      <c r="D30" s="49" t="s">
        <v>1802</v>
      </c>
      <c r="E30" s="49" t="s">
        <v>286</v>
      </c>
      <c r="F30" s="49" t="s">
        <v>287</v>
      </c>
    </row>
    <row r="31" customFormat="false" ht="12.8" hidden="false" customHeight="false" outlineLevel="0" collapsed="false">
      <c r="A31" s="18" t="s">
        <v>2852</v>
      </c>
      <c r="B31" s="18" t="s">
        <v>2853</v>
      </c>
      <c r="C31" s="18" t="s">
        <v>2854</v>
      </c>
      <c r="D31" s="18" t="s">
        <v>2855</v>
      </c>
      <c r="E31" s="18" t="s">
        <v>2856</v>
      </c>
      <c r="F31" s="18" t="s">
        <v>2857</v>
      </c>
    </row>
    <row r="32" customFormat="false" ht="12.8" hidden="false" customHeight="false" outlineLevel="0" collapsed="false">
      <c r="A32" s="18" t="s">
        <v>2858</v>
      </c>
      <c r="B32" s="18" t="s">
        <v>2859</v>
      </c>
      <c r="C32" s="18" t="s">
        <v>2860</v>
      </c>
      <c r="D32" s="18" t="s">
        <v>2861</v>
      </c>
      <c r="E32" s="18" t="s">
        <v>2862</v>
      </c>
      <c r="F32" s="18" t="s">
        <v>2857</v>
      </c>
    </row>
    <row r="33" customFormat="false" ht="12.8" hidden="false" customHeight="false" outlineLevel="0" collapsed="false">
      <c r="A33" s="18" t="s">
        <v>2863</v>
      </c>
      <c r="B33" s="18" t="s">
        <v>2864</v>
      </c>
      <c r="C33" s="18" t="s">
        <v>2865</v>
      </c>
      <c r="D33" s="18" t="s">
        <v>2866</v>
      </c>
      <c r="E33" s="18" t="s">
        <v>2867</v>
      </c>
      <c r="F33" s="18" t="s">
        <v>2857</v>
      </c>
    </row>
    <row r="34" customFormat="false" ht="12.8" hidden="false" customHeight="false" outlineLevel="0" collapsed="false">
      <c r="A34" s="18" t="s">
        <v>2868</v>
      </c>
      <c r="B34" s="18" t="s">
        <v>2869</v>
      </c>
      <c r="C34" s="18" t="s">
        <v>2870</v>
      </c>
      <c r="D34" s="18" t="s">
        <v>2871</v>
      </c>
      <c r="E34" s="18" t="s">
        <v>2872</v>
      </c>
      <c r="F34" s="18" t="s">
        <v>2857</v>
      </c>
    </row>
    <row r="36" customFormat="false" ht="12.8" hidden="false" customHeight="false" outlineLevel="0" collapsed="false">
      <c r="A36" s="46" t="s">
        <v>2873</v>
      </c>
      <c r="B36" s="47" t="s">
        <v>2874</v>
      </c>
      <c r="C36" s="47"/>
    </row>
    <row r="37" customFormat="false" ht="12.8" hidden="false" customHeight="false" outlineLevel="0" collapsed="false">
      <c r="A37" s="49" t="s">
        <v>97</v>
      </c>
      <c r="B37" s="49" t="s">
        <v>283</v>
      </c>
      <c r="C37" s="49" t="s">
        <v>2073</v>
      </c>
      <c r="D37" s="49" t="s">
        <v>286</v>
      </c>
      <c r="E37" s="49" t="s">
        <v>850</v>
      </c>
      <c r="F37" s="49" t="s">
        <v>851</v>
      </c>
      <c r="G37" s="49" t="s">
        <v>852</v>
      </c>
      <c r="H37" s="49" t="s">
        <v>287</v>
      </c>
    </row>
    <row r="38" customFormat="false" ht="12.8" hidden="false" customHeight="false" outlineLevel="0" collapsed="false">
      <c r="A38" s="18" t="s">
        <v>2875</v>
      </c>
      <c r="B38" s="18" t="s">
        <v>2876</v>
      </c>
      <c r="C38" s="18" t="n">
        <v>31.96</v>
      </c>
      <c r="D38" s="18" t="s">
        <v>2877</v>
      </c>
      <c r="E38" s="18" t="s">
        <v>857</v>
      </c>
      <c r="F38" s="18" t="s">
        <v>2878</v>
      </c>
      <c r="G38" s="24" t="s">
        <v>859</v>
      </c>
      <c r="H38" s="18" t="s">
        <v>417</v>
      </c>
    </row>
    <row r="39" customFormat="false" ht="12.8" hidden="false" customHeight="false" outlineLevel="0" collapsed="false">
      <c r="A39" s="18" t="s">
        <v>2879</v>
      </c>
      <c r="B39" s="18" t="s">
        <v>2880</v>
      </c>
      <c r="C39" s="18" t="s">
        <v>2881</v>
      </c>
      <c r="D39" s="18" t="s">
        <v>2882</v>
      </c>
      <c r="E39" s="18" t="s">
        <v>857</v>
      </c>
      <c r="F39" s="18" t="s">
        <v>2883</v>
      </c>
      <c r="G39" s="24" t="s">
        <v>859</v>
      </c>
      <c r="H39" s="18" t="s">
        <v>2884</v>
      </c>
    </row>
    <row r="40" customFormat="false" ht="12.8" hidden="false" customHeight="false" outlineLevel="0" collapsed="false">
      <c r="A40" s="18" t="s">
        <v>2885</v>
      </c>
      <c r="B40" s="18" t="s">
        <v>2886</v>
      </c>
      <c r="C40" s="18" t="s">
        <v>2887</v>
      </c>
      <c r="D40" s="18" t="s">
        <v>2888</v>
      </c>
      <c r="E40" s="18" t="s">
        <v>857</v>
      </c>
      <c r="F40" s="18" t="s">
        <v>2889</v>
      </c>
      <c r="G40" s="24" t="s">
        <v>859</v>
      </c>
      <c r="H40" s="18" t="s">
        <v>2890</v>
      </c>
    </row>
    <row r="41" customFormat="false" ht="12.8" hidden="false" customHeight="false" outlineLevel="0" collapsed="false">
      <c r="A41" s="18" t="s">
        <v>2891</v>
      </c>
      <c r="B41" s="18" t="s">
        <v>2892</v>
      </c>
      <c r="C41" s="18" t="s">
        <v>2893</v>
      </c>
      <c r="D41" s="18" t="s">
        <v>2894</v>
      </c>
      <c r="E41" s="18" t="s">
        <v>857</v>
      </c>
      <c r="F41" s="18" t="s">
        <v>2895</v>
      </c>
      <c r="G41" s="24" t="s">
        <v>859</v>
      </c>
      <c r="H41" s="18" t="s">
        <v>2896</v>
      </c>
    </row>
    <row r="42" customFormat="false" ht="12.8" hidden="false" customHeight="false" outlineLevel="0" collapsed="false">
      <c r="A42" s="18" t="s">
        <v>2897</v>
      </c>
      <c r="B42" s="18" t="s">
        <v>2898</v>
      </c>
      <c r="C42" s="18" t="s">
        <v>2899</v>
      </c>
      <c r="D42" s="18" t="s">
        <v>1372</v>
      </c>
      <c r="E42" s="18" t="s">
        <v>857</v>
      </c>
      <c r="F42" s="18" t="s">
        <v>2900</v>
      </c>
      <c r="G42" s="24" t="s">
        <v>859</v>
      </c>
      <c r="H42" s="18" t="s">
        <v>2901</v>
      </c>
    </row>
    <row r="43" customFormat="false" ht="12.8" hidden="false" customHeight="false" outlineLevel="0" collapsed="false">
      <c r="A43" s="18" t="s">
        <v>2902</v>
      </c>
      <c r="B43" s="18" t="s">
        <v>2903</v>
      </c>
      <c r="C43" s="18" t="s">
        <v>2904</v>
      </c>
      <c r="D43" s="18" t="s">
        <v>2905</v>
      </c>
      <c r="E43" s="18" t="s">
        <v>857</v>
      </c>
      <c r="F43" s="18" t="s">
        <v>2906</v>
      </c>
      <c r="G43" s="24" t="s">
        <v>859</v>
      </c>
      <c r="H43" s="18" t="s">
        <v>366</v>
      </c>
    </row>
    <row r="44" customFormat="false" ht="12.8" hidden="false" customHeight="false" outlineLevel="0" collapsed="false">
      <c r="A44" s="18" t="s">
        <v>2907</v>
      </c>
      <c r="B44" s="18" t="s">
        <v>2908</v>
      </c>
      <c r="C44" s="18" t="s">
        <v>2909</v>
      </c>
      <c r="D44" s="18" t="s">
        <v>2910</v>
      </c>
      <c r="E44" s="18" t="s">
        <v>857</v>
      </c>
      <c r="F44" s="18" t="s">
        <v>2911</v>
      </c>
      <c r="G44" s="24" t="s">
        <v>859</v>
      </c>
      <c r="H44" s="18" t="s">
        <v>366</v>
      </c>
    </row>
    <row r="45" customFormat="false" ht="12.8" hidden="false" customHeight="false" outlineLevel="0" collapsed="false">
      <c r="A45" s="18" t="s">
        <v>2912</v>
      </c>
      <c r="B45" s="18" t="s">
        <v>2913</v>
      </c>
      <c r="C45" s="18" t="n">
        <v>0.85</v>
      </c>
      <c r="D45" s="18" t="s">
        <v>2914</v>
      </c>
      <c r="E45" s="18" t="s">
        <v>857</v>
      </c>
      <c r="F45" s="18" t="s">
        <v>2915</v>
      </c>
      <c r="G45" s="24" t="s">
        <v>859</v>
      </c>
      <c r="H45" s="18" t="s">
        <v>366</v>
      </c>
    </row>
    <row r="46" customFormat="false" ht="12.8" hidden="false" customHeight="false" outlineLevel="0" collapsed="false">
      <c r="A46" s="18" t="s">
        <v>2916</v>
      </c>
      <c r="B46" s="18" t="s">
        <v>1375</v>
      </c>
      <c r="C46" s="18" t="n">
        <v>4</v>
      </c>
      <c r="D46" s="18" t="s">
        <v>2167</v>
      </c>
      <c r="E46" s="18" t="s">
        <v>857</v>
      </c>
      <c r="F46" s="18" t="s">
        <v>2764</v>
      </c>
      <c r="G46" s="24" t="s">
        <v>859</v>
      </c>
      <c r="H46" s="18" t="s">
        <v>366</v>
      </c>
    </row>
    <row r="48" customFormat="false" ht="12.8" hidden="false" customHeight="false" outlineLevel="0" collapsed="false">
      <c r="A48" s="46" t="s">
        <v>2917</v>
      </c>
      <c r="B48" s="47" t="s">
        <v>2918</v>
      </c>
    </row>
    <row r="49" customFormat="false" ht="12.8" hidden="false" customHeight="false" outlineLevel="0" collapsed="false">
      <c r="A49" s="49" t="s">
        <v>101</v>
      </c>
      <c r="B49" s="49" t="s">
        <v>286</v>
      </c>
      <c r="C49" s="49" t="s">
        <v>849</v>
      </c>
      <c r="D49" s="49" t="s">
        <v>2093</v>
      </c>
      <c r="E49" s="49" t="s">
        <v>850</v>
      </c>
      <c r="F49" s="49" t="s">
        <v>2094</v>
      </c>
      <c r="G49" s="49" t="s">
        <v>1998</v>
      </c>
    </row>
    <row r="50" customFormat="false" ht="12.8" hidden="false" customHeight="false" outlineLevel="0" collapsed="false">
      <c r="A50" s="17" t="s">
        <v>2919</v>
      </c>
      <c r="B50" s="18" t="s">
        <v>1715</v>
      </c>
      <c r="C50" s="18" t="n">
        <v>31.96</v>
      </c>
      <c r="D50" s="18" t="s">
        <v>2878</v>
      </c>
      <c r="E50" s="18" t="s">
        <v>857</v>
      </c>
      <c r="F50" s="18" t="s">
        <v>2920</v>
      </c>
    </row>
    <row r="51" customFormat="false" ht="12.8" hidden="false" customHeight="false" outlineLevel="0" collapsed="false">
      <c r="A51" s="17" t="s">
        <v>2921</v>
      </c>
      <c r="B51" s="18" t="s">
        <v>2099</v>
      </c>
      <c r="C51" s="18" t="s">
        <v>2922</v>
      </c>
      <c r="D51" s="18" t="s">
        <v>2923</v>
      </c>
      <c r="E51" s="18" t="s">
        <v>857</v>
      </c>
      <c r="F51" s="18" t="s">
        <v>2644</v>
      </c>
    </row>
    <row r="52" customFormat="false" ht="12.8" hidden="false" customHeight="false" outlineLevel="0" collapsed="false">
      <c r="A52" s="17" t="s">
        <v>2924</v>
      </c>
      <c r="B52" s="18" t="s">
        <v>2925</v>
      </c>
      <c r="C52" s="18" t="s">
        <v>2926</v>
      </c>
      <c r="D52" s="18" t="s">
        <v>2927</v>
      </c>
      <c r="E52" s="18" t="s">
        <v>857</v>
      </c>
      <c r="F52" s="18" t="s">
        <v>2928</v>
      </c>
    </row>
    <row r="53" customFormat="false" ht="12.8" hidden="false" customHeight="false" outlineLevel="0" collapsed="false">
      <c r="A53" s="17" t="s">
        <v>2929</v>
      </c>
      <c r="B53" s="18" t="s">
        <v>2109</v>
      </c>
      <c r="C53" s="18" t="s">
        <v>2930</v>
      </c>
      <c r="D53" s="18" t="s">
        <v>2931</v>
      </c>
      <c r="E53" s="18" t="s">
        <v>857</v>
      </c>
      <c r="F53" s="18" t="s">
        <v>2932</v>
      </c>
    </row>
    <row r="54" customFormat="false" ht="12.8" hidden="false" customHeight="false" outlineLevel="0" collapsed="false">
      <c r="A54" s="17" t="s">
        <v>2933</v>
      </c>
      <c r="B54" s="18" t="s">
        <v>2114</v>
      </c>
      <c r="C54" s="18" t="s">
        <v>2186</v>
      </c>
      <c r="D54" s="18" t="s">
        <v>2934</v>
      </c>
      <c r="E54" s="18" t="s">
        <v>857</v>
      </c>
      <c r="F54" s="18" t="s">
        <v>2250</v>
      </c>
      <c r="G54" s="18" t="s">
        <v>2935</v>
      </c>
    </row>
    <row r="55" customFormat="false" ht="12.8" hidden="false" customHeight="false" outlineLevel="0" collapsed="false">
      <c r="A55" s="17" t="s">
        <v>2936</v>
      </c>
      <c r="B55" s="18" t="s">
        <v>2119</v>
      </c>
      <c r="C55" s="18" t="s">
        <v>2120</v>
      </c>
      <c r="D55" s="18" t="s">
        <v>2937</v>
      </c>
      <c r="E55" s="18" t="s">
        <v>857</v>
      </c>
      <c r="F55" s="18" t="s">
        <v>2383</v>
      </c>
    </row>
    <row r="56" customFormat="false" ht="12.8" hidden="false" customHeight="false" outlineLevel="0" collapsed="false">
      <c r="A56" s="17" t="s">
        <v>2938</v>
      </c>
      <c r="B56" s="18" t="s">
        <v>2939</v>
      </c>
      <c r="C56" s="18" t="s">
        <v>2940</v>
      </c>
      <c r="D56" s="18" t="s">
        <v>2941</v>
      </c>
      <c r="E56" s="18" t="s">
        <v>857</v>
      </c>
      <c r="F56" s="18" t="s">
        <v>2660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428"/>
    <pageSetUpPr fitToPage="false"/>
  </sheetPr>
  <dimension ref="A1:BP58"/>
  <sheetViews>
    <sheetView showFormulas="false" showGridLines="true" showRowColHeaders="true" showZeros="true" rightToLeft="false" tabSelected="false" showOutlineSymbols="true" defaultGridColor="true" view="normal" topLeftCell="A4"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false" hidden="false" outlineLevel="0" max="1" min="1" style="17" width="11.53"/>
    <col collapsed="false" customWidth="true" hidden="false" outlineLevel="0" max="2" min="2" style="18" width="41.51"/>
    <col collapsed="false" customWidth="true" hidden="false" outlineLevel="0" max="34" min="3"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69</v>
      </c>
      <c r="B1" s="50" t="s">
        <v>2942</v>
      </c>
      <c r="C1" s="6" t="s">
        <v>2</v>
      </c>
      <c r="D1" s="48" t="s">
        <v>2943</v>
      </c>
      <c r="AZ1" s="18"/>
      <c r="BP1" s="18"/>
    </row>
    <row r="2" customFormat="false" ht="12.8" hidden="false" customHeight="false" outlineLevel="0" collapsed="false">
      <c r="A2" s="46" t="str">
        <f aca="false">_xlfn.CONCAT($A$1, ".", "CALC")</f>
        <v>LSD.RID.0.AL.WRAVG.CALC</v>
      </c>
      <c r="B2" s="47" t="str">
        <f aca="false">_xlfn.CONCAT($B$1, " ", "Calculations")</f>
        <v>Alabama Wage Range Average (WRAVG) Calculations</v>
      </c>
      <c r="C2" s="3"/>
      <c r="D2" s="3"/>
      <c r="E2" s="3"/>
      <c r="F2" s="3"/>
      <c r="AT2" s="3"/>
      <c r="AU2" s="3"/>
      <c r="AV2" s="3"/>
      <c r="AW2" s="3"/>
      <c r="AZ2" s="18"/>
      <c r="BA2" s="18"/>
      <c r="BB2" s="18"/>
      <c r="BC2" s="18"/>
      <c r="BJ2" s="3"/>
      <c r="BK2" s="3"/>
      <c r="BL2" s="3"/>
      <c r="BM2" s="3"/>
      <c r="BN2" s="3"/>
      <c r="BO2" s="3"/>
    </row>
    <row r="3" customFormat="false" ht="23.85" hidden="false" customHeight="false" outlineLevel="0" collapsed="false">
      <c r="A3" s="46" t="str">
        <f aca="false">CALC!A34</f>
        <v>LSID</v>
      </c>
      <c r="B3" s="22" t="str">
        <f aca="false">CALC!C34</f>
        <v>Labor Sector</v>
      </c>
      <c r="C3" s="55" t="str">
        <f aca="false">CALC!H64</f>
        <v>Overall WRAVG Min</v>
      </c>
      <c r="D3" s="55" t="str">
        <f aca="false">CALC!I64</f>
        <v>Overall WRAVG Max</v>
      </c>
      <c r="E3" s="55" t="str">
        <f aca="false">CALC!J64</f>
        <v>Overall WRAVG</v>
      </c>
      <c r="F3" s="55" t="str">
        <f aca="false">CALC!K64</f>
        <v>Authorized WRAVG Min</v>
      </c>
      <c r="G3" s="55" t="str">
        <f aca="false">CALC!L64</f>
        <v>Authorized WRAVG Max</v>
      </c>
      <c r="H3" s="55" t="str">
        <f aca="false">CALC!M64</f>
        <v>Authorized WRAVG</v>
      </c>
      <c r="I3" s="55" t="str">
        <f aca="false">CALC!N64</f>
        <v>Unauthorized WRAVG Min</v>
      </c>
      <c r="J3" s="55" t="str">
        <f aca="false">CALC!O64</f>
        <v>Unauthorized WRAVG Max</v>
      </c>
      <c r="K3" s="55" t="str">
        <f aca="false">CALC!P64</f>
        <v>Unauthorized WRAVG</v>
      </c>
      <c r="L3" s="55" t="str">
        <f aca="false">CALC!Q64</f>
        <v>American WRAVG Min</v>
      </c>
      <c r="M3" s="55" t="str">
        <f aca="false">CALC!R64</f>
        <v>American WRAVG Max</v>
      </c>
      <c r="N3" s="55" t="str">
        <f aca="false">CALC!S64</f>
        <v>American WRAVG</v>
      </c>
      <c r="AJ3" s="3"/>
      <c r="AK3" s="3"/>
      <c r="AL3" s="3"/>
      <c r="AM3" s="3"/>
      <c r="AZ3" s="3"/>
      <c r="BA3" s="3"/>
      <c r="BB3" s="3"/>
      <c r="BC3" s="3"/>
      <c r="BD3" s="3"/>
      <c r="BE3" s="3"/>
      <c r="BF3" s="3"/>
      <c r="BG3" s="3"/>
      <c r="BH3" s="3"/>
      <c r="BI3" s="3"/>
      <c r="BJ3" s="3"/>
      <c r="BK3" s="3"/>
      <c r="BL3" s="3"/>
      <c r="BM3" s="3"/>
      <c r="BN3" s="3"/>
      <c r="BO3" s="3"/>
    </row>
    <row r="4" customFormat="false" ht="12.8" hidden="false" customHeight="false" outlineLevel="0" collapsed="false">
      <c r="A4" s="46" t="str">
        <f aca="false">_xlfn.CONCAT($A$1, ".CALC.", CALC!A35)</f>
        <v>LSD.RID.0.AL.WRAVG.CALC.0</v>
      </c>
      <c r="B4" s="22" t="str">
        <f aca="false">CALC!C35</f>
        <v>All Industries</v>
      </c>
      <c r="C4" s="18" t="n">
        <v>15</v>
      </c>
      <c r="D4" s="18" t="n">
        <v>55</v>
      </c>
      <c r="E4" s="18" t="n">
        <v>31.96</v>
      </c>
      <c r="F4" s="18" t="n">
        <v>15.75</v>
      </c>
      <c r="G4" s="18" t="n">
        <v>58.3</v>
      </c>
      <c r="H4" s="18" t="n">
        <v>32.68</v>
      </c>
      <c r="I4" s="18" t="n">
        <v>10.5</v>
      </c>
      <c r="J4" s="18" t="n">
        <v>44</v>
      </c>
      <c r="K4" s="18" t="n">
        <v>25.57</v>
      </c>
      <c r="L4" s="18" t="n">
        <v>15.2</v>
      </c>
      <c r="M4" s="18" t="n">
        <v>55.6</v>
      </c>
      <c r="N4" s="18" t="n">
        <v>32.12</v>
      </c>
      <c r="AJ4" s="3"/>
      <c r="AK4" s="3"/>
      <c r="AL4" s="3"/>
      <c r="AM4" s="3"/>
      <c r="AZ4" s="3"/>
      <c r="BA4" s="3"/>
      <c r="BB4" s="3"/>
      <c r="BC4" s="3"/>
      <c r="BD4" s="3"/>
      <c r="BE4" s="3"/>
      <c r="BF4" s="3"/>
      <c r="BG4" s="3"/>
      <c r="BH4" s="3"/>
      <c r="BI4" s="3"/>
      <c r="BJ4" s="3"/>
      <c r="BK4" s="3"/>
      <c r="BL4" s="3"/>
      <c r="BM4" s="3"/>
      <c r="BN4" s="3"/>
      <c r="BO4" s="3"/>
    </row>
    <row r="5" customFormat="false" ht="12.8" hidden="false" customHeight="false" outlineLevel="0" collapsed="false">
      <c r="A5" s="46" t="str">
        <f aca="false">_xlfn.CONCAT($A$1, ".CALC.", CALC!A36)</f>
        <v>LSD.RID.0.AL.WRAVG.CALC.1</v>
      </c>
      <c r="B5" s="50" t="str">
        <f aca="false">CALC!C36</f>
        <v>Agriculture, Forestry, Fishing and Hunting</v>
      </c>
      <c r="C5" s="18" t="n">
        <v>10.2</v>
      </c>
      <c r="D5" s="18" t="n">
        <v>28.5</v>
      </c>
      <c r="E5" s="18" t="n">
        <v>18.5</v>
      </c>
      <c r="F5" s="18" t="n">
        <v>10.71</v>
      </c>
      <c r="G5" s="18" t="n">
        <v>30.02</v>
      </c>
      <c r="H5" s="18" t="n">
        <v>19.42</v>
      </c>
      <c r="I5" s="18" t="n">
        <v>7.14</v>
      </c>
      <c r="J5" s="18" t="n">
        <v>22.8</v>
      </c>
      <c r="K5" s="18" t="n">
        <v>14.8</v>
      </c>
      <c r="L5" s="18" t="n">
        <v>10.3</v>
      </c>
      <c r="M5" s="18" t="n">
        <v>28.8</v>
      </c>
      <c r="N5" s="18" t="n">
        <v>18.72</v>
      </c>
      <c r="AJ5" s="3"/>
      <c r="AK5" s="3"/>
      <c r="AL5" s="3"/>
      <c r="AM5" s="3"/>
      <c r="AZ5" s="3"/>
      <c r="BA5" s="3"/>
      <c r="BB5" s="3"/>
      <c r="BC5" s="3"/>
      <c r="BD5" s="3"/>
      <c r="BE5" s="3"/>
      <c r="BF5" s="3"/>
      <c r="BG5" s="3"/>
      <c r="BH5" s="3"/>
      <c r="BI5" s="3"/>
      <c r="BJ5" s="3"/>
      <c r="BK5" s="3"/>
      <c r="BL5" s="3"/>
      <c r="BM5" s="3"/>
      <c r="BN5" s="3"/>
      <c r="BO5" s="3"/>
    </row>
    <row r="6" customFormat="false" ht="12.8" hidden="false" customHeight="false" outlineLevel="0" collapsed="false">
      <c r="A6" s="46" t="str">
        <f aca="false">_xlfn.CONCAT($A$1, ".CALC.", CALC!A37)</f>
        <v>LSD.RID.0.AL.WRAVG.CALC.2</v>
      </c>
      <c r="B6" s="50" t="str">
        <f aca="false">CALC!C37</f>
        <v>Mining, Quarrying, and Oil and Gas Extraction</v>
      </c>
      <c r="C6" s="18" t="n">
        <v>18.5</v>
      </c>
      <c r="D6" s="18" t="n">
        <v>65</v>
      </c>
      <c r="E6" s="18" t="n">
        <v>35.2</v>
      </c>
      <c r="F6" s="18" t="n">
        <v>19.43</v>
      </c>
      <c r="G6" s="18" t="n">
        <v>68.9</v>
      </c>
      <c r="H6" s="18" t="n">
        <v>36.01</v>
      </c>
      <c r="I6" s="18" t="n">
        <v>12.95</v>
      </c>
      <c r="J6" s="18" t="n">
        <v>52</v>
      </c>
      <c r="K6" s="18" t="n">
        <v>29.92</v>
      </c>
      <c r="L6" s="18" t="n">
        <v>18.7</v>
      </c>
      <c r="M6" s="18" t="n">
        <v>65.7</v>
      </c>
      <c r="N6" s="18" t="n">
        <v>35.45</v>
      </c>
      <c r="AJ6" s="3"/>
      <c r="AK6" s="3"/>
      <c r="AL6" s="3"/>
      <c r="AM6" s="3"/>
      <c r="AZ6" s="3"/>
      <c r="BA6" s="3"/>
      <c r="BB6" s="3"/>
      <c r="BC6" s="3"/>
      <c r="BD6" s="3"/>
      <c r="BE6" s="3"/>
      <c r="BF6" s="3"/>
      <c r="BG6" s="3"/>
      <c r="BH6" s="3"/>
      <c r="BI6" s="3"/>
      <c r="BJ6" s="3"/>
      <c r="BK6" s="3"/>
      <c r="BL6" s="3"/>
      <c r="BM6" s="3"/>
      <c r="BN6" s="3"/>
      <c r="BO6" s="3"/>
    </row>
    <row r="7" customFormat="false" ht="12.8" hidden="false" customHeight="false" outlineLevel="0" collapsed="false">
      <c r="A7" s="46" t="str">
        <f aca="false">_xlfn.CONCAT($A$1, ".CALC.", CALC!A38)</f>
        <v>LSD.RID.0.AL.WRAVG.CALC.3</v>
      </c>
      <c r="B7" s="22" t="str">
        <f aca="false">CALC!C38</f>
        <v>Utilities</v>
      </c>
      <c r="C7" s="18" t="n">
        <v>22</v>
      </c>
      <c r="D7" s="18" t="n">
        <v>78</v>
      </c>
      <c r="E7" s="18" t="n">
        <v>42.8</v>
      </c>
      <c r="F7" s="18" t="n">
        <v>23.1</v>
      </c>
      <c r="G7" s="18" t="n">
        <v>82.68</v>
      </c>
      <c r="H7" s="18" t="n">
        <v>43.66</v>
      </c>
      <c r="I7" s="18" t="n">
        <v>15.4</v>
      </c>
      <c r="J7" s="18" t="n">
        <v>62.4</v>
      </c>
      <c r="K7" s="18" t="n">
        <v>36.38</v>
      </c>
      <c r="L7" s="18" t="n">
        <v>22.2</v>
      </c>
      <c r="M7" s="18" t="n">
        <v>78.8</v>
      </c>
      <c r="N7" s="18" t="n">
        <v>43.12</v>
      </c>
      <c r="AJ7" s="3"/>
      <c r="AK7" s="3"/>
      <c r="AL7" s="3"/>
      <c r="AM7" s="3"/>
      <c r="AZ7" s="3"/>
      <c r="BA7" s="3"/>
      <c r="BB7" s="3"/>
      <c r="BC7" s="3"/>
      <c r="BD7" s="3"/>
      <c r="BE7" s="3"/>
      <c r="BF7" s="3"/>
      <c r="BG7" s="3"/>
      <c r="BH7" s="3"/>
      <c r="BI7" s="3"/>
      <c r="BJ7" s="3"/>
      <c r="BK7" s="3"/>
      <c r="BL7" s="3"/>
      <c r="BM7" s="3"/>
      <c r="BN7" s="3"/>
      <c r="BO7" s="3"/>
    </row>
    <row r="8" customFormat="false" ht="12.8" hidden="false" customHeight="false" outlineLevel="0" collapsed="false">
      <c r="A8" s="46" t="str">
        <f aca="false">_xlfn.CONCAT($A$1, ".CALC.", CALC!A39)</f>
        <v>LSD.RID.0.AL.WRAVG.CALC.4</v>
      </c>
      <c r="B8" s="22" t="str">
        <f aca="false">CALC!C39</f>
        <v>Construction</v>
      </c>
      <c r="C8" s="18" t="n">
        <v>14.8</v>
      </c>
      <c r="D8" s="18" t="n">
        <v>52</v>
      </c>
      <c r="E8" s="18" t="n">
        <v>28.4</v>
      </c>
      <c r="F8" s="18" t="n">
        <v>15.54</v>
      </c>
      <c r="G8" s="18" t="n">
        <v>55.12</v>
      </c>
      <c r="H8" s="18" t="n">
        <v>29.79</v>
      </c>
      <c r="I8" s="18" t="n">
        <v>10.36</v>
      </c>
      <c r="J8" s="18" t="n">
        <v>41.6</v>
      </c>
      <c r="K8" s="18" t="n">
        <v>22.72</v>
      </c>
      <c r="L8" s="18" t="n">
        <v>14.95</v>
      </c>
      <c r="M8" s="18" t="n">
        <v>52.6</v>
      </c>
      <c r="N8" s="18" t="n">
        <v>28.65</v>
      </c>
      <c r="AJ8" s="3"/>
      <c r="AK8" s="3"/>
      <c r="AL8" s="3"/>
      <c r="AM8" s="3"/>
      <c r="AZ8" s="3"/>
      <c r="BA8" s="3"/>
      <c r="BB8" s="3"/>
      <c r="BC8" s="3"/>
      <c r="BD8" s="3"/>
      <c r="BE8" s="3"/>
      <c r="BF8" s="3"/>
      <c r="BG8" s="3"/>
      <c r="BH8" s="3"/>
      <c r="BI8" s="3"/>
      <c r="BJ8" s="3"/>
      <c r="BK8" s="3"/>
      <c r="BL8" s="3"/>
      <c r="BM8" s="3"/>
      <c r="BN8" s="3"/>
      <c r="BO8" s="3"/>
    </row>
    <row r="9" customFormat="false" ht="12.8" hidden="false" customHeight="false" outlineLevel="0" collapsed="false">
      <c r="A9" s="46" t="str">
        <f aca="false">_xlfn.CONCAT($A$1, ".CALC.", CALC!A40)</f>
        <v>LSD.RID.0.AL.WRAVG.CALC.5</v>
      </c>
      <c r="B9" s="50" t="str">
        <f aca="false">CALC!C40</f>
        <v>Manufacturing (Food,Textile, etc.)</v>
      </c>
      <c r="C9" s="18" t="n">
        <v>13.5</v>
      </c>
      <c r="D9" s="18" t="n">
        <v>42</v>
      </c>
      <c r="E9" s="18" t="n">
        <v>24.1</v>
      </c>
      <c r="F9" s="18" t="n">
        <v>14.18</v>
      </c>
      <c r="G9" s="18" t="n">
        <v>44.52</v>
      </c>
      <c r="H9" s="18" t="n">
        <v>25.3</v>
      </c>
      <c r="I9" s="18" t="n">
        <v>9.45</v>
      </c>
      <c r="J9" s="18" t="n">
        <v>33.6</v>
      </c>
      <c r="K9" s="18" t="n">
        <v>19.28</v>
      </c>
      <c r="L9" s="18" t="n">
        <v>13.65</v>
      </c>
      <c r="M9" s="18" t="n">
        <v>42.4</v>
      </c>
      <c r="N9" s="18" t="n">
        <v>24.35</v>
      </c>
      <c r="AJ9" s="3"/>
      <c r="AK9" s="3"/>
      <c r="AL9" s="3"/>
      <c r="AM9" s="3"/>
      <c r="AZ9" s="3"/>
      <c r="BA9" s="3"/>
      <c r="BB9" s="3"/>
      <c r="BC9" s="3"/>
      <c r="BD9" s="3"/>
      <c r="BE9" s="3"/>
      <c r="BF9" s="3"/>
      <c r="BG9" s="3"/>
      <c r="BH9" s="3"/>
      <c r="BI9" s="3"/>
      <c r="BJ9" s="3"/>
      <c r="BK9" s="3"/>
      <c r="BL9" s="3"/>
      <c r="BM9" s="3"/>
      <c r="BN9" s="3"/>
      <c r="BO9" s="3"/>
    </row>
    <row r="10" customFormat="false" ht="12.8" hidden="false" customHeight="false" outlineLevel="0" collapsed="false">
      <c r="A10" s="46" t="str">
        <f aca="false">_xlfn.CONCAT($A$1, ".CALC.", CALC!A41)</f>
        <v>LSD.RID.0.AL.WRAVG.CALC.6</v>
      </c>
      <c r="B10" s="50" t="str">
        <f aca="false">CALC!C41</f>
        <v>Manufacturing (Wood, Paper, Printing, etc.)</v>
      </c>
      <c r="C10" s="18" t="n">
        <v>15</v>
      </c>
      <c r="D10" s="18" t="n">
        <v>48</v>
      </c>
      <c r="E10" s="18" t="n">
        <v>26.5</v>
      </c>
      <c r="F10" s="18" t="n">
        <v>15.75</v>
      </c>
      <c r="G10" s="18" t="n">
        <v>50.88</v>
      </c>
      <c r="H10" s="18" t="n">
        <v>27.83</v>
      </c>
      <c r="I10" s="18" t="n">
        <v>10.5</v>
      </c>
      <c r="J10" s="18" t="n">
        <v>38.4</v>
      </c>
      <c r="K10" s="18" t="n">
        <v>21.2</v>
      </c>
      <c r="L10" s="18" t="n">
        <v>15.15</v>
      </c>
      <c r="M10" s="18" t="n">
        <v>48.5</v>
      </c>
      <c r="N10" s="18" t="n">
        <v>26.78</v>
      </c>
      <c r="AJ10" s="3"/>
      <c r="AK10" s="3"/>
      <c r="AL10" s="3"/>
      <c r="AM10" s="3"/>
      <c r="AZ10" s="3"/>
      <c r="BA10" s="3"/>
      <c r="BB10" s="3"/>
      <c r="BC10" s="3"/>
      <c r="BD10" s="3"/>
      <c r="BE10" s="3"/>
      <c r="BF10" s="3"/>
      <c r="BG10" s="3"/>
      <c r="BH10" s="3"/>
      <c r="BI10" s="3"/>
      <c r="BJ10" s="3"/>
      <c r="BK10" s="3"/>
      <c r="BL10" s="3"/>
      <c r="BM10" s="3"/>
      <c r="BN10" s="3"/>
      <c r="BO10" s="3"/>
    </row>
    <row r="11" customFormat="false" ht="12.8" hidden="false" customHeight="false" outlineLevel="0" collapsed="false">
      <c r="A11" s="46" t="str">
        <f aca="false">_xlfn.CONCAT($A$1, ".CALC.", CALC!A42)</f>
        <v>LSD.RID.0.AL.WRAVG.CALC.7</v>
      </c>
      <c r="B11" s="50" t="str">
        <f aca="false">CALC!C42</f>
        <v>Manufacturing (Machinery, Transport)</v>
      </c>
      <c r="C11" s="18" t="n">
        <v>18</v>
      </c>
      <c r="D11" s="18" t="n">
        <v>58</v>
      </c>
      <c r="E11" s="18" t="n">
        <v>32.9</v>
      </c>
      <c r="F11" s="18" t="n">
        <v>18.9</v>
      </c>
      <c r="G11" s="18" t="n">
        <v>61.48</v>
      </c>
      <c r="H11" s="18" t="n">
        <v>34.55</v>
      </c>
      <c r="I11" s="18" t="n">
        <v>12.6</v>
      </c>
      <c r="J11" s="18" t="n">
        <v>46.4</v>
      </c>
      <c r="K11" s="18" t="n">
        <v>26.32</v>
      </c>
      <c r="L11" s="18" t="n">
        <v>18.2</v>
      </c>
      <c r="M11" s="18" t="n">
        <v>58.6</v>
      </c>
      <c r="N11" s="18" t="n">
        <v>33.23</v>
      </c>
      <c r="AJ11" s="3"/>
      <c r="AK11" s="3"/>
      <c r="AL11" s="3"/>
      <c r="AM11" s="3"/>
      <c r="AZ11" s="3"/>
      <c r="BA11" s="3"/>
      <c r="BB11" s="3"/>
      <c r="BC11" s="3"/>
      <c r="BD11" s="3"/>
      <c r="BE11" s="3"/>
      <c r="BF11" s="3"/>
      <c r="BG11" s="3"/>
      <c r="BH11" s="3"/>
      <c r="BI11" s="3"/>
      <c r="BJ11" s="3"/>
      <c r="BK11" s="3"/>
      <c r="BL11" s="3"/>
      <c r="BM11" s="3"/>
      <c r="BN11" s="3"/>
      <c r="BO11" s="3"/>
    </row>
    <row r="12" customFormat="false" ht="12.8" hidden="false" customHeight="false" outlineLevel="0" collapsed="false">
      <c r="A12" s="46" t="str">
        <f aca="false">_xlfn.CONCAT($A$1, ".CALC.", CALC!A43)</f>
        <v>LSD.RID.0.AL.WRAVG.CALC.8</v>
      </c>
      <c r="B12" s="22" t="str">
        <f aca="false">CALC!C43</f>
        <v>Wholesale Trade</v>
      </c>
      <c r="C12" s="18" t="n">
        <v>16.8</v>
      </c>
      <c r="D12" s="18" t="n">
        <v>55</v>
      </c>
      <c r="E12" s="18" t="n">
        <v>30.2</v>
      </c>
      <c r="F12" s="18" t="n">
        <v>17.64</v>
      </c>
      <c r="G12" s="18" t="n">
        <v>58.3</v>
      </c>
      <c r="H12" s="18" t="n">
        <v>31.71</v>
      </c>
      <c r="I12" s="18" t="n">
        <v>11.76</v>
      </c>
      <c r="J12" s="18" t="n">
        <v>44</v>
      </c>
      <c r="K12" s="18" t="n">
        <v>24.16</v>
      </c>
      <c r="L12" s="18" t="n">
        <v>17</v>
      </c>
      <c r="M12" s="18" t="n">
        <v>55.6</v>
      </c>
      <c r="N12" s="18" t="n">
        <v>30.5</v>
      </c>
      <c r="AJ12" s="3"/>
      <c r="AK12" s="3"/>
      <c r="AL12" s="3"/>
      <c r="AM12" s="3"/>
      <c r="AZ12" s="3"/>
      <c r="BA12" s="3"/>
      <c r="BB12" s="3"/>
      <c r="BC12" s="3"/>
      <c r="BD12" s="3"/>
      <c r="BE12" s="3"/>
      <c r="BF12" s="3"/>
      <c r="BG12" s="3"/>
      <c r="BH12" s="3"/>
      <c r="BI12" s="3"/>
      <c r="BJ12" s="3"/>
      <c r="BK12" s="3"/>
      <c r="BL12" s="3"/>
      <c r="BM12" s="3"/>
      <c r="BN12" s="3"/>
      <c r="BO12" s="3"/>
    </row>
    <row r="13" customFormat="false" ht="12.8" hidden="false" customHeight="false" outlineLevel="0" collapsed="false">
      <c r="A13" s="46" t="str">
        <f aca="false">_xlfn.CONCAT($A$1, ".CALC.", CALC!A44)</f>
        <v>LSD.RID.0.AL.WRAVG.CALC.9</v>
      </c>
      <c r="B13" s="50" t="str">
        <f aca="false">CALC!C44</f>
        <v>Retail Trade (Motor Vehicle, Electronics)</v>
      </c>
      <c r="C13" s="18" t="n">
        <v>15.2</v>
      </c>
      <c r="D13" s="18" t="n">
        <v>50</v>
      </c>
      <c r="E13" s="18" t="n">
        <v>28.1</v>
      </c>
      <c r="F13" s="18" t="n">
        <v>15.96</v>
      </c>
      <c r="G13" s="18" t="n">
        <v>53</v>
      </c>
      <c r="H13" s="18" t="n">
        <v>29.51</v>
      </c>
      <c r="I13" s="18" t="n">
        <v>10.64</v>
      </c>
      <c r="J13" s="18" t="n">
        <v>40</v>
      </c>
      <c r="K13" s="18" t="n">
        <v>22.48</v>
      </c>
      <c r="L13" s="18" t="n">
        <v>15.35</v>
      </c>
      <c r="M13" s="18" t="n">
        <v>50.5</v>
      </c>
      <c r="N13" s="18" t="n">
        <v>28.35</v>
      </c>
      <c r="AJ13" s="3"/>
      <c r="AK13" s="3"/>
      <c r="AL13" s="3"/>
      <c r="AM13" s="3"/>
      <c r="AZ13" s="3"/>
      <c r="BA13" s="3"/>
      <c r="BB13" s="3"/>
      <c r="BC13" s="3"/>
      <c r="BD13" s="3"/>
      <c r="BE13" s="3"/>
      <c r="BF13" s="3"/>
      <c r="BG13" s="3"/>
      <c r="BH13" s="3"/>
      <c r="BI13" s="3"/>
      <c r="BJ13" s="3"/>
      <c r="BK13" s="3"/>
      <c r="BL13" s="3"/>
      <c r="BM13" s="3"/>
      <c r="BN13" s="3"/>
      <c r="BO13" s="3"/>
    </row>
    <row r="14" customFormat="false" ht="22.8" hidden="false" customHeight="false" outlineLevel="0" collapsed="false">
      <c r="A14" s="46" t="str">
        <f aca="false">_xlfn.CONCAT($A$1, ".CALC.", CALC!A45)</f>
        <v>LSD.RID.0.AL.WRAVG.CALC.10</v>
      </c>
      <c r="B14" s="50" t="str">
        <f aca="false">CALC!C45</f>
        <v>Retail Trade (Food, Clothing, General Merchandise, etc.)</v>
      </c>
      <c r="C14" s="18" t="n">
        <v>11.5</v>
      </c>
      <c r="D14" s="18" t="n">
        <v>38</v>
      </c>
      <c r="E14" s="18" t="n">
        <v>20.8</v>
      </c>
      <c r="F14" s="18" t="n">
        <v>12.08</v>
      </c>
      <c r="G14" s="18" t="n">
        <v>40.28</v>
      </c>
      <c r="H14" s="18" t="n">
        <v>21.84</v>
      </c>
      <c r="I14" s="18" t="n">
        <v>8.05</v>
      </c>
      <c r="J14" s="18" t="n">
        <v>30.4</v>
      </c>
      <c r="K14" s="18" t="n">
        <v>16.64</v>
      </c>
      <c r="L14" s="18" t="n">
        <v>11.62</v>
      </c>
      <c r="M14" s="18" t="n">
        <v>38.4</v>
      </c>
      <c r="N14" s="18" t="n">
        <v>21</v>
      </c>
      <c r="AJ14" s="3"/>
      <c r="AK14" s="3"/>
      <c r="AL14" s="3"/>
      <c r="AM14" s="3"/>
      <c r="AZ14" s="3"/>
      <c r="BA14" s="3"/>
      <c r="BB14" s="3"/>
      <c r="BC14" s="3"/>
      <c r="BD14" s="3"/>
      <c r="BE14" s="3"/>
      <c r="BF14" s="3"/>
      <c r="BG14" s="3"/>
      <c r="BH14" s="3"/>
      <c r="BI14" s="3"/>
      <c r="BJ14" s="3"/>
      <c r="BK14" s="3"/>
      <c r="BL14" s="3"/>
      <c r="BM14" s="3"/>
      <c r="BN14" s="3"/>
      <c r="BO14" s="3"/>
    </row>
    <row r="15" customFormat="false" ht="12.8" hidden="false" customHeight="false" outlineLevel="0" collapsed="false">
      <c r="A15" s="46" t="str">
        <f aca="false">_xlfn.CONCAT($A$1, ".CALC.", CALC!A46)</f>
        <v>LSD.RID.0.AL.WRAVG.CALC.11</v>
      </c>
      <c r="B15" s="22" t="str">
        <f aca="false">CALC!C46</f>
        <v>Transportation</v>
      </c>
      <c r="C15" s="18" t="n">
        <v>17</v>
      </c>
      <c r="D15" s="18" t="n">
        <v>58</v>
      </c>
      <c r="E15" s="18" t="n">
        <v>31.7</v>
      </c>
      <c r="F15" s="18" t="n">
        <v>17.85</v>
      </c>
      <c r="G15" s="18" t="n">
        <v>61.48</v>
      </c>
      <c r="H15" s="18" t="n">
        <v>33.29</v>
      </c>
      <c r="I15" s="18" t="n">
        <v>11.9</v>
      </c>
      <c r="J15" s="18" t="n">
        <v>46.4</v>
      </c>
      <c r="K15" s="18" t="n">
        <v>25.36</v>
      </c>
      <c r="L15" s="18" t="n">
        <v>17.2</v>
      </c>
      <c r="M15" s="18" t="n">
        <v>58.6</v>
      </c>
      <c r="N15" s="18" t="n">
        <v>32.02</v>
      </c>
      <c r="AJ15" s="3"/>
      <c r="AK15" s="3"/>
      <c r="AL15" s="3"/>
      <c r="AM15" s="3"/>
      <c r="AZ15" s="3"/>
      <c r="BA15" s="3"/>
      <c r="BB15" s="3"/>
      <c r="BC15" s="3"/>
      <c r="BD15" s="3"/>
      <c r="BE15" s="3"/>
      <c r="BF15" s="3"/>
      <c r="BG15" s="3"/>
      <c r="BH15" s="3"/>
      <c r="BI15" s="3"/>
      <c r="BJ15" s="3"/>
      <c r="BK15" s="3"/>
      <c r="BL15" s="3"/>
      <c r="BM15" s="3"/>
      <c r="BN15" s="3"/>
      <c r="BO15" s="3"/>
    </row>
    <row r="16" customFormat="false" ht="12.8" hidden="false" customHeight="false" outlineLevel="0" collapsed="false">
      <c r="A16" s="46" t="str">
        <f aca="false">_xlfn.CONCAT($A$1, ".CALC.", CALC!A47)</f>
        <v>LSD.RID.0.AL.WRAVG.CALC.12</v>
      </c>
      <c r="B16" s="22" t="str">
        <f aca="false">CALC!C47</f>
        <v>Warehousing and Storage</v>
      </c>
      <c r="C16" s="18" t="n">
        <v>14</v>
      </c>
      <c r="D16" s="18" t="n">
        <v>45</v>
      </c>
      <c r="E16" s="18" t="n">
        <v>25.9</v>
      </c>
      <c r="F16" s="18" t="n">
        <v>14.7</v>
      </c>
      <c r="G16" s="18" t="n">
        <v>47.7</v>
      </c>
      <c r="H16" s="18" t="n">
        <v>27.2</v>
      </c>
      <c r="I16" s="18" t="n">
        <v>9.8</v>
      </c>
      <c r="J16" s="18" t="n">
        <v>36</v>
      </c>
      <c r="K16" s="18" t="n">
        <v>20.72</v>
      </c>
      <c r="L16" s="18" t="n">
        <v>14.14</v>
      </c>
      <c r="M16" s="18" t="n">
        <v>45.5</v>
      </c>
      <c r="N16" s="18" t="n">
        <v>26.15</v>
      </c>
      <c r="AJ16" s="3"/>
      <c r="AK16" s="3"/>
      <c r="AL16" s="3"/>
      <c r="AM16" s="3"/>
      <c r="AZ16" s="3"/>
      <c r="BA16" s="3"/>
      <c r="BB16" s="3"/>
      <c r="BC16" s="3"/>
      <c r="BD16" s="3"/>
      <c r="BE16" s="3"/>
      <c r="BF16" s="3"/>
      <c r="BG16" s="3"/>
      <c r="BH16" s="3"/>
      <c r="BI16" s="3"/>
      <c r="BJ16" s="3"/>
      <c r="BK16" s="3"/>
      <c r="BL16" s="3"/>
      <c r="BM16" s="3"/>
      <c r="BN16" s="3"/>
      <c r="BO16" s="3"/>
    </row>
    <row r="17" customFormat="false" ht="12.8" hidden="false" customHeight="false" outlineLevel="0" collapsed="false">
      <c r="A17" s="46" t="str">
        <f aca="false">_xlfn.CONCAT($A$1, ".CALC.", CALC!A48)</f>
        <v>LSD.RID.0.AL.WRAVG.CALC.13</v>
      </c>
      <c r="B17" s="22" t="str">
        <f aca="false">CALC!C48</f>
        <v>Information</v>
      </c>
      <c r="C17" s="18" t="n">
        <v>20</v>
      </c>
      <c r="D17" s="18" t="n">
        <v>70</v>
      </c>
      <c r="E17" s="18" t="n">
        <v>38.5</v>
      </c>
      <c r="F17" s="18" t="n">
        <v>21</v>
      </c>
      <c r="G17" s="18" t="n">
        <v>74.2</v>
      </c>
      <c r="H17" s="18" t="n">
        <v>40.43</v>
      </c>
      <c r="I17" s="18" t="n">
        <v>14</v>
      </c>
      <c r="J17" s="18" t="n">
        <v>56</v>
      </c>
      <c r="K17" s="18" t="n">
        <v>32.73</v>
      </c>
      <c r="L17" s="18" t="n">
        <v>20.2</v>
      </c>
      <c r="M17" s="18" t="n">
        <v>70.7</v>
      </c>
      <c r="N17" s="18" t="n">
        <v>38.88</v>
      </c>
      <c r="AJ17" s="3"/>
      <c r="AK17" s="3"/>
      <c r="AL17" s="3"/>
      <c r="AM17" s="3"/>
      <c r="AZ17" s="3"/>
      <c r="BA17" s="3"/>
      <c r="BB17" s="3"/>
      <c r="BC17" s="3"/>
      <c r="BD17" s="3"/>
      <c r="BE17" s="3"/>
      <c r="BF17" s="3"/>
      <c r="BG17" s="3"/>
      <c r="BH17" s="3"/>
      <c r="BI17" s="3"/>
      <c r="BJ17" s="3"/>
      <c r="BK17" s="3"/>
      <c r="BL17" s="3"/>
      <c r="BM17" s="3"/>
      <c r="BN17" s="3"/>
      <c r="BO17" s="3"/>
    </row>
    <row r="18" customFormat="false" ht="12.8" hidden="false" customHeight="false" outlineLevel="0" collapsed="false">
      <c r="A18" s="46" t="str">
        <f aca="false">_xlfn.CONCAT($A$1, ".CALC.", CALC!A49)</f>
        <v>LSD.RID.0.AL.WRAVG.CALC.14</v>
      </c>
      <c r="B18" s="22" t="str">
        <f aca="false">CALC!C49</f>
        <v>Finance and Insurance</v>
      </c>
      <c r="C18" s="18" t="n">
        <v>22</v>
      </c>
      <c r="D18" s="18" t="n">
        <v>75</v>
      </c>
      <c r="E18" s="18" t="n">
        <v>40.1</v>
      </c>
      <c r="F18" s="18" t="n">
        <v>23.1</v>
      </c>
      <c r="G18" s="18" t="n">
        <v>79.5</v>
      </c>
      <c r="H18" s="18" t="n">
        <v>42.11</v>
      </c>
      <c r="I18" s="18" t="n">
        <v>15.4</v>
      </c>
      <c r="J18" s="18" t="n">
        <v>60</v>
      </c>
      <c r="K18" s="18" t="n">
        <v>34.09</v>
      </c>
      <c r="L18" s="18" t="n">
        <v>22.2</v>
      </c>
      <c r="M18" s="18" t="n">
        <v>75.8</v>
      </c>
      <c r="N18" s="18" t="n">
        <v>40.5</v>
      </c>
      <c r="AJ18" s="3"/>
      <c r="AK18" s="3"/>
      <c r="AL18" s="3"/>
      <c r="AM18" s="3"/>
      <c r="AZ18" s="3"/>
      <c r="BA18" s="3"/>
      <c r="BB18" s="3"/>
      <c r="BC18" s="3"/>
      <c r="BD18" s="3"/>
      <c r="BE18" s="3"/>
      <c r="BF18" s="3"/>
      <c r="BG18" s="3"/>
      <c r="BH18" s="3"/>
      <c r="BI18" s="3"/>
      <c r="BJ18" s="3"/>
      <c r="BK18" s="3"/>
      <c r="BL18" s="3"/>
      <c r="BM18" s="3"/>
      <c r="BN18" s="3"/>
      <c r="BO18" s="3"/>
    </row>
    <row r="19" customFormat="false" ht="12.8" hidden="false" customHeight="false" outlineLevel="0" collapsed="false">
      <c r="A19" s="46" t="str">
        <f aca="false">_xlfn.CONCAT($A$1, ".CALC.", CALC!A50)</f>
        <v>LSD.RID.0.AL.WRAVG.CALC.15</v>
      </c>
      <c r="B19" s="50" t="str">
        <f aca="false">CALC!C50</f>
        <v>Real Estate and Rental and Leasing</v>
      </c>
      <c r="C19" s="18" t="n">
        <v>17.5</v>
      </c>
      <c r="D19" s="18" t="n">
        <v>60</v>
      </c>
      <c r="E19" s="18" t="n">
        <v>32.4</v>
      </c>
      <c r="F19" s="18" t="n">
        <v>18.38</v>
      </c>
      <c r="G19" s="18" t="n">
        <v>63.6</v>
      </c>
      <c r="H19" s="18" t="n">
        <v>34.02</v>
      </c>
      <c r="I19" s="18" t="n">
        <v>12.25</v>
      </c>
      <c r="J19" s="18" t="n">
        <v>48</v>
      </c>
      <c r="K19" s="18" t="n">
        <v>27.54</v>
      </c>
      <c r="L19" s="18" t="n">
        <v>17.7</v>
      </c>
      <c r="M19" s="18" t="n">
        <v>60.6</v>
      </c>
      <c r="N19" s="18" t="n">
        <v>32.73</v>
      </c>
      <c r="AJ19" s="3"/>
      <c r="AK19" s="3"/>
      <c r="AL19" s="3"/>
      <c r="AM19" s="3"/>
      <c r="AZ19" s="3"/>
      <c r="BA19" s="3"/>
      <c r="BB19" s="3"/>
      <c r="BC19" s="3"/>
      <c r="BD19" s="3"/>
      <c r="BE19" s="3"/>
      <c r="BF19" s="3"/>
      <c r="BG19" s="3"/>
      <c r="BH19" s="3"/>
      <c r="BI19" s="3"/>
      <c r="BJ19" s="3"/>
      <c r="BK19" s="3"/>
      <c r="BL19" s="3"/>
      <c r="BM19" s="3"/>
      <c r="BN19" s="3"/>
      <c r="BO19" s="3"/>
    </row>
    <row r="20" customFormat="false" ht="12.8" hidden="false" customHeight="false" outlineLevel="0" collapsed="false">
      <c r="A20" s="46" t="str">
        <f aca="false">_xlfn.CONCAT($A$1, ".CALC.", CALC!A51)</f>
        <v>LSD.RID.0.AL.WRAVG.CALC.16</v>
      </c>
      <c r="B20" s="50" t="str">
        <f aca="false">CALC!C51</f>
        <v>Professional, Scientific, and Technical Services</v>
      </c>
      <c r="C20" s="18" t="n">
        <v>25</v>
      </c>
      <c r="D20" s="18" t="n">
        <v>90</v>
      </c>
      <c r="E20" s="18" t="n">
        <v>45.8</v>
      </c>
      <c r="F20" s="18" t="n">
        <v>26.25</v>
      </c>
      <c r="G20" s="18" t="n">
        <v>95.4</v>
      </c>
      <c r="H20" s="18" t="n">
        <v>48.09</v>
      </c>
      <c r="I20" s="18" t="n">
        <v>17.5</v>
      </c>
      <c r="J20" s="18" t="n">
        <v>72</v>
      </c>
      <c r="K20" s="18" t="n">
        <v>38.93</v>
      </c>
      <c r="L20" s="18" t="n">
        <v>25.3</v>
      </c>
      <c r="M20" s="18" t="n">
        <v>90.9</v>
      </c>
      <c r="N20" s="18" t="n">
        <v>46.26</v>
      </c>
      <c r="AJ20" s="3"/>
      <c r="AK20" s="3"/>
      <c r="AL20" s="3"/>
      <c r="AM20" s="3"/>
      <c r="AZ20" s="3"/>
      <c r="BA20" s="3"/>
      <c r="BB20" s="3"/>
      <c r="BC20" s="3"/>
      <c r="BD20" s="3"/>
      <c r="BE20" s="3"/>
      <c r="BF20" s="3"/>
      <c r="BG20" s="3"/>
      <c r="BH20" s="3"/>
      <c r="BI20" s="3"/>
      <c r="BJ20" s="3"/>
      <c r="BK20" s="3"/>
      <c r="BL20" s="3"/>
      <c r="BM20" s="3"/>
      <c r="BN20" s="3"/>
      <c r="BO20" s="3"/>
    </row>
    <row r="21" customFormat="false" ht="22.8" hidden="false" customHeight="false" outlineLevel="0" collapsed="false">
      <c r="A21" s="46" t="str">
        <f aca="false">_xlfn.CONCAT($A$1, ".CALC.", CALC!A52)</f>
        <v>LSD.RID.0.AL.WRAVG.CALC.17</v>
      </c>
      <c r="B21" s="50" t="str">
        <f aca="false">CALC!C52</f>
        <v>Administrative and Support and Waste Management and Remediation Services</v>
      </c>
      <c r="C21" s="18" t="n">
        <v>12</v>
      </c>
      <c r="D21" s="18" t="n">
        <v>40</v>
      </c>
      <c r="E21" s="18" t="n">
        <v>22.3</v>
      </c>
      <c r="F21" s="18" t="n">
        <v>12.6</v>
      </c>
      <c r="G21" s="18" t="n">
        <v>42.4</v>
      </c>
      <c r="H21" s="18" t="n">
        <v>23.42</v>
      </c>
      <c r="I21" s="18" t="n">
        <v>8.4</v>
      </c>
      <c r="J21" s="18" t="n">
        <v>32</v>
      </c>
      <c r="K21" s="18" t="n">
        <v>17.84</v>
      </c>
      <c r="L21" s="18" t="n">
        <v>12.12</v>
      </c>
      <c r="M21" s="18" t="n">
        <v>40.4</v>
      </c>
      <c r="N21" s="18" t="n">
        <v>22.55</v>
      </c>
      <c r="AJ21" s="3"/>
      <c r="AK21" s="3"/>
      <c r="AL21" s="3"/>
      <c r="AM21" s="3"/>
      <c r="AZ21" s="3"/>
      <c r="BA21" s="3"/>
      <c r="BB21" s="3"/>
      <c r="BC21" s="3"/>
      <c r="BD21" s="3"/>
      <c r="BE21" s="3"/>
      <c r="BF21" s="3"/>
      <c r="BG21" s="3"/>
      <c r="BH21" s="3"/>
      <c r="BI21" s="3"/>
      <c r="BJ21" s="3"/>
      <c r="BK21" s="3"/>
      <c r="BL21" s="3"/>
      <c r="BM21" s="3"/>
      <c r="BN21" s="3"/>
      <c r="BO21" s="3"/>
    </row>
    <row r="22" customFormat="false" ht="12.8" hidden="false" customHeight="false" outlineLevel="0" collapsed="false">
      <c r="A22" s="46" t="str">
        <f aca="false">_xlfn.CONCAT($A$1, ".CALC.", CALC!A53)</f>
        <v>LSD.RID.0.AL.WRAVG.CALC.18</v>
      </c>
      <c r="B22" s="22" t="str">
        <f aca="false">CALC!C53</f>
        <v>Educational Services</v>
      </c>
      <c r="C22" s="18" t="n">
        <v>18.5</v>
      </c>
      <c r="D22" s="18" t="n">
        <v>62</v>
      </c>
      <c r="E22" s="18" t="n">
        <v>34.2</v>
      </c>
      <c r="F22" s="18" t="n">
        <v>19.43</v>
      </c>
      <c r="G22" s="18" t="n">
        <v>65.72</v>
      </c>
      <c r="H22" s="18" t="n">
        <v>35.91</v>
      </c>
      <c r="I22" s="18" t="n">
        <v>12.95</v>
      </c>
      <c r="J22" s="18" t="n">
        <v>49.6</v>
      </c>
      <c r="K22" s="18" t="n">
        <v>29.07</v>
      </c>
      <c r="L22" s="18" t="n">
        <v>18.7</v>
      </c>
      <c r="M22" s="18" t="n">
        <v>62.6</v>
      </c>
      <c r="N22" s="18" t="n">
        <v>34.55</v>
      </c>
      <c r="AJ22" s="3"/>
      <c r="AK22" s="3"/>
      <c r="AL22" s="3"/>
      <c r="AM22" s="3"/>
      <c r="AZ22" s="3"/>
      <c r="BA22" s="3"/>
      <c r="BB22" s="3"/>
      <c r="BC22" s="3"/>
      <c r="BD22" s="3"/>
      <c r="BE22" s="3"/>
      <c r="BF22" s="3"/>
      <c r="BG22" s="3"/>
      <c r="BH22" s="3"/>
      <c r="BI22" s="3"/>
      <c r="BJ22" s="3"/>
      <c r="BK22" s="3"/>
      <c r="BL22" s="3"/>
      <c r="BM22" s="3"/>
      <c r="BN22" s="3"/>
      <c r="BO22" s="3"/>
    </row>
    <row r="23" customFormat="false" ht="12.8" hidden="false" customHeight="false" outlineLevel="0" collapsed="false">
      <c r="A23" s="46" t="str">
        <f aca="false">_xlfn.CONCAT($A$1, ".CALC.", CALC!A54)</f>
        <v>LSD.RID.0.AL.WRAVG.CALC.19</v>
      </c>
      <c r="B23" s="50" t="str">
        <f aca="false">CALC!C54</f>
        <v>Health Care and Social Assistance</v>
      </c>
      <c r="C23" s="18" t="n">
        <v>20</v>
      </c>
      <c r="D23" s="18" t="n">
        <v>68</v>
      </c>
      <c r="E23" s="18" t="n">
        <v>36.7</v>
      </c>
      <c r="F23" s="18" t="n">
        <v>21</v>
      </c>
      <c r="G23" s="18" t="n">
        <v>72.08</v>
      </c>
      <c r="H23" s="18" t="n">
        <v>38.54</v>
      </c>
      <c r="I23" s="18" t="n">
        <v>14</v>
      </c>
      <c r="J23" s="18" t="n">
        <v>54.4</v>
      </c>
      <c r="K23" s="18" t="n">
        <v>31.2</v>
      </c>
      <c r="L23" s="18" t="n">
        <v>20.2</v>
      </c>
      <c r="M23" s="18" t="n">
        <v>68.7</v>
      </c>
      <c r="N23" s="18" t="n">
        <v>37.07</v>
      </c>
      <c r="AJ23" s="3"/>
      <c r="AK23" s="3"/>
      <c r="AL23" s="3"/>
      <c r="AM23" s="3"/>
      <c r="AZ23" s="3"/>
      <c r="BA23" s="3"/>
      <c r="BB23" s="3"/>
      <c r="BC23" s="3"/>
      <c r="BD23" s="3"/>
      <c r="BE23" s="3"/>
      <c r="BF23" s="3"/>
      <c r="BG23" s="3"/>
      <c r="BH23" s="3"/>
      <c r="BI23" s="3"/>
      <c r="BJ23" s="3"/>
      <c r="BK23" s="3"/>
      <c r="BL23" s="3"/>
      <c r="BM23" s="3"/>
      <c r="BN23" s="3"/>
      <c r="BO23" s="3"/>
    </row>
    <row r="24" customFormat="false" ht="12.8" hidden="false" customHeight="false" outlineLevel="0" collapsed="false">
      <c r="A24" s="46" t="str">
        <f aca="false">_xlfn.CONCAT($A$1, ".CALC.", CALC!A55)</f>
        <v>LSD.RID.0.AL.WRAVG.CALC.20</v>
      </c>
      <c r="B24" s="50" t="str">
        <f aca="false">CALC!C55</f>
        <v>Arts, Entertainment,and Recreation</v>
      </c>
      <c r="C24" s="18" t="n">
        <v>13</v>
      </c>
      <c r="D24" s="18" t="n">
        <v>42</v>
      </c>
      <c r="E24" s="18" t="n">
        <v>24.5</v>
      </c>
      <c r="F24" s="18" t="n">
        <v>13.65</v>
      </c>
      <c r="G24" s="18" t="n">
        <v>44.52</v>
      </c>
      <c r="H24" s="18" t="n">
        <v>25.73</v>
      </c>
      <c r="I24" s="18" t="n">
        <v>9.1</v>
      </c>
      <c r="J24" s="18" t="n">
        <v>33.6</v>
      </c>
      <c r="K24" s="18" t="n">
        <v>19.6</v>
      </c>
      <c r="L24" s="18" t="n">
        <v>13.13</v>
      </c>
      <c r="M24" s="18" t="n">
        <v>42.4</v>
      </c>
      <c r="N24" s="18" t="n">
        <v>24.75</v>
      </c>
      <c r="AJ24" s="3"/>
      <c r="AK24" s="3"/>
      <c r="AL24" s="3"/>
      <c r="AM24" s="3"/>
      <c r="AZ24" s="3"/>
      <c r="BA24" s="3"/>
      <c r="BB24" s="3"/>
      <c r="BC24" s="3"/>
      <c r="BD24" s="3"/>
      <c r="BE24" s="3"/>
      <c r="BF24" s="3"/>
      <c r="BG24" s="3"/>
      <c r="BH24" s="3"/>
      <c r="BI24" s="3"/>
      <c r="BJ24" s="3"/>
      <c r="BK24" s="3"/>
      <c r="BL24" s="3"/>
      <c r="BM24" s="3"/>
      <c r="BN24" s="3"/>
      <c r="BO24" s="3"/>
    </row>
    <row r="25" customFormat="false" ht="12.8" hidden="false" customHeight="false" outlineLevel="0" collapsed="false">
      <c r="A25" s="46" t="str">
        <f aca="false">_xlfn.CONCAT($A$1, ".CALC.", CALC!A56)</f>
        <v>LSD.RID.0.AL.WRAVG.CALC.21</v>
      </c>
      <c r="B25" s="50" t="str">
        <f aca="false">CALC!C56</f>
        <v>Accommodation and Food Services</v>
      </c>
      <c r="C25" s="18" t="n">
        <v>9.5</v>
      </c>
      <c r="D25" s="18" t="n">
        <v>32</v>
      </c>
      <c r="E25" s="18" t="n">
        <v>16.8</v>
      </c>
      <c r="F25" s="18" t="n">
        <v>9.98</v>
      </c>
      <c r="G25" s="18" t="n">
        <v>33.92</v>
      </c>
      <c r="H25" s="18" t="n">
        <v>17.64</v>
      </c>
      <c r="I25" s="18" t="n">
        <v>6.65</v>
      </c>
      <c r="J25" s="18" t="n">
        <v>25.6</v>
      </c>
      <c r="K25" s="18" t="n">
        <v>13.44</v>
      </c>
      <c r="L25" s="18" t="n">
        <v>9.6</v>
      </c>
      <c r="M25" s="18" t="n">
        <v>32.3</v>
      </c>
      <c r="N25" s="18" t="n">
        <v>17</v>
      </c>
      <c r="AJ25" s="3"/>
      <c r="AK25" s="3"/>
      <c r="AL25" s="3"/>
      <c r="AM25" s="3"/>
      <c r="AZ25" s="3"/>
      <c r="BA25" s="3"/>
      <c r="BB25" s="3"/>
      <c r="BC25" s="3"/>
      <c r="BD25" s="3"/>
      <c r="BE25" s="3"/>
      <c r="BF25" s="3"/>
      <c r="BG25" s="3"/>
      <c r="BH25" s="3"/>
      <c r="BI25" s="3"/>
      <c r="BJ25" s="3"/>
      <c r="BK25" s="3"/>
      <c r="BL25" s="3"/>
      <c r="BM25" s="3"/>
      <c r="BN25" s="3"/>
      <c r="BO25" s="3"/>
    </row>
    <row r="26" customFormat="false" ht="12.8" hidden="false" customHeight="false" outlineLevel="0" collapsed="false">
      <c r="A26" s="46" t="str">
        <f aca="false">_xlfn.CONCAT($A$1, ".CALC.", CALC!A57)</f>
        <v>LSD.RID.0.AL.WRAVG.CALC.22</v>
      </c>
      <c r="B26" s="50" t="str">
        <f aca="false">CALC!C57</f>
        <v>Other Services (except Public Administration)</v>
      </c>
      <c r="C26" s="18" t="n">
        <v>14</v>
      </c>
      <c r="D26" s="18" t="n">
        <v>48</v>
      </c>
      <c r="E26" s="18" t="n">
        <v>26.1</v>
      </c>
      <c r="F26" s="18" t="n">
        <v>14.7</v>
      </c>
      <c r="G26" s="18" t="n">
        <v>50.88</v>
      </c>
      <c r="H26" s="18" t="n">
        <v>27.41</v>
      </c>
      <c r="I26" s="18" t="n">
        <v>9.8</v>
      </c>
      <c r="J26" s="18" t="n">
        <v>38.4</v>
      </c>
      <c r="K26" s="18" t="n">
        <v>20.88</v>
      </c>
      <c r="L26" s="18" t="n">
        <v>14.14</v>
      </c>
      <c r="M26" s="18" t="n">
        <v>48.5</v>
      </c>
      <c r="N26" s="18" t="n">
        <v>26.35</v>
      </c>
      <c r="AJ26" s="3"/>
      <c r="AK26" s="3"/>
      <c r="AL26" s="3"/>
      <c r="AM26" s="3"/>
      <c r="AZ26" s="3"/>
      <c r="BA26" s="3"/>
      <c r="BB26" s="3"/>
      <c r="BC26" s="3"/>
      <c r="BD26" s="3"/>
      <c r="BE26" s="3"/>
      <c r="BF26" s="3"/>
      <c r="BG26" s="3"/>
      <c r="BH26" s="3"/>
      <c r="BI26" s="3"/>
      <c r="BJ26" s="3"/>
      <c r="BK26" s="3"/>
      <c r="BL26" s="3"/>
      <c r="BM26" s="3"/>
      <c r="BN26" s="3"/>
      <c r="BO26" s="3"/>
    </row>
    <row r="27" customFormat="false" ht="12.8" hidden="false" customHeight="false" outlineLevel="0" collapsed="false">
      <c r="A27" s="46" t="str">
        <f aca="false">_xlfn.CONCAT($A$1, ".CALC.", CALC!A58)</f>
        <v>LSD.RID.0.AL.WRAVG.CALC.23</v>
      </c>
      <c r="B27" s="22" t="str">
        <f aca="false">CALC!C58</f>
        <v>Public Administration</v>
      </c>
      <c r="C27" s="18" t="n">
        <v>22</v>
      </c>
      <c r="D27" s="18" t="n">
        <v>72</v>
      </c>
      <c r="E27" s="18" t="n">
        <v>38.9</v>
      </c>
      <c r="F27" s="18" t="n">
        <v>23.1</v>
      </c>
      <c r="G27" s="18" t="n">
        <v>76.32</v>
      </c>
      <c r="H27" s="18" t="n">
        <v>40.85</v>
      </c>
      <c r="I27" s="18" t="n">
        <v>15.4</v>
      </c>
      <c r="J27" s="18" t="n">
        <v>57.6</v>
      </c>
      <c r="K27" s="18" t="n">
        <v>33.07</v>
      </c>
      <c r="L27" s="18" t="n">
        <v>22.2</v>
      </c>
      <c r="M27" s="18" t="n">
        <v>72.7</v>
      </c>
      <c r="N27" s="18" t="n">
        <v>39.29</v>
      </c>
      <c r="AJ27" s="3"/>
      <c r="AK27" s="3"/>
      <c r="AL27" s="3"/>
      <c r="AM27" s="3"/>
      <c r="AZ27" s="3"/>
      <c r="BA27" s="3"/>
      <c r="BB27" s="3"/>
      <c r="BC27" s="3"/>
      <c r="BD27" s="3"/>
      <c r="BE27" s="3"/>
      <c r="BF27" s="3"/>
      <c r="BG27" s="3"/>
      <c r="BH27" s="3"/>
      <c r="BI27" s="3"/>
      <c r="BJ27" s="3"/>
      <c r="BK27" s="3"/>
      <c r="BL27" s="3"/>
      <c r="BM27" s="3"/>
      <c r="BN27" s="3"/>
      <c r="BO27" s="3"/>
    </row>
    <row r="28" customFormat="false" ht="12.8" hidden="false" customHeight="false" outlineLevel="0" collapsed="false">
      <c r="A28" s="46"/>
      <c r="B28" s="22"/>
      <c r="AJ28" s="3"/>
      <c r="AK28" s="3"/>
      <c r="AL28" s="3"/>
      <c r="AM28" s="3"/>
      <c r="AZ28" s="3"/>
      <c r="BA28" s="3"/>
      <c r="BB28" s="3"/>
      <c r="BC28" s="3"/>
      <c r="BD28" s="3"/>
      <c r="BE28" s="3"/>
      <c r="BF28" s="3"/>
      <c r="BG28" s="3"/>
      <c r="BH28" s="3"/>
      <c r="BI28" s="3"/>
      <c r="BJ28" s="3"/>
      <c r="BK28" s="3"/>
      <c r="BL28" s="3"/>
      <c r="BM28" s="3"/>
      <c r="BN28" s="3"/>
      <c r="BO28" s="3"/>
    </row>
    <row r="29" customFormat="false" ht="12.8" hidden="false" customHeight="false" outlineLevel="0" collapsed="false">
      <c r="A29" s="46" t="s">
        <v>2944</v>
      </c>
      <c r="B29" s="47" t="s">
        <v>2945</v>
      </c>
      <c r="C29" s="47"/>
    </row>
    <row r="30" customFormat="false" ht="12.8" hidden="false" customHeight="false" outlineLevel="0" collapsed="false">
      <c r="A30" s="14" t="s">
        <v>93</v>
      </c>
      <c r="B30" s="49" t="s">
        <v>1801</v>
      </c>
      <c r="C30" s="49" t="s">
        <v>283</v>
      </c>
      <c r="D30" s="49" t="s">
        <v>2056</v>
      </c>
      <c r="E30" s="49" t="s">
        <v>286</v>
      </c>
      <c r="F30" s="49" t="s">
        <v>287</v>
      </c>
    </row>
    <row r="31" customFormat="false" ht="12.8" hidden="false" customHeight="false" outlineLevel="0" collapsed="false">
      <c r="A31" s="49" t="s">
        <v>2946</v>
      </c>
      <c r="B31" s="49" t="s">
        <v>2947</v>
      </c>
      <c r="C31" s="49" t="s">
        <v>2948</v>
      </c>
      <c r="D31" s="49" t="s">
        <v>2949</v>
      </c>
      <c r="E31" s="49" t="s">
        <v>2950</v>
      </c>
      <c r="F31" s="49" t="s">
        <v>417</v>
      </c>
    </row>
    <row r="32" customFormat="false" ht="12.8" hidden="false" customHeight="false" outlineLevel="0" collapsed="false">
      <c r="A32" s="49" t="s">
        <v>2951</v>
      </c>
      <c r="B32" s="49" t="s">
        <v>2947</v>
      </c>
      <c r="C32" s="49" t="s">
        <v>2063</v>
      </c>
      <c r="D32" s="49" t="s">
        <v>2952</v>
      </c>
      <c r="E32" s="49" t="s">
        <v>2953</v>
      </c>
      <c r="F32" s="49" t="s">
        <v>417</v>
      </c>
    </row>
    <row r="33" customFormat="false" ht="12.8" hidden="false" customHeight="false" outlineLevel="0" collapsed="false">
      <c r="A33" s="49" t="s">
        <v>2954</v>
      </c>
      <c r="B33" s="49" t="s">
        <v>2947</v>
      </c>
      <c r="C33" s="49" t="s">
        <v>2066</v>
      </c>
      <c r="D33" s="49" t="s">
        <v>2955</v>
      </c>
      <c r="E33" s="49" t="s">
        <v>2956</v>
      </c>
      <c r="F33" s="49" t="s">
        <v>417</v>
      </c>
    </row>
    <row r="34" customFormat="false" ht="12.8" hidden="false" customHeight="false" outlineLevel="0" collapsed="false">
      <c r="A34" s="49" t="s">
        <v>2957</v>
      </c>
      <c r="B34" s="49" t="s">
        <v>2947</v>
      </c>
      <c r="C34" s="49" t="s">
        <v>2958</v>
      </c>
      <c r="D34" s="49" t="s">
        <v>2959</v>
      </c>
      <c r="E34" s="49" t="s">
        <v>422</v>
      </c>
      <c r="F34" s="49" t="s">
        <v>417</v>
      </c>
    </row>
    <row r="35" customFormat="false" ht="12.8" hidden="false" customHeight="false" outlineLevel="0" collapsed="false">
      <c r="A35" s="49"/>
      <c r="B35" s="49"/>
      <c r="C35" s="49"/>
      <c r="D35" s="49"/>
      <c r="E35" s="49"/>
      <c r="F35" s="49"/>
    </row>
    <row r="36" customFormat="false" ht="12.8" hidden="false" customHeight="false" outlineLevel="0" collapsed="false">
      <c r="A36" s="46" t="s">
        <v>2960</v>
      </c>
      <c r="B36" s="47" t="s">
        <v>2961</v>
      </c>
      <c r="C36" s="47"/>
    </row>
    <row r="37" customFormat="false" ht="12.8" hidden="false" customHeight="false" outlineLevel="0" collapsed="false">
      <c r="A37" s="49" t="s">
        <v>97</v>
      </c>
      <c r="B37" s="49" t="s">
        <v>283</v>
      </c>
      <c r="C37" s="49" t="s">
        <v>2073</v>
      </c>
      <c r="D37" s="49" t="s">
        <v>286</v>
      </c>
      <c r="E37" s="49" t="s">
        <v>850</v>
      </c>
      <c r="F37" s="49" t="s">
        <v>851</v>
      </c>
      <c r="G37" s="49" t="s">
        <v>852</v>
      </c>
      <c r="H37" s="49" t="s">
        <v>287</v>
      </c>
    </row>
    <row r="38" customFormat="false" ht="12.8" hidden="false" customHeight="false" outlineLevel="0" collapsed="false">
      <c r="A38" s="49" t="s">
        <v>2962</v>
      </c>
      <c r="B38" s="49" t="s">
        <v>2963</v>
      </c>
      <c r="C38" s="49" t="n">
        <v>15</v>
      </c>
      <c r="D38" s="49" t="s">
        <v>2964</v>
      </c>
      <c r="E38" s="49" t="s">
        <v>857</v>
      </c>
      <c r="F38" s="49" t="s">
        <v>2965</v>
      </c>
      <c r="G38" s="59" t="s">
        <v>859</v>
      </c>
      <c r="H38" s="49" t="s">
        <v>417</v>
      </c>
    </row>
    <row r="39" customFormat="false" ht="12.8" hidden="false" customHeight="false" outlineLevel="0" collapsed="false">
      <c r="A39" s="49" t="s">
        <v>2966</v>
      </c>
      <c r="B39" s="49" t="s">
        <v>2967</v>
      </c>
      <c r="C39" s="49" t="n">
        <v>55</v>
      </c>
      <c r="D39" s="49" t="s">
        <v>2968</v>
      </c>
      <c r="E39" s="49" t="s">
        <v>857</v>
      </c>
      <c r="F39" s="49" t="s">
        <v>2965</v>
      </c>
      <c r="G39" s="59" t="s">
        <v>859</v>
      </c>
      <c r="H39" s="49" t="s">
        <v>417</v>
      </c>
    </row>
    <row r="40" customFormat="false" ht="12.8" hidden="false" customHeight="false" outlineLevel="0" collapsed="false">
      <c r="A40" s="49" t="s">
        <v>2969</v>
      </c>
      <c r="B40" s="49" t="s">
        <v>2970</v>
      </c>
      <c r="C40" s="49" t="s">
        <v>2971</v>
      </c>
      <c r="D40" s="49" t="s">
        <v>2972</v>
      </c>
      <c r="E40" s="49" t="s">
        <v>857</v>
      </c>
      <c r="F40" s="49" t="s">
        <v>2973</v>
      </c>
      <c r="G40" s="59" t="s">
        <v>859</v>
      </c>
      <c r="H40" s="49" t="s">
        <v>2158</v>
      </c>
    </row>
    <row r="41" customFormat="false" ht="12.8" hidden="false" customHeight="false" outlineLevel="0" collapsed="false">
      <c r="A41" s="49" t="s">
        <v>2974</v>
      </c>
      <c r="B41" s="49" t="s">
        <v>2975</v>
      </c>
      <c r="C41" s="49" t="s">
        <v>2976</v>
      </c>
      <c r="D41" s="49" t="s">
        <v>2977</v>
      </c>
      <c r="E41" s="49" t="s">
        <v>857</v>
      </c>
      <c r="F41" s="49" t="s">
        <v>2973</v>
      </c>
      <c r="G41" s="59" t="s">
        <v>859</v>
      </c>
      <c r="H41" s="49" t="s">
        <v>2158</v>
      </c>
    </row>
    <row r="42" customFormat="false" ht="12.8" hidden="false" customHeight="false" outlineLevel="0" collapsed="false">
      <c r="A42" s="49" t="s">
        <v>2978</v>
      </c>
      <c r="B42" s="49" t="s">
        <v>2979</v>
      </c>
      <c r="C42" s="49" t="s">
        <v>2980</v>
      </c>
      <c r="D42" s="49" t="s">
        <v>2981</v>
      </c>
      <c r="E42" s="49" t="s">
        <v>857</v>
      </c>
      <c r="F42" s="49" t="s">
        <v>2982</v>
      </c>
      <c r="G42" s="59" t="s">
        <v>859</v>
      </c>
      <c r="H42" s="49" t="s">
        <v>2983</v>
      </c>
    </row>
    <row r="43" customFormat="false" ht="12.8" hidden="false" customHeight="false" outlineLevel="0" collapsed="false">
      <c r="A43" s="49" t="s">
        <v>2984</v>
      </c>
      <c r="B43" s="49" t="s">
        <v>2985</v>
      </c>
      <c r="C43" s="49" t="s">
        <v>2887</v>
      </c>
      <c r="D43" s="49" t="s">
        <v>2986</v>
      </c>
      <c r="E43" s="49" t="s">
        <v>857</v>
      </c>
      <c r="F43" s="49" t="s">
        <v>2982</v>
      </c>
      <c r="G43" s="59" t="s">
        <v>859</v>
      </c>
      <c r="H43" s="49" t="s">
        <v>2983</v>
      </c>
    </row>
    <row r="44" customFormat="false" ht="12.8" hidden="false" customHeight="false" outlineLevel="0" collapsed="false">
      <c r="A44" s="49" t="s">
        <v>2987</v>
      </c>
      <c r="B44" s="49" t="s">
        <v>2988</v>
      </c>
      <c r="C44" s="49" t="s">
        <v>2989</v>
      </c>
      <c r="D44" s="49" t="s">
        <v>2990</v>
      </c>
      <c r="E44" s="49" t="s">
        <v>857</v>
      </c>
      <c r="F44" s="49" t="s">
        <v>2758</v>
      </c>
      <c r="G44" s="59" t="s">
        <v>859</v>
      </c>
      <c r="H44" s="49" t="s">
        <v>2983</v>
      </c>
    </row>
    <row r="45" customFormat="false" ht="12.8" hidden="false" customHeight="false" outlineLevel="0" collapsed="false">
      <c r="A45" s="49" t="s">
        <v>2991</v>
      </c>
      <c r="B45" s="49" t="s">
        <v>2992</v>
      </c>
      <c r="C45" s="49" t="s">
        <v>2993</v>
      </c>
      <c r="D45" s="49" t="s">
        <v>2994</v>
      </c>
      <c r="E45" s="49" t="s">
        <v>857</v>
      </c>
      <c r="F45" s="49" t="s">
        <v>2758</v>
      </c>
      <c r="G45" s="59" t="s">
        <v>859</v>
      </c>
      <c r="H45" s="49" t="s">
        <v>2983</v>
      </c>
    </row>
    <row r="46" customFormat="false" ht="12.8" hidden="false" customHeight="false" outlineLevel="0" collapsed="false">
      <c r="A46" s="49" t="s">
        <v>2995</v>
      </c>
      <c r="B46" s="49" t="s">
        <v>2996</v>
      </c>
      <c r="C46" s="49" t="s">
        <v>2899</v>
      </c>
      <c r="D46" s="49" t="s">
        <v>2997</v>
      </c>
      <c r="E46" s="49" t="s">
        <v>857</v>
      </c>
      <c r="F46" s="49" t="s">
        <v>2998</v>
      </c>
      <c r="G46" s="59" t="s">
        <v>859</v>
      </c>
      <c r="H46" s="49" t="s">
        <v>2999</v>
      </c>
    </row>
    <row r="47" customFormat="false" ht="12.8" hidden="false" customHeight="false" outlineLevel="0" collapsed="false">
      <c r="A47" s="49" t="s">
        <v>3000</v>
      </c>
      <c r="B47" s="49" t="s">
        <v>3001</v>
      </c>
      <c r="C47" s="49" t="n">
        <v>0.88</v>
      </c>
      <c r="D47" s="49" t="s">
        <v>3002</v>
      </c>
      <c r="E47" s="49" t="s">
        <v>857</v>
      </c>
      <c r="F47" s="49" t="s">
        <v>3003</v>
      </c>
      <c r="G47" s="59" t="s">
        <v>859</v>
      </c>
      <c r="H47" s="49" t="s">
        <v>417</v>
      </c>
    </row>
    <row r="48" customFormat="false" ht="12.8" hidden="false" customHeight="false" outlineLevel="0" collapsed="false">
      <c r="A48" s="17" t="s">
        <v>3004</v>
      </c>
      <c r="B48" s="18" t="s">
        <v>1410</v>
      </c>
      <c r="C48" s="18" t="n">
        <v>4</v>
      </c>
      <c r="D48" s="18" t="s">
        <v>2167</v>
      </c>
      <c r="E48" s="18" t="s">
        <v>857</v>
      </c>
      <c r="F48" s="18" t="s">
        <v>2764</v>
      </c>
      <c r="G48" s="24" t="s">
        <v>859</v>
      </c>
      <c r="H48" s="18" t="s">
        <v>417</v>
      </c>
    </row>
    <row r="49" customFormat="false" ht="12.8" hidden="false" customHeight="false" outlineLevel="0" collapsed="false">
      <c r="G49" s="24"/>
    </row>
    <row r="50" customFormat="false" ht="12.8" hidden="false" customHeight="false" outlineLevel="0" collapsed="false">
      <c r="A50" s="14" t="s">
        <v>3005</v>
      </c>
      <c r="B50" s="22" t="s">
        <v>3006</v>
      </c>
    </row>
    <row r="51" customFormat="false" ht="12.8" hidden="false" customHeight="false" outlineLevel="0" collapsed="false">
      <c r="A51" s="14" t="s">
        <v>101</v>
      </c>
      <c r="B51" s="22" t="s">
        <v>286</v>
      </c>
      <c r="C51" s="22" t="s">
        <v>849</v>
      </c>
      <c r="D51" s="22" t="s">
        <v>2093</v>
      </c>
      <c r="E51" s="22" t="s">
        <v>850</v>
      </c>
      <c r="F51" s="22" t="s">
        <v>2094</v>
      </c>
    </row>
    <row r="52" customFormat="false" ht="12.8" hidden="false" customHeight="false" outlineLevel="0" collapsed="false">
      <c r="A52" s="17" t="s">
        <v>3007</v>
      </c>
      <c r="B52" s="18" t="s">
        <v>3008</v>
      </c>
      <c r="C52" s="18" t="s">
        <v>3009</v>
      </c>
      <c r="D52" s="18" t="s">
        <v>3010</v>
      </c>
      <c r="E52" s="18" t="s">
        <v>857</v>
      </c>
      <c r="F52" s="18" t="s">
        <v>3011</v>
      </c>
    </row>
    <row r="53" customFormat="false" ht="12.8" hidden="false" customHeight="false" outlineLevel="0" collapsed="false">
      <c r="A53" s="17" t="s">
        <v>3012</v>
      </c>
      <c r="B53" s="18" t="s">
        <v>2099</v>
      </c>
      <c r="C53" s="18" t="s">
        <v>3013</v>
      </c>
      <c r="D53" s="18" t="s">
        <v>857</v>
      </c>
      <c r="E53" s="18" t="s">
        <v>2771</v>
      </c>
    </row>
    <row r="54" customFormat="false" ht="12.8" hidden="false" customHeight="false" outlineLevel="0" collapsed="false">
      <c r="A54" s="17" t="s">
        <v>3014</v>
      </c>
      <c r="B54" s="18" t="s">
        <v>3015</v>
      </c>
      <c r="C54" s="18" t="s">
        <v>3016</v>
      </c>
      <c r="D54" s="18" t="s">
        <v>3017</v>
      </c>
      <c r="E54" s="18" t="s">
        <v>857</v>
      </c>
      <c r="F54" s="18" t="s">
        <v>3018</v>
      </c>
    </row>
    <row r="55" customFormat="false" ht="12.8" hidden="false" customHeight="false" outlineLevel="0" collapsed="false">
      <c r="A55" s="17" t="s">
        <v>3019</v>
      </c>
      <c r="B55" s="18" t="s">
        <v>2109</v>
      </c>
      <c r="C55" s="18" t="s">
        <v>3020</v>
      </c>
      <c r="D55" s="18" t="s">
        <v>3021</v>
      </c>
      <c r="E55" s="18" t="s">
        <v>857</v>
      </c>
      <c r="F55" s="18" t="s">
        <v>3022</v>
      </c>
    </row>
    <row r="56" customFormat="false" ht="12.8" hidden="false" customHeight="false" outlineLevel="0" collapsed="false">
      <c r="A56" s="17" t="s">
        <v>3023</v>
      </c>
      <c r="B56" s="18" t="s">
        <v>2114</v>
      </c>
      <c r="C56" s="18" t="s">
        <v>2186</v>
      </c>
      <c r="D56" s="18" t="s">
        <v>3024</v>
      </c>
      <c r="E56" s="18" t="s">
        <v>857</v>
      </c>
      <c r="F56" s="18" t="s">
        <v>2250</v>
      </c>
    </row>
    <row r="57" customFormat="false" ht="12.8" hidden="false" customHeight="false" outlineLevel="0" collapsed="false">
      <c r="A57" s="17" t="s">
        <v>3025</v>
      </c>
      <c r="B57" s="18" t="s">
        <v>2119</v>
      </c>
      <c r="C57" s="18" t="s">
        <v>2120</v>
      </c>
      <c r="D57" s="18" t="s">
        <v>3026</v>
      </c>
      <c r="E57" s="18" t="s">
        <v>857</v>
      </c>
      <c r="F57" s="18" t="s">
        <v>2785</v>
      </c>
    </row>
    <row r="58" customFormat="false" ht="12.8" hidden="false" customHeight="false" outlineLevel="0" collapsed="false">
      <c r="A58" s="17" t="s">
        <v>3027</v>
      </c>
      <c r="B58" s="18" t="s">
        <v>3028</v>
      </c>
      <c r="C58" s="18" t="s">
        <v>3029</v>
      </c>
      <c r="D58" s="18" t="s">
        <v>3030</v>
      </c>
      <c r="E58" s="18" t="s">
        <v>857</v>
      </c>
      <c r="F58" s="18" t="s">
        <v>2660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860D"/>
    <pageSetUpPr fitToPage="false"/>
  </sheetPr>
  <dimension ref="A1:BP5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false" hidden="false" outlineLevel="0" max="1" min="1" style="17" width="11.53"/>
    <col collapsed="false" customWidth="true" hidden="false" outlineLevel="0" max="2" min="2" style="18" width="41.51"/>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false" hidden="false" outlineLevel="0" max="55" min="52" style="3" width="11.53"/>
    <col collapsed="false" customWidth="true" hidden="false" outlineLevel="0" max="56" min="56" style="18" width="18.45"/>
    <col collapsed="false" customWidth="true" hidden="false" outlineLevel="0" max="59" min="57" style="18" width="16.14"/>
    <col collapsed="false" customWidth="true" hidden="false" outlineLevel="0" max="67" min="60" style="18" width="13.84"/>
    <col collapsed="false" customWidth="false" hidden="false" outlineLevel="0" max="16384" min="68" style="3" width="11.53"/>
  </cols>
  <sheetData>
    <row r="1" customFormat="false" ht="12.8" hidden="false" customHeight="false" outlineLevel="0" collapsed="false">
      <c r="A1" s="4" t="s">
        <v>70</v>
      </c>
      <c r="B1" s="22" t="s">
        <v>3031</v>
      </c>
      <c r="C1" s="6" t="s">
        <v>2</v>
      </c>
      <c r="D1" s="48" t="s">
        <v>3032</v>
      </c>
      <c r="AZ1" s="18"/>
      <c r="BP1" s="18"/>
    </row>
    <row r="2" customFormat="false" ht="12.8" hidden="false" customHeight="false" outlineLevel="0" collapsed="false">
      <c r="A2" s="46" t="str">
        <f aca="false">_xlfn.CONCAT($A$1, ".", "CALC")</f>
        <v>LSD.RID.0.AL.AIAVG.CALC</v>
      </c>
      <c r="B2" s="47" t="str">
        <f aca="false">_xlfn.CONCAT($B$1, " ", "Calculations")</f>
        <v>Alabama Annual Income Average (AIAVG) Calculations</v>
      </c>
      <c r="C2" s="3"/>
      <c r="D2" s="3"/>
      <c r="E2" s="3"/>
      <c r="F2" s="3"/>
    </row>
    <row r="3" customFormat="false" ht="12.8" hidden="false" customHeight="false" outlineLevel="0" collapsed="false">
      <c r="A3" s="46" t="str">
        <f aca="false">CALC!A34</f>
        <v>LSID</v>
      </c>
      <c r="B3" s="22" t="str">
        <f aca="false">CALC!C34</f>
        <v>Labor Sector</v>
      </c>
      <c r="C3" s="56" t="str">
        <f aca="false">CALC!T64</f>
        <v>Overall AIAVG</v>
      </c>
      <c r="D3" s="56" t="str">
        <f aca="false">CALC!U64</f>
        <v>Authorized AIAVG</v>
      </c>
      <c r="E3" s="56" t="str">
        <f aca="false">CALC!V64</f>
        <v>Unauthorized AIAVG</v>
      </c>
      <c r="F3" s="56" t="str">
        <f aca="false">CALC!W64</f>
        <v>American AIAVG</v>
      </c>
      <c r="AT3" s="3"/>
      <c r="AU3" s="3"/>
      <c r="AV3" s="3"/>
      <c r="AW3" s="3"/>
      <c r="AZ3" s="18"/>
      <c r="BA3" s="18"/>
      <c r="BB3" s="18"/>
      <c r="BC3" s="18"/>
      <c r="BJ3" s="3"/>
      <c r="BK3" s="3"/>
      <c r="BL3" s="3"/>
      <c r="BM3" s="3"/>
      <c r="BN3" s="3"/>
      <c r="BO3" s="3"/>
    </row>
    <row r="4" customFormat="false" ht="12.8" hidden="false" customHeight="false" outlineLevel="0" collapsed="false">
      <c r="A4" s="46" t="str">
        <f aca="false">_xlfn.CONCAT($A$1, ".CALC.", CALC!A35)</f>
        <v>LSD.RID.0.AL.AIAVG.CALC.0</v>
      </c>
      <c r="B4" s="22" t="str">
        <f aca="false">CALC!C35</f>
        <v>All Industries</v>
      </c>
      <c r="C4" s="18" t="n">
        <v>66477</v>
      </c>
      <c r="D4" s="18" t="n">
        <v>68064</v>
      </c>
      <c r="E4" s="18" t="n">
        <v>46534</v>
      </c>
      <c r="F4" s="18" t="n">
        <v>66857</v>
      </c>
      <c r="AT4" s="3"/>
      <c r="AU4" s="3"/>
      <c r="AV4" s="3"/>
      <c r="AW4" s="3"/>
      <c r="AZ4" s="18"/>
      <c r="BA4" s="18"/>
      <c r="BB4" s="18"/>
      <c r="BC4" s="18"/>
      <c r="BJ4" s="3"/>
      <c r="BK4" s="3"/>
      <c r="BL4" s="3"/>
      <c r="BM4" s="3"/>
      <c r="BN4" s="3"/>
      <c r="BO4" s="3"/>
    </row>
    <row r="5" customFormat="false" ht="12.8" hidden="false" customHeight="false" outlineLevel="0" collapsed="false">
      <c r="A5" s="46" t="str">
        <f aca="false">_xlfn.CONCAT($A$1, ".CALC.", CALC!A36)</f>
        <v>LSD.RID.0.AL.AIAVG.CALC.1</v>
      </c>
      <c r="B5" s="50" t="str">
        <f aca="false">CALC!C36</f>
        <v>Agriculture, Forestry, Fishing and Hunting</v>
      </c>
      <c r="C5" s="18" t="n">
        <v>35150</v>
      </c>
      <c r="D5" s="18" t="n">
        <v>36105</v>
      </c>
      <c r="E5" s="18" t="n">
        <v>22848</v>
      </c>
      <c r="F5" s="18" t="n">
        <v>35301</v>
      </c>
      <c r="AT5" s="3"/>
      <c r="AU5" s="3"/>
      <c r="AV5" s="3"/>
      <c r="AW5" s="3"/>
      <c r="AZ5" s="18"/>
      <c r="BA5" s="18"/>
      <c r="BB5" s="18"/>
      <c r="BC5" s="18"/>
      <c r="BJ5" s="3"/>
      <c r="BK5" s="3"/>
      <c r="BL5" s="3"/>
      <c r="BM5" s="3"/>
      <c r="BN5" s="3"/>
      <c r="BO5" s="3"/>
    </row>
    <row r="6" customFormat="false" ht="12.8" hidden="false" customHeight="false" outlineLevel="0" collapsed="false">
      <c r="A6" s="46" t="str">
        <f aca="false">_xlfn.CONCAT($A$1, ".CALC.", CALC!A37)</f>
        <v>LSD.RID.0.AL.AIAVG.CALC.2</v>
      </c>
      <c r="B6" s="50" t="str">
        <f aca="false">CALC!C37</f>
        <v>Mining, Quarrying, and Oil and Gas Extraction</v>
      </c>
      <c r="C6" s="18" t="n">
        <v>73500</v>
      </c>
      <c r="D6" s="18" t="n">
        <v>76440</v>
      </c>
      <c r="E6" s="18" t="n">
        <v>55125</v>
      </c>
      <c r="F6" s="18" t="n">
        <v>73926</v>
      </c>
      <c r="AT6" s="3"/>
      <c r="AU6" s="3"/>
      <c r="AV6" s="3"/>
      <c r="AW6" s="3"/>
      <c r="AZ6" s="18"/>
      <c r="BA6" s="18"/>
      <c r="BB6" s="18"/>
      <c r="BC6" s="18"/>
      <c r="BJ6" s="3"/>
      <c r="BK6" s="3"/>
      <c r="BL6" s="3"/>
      <c r="BM6" s="3"/>
      <c r="BN6" s="3"/>
      <c r="BO6" s="3"/>
    </row>
    <row r="7" customFormat="false" ht="12.8" hidden="false" customHeight="false" outlineLevel="0" collapsed="false">
      <c r="A7" s="46" t="str">
        <f aca="false">_xlfn.CONCAT($A$1, ".CALC.", CALC!A38)</f>
        <v>LSD.RID.0.AL.AIAVG.CALC.3</v>
      </c>
      <c r="B7" s="22" t="str">
        <f aca="false">CALC!C38</f>
        <v>Utilities</v>
      </c>
      <c r="C7" s="18" t="n">
        <v>83200</v>
      </c>
      <c r="D7" s="18" t="n">
        <v>84864</v>
      </c>
      <c r="E7" s="18" t="n">
        <v>66560</v>
      </c>
      <c r="F7" s="18" t="n">
        <v>83392</v>
      </c>
      <c r="AT7" s="3"/>
      <c r="AU7" s="3"/>
      <c r="AV7" s="3"/>
      <c r="AW7" s="3"/>
      <c r="AZ7" s="18"/>
      <c r="BA7" s="18"/>
      <c r="BB7" s="18"/>
      <c r="BC7" s="18"/>
      <c r="BJ7" s="3"/>
      <c r="BK7" s="3"/>
      <c r="BL7" s="3"/>
      <c r="BM7" s="3"/>
      <c r="BN7" s="3"/>
      <c r="BO7" s="3"/>
    </row>
    <row r="8" customFormat="false" ht="12.8" hidden="false" customHeight="false" outlineLevel="0" collapsed="false">
      <c r="A8" s="46" t="str">
        <f aca="false">_xlfn.CONCAT($A$1, ".CALC.", CALC!A39)</f>
        <v>LSD.RID.0.AL.AIAVG.CALC.4</v>
      </c>
      <c r="B8" s="22" t="str">
        <f aca="false">CALC!C39</f>
        <v>Construction</v>
      </c>
      <c r="C8" s="18" t="n">
        <v>57400</v>
      </c>
      <c r="D8" s="18" t="n">
        <v>59122</v>
      </c>
      <c r="E8" s="18" t="n">
        <v>40180</v>
      </c>
      <c r="F8" s="18" t="n">
        <v>57687</v>
      </c>
      <c r="AT8" s="3"/>
      <c r="AU8" s="3"/>
      <c r="AV8" s="3"/>
      <c r="AW8" s="3"/>
      <c r="AZ8" s="18"/>
      <c r="BA8" s="18"/>
      <c r="BB8" s="18"/>
      <c r="BC8" s="18"/>
      <c r="BJ8" s="3"/>
      <c r="BK8" s="3"/>
      <c r="BL8" s="3"/>
      <c r="BM8" s="3"/>
      <c r="BN8" s="3"/>
      <c r="BO8" s="3"/>
    </row>
    <row r="9" customFormat="false" ht="12.8" hidden="false" customHeight="false" outlineLevel="0" collapsed="false">
      <c r="A9" s="46" t="str">
        <f aca="false">_xlfn.CONCAT($A$1, ".CALC.", CALC!A40)</f>
        <v>LSD.RID.0.AL.AIAVG.CALC.5</v>
      </c>
      <c r="B9" s="50" t="str">
        <f aca="false">CALC!C40</f>
        <v>Manufacturing (Food,Textile, etc.)</v>
      </c>
      <c r="C9" s="18" t="n">
        <v>64000</v>
      </c>
      <c r="D9" s="18" t="n">
        <v>65280</v>
      </c>
      <c r="E9" s="18" t="n">
        <v>46080</v>
      </c>
      <c r="F9" s="18" t="n">
        <v>64128</v>
      </c>
      <c r="AT9" s="3"/>
      <c r="AU9" s="3"/>
      <c r="AV9" s="3"/>
      <c r="AW9" s="3"/>
      <c r="AZ9" s="18"/>
      <c r="BA9" s="18"/>
      <c r="BB9" s="18"/>
      <c r="BC9" s="18"/>
      <c r="BJ9" s="3"/>
      <c r="BK9" s="3"/>
      <c r="BL9" s="3"/>
      <c r="BM9" s="3"/>
      <c r="BN9" s="3"/>
      <c r="BO9" s="3"/>
    </row>
    <row r="10" customFormat="false" ht="12.8" hidden="false" customHeight="false" outlineLevel="0" collapsed="false">
      <c r="A10" s="46" t="str">
        <f aca="false">_xlfn.CONCAT($A$1, ".CALC.", CALC!A41)</f>
        <v>LSD.RID.0.AL.AIAVG.CALC.6</v>
      </c>
      <c r="B10" s="50" t="str">
        <f aca="false">CALC!C41</f>
        <v>Manufacturing (Wood, Paper, Printing, etc.)</v>
      </c>
      <c r="C10" s="18" t="n">
        <v>60000</v>
      </c>
      <c r="D10" s="18" t="n">
        <v>61200</v>
      </c>
      <c r="E10" s="18" t="n">
        <v>43200</v>
      </c>
      <c r="F10" s="18" t="n">
        <v>60120</v>
      </c>
      <c r="AT10" s="3"/>
      <c r="AU10" s="3"/>
      <c r="AV10" s="3"/>
      <c r="AW10" s="3"/>
      <c r="AZ10" s="18"/>
      <c r="BA10" s="18"/>
      <c r="BB10" s="18"/>
      <c r="BC10" s="18"/>
      <c r="BJ10" s="3"/>
      <c r="BK10" s="3"/>
      <c r="BL10" s="3"/>
      <c r="BM10" s="3"/>
      <c r="BN10" s="3"/>
      <c r="BO10" s="3"/>
    </row>
    <row r="11" customFormat="false" ht="12.8" hidden="false" customHeight="false" outlineLevel="0" collapsed="false">
      <c r="A11" s="46" t="str">
        <f aca="false">_xlfn.CONCAT($A$1, ".CALC.", CALC!A42)</f>
        <v>LSD.RID.0.AL.AIAVG.CALC.7</v>
      </c>
      <c r="B11" s="50" t="str">
        <f aca="false">CALC!C42</f>
        <v>Manufacturing (Machinery, Transport)</v>
      </c>
      <c r="C11" s="18" t="n">
        <v>73500</v>
      </c>
      <c r="D11" s="18" t="n">
        <v>74970</v>
      </c>
      <c r="E11" s="18" t="n">
        <v>55125</v>
      </c>
      <c r="F11" s="18" t="n">
        <v>73755</v>
      </c>
      <c r="AT11" s="3"/>
      <c r="AU11" s="3"/>
      <c r="AV11" s="3"/>
      <c r="AW11" s="3"/>
      <c r="AZ11" s="18"/>
      <c r="BA11" s="18"/>
      <c r="BB11" s="18"/>
      <c r="BC11" s="18"/>
      <c r="BJ11" s="3"/>
      <c r="BK11" s="3"/>
      <c r="BL11" s="3"/>
      <c r="BM11" s="3"/>
      <c r="BN11" s="3"/>
      <c r="BO11" s="3"/>
    </row>
    <row r="12" customFormat="false" ht="12.8" hidden="false" customHeight="false" outlineLevel="0" collapsed="false">
      <c r="A12" s="46" t="str">
        <f aca="false">_xlfn.CONCAT($A$1, ".CALC.", CALC!A43)</f>
        <v>LSD.RID.0.AL.AIAVG.CALC.8</v>
      </c>
      <c r="B12" s="22" t="str">
        <f aca="false">CALC!C43</f>
        <v>Wholesale Trade</v>
      </c>
      <c r="C12" s="18" t="n">
        <v>65600</v>
      </c>
      <c r="D12" s="18" t="n">
        <v>66584</v>
      </c>
      <c r="E12" s="18" t="n">
        <v>51168</v>
      </c>
      <c r="F12" s="18" t="n">
        <v>65752</v>
      </c>
      <c r="AT12" s="3"/>
      <c r="AU12" s="3"/>
      <c r="AV12" s="3"/>
      <c r="AW12" s="3"/>
      <c r="AZ12" s="18"/>
      <c r="BA12" s="18"/>
      <c r="BB12" s="18"/>
      <c r="BC12" s="18"/>
      <c r="BJ12" s="3"/>
      <c r="BK12" s="3"/>
      <c r="BL12" s="3"/>
      <c r="BM12" s="3"/>
      <c r="BN12" s="3"/>
      <c r="BO12" s="3"/>
    </row>
    <row r="13" customFormat="false" ht="12.8" hidden="false" customHeight="false" outlineLevel="0" collapsed="false">
      <c r="A13" s="46" t="str">
        <f aca="false">_xlfn.CONCAT($A$1, ".CALC.", CALC!A44)</f>
        <v>LSD.RID.0.AL.AIAVG.CALC.9</v>
      </c>
      <c r="B13" s="50" t="str">
        <f aca="false">CALC!C44</f>
        <v>Retail Trade (Motor Vehicle, Electronics)</v>
      </c>
      <c r="C13" s="18" t="n">
        <v>45000</v>
      </c>
      <c r="D13" s="18" t="n">
        <v>46350</v>
      </c>
      <c r="E13" s="18" t="n">
        <v>31500</v>
      </c>
      <c r="F13" s="18" t="n">
        <v>45135</v>
      </c>
      <c r="AT13" s="3"/>
      <c r="AU13" s="3"/>
      <c r="AV13" s="3"/>
      <c r="AW13" s="3"/>
      <c r="AZ13" s="18"/>
      <c r="BA13" s="18"/>
      <c r="BB13" s="18"/>
      <c r="BC13" s="18"/>
      <c r="BJ13" s="3"/>
      <c r="BK13" s="3"/>
      <c r="BL13" s="3"/>
      <c r="BM13" s="3"/>
      <c r="BN13" s="3"/>
      <c r="BO13" s="3"/>
    </row>
    <row r="14" customFormat="false" ht="22.8" hidden="false" customHeight="false" outlineLevel="0" collapsed="false">
      <c r="A14" s="46" t="str">
        <f aca="false">_xlfn.CONCAT($A$1, ".CALC.", CALC!A45)</f>
        <v>LSD.RID.0.AL.AIAVG.CALC.10</v>
      </c>
      <c r="B14" s="50" t="str">
        <f aca="false">CALC!C45</f>
        <v>Retail Trade (Food, Clothing, General Merchandise, etc.)</v>
      </c>
      <c r="C14" s="18" t="n">
        <v>38500</v>
      </c>
      <c r="D14" s="18" t="n">
        <v>39655</v>
      </c>
      <c r="E14" s="18" t="n">
        <v>26180</v>
      </c>
      <c r="F14" s="18" t="n">
        <v>38611</v>
      </c>
      <c r="AT14" s="3"/>
      <c r="AU14" s="3"/>
      <c r="AV14" s="3"/>
      <c r="AW14" s="3"/>
      <c r="AZ14" s="18"/>
      <c r="BA14" s="18"/>
      <c r="BB14" s="18"/>
      <c r="BC14" s="18"/>
      <c r="BJ14" s="3"/>
      <c r="BK14" s="3"/>
      <c r="BL14" s="3"/>
      <c r="BM14" s="3"/>
      <c r="BN14" s="3"/>
      <c r="BO14" s="3"/>
    </row>
    <row r="15" customFormat="false" ht="12.8" hidden="false" customHeight="false" outlineLevel="0" collapsed="false">
      <c r="A15" s="46" t="str">
        <f aca="false">_xlfn.CONCAT($A$1, ".CALC.", CALC!A46)</f>
        <v>LSD.RID.0.AL.AIAVG.CALC.11</v>
      </c>
      <c r="B15" s="22" t="str">
        <f aca="false">CALC!C46</f>
        <v>Transportation</v>
      </c>
      <c r="C15" s="18" t="n">
        <v>60000</v>
      </c>
      <c r="D15" s="18" t="n">
        <v>61200</v>
      </c>
      <c r="E15" s="18" t="n">
        <v>43200</v>
      </c>
      <c r="F15" s="18" t="n">
        <v>60120</v>
      </c>
      <c r="AT15" s="3"/>
      <c r="AU15" s="3"/>
      <c r="AV15" s="3"/>
      <c r="AW15" s="3"/>
      <c r="AZ15" s="18"/>
      <c r="BA15" s="18"/>
      <c r="BB15" s="18"/>
      <c r="BC15" s="18"/>
      <c r="BJ15" s="3"/>
      <c r="BK15" s="3"/>
      <c r="BL15" s="3"/>
      <c r="BM15" s="3"/>
      <c r="BN15" s="3"/>
      <c r="BO15" s="3"/>
    </row>
    <row r="16" customFormat="false" ht="12.8" hidden="false" customHeight="false" outlineLevel="0" collapsed="false">
      <c r="A16" s="46" t="str">
        <f aca="false">_xlfn.CONCAT($A$1, ".CALC.", CALC!A47)</f>
        <v>LSD.RID.0.AL.AIAVG.CALC.12</v>
      </c>
      <c r="B16" s="22" t="str">
        <f aca="false">CALC!C47</f>
        <v>Warehousing and Storage</v>
      </c>
      <c r="C16" s="18" t="n">
        <v>54600</v>
      </c>
      <c r="D16" s="18" t="n">
        <v>55692</v>
      </c>
      <c r="E16" s="18" t="n">
        <v>39312</v>
      </c>
      <c r="F16" s="18" t="n">
        <v>54781</v>
      </c>
      <c r="AT16" s="3"/>
      <c r="AU16" s="3"/>
      <c r="AV16" s="3"/>
      <c r="AW16" s="3"/>
      <c r="AZ16" s="18"/>
      <c r="BA16" s="18"/>
      <c r="BB16" s="18"/>
      <c r="BC16" s="18"/>
      <c r="BJ16" s="3"/>
      <c r="BK16" s="3"/>
      <c r="BL16" s="3"/>
      <c r="BM16" s="3"/>
      <c r="BN16" s="3"/>
      <c r="BO16" s="3"/>
    </row>
    <row r="17" customFormat="false" ht="12.8" hidden="false" customHeight="false" outlineLevel="0" collapsed="false">
      <c r="A17" s="46" t="str">
        <f aca="false">_xlfn.CONCAT($A$1, ".CALC.", CALC!A48)</f>
        <v>LSD.RID.0.AL.AIAVG.CALC.13</v>
      </c>
      <c r="B17" s="22" t="str">
        <f aca="false">CALC!C48</f>
        <v>Information</v>
      </c>
      <c r="C17" s="18" t="n">
        <v>83200</v>
      </c>
      <c r="D17" s="18" t="n">
        <v>84864</v>
      </c>
      <c r="E17" s="18" t="n">
        <v>66560</v>
      </c>
      <c r="F17" s="18" t="n">
        <v>83392</v>
      </c>
      <c r="AT17" s="3"/>
      <c r="AU17" s="3"/>
      <c r="AV17" s="3"/>
      <c r="AW17" s="3"/>
      <c r="AZ17" s="18"/>
      <c r="BA17" s="18"/>
      <c r="BB17" s="18"/>
      <c r="BC17" s="18"/>
      <c r="BJ17" s="3"/>
      <c r="BK17" s="3"/>
      <c r="BL17" s="3"/>
      <c r="BM17" s="3"/>
      <c r="BN17" s="3"/>
      <c r="BO17" s="3"/>
    </row>
    <row r="18" customFormat="false" ht="12.8" hidden="false" customHeight="false" outlineLevel="0" collapsed="false">
      <c r="A18" s="46" t="str">
        <f aca="false">_xlfn.CONCAT($A$1, ".CALC.", CALC!A49)</f>
        <v>LSD.RID.0.AL.AIAVG.CALC.14</v>
      </c>
      <c r="B18" s="22" t="str">
        <f aca="false">CALC!C49</f>
        <v>Finance and Insurance</v>
      </c>
      <c r="C18" s="18" t="n">
        <v>114400</v>
      </c>
      <c r="D18" s="18" t="n">
        <v>115544</v>
      </c>
      <c r="E18" s="18" t="n">
        <v>97240</v>
      </c>
      <c r="F18" s="18" t="n">
        <v>114644</v>
      </c>
      <c r="AT18" s="3"/>
      <c r="AU18" s="3"/>
      <c r="AV18" s="3"/>
      <c r="AW18" s="3"/>
      <c r="AZ18" s="18"/>
      <c r="BA18" s="18"/>
      <c r="BB18" s="18"/>
      <c r="BC18" s="18"/>
      <c r="BJ18" s="3"/>
      <c r="BK18" s="3"/>
      <c r="BL18" s="3"/>
      <c r="BM18" s="3"/>
      <c r="BN18" s="3"/>
      <c r="BO18" s="3"/>
    </row>
    <row r="19" customFormat="false" ht="12.8" hidden="false" customHeight="false" outlineLevel="0" collapsed="false">
      <c r="A19" s="46" t="str">
        <f aca="false">_xlfn.CONCAT($A$1, ".CALC.", CALC!A50)</f>
        <v>LSD.RID.0.AL.AIAVG.CALC.15</v>
      </c>
      <c r="B19" s="50" t="str">
        <f aca="false">CALC!C50</f>
        <v>Real Estate and Rental and Leasing</v>
      </c>
      <c r="C19" s="18" t="n">
        <v>64000</v>
      </c>
      <c r="D19" s="18" t="n">
        <v>65280</v>
      </c>
      <c r="E19" s="18" t="n">
        <v>49920</v>
      </c>
      <c r="F19" s="18" t="n">
        <v>64128</v>
      </c>
      <c r="AT19" s="3"/>
      <c r="AU19" s="3"/>
      <c r="AV19" s="3"/>
      <c r="AW19" s="3"/>
      <c r="AZ19" s="18"/>
      <c r="BA19" s="18"/>
      <c r="BB19" s="18"/>
      <c r="BC19" s="18"/>
      <c r="BJ19" s="3"/>
      <c r="BK19" s="3"/>
      <c r="BL19" s="3"/>
      <c r="BM19" s="3"/>
      <c r="BN19" s="3"/>
      <c r="BO19" s="3"/>
    </row>
    <row r="20" customFormat="false" ht="12.8" hidden="false" customHeight="false" outlineLevel="0" collapsed="false">
      <c r="A20" s="46" t="str">
        <f aca="false">_xlfn.CONCAT($A$1, ".CALC.", CALC!A51)</f>
        <v>LSD.RID.0.AL.AIAVG.CALC.16</v>
      </c>
      <c r="B20" s="50" t="str">
        <f aca="false">CALC!C51</f>
        <v>Professional, Scientific, and Technical Services</v>
      </c>
      <c r="C20" s="18" t="n">
        <v>96750</v>
      </c>
      <c r="D20" s="18" t="n">
        <v>97718</v>
      </c>
      <c r="E20" s="18" t="n">
        <v>79335</v>
      </c>
      <c r="F20" s="18" t="n">
        <v>96891</v>
      </c>
      <c r="AT20" s="3"/>
      <c r="AU20" s="3"/>
      <c r="AV20" s="3"/>
      <c r="AW20" s="3"/>
      <c r="AZ20" s="18"/>
      <c r="BA20" s="18"/>
      <c r="BB20" s="18"/>
      <c r="BC20" s="18"/>
      <c r="BJ20" s="3"/>
      <c r="BK20" s="3"/>
      <c r="BL20" s="3"/>
      <c r="BM20" s="3"/>
      <c r="BN20" s="3"/>
      <c r="BO20" s="3"/>
    </row>
    <row r="21" customFormat="false" ht="22.8" hidden="false" customHeight="false" outlineLevel="0" collapsed="false">
      <c r="A21" s="46" t="str">
        <f aca="false">_xlfn.CONCAT($A$1, ".CALC.", CALC!A52)</f>
        <v>LSD.RID.0.AL.AIAVG.CALC.17</v>
      </c>
      <c r="B21" s="50" t="str">
        <f aca="false">CALC!C52</f>
        <v>Administrative and Support and Waste Management and Remediation Services</v>
      </c>
      <c r="C21" s="18" t="n">
        <v>45000</v>
      </c>
      <c r="D21" s="18" t="n">
        <v>46350</v>
      </c>
      <c r="E21" s="18" t="n">
        <v>31500</v>
      </c>
      <c r="F21" s="18" t="n">
        <v>45135</v>
      </c>
      <c r="AT21" s="3"/>
      <c r="AU21" s="3"/>
      <c r="AV21" s="3"/>
      <c r="AW21" s="3"/>
      <c r="AZ21" s="18"/>
      <c r="BA21" s="18"/>
      <c r="BB21" s="18"/>
      <c r="BC21" s="18"/>
      <c r="BJ21" s="3"/>
      <c r="BK21" s="3"/>
      <c r="BL21" s="3"/>
      <c r="BM21" s="3"/>
      <c r="BN21" s="3"/>
      <c r="BO21" s="3"/>
    </row>
    <row r="22" customFormat="false" ht="12.8" hidden="false" customHeight="false" outlineLevel="0" collapsed="false">
      <c r="A22" s="46" t="str">
        <f aca="false">_xlfn.CONCAT($A$1, ".CALC.", CALC!A53)</f>
        <v>LSD.RID.0.AL.AIAVG.CALC.18</v>
      </c>
      <c r="B22" s="22" t="str">
        <f aca="false">CALC!C53</f>
        <v>Educational Services</v>
      </c>
      <c r="C22" s="18" t="n">
        <v>68250</v>
      </c>
      <c r="D22" s="18" t="n">
        <v>69314</v>
      </c>
      <c r="E22" s="18" t="n">
        <v>54600</v>
      </c>
      <c r="F22" s="18" t="n">
        <v>68429</v>
      </c>
      <c r="AT22" s="3"/>
      <c r="AU22" s="3"/>
      <c r="AV22" s="3"/>
      <c r="AW22" s="3"/>
      <c r="AZ22" s="18"/>
      <c r="BA22" s="18"/>
      <c r="BB22" s="18"/>
      <c r="BC22" s="18"/>
      <c r="BJ22" s="3"/>
      <c r="BK22" s="3"/>
      <c r="BL22" s="3"/>
      <c r="BM22" s="3"/>
      <c r="BN22" s="3"/>
      <c r="BO22" s="3"/>
    </row>
    <row r="23" customFormat="false" ht="12.8" hidden="false" customHeight="false" outlineLevel="0" collapsed="false">
      <c r="A23" s="46" t="str">
        <f aca="false">_xlfn.CONCAT($A$1, ".CALC.", CALC!A54)</f>
        <v>LSD.RID.0.AL.AIAVG.CALC.19</v>
      </c>
      <c r="B23" s="50" t="str">
        <f aca="false">CALC!C54</f>
        <v>Health Care and Social Assistance</v>
      </c>
      <c r="C23" s="18" t="n">
        <v>70000</v>
      </c>
      <c r="D23" s="18" t="n">
        <v>71050</v>
      </c>
      <c r="E23" s="18" t="n">
        <v>56000</v>
      </c>
      <c r="F23" s="18" t="n">
        <v>70175</v>
      </c>
      <c r="AT23" s="3"/>
      <c r="AU23" s="3"/>
      <c r="AV23" s="3"/>
      <c r="AW23" s="3"/>
      <c r="AZ23" s="18"/>
      <c r="BA23" s="18"/>
      <c r="BB23" s="18"/>
      <c r="BC23" s="18"/>
      <c r="BJ23" s="3"/>
      <c r="BK23" s="3"/>
      <c r="BL23" s="3"/>
      <c r="BM23" s="3"/>
      <c r="BN23" s="3"/>
      <c r="BO23" s="3"/>
    </row>
    <row r="24" customFormat="false" ht="12.8" hidden="false" customHeight="false" outlineLevel="0" collapsed="false">
      <c r="A24" s="46" t="str">
        <f aca="false">_xlfn.CONCAT($A$1, ".CALC.", CALC!A55)</f>
        <v>LSD.RID.0.AL.AIAVG.CALC.20</v>
      </c>
      <c r="B24" s="50" t="str">
        <f aca="false">CALC!C55</f>
        <v>Arts, Entertainment,and Recreation</v>
      </c>
      <c r="C24" s="18" t="n">
        <v>34000</v>
      </c>
      <c r="D24" s="18" t="n">
        <v>35020</v>
      </c>
      <c r="E24" s="18" t="n">
        <v>23120</v>
      </c>
      <c r="F24" s="18" t="n">
        <v>34134</v>
      </c>
      <c r="AT24" s="3"/>
      <c r="AU24" s="3"/>
      <c r="AV24" s="3"/>
      <c r="AW24" s="3"/>
      <c r="AZ24" s="18"/>
      <c r="BA24" s="18"/>
      <c r="BB24" s="18"/>
      <c r="BC24" s="18"/>
      <c r="BJ24" s="3"/>
      <c r="BK24" s="3"/>
      <c r="BL24" s="3"/>
      <c r="BM24" s="3"/>
      <c r="BN24" s="3"/>
      <c r="BO24" s="3"/>
    </row>
    <row r="25" customFormat="false" ht="12.8" hidden="false" customHeight="false" outlineLevel="0" collapsed="false">
      <c r="A25" s="46" t="str">
        <f aca="false">_xlfn.CONCAT($A$1, ".CALC.", CALC!A56)</f>
        <v>LSD.RID.0.AL.AIAVG.CALC.21</v>
      </c>
      <c r="B25" s="50" t="str">
        <f aca="false">CALC!C56</f>
        <v>Accommodation and Food Services</v>
      </c>
      <c r="C25" s="18" t="n">
        <v>25600</v>
      </c>
      <c r="D25" s="18" t="n">
        <v>26496</v>
      </c>
      <c r="E25" s="18" t="n">
        <v>16640</v>
      </c>
      <c r="F25" s="18" t="n">
        <v>25664</v>
      </c>
      <c r="AT25" s="3"/>
      <c r="AU25" s="3"/>
      <c r="AV25" s="3"/>
      <c r="AW25" s="3"/>
      <c r="AZ25" s="18"/>
      <c r="BA25" s="18"/>
      <c r="BB25" s="18"/>
      <c r="BC25" s="18"/>
      <c r="BJ25" s="3"/>
      <c r="BK25" s="3"/>
      <c r="BL25" s="3"/>
      <c r="BM25" s="3"/>
      <c r="BN25" s="3"/>
      <c r="BO25" s="3"/>
    </row>
    <row r="26" customFormat="false" ht="12.8" hidden="false" customHeight="false" outlineLevel="0" collapsed="false">
      <c r="A26" s="46" t="str">
        <f aca="false">_xlfn.CONCAT($A$1, ".CALC.", CALC!A57)</f>
        <v>LSD.RID.0.AL.AIAVG.CALC.22</v>
      </c>
      <c r="B26" s="50" t="str">
        <f aca="false">CALC!C57</f>
        <v>Other Services (except Public Administration)</v>
      </c>
      <c r="C26" s="18" t="n">
        <v>46250</v>
      </c>
      <c r="D26" s="18" t="n">
        <v>47638</v>
      </c>
      <c r="E26" s="18" t="n">
        <v>32375</v>
      </c>
      <c r="F26" s="18" t="n">
        <v>46431</v>
      </c>
      <c r="AT26" s="3"/>
      <c r="AU26" s="3"/>
      <c r="AV26" s="3"/>
      <c r="AW26" s="3"/>
      <c r="AZ26" s="18"/>
      <c r="BA26" s="18"/>
      <c r="BB26" s="18"/>
      <c r="BC26" s="18"/>
      <c r="BJ26" s="3"/>
      <c r="BK26" s="3"/>
      <c r="BL26" s="3"/>
      <c r="BM26" s="3"/>
      <c r="BN26" s="3"/>
      <c r="BO26" s="3"/>
    </row>
    <row r="27" customFormat="false" ht="12.8" hidden="false" customHeight="false" outlineLevel="0" collapsed="false">
      <c r="A27" s="46" t="str">
        <f aca="false">_xlfn.CONCAT($A$1, ".CALC.", CALC!A58)</f>
        <v>LSD.RID.0.AL.AIAVG.CALC.23</v>
      </c>
      <c r="B27" s="22" t="str">
        <f aca="false">CALC!C58</f>
        <v>Public Administration</v>
      </c>
      <c r="C27" s="18" t="n">
        <v>72800</v>
      </c>
      <c r="D27" s="18" t="n">
        <v>73992</v>
      </c>
      <c r="E27" s="18" t="n">
        <v>58240</v>
      </c>
      <c r="F27" s="18" t="n">
        <v>72984</v>
      </c>
      <c r="AT27" s="3"/>
      <c r="AU27" s="3"/>
      <c r="AV27" s="3"/>
      <c r="AW27" s="3"/>
      <c r="AZ27" s="18"/>
      <c r="BA27" s="18"/>
      <c r="BB27" s="18"/>
      <c r="BC27" s="18"/>
      <c r="BJ27" s="3"/>
      <c r="BK27" s="3"/>
      <c r="BL27" s="3"/>
      <c r="BM27" s="3"/>
      <c r="BN27" s="3"/>
      <c r="BO27" s="3"/>
    </row>
    <row r="28" customFormat="false" ht="12.8" hidden="false" customHeight="false" outlineLevel="0" collapsed="false">
      <c r="C28" s="56"/>
      <c r="D28" s="56"/>
      <c r="E28" s="56"/>
      <c r="F28" s="56"/>
    </row>
    <row r="29" customFormat="false" ht="12.8" hidden="false" customHeight="false" outlineLevel="0" collapsed="false">
      <c r="A29" s="46" t="str">
        <f aca="false">_xlfn.CONCAT($A$1, ".", "FORM")</f>
        <v>LSD.RID.0.AL.AIAVG.FORM</v>
      </c>
      <c r="B29" s="47" t="str">
        <f aca="false">_xlfn.CONCAT($B$1, " ", "Formulae")</f>
        <v>Alabama Annual Income Average (AIAVG) Formulae</v>
      </c>
      <c r="C29" s="47"/>
    </row>
    <row r="30" customFormat="false" ht="12.8" hidden="false" customHeight="false" outlineLevel="0" collapsed="false">
      <c r="A30" s="14" t="s">
        <v>93</v>
      </c>
      <c r="B30" s="49" t="s">
        <v>1801</v>
      </c>
      <c r="C30" s="49" t="s">
        <v>283</v>
      </c>
      <c r="D30" s="49" t="s">
        <v>2056</v>
      </c>
      <c r="E30" s="49" t="s">
        <v>286</v>
      </c>
      <c r="F30" s="49" t="s">
        <v>287</v>
      </c>
    </row>
    <row r="31" customFormat="false" ht="12.8" hidden="false" customHeight="false" outlineLevel="0" collapsed="false">
      <c r="A31" s="18" t="s">
        <v>3033</v>
      </c>
      <c r="B31" s="18" t="s">
        <v>3034</v>
      </c>
      <c r="C31" s="18" t="s">
        <v>3035</v>
      </c>
      <c r="D31" s="18" t="s">
        <v>3036</v>
      </c>
      <c r="E31" s="18" t="s">
        <v>3037</v>
      </c>
      <c r="F31" s="18" t="s">
        <v>417</v>
      </c>
    </row>
    <row r="32" customFormat="false" ht="12.8" hidden="false" customHeight="false" outlineLevel="0" collapsed="false">
      <c r="A32" s="18" t="s">
        <v>3038</v>
      </c>
      <c r="B32" s="18" t="s">
        <v>3034</v>
      </c>
      <c r="C32" s="18" t="s">
        <v>2063</v>
      </c>
      <c r="D32" s="18" t="s">
        <v>3039</v>
      </c>
      <c r="E32" s="18" t="s">
        <v>3040</v>
      </c>
      <c r="F32" s="18" t="s">
        <v>417</v>
      </c>
    </row>
    <row r="33" customFormat="false" ht="12.8" hidden="false" customHeight="false" outlineLevel="0" collapsed="false">
      <c r="A33" s="18" t="s">
        <v>3041</v>
      </c>
      <c r="B33" s="18" t="s">
        <v>3034</v>
      </c>
      <c r="C33" s="18" t="s">
        <v>2066</v>
      </c>
      <c r="D33" s="18" t="s">
        <v>3042</v>
      </c>
      <c r="E33" s="18" t="s">
        <v>3043</v>
      </c>
      <c r="F33" s="18" t="s">
        <v>417</v>
      </c>
    </row>
    <row r="35" customFormat="false" ht="12.8" hidden="false" customHeight="false" outlineLevel="0" collapsed="false">
      <c r="A35" s="46" t="str">
        <f aca="false">_xlfn.CONCAT($A$1, ".", "PARAM")</f>
        <v>LSD.RID.0.AL.AIAVG.PARAM</v>
      </c>
      <c r="B35" s="47" t="str">
        <f aca="false">_xlfn.CONCAT($B$1, " ", "Parameters")</f>
        <v>Alabama Annual Income Average (AIAVG) Parameters</v>
      </c>
      <c r="C35" s="47"/>
    </row>
    <row r="36" customFormat="false" ht="12.8" hidden="false" customHeight="false" outlineLevel="0" collapsed="false">
      <c r="A36" s="49" t="s">
        <v>97</v>
      </c>
      <c r="B36" s="49" t="s">
        <v>283</v>
      </c>
      <c r="C36" s="49" t="s">
        <v>2073</v>
      </c>
      <c r="D36" s="49" t="s">
        <v>286</v>
      </c>
      <c r="E36" s="49" t="s">
        <v>850</v>
      </c>
      <c r="F36" s="49" t="s">
        <v>851</v>
      </c>
      <c r="G36" s="49" t="s">
        <v>852</v>
      </c>
      <c r="H36" s="49" t="s">
        <v>287</v>
      </c>
    </row>
    <row r="37" customFormat="false" ht="12.8" hidden="false" customHeight="false" outlineLevel="0" collapsed="false">
      <c r="A37" s="18" t="s">
        <v>3044</v>
      </c>
      <c r="B37" s="18" t="s">
        <v>3045</v>
      </c>
      <c r="C37" s="18" t="n">
        <v>66477</v>
      </c>
      <c r="D37" s="18" t="s">
        <v>3046</v>
      </c>
      <c r="E37" s="18" t="s">
        <v>857</v>
      </c>
      <c r="F37" s="18" t="s">
        <v>1082</v>
      </c>
      <c r="G37" s="24" t="s">
        <v>859</v>
      </c>
      <c r="H37" s="18" t="s">
        <v>417</v>
      </c>
    </row>
    <row r="38" customFormat="false" ht="12.8" hidden="false" customHeight="false" outlineLevel="0" collapsed="false">
      <c r="A38" s="18" t="s">
        <v>3047</v>
      </c>
      <c r="B38" s="18" t="s">
        <v>2903</v>
      </c>
      <c r="C38" s="18" t="s">
        <v>3048</v>
      </c>
      <c r="D38" s="18" t="s">
        <v>3049</v>
      </c>
      <c r="E38" s="18" t="s">
        <v>2081</v>
      </c>
      <c r="F38" s="18" t="s">
        <v>2082</v>
      </c>
      <c r="G38" s="24" t="s">
        <v>859</v>
      </c>
      <c r="H38" s="18" t="s">
        <v>417</v>
      </c>
    </row>
    <row r="39" customFormat="false" ht="12.8" hidden="false" customHeight="false" outlineLevel="0" collapsed="false">
      <c r="A39" s="18" t="s">
        <v>3050</v>
      </c>
      <c r="B39" s="18" t="s">
        <v>3051</v>
      </c>
      <c r="C39" s="18" t="s">
        <v>3052</v>
      </c>
      <c r="D39" s="18" t="s">
        <v>3053</v>
      </c>
      <c r="E39" s="18" t="s">
        <v>2081</v>
      </c>
      <c r="F39" s="18" t="s">
        <v>2082</v>
      </c>
      <c r="G39" s="24" t="s">
        <v>859</v>
      </c>
      <c r="H39" s="18" t="s">
        <v>417</v>
      </c>
    </row>
    <row r="40" customFormat="false" ht="12.8" hidden="false" customHeight="false" outlineLevel="0" collapsed="false">
      <c r="A40" s="18" t="s">
        <v>3054</v>
      </c>
      <c r="B40" s="18" t="s">
        <v>3055</v>
      </c>
      <c r="C40" s="18" t="s">
        <v>3056</v>
      </c>
      <c r="D40" s="18" t="s">
        <v>3057</v>
      </c>
      <c r="E40" s="18" t="s">
        <v>2081</v>
      </c>
      <c r="F40" s="18" t="s">
        <v>2082</v>
      </c>
      <c r="G40" s="24" t="s">
        <v>859</v>
      </c>
      <c r="H40" s="18" t="s">
        <v>417</v>
      </c>
    </row>
    <row r="41" customFormat="false" ht="12.8" hidden="false" customHeight="false" outlineLevel="0" collapsed="false">
      <c r="A41" s="18" t="s">
        <v>3058</v>
      </c>
      <c r="B41" s="18" t="s">
        <v>3059</v>
      </c>
      <c r="C41" s="18" t="s">
        <v>3060</v>
      </c>
      <c r="D41" s="18" t="s">
        <v>2080</v>
      </c>
      <c r="E41" s="18" t="s">
        <v>2081</v>
      </c>
      <c r="F41" s="18" t="s">
        <v>2082</v>
      </c>
      <c r="G41" s="24" t="s">
        <v>859</v>
      </c>
      <c r="H41" s="18" t="s">
        <v>417</v>
      </c>
    </row>
    <row r="42" customFormat="false" ht="12.8" hidden="false" customHeight="false" outlineLevel="0" collapsed="false">
      <c r="A42" s="18"/>
      <c r="G42" s="24"/>
    </row>
    <row r="43" customFormat="false" ht="12.8" hidden="false" customHeight="false" outlineLevel="0" collapsed="false">
      <c r="A43" s="46" t="str">
        <f aca="false">_xlfn.CONCAT($A$1, ".", "VALID")</f>
        <v>LSD.RID.0.AL.AIAVG.VALID</v>
      </c>
      <c r="B43" s="47" t="str">
        <f aca="false">_xlfn.CONCAT($B$1, " ", "Validation")</f>
        <v>Alabama Annual Income Average (AIAVG) Validation</v>
      </c>
    </row>
    <row r="44" customFormat="false" ht="12.8" hidden="false" customHeight="false" outlineLevel="0" collapsed="false">
      <c r="A44" s="17" t="s">
        <v>101</v>
      </c>
      <c r="B44" s="18" t="s">
        <v>286</v>
      </c>
      <c r="C44" s="18" t="s">
        <v>849</v>
      </c>
      <c r="D44" s="18" t="s">
        <v>2093</v>
      </c>
      <c r="E44" s="18" t="s">
        <v>850</v>
      </c>
      <c r="F44" s="18" t="s">
        <v>2094</v>
      </c>
    </row>
    <row r="45" customFormat="false" ht="12.8" hidden="false" customHeight="false" outlineLevel="0" collapsed="false">
      <c r="A45" s="17" t="s">
        <v>3061</v>
      </c>
      <c r="B45" s="18" t="s">
        <v>1731</v>
      </c>
      <c r="C45" s="18" t="n">
        <v>66477</v>
      </c>
      <c r="D45" s="18" t="s">
        <v>3062</v>
      </c>
      <c r="E45" s="18" t="s">
        <v>857</v>
      </c>
      <c r="F45" s="18" t="s">
        <v>3063</v>
      </c>
    </row>
    <row r="46" customFormat="false" ht="12.8" hidden="false" customHeight="false" outlineLevel="0" collapsed="false">
      <c r="A46" s="17" t="s">
        <v>3064</v>
      </c>
      <c r="B46" s="18" t="s">
        <v>2099</v>
      </c>
      <c r="C46" s="18" t="s">
        <v>3065</v>
      </c>
      <c r="D46" s="18" t="s">
        <v>3066</v>
      </c>
      <c r="E46" s="18" t="s">
        <v>857</v>
      </c>
      <c r="F46" s="18" t="s">
        <v>3067</v>
      </c>
    </row>
    <row r="47" customFormat="false" ht="12.8" hidden="false" customHeight="false" outlineLevel="0" collapsed="false">
      <c r="A47" s="17" t="s">
        <v>3068</v>
      </c>
      <c r="B47" s="18" t="s">
        <v>3069</v>
      </c>
      <c r="C47" s="18" t="s">
        <v>3070</v>
      </c>
      <c r="D47" s="18" t="s">
        <v>3071</v>
      </c>
      <c r="E47" s="18" t="s">
        <v>857</v>
      </c>
      <c r="F47" s="18" t="s">
        <v>3072</v>
      </c>
    </row>
    <row r="48" customFormat="false" ht="12.8" hidden="false" customHeight="false" outlineLevel="0" collapsed="false">
      <c r="A48" s="17" t="s">
        <v>3073</v>
      </c>
      <c r="B48" s="18" t="s">
        <v>3074</v>
      </c>
      <c r="C48" s="18" t="s">
        <v>3075</v>
      </c>
      <c r="D48" s="18" t="s">
        <v>3076</v>
      </c>
      <c r="E48" s="18" t="s">
        <v>1841</v>
      </c>
      <c r="F48" s="18" t="s">
        <v>3077</v>
      </c>
    </row>
    <row r="49" customFormat="false" ht="12.8" hidden="false" customHeight="false" outlineLevel="0" collapsed="false">
      <c r="A49" s="17" t="s">
        <v>3078</v>
      </c>
      <c r="B49" s="18" t="s">
        <v>2114</v>
      </c>
      <c r="C49" s="18" t="s">
        <v>2186</v>
      </c>
      <c r="D49" s="18" t="s">
        <v>3079</v>
      </c>
      <c r="E49" s="18" t="s">
        <v>3080</v>
      </c>
      <c r="F49" s="18" t="s">
        <v>857</v>
      </c>
      <c r="G49" s="18" t="s">
        <v>3081</v>
      </c>
    </row>
    <row r="50" customFormat="false" ht="12.8" hidden="false" customHeight="false" outlineLevel="0" collapsed="false">
      <c r="A50" s="17" t="s">
        <v>3082</v>
      </c>
      <c r="B50" s="18" t="s">
        <v>2119</v>
      </c>
      <c r="C50" s="18" t="s">
        <v>2120</v>
      </c>
      <c r="D50" s="18" t="s">
        <v>3083</v>
      </c>
      <c r="E50" s="18" t="s">
        <v>857</v>
      </c>
      <c r="F50" s="18" t="s">
        <v>3084</v>
      </c>
    </row>
    <row r="51" customFormat="false" ht="12.8" hidden="false" customHeight="false" outlineLevel="0" collapsed="false">
      <c r="A51" s="17" t="s">
        <v>3085</v>
      </c>
      <c r="B51" s="18" t="s">
        <v>3086</v>
      </c>
      <c r="C51" s="18" t="s">
        <v>3087</v>
      </c>
      <c r="D51" s="18" t="s">
        <v>3088</v>
      </c>
      <c r="E51" s="18" t="s">
        <v>857</v>
      </c>
      <c r="F51" s="18" t="s">
        <v>3089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P5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30" activeCellId="0" sqref="A30"/>
    </sheetView>
  </sheetViews>
  <sheetFormatPr defaultColWidth="11.53515625" defaultRowHeight="12.8" customHeight="false" zeroHeight="false" outlineLevelRow="0" outlineLevelCol="0"/>
  <cols>
    <col collapsed="false" customWidth="false" hidden="false" outlineLevel="0" max="1" min="1" style="17" width="11.53"/>
    <col collapsed="false" customWidth="true" hidden="false" outlineLevel="0" max="2" min="2" style="18" width="29.98"/>
    <col collapsed="false" customWidth="true" hidden="false" outlineLevel="0" max="34" min="3"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23.85" hidden="false" customHeight="false" outlineLevel="0" collapsed="false">
      <c r="A1" s="4" t="s">
        <v>71</v>
      </c>
      <c r="B1" s="50" t="s">
        <v>3090</v>
      </c>
      <c r="C1" s="6" t="s">
        <v>2</v>
      </c>
      <c r="D1" s="48" t="s">
        <v>2943</v>
      </c>
      <c r="AZ1" s="18"/>
      <c r="BP1" s="18"/>
    </row>
    <row r="2" customFormat="false" ht="12.8" hidden="false" customHeight="false" outlineLevel="0" collapsed="false">
      <c r="A2" s="46" t="str">
        <f aca="false">_xlfn.CONCAT($A$1, ".", "CALC")</f>
        <v>LSD.RID.0.AL.AIRAVG.CALC</v>
      </c>
      <c r="B2" s="47" t="str">
        <f aca="false">_xlfn.CONCAT($B$1, " ", "Calculations")</f>
        <v>Alabama Wage Range Average (AIRAVG) Calculations</v>
      </c>
      <c r="C2" s="3"/>
      <c r="D2" s="3"/>
      <c r="E2" s="3"/>
      <c r="F2" s="3"/>
      <c r="AT2" s="3"/>
      <c r="AU2" s="3"/>
      <c r="AV2" s="3"/>
      <c r="AW2" s="3"/>
      <c r="AZ2" s="18"/>
      <c r="BA2" s="18"/>
      <c r="BB2" s="18"/>
      <c r="BC2" s="18"/>
      <c r="BJ2" s="3"/>
      <c r="BK2" s="3"/>
      <c r="BL2" s="3"/>
      <c r="BM2" s="3"/>
      <c r="BN2" s="3"/>
      <c r="BO2" s="3"/>
    </row>
    <row r="3" customFormat="false" ht="23.85" hidden="false" customHeight="false" outlineLevel="0" collapsed="false">
      <c r="A3" s="46" t="str">
        <f aca="false">CALC!A34</f>
        <v>LSID</v>
      </c>
      <c r="B3" s="22" t="str">
        <f aca="false">CALC!C34</f>
        <v>Labor Sector</v>
      </c>
      <c r="C3" s="55" t="str">
        <f aca="false">CALC!X64</f>
        <v>Overall AIRAVG Min</v>
      </c>
      <c r="D3" s="55" t="str">
        <f aca="false">CALC!Y64</f>
        <v>Overall AIRAVG Max</v>
      </c>
      <c r="E3" s="55" t="str">
        <f aca="false">CALC!Z64</f>
        <v>Overall AIRAVG</v>
      </c>
      <c r="F3" s="55" t="str">
        <f aca="false">CALC!AA64</f>
        <v>Authorized AIRAVG Min</v>
      </c>
      <c r="G3" s="55" t="str">
        <f aca="false">CALC!AB64</f>
        <v>Authorized AIRAVG Max</v>
      </c>
      <c r="H3" s="55" t="str">
        <f aca="false">CALC!AC64</f>
        <v>Authorized AIRAVG</v>
      </c>
      <c r="I3" s="55" t="str">
        <f aca="false">CALC!AD64</f>
        <v>Unauthorized AIRAVG Min</v>
      </c>
      <c r="J3" s="55" t="str">
        <f aca="false">CALC!AE64</f>
        <v>Unauthorized AIRAVG Max</v>
      </c>
      <c r="K3" s="55" t="str">
        <f aca="false">CALC!AF64</f>
        <v>Unauthorized AIRAVG</v>
      </c>
      <c r="L3" s="55" t="str">
        <f aca="false">CALC!AG64</f>
        <v>American AIRAVG Min</v>
      </c>
      <c r="M3" s="55" t="str">
        <f aca="false">CALC!AH64</f>
        <v>American AIRAVG Max</v>
      </c>
      <c r="N3" s="55" t="str">
        <f aca="false">CALC!AI64</f>
        <v>American AIRAVG</v>
      </c>
      <c r="AJ3" s="3"/>
      <c r="AK3" s="3"/>
      <c r="AL3" s="3"/>
      <c r="AM3" s="3"/>
      <c r="AZ3" s="3"/>
      <c r="BA3" s="3"/>
      <c r="BB3" s="3"/>
      <c r="BC3" s="3"/>
      <c r="BD3" s="3"/>
      <c r="BE3" s="3"/>
      <c r="BF3" s="3"/>
      <c r="BG3" s="3"/>
      <c r="BH3" s="3"/>
      <c r="BI3" s="3"/>
      <c r="BJ3" s="3"/>
      <c r="BK3" s="3"/>
      <c r="BL3" s="3"/>
      <c r="BM3" s="3"/>
      <c r="BN3" s="3"/>
      <c r="BO3" s="3"/>
    </row>
    <row r="4" customFormat="false" ht="12.8" hidden="false" customHeight="false" outlineLevel="0" collapsed="false">
      <c r="A4" s="46" t="str">
        <f aca="false">_xlfn.CONCAT($A$1, ".CALC.", CALC!A35)</f>
        <v>LSD.RID.0.AL.AIRAVG.CALC.0</v>
      </c>
      <c r="B4" s="22" t="str">
        <f aca="false">CALC!C35</f>
        <v>All Industries</v>
      </c>
      <c r="C4" s="18" t="n">
        <v>31200</v>
      </c>
      <c r="D4" s="18" t="n">
        <v>114400</v>
      </c>
      <c r="E4" s="18" t="n">
        <v>66476</v>
      </c>
      <c r="F4" s="18" t="n">
        <v>32760</v>
      </c>
      <c r="G4" s="18" t="n">
        <v>121064</v>
      </c>
      <c r="H4" s="18" t="n">
        <v>69678</v>
      </c>
      <c r="I4" s="18" t="n">
        <v>21840</v>
      </c>
      <c r="J4" s="18" t="n">
        <v>91520</v>
      </c>
      <c r="K4" s="18" t="n">
        <v>53181</v>
      </c>
      <c r="L4" s="18" t="n">
        <v>31500</v>
      </c>
      <c r="M4" s="18" t="n">
        <v>115904</v>
      </c>
      <c r="N4" s="18" t="n">
        <v>67020</v>
      </c>
      <c r="AJ4" s="3"/>
      <c r="AK4" s="3"/>
      <c r="AL4" s="3"/>
      <c r="AM4" s="3"/>
      <c r="AZ4" s="3"/>
      <c r="BA4" s="3"/>
      <c r="BB4" s="3"/>
      <c r="BC4" s="3"/>
      <c r="BD4" s="3"/>
      <c r="BE4" s="3"/>
      <c r="BF4" s="3"/>
      <c r="BG4" s="3"/>
      <c r="BH4" s="3"/>
      <c r="BI4" s="3"/>
      <c r="BJ4" s="3"/>
      <c r="BK4" s="3"/>
      <c r="BL4" s="3"/>
      <c r="BM4" s="3"/>
      <c r="BN4" s="3"/>
      <c r="BO4" s="3"/>
    </row>
    <row r="5" customFormat="false" ht="22.8" hidden="false" customHeight="false" outlineLevel="0" collapsed="false">
      <c r="A5" s="46" t="str">
        <f aca="false">_xlfn.CONCAT($A$1, ".CALC.", CALC!A36)</f>
        <v>LSD.RID.0.AL.AIRAVG.CALC.1</v>
      </c>
      <c r="B5" s="50" t="str">
        <f aca="false">CALC!C36</f>
        <v>Agriculture, Forestry, Fishing and Hunting</v>
      </c>
      <c r="C5" s="18" t="n">
        <v>20400</v>
      </c>
      <c r="D5" s="18" t="n">
        <v>57000</v>
      </c>
      <c r="E5" s="18" t="n">
        <v>38500</v>
      </c>
      <c r="F5" s="18" t="n">
        <v>21420</v>
      </c>
      <c r="G5" s="18" t="n">
        <v>60040</v>
      </c>
      <c r="H5" s="18" t="n">
        <v>40735</v>
      </c>
      <c r="I5" s="18" t="n">
        <v>14280</v>
      </c>
      <c r="J5" s="18" t="n">
        <v>45600</v>
      </c>
      <c r="K5" s="18" t="n">
        <v>29940</v>
      </c>
      <c r="L5" s="18" t="n">
        <v>20600</v>
      </c>
      <c r="M5" s="18" t="n">
        <v>57600</v>
      </c>
      <c r="N5" s="18" t="n">
        <v>38900</v>
      </c>
      <c r="AJ5" s="3"/>
      <c r="AK5" s="3"/>
      <c r="AL5" s="3"/>
      <c r="AM5" s="3"/>
      <c r="AZ5" s="3"/>
      <c r="BA5" s="3"/>
      <c r="BB5" s="3"/>
      <c r="BC5" s="3"/>
      <c r="BD5" s="3"/>
      <c r="BE5" s="3"/>
      <c r="BF5" s="3"/>
      <c r="BG5" s="3"/>
      <c r="BH5" s="3"/>
      <c r="BI5" s="3"/>
      <c r="BJ5" s="3"/>
      <c r="BK5" s="3"/>
      <c r="BL5" s="3"/>
      <c r="BM5" s="3"/>
      <c r="BN5" s="3"/>
      <c r="BO5" s="3"/>
    </row>
    <row r="6" customFormat="false" ht="22.8" hidden="false" customHeight="false" outlineLevel="0" collapsed="false">
      <c r="A6" s="46" t="str">
        <f aca="false">_xlfn.CONCAT($A$1, ".CALC.", CALC!A37)</f>
        <v>LSD.RID.0.AL.AIRAVG.CALC.2</v>
      </c>
      <c r="B6" s="50" t="str">
        <f aca="false">CALC!C37</f>
        <v>Mining, Quarrying, and Oil and Gas Extraction</v>
      </c>
      <c r="C6" s="18" t="n">
        <v>37000</v>
      </c>
      <c r="D6" s="18" t="n">
        <v>130000</v>
      </c>
      <c r="E6" s="18" t="n">
        <v>72800</v>
      </c>
      <c r="F6" s="18" t="n">
        <v>38860</v>
      </c>
      <c r="G6" s="18" t="n">
        <v>137800</v>
      </c>
      <c r="H6" s="18" t="n">
        <v>76440</v>
      </c>
      <c r="I6" s="18" t="n">
        <v>25900</v>
      </c>
      <c r="J6" s="18" t="n">
        <v>104000</v>
      </c>
      <c r="K6" s="18" t="n">
        <v>58120</v>
      </c>
      <c r="L6" s="18" t="n">
        <v>37400</v>
      </c>
      <c r="M6" s="18" t="n">
        <v>131400</v>
      </c>
      <c r="N6" s="18" t="n">
        <v>73300</v>
      </c>
      <c r="AJ6" s="3"/>
      <c r="AK6" s="3"/>
      <c r="AL6" s="3"/>
      <c r="AM6" s="3"/>
      <c r="AZ6" s="3"/>
      <c r="BA6" s="3"/>
      <c r="BB6" s="3"/>
      <c r="BC6" s="3"/>
      <c r="BD6" s="3"/>
      <c r="BE6" s="3"/>
      <c r="BF6" s="3"/>
      <c r="BG6" s="3"/>
      <c r="BH6" s="3"/>
      <c r="BI6" s="3"/>
      <c r="BJ6" s="3"/>
      <c r="BK6" s="3"/>
      <c r="BL6" s="3"/>
      <c r="BM6" s="3"/>
      <c r="BN6" s="3"/>
      <c r="BO6" s="3"/>
    </row>
    <row r="7" customFormat="false" ht="12.8" hidden="false" customHeight="false" outlineLevel="0" collapsed="false">
      <c r="A7" s="46" t="str">
        <f aca="false">_xlfn.CONCAT($A$1, ".CALC.", CALC!A38)</f>
        <v>LSD.RID.0.AL.AIRAVG.CALC.3</v>
      </c>
      <c r="B7" s="22" t="str">
        <f aca="false">CALC!C38</f>
        <v>Utilities</v>
      </c>
      <c r="C7" s="18" t="n">
        <v>44000</v>
      </c>
      <c r="D7" s="18" t="n">
        <v>156000</v>
      </c>
      <c r="E7" s="18" t="n">
        <v>89024</v>
      </c>
      <c r="F7" s="18" t="n">
        <v>46200</v>
      </c>
      <c r="G7" s="18" t="n">
        <v>165360</v>
      </c>
      <c r="H7" s="18" t="n">
        <v>93475</v>
      </c>
      <c r="I7" s="18" t="n">
        <v>30800</v>
      </c>
      <c r="J7" s="18" t="n">
        <v>124800</v>
      </c>
      <c r="K7" s="18" t="n">
        <v>62300</v>
      </c>
      <c r="L7" s="18" t="n">
        <v>44400</v>
      </c>
      <c r="M7" s="18" t="n">
        <v>157600</v>
      </c>
      <c r="N7" s="18" t="n">
        <v>89600</v>
      </c>
      <c r="AJ7" s="3"/>
      <c r="AK7" s="3"/>
      <c r="AL7" s="3"/>
      <c r="AM7" s="3"/>
      <c r="AZ7" s="3"/>
      <c r="BA7" s="3"/>
      <c r="BB7" s="3"/>
      <c r="BC7" s="3"/>
      <c r="BD7" s="3"/>
      <c r="BE7" s="3"/>
      <c r="BF7" s="3"/>
      <c r="BG7" s="3"/>
      <c r="BH7" s="3"/>
      <c r="BI7" s="3"/>
      <c r="BJ7" s="3"/>
      <c r="BK7" s="3"/>
      <c r="BL7" s="3"/>
      <c r="BM7" s="3"/>
      <c r="BN7" s="3"/>
      <c r="BO7" s="3"/>
    </row>
    <row r="8" customFormat="false" ht="12.8" hidden="false" customHeight="false" outlineLevel="0" collapsed="false">
      <c r="A8" s="46" t="str">
        <f aca="false">_xlfn.CONCAT($A$1, ".CALC.", CALC!A39)</f>
        <v>LSD.RID.0.AL.AIRAVG.CALC.4</v>
      </c>
      <c r="B8" s="22" t="str">
        <f aca="false">CALC!C39</f>
        <v>Construction</v>
      </c>
      <c r="C8" s="18" t="n">
        <v>29600</v>
      </c>
      <c r="D8" s="18" t="n">
        <v>104000</v>
      </c>
      <c r="E8" s="18" t="n">
        <v>56800</v>
      </c>
      <c r="F8" s="18" t="n">
        <v>31080</v>
      </c>
      <c r="G8" s="18" t="n">
        <v>110240</v>
      </c>
      <c r="H8" s="18" t="n">
        <v>59640</v>
      </c>
      <c r="I8" s="18" t="n">
        <v>20720</v>
      </c>
      <c r="J8" s="18" t="n">
        <v>83200</v>
      </c>
      <c r="K8" s="18" t="n">
        <v>41440</v>
      </c>
      <c r="L8" s="18" t="n">
        <v>29900</v>
      </c>
      <c r="M8" s="18" t="n">
        <v>105200</v>
      </c>
      <c r="N8" s="18" t="n">
        <v>57400</v>
      </c>
      <c r="AJ8" s="3"/>
      <c r="AK8" s="3"/>
      <c r="AL8" s="3"/>
      <c r="AM8" s="3"/>
      <c r="AZ8" s="3"/>
      <c r="BA8" s="3"/>
      <c r="BB8" s="3"/>
      <c r="BC8" s="3"/>
      <c r="BD8" s="3"/>
      <c r="BE8" s="3"/>
      <c r="BF8" s="3"/>
      <c r="BG8" s="3"/>
      <c r="BH8" s="3"/>
      <c r="BI8" s="3"/>
      <c r="BJ8" s="3"/>
      <c r="BK8" s="3"/>
      <c r="BL8" s="3"/>
      <c r="BM8" s="3"/>
      <c r="BN8" s="3"/>
      <c r="BO8" s="3"/>
    </row>
    <row r="9" customFormat="false" ht="12.8" hidden="false" customHeight="false" outlineLevel="0" collapsed="false">
      <c r="A9" s="46" t="str">
        <f aca="false">_xlfn.CONCAT($A$1, ".CALC.", CALC!A40)</f>
        <v>LSD.RID.0.AL.AIRAVG.CALC.5</v>
      </c>
      <c r="B9" s="50" t="str">
        <f aca="false">CALC!C40</f>
        <v>Manufacturing (Food,Textile, etc.)</v>
      </c>
      <c r="C9" s="18" t="n">
        <v>27000</v>
      </c>
      <c r="D9" s="18" t="n">
        <v>84000</v>
      </c>
      <c r="E9" s="18" t="n">
        <v>50080</v>
      </c>
      <c r="F9" s="18" t="n">
        <v>28360</v>
      </c>
      <c r="G9" s="18" t="n">
        <v>89040</v>
      </c>
      <c r="H9" s="18" t="n">
        <v>52684</v>
      </c>
      <c r="I9" s="18" t="n">
        <v>18900</v>
      </c>
      <c r="J9" s="18" t="n">
        <v>67200</v>
      </c>
      <c r="K9" s="18" t="n">
        <v>40064</v>
      </c>
      <c r="L9" s="18" t="n">
        <v>27300</v>
      </c>
      <c r="M9" s="18" t="n">
        <v>84800</v>
      </c>
      <c r="N9" s="18" t="n">
        <v>50500</v>
      </c>
      <c r="AJ9" s="3"/>
      <c r="AK9" s="3"/>
      <c r="AL9" s="3"/>
      <c r="AM9" s="3"/>
      <c r="AZ9" s="3"/>
      <c r="BA9" s="3"/>
      <c r="BB9" s="3"/>
      <c r="BC9" s="3"/>
      <c r="BD9" s="3"/>
      <c r="BE9" s="3"/>
      <c r="BF9" s="3"/>
      <c r="BG9" s="3"/>
      <c r="BH9" s="3"/>
      <c r="BI9" s="3"/>
      <c r="BJ9" s="3"/>
      <c r="BK9" s="3"/>
      <c r="BL9" s="3"/>
      <c r="BM9" s="3"/>
      <c r="BN9" s="3"/>
      <c r="BO9" s="3"/>
    </row>
    <row r="10" customFormat="false" ht="22.8" hidden="false" customHeight="false" outlineLevel="0" collapsed="false">
      <c r="A10" s="46" t="str">
        <f aca="false">_xlfn.CONCAT($A$1, ".CALC.", CALC!A41)</f>
        <v>LSD.RID.0.AL.AIRAVG.CALC.6</v>
      </c>
      <c r="B10" s="50" t="str">
        <f aca="false">CALC!C41</f>
        <v>Manufacturing (Wood, Paper, Printing, etc.)</v>
      </c>
      <c r="C10" s="18" t="n">
        <v>30000</v>
      </c>
      <c r="D10" s="18" t="n">
        <v>96000</v>
      </c>
      <c r="E10" s="18" t="n">
        <v>55120</v>
      </c>
      <c r="F10" s="18" t="n">
        <v>31500</v>
      </c>
      <c r="G10" s="18" t="n">
        <v>101760</v>
      </c>
      <c r="H10" s="18" t="n">
        <v>57976</v>
      </c>
      <c r="I10" s="18" t="n">
        <v>21000</v>
      </c>
      <c r="J10" s="18" t="n">
        <v>76800</v>
      </c>
      <c r="K10" s="18" t="n">
        <v>44096</v>
      </c>
      <c r="L10" s="18" t="n">
        <v>30300</v>
      </c>
      <c r="M10" s="18" t="n">
        <v>97000</v>
      </c>
      <c r="N10" s="18" t="n">
        <v>55600</v>
      </c>
      <c r="AJ10" s="3"/>
      <c r="AK10" s="3"/>
      <c r="AL10" s="3"/>
      <c r="AM10" s="3"/>
      <c r="AZ10" s="3"/>
      <c r="BA10" s="3"/>
      <c r="BB10" s="3"/>
      <c r="BC10" s="3"/>
      <c r="BD10" s="3"/>
      <c r="BE10" s="3"/>
      <c r="BF10" s="3"/>
      <c r="BG10" s="3"/>
      <c r="BH10" s="3"/>
      <c r="BI10" s="3"/>
      <c r="BJ10" s="3"/>
      <c r="BK10" s="3"/>
      <c r="BL10" s="3"/>
      <c r="BM10" s="3"/>
      <c r="BN10" s="3"/>
      <c r="BO10" s="3"/>
    </row>
    <row r="11" customFormat="false" ht="22.8" hidden="false" customHeight="false" outlineLevel="0" collapsed="false">
      <c r="A11" s="46" t="str">
        <f aca="false">_xlfn.CONCAT($A$1, ".CALC.", CALC!A42)</f>
        <v>LSD.RID.0.AL.AIRAVG.CALC.7</v>
      </c>
      <c r="B11" s="50" t="str">
        <f aca="false">CALC!C42</f>
        <v>Manufacturing (Machinery, Transport)</v>
      </c>
      <c r="C11" s="18" t="n">
        <v>36000</v>
      </c>
      <c r="D11" s="18" t="n">
        <v>116000</v>
      </c>
      <c r="E11" s="18" t="n">
        <v>68432</v>
      </c>
      <c r="F11" s="18" t="n">
        <v>37800</v>
      </c>
      <c r="G11" s="18" t="n">
        <v>122960</v>
      </c>
      <c r="H11" s="18" t="n">
        <v>71954</v>
      </c>
      <c r="I11" s="18" t="n">
        <v>25200</v>
      </c>
      <c r="J11" s="18" t="n">
        <v>92800</v>
      </c>
      <c r="K11" s="18" t="n">
        <v>54746</v>
      </c>
      <c r="L11" s="18" t="n">
        <v>36400</v>
      </c>
      <c r="M11" s="18" t="n">
        <v>117200</v>
      </c>
      <c r="N11" s="18" t="n">
        <v>69000</v>
      </c>
      <c r="AJ11" s="3"/>
      <c r="AK11" s="3"/>
      <c r="AL11" s="3"/>
      <c r="AM11" s="3"/>
      <c r="AZ11" s="3"/>
      <c r="BA11" s="3"/>
      <c r="BB11" s="3"/>
      <c r="BC11" s="3"/>
      <c r="BD11" s="3"/>
      <c r="BE11" s="3"/>
      <c r="BF11" s="3"/>
      <c r="BG11" s="3"/>
      <c r="BH11" s="3"/>
      <c r="BI11" s="3"/>
      <c r="BJ11" s="3"/>
      <c r="BK11" s="3"/>
      <c r="BL11" s="3"/>
      <c r="BM11" s="3"/>
      <c r="BN11" s="3"/>
      <c r="BO11" s="3"/>
    </row>
    <row r="12" customFormat="false" ht="12.9" hidden="false" customHeight="false" outlineLevel="0" collapsed="false">
      <c r="A12" s="46" t="str">
        <f aca="false">_xlfn.CONCAT($A$1, ".CALC.", CALC!A43)</f>
        <v>LSD.RID.0.AL.AIRAVG.CALC.8</v>
      </c>
      <c r="B12" s="22" t="str">
        <f aca="false">CALC!C43</f>
        <v>Wholesale Trade</v>
      </c>
      <c r="C12" s="18" t="n">
        <v>33600</v>
      </c>
      <c r="D12" s="18" t="n">
        <v>110000</v>
      </c>
      <c r="E12" s="18" t="n">
        <v>60400</v>
      </c>
      <c r="F12" s="18" t="n">
        <v>35280</v>
      </c>
      <c r="G12" s="18" t="n">
        <v>116600</v>
      </c>
      <c r="H12" s="18" t="n">
        <v>63520</v>
      </c>
      <c r="I12" s="18" t="n">
        <v>23520</v>
      </c>
      <c r="J12" s="18" t="n">
        <v>88000</v>
      </c>
      <c r="K12" s="18" t="n">
        <v>47040</v>
      </c>
      <c r="L12" s="18" t="n">
        <v>34000</v>
      </c>
      <c r="M12" s="18" t="n">
        <v>111200</v>
      </c>
      <c r="N12" s="18" t="n">
        <v>60800</v>
      </c>
      <c r="AJ12" s="3"/>
      <c r="AK12" s="3"/>
      <c r="AL12" s="3"/>
      <c r="AM12" s="3"/>
      <c r="AZ12" s="3"/>
      <c r="BA12" s="3"/>
      <c r="BB12" s="3"/>
      <c r="BC12" s="3"/>
      <c r="BD12" s="3"/>
      <c r="BE12" s="3"/>
      <c r="BF12" s="3"/>
      <c r="BG12" s="3"/>
      <c r="BH12" s="3"/>
      <c r="BI12" s="3"/>
      <c r="BJ12" s="3"/>
      <c r="BK12" s="3"/>
      <c r="BL12" s="3"/>
      <c r="BM12" s="3"/>
      <c r="BN12" s="3"/>
      <c r="BO12" s="3"/>
    </row>
    <row r="13" customFormat="false" ht="22.8" hidden="false" customHeight="false" outlineLevel="0" collapsed="false">
      <c r="A13" s="46" t="str">
        <f aca="false">_xlfn.CONCAT($A$1, ".CALC.", CALC!A44)</f>
        <v>LSD.RID.0.AL.AIRAVG.CALC.9</v>
      </c>
      <c r="B13" s="50" t="str">
        <f aca="false">CALC!C44</f>
        <v>Retail Trade (Motor Vehicle, Electronics)</v>
      </c>
      <c r="C13" s="18" t="n">
        <v>30400</v>
      </c>
      <c r="D13" s="18" t="n">
        <v>100000</v>
      </c>
      <c r="E13" s="18" t="n">
        <v>56200</v>
      </c>
      <c r="F13" s="18" t="n">
        <v>31920</v>
      </c>
      <c r="G13" s="18" t="n">
        <v>106000</v>
      </c>
      <c r="H13" s="18" t="n">
        <v>59100</v>
      </c>
      <c r="I13" s="18" t="n">
        <v>21280</v>
      </c>
      <c r="J13" s="18" t="n">
        <v>80000</v>
      </c>
      <c r="K13" s="18" t="n">
        <v>44960</v>
      </c>
      <c r="L13" s="18" t="n">
        <v>30700</v>
      </c>
      <c r="M13" s="18" t="n">
        <v>101000</v>
      </c>
      <c r="N13" s="18" t="n">
        <v>56700</v>
      </c>
      <c r="AJ13" s="3"/>
      <c r="AK13" s="3"/>
      <c r="AL13" s="3"/>
      <c r="AM13" s="3"/>
      <c r="AZ13" s="3"/>
      <c r="BA13" s="3"/>
      <c r="BB13" s="3"/>
      <c r="BC13" s="3"/>
      <c r="BD13" s="3"/>
      <c r="BE13" s="3"/>
      <c r="BF13" s="3"/>
      <c r="BG13" s="3"/>
      <c r="BH13" s="3"/>
      <c r="BI13" s="3"/>
      <c r="BJ13" s="3"/>
      <c r="BK13" s="3"/>
      <c r="BL13" s="3"/>
      <c r="BM13" s="3"/>
      <c r="BN13" s="3"/>
      <c r="BO13" s="3"/>
    </row>
    <row r="14" customFormat="false" ht="22.8" hidden="false" customHeight="false" outlineLevel="0" collapsed="false">
      <c r="A14" s="46" t="str">
        <f aca="false">_xlfn.CONCAT($A$1, ".CALC.", CALC!A45)</f>
        <v>LSD.RID.0.AL.AIRAVG.CALC.10</v>
      </c>
      <c r="B14" s="50" t="str">
        <f aca="false">CALC!C45</f>
        <v>Retail Trade (Food, Clothing, General Merchandise, etc.)</v>
      </c>
      <c r="C14" s="18" t="n">
        <v>23000</v>
      </c>
      <c r="D14" s="18" t="n">
        <v>76000</v>
      </c>
      <c r="E14" s="18" t="n">
        <v>41600</v>
      </c>
      <c r="F14" s="18" t="n">
        <v>24160</v>
      </c>
      <c r="G14" s="18" t="n">
        <v>80560</v>
      </c>
      <c r="H14" s="18" t="n">
        <v>43680</v>
      </c>
      <c r="I14" s="18" t="n">
        <v>16100</v>
      </c>
      <c r="J14" s="18" t="n">
        <v>60800</v>
      </c>
      <c r="K14" s="18" t="n">
        <v>33280</v>
      </c>
      <c r="L14" s="18" t="n">
        <v>23240</v>
      </c>
      <c r="M14" s="18" t="n">
        <v>76800</v>
      </c>
      <c r="N14" s="18" t="n">
        <v>42000</v>
      </c>
      <c r="AJ14" s="3"/>
      <c r="AK14" s="3"/>
      <c r="AL14" s="3"/>
      <c r="AM14" s="3"/>
      <c r="AZ14" s="3"/>
      <c r="BA14" s="3"/>
      <c r="BB14" s="3"/>
      <c r="BC14" s="3"/>
      <c r="BD14" s="3"/>
      <c r="BE14" s="3"/>
      <c r="BF14" s="3"/>
      <c r="BG14" s="3"/>
      <c r="BH14" s="3"/>
      <c r="BI14" s="3"/>
      <c r="BJ14" s="3"/>
      <c r="BK14" s="3"/>
      <c r="BL14" s="3"/>
      <c r="BM14" s="3"/>
      <c r="BN14" s="3"/>
      <c r="BO14" s="3"/>
    </row>
    <row r="15" customFormat="false" ht="12.8" hidden="false" customHeight="false" outlineLevel="0" collapsed="false">
      <c r="A15" s="46" t="str">
        <f aca="false">_xlfn.CONCAT($A$1, ".CALC.", CALC!A46)</f>
        <v>LSD.RID.0.AL.AIRAVG.CALC.11</v>
      </c>
      <c r="B15" s="22" t="str">
        <f aca="false">CALC!C46</f>
        <v>Transportation</v>
      </c>
      <c r="C15" s="18" t="n">
        <v>34000</v>
      </c>
      <c r="D15" s="18" t="n">
        <v>116000</v>
      </c>
      <c r="E15" s="18" t="n">
        <v>65840</v>
      </c>
      <c r="F15" s="18" t="n">
        <v>35700</v>
      </c>
      <c r="G15" s="18" t="n">
        <v>122960</v>
      </c>
      <c r="H15" s="18" t="n">
        <v>69132</v>
      </c>
      <c r="I15" s="18" t="n">
        <v>23800</v>
      </c>
      <c r="J15" s="18" t="n">
        <v>92800</v>
      </c>
      <c r="K15" s="18" t="n">
        <v>52340</v>
      </c>
      <c r="L15" s="18" t="n">
        <v>34400</v>
      </c>
      <c r="M15" s="18" t="n">
        <v>117200</v>
      </c>
      <c r="N15" s="18" t="n">
        <v>66100</v>
      </c>
      <c r="AJ15" s="3"/>
      <c r="AK15" s="3"/>
      <c r="AL15" s="3"/>
      <c r="AM15" s="3"/>
      <c r="AZ15" s="3"/>
      <c r="BA15" s="3"/>
      <c r="BB15" s="3"/>
      <c r="BC15" s="3"/>
      <c r="BD15" s="3"/>
      <c r="BE15" s="3"/>
      <c r="BF15" s="3"/>
      <c r="BG15" s="3"/>
      <c r="BH15" s="3"/>
      <c r="BI15" s="3"/>
      <c r="BJ15" s="3"/>
      <c r="BK15" s="3"/>
      <c r="BL15" s="3"/>
      <c r="BM15" s="3"/>
      <c r="BN15" s="3"/>
      <c r="BO15" s="3"/>
    </row>
    <row r="16" customFormat="false" ht="12.8" hidden="false" customHeight="false" outlineLevel="0" collapsed="false">
      <c r="A16" s="46" t="str">
        <f aca="false">_xlfn.CONCAT($A$1, ".CALC.", CALC!A47)</f>
        <v>LSD.RID.0.AL.AIRAVG.CALC.12</v>
      </c>
      <c r="B16" s="22" t="str">
        <f aca="false">CALC!C47</f>
        <v>Warehousing and Storage</v>
      </c>
      <c r="C16" s="18" t="n">
        <v>28000</v>
      </c>
      <c r="D16" s="18" t="n">
        <v>90000</v>
      </c>
      <c r="E16" s="18" t="n">
        <v>52000</v>
      </c>
      <c r="F16" s="18" t="n">
        <v>29400</v>
      </c>
      <c r="G16" s="18" t="n">
        <v>95400</v>
      </c>
      <c r="H16" s="18" t="n">
        <v>54600</v>
      </c>
      <c r="I16" s="18" t="n">
        <v>19600</v>
      </c>
      <c r="J16" s="18" t="n">
        <v>72000</v>
      </c>
      <c r="K16" s="18" t="n">
        <v>41600</v>
      </c>
      <c r="L16" s="18" t="n">
        <v>28280</v>
      </c>
      <c r="M16" s="18" t="n">
        <v>91000</v>
      </c>
      <c r="N16" s="18" t="n">
        <v>53200</v>
      </c>
      <c r="AJ16" s="3"/>
      <c r="AK16" s="3"/>
      <c r="AL16" s="3"/>
      <c r="AM16" s="3"/>
      <c r="AZ16" s="3"/>
      <c r="BA16" s="3"/>
      <c r="BB16" s="3"/>
      <c r="BC16" s="3"/>
      <c r="BD16" s="3"/>
      <c r="BE16" s="3"/>
      <c r="BF16" s="3"/>
      <c r="BG16" s="3"/>
      <c r="BH16" s="3"/>
      <c r="BI16" s="3"/>
      <c r="BJ16" s="3"/>
      <c r="BK16" s="3"/>
      <c r="BL16" s="3"/>
      <c r="BM16" s="3"/>
      <c r="BN16" s="3"/>
      <c r="BO16" s="3"/>
    </row>
    <row r="17" customFormat="false" ht="12.8" hidden="false" customHeight="false" outlineLevel="0" collapsed="false">
      <c r="A17" s="46" t="str">
        <f aca="false">_xlfn.CONCAT($A$1, ".CALC.", CALC!A48)</f>
        <v>LSD.RID.0.AL.AIRAVG.CALC.13</v>
      </c>
      <c r="B17" s="22" t="str">
        <f aca="false">CALC!C48</f>
        <v>Information</v>
      </c>
      <c r="C17" s="18" t="n">
        <v>40000</v>
      </c>
      <c r="D17" s="18" t="n">
        <v>140000</v>
      </c>
      <c r="E17" s="18" t="n">
        <v>80000</v>
      </c>
      <c r="F17" s="18" t="n">
        <v>42000</v>
      </c>
      <c r="G17" s="18" t="n">
        <v>148000</v>
      </c>
      <c r="H17" s="18" t="n">
        <v>84000</v>
      </c>
      <c r="I17" s="18" t="n">
        <v>28000</v>
      </c>
      <c r="J17" s="18" t="n">
        <v>112000</v>
      </c>
      <c r="K17" s="18" t="n">
        <v>64000</v>
      </c>
      <c r="L17" s="18" t="n">
        <v>40400</v>
      </c>
      <c r="M17" s="18" t="n">
        <v>141400</v>
      </c>
      <c r="N17" s="18" t="n">
        <v>80600</v>
      </c>
      <c r="AJ17" s="3"/>
      <c r="AK17" s="3"/>
      <c r="AL17" s="3"/>
      <c r="AM17" s="3"/>
      <c r="AZ17" s="3"/>
      <c r="BA17" s="3"/>
      <c r="BB17" s="3"/>
      <c r="BC17" s="3"/>
      <c r="BD17" s="3"/>
      <c r="BE17" s="3"/>
      <c r="BF17" s="3"/>
      <c r="BG17" s="3"/>
      <c r="BH17" s="3"/>
      <c r="BI17" s="3"/>
      <c r="BJ17" s="3"/>
      <c r="BK17" s="3"/>
      <c r="BL17" s="3"/>
      <c r="BM17" s="3"/>
      <c r="BN17" s="3"/>
      <c r="BO17" s="3"/>
    </row>
    <row r="18" customFormat="false" ht="12.8" hidden="false" customHeight="false" outlineLevel="0" collapsed="false">
      <c r="A18" s="46" t="str">
        <f aca="false">_xlfn.CONCAT($A$1, ".CALC.", CALC!A49)</f>
        <v>LSD.RID.0.AL.AIRAVG.CALC.14</v>
      </c>
      <c r="B18" s="22" t="str">
        <f aca="false">CALC!C49</f>
        <v>Finance and Insurance</v>
      </c>
      <c r="C18" s="18" t="n">
        <v>44000</v>
      </c>
      <c r="D18" s="18" t="n">
        <v>150000</v>
      </c>
      <c r="E18" s="18" t="n">
        <v>83200</v>
      </c>
      <c r="F18" s="18" t="n">
        <v>46200</v>
      </c>
      <c r="G18" s="18" t="n">
        <v>159000</v>
      </c>
      <c r="H18" s="18" t="n">
        <v>87360</v>
      </c>
      <c r="I18" s="18" t="n">
        <v>30800</v>
      </c>
      <c r="J18" s="18" t="n">
        <v>120000</v>
      </c>
      <c r="K18" s="18" t="n">
        <v>66560</v>
      </c>
      <c r="L18" s="18" t="n">
        <v>44400</v>
      </c>
      <c r="M18" s="18" t="n">
        <v>151600</v>
      </c>
      <c r="N18" s="18" t="n">
        <v>84000</v>
      </c>
      <c r="AJ18" s="3"/>
      <c r="AK18" s="3"/>
      <c r="AL18" s="3"/>
      <c r="AM18" s="3"/>
      <c r="AZ18" s="3"/>
      <c r="BA18" s="3"/>
      <c r="BB18" s="3"/>
      <c r="BC18" s="3"/>
      <c r="BD18" s="3"/>
      <c r="BE18" s="3"/>
      <c r="BF18" s="3"/>
      <c r="BG18" s="3"/>
      <c r="BH18" s="3"/>
      <c r="BI18" s="3"/>
      <c r="BJ18" s="3"/>
      <c r="BK18" s="3"/>
      <c r="BL18" s="3"/>
      <c r="BM18" s="3"/>
      <c r="BN18" s="3"/>
      <c r="BO18" s="3"/>
    </row>
    <row r="19" customFormat="false" ht="22.8" hidden="false" customHeight="false" outlineLevel="0" collapsed="false">
      <c r="A19" s="46" t="str">
        <f aca="false">_xlfn.CONCAT($A$1, ".CALC.", CALC!A50)</f>
        <v>LSD.RID.0.AL.AIRAVG.CALC.15</v>
      </c>
      <c r="B19" s="50" t="str">
        <f aca="false">CALC!C50</f>
        <v>Real Estate and Rental and Leasing</v>
      </c>
      <c r="C19" s="18" t="n">
        <v>35000</v>
      </c>
      <c r="D19" s="18" t="n">
        <v>120000</v>
      </c>
      <c r="E19" s="18" t="n">
        <v>67200</v>
      </c>
      <c r="F19" s="18" t="n">
        <v>36750</v>
      </c>
      <c r="G19" s="18" t="n">
        <v>127200</v>
      </c>
      <c r="H19" s="18" t="n">
        <v>70560</v>
      </c>
      <c r="I19" s="18" t="n">
        <v>24500</v>
      </c>
      <c r="J19" s="18" t="n">
        <v>96000</v>
      </c>
      <c r="K19" s="18" t="n">
        <v>53760</v>
      </c>
      <c r="L19" s="18" t="n">
        <v>35400</v>
      </c>
      <c r="M19" s="18" t="n">
        <v>121200</v>
      </c>
      <c r="N19" s="18" t="n">
        <v>67400</v>
      </c>
      <c r="AJ19" s="3"/>
      <c r="AK19" s="3"/>
      <c r="AL19" s="3"/>
      <c r="AM19" s="3"/>
      <c r="AZ19" s="3"/>
      <c r="BA19" s="3"/>
      <c r="BB19" s="3"/>
      <c r="BC19" s="3"/>
      <c r="BD19" s="3"/>
      <c r="BE19" s="3"/>
      <c r="BF19" s="3"/>
      <c r="BG19" s="3"/>
      <c r="BH19" s="3"/>
      <c r="BI19" s="3"/>
      <c r="BJ19" s="3"/>
      <c r="BK19" s="3"/>
      <c r="BL19" s="3"/>
      <c r="BM19" s="3"/>
      <c r="BN19" s="3"/>
      <c r="BO19" s="3"/>
    </row>
    <row r="20" customFormat="false" ht="22.8" hidden="false" customHeight="false" outlineLevel="0" collapsed="false">
      <c r="A20" s="46" t="str">
        <f aca="false">_xlfn.CONCAT($A$1, ".CALC.", CALC!A51)</f>
        <v>LSD.RID.0.AL.AIRAVG.CALC.16</v>
      </c>
      <c r="B20" s="50" t="str">
        <f aca="false">CALC!C51</f>
        <v>Professional, Scientific, and Technical Services</v>
      </c>
      <c r="C20" s="18" t="n">
        <v>50000</v>
      </c>
      <c r="D20" s="18" t="n">
        <v>180000</v>
      </c>
      <c r="E20" s="18" t="n">
        <v>95040</v>
      </c>
      <c r="F20" s="18" t="n">
        <v>52500</v>
      </c>
      <c r="G20" s="18" t="n">
        <v>190800</v>
      </c>
      <c r="H20" s="18" t="n">
        <v>100792</v>
      </c>
      <c r="I20" s="18" t="n">
        <v>35000</v>
      </c>
      <c r="J20" s="18" t="n">
        <v>144000</v>
      </c>
      <c r="K20" s="18" t="n">
        <v>76160</v>
      </c>
      <c r="L20" s="18" t="n">
        <v>50600</v>
      </c>
      <c r="M20" s="18" t="n">
        <v>181800</v>
      </c>
      <c r="N20" s="18" t="n">
        <v>96000</v>
      </c>
      <c r="AJ20" s="3"/>
      <c r="AK20" s="3"/>
      <c r="AL20" s="3"/>
      <c r="AM20" s="3"/>
      <c r="AZ20" s="3"/>
      <c r="BA20" s="3"/>
      <c r="BB20" s="3"/>
      <c r="BC20" s="3"/>
      <c r="BD20" s="3"/>
      <c r="BE20" s="3"/>
      <c r="BF20" s="3"/>
      <c r="BG20" s="3"/>
      <c r="BH20" s="3"/>
      <c r="BI20" s="3"/>
      <c r="BJ20" s="3"/>
      <c r="BK20" s="3"/>
      <c r="BL20" s="3"/>
      <c r="BM20" s="3"/>
      <c r="BN20" s="3"/>
      <c r="BO20" s="3"/>
    </row>
    <row r="21" customFormat="false" ht="33.35" hidden="false" customHeight="false" outlineLevel="0" collapsed="false">
      <c r="A21" s="46" t="str">
        <f aca="false">_xlfn.CONCAT($A$1, ".CALC.", CALC!A52)</f>
        <v>LSD.RID.0.AL.AIRAVG.CALC.17</v>
      </c>
      <c r="B21" s="50" t="str">
        <f aca="false">CALC!C52</f>
        <v>Administrative and Support and Waste Management and Remediation Services</v>
      </c>
      <c r="C21" s="18" t="n">
        <v>24000</v>
      </c>
      <c r="D21" s="18" t="n">
        <v>80000</v>
      </c>
      <c r="E21" s="18" t="n">
        <v>44600</v>
      </c>
      <c r="F21" s="18" t="n">
        <v>25200</v>
      </c>
      <c r="G21" s="18" t="n">
        <v>84800</v>
      </c>
      <c r="H21" s="18" t="n">
        <v>46880</v>
      </c>
      <c r="I21" s="18" t="n">
        <v>16800</v>
      </c>
      <c r="J21" s="18" t="n">
        <v>64000</v>
      </c>
      <c r="K21" s="18" t="n">
        <v>35840</v>
      </c>
      <c r="L21" s="18" t="n">
        <v>24240</v>
      </c>
      <c r="M21" s="18" t="n">
        <v>80800</v>
      </c>
      <c r="N21" s="18" t="n">
        <v>44900</v>
      </c>
      <c r="AJ21" s="3"/>
      <c r="AK21" s="3"/>
      <c r="AL21" s="3"/>
      <c r="AM21" s="3"/>
      <c r="AZ21" s="3"/>
      <c r="BA21" s="3"/>
      <c r="BB21" s="3"/>
      <c r="BC21" s="3"/>
      <c r="BD21" s="3"/>
      <c r="BE21" s="3"/>
      <c r="BF21" s="3"/>
      <c r="BG21" s="3"/>
      <c r="BH21" s="3"/>
      <c r="BI21" s="3"/>
      <c r="BJ21" s="3"/>
      <c r="BK21" s="3"/>
      <c r="BL21" s="3"/>
      <c r="BM21" s="3"/>
      <c r="BN21" s="3"/>
      <c r="BO21" s="3"/>
    </row>
    <row r="22" customFormat="false" ht="12.8" hidden="false" customHeight="false" outlineLevel="0" collapsed="false">
      <c r="A22" s="46" t="str">
        <f aca="false">_xlfn.CONCAT($A$1, ".CALC.", CALC!A53)</f>
        <v>LSD.RID.0.AL.AIRAVG.CALC.18</v>
      </c>
      <c r="B22" s="22" t="str">
        <f aca="false">CALC!C53</f>
        <v>Educational Services</v>
      </c>
      <c r="C22" s="18" t="n">
        <v>37000</v>
      </c>
      <c r="D22" s="18" t="n">
        <v>124000</v>
      </c>
      <c r="E22" s="18" t="n">
        <v>70880</v>
      </c>
      <c r="F22" s="18" t="n">
        <v>38860</v>
      </c>
      <c r="G22" s="18" t="n">
        <v>131440</v>
      </c>
      <c r="H22" s="18" t="n">
        <v>74424</v>
      </c>
      <c r="I22" s="18" t="n">
        <v>25900</v>
      </c>
      <c r="J22" s="18" t="n">
        <v>99200</v>
      </c>
      <c r="K22" s="18" t="n">
        <v>56560</v>
      </c>
      <c r="L22" s="18" t="n">
        <v>37400</v>
      </c>
      <c r="M22" s="18" t="n">
        <v>125200</v>
      </c>
      <c r="N22" s="18" t="n">
        <v>71400</v>
      </c>
      <c r="AJ22" s="3"/>
      <c r="AK22" s="3"/>
      <c r="AL22" s="3"/>
      <c r="AM22" s="3"/>
      <c r="AZ22" s="3"/>
      <c r="BA22" s="3"/>
      <c r="BB22" s="3"/>
      <c r="BC22" s="3"/>
      <c r="BD22" s="3"/>
      <c r="BE22" s="3"/>
      <c r="BF22" s="3"/>
      <c r="BG22" s="3"/>
      <c r="BH22" s="3"/>
      <c r="BI22" s="3"/>
      <c r="BJ22" s="3"/>
      <c r="BK22" s="3"/>
      <c r="BL22" s="3"/>
      <c r="BM22" s="3"/>
      <c r="BN22" s="3"/>
      <c r="BO22" s="3"/>
    </row>
    <row r="23" customFormat="false" ht="22.8" hidden="false" customHeight="false" outlineLevel="0" collapsed="false">
      <c r="A23" s="46" t="str">
        <f aca="false">_xlfn.CONCAT($A$1, ".CALC.", CALC!A54)</f>
        <v>LSD.RID.0.AL.AIRAVG.CALC.19</v>
      </c>
      <c r="B23" s="50" t="str">
        <f aca="false">CALC!C54</f>
        <v>Health Care and Social Assistance</v>
      </c>
      <c r="C23" s="18" t="n">
        <v>40000</v>
      </c>
      <c r="D23" s="18" t="n">
        <v>136000</v>
      </c>
      <c r="E23" s="18" t="n">
        <v>76480</v>
      </c>
      <c r="F23" s="18" t="n">
        <v>42000</v>
      </c>
      <c r="G23" s="18" t="n">
        <v>144160</v>
      </c>
      <c r="H23" s="18" t="n">
        <v>80304</v>
      </c>
      <c r="I23" s="18" t="n">
        <v>28000</v>
      </c>
      <c r="J23" s="18" t="n">
        <v>108800</v>
      </c>
      <c r="K23" s="18" t="n">
        <v>61120</v>
      </c>
      <c r="L23" s="18" t="n">
        <v>40400</v>
      </c>
      <c r="M23" s="18" t="n">
        <v>137400</v>
      </c>
      <c r="N23" s="18" t="n">
        <v>78300</v>
      </c>
      <c r="AJ23" s="3"/>
      <c r="AK23" s="3"/>
      <c r="AL23" s="3"/>
      <c r="AM23" s="3"/>
      <c r="AZ23" s="3"/>
      <c r="BA23" s="3"/>
      <c r="BB23" s="3"/>
      <c r="BC23" s="3"/>
      <c r="BD23" s="3"/>
      <c r="BE23" s="3"/>
      <c r="BF23" s="3"/>
      <c r="BG23" s="3"/>
      <c r="BH23" s="3"/>
      <c r="BI23" s="3"/>
      <c r="BJ23" s="3"/>
      <c r="BK23" s="3"/>
      <c r="BL23" s="3"/>
      <c r="BM23" s="3"/>
      <c r="BN23" s="3"/>
      <c r="BO23" s="3"/>
    </row>
    <row r="24" customFormat="false" ht="22.8" hidden="false" customHeight="false" outlineLevel="0" collapsed="false">
      <c r="A24" s="46" t="str">
        <f aca="false">_xlfn.CONCAT($A$1, ".CALC.", CALC!A55)</f>
        <v>LSD.RID.0.AL.AIRAVG.CALC.20</v>
      </c>
      <c r="B24" s="50" t="str">
        <f aca="false">CALC!C55</f>
        <v>Arts, Entertainment,and Recreation</v>
      </c>
      <c r="C24" s="18" t="n">
        <v>26000</v>
      </c>
      <c r="D24" s="18" t="n">
        <v>84000</v>
      </c>
      <c r="E24" s="18" t="n">
        <v>50720</v>
      </c>
      <c r="F24" s="18" t="n">
        <v>27300</v>
      </c>
      <c r="G24" s="18" t="n">
        <v>89040</v>
      </c>
      <c r="H24" s="18" t="n">
        <v>53376</v>
      </c>
      <c r="I24" s="18" t="n">
        <v>18200</v>
      </c>
      <c r="J24" s="18" t="n">
        <v>67200</v>
      </c>
      <c r="K24" s="18" t="n">
        <v>40640</v>
      </c>
      <c r="L24" s="18" t="n">
        <v>26260</v>
      </c>
      <c r="M24" s="18" t="n">
        <v>84800</v>
      </c>
      <c r="N24" s="18" t="n">
        <v>51200</v>
      </c>
      <c r="AJ24" s="3"/>
      <c r="AK24" s="3"/>
      <c r="AL24" s="3"/>
      <c r="AM24" s="3"/>
      <c r="AZ24" s="3"/>
      <c r="BA24" s="3"/>
      <c r="BB24" s="3"/>
      <c r="BC24" s="3"/>
      <c r="BD24" s="3"/>
      <c r="BE24" s="3"/>
      <c r="BF24" s="3"/>
      <c r="BG24" s="3"/>
      <c r="BH24" s="3"/>
      <c r="BI24" s="3"/>
      <c r="BJ24" s="3"/>
      <c r="BK24" s="3"/>
      <c r="BL24" s="3"/>
      <c r="BM24" s="3"/>
      <c r="BN24" s="3"/>
      <c r="BO24" s="3"/>
    </row>
    <row r="25" customFormat="false" ht="22.8" hidden="false" customHeight="false" outlineLevel="0" collapsed="false">
      <c r="A25" s="46" t="str">
        <f aca="false">_xlfn.CONCAT($A$1, ".CALC.", CALC!A56)</f>
        <v>LSD.RID.0.AL.AIRAVG.CALC.21</v>
      </c>
      <c r="B25" s="50" t="str">
        <f aca="false">CALC!C56</f>
        <v>Accommodation and Food Services</v>
      </c>
      <c r="C25" s="18" t="n">
        <v>19000</v>
      </c>
      <c r="D25" s="18" t="n">
        <v>64000</v>
      </c>
      <c r="E25" s="18" t="n">
        <v>34960</v>
      </c>
      <c r="F25" s="18" t="n">
        <v>19950</v>
      </c>
      <c r="G25" s="18" t="n">
        <v>67840</v>
      </c>
      <c r="H25" s="18" t="n">
        <v>37152</v>
      </c>
      <c r="I25" s="18" t="n">
        <v>13300</v>
      </c>
      <c r="J25" s="18" t="n">
        <v>51200</v>
      </c>
      <c r="K25" s="18" t="n">
        <v>27968</v>
      </c>
      <c r="L25" s="18" t="n">
        <v>19200</v>
      </c>
      <c r="M25" s="18" t="n">
        <v>64600</v>
      </c>
      <c r="N25" s="18" t="n">
        <v>35300</v>
      </c>
      <c r="AJ25" s="3"/>
      <c r="AK25" s="3"/>
      <c r="AL25" s="3"/>
      <c r="AM25" s="3"/>
      <c r="AZ25" s="3"/>
      <c r="BA25" s="3"/>
      <c r="BB25" s="3"/>
      <c r="BC25" s="3"/>
      <c r="BD25" s="3"/>
      <c r="BE25" s="3"/>
      <c r="BF25" s="3"/>
      <c r="BG25" s="3"/>
      <c r="BH25" s="3"/>
      <c r="BI25" s="3"/>
      <c r="BJ25" s="3"/>
      <c r="BK25" s="3"/>
      <c r="BL25" s="3"/>
      <c r="BM25" s="3"/>
      <c r="BN25" s="3"/>
      <c r="BO25" s="3"/>
    </row>
    <row r="26" customFormat="false" ht="22.8" hidden="false" customHeight="false" outlineLevel="0" collapsed="false">
      <c r="A26" s="46" t="str">
        <f aca="false">_xlfn.CONCAT($A$1, ".CALC.", CALC!A57)</f>
        <v>LSD.RID.0.AL.AIRAVG.CALC.22</v>
      </c>
      <c r="B26" s="50" t="str">
        <f aca="false">CALC!C57</f>
        <v>Other Services (except Public Administration)</v>
      </c>
      <c r="C26" s="18" t="n">
        <v>28000</v>
      </c>
      <c r="D26" s="18" t="n">
        <v>96000</v>
      </c>
      <c r="E26" s="18" t="n">
        <v>52200</v>
      </c>
      <c r="F26" s="18" t="n">
        <v>29400</v>
      </c>
      <c r="G26" s="18" t="n">
        <v>101760</v>
      </c>
      <c r="H26" s="18" t="n">
        <v>54810</v>
      </c>
      <c r="I26" s="18" t="n">
        <v>19600</v>
      </c>
      <c r="J26" s="18" t="n">
        <v>76800</v>
      </c>
      <c r="K26" s="18" t="n">
        <v>41760</v>
      </c>
      <c r="L26" s="18" t="n">
        <v>28280</v>
      </c>
      <c r="M26" s="18" t="n">
        <v>97000</v>
      </c>
      <c r="N26" s="18" t="n">
        <v>52600</v>
      </c>
      <c r="AJ26" s="3"/>
      <c r="AK26" s="3"/>
      <c r="AL26" s="3"/>
      <c r="AM26" s="3"/>
      <c r="AZ26" s="3"/>
      <c r="BA26" s="3"/>
      <c r="BB26" s="3"/>
      <c r="BC26" s="3"/>
      <c r="BD26" s="3"/>
      <c r="BE26" s="3"/>
      <c r="BF26" s="3"/>
      <c r="BG26" s="3"/>
      <c r="BH26" s="3"/>
      <c r="BI26" s="3"/>
      <c r="BJ26" s="3"/>
      <c r="BK26" s="3"/>
      <c r="BL26" s="3"/>
      <c r="BM26" s="3"/>
      <c r="BN26" s="3"/>
      <c r="BO26" s="3"/>
    </row>
    <row r="27" customFormat="false" ht="12.8" hidden="false" customHeight="false" outlineLevel="0" collapsed="false">
      <c r="A27" s="46" t="str">
        <f aca="false">_xlfn.CONCAT($A$1, ".CALC.", CALC!A58)</f>
        <v>LSD.RID.0.AL.AIRAVG.CALC.23</v>
      </c>
      <c r="B27" s="22" t="str">
        <f aca="false">CALC!C58</f>
        <v>Public Administration</v>
      </c>
      <c r="C27" s="18" t="n">
        <v>44000</v>
      </c>
      <c r="D27" s="18" t="n">
        <v>144000</v>
      </c>
      <c r="E27" s="18" t="n">
        <v>80800</v>
      </c>
      <c r="F27" s="18" t="n">
        <v>46200</v>
      </c>
      <c r="G27" s="18" t="n">
        <v>152640</v>
      </c>
      <c r="H27" s="18" t="n">
        <v>84840</v>
      </c>
      <c r="I27" s="18" t="n">
        <v>30800</v>
      </c>
      <c r="J27" s="18" t="n">
        <v>115200</v>
      </c>
      <c r="K27" s="18" t="n">
        <v>64640</v>
      </c>
      <c r="L27" s="18" t="n">
        <v>44400</v>
      </c>
      <c r="M27" s="18" t="n">
        <v>145400</v>
      </c>
      <c r="N27" s="18" t="n">
        <v>81800</v>
      </c>
      <c r="AJ27" s="3"/>
      <c r="AK27" s="3"/>
      <c r="AL27" s="3"/>
      <c r="AM27" s="3"/>
      <c r="AZ27" s="3"/>
      <c r="BA27" s="3"/>
      <c r="BB27" s="3"/>
      <c r="BC27" s="3"/>
      <c r="BD27" s="3"/>
      <c r="BE27" s="3"/>
      <c r="BF27" s="3"/>
      <c r="BG27" s="3"/>
      <c r="BH27" s="3"/>
      <c r="BI27" s="3"/>
      <c r="BJ27" s="3"/>
      <c r="BK27" s="3"/>
      <c r="BL27" s="3"/>
      <c r="BM27" s="3"/>
      <c r="BN27" s="3"/>
      <c r="BO27" s="3"/>
    </row>
    <row r="28" customFormat="false" ht="12.8" hidden="false" customHeight="false" outlineLevel="0" collapsed="false">
      <c r="A28" s="46"/>
      <c r="B28" s="22"/>
      <c r="AJ28" s="3"/>
      <c r="AK28" s="3"/>
      <c r="AL28" s="3"/>
      <c r="AM28" s="3"/>
      <c r="AZ28" s="3"/>
      <c r="BA28" s="3"/>
      <c r="BB28" s="3"/>
      <c r="BC28" s="3"/>
      <c r="BD28" s="3"/>
      <c r="BE28" s="3"/>
      <c r="BF28" s="3"/>
      <c r="BG28" s="3"/>
      <c r="BH28" s="3"/>
      <c r="BI28" s="3"/>
      <c r="BJ28" s="3"/>
      <c r="BK28" s="3"/>
      <c r="BL28" s="3"/>
      <c r="BM28" s="3"/>
      <c r="BN28" s="3"/>
      <c r="BO28" s="3"/>
    </row>
    <row r="29" customFormat="false" ht="12.8" hidden="false" customHeight="false" outlineLevel="0" collapsed="false">
      <c r="A29" s="14" t="s">
        <v>3091</v>
      </c>
      <c r="B29" s="22" t="s">
        <v>3092</v>
      </c>
    </row>
    <row r="30" customFormat="false" ht="12.8" hidden="false" customHeight="false" outlineLevel="0" collapsed="false">
      <c r="A30" s="14" t="s">
        <v>93</v>
      </c>
      <c r="B30" s="18" t="s">
        <v>1801</v>
      </c>
      <c r="C30" s="18" t="s">
        <v>283</v>
      </c>
      <c r="D30" s="18" t="s">
        <v>2056</v>
      </c>
      <c r="E30" s="18" t="s">
        <v>286</v>
      </c>
      <c r="F30" s="18" t="s">
        <v>287</v>
      </c>
    </row>
    <row r="31" customFormat="false" ht="12.8" hidden="false" customHeight="false" outlineLevel="0" collapsed="false">
      <c r="A31" s="17" t="s">
        <v>3093</v>
      </c>
      <c r="B31" s="18" t="s">
        <v>3094</v>
      </c>
      <c r="C31" s="18" t="s">
        <v>3095</v>
      </c>
      <c r="D31" s="18" t="s">
        <v>3096</v>
      </c>
      <c r="E31" s="18" t="s">
        <v>3097</v>
      </c>
      <c r="F31" s="18" t="s">
        <v>417</v>
      </c>
    </row>
    <row r="32" customFormat="false" ht="12.8" hidden="false" customHeight="false" outlineLevel="0" collapsed="false">
      <c r="A32" s="17" t="s">
        <v>3098</v>
      </c>
      <c r="B32" s="18" t="s">
        <v>3094</v>
      </c>
      <c r="C32" s="18" t="s">
        <v>2063</v>
      </c>
      <c r="D32" s="18" t="s">
        <v>3099</v>
      </c>
      <c r="E32" s="18" t="s">
        <v>2953</v>
      </c>
      <c r="F32" s="18" t="s">
        <v>417</v>
      </c>
    </row>
    <row r="33" customFormat="false" ht="12.8" hidden="false" customHeight="false" outlineLevel="0" collapsed="false">
      <c r="A33" s="17" t="s">
        <v>3100</v>
      </c>
      <c r="B33" s="18" t="s">
        <v>3094</v>
      </c>
      <c r="C33" s="18" t="s">
        <v>2066</v>
      </c>
      <c r="D33" s="18" t="s">
        <v>3101</v>
      </c>
      <c r="E33" s="18" t="s">
        <v>765</v>
      </c>
      <c r="F33" s="18" t="s">
        <v>417</v>
      </c>
    </row>
    <row r="34" customFormat="false" ht="12.8" hidden="false" customHeight="false" outlineLevel="0" collapsed="false">
      <c r="A34" s="17" t="s">
        <v>3102</v>
      </c>
      <c r="B34" s="18" t="s">
        <v>3094</v>
      </c>
      <c r="C34" s="18" t="s">
        <v>3103</v>
      </c>
      <c r="D34" s="18" t="s">
        <v>3104</v>
      </c>
      <c r="E34" s="18" t="s">
        <v>422</v>
      </c>
      <c r="F34" s="18" t="s">
        <v>417</v>
      </c>
    </row>
    <row r="36" customFormat="false" ht="12.8" hidden="false" customHeight="false" outlineLevel="0" collapsed="false">
      <c r="A36" s="14" t="s">
        <v>3105</v>
      </c>
      <c r="B36" s="22" t="s">
        <v>3106</v>
      </c>
    </row>
    <row r="37" customFormat="false" ht="12.8" hidden="false" customHeight="false" outlineLevel="0" collapsed="false">
      <c r="A37" s="14" t="s">
        <v>97</v>
      </c>
      <c r="B37" s="22" t="s">
        <v>283</v>
      </c>
      <c r="C37" s="22" t="s">
        <v>2073</v>
      </c>
      <c r="D37" s="22" t="s">
        <v>286</v>
      </c>
      <c r="E37" s="22" t="s">
        <v>850</v>
      </c>
      <c r="F37" s="22" t="s">
        <v>851</v>
      </c>
      <c r="G37" s="22" t="s">
        <v>852</v>
      </c>
      <c r="H37" s="22" t="s">
        <v>287</v>
      </c>
    </row>
    <row r="38" customFormat="false" ht="12.8" hidden="false" customHeight="false" outlineLevel="0" collapsed="false">
      <c r="A38" s="17" t="s">
        <v>3107</v>
      </c>
      <c r="B38" s="18" t="s">
        <v>3108</v>
      </c>
      <c r="C38" s="18" t="n">
        <v>31200</v>
      </c>
      <c r="D38" s="18" t="s">
        <v>3109</v>
      </c>
      <c r="E38" s="18" t="s">
        <v>857</v>
      </c>
      <c r="F38" s="18" t="s">
        <v>3110</v>
      </c>
      <c r="G38" s="24" t="s">
        <v>859</v>
      </c>
      <c r="H38" s="18" t="s">
        <v>417</v>
      </c>
    </row>
    <row r="39" customFormat="false" ht="12.8" hidden="false" customHeight="false" outlineLevel="0" collapsed="false">
      <c r="A39" s="17" t="s">
        <v>3111</v>
      </c>
      <c r="B39" s="18" t="s">
        <v>3112</v>
      </c>
      <c r="C39" s="18" t="n">
        <v>114400</v>
      </c>
      <c r="D39" s="18" t="s">
        <v>3113</v>
      </c>
      <c r="E39" s="18" t="s">
        <v>857</v>
      </c>
      <c r="F39" s="18" t="s">
        <v>3114</v>
      </c>
      <c r="G39" s="24" t="s">
        <v>859</v>
      </c>
      <c r="H39" s="18" t="s">
        <v>417</v>
      </c>
    </row>
    <row r="40" customFormat="false" ht="12.8" hidden="false" customHeight="false" outlineLevel="0" collapsed="false">
      <c r="A40" s="17" t="s">
        <v>3115</v>
      </c>
      <c r="B40" s="18" t="s">
        <v>3116</v>
      </c>
      <c r="C40" s="18" t="s">
        <v>2971</v>
      </c>
      <c r="D40" s="18" t="s">
        <v>3117</v>
      </c>
      <c r="E40" s="18" t="s">
        <v>857</v>
      </c>
      <c r="F40" s="18" t="s">
        <v>3118</v>
      </c>
      <c r="G40" s="24" t="s">
        <v>859</v>
      </c>
      <c r="H40" s="18" t="s">
        <v>2158</v>
      </c>
    </row>
    <row r="41" customFormat="false" ht="12.8" hidden="false" customHeight="false" outlineLevel="0" collapsed="false">
      <c r="A41" s="17" t="s">
        <v>3119</v>
      </c>
      <c r="B41" s="18" t="s">
        <v>3120</v>
      </c>
      <c r="C41" s="18" t="s">
        <v>2976</v>
      </c>
      <c r="D41" s="18" t="s">
        <v>3121</v>
      </c>
      <c r="E41" s="18" t="s">
        <v>857</v>
      </c>
      <c r="F41" s="18" t="s">
        <v>3118</v>
      </c>
      <c r="G41" s="24" t="s">
        <v>859</v>
      </c>
      <c r="H41" s="18" t="s">
        <v>2158</v>
      </c>
    </row>
    <row r="42" customFormat="false" ht="12.8" hidden="false" customHeight="false" outlineLevel="0" collapsed="false">
      <c r="A42" s="17" t="s">
        <v>3122</v>
      </c>
      <c r="B42" s="18" t="s">
        <v>3123</v>
      </c>
      <c r="C42" s="18" t="s">
        <v>2980</v>
      </c>
      <c r="D42" s="18" t="s">
        <v>3124</v>
      </c>
      <c r="E42" s="18" t="s">
        <v>857</v>
      </c>
      <c r="F42" s="18" t="s">
        <v>2982</v>
      </c>
      <c r="G42" s="24" t="s">
        <v>859</v>
      </c>
      <c r="H42" s="18" t="s">
        <v>2983</v>
      </c>
    </row>
    <row r="43" customFormat="false" ht="12.8" hidden="false" customHeight="false" outlineLevel="0" collapsed="false">
      <c r="A43" s="17" t="s">
        <v>3125</v>
      </c>
      <c r="B43" s="18" t="s">
        <v>3126</v>
      </c>
      <c r="C43" s="18" t="s">
        <v>2887</v>
      </c>
      <c r="D43" s="18" t="s">
        <v>3127</v>
      </c>
      <c r="E43" s="18" t="s">
        <v>857</v>
      </c>
      <c r="F43" s="18" t="s">
        <v>2982</v>
      </c>
      <c r="G43" s="24" t="s">
        <v>859</v>
      </c>
      <c r="H43" s="18" t="s">
        <v>2983</v>
      </c>
    </row>
    <row r="44" customFormat="false" ht="12.8" hidden="false" customHeight="false" outlineLevel="0" collapsed="false">
      <c r="A44" s="17" t="s">
        <v>3128</v>
      </c>
      <c r="B44" s="18" t="s">
        <v>3129</v>
      </c>
      <c r="C44" s="18" t="s">
        <v>2989</v>
      </c>
      <c r="D44" s="18" t="s">
        <v>3130</v>
      </c>
      <c r="E44" s="18" t="s">
        <v>857</v>
      </c>
      <c r="F44" s="18" t="s">
        <v>2758</v>
      </c>
      <c r="G44" s="24" t="s">
        <v>859</v>
      </c>
      <c r="H44" s="18" t="s">
        <v>2983</v>
      </c>
    </row>
    <row r="45" customFormat="false" ht="12.8" hidden="false" customHeight="false" outlineLevel="0" collapsed="false">
      <c r="A45" s="17" t="s">
        <v>3131</v>
      </c>
      <c r="B45" s="18" t="s">
        <v>3132</v>
      </c>
      <c r="C45" s="18" t="s">
        <v>2993</v>
      </c>
      <c r="D45" s="18" t="s">
        <v>3133</v>
      </c>
      <c r="E45" s="18" t="s">
        <v>857</v>
      </c>
      <c r="F45" s="18" t="s">
        <v>2758</v>
      </c>
      <c r="G45" s="24" t="s">
        <v>859</v>
      </c>
      <c r="H45" s="18" t="s">
        <v>2983</v>
      </c>
    </row>
    <row r="46" customFormat="false" ht="12.8" hidden="false" customHeight="false" outlineLevel="0" collapsed="false">
      <c r="A46" s="17" t="s">
        <v>3134</v>
      </c>
      <c r="B46" s="18" t="s">
        <v>3135</v>
      </c>
      <c r="C46" s="18" t="s">
        <v>2899</v>
      </c>
      <c r="D46" s="18" t="s">
        <v>3136</v>
      </c>
      <c r="E46" s="18" t="s">
        <v>857</v>
      </c>
      <c r="F46" s="18" t="s">
        <v>2998</v>
      </c>
      <c r="G46" s="24" t="s">
        <v>859</v>
      </c>
      <c r="H46" s="18" t="s">
        <v>2999</v>
      </c>
    </row>
    <row r="47" customFormat="false" ht="12.8" hidden="false" customHeight="false" outlineLevel="0" collapsed="false">
      <c r="A47" s="17" t="s">
        <v>3137</v>
      </c>
      <c r="B47" s="18" t="s">
        <v>3138</v>
      </c>
      <c r="C47" s="18" t="n">
        <v>0.88</v>
      </c>
      <c r="D47" s="18" t="s">
        <v>3139</v>
      </c>
      <c r="E47" s="18" t="s">
        <v>857</v>
      </c>
      <c r="F47" s="18" t="s">
        <v>3140</v>
      </c>
      <c r="G47" s="24" t="s">
        <v>859</v>
      </c>
      <c r="H47" s="18" t="s">
        <v>417</v>
      </c>
    </row>
    <row r="48" customFormat="false" ht="12.8" hidden="false" customHeight="false" outlineLevel="0" collapsed="false">
      <c r="A48" s="17" t="s">
        <v>3141</v>
      </c>
      <c r="B48" s="18" t="s">
        <v>1465</v>
      </c>
      <c r="C48" s="18" t="n">
        <v>4</v>
      </c>
      <c r="D48" s="18" t="s">
        <v>2167</v>
      </c>
      <c r="E48" s="18" t="s">
        <v>857</v>
      </c>
      <c r="F48" s="18" t="s">
        <v>2764</v>
      </c>
      <c r="G48" s="24" t="s">
        <v>859</v>
      </c>
      <c r="H48" s="18" t="s">
        <v>417</v>
      </c>
    </row>
    <row r="50" customFormat="false" ht="12.8" hidden="false" customHeight="false" outlineLevel="0" collapsed="false">
      <c r="A50" s="14" t="s">
        <v>3142</v>
      </c>
      <c r="B50" s="22" t="s">
        <v>3143</v>
      </c>
    </row>
    <row r="51" customFormat="false" ht="12.8" hidden="false" customHeight="false" outlineLevel="0" collapsed="false">
      <c r="A51" s="14" t="s">
        <v>101</v>
      </c>
      <c r="B51" s="22" t="s">
        <v>286</v>
      </c>
      <c r="C51" s="22" t="s">
        <v>849</v>
      </c>
      <c r="D51" s="22" t="s">
        <v>2093</v>
      </c>
      <c r="E51" s="22" t="s">
        <v>850</v>
      </c>
      <c r="F51" s="22" t="s">
        <v>2094</v>
      </c>
    </row>
    <row r="52" customFormat="false" ht="12.8" hidden="false" customHeight="false" outlineLevel="0" collapsed="false">
      <c r="A52" s="17" t="s">
        <v>3144</v>
      </c>
      <c r="B52" s="18" t="s">
        <v>3008</v>
      </c>
      <c r="C52" s="18" t="s">
        <v>3145</v>
      </c>
      <c r="D52" s="18" t="s">
        <v>3146</v>
      </c>
      <c r="E52" s="18" t="s">
        <v>857</v>
      </c>
      <c r="F52" s="18" t="s">
        <v>3011</v>
      </c>
    </row>
    <row r="53" customFormat="false" ht="12.8" hidden="false" customHeight="false" outlineLevel="0" collapsed="false">
      <c r="A53" s="17" t="s">
        <v>3147</v>
      </c>
      <c r="B53" s="18" t="s">
        <v>2099</v>
      </c>
      <c r="C53" s="18" t="s">
        <v>3148</v>
      </c>
      <c r="D53" s="18" t="s">
        <v>857</v>
      </c>
      <c r="E53" s="18" t="s">
        <v>2771</v>
      </c>
    </row>
    <row r="54" customFormat="false" ht="12.8" hidden="false" customHeight="false" outlineLevel="0" collapsed="false">
      <c r="A54" s="17" t="s">
        <v>3149</v>
      </c>
      <c r="B54" s="18" t="s">
        <v>3150</v>
      </c>
      <c r="C54" s="18" t="s">
        <v>3151</v>
      </c>
      <c r="D54" s="18" t="s">
        <v>3152</v>
      </c>
      <c r="E54" s="18" t="s">
        <v>857</v>
      </c>
      <c r="F54" s="18" t="s">
        <v>3018</v>
      </c>
    </row>
    <row r="55" customFormat="false" ht="12.8" hidden="false" customHeight="false" outlineLevel="0" collapsed="false">
      <c r="A55" s="17" t="s">
        <v>3153</v>
      </c>
      <c r="B55" s="18" t="s">
        <v>2109</v>
      </c>
      <c r="C55" s="18" t="s">
        <v>3020</v>
      </c>
      <c r="D55" s="18" t="s">
        <v>3154</v>
      </c>
      <c r="E55" s="18" t="s">
        <v>857</v>
      </c>
      <c r="F55" s="18" t="s">
        <v>3155</v>
      </c>
    </row>
    <row r="56" customFormat="false" ht="12.8" hidden="false" customHeight="false" outlineLevel="0" collapsed="false">
      <c r="A56" s="17" t="s">
        <v>3156</v>
      </c>
      <c r="B56" s="18" t="s">
        <v>2114</v>
      </c>
      <c r="C56" s="18" t="s">
        <v>2186</v>
      </c>
      <c r="D56" s="18" t="s">
        <v>3157</v>
      </c>
      <c r="E56" s="18" t="s">
        <v>857</v>
      </c>
      <c r="F56" s="18" t="s">
        <v>2250</v>
      </c>
    </row>
    <row r="57" customFormat="false" ht="12.8" hidden="false" customHeight="false" outlineLevel="0" collapsed="false">
      <c r="A57" s="17" t="s">
        <v>3158</v>
      </c>
      <c r="B57" s="18" t="s">
        <v>2119</v>
      </c>
      <c r="C57" s="18" t="s">
        <v>2120</v>
      </c>
      <c r="D57" s="18" t="s">
        <v>3159</v>
      </c>
      <c r="E57" s="18" t="s">
        <v>857</v>
      </c>
      <c r="F57" s="18" t="s">
        <v>2785</v>
      </c>
    </row>
    <row r="58" customFormat="false" ht="12.8" hidden="false" customHeight="false" outlineLevel="0" collapsed="false">
      <c r="A58" s="17" t="s">
        <v>3160</v>
      </c>
      <c r="B58" s="18" t="s">
        <v>3161</v>
      </c>
      <c r="C58" s="18" t="s">
        <v>3162</v>
      </c>
      <c r="D58" s="18" t="s">
        <v>3088</v>
      </c>
      <c r="E58" s="18" t="s">
        <v>857</v>
      </c>
      <c r="F58" s="18" t="s">
        <v>2660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3838"/>
    <pageSetUpPr fitToPage="false"/>
  </sheetPr>
  <dimension ref="A1:BP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false" hidden="false" outlineLevel="0" max="1" min="1" style="17" width="11.53"/>
    <col collapsed="false" customWidth="true" hidden="false" outlineLevel="0" max="2" min="2" style="18" width="41.51"/>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72</v>
      </c>
      <c r="B1" s="22" t="s">
        <v>3163</v>
      </c>
      <c r="C1" s="6" t="s">
        <v>2</v>
      </c>
      <c r="D1" s="48" t="s">
        <v>3164</v>
      </c>
      <c r="AZ1" s="18"/>
      <c r="BP1" s="18"/>
    </row>
    <row r="2" customFormat="false" ht="12.8" hidden="false" customHeight="false" outlineLevel="0" collapsed="false">
      <c r="A2" s="46" t="str">
        <f aca="false">_xlfn.CONCAT($A$1, ".", "CALC")</f>
        <v>LSD.RID.0.AL.AWHW.CALC</v>
      </c>
      <c r="B2" s="47" t="str">
        <f aca="false">_xlfn.CONCAT($B$1, " ", "Calculations")</f>
        <v>Alabama Average Weekly Hours Worked (AWHW) Calculations</v>
      </c>
    </row>
    <row r="3" customFormat="false" ht="12.8" hidden="false" customHeight="false" outlineLevel="0" collapsed="false">
      <c r="A3" s="46" t="str">
        <f aca="false">CALC!A34</f>
        <v>LSID</v>
      </c>
      <c r="B3" s="22" t="str">
        <f aca="false">CALC!C34</f>
        <v>Labor Sector</v>
      </c>
      <c r="C3" s="56" t="str">
        <f aca="false">CALC!AJ64</f>
        <v>Overal AWHW</v>
      </c>
      <c r="D3" s="56" t="str">
        <f aca="false">CALC!AK64</f>
        <v>Authorized AWHW</v>
      </c>
      <c r="E3" s="56" t="str">
        <f aca="false">CALC!AL64</f>
        <v>Unauthorized AWHW</v>
      </c>
      <c r="F3" s="56" t="str">
        <f aca="false">CALC!AM64</f>
        <v>American AWHW</v>
      </c>
      <c r="AT3" s="3"/>
      <c r="AU3" s="3"/>
      <c r="AV3" s="3"/>
      <c r="AW3" s="3"/>
      <c r="AZ3" s="18"/>
      <c r="BA3" s="18"/>
      <c r="BB3" s="18"/>
      <c r="BC3" s="18"/>
      <c r="BJ3" s="3"/>
      <c r="BK3" s="3"/>
      <c r="BL3" s="3"/>
      <c r="BM3" s="3"/>
      <c r="BN3" s="3"/>
      <c r="BO3" s="3"/>
    </row>
    <row r="4" customFormat="false" ht="12.8" hidden="false" customHeight="false" outlineLevel="0" collapsed="false">
      <c r="A4" s="46" t="str">
        <f aca="false">_xlfn.CONCAT($A$1, ".CALC.", CALC!A35)</f>
        <v>LSD.RID.0.AL.AWHW.CALC.0</v>
      </c>
      <c r="B4" s="18" t="str">
        <f aca="false">CALC!C35</f>
        <v>All Industries</v>
      </c>
      <c r="C4" s="18" t="n">
        <v>38.8</v>
      </c>
      <c r="D4" s="18" t="n">
        <v>39.2</v>
      </c>
      <c r="E4" s="18" t="n">
        <v>38.5</v>
      </c>
      <c r="F4" s="18" t="n">
        <v>38.7</v>
      </c>
      <c r="AT4" s="3"/>
      <c r="AU4" s="3"/>
      <c r="AV4" s="3"/>
      <c r="AW4" s="3"/>
      <c r="AZ4" s="18"/>
      <c r="BA4" s="18"/>
      <c r="BB4" s="18"/>
      <c r="BC4" s="18"/>
      <c r="BJ4" s="3"/>
      <c r="BK4" s="3"/>
      <c r="BL4" s="3"/>
      <c r="BM4" s="3"/>
      <c r="BN4" s="3"/>
      <c r="BO4" s="3"/>
    </row>
    <row r="5" customFormat="false" ht="12.8" hidden="false" customHeight="false" outlineLevel="0" collapsed="false">
      <c r="A5" s="46" t="str">
        <f aca="false">_xlfn.CONCAT($A$1, ".CALC.", CALC!A36)</f>
        <v>LSD.RID.0.AL.AWHW.CALC.1</v>
      </c>
      <c r="B5" s="39" t="str">
        <f aca="false">CALC!C36</f>
        <v>Agriculture, Forestry, Fishing and Hunting</v>
      </c>
      <c r="C5" s="18" t="n">
        <v>42.5</v>
      </c>
      <c r="D5" s="18" t="n">
        <v>41.8</v>
      </c>
      <c r="E5" s="18" t="n">
        <v>44</v>
      </c>
      <c r="F5" s="18" t="n">
        <v>42.3</v>
      </c>
      <c r="AT5" s="3"/>
      <c r="AU5" s="3"/>
      <c r="AV5" s="3"/>
      <c r="AW5" s="3"/>
      <c r="AZ5" s="18"/>
      <c r="BA5" s="18"/>
      <c r="BB5" s="18"/>
      <c r="BC5" s="18"/>
      <c r="BJ5" s="3"/>
      <c r="BK5" s="3"/>
      <c r="BL5" s="3"/>
      <c r="BM5" s="3"/>
      <c r="BN5" s="3"/>
      <c r="BO5" s="3"/>
    </row>
    <row r="6" customFormat="false" ht="12.8" hidden="false" customHeight="false" outlineLevel="0" collapsed="false">
      <c r="A6" s="46" t="str">
        <f aca="false">_xlfn.CONCAT($A$1, ".CALC.", CALC!A37)</f>
        <v>LSD.RID.0.AL.AWHW.CALC.2</v>
      </c>
      <c r="B6" s="39" t="str">
        <f aca="false">CALC!C37</f>
        <v>Mining, Quarrying, and Oil and Gas Extraction</v>
      </c>
      <c r="C6" s="18" t="n">
        <v>44</v>
      </c>
      <c r="D6" s="18" t="n">
        <v>43.5</v>
      </c>
      <c r="E6" s="18" t="n">
        <v>45.2</v>
      </c>
      <c r="F6" s="18" t="n">
        <v>43.8</v>
      </c>
      <c r="AT6" s="3"/>
      <c r="AU6" s="3"/>
      <c r="AV6" s="3"/>
      <c r="AW6" s="3"/>
      <c r="AZ6" s="18"/>
      <c r="BA6" s="18"/>
      <c r="BB6" s="18"/>
      <c r="BC6" s="18"/>
      <c r="BJ6" s="3"/>
      <c r="BK6" s="3"/>
      <c r="BL6" s="3"/>
      <c r="BM6" s="3"/>
      <c r="BN6" s="3"/>
      <c r="BO6" s="3"/>
    </row>
    <row r="7" customFormat="false" ht="12.8" hidden="false" customHeight="false" outlineLevel="0" collapsed="false">
      <c r="A7" s="46" t="str">
        <f aca="false">_xlfn.CONCAT($A$1, ".CALC.", CALC!A38)</f>
        <v>LSD.RID.0.AL.AWHW.CALC.3</v>
      </c>
      <c r="B7" s="18" t="str">
        <f aca="false">CALC!C38</f>
        <v>Utilities</v>
      </c>
      <c r="C7" s="18" t="n">
        <v>40</v>
      </c>
      <c r="D7" s="18" t="n">
        <v>40.5</v>
      </c>
      <c r="E7" s="18" t="n">
        <v>39</v>
      </c>
      <c r="F7" s="18" t="n">
        <v>40.1</v>
      </c>
      <c r="AT7" s="3"/>
      <c r="AU7" s="3"/>
      <c r="AV7" s="3"/>
      <c r="AW7" s="3"/>
      <c r="AZ7" s="18"/>
      <c r="BA7" s="18"/>
      <c r="BB7" s="18"/>
      <c r="BC7" s="18"/>
      <c r="BJ7" s="3"/>
      <c r="BK7" s="3"/>
      <c r="BL7" s="3"/>
      <c r="BM7" s="3"/>
      <c r="BN7" s="3"/>
      <c r="BO7" s="3"/>
    </row>
    <row r="8" customFormat="false" ht="12.8" hidden="false" customHeight="false" outlineLevel="0" collapsed="false">
      <c r="A8" s="46" t="str">
        <f aca="false">_xlfn.CONCAT($A$1, ".CALC.", CALC!A39)</f>
        <v>LSD.RID.0.AL.AWHW.CALC.4</v>
      </c>
      <c r="B8" s="18" t="str">
        <f aca="false">CALC!C39</f>
        <v>Construction</v>
      </c>
      <c r="C8" s="18" t="n">
        <v>41.2</v>
      </c>
      <c r="D8" s="18" t="n">
        <v>40.5</v>
      </c>
      <c r="E8" s="18" t="n">
        <v>43</v>
      </c>
      <c r="F8" s="18" t="n">
        <v>41</v>
      </c>
      <c r="AT8" s="3"/>
      <c r="AU8" s="3"/>
      <c r="AV8" s="3"/>
      <c r="AW8" s="3"/>
      <c r="AZ8" s="18"/>
      <c r="BA8" s="18"/>
      <c r="BB8" s="18"/>
      <c r="BC8" s="18"/>
      <c r="BJ8" s="3"/>
      <c r="BK8" s="3"/>
      <c r="BL8" s="3"/>
      <c r="BM8" s="3"/>
      <c r="BN8" s="3"/>
      <c r="BO8" s="3"/>
    </row>
    <row r="9" customFormat="false" ht="12.8" hidden="false" customHeight="false" outlineLevel="0" collapsed="false">
      <c r="A9" s="46" t="str">
        <f aca="false">_xlfn.CONCAT($A$1, ".CALC.", CALC!A40)</f>
        <v>LSD.RID.0.AL.AWHW.CALC.5</v>
      </c>
      <c r="B9" s="39" t="str">
        <f aca="false">CALC!C40</f>
        <v>Manufacturing (Food,Textile, etc.)</v>
      </c>
      <c r="C9" s="18" t="n">
        <v>40.8</v>
      </c>
      <c r="D9" s="18" t="n">
        <v>40.2</v>
      </c>
      <c r="E9" s="18" t="n">
        <v>42</v>
      </c>
      <c r="F9" s="18" t="n">
        <v>40.6</v>
      </c>
      <c r="AT9" s="3"/>
      <c r="AU9" s="3"/>
      <c r="AV9" s="3"/>
      <c r="AW9" s="3"/>
      <c r="AZ9" s="18"/>
      <c r="BA9" s="18"/>
      <c r="BB9" s="18"/>
      <c r="BC9" s="18"/>
      <c r="BJ9" s="3"/>
      <c r="BK9" s="3"/>
      <c r="BL9" s="3"/>
      <c r="BM9" s="3"/>
      <c r="BN9" s="3"/>
      <c r="BO9" s="3"/>
    </row>
    <row r="10" customFormat="false" ht="12.8" hidden="false" customHeight="false" outlineLevel="0" collapsed="false">
      <c r="A10" s="46" t="str">
        <f aca="false">_xlfn.CONCAT($A$1, ".CALC.", CALC!A41)</f>
        <v>LSD.RID.0.AL.AWHW.CALC.6</v>
      </c>
      <c r="B10" s="39" t="str">
        <f aca="false">CALC!C41</f>
        <v>Manufacturing (Wood, Paper, Printing, etc.)</v>
      </c>
      <c r="C10" s="18" t="n">
        <v>41.5</v>
      </c>
      <c r="D10" s="18" t="n">
        <v>41</v>
      </c>
      <c r="E10" s="18" t="n">
        <v>42.5</v>
      </c>
      <c r="F10" s="18" t="n">
        <v>41.3</v>
      </c>
      <c r="AT10" s="3"/>
      <c r="AU10" s="3"/>
      <c r="AV10" s="3"/>
      <c r="AW10" s="3"/>
      <c r="AZ10" s="18"/>
      <c r="BA10" s="18"/>
      <c r="BB10" s="18"/>
      <c r="BC10" s="18"/>
      <c r="BJ10" s="3"/>
      <c r="BK10" s="3"/>
      <c r="BL10" s="3"/>
      <c r="BM10" s="3"/>
      <c r="BN10" s="3"/>
      <c r="BO10" s="3"/>
    </row>
    <row r="11" customFormat="false" ht="12.8" hidden="false" customHeight="false" outlineLevel="0" collapsed="false">
      <c r="A11" s="46" t="str">
        <f aca="false">_xlfn.CONCAT($A$1, ".CALC.", CALC!A42)</f>
        <v>LSD.RID.0.AL.AWHW.CALC.7</v>
      </c>
      <c r="B11" s="39" t="str">
        <f aca="false">CALC!C42</f>
        <v>Manufacturing (Machinery, Transport)</v>
      </c>
      <c r="C11" s="18" t="n">
        <v>42</v>
      </c>
      <c r="D11" s="18" t="n">
        <v>41.8</v>
      </c>
      <c r="E11" s="18" t="n">
        <v>43.2</v>
      </c>
      <c r="F11" s="18" t="n">
        <v>41.9</v>
      </c>
      <c r="AT11" s="3"/>
      <c r="AU11" s="3"/>
      <c r="AV11" s="3"/>
      <c r="AW11" s="3"/>
      <c r="AZ11" s="18"/>
      <c r="BA11" s="18"/>
      <c r="BB11" s="18"/>
      <c r="BC11" s="18"/>
      <c r="BJ11" s="3"/>
      <c r="BK11" s="3"/>
      <c r="BL11" s="3"/>
      <c r="BM11" s="3"/>
      <c r="BN11" s="3"/>
      <c r="BO11" s="3"/>
    </row>
    <row r="12" customFormat="false" ht="12.8" hidden="false" customHeight="false" outlineLevel="0" collapsed="false">
      <c r="A12" s="46" t="str">
        <f aca="false">_xlfn.CONCAT($A$1, ".CALC.", CALC!A43)</f>
        <v>LSD.RID.0.AL.AWHW.CALC.8</v>
      </c>
      <c r="B12" s="18" t="str">
        <f aca="false">CALC!C43</f>
        <v>Wholesale Trade</v>
      </c>
      <c r="C12" s="18" t="n">
        <v>39.5</v>
      </c>
      <c r="D12" s="18" t="n">
        <v>39.8</v>
      </c>
      <c r="E12" s="18" t="n">
        <v>38.5</v>
      </c>
      <c r="F12" s="18" t="n">
        <v>39.4</v>
      </c>
      <c r="AT12" s="3"/>
      <c r="AU12" s="3"/>
      <c r="AV12" s="3"/>
      <c r="AW12" s="3"/>
      <c r="AZ12" s="18"/>
      <c r="BA12" s="18"/>
      <c r="BB12" s="18"/>
      <c r="BC12" s="18"/>
      <c r="BJ12" s="3"/>
      <c r="BK12" s="3"/>
      <c r="BL12" s="3"/>
      <c r="BM12" s="3"/>
      <c r="BN12" s="3"/>
      <c r="BO12" s="3"/>
    </row>
    <row r="13" customFormat="false" ht="12.8" hidden="false" customHeight="false" outlineLevel="0" collapsed="false">
      <c r="A13" s="46" t="str">
        <f aca="false">_xlfn.CONCAT($A$1, ".CALC.", CALC!A44)</f>
        <v>LSD.RID.0.AL.AWHW.CALC.9</v>
      </c>
      <c r="B13" s="39" t="str">
        <f aca="false">CALC!C44</f>
        <v>Retail Trade (Motor Vehicle, Electronics)</v>
      </c>
      <c r="C13" s="18" t="n">
        <v>38</v>
      </c>
      <c r="D13" s="18" t="n">
        <v>38.5</v>
      </c>
      <c r="E13" s="18" t="n">
        <v>37</v>
      </c>
      <c r="F13" s="18" t="n">
        <v>38.1</v>
      </c>
      <c r="AT13" s="3"/>
      <c r="AU13" s="3"/>
      <c r="AV13" s="3"/>
      <c r="AW13" s="3"/>
      <c r="AZ13" s="18"/>
      <c r="BA13" s="18"/>
      <c r="BB13" s="18"/>
      <c r="BC13" s="18"/>
      <c r="BJ13" s="3"/>
      <c r="BK13" s="3"/>
      <c r="BL13" s="3"/>
      <c r="BM13" s="3"/>
      <c r="BN13" s="3"/>
      <c r="BO13" s="3"/>
    </row>
    <row r="14" customFormat="false" ht="22.8" hidden="false" customHeight="false" outlineLevel="0" collapsed="false">
      <c r="A14" s="46" t="str">
        <f aca="false">_xlfn.CONCAT($A$1, ".CALC.", CALC!A45)</f>
        <v>LSD.RID.0.AL.AWHW.CALC.10</v>
      </c>
      <c r="B14" s="39" t="str">
        <f aca="false">CALC!C45</f>
        <v>Retail Trade (Food, Clothing, General Merchandise, etc.)</v>
      </c>
      <c r="C14" s="18" t="n">
        <v>35.5</v>
      </c>
      <c r="D14" s="18" t="n">
        <v>36</v>
      </c>
      <c r="E14" s="18" t="n">
        <v>34</v>
      </c>
      <c r="F14" s="18" t="n">
        <v>35.6</v>
      </c>
      <c r="AT14" s="3"/>
      <c r="AU14" s="3"/>
      <c r="AV14" s="3"/>
      <c r="AW14" s="3"/>
      <c r="AZ14" s="18"/>
      <c r="BA14" s="18"/>
      <c r="BB14" s="18"/>
      <c r="BC14" s="18"/>
      <c r="BJ14" s="3"/>
      <c r="BK14" s="3"/>
      <c r="BL14" s="3"/>
      <c r="BM14" s="3"/>
      <c r="BN14" s="3"/>
      <c r="BO14" s="3"/>
    </row>
    <row r="15" customFormat="false" ht="12.8" hidden="false" customHeight="false" outlineLevel="0" collapsed="false">
      <c r="A15" s="46" t="str">
        <f aca="false">_xlfn.CONCAT($A$1, ".CALC.", CALC!A46)</f>
        <v>LSD.RID.0.AL.AWHW.CALC.11</v>
      </c>
      <c r="B15" s="18" t="str">
        <f aca="false">CALC!C46</f>
        <v>Transportation</v>
      </c>
      <c r="C15" s="18" t="n">
        <v>41</v>
      </c>
      <c r="D15" s="18" t="n">
        <v>41.5</v>
      </c>
      <c r="E15" s="18" t="n">
        <v>40</v>
      </c>
      <c r="F15" s="18" t="n">
        <v>41.1</v>
      </c>
      <c r="AT15" s="3"/>
      <c r="AU15" s="3"/>
      <c r="AV15" s="3"/>
      <c r="AW15" s="3"/>
      <c r="AZ15" s="18"/>
      <c r="BA15" s="18"/>
      <c r="BB15" s="18"/>
      <c r="BC15" s="18"/>
      <c r="BJ15" s="3"/>
      <c r="BK15" s="3"/>
      <c r="BL15" s="3"/>
      <c r="BM15" s="3"/>
      <c r="BN15" s="3"/>
      <c r="BO15" s="3"/>
    </row>
    <row r="16" customFormat="false" ht="12.8" hidden="false" customHeight="false" outlineLevel="0" collapsed="false">
      <c r="A16" s="46" t="str">
        <f aca="false">_xlfn.CONCAT($A$1, ".CALC.", CALC!A47)</f>
        <v>LSD.RID.0.AL.AWHW.CALC.12</v>
      </c>
      <c r="B16" s="18" t="str">
        <f aca="false">CALC!C47</f>
        <v>Warehousing and Storage</v>
      </c>
      <c r="C16" s="18" t="n">
        <v>40.2</v>
      </c>
      <c r="D16" s="18" t="n">
        <v>40.8</v>
      </c>
      <c r="E16" s="18" t="n">
        <v>39.5</v>
      </c>
      <c r="F16" s="18" t="n">
        <v>40.3</v>
      </c>
      <c r="AT16" s="3"/>
      <c r="AU16" s="3"/>
      <c r="AV16" s="3"/>
      <c r="AW16" s="3"/>
      <c r="AZ16" s="18"/>
      <c r="BA16" s="18"/>
      <c r="BB16" s="18"/>
      <c r="BC16" s="18"/>
      <c r="BJ16" s="3"/>
      <c r="BK16" s="3"/>
      <c r="BL16" s="3"/>
      <c r="BM16" s="3"/>
      <c r="BN16" s="3"/>
      <c r="BO16" s="3"/>
    </row>
    <row r="17" customFormat="false" ht="12.8" hidden="false" customHeight="false" outlineLevel="0" collapsed="false">
      <c r="A17" s="46" t="str">
        <f aca="false">_xlfn.CONCAT($A$1, ".CALC.", CALC!A48)</f>
        <v>LSD.RID.0.AL.AWHW.CALC.13</v>
      </c>
      <c r="B17" s="18" t="str">
        <f aca="false">CALC!C48</f>
        <v>Information</v>
      </c>
      <c r="C17" s="18" t="n">
        <v>38.5</v>
      </c>
      <c r="D17" s="18" t="n">
        <v>39</v>
      </c>
      <c r="E17" s="18" t="n">
        <v>37</v>
      </c>
      <c r="F17" s="18" t="n">
        <v>38.6</v>
      </c>
      <c r="AT17" s="3"/>
      <c r="AU17" s="3"/>
      <c r="AV17" s="3"/>
      <c r="AW17" s="3"/>
      <c r="AZ17" s="18"/>
      <c r="BA17" s="18"/>
      <c r="BB17" s="18"/>
      <c r="BC17" s="18"/>
      <c r="BJ17" s="3"/>
      <c r="BK17" s="3"/>
      <c r="BL17" s="3"/>
      <c r="BM17" s="3"/>
      <c r="BN17" s="3"/>
      <c r="BO17" s="3"/>
    </row>
    <row r="18" customFormat="false" ht="12.8" hidden="false" customHeight="false" outlineLevel="0" collapsed="false">
      <c r="A18" s="46" t="str">
        <f aca="false">_xlfn.CONCAT($A$1, ".CALC.", CALC!A49)</f>
        <v>LSD.RID.0.AL.AWHW.CALC.14</v>
      </c>
      <c r="B18" s="18" t="str">
        <f aca="false">CALC!C49</f>
        <v>Finance and Insurance</v>
      </c>
      <c r="C18" s="18" t="n">
        <v>39</v>
      </c>
      <c r="D18" s="18" t="n">
        <v>39.5</v>
      </c>
      <c r="E18" s="18" t="n">
        <v>37.5</v>
      </c>
      <c r="F18" s="18" t="n">
        <v>39.1</v>
      </c>
      <c r="AT18" s="3"/>
      <c r="AU18" s="3"/>
      <c r="AV18" s="3"/>
      <c r="AW18" s="3"/>
      <c r="AZ18" s="18"/>
      <c r="BA18" s="18"/>
      <c r="BB18" s="18"/>
      <c r="BC18" s="18"/>
      <c r="BJ18" s="3"/>
      <c r="BK18" s="3"/>
      <c r="BL18" s="3"/>
      <c r="BM18" s="3"/>
      <c r="BN18" s="3"/>
      <c r="BO18" s="3"/>
    </row>
    <row r="19" customFormat="false" ht="12.8" hidden="false" customHeight="false" outlineLevel="0" collapsed="false">
      <c r="A19" s="46" t="str">
        <f aca="false">_xlfn.CONCAT($A$1, ".CALC.", CALC!A50)</f>
        <v>LSD.RID.0.AL.AWHW.CALC.15</v>
      </c>
      <c r="B19" s="39" t="str">
        <f aca="false">CALC!C50</f>
        <v>Real Estate and Rental and Leasing</v>
      </c>
      <c r="C19" s="18" t="n">
        <v>38</v>
      </c>
      <c r="D19" s="18" t="n">
        <v>38.8</v>
      </c>
      <c r="E19" s="18" t="n">
        <v>36.5</v>
      </c>
      <c r="F19" s="18" t="n">
        <v>38.2</v>
      </c>
      <c r="AT19" s="3"/>
      <c r="AU19" s="3"/>
      <c r="AV19" s="3"/>
      <c r="AW19" s="3"/>
      <c r="AZ19" s="18"/>
      <c r="BA19" s="18"/>
      <c r="BB19" s="18"/>
      <c r="BC19" s="18"/>
      <c r="BJ19" s="3"/>
      <c r="BK19" s="3"/>
      <c r="BL19" s="3"/>
      <c r="BM19" s="3"/>
      <c r="BN19" s="3"/>
      <c r="BO19" s="3"/>
    </row>
    <row r="20" customFormat="false" ht="12.8" hidden="false" customHeight="false" outlineLevel="0" collapsed="false">
      <c r="A20" s="46" t="str">
        <f aca="false">_xlfn.CONCAT($A$1, ".CALC.", CALC!A51)</f>
        <v>LSD.RID.0.AL.AWHW.CALC.16</v>
      </c>
      <c r="B20" s="39" t="str">
        <f aca="false">CALC!C51</f>
        <v>Professional, Scientific, and Technical Services</v>
      </c>
      <c r="C20" s="18" t="n">
        <v>39.8</v>
      </c>
      <c r="D20" s="18" t="n">
        <v>40.5</v>
      </c>
      <c r="E20" s="18" t="n">
        <v>38</v>
      </c>
      <c r="F20" s="18" t="n">
        <v>39.9</v>
      </c>
      <c r="AT20" s="3"/>
      <c r="AU20" s="3"/>
      <c r="AV20" s="3"/>
      <c r="AW20" s="3"/>
      <c r="AZ20" s="18"/>
      <c r="BA20" s="18"/>
      <c r="BB20" s="18"/>
      <c r="BC20" s="18"/>
      <c r="BJ20" s="3"/>
      <c r="BK20" s="3"/>
      <c r="BL20" s="3"/>
      <c r="BM20" s="3"/>
      <c r="BN20" s="3"/>
      <c r="BO20" s="3"/>
    </row>
    <row r="21" customFormat="false" ht="22.8" hidden="false" customHeight="false" outlineLevel="0" collapsed="false">
      <c r="A21" s="46" t="str">
        <f aca="false">_xlfn.CONCAT($A$1, ".CALC.", CALC!A52)</f>
        <v>LSD.RID.0.AL.AWHW.CALC.17</v>
      </c>
      <c r="B21" s="39" t="str">
        <f aca="false">CALC!C52</f>
        <v>Administrative and Support and Waste Management and Remediation Services</v>
      </c>
      <c r="C21" s="18" t="n">
        <v>37.5</v>
      </c>
      <c r="D21" s="18" t="n">
        <v>38</v>
      </c>
      <c r="E21" s="18" t="n">
        <v>36.5</v>
      </c>
      <c r="F21" s="18" t="n">
        <v>37.6</v>
      </c>
      <c r="AT21" s="3"/>
      <c r="AU21" s="3"/>
      <c r="AV21" s="3"/>
      <c r="AW21" s="3"/>
      <c r="AZ21" s="18"/>
      <c r="BA21" s="18"/>
      <c r="BB21" s="18"/>
      <c r="BC21" s="18"/>
      <c r="BJ21" s="3"/>
      <c r="BK21" s="3"/>
      <c r="BL21" s="3"/>
      <c r="BM21" s="3"/>
      <c r="BN21" s="3"/>
      <c r="BO21" s="3"/>
    </row>
    <row r="22" customFormat="false" ht="12.8" hidden="false" customHeight="false" outlineLevel="0" collapsed="false">
      <c r="A22" s="46" t="str">
        <f aca="false">_xlfn.CONCAT($A$1, ".CALC.", CALC!A53)</f>
        <v>LSD.RID.0.AL.AWHW.CALC.18</v>
      </c>
      <c r="B22" s="18" t="str">
        <f aca="false">CALC!C53</f>
        <v>Educational Services</v>
      </c>
      <c r="C22" s="18" t="n">
        <v>37</v>
      </c>
      <c r="D22" s="18" t="n">
        <v>37.5</v>
      </c>
      <c r="E22" s="18" t="n">
        <v>36</v>
      </c>
      <c r="F22" s="18" t="n">
        <v>37.1</v>
      </c>
      <c r="AT22" s="3"/>
      <c r="AU22" s="3"/>
      <c r="AV22" s="3"/>
      <c r="AW22" s="3"/>
      <c r="AZ22" s="18"/>
      <c r="BA22" s="18"/>
      <c r="BB22" s="18"/>
      <c r="BC22" s="18"/>
      <c r="BJ22" s="3"/>
      <c r="BK22" s="3"/>
      <c r="BL22" s="3"/>
      <c r="BM22" s="3"/>
      <c r="BN22" s="3"/>
      <c r="BO22" s="3"/>
    </row>
    <row r="23" customFormat="false" ht="12.8" hidden="false" customHeight="false" outlineLevel="0" collapsed="false">
      <c r="A23" s="46" t="str">
        <f aca="false">_xlfn.CONCAT($A$1, ".CALC.", CALC!A54)</f>
        <v>LSD.RID.0.AL.AWHW.CALC.19</v>
      </c>
      <c r="B23" s="39" t="str">
        <f aca="false">CALC!C54</f>
        <v>Health Care and Social Assistance</v>
      </c>
      <c r="C23" s="18" t="n">
        <v>38.2</v>
      </c>
      <c r="D23" s="18" t="n">
        <v>38.8</v>
      </c>
      <c r="E23" s="18" t="n">
        <v>37</v>
      </c>
      <c r="F23" s="18" t="n">
        <v>38.3</v>
      </c>
      <c r="AT23" s="3"/>
      <c r="AU23" s="3"/>
      <c r="AV23" s="3"/>
      <c r="AW23" s="3"/>
      <c r="AZ23" s="18"/>
      <c r="BA23" s="18"/>
      <c r="BB23" s="18"/>
      <c r="BC23" s="18"/>
      <c r="BJ23" s="3"/>
      <c r="BK23" s="3"/>
      <c r="BL23" s="3"/>
      <c r="BM23" s="3"/>
      <c r="BN23" s="3"/>
      <c r="BO23" s="3"/>
    </row>
    <row r="24" customFormat="false" ht="12.8" hidden="false" customHeight="false" outlineLevel="0" collapsed="false">
      <c r="A24" s="46" t="str">
        <f aca="false">_xlfn.CONCAT($A$1, ".CALC.", CALC!A55)</f>
        <v>LSD.RID.0.AL.AWHW.CALC.20</v>
      </c>
      <c r="B24" s="39" t="str">
        <f aca="false">CALC!C55</f>
        <v>Arts, Entertainment,and Recreation</v>
      </c>
      <c r="C24" s="18" t="n">
        <v>34</v>
      </c>
      <c r="D24" s="18" t="n">
        <v>34.5</v>
      </c>
      <c r="E24" s="18" t="n">
        <v>33</v>
      </c>
      <c r="F24" s="18" t="n">
        <v>34.1</v>
      </c>
      <c r="AT24" s="3"/>
      <c r="AU24" s="3"/>
      <c r="AV24" s="3"/>
      <c r="AW24" s="3"/>
      <c r="AZ24" s="18"/>
      <c r="BA24" s="18"/>
      <c r="BB24" s="18"/>
      <c r="BC24" s="18"/>
      <c r="BJ24" s="3"/>
      <c r="BK24" s="3"/>
      <c r="BL24" s="3"/>
      <c r="BM24" s="3"/>
      <c r="BN24" s="3"/>
      <c r="BO24" s="3"/>
    </row>
    <row r="25" customFormat="false" ht="12.8" hidden="false" customHeight="false" outlineLevel="0" collapsed="false">
      <c r="A25" s="46" t="str">
        <f aca="false">_xlfn.CONCAT($A$1, ".CALC.", CALC!A56)</f>
        <v>LSD.RID.0.AL.AWHW.CALC.21</v>
      </c>
      <c r="B25" s="39" t="str">
        <f aca="false">CALC!C56</f>
        <v>Accommodation and Food Services</v>
      </c>
      <c r="C25" s="18" t="n">
        <v>33.5</v>
      </c>
      <c r="D25" s="18" t="n">
        <v>34</v>
      </c>
      <c r="E25" s="18" t="n">
        <v>32.5</v>
      </c>
      <c r="F25" s="18" t="n">
        <v>33.6</v>
      </c>
      <c r="AT25" s="3"/>
      <c r="AU25" s="3"/>
      <c r="AV25" s="3"/>
      <c r="AW25" s="3"/>
      <c r="AZ25" s="18"/>
      <c r="BA25" s="18"/>
      <c r="BB25" s="18"/>
      <c r="BC25" s="18"/>
      <c r="BJ25" s="3"/>
      <c r="BK25" s="3"/>
      <c r="BL25" s="3"/>
      <c r="BM25" s="3"/>
      <c r="BN25" s="3"/>
      <c r="BO25" s="3"/>
    </row>
    <row r="26" customFormat="false" ht="12.8" hidden="false" customHeight="false" outlineLevel="0" collapsed="false">
      <c r="A26" s="46" t="str">
        <f aca="false">_xlfn.CONCAT($A$1, ".CALC.", CALC!A57)</f>
        <v>LSD.RID.0.AL.AWHW.CALC.22</v>
      </c>
      <c r="B26" s="39" t="str">
        <f aca="false">CALC!C57</f>
        <v>Other Services (except Public Administration)</v>
      </c>
      <c r="C26" s="18" t="n">
        <v>36</v>
      </c>
      <c r="D26" s="18" t="n">
        <v>36.5</v>
      </c>
      <c r="E26" s="18" t="n">
        <v>35</v>
      </c>
      <c r="F26" s="18" t="n">
        <v>36.1</v>
      </c>
      <c r="AT26" s="3"/>
      <c r="AU26" s="3"/>
      <c r="AV26" s="3"/>
      <c r="AW26" s="3"/>
      <c r="AZ26" s="18"/>
      <c r="BA26" s="18"/>
      <c r="BB26" s="18"/>
      <c r="BC26" s="18"/>
      <c r="BJ26" s="3"/>
      <c r="BK26" s="3"/>
      <c r="BL26" s="3"/>
      <c r="BM26" s="3"/>
      <c r="BN26" s="3"/>
      <c r="BO26" s="3"/>
    </row>
    <row r="27" customFormat="false" ht="12.8" hidden="false" customHeight="false" outlineLevel="0" collapsed="false">
      <c r="A27" s="46" t="str">
        <f aca="false">_xlfn.CONCAT($A$1, ".CALC.", CALC!A58)</f>
        <v>LSD.RID.0.AL.AWHW.CALC.23</v>
      </c>
      <c r="B27" s="18" t="str">
        <f aca="false">CALC!C58</f>
        <v>Public Administration</v>
      </c>
      <c r="C27" s="18" t="n">
        <v>39.5</v>
      </c>
      <c r="D27" s="18" t="n">
        <v>40</v>
      </c>
      <c r="E27" s="18" t="n">
        <v>38</v>
      </c>
      <c r="F27" s="18" t="n">
        <v>39.6</v>
      </c>
      <c r="AT27" s="3"/>
      <c r="AU27" s="3"/>
      <c r="AV27" s="3"/>
      <c r="AW27" s="3"/>
      <c r="AZ27" s="18"/>
      <c r="BA27" s="18"/>
      <c r="BB27" s="18"/>
      <c r="BC27" s="18"/>
      <c r="BJ27" s="3"/>
      <c r="BK27" s="3"/>
      <c r="BL27" s="3"/>
      <c r="BM27" s="3"/>
      <c r="BN27" s="3"/>
      <c r="BO27" s="3"/>
    </row>
    <row r="28" customFormat="false" ht="12.8" hidden="false" customHeight="false" outlineLevel="0" collapsed="false">
      <c r="A28" s="43"/>
      <c r="AT28" s="3"/>
      <c r="AU28" s="3"/>
      <c r="AV28" s="3"/>
      <c r="AW28" s="3"/>
      <c r="AZ28" s="18"/>
      <c r="BA28" s="18"/>
      <c r="BB28" s="18"/>
      <c r="BC28" s="18"/>
      <c r="BJ28" s="3"/>
      <c r="BK28" s="3"/>
      <c r="BL28" s="3"/>
      <c r="BM28" s="3"/>
      <c r="BN28" s="3"/>
      <c r="BO28" s="3"/>
    </row>
    <row r="29" customFormat="false" ht="12.8" hidden="false" customHeight="false" outlineLevel="0" collapsed="false">
      <c r="A29" s="46" t="s">
        <v>3165</v>
      </c>
      <c r="B29" s="47" t="s">
        <v>3166</v>
      </c>
      <c r="C29" s="47"/>
    </row>
    <row r="30" customFormat="false" ht="12.8" hidden="false" customHeight="false" outlineLevel="0" collapsed="false">
      <c r="A30" s="14" t="s">
        <v>93</v>
      </c>
      <c r="B30" s="49" t="s">
        <v>1801</v>
      </c>
      <c r="C30" s="49" t="s">
        <v>283</v>
      </c>
      <c r="D30" s="49" t="s">
        <v>2056</v>
      </c>
      <c r="E30" s="49" t="s">
        <v>286</v>
      </c>
      <c r="F30" s="49" t="s">
        <v>287</v>
      </c>
    </row>
    <row r="31" customFormat="false" ht="12.8" hidden="false" customHeight="false" outlineLevel="0" collapsed="false">
      <c r="A31" s="18" t="s">
        <v>3167</v>
      </c>
      <c r="B31" s="18" t="s">
        <v>3168</v>
      </c>
      <c r="C31" s="18" t="s">
        <v>3169</v>
      </c>
      <c r="D31" s="18" t="s">
        <v>3170</v>
      </c>
      <c r="E31" s="18" t="s">
        <v>3171</v>
      </c>
      <c r="F31" s="18" t="s">
        <v>417</v>
      </c>
    </row>
    <row r="32" customFormat="false" ht="12.8" hidden="false" customHeight="false" outlineLevel="0" collapsed="false">
      <c r="A32" s="18" t="s">
        <v>3172</v>
      </c>
      <c r="B32" s="18" t="s">
        <v>3168</v>
      </c>
      <c r="C32" s="18" t="s">
        <v>2063</v>
      </c>
      <c r="D32" s="18" t="s">
        <v>3173</v>
      </c>
      <c r="E32" s="18" t="s">
        <v>3174</v>
      </c>
      <c r="F32" s="18" t="s">
        <v>417</v>
      </c>
    </row>
    <row r="33" customFormat="false" ht="12.8" hidden="false" customHeight="false" outlineLevel="0" collapsed="false">
      <c r="A33" s="18" t="s">
        <v>3175</v>
      </c>
      <c r="B33" s="18" t="s">
        <v>3168</v>
      </c>
      <c r="C33" s="18" t="s">
        <v>2066</v>
      </c>
      <c r="D33" s="18" t="s">
        <v>3176</v>
      </c>
      <c r="E33" s="18" t="s">
        <v>3177</v>
      </c>
      <c r="F33" s="18" t="s">
        <v>417</v>
      </c>
    </row>
    <row r="34" customFormat="false" ht="12.8" hidden="false" customHeight="false" outlineLevel="0" collapsed="false">
      <c r="A34" s="17" t="s">
        <v>3178</v>
      </c>
      <c r="B34" s="18" t="s">
        <v>3168</v>
      </c>
      <c r="C34" s="18" t="s">
        <v>3179</v>
      </c>
      <c r="D34" s="18" t="s">
        <v>3180</v>
      </c>
      <c r="E34" s="18" t="s">
        <v>422</v>
      </c>
      <c r="F34" s="18" t="s">
        <v>417</v>
      </c>
    </row>
    <row r="36" customFormat="false" ht="12.8" hidden="false" customHeight="false" outlineLevel="0" collapsed="false">
      <c r="A36" s="46" t="s">
        <v>3181</v>
      </c>
      <c r="B36" s="47" t="s">
        <v>3182</v>
      </c>
      <c r="C36" s="47"/>
    </row>
    <row r="37" customFormat="false" ht="12.8" hidden="false" customHeight="false" outlineLevel="0" collapsed="false">
      <c r="A37" s="49" t="s">
        <v>97</v>
      </c>
      <c r="B37" s="49" t="s">
        <v>283</v>
      </c>
      <c r="C37" s="49" t="s">
        <v>2073</v>
      </c>
      <c r="D37" s="49" t="s">
        <v>286</v>
      </c>
      <c r="E37" s="49" t="s">
        <v>850</v>
      </c>
      <c r="F37" s="49" t="s">
        <v>851</v>
      </c>
      <c r="G37" s="49" t="s">
        <v>852</v>
      </c>
      <c r="H37" s="49" t="s">
        <v>287</v>
      </c>
    </row>
    <row r="38" customFormat="false" ht="12.8" hidden="false" customHeight="false" outlineLevel="0" collapsed="false">
      <c r="A38" s="18" t="s">
        <v>3183</v>
      </c>
      <c r="B38" s="18" t="s">
        <v>3184</v>
      </c>
      <c r="C38" s="18" t="n">
        <v>38.8</v>
      </c>
      <c r="D38" s="18" t="s">
        <v>3185</v>
      </c>
      <c r="E38" s="18" t="s">
        <v>857</v>
      </c>
      <c r="F38" s="18" t="s">
        <v>971</v>
      </c>
      <c r="G38" s="24" t="s">
        <v>859</v>
      </c>
      <c r="H38" s="18" t="s">
        <v>417</v>
      </c>
    </row>
    <row r="39" customFormat="false" ht="12.8" hidden="false" customHeight="false" outlineLevel="0" collapsed="false">
      <c r="A39" s="18" t="s">
        <v>3186</v>
      </c>
      <c r="B39" s="18" t="s">
        <v>3187</v>
      </c>
      <c r="C39" s="18" t="s">
        <v>3188</v>
      </c>
      <c r="D39" s="18" t="s">
        <v>3189</v>
      </c>
      <c r="E39" s="18" t="s">
        <v>857</v>
      </c>
      <c r="F39" s="18" t="s">
        <v>1987</v>
      </c>
      <c r="G39" s="24" t="s">
        <v>859</v>
      </c>
      <c r="H39" s="18" t="s">
        <v>2158</v>
      </c>
    </row>
    <row r="40" customFormat="false" ht="12.8" hidden="false" customHeight="false" outlineLevel="0" collapsed="false">
      <c r="A40" s="18" t="s">
        <v>3190</v>
      </c>
      <c r="B40" s="18" t="s">
        <v>3191</v>
      </c>
      <c r="C40" s="18" t="s">
        <v>3192</v>
      </c>
      <c r="D40" s="18" t="s">
        <v>3193</v>
      </c>
      <c r="E40" s="18" t="s">
        <v>857</v>
      </c>
      <c r="F40" s="18" t="s">
        <v>2752</v>
      </c>
      <c r="G40" s="24" t="s">
        <v>859</v>
      </c>
      <c r="H40" s="18" t="s">
        <v>2753</v>
      </c>
    </row>
    <row r="41" customFormat="false" ht="12.8" hidden="false" customHeight="false" outlineLevel="0" collapsed="false">
      <c r="A41" s="18" t="s">
        <v>3194</v>
      </c>
      <c r="B41" s="18" t="s">
        <v>3195</v>
      </c>
      <c r="C41" s="18" t="s">
        <v>3196</v>
      </c>
      <c r="D41" s="18" t="s">
        <v>3197</v>
      </c>
      <c r="E41" s="18" t="s">
        <v>857</v>
      </c>
      <c r="F41" s="18" t="s">
        <v>2758</v>
      </c>
      <c r="G41" s="24" t="s">
        <v>859</v>
      </c>
      <c r="H41" s="18" t="s">
        <v>2753</v>
      </c>
    </row>
    <row r="42" customFormat="false" ht="12.8" hidden="false" customHeight="false" outlineLevel="0" collapsed="false">
      <c r="A42" s="18" t="s">
        <v>3198</v>
      </c>
      <c r="B42" s="18" t="s">
        <v>3199</v>
      </c>
      <c r="C42" s="18" t="n">
        <v>0.9</v>
      </c>
      <c r="D42" s="18" t="s">
        <v>3200</v>
      </c>
      <c r="E42" s="18" t="s">
        <v>857</v>
      </c>
      <c r="F42" s="18" t="s">
        <v>3201</v>
      </c>
      <c r="G42" s="24" t="s">
        <v>859</v>
      </c>
      <c r="H42" s="18" t="s">
        <v>417</v>
      </c>
    </row>
    <row r="43" customFormat="false" ht="12.8" hidden="false" customHeight="false" outlineLevel="0" collapsed="false">
      <c r="A43" s="18" t="s">
        <v>3202</v>
      </c>
      <c r="B43" s="18" t="s">
        <v>1488</v>
      </c>
      <c r="C43" s="18" t="n">
        <v>4</v>
      </c>
      <c r="D43" s="18" t="s">
        <v>2167</v>
      </c>
      <c r="E43" s="18" t="s">
        <v>857</v>
      </c>
      <c r="F43" s="18" t="s">
        <v>2764</v>
      </c>
      <c r="G43" s="24" t="s">
        <v>859</v>
      </c>
      <c r="H43" s="18" t="s">
        <v>417</v>
      </c>
    </row>
    <row r="44" customFormat="false" ht="12.8" hidden="false" customHeight="false" outlineLevel="0" collapsed="false">
      <c r="A44" s="39"/>
      <c r="B44" s="39"/>
      <c r="C44" s="39"/>
      <c r="D44" s="39"/>
      <c r="E44" s="39"/>
      <c r="F44" s="39"/>
      <c r="G44" s="57"/>
      <c r="H44" s="39"/>
    </row>
    <row r="45" customFormat="false" ht="12.8" hidden="false" customHeight="false" outlineLevel="0" collapsed="false">
      <c r="A45" s="46" t="s">
        <v>3203</v>
      </c>
      <c r="B45" s="47" t="s">
        <v>3204</v>
      </c>
    </row>
    <row r="46" customFormat="false" ht="12.8" hidden="false" customHeight="false" outlineLevel="0" collapsed="false">
      <c r="A46" s="17" t="s">
        <v>101</v>
      </c>
      <c r="B46" s="18" t="s">
        <v>286</v>
      </c>
      <c r="C46" s="18" t="s">
        <v>849</v>
      </c>
      <c r="D46" s="18" t="s">
        <v>2093</v>
      </c>
      <c r="E46" s="18" t="s">
        <v>850</v>
      </c>
      <c r="F46" s="18" t="s">
        <v>2094</v>
      </c>
    </row>
    <row r="47" customFormat="false" ht="12.8" hidden="false" customHeight="false" outlineLevel="0" collapsed="false">
      <c r="A47" s="17" t="s">
        <v>3205</v>
      </c>
      <c r="B47" s="18" t="s">
        <v>3206</v>
      </c>
      <c r="C47" s="18" t="n">
        <v>38.8</v>
      </c>
      <c r="D47" s="18" t="s">
        <v>3207</v>
      </c>
      <c r="E47" s="18" t="s">
        <v>857</v>
      </c>
      <c r="F47" s="18" t="s">
        <v>2097</v>
      </c>
    </row>
    <row r="48" customFormat="false" ht="12.8" hidden="false" customHeight="false" outlineLevel="0" collapsed="false">
      <c r="A48" s="17" t="s">
        <v>3208</v>
      </c>
      <c r="B48" s="18" t="s">
        <v>2099</v>
      </c>
      <c r="C48" s="18" t="s">
        <v>3209</v>
      </c>
      <c r="D48" s="18" t="s">
        <v>857</v>
      </c>
      <c r="E48" s="18" t="s">
        <v>2771</v>
      </c>
    </row>
    <row r="49" customFormat="false" ht="12.8" hidden="false" customHeight="false" outlineLevel="0" collapsed="false">
      <c r="A49" s="17" t="s">
        <v>3210</v>
      </c>
      <c r="B49" s="18" t="s">
        <v>3211</v>
      </c>
      <c r="C49" s="18" t="s">
        <v>3212</v>
      </c>
      <c r="D49" s="18" t="s">
        <v>3213</v>
      </c>
      <c r="E49" s="18" t="s">
        <v>857</v>
      </c>
      <c r="F49" s="18" t="s">
        <v>3214</v>
      </c>
    </row>
    <row r="50" customFormat="false" ht="12.8" hidden="false" customHeight="false" outlineLevel="0" collapsed="false">
      <c r="A50" s="17" t="s">
        <v>3215</v>
      </c>
      <c r="B50" s="18" t="s">
        <v>2109</v>
      </c>
      <c r="C50" s="18" t="s">
        <v>3216</v>
      </c>
      <c r="D50" s="18" t="s">
        <v>3217</v>
      </c>
      <c r="E50" s="18" t="s">
        <v>857</v>
      </c>
      <c r="F50" s="18" t="s">
        <v>3218</v>
      </c>
    </row>
    <row r="51" customFormat="false" ht="12.8" hidden="false" customHeight="false" outlineLevel="0" collapsed="false">
      <c r="A51" s="17" t="s">
        <v>3219</v>
      </c>
      <c r="B51" s="18" t="s">
        <v>2114</v>
      </c>
      <c r="C51" s="18" t="s">
        <v>2186</v>
      </c>
      <c r="D51" s="18" t="s">
        <v>3220</v>
      </c>
      <c r="E51" s="18" t="s">
        <v>857</v>
      </c>
      <c r="F51" s="18" t="s">
        <v>2250</v>
      </c>
      <c r="G51" s="18" t="s">
        <v>3081</v>
      </c>
    </row>
    <row r="52" customFormat="false" ht="12.8" hidden="false" customHeight="false" outlineLevel="0" collapsed="false">
      <c r="A52" s="17" t="s">
        <v>3221</v>
      </c>
      <c r="B52" s="18" t="s">
        <v>2119</v>
      </c>
      <c r="C52" s="18" t="s">
        <v>2120</v>
      </c>
      <c r="D52" s="18" t="s">
        <v>3222</v>
      </c>
      <c r="E52" s="18" t="s">
        <v>857</v>
      </c>
      <c r="F52" s="18" t="s">
        <v>2785</v>
      </c>
    </row>
    <row r="53" customFormat="false" ht="12.8" hidden="false" customHeight="false" outlineLevel="0" collapsed="false">
      <c r="A53" s="17" t="s">
        <v>3223</v>
      </c>
      <c r="B53" s="18" t="s">
        <v>3224</v>
      </c>
      <c r="C53" s="18" t="s">
        <v>3225</v>
      </c>
      <c r="D53" s="18" t="s">
        <v>2789</v>
      </c>
      <c r="E53" s="18" t="s">
        <v>857</v>
      </c>
      <c r="F53" s="18" t="s">
        <v>2660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308D"/>
    <pageSetUpPr fitToPage="false"/>
  </sheetPr>
  <dimension ref="A1:BP5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true" hidden="false" outlineLevel="0" max="1" min="1" style="17" width="13.84"/>
    <col collapsed="false" customWidth="true" hidden="false" outlineLevel="0" max="2" min="2" style="20" width="36.9"/>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3226</v>
      </c>
      <c r="B1" s="22" t="s">
        <v>3227</v>
      </c>
      <c r="C1" s="6" t="s">
        <v>2</v>
      </c>
      <c r="D1" s="48" t="s">
        <v>3228</v>
      </c>
      <c r="AZ1" s="18"/>
      <c r="BP1" s="18"/>
    </row>
    <row r="2" customFormat="false" ht="12.8" hidden="false" customHeight="false" outlineLevel="0" collapsed="false">
      <c r="A2" s="60"/>
      <c r="B2" s="19"/>
      <c r="C2" s="55"/>
      <c r="D2" s="55"/>
      <c r="E2" s="55"/>
      <c r="F2" s="55"/>
    </row>
    <row r="3" customFormat="false" ht="12.8" hidden="false" customHeight="false" outlineLevel="0" collapsed="false">
      <c r="B3" s="13"/>
      <c r="C3" s="55"/>
      <c r="D3" s="55"/>
      <c r="E3" s="55"/>
      <c r="F3" s="55"/>
    </row>
    <row r="4" customFormat="false" ht="12.8" hidden="false" customHeight="false" outlineLevel="0" collapsed="false">
      <c r="B4" s="13"/>
      <c r="C4" s="55"/>
      <c r="D4" s="55"/>
      <c r="E4" s="55"/>
      <c r="F4" s="55"/>
    </row>
    <row r="5" customFormat="false" ht="12.8" hidden="false" customHeight="false" outlineLevel="0" collapsed="false">
      <c r="B5" s="13"/>
      <c r="C5" s="55"/>
      <c r="D5" s="55"/>
      <c r="E5" s="55"/>
      <c r="F5" s="55"/>
    </row>
    <row r="6" customFormat="false" ht="12.8" hidden="false" customHeight="false" outlineLevel="0" collapsed="false">
      <c r="B6" s="13"/>
      <c r="C6" s="55"/>
      <c r="D6" s="55"/>
      <c r="E6" s="55"/>
      <c r="F6" s="55"/>
    </row>
    <row r="7" customFormat="false" ht="12.8" hidden="false" customHeight="false" outlineLevel="0" collapsed="false">
      <c r="B7" s="13"/>
      <c r="C7" s="55"/>
      <c r="D7" s="55"/>
      <c r="E7" s="55"/>
      <c r="F7" s="55"/>
    </row>
    <row r="8" customFormat="false" ht="12.8" hidden="false" customHeight="false" outlineLevel="0" collapsed="false">
      <c r="B8" s="13"/>
      <c r="C8" s="55"/>
      <c r="D8" s="55"/>
      <c r="E8" s="55"/>
      <c r="F8" s="55"/>
    </row>
    <row r="9" customFormat="false" ht="12.8" hidden="false" customHeight="false" outlineLevel="0" collapsed="false">
      <c r="B9" s="13"/>
      <c r="C9" s="55"/>
      <c r="D9" s="55"/>
      <c r="E9" s="55"/>
      <c r="F9" s="55"/>
    </row>
    <row r="10" customFormat="false" ht="12.8" hidden="false" customHeight="false" outlineLevel="0" collapsed="false">
      <c r="B10" s="13"/>
      <c r="C10" s="55"/>
      <c r="D10" s="55"/>
      <c r="E10" s="55"/>
      <c r="F10" s="55"/>
    </row>
    <row r="11" customFormat="false" ht="12.8" hidden="false" customHeight="false" outlineLevel="0" collapsed="false">
      <c r="B11" s="13"/>
      <c r="C11" s="55"/>
      <c r="D11" s="55"/>
      <c r="E11" s="55"/>
      <c r="F11" s="55"/>
    </row>
    <row r="12" customFormat="false" ht="12.8" hidden="false" customHeight="false" outlineLevel="0" collapsed="false">
      <c r="B12" s="13"/>
      <c r="C12" s="55"/>
      <c r="D12" s="55"/>
      <c r="E12" s="55"/>
      <c r="F12" s="55"/>
    </row>
    <row r="13" customFormat="false" ht="12.8" hidden="false" customHeight="false" outlineLevel="0" collapsed="false">
      <c r="B13" s="13"/>
      <c r="C13" s="55"/>
      <c r="D13" s="55"/>
      <c r="E13" s="55"/>
      <c r="F13" s="55"/>
    </row>
    <row r="14" customFormat="false" ht="12.8" hidden="false" customHeight="false" outlineLevel="0" collapsed="false">
      <c r="B14" s="13"/>
      <c r="C14" s="55"/>
      <c r="D14" s="55"/>
      <c r="E14" s="55"/>
      <c r="F14" s="55"/>
    </row>
    <row r="15" customFormat="false" ht="12.8" hidden="false" customHeight="false" outlineLevel="0" collapsed="false">
      <c r="B15" s="13"/>
      <c r="C15" s="55"/>
      <c r="D15" s="55"/>
      <c r="E15" s="55"/>
      <c r="F15" s="55"/>
    </row>
    <row r="16" customFormat="false" ht="12.8" hidden="false" customHeight="false" outlineLevel="0" collapsed="false">
      <c r="B16" s="13"/>
      <c r="C16" s="55"/>
      <c r="D16" s="55"/>
      <c r="E16" s="55"/>
      <c r="F16" s="55"/>
    </row>
    <row r="17" customFormat="false" ht="12.8" hidden="false" customHeight="false" outlineLevel="0" collapsed="false">
      <c r="B17" s="13"/>
      <c r="C17" s="55"/>
      <c r="D17" s="55"/>
      <c r="E17" s="55"/>
      <c r="F17" s="55"/>
    </row>
    <row r="18" customFormat="false" ht="12.8" hidden="false" customHeight="false" outlineLevel="0" collapsed="false">
      <c r="B18" s="13"/>
      <c r="C18" s="55"/>
      <c r="D18" s="55"/>
      <c r="E18" s="55"/>
      <c r="F18" s="55"/>
    </row>
    <row r="19" customFormat="false" ht="12.8" hidden="false" customHeight="false" outlineLevel="0" collapsed="false">
      <c r="B19" s="13"/>
      <c r="C19" s="55"/>
      <c r="D19" s="55"/>
      <c r="E19" s="55"/>
      <c r="F19" s="55"/>
    </row>
    <row r="20" customFormat="false" ht="12.8" hidden="false" customHeight="false" outlineLevel="0" collapsed="false">
      <c r="B20" s="13"/>
      <c r="C20" s="55"/>
      <c r="D20" s="55"/>
      <c r="E20" s="55"/>
      <c r="F20" s="55"/>
    </row>
    <row r="21" customFormat="false" ht="12.8" hidden="false" customHeight="false" outlineLevel="0" collapsed="false">
      <c r="B21" s="13"/>
      <c r="C21" s="55"/>
      <c r="D21" s="55"/>
      <c r="E21" s="55"/>
      <c r="F21" s="55"/>
    </row>
    <row r="22" customFormat="false" ht="12.8" hidden="false" customHeight="false" outlineLevel="0" collapsed="false">
      <c r="B22" s="13"/>
      <c r="C22" s="55"/>
      <c r="D22" s="55"/>
      <c r="E22" s="55"/>
      <c r="F22" s="55"/>
    </row>
    <row r="23" customFormat="false" ht="12.8" hidden="false" customHeight="false" outlineLevel="0" collapsed="false">
      <c r="B23" s="13"/>
      <c r="C23" s="55"/>
      <c r="D23" s="55"/>
      <c r="E23" s="55"/>
      <c r="F23" s="55"/>
    </row>
    <row r="24" customFormat="false" ht="12.8" hidden="false" customHeight="false" outlineLevel="0" collapsed="false">
      <c r="B24" s="13"/>
      <c r="C24" s="55"/>
      <c r="D24" s="55"/>
      <c r="E24" s="55"/>
      <c r="F24" s="55"/>
    </row>
    <row r="25" customFormat="false" ht="12.8" hidden="false" customHeight="false" outlineLevel="0" collapsed="false">
      <c r="B25" s="13"/>
      <c r="C25" s="55"/>
      <c r="D25" s="55"/>
      <c r="E25" s="55"/>
      <c r="F25" s="55"/>
    </row>
    <row r="26" customFormat="false" ht="12.8" hidden="false" customHeight="false" outlineLevel="0" collapsed="false">
      <c r="B26" s="13"/>
      <c r="C26" s="55"/>
      <c r="D26" s="55"/>
      <c r="E26" s="55"/>
      <c r="F26" s="55"/>
    </row>
    <row r="27" customFormat="false" ht="12.8" hidden="false" customHeight="false" outlineLevel="0" collapsed="false">
      <c r="B27" s="13"/>
      <c r="C27" s="55"/>
      <c r="D27" s="55"/>
      <c r="E27" s="55"/>
      <c r="F27" s="55"/>
    </row>
    <row r="28" customFormat="false" ht="12.8" hidden="false" customHeight="false" outlineLevel="0" collapsed="false">
      <c r="B28" s="13"/>
      <c r="C28" s="55"/>
      <c r="D28" s="55"/>
      <c r="E28" s="55"/>
      <c r="F28" s="55"/>
    </row>
    <row r="29" customFormat="false" ht="12.8" hidden="false" customHeight="false" outlineLevel="0" collapsed="false">
      <c r="B29" s="13"/>
      <c r="C29" s="55"/>
      <c r="D29" s="55"/>
      <c r="E29" s="55"/>
      <c r="F29" s="55"/>
    </row>
    <row r="30" customFormat="false" ht="12.8" hidden="false" customHeight="false" outlineLevel="0" collapsed="false">
      <c r="B30" s="13"/>
      <c r="C30" s="55"/>
      <c r="D30" s="55"/>
      <c r="E30" s="55"/>
      <c r="F30" s="55"/>
    </row>
    <row r="31" customFormat="false" ht="12.8" hidden="false" customHeight="false" outlineLevel="0" collapsed="false">
      <c r="B31" s="13"/>
      <c r="C31" s="55"/>
      <c r="D31" s="55"/>
      <c r="E31" s="55"/>
      <c r="F31" s="55"/>
    </row>
    <row r="32" customFormat="false" ht="12.8" hidden="false" customHeight="false" outlineLevel="0" collapsed="false">
      <c r="B32" s="13"/>
      <c r="C32" s="55"/>
      <c r="D32" s="55"/>
      <c r="E32" s="55"/>
      <c r="F32" s="55"/>
    </row>
    <row r="33" customFormat="false" ht="12.8" hidden="false" customHeight="false" outlineLevel="0" collapsed="false">
      <c r="B33" s="13"/>
      <c r="C33" s="55"/>
      <c r="D33" s="55"/>
      <c r="E33" s="55"/>
      <c r="F33" s="55"/>
    </row>
    <row r="34" customFormat="false" ht="12.8" hidden="false" customHeight="false" outlineLevel="0" collapsed="false">
      <c r="B34" s="13"/>
      <c r="C34" s="55"/>
      <c r="D34" s="55"/>
      <c r="E34" s="55"/>
      <c r="F34" s="55"/>
    </row>
    <row r="35" customFormat="false" ht="12.8" hidden="false" customHeight="false" outlineLevel="0" collapsed="false">
      <c r="B35" s="13"/>
      <c r="C35" s="55"/>
      <c r="D35" s="55"/>
      <c r="E35" s="55"/>
      <c r="F35" s="55"/>
    </row>
    <row r="36" customFormat="false" ht="12.8" hidden="false" customHeight="false" outlineLevel="0" collapsed="false">
      <c r="B36" s="13"/>
      <c r="C36" s="55"/>
      <c r="D36" s="55"/>
      <c r="E36" s="55"/>
      <c r="F36" s="55"/>
    </row>
    <row r="37" customFormat="false" ht="12.8" hidden="false" customHeight="false" outlineLevel="0" collapsed="false">
      <c r="B37" s="13"/>
      <c r="C37" s="55"/>
      <c r="D37" s="55"/>
      <c r="E37" s="55"/>
      <c r="F37" s="55"/>
    </row>
    <row r="38" customFormat="false" ht="12.8" hidden="false" customHeight="false" outlineLevel="0" collapsed="false">
      <c r="B38" s="13"/>
      <c r="C38" s="55"/>
      <c r="D38" s="55"/>
      <c r="E38" s="55"/>
      <c r="F38" s="55"/>
    </row>
    <row r="39" customFormat="false" ht="12.8" hidden="false" customHeight="false" outlineLevel="0" collapsed="false">
      <c r="B39" s="13"/>
      <c r="C39" s="55"/>
      <c r="D39" s="55"/>
      <c r="E39" s="55"/>
      <c r="F39" s="55"/>
    </row>
    <row r="40" customFormat="false" ht="12.8" hidden="false" customHeight="false" outlineLevel="0" collapsed="false">
      <c r="B40" s="13"/>
      <c r="C40" s="55"/>
      <c r="D40" s="55"/>
      <c r="E40" s="55"/>
      <c r="F40" s="55"/>
    </row>
    <row r="41" customFormat="false" ht="12.8" hidden="false" customHeight="false" outlineLevel="0" collapsed="false">
      <c r="B41" s="13"/>
      <c r="C41" s="55"/>
      <c r="D41" s="55"/>
      <c r="E41" s="55"/>
      <c r="F41" s="55"/>
    </row>
    <row r="42" customFormat="false" ht="12.8" hidden="false" customHeight="false" outlineLevel="0" collapsed="false">
      <c r="B42" s="13"/>
      <c r="C42" s="55"/>
      <c r="D42" s="55"/>
      <c r="E42" s="55"/>
      <c r="F42" s="55"/>
    </row>
    <row r="43" customFormat="false" ht="12.8" hidden="false" customHeight="false" outlineLevel="0" collapsed="false">
      <c r="B43" s="13"/>
      <c r="C43" s="55"/>
      <c r="D43" s="55"/>
      <c r="E43" s="55"/>
      <c r="F43" s="55"/>
    </row>
    <row r="44" customFormat="false" ht="12.8" hidden="false" customHeight="false" outlineLevel="0" collapsed="false">
      <c r="B44" s="13"/>
      <c r="C44" s="55"/>
      <c r="D44" s="55"/>
      <c r="E44" s="55"/>
      <c r="F44" s="55"/>
    </row>
    <row r="45" customFormat="false" ht="12.8" hidden="false" customHeight="false" outlineLevel="0" collapsed="false">
      <c r="B45" s="13"/>
      <c r="C45" s="55"/>
      <c r="D45" s="55"/>
      <c r="E45" s="55"/>
      <c r="F45" s="55"/>
    </row>
    <row r="46" customFormat="false" ht="12.8" hidden="false" customHeight="false" outlineLevel="0" collapsed="false">
      <c r="B46" s="13"/>
      <c r="C46" s="55"/>
      <c r="D46" s="55"/>
      <c r="E46" s="55"/>
      <c r="F46" s="55"/>
    </row>
    <row r="47" customFormat="false" ht="12.8" hidden="false" customHeight="false" outlineLevel="0" collapsed="false">
      <c r="B47" s="13"/>
      <c r="C47" s="55"/>
      <c r="D47" s="55"/>
      <c r="E47" s="55"/>
      <c r="F47" s="55"/>
    </row>
    <row r="48" customFormat="false" ht="12.8" hidden="false" customHeight="false" outlineLevel="0" collapsed="false">
      <c r="B48" s="13"/>
      <c r="C48" s="55"/>
      <c r="D48" s="55"/>
      <c r="E48" s="55"/>
      <c r="F48" s="55"/>
    </row>
    <row r="49" customFormat="false" ht="12.8" hidden="false" customHeight="false" outlineLevel="0" collapsed="false">
      <c r="B49" s="13"/>
      <c r="C49" s="55"/>
      <c r="D49" s="55"/>
      <c r="E49" s="55"/>
      <c r="F49" s="55"/>
    </row>
    <row r="50" customFormat="false" ht="12.8" hidden="false" customHeight="false" outlineLevel="0" collapsed="false">
      <c r="B50" s="13"/>
      <c r="C50" s="55"/>
      <c r="D50" s="55"/>
      <c r="E50" s="55"/>
      <c r="F50" s="55"/>
    </row>
    <row r="51" customFormat="false" ht="12.8" hidden="false" customHeight="false" outlineLevel="0" collapsed="false">
      <c r="B51" s="13"/>
      <c r="C51" s="55"/>
      <c r="D51" s="55"/>
      <c r="E51" s="55"/>
      <c r="F51" s="55"/>
    </row>
    <row r="52" customFormat="false" ht="12.8" hidden="false" customHeight="false" outlineLevel="0" collapsed="false">
      <c r="B52" s="13"/>
      <c r="C52" s="55"/>
      <c r="D52" s="55"/>
      <c r="E52" s="55"/>
      <c r="F52" s="55"/>
    </row>
    <row r="53" customFormat="false" ht="12.8" hidden="false" customHeight="false" outlineLevel="0" collapsed="false">
      <c r="B53" s="13"/>
      <c r="C53" s="55"/>
      <c r="D53" s="55"/>
      <c r="E53" s="55"/>
      <c r="F53" s="55"/>
    </row>
    <row r="54" customFormat="false" ht="12.8" hidden="false" customHeight="false" outlineLevel="0" collapsed="false">
      <c r="B54" s="13"/>
      <c r="C54" s="55"/>
      <c r="D54" s="55"/>
      <c r="E54" s="55"/>
      <c r="F54" s="55"/>
    </row>
    <row r="55" customFormat="false" ht="12.8" hidden="false" customHeight="false" outlineLevel="0" collapsed="false">
      <c r="B55" s="13"/>
      <c r="C55" s="55"/>
      <c r="D55" s="55"/>
      <c r="E55" s="55"/>
      <c r="F55" s="55"/>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BO43"/>
  <sheetViews>
    <sheetView showFormulas="false" showGridLines="true" showRowColHeaders="true" showZeros="true" rightToLeft="false" tabSelected="false" showOutlineSymbols="true" defaultGridColor="true" view="normal" topLeftCell="A7" colorId="64" zoomScale="85" zoomScaleNormal="85" zoomScalePageLayoutView="100" workbookViewId="0">
      <selection pane="topLeft" activeCell="B41" activeCellId="0" sqref="B41"/>
    </sheetView>
  </sheetViews>
  <sheetFormatPr defaultColWidth="11.53515625" defaultRowHeight="12.8" customHeight="false" zeroHeight="false" outlineLevelRow="0" outlineLevelCol="0"/>
  <cols>
    <col collapsed="false" customWidth="false" hidden="false" outlineLevel="0" max="1" min="1" style="17" width="11.53"/>
    <col collapsed="false" customWidth="true" hidden="false" outlineLevel="0" max="2" min="2" style="18" width="41.51"/>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3229</v>
      </c>
      <c r="B1" s="22" t="s">
        <v>3230</v>
      </c>
      <c r="C1" s="6" t="s">
        <v>2</v>
      </c>
      <c r="D1" s="48" t="s">
        <v>3231</v>
      </c>
      <c r="AZ1" s="18"/>
      <c r="BA1" s="18"/>
      <c r="BB1" s="18"/>
      <c r="BC1" s="18"/>
    </row>
    <row r="2" customFormat="false" ht="12.8" hidden="false" customHeight="false" outlineLevel="0" collapsed="false">
      <c r="A2" s="46" t="str">
        <f aca="false">_xlfn.CONCAT($A$1, ".", "CALC")</f>
        <v>LSD.RID.0.AL.FPITREV.CALC</v>
      </c>
      <c r="B2" s="47" t="str">
        <f aca="false">_xlfn.CONCAT($B$1, " ", "Calculations")</f>
        <v>Alabama Federal Personal Income Tax Revenue (FPITREV) Calculations</v>
      </c>
      <c r="C2" s="3"/>
      <c r="D2" s="3"/>
      <c r="E2" s="3"/>
      <c r="F2" s="3"/>
    </row>
    <row r="3" customFormat="false" ht="23.85" hidden="false" customHeight="false" outlineLevel="0" collapsed="false">
      <c r="A3" s="46" t="str">
        <f aca="false">CALC!A34</f>
        <v>LSID</v>
      </c>
      <c r="B3" s="22" t="str">
        <f aca="false">CALC!C34</f>
        <v>Labor Sector</v>
      </c>
      <c r="C3" s="61" t="str">
        <f aca="false">CALC!H93</f>
        <v>Overall FPPTREV</v>
      </c>
      <c r="D3" s="61" t="str">
        <f aca="false">CALC!I93</f>
        <v>Authorized FPPTREV</v>
      </c>
      <c r="E3" s="61" t="str">
        <f aca="false">CALC!J93</f>
        <v>Unauthorized FPPTREV</v>
      </c>
      <c r="F3" s="61" t="str">
        <f aca="false">CALC!K93</f>
        <v>American FPPTREV</v>
      </c>
      <c r="AT3" s="3"/>
      <c r="AU3" s="3"/>
      <c r="AV3" s="3"/>
      <c r="AW3" s="3"/>
      <c r="AZ3" s="18"/>
      <c r="BA3" s="18"/>
      <c r="BB3" s="18"/>
      <c r="BC3" s="18"/>
      <c r="BJ3" s="3"/>
      <c r="BK3" s="3"/>
      <c r="BL3" s="3"/>
      <c r="BM3" s="3"/>
      <c r="BN3" s="3"/>
      <c r="BO3" s="3"/>
    </row>
    <row r="4" customFormat="false" ht="12.8" hidden="false" customHeight="false" outlineLevel="0" collapsed="false">
      <c r="A4" s="46" t="str">
        <f aca="false">_xlfn.CONCAT($A$1, ".CALC.", CALC!A35)</f>
        <v>LSD.RID.0.AL.FPITREV.CALC.0</v>
      </c>
      <c r="B4" s="22" t="str">
        <f aca="false">CALC!C35</f>
        <v>All Industries</v>
      </c>
      <c r="C4" s="18" t="n">
        <v>9640</v>
      </c>
      <c r="D4" s="18" t="n">
        <v>10398</v>
      </c>
      <c r="E4" s="18" t="n">
        <v>3257</v>
      </c>
      <c r="F4" s="18" t="n">
        <v>9678</v>
      </c>
      <c r="AT4" s="3"/>
      <c r="AU4" s="3"/>
      <c r="AV4" s="3"/>
      <c r="AW4" s="3"/>
      <c r="AZ4" s="18"/>
      <c r="BA4" s="18"/>
      <c r="BB4" s="18"/>
      <c r="BC4" s="18"/>
      <c r="BJ4" s="3"/>
      <c r="BK4" s="3"/>
      <c r="BL4" s="3"/>
      <c r="BM4" s="3"/>
      <c r="BN4" s="3"/>
      <c r="BO4" s="3"/>
    </row>
    <row r="5" customFormat="false" ht="12.8" hidden="false" customHeight="false" outlineLevel="0" collapsed="false">
      <c r="A5" s="46" t="str">
        <f aca="false">_xlfn.CONCAT($A$1, ".CALC.", CALC!A36)</f>
        <v>LSD.RID.0.AL.FPITREV.CALC.1</v>
      </c>
      <c r="B5" s="50" t="str">
        <f aca="false">CALC!C36</f>
        <v>Agriculture, Forestry, Fishing and Hunting</v>
      </c>
      <c r="C5" s="18" t="n">
        <v>2812</v>
      </c>
      <c r="D5" s="18" t="n">
        <v>2896</v>
      </c>
      <c r="E5" s="18" t="n">
        <v>1257</v>
      </c>
      <c r="F5" s="18" t="n">
        <v>2826</v>
      </c>
      <c r="AT5" s="3"/>
      <c r="AU5" s="3"/>
      <c r="AV5" s="3"/>
      <c r="AW5" s="3"/>
      <c r="AZ5" s="18"/>
      <c r="BA5" s="18"/>
      <c r="BB5" s="18"/>
      <c r="BC5" s="18"/>
      <c r="BJ5" s="3"/>
      <c r="BK5" s="3"/>
      <c r="BL5" s="3"/>
      <c r="BM5" s="3"/>
      <c r="BN5" s="3"/>
      <c r="BO5" s="3"/>
    </row>
    <row r="6" customFormat="false" ht="12.8" hidden="false" customHeight="false" outlineLevel="0" collapsed="false">
      <c r="A6" s="46" t="str">
        <f aca="false">_xlfn.CONCAT($A$1, ".CALC.", CALC!A37)</f>
        <v>LSD.RID.0.AL.FPITREV.CALC.2</v>
      </c>
      <c r="B6" s="50" t="str">
        <f aca="false">CALC!C37</f>
        <v>Mining, Quarrying, and Oil and Gas Extraction</v>
      </c>
      <c r="C6" s="18" t="n">
        <v>14700</v>
      </c>
      <c r="D6" s="18" t="n">
        <v>14994</v>
      </c>
      <c r="E6" s="18" t="n">
        <v>8820</v>
      </c>
      <c r="F6" s="18" t="n">
        <v>14755</v>
      </c>
      <c r="AT6" s="3"/>
      <c r="AU6" s="3"/>
      <c r="AV6" s="3"/>
      <c r="AW6" s="3"/>
      <c r="AZ6" s="18"/>
      <c r="BA6" s="18"/>
      <c r="BB6" s="18"/>
      <c r="BC6" s="18"/>
      <c r="BJ6" s="3"/>
      <c r="BK6" s="3"/>
      <c r="BL6" s="3"/>
      <c r="BM6" s="3"/>
      <c r="BN6" s="3"/>
      <c r="BO6" s="3"/>
    </row>
    <row r="7" customFormat="false" ht="12.8" hidden="false" customHeight="false" outlineLevel="0" collapsed="false">
      <c r="A7" s="46" t="str">
        <f aca="false">_xlfn.CONCAT($A$1, ".CALC.", CALC!A38)</f>
        <v>LSD.RID.0.AL.FPITREV.CALC.3</v>
      </c>
      <c r="B7" s="22" t="str">
        <f aca="false">CALC!C38</f>
        <v>Utilities</v>
      </c>
      <c r="C7" s="18" t="n">
        <v>18304</v>
      </c>
      <c r="D7" s="18" t="n">
        <v>18671</v>
      </c>
      <c r="E7" s="18" t="n">
        <v>14169</v>
      </c>
      <c r="F7" s="18" t="n">
        <v>18345</v>
      </c>
      <c r="AT7" s="3"/>
      <c r="AU7" s="3"/>
      <c r="AV7" s="3"/>
      <c r="AW7" s="3"/>
      <c r="AZ7" s="18"/>
      <c r="BA7" s="18"/>
      <c r="BB7" s="18"/>
      <c r="BC7" s="18"/>
      <c r="BJ7" s="3"/>
      <c r="BK7" s="3"/>
      <c r="BL7" s="3"/>
      <c r="BM7" s="3"/>
      <c r="BN7" s="3"/>
      <c r="BO7" s="3"/>
    </row>
    <row r="8" customFormat="false" ht="12.8" hidden="false" customHeight="false" outlineLevel="0" collapsed="false">
      <c r="A8" s="46" t="str">
        <f aca="false">_xlfn.CONCAT($A$1, ".CALC.", CALC!A39)</f>
        <v>LSD.RID.0.AL.FPITREV.CALC.4</v>
      </c>
      <c r="B8" s="22" t="str">
        <f aca="false">CALC!C39</f>
        <v>Construction</v>
      </c>
      <c r="C8" s="18" t="n">
        <v>9184</v>
      </c>
      <c r="D8" s="18" t="n">
        <v>9424</v>
      </c>
      <c r="E8" s="18" t="n">
        <v>5835</v>
      </c>
      <c r="F8" s="18" t="n">
        <v>9228</v>
      </c>
      <c r="AT8" s="3"/>
      <c r="AU8" s="3"/>
      <c r="AV8" s="3"/>
      <c r="AW8" s="3"/>
      <c r="AZ8" s="18"/>
      <c r="BA8" s="18"/>
      <c r="BB8" s="18"/>
      <c r="BC8" s="18"/>
      <c r="BJ8" s="3"/>
      <c r="BK8" s="3"/>
      <c r="BL8" s="3"/>
      <c r="BM8" s="3"/>
      <c r="BN8" s="3"/>
      <c r="BO8" s="3"/>
    </row>
    <row r="9" customFormat="false" ht="12.8" hidden="false" customHeight="false" outlineLevel="0" collapsed="false">
      <c r="A9" s="46" t="str">
        <f aca="false">_xlfn.CONCAT($A$1, ".CALC.", CALC!A40)</f>
        <v>LSD.RID.0.AL.FPITREV.CALC.5</v>
      </c>
      <c r="B9" s="50" t="str">
        <f aca="false">CALC!C40</f>
        <v>Manufacturing (Food,Textile, etc.)</v>
      </c>
      <c r="C9" s="18" t="n">
        <v>9600</v>
      </c>
      <c r="D9" s="18" t="n">
        <v>9792</v>
      </c>
      <c r="E9" s="18" t="n">
        <v>6269</v>
      </c>
      <c r="F9" s="18" t="n">
        <v>9634</v>
      </c>
      <c r="AT9" s="3"/>
      <c r="AU9" s="3"/>
      <c r="AV9" s="3"/>
      <c r="AW9" s="3"/>
      <c r="AZ9" s="18"/>
      <c r="BA9" s="18"/>
      <c r="BB9" s="18"/>
      <c r="BC9" s="18"/>
      <c r="BJ9" s="3"/>
      <c r="BK9" s="3"/>
      <c r="BL9" s="3"/>
      <c r="BM9" s="3"/>
      <c r="BN9" s="3"/>
      <c r="BO9" s="3"/>
    </row>
    <row r="10" customFormat="false" ht="12.8" hidden="false" customHeight="false" outlineLevel="0" collapsed="false">
      <c r="A10" s="46" t="str">
        <f aca="false">_xlfn.CONCAT($A$1, ".CALC.", CALC!A41)</f>
        <v>LSD.RID.0.AL.FPITREV.CALC.6</v>
      </c>
      <c r="B10" s="50" t="str">
        <f aca="false">CALC!C41</f>
        <v>Manufacturing (Wood, Paper, Printing, etc.)</v>
      </c>
      <c r="C10" s="18" t="n">
        <v>8400</v>
      </c>
      <c r="D10" s="18" t="n">
        <v>8568</v>
      </c>
      <c r="E10" s="18" t="n">
        <v>5712</v>
      </c>
      <c r="F10" s="18" t="n">
        <v>8430</v>
      </c>
      <c r="AT10" s="3"/>
      <c r="AU10" s="3"/>
      <c r="AV10" s="3"/>
      <c r="AW10" s="3"/>
      <c r="AZ10" s="18"/>
      <c r="BA10" s="18"/>
      <c r="BB10" s="18"/>
      <c r="BC10" s="18"/>
      <c r="BJ10" s="3"/>
      <c r="BK10" s="3"/>
      <c r="BL10" s="3"/>
      <c r="BM10" s="3"/>
      <c r="BN10" s="3"/>
      <c r="BO10" s="3"/>
    </row>
    <row r="11" customFormat="false" ht="12.8" hidden="false" customHeight="false" outlineLevel="0" collapsed="false">
      <c r="A11" s="46" t="str">
        <f aca="false">_xlfn.CONCAT($A$1, ".CALC.", CALC!A42)</f>
        <v>LSD.RID.0.AL.FPITREV.CALC.7</v>
      </c>
      <c r="B11" s="50" t="str">
        <f aca="false">CALC!C42</f>
        <v>Manufacturing (Machinery, Transport)</v>
      </c>
      <c r="C11" s="18" t="n">
        <v>13230</v>
      </c>
      <c r="D11" s="18" t="n">
        <v>13495</v>
      </c>
      <c r="E11" s="18" t="n">
        <v>9504</v>
      </c>
      <c r="F11" s="18" t="n">
        <v>13277</v>
      </c>
      <c r="AT11" s="3"/>
      <c r="AU11" s="3"/>
      <c r="AV11" s="3"/>
      <c r="AW11" s="3"/>
      <c r="AZ11" s="18"/>
      <c r="BA11" s="18"/>
      <c r="BB11" s="18"/>
      <c r="BC11" s="18"/>
      <c r="BJ11" s="3"/>
      <c r="BK11" s="3"/>
      <c r="BL11" s="3"/>
      <c r="BM11" s="3"/>
      <c r="BN11" s="3"/>
      <c r="BO11" s="3"/>
    </row>
    <row r="12" customFormat="false" ht="12.8" hidden="false" customHeight="false" outlineLevel="0" collapsed="false">
      <c r="A12" s="46" t="str">
        <f aca="false">_xlfn.CONCAT($A$1, ".CALC.", CALC!A43)</f>
        <v>LSD.RID.0.AL.FPITREV.CALC.8</v>
      </c>
      <c r="B12" s="22" t="str">
        <f aca="false">CALC!C43</f>
        <v>Wholesale Trade</v>
      </c>
      <c r="C12" s="18" t="n">
        <v>10496</v>
      </c>
      <c r="D12" s="18" t="n">
        <v>10655</v>
      </c>
      <c r="E12" s="18" t="n">
        <v>7885</v>
      </c>
      <c r="F12" s="18" t="n">
        <v>10523</v>
      </c>
      <c r="AT12" s="3"/>
      <c r="AU12" s="3"/>
      <c r="AV12" s="3"/>
      <c r="AW12" s="3"/>
      <c r="AZ12" s="18"/>
      <c r="BA12" s="18"/>
      <c r="BB12" s="18"/>
      <c r="BC12" s="18"/>
      <c r="BJ12" s="3"/>
      <c r="BK12" s="3"/>
      <c r="BL12" s="3"/>
      <c r="BM12" s="3"/>
      <c r="BN12" s="3"/>
      <c r="BO12" s="3"/>
    </row>
    <row r="13" customFormat="false" ht="12.8" hidden="false" customHeight="false" outlineLevel="0" collapsed="false">
      <c r="A13" s="46" t="str">
        <f aca="false">_xlfn.CONCAT($A$1, ".CALC.", CALC!A44)</f>
        <v>LSD.RID.0.AL.FPITREV.CALC.9</v>
      </c>
      <c r="B13" s="50" t="str">
        <f aca="false">CALC!C44</f>
        <v>Retail Trade (Motor Vehicle, Electronics)</v>
      </c>
      <c r="C13" s="18" t="n">
        <v>5850</v>
      </c>
      <c r="D13" s="18" t="n">
        <v>5996</v>
      </c>
      <c r="E13" s="18" t="n">
        <v>3510</v>
      </c>
      <c r="F13" s="18" t="n">
        <v>5873</v>
      </c>
      <c r="AT13" s="3"/>
      <c r="AU13" s="3"/>
      <c r="AV13" s="3"/>
      <c r="AW13" s="3"/>
      <c r="AZ13" s="18"/>
      <c r="BA13" s="18"/>
      <c r="BB13" s="18"/>
      <c r="BC13" s="18"/>
      <c r="BJ13" s="3"/>
      <c r="BK13" s="3"/>
      <c r="BL13" s="3"/>
      <c r="BM13" s="3"/>
      <c r="BN13" s="3"/>
      <c r="BO13" s="3"/>
    </row>
    <row r="14" customFormat="false" ht="22.8" hidden="false" customHeight="false" outlineLevel="0" collapsed="false">
      <c r="A14" s="46" t="str">
        <f aca="false">_xlfn.CONCAT($A$1, ".CALC.", CALC!A45)</f>
        <v>LSD.RID.0.AL.FPITREV.CALC.10</v>
      </c>
      <c r="B14" s="50" t="str">
        <f aca="false">CALC!C45</f>
        <v>Retail Trade (Food, Clothing, General Merchandise, etc.)</v>
      </c>
      <c r="C14" s="18" t="n">
        <v>4235</v>
      </c>
      <c r="D14" s="18" t="n">
        <v>4358</v>
      </c>
      <c r="E14" s="18" t="n">
        <v>2459</v>
      </c>
      <c r="F14" s="18" t="n">
        <v>4253</v>
      </c>
      <c r="AT14" s="3"/>
      <c r="AU14" s="3"/>
      <c r="AV14" s="3"/>
      <c r="AW14" s="3"/>
      <c r="AZ14" s="18"/>
      <c r="BA14" s="18"/>
      <c r="BB14" s="18"/>
      <c r="BC14" s="18"/>
      <c r="BJ14" s="3"/>
      <c r="BK14" s="3"/>
      <c r="BL14" s="3"/>
      <c r="BM14" s="3"/>
      <c r="BN14" s="3"/>
      <c r="BO14" s="3"/>
    </row>
    <row r="15" customFormat="false" ht="12.8" hidden="false" customHeight="false" outlineLevel="0" collapsed="false">
      <c r="A15" s="46" t="str">
        <f aca="false">_xlfn.CONCAT($A$1, ".CALC.", CALC!A46)</f>
        <v>LSD.RID.0.AL.FPITREV.CALC.11</v>
      </c>
      <c r="B15" s="22" t="str">
        <f aca="false">CALC!C46</f>
        <v>Transportation</v>
      </c>
      <c r="C15" s="18" t="n">
        <v>9000</v>
      </c>
      <c r="D15" s="18" t="n">
        <v>9180</v>
      </c>
      <c r="E15" s="18" t="n">
        <v>5850</v>
      </c>
      <c r="F15" s="18" t="n">
        <v>9036</v>
      </c>
      <c r="AT15" s="3"/>
      <c r="AU15" s="3"/>
      <c r="AV15" s="3"/>
      <c r="AW15" s="3"/>
      <c r="AZ15" s="18"/>
      <c r="BA15" s="18"/>
      <c r="BB15" s="18"/>
      <c r="BC15" s="18"/>
      <c r="BJ15" s="3"/>
      <c r="BK15" s="3"/>
      <c r="BL15" s="3"/>
      <c r="BM15" s="3"/>
      <c r="BN15" s="3"/>
      <c r="BO15" s="3"/>
    </row>
    <row r="16" customFormat="false" ht="12.8" hidden="false" customHeight="false" outlineLevel="0" collapsed="false">
      <c r="A16" s="46" t="str">
        <f aca="false">_xlfn.CONCAT($A$1, ".CALC.", CALC!A47)</f>
        <v>LSD.RID.0.AL.FPITREV.CALC.12</v>
      </c>
      <c r="B16" s="22" t="str">
        <f aca="false">CALC!C47</f>
        <v>Warehousing and Storage</v>
      </c>
      <c r="C16" s="18" t="n">
        <v>7644</v>
      </c>
      <c r="D16" s="18" t="n">
        <v>7797</v>
      </c>
      <c r="E16" s="18" t="n">
        <v>4969</v>
      </c>
      <c r="F16" s="18" t="n">
        <v>7672</v>
      </c>
      <c r="AT16" s="3"/>
      <c r="AU16" s="3"/>
      <c r="AV16" s="3"/>
      <c r="AW16" s="3"/>
      <c r="AZ16" s="18"/>
      <c r="BA16" s="18"/>
      <c r="BB16" s="18"/>
      <c r="BC16" s="18"/>
      <c r="BJ16" s="3"/>
      <c r="BK16" s="3"/>
      <c r="BL16" s="3"/>
      <c r="BM16" s="3"/>
      <c r="BN16" s="3"/>
      <c r="BO16" s="3"/>
    </row>
    <row r="17" customFormat="false" ht="12.8" hidden="false" customHeight="false" outlineLevel="0" collapsed="false">
      <c r="A17" s="46" t="str">
        <f aca="false">_xlfn.CONCAT($A$1, ".CALC.", CALC!A48)</f>
        <v>LSD.RID.0.AL.FPITREV.CALC.13</v>
      </c>
      <c r="B17" s="22" t="str">
        <f aca="false">CALC!C48</f>
        <v>Information</v>
      </c>
      <c r="C17" s="18" t="n">
        <v>18304</v>
      </c>
      <c r="D17" s="18" t="n">
        <v>18671</v>
      </c>
      <c r="E17" s="18" t="n">
        <v>14169</v>
      </c>
      <c r="F17" s="18" t="n">
        <v>18345</v>
      </c>
      <c r="AT17" s="3"/>
      <c r="AU17" s="3"/>
      <c r="AV17" s="3"/>
      <c r="AW17" s="3"/>
      <c r="AZ17" s="18"/>
      <c r="BA17" s="18"/>
      <c r="BB17" s="18"/>
      <c r="BC17" s="18"/>
      <c r="BJ17" s="3"/>
      <c r="BK17" s="3"/>
      <c r="BL17" s="3"/>
      <c r="BM17" s="3"/>
      <c r="BN17" s="3"/>
      <c r="BO17" s="3"/>
    </row>
    <row r="18" customFormat="false" ht="12.8" hidden="false" customHeight="false" outlineLevel="0" collapsed="false">
      <c r="A18" s="46" t="str">
        <f aca="false">_xlfn.CONCAT($A$1, ".CALC.", CALC!A49)</f>
        <v>LSD.RID.0.AL.FPITREV.CALC.14</v>
      </c>
      <c r="B18" s="22" t="str">
        <f aca="false">CALC!C49</f>
        <v>Finance and Insurance</v>
      </c>
      <c r="C18" s="18" t="n">
        <v>32032</v>
      </c>
      <c r="D18" s="18" t="n">
        <v>32352</v>
      </c>
      <c r="E18" s="18" t="n">
        <v>24887</v>
      </c>
      <c r="F18" s="18" t="n">
        <v>32099</v>
      </c>
      <c r="AT18" s="3"/>
      <c r="AU18" s="3"/>
      <c r="AV18" s="3"/>
      <c r="AW18" s="3"/>
      <c r="AZ18" s="18"/>
      <c r="BA18" s="18"/>
      <c r="BB18" s="18"/>
      <c r="BC18" s="18"/>
      <c r="BJ18" s="3"/>
      <c r="BK18" s="3"/>
      <c r="BL18" s="3"/>
      <c r="BM18" s="3"/>
      <c r="BN18" s="3"/>
      <c r="BO18" s="3"/>
    </row>
    <row r="19" customFormat="false" ht="12.8" hidden="false" customHeight="false" outlineLevel="0" collapsed="false">
      <c r="A19" s="46" t="str">
        <f aca="false">_xlfn.CONCAT($A$1, ".CALC.", CALC!A50)</f>
        <v>LSD.RID.0.AL.FPITREV.CALC.15</v>
      </c>
      <c r="B19" s="50" t="str">
        <f aca="false">CALC!C50</f>
        <v>Real Estate and Rental and Leasing</v>
      </c>
      <c r="C19" s="18" t="n">
        <v>10880</v>
      </c>
      <c r="D19" s="18" t="n">
        <v>11098</v>
      </c>
      <c r="E19" s="18" t="n">
        <v>7616</v>
      </c>
      <c r="F19" s="18" t="n">
        <v>10930</v>
      </c>
      <c r="AT19" s="3"/>
      <c r="AU19" s="3"/>
      <c r="AV19" s="3"/>
      <c r="AW19" s="3"/>
      <c r="AZ19" s="18"/>
      <c r="BA19" s="18"/>
      <c r="BB19" s="18"/>
      <c r="BC19" s="18"/>
      <c r="BJ19" s="3"/>
      <c r="BK19" s="3"/>
      <c r="BL19" s="3"/>
      <c r="BM19" s="3"/>
      <c r="BN19" s="3"/>
      <c r="BO19" s="3"/>
    </row>
    <row r="20" customFormat="false" ht="12.8" hidden="false" customHeight="false" outlineLevel="0" collapsed="false">
      <c r="A20" s="46" t="str">
        <f aca="false">_xlfn.CONCAT($A$1, ".CALC.", CALC!A51)</f>
        <v>LSD.RID.0.AL.FPITREV.CALC.16</v>
      </c>
      <c r="B20" s="50" t="str">
        <f aca="false">CALC!C51</f>
        <v>Professional, Scientific, and Technical Services</v>
      </c>
      <c r="C20" s="18" t="n">
        <v>24188</v>
      </c>
      <c r="D20" s="18" t="n">
        <v>24430</v>
      </c>
      <c r="E20" s="18" t="n">
        <v>19522</v>
      </c>
      <c r="F20" s="18" t="n">
        <v>24248</v>
      </c>
      <c r="AT20" s="3"/>
      <c r="AU20" s="3"/>
      <c r="AV20" s="3"/>
      <c r="AW20" s="3"/>
      <c r="AZ20" s="18"/>
      <c r="BA20" s="18"/>
      <c r="BB20" s="18"/>
      <c r="BC20" s="18"/>
      <c r="BJ20" s="3"/>
      <c r="BK20" s="3"/>
      <c r="BL20" s="3"/>
      <c r="BM20" s="3"/>
      <c r="BN20" s="3"/>
      <c r="BO20" s="3"/>
    </row>
    <row r="21" customFormat="false" ht="22.8" hidden="false" customHeight="false" outlineLevel="0" collapsed="false">
      <c r="A21" s="46" t="str">
        <f aca="false">_xlfn.CONCAT($A$1, ".CALC.", CALC!A52)</f>
        <v>LSD.RID.0.AL.FPITREV.CALC.17</v>
      </c>
      <c r="B21" s="50" t="str">
        <f aca="false">CALC!C52</f>
        <v>Administrative and Support and Waste Management and Remediation Services</v>
      </c>
      <c r="C21" s="18" t="n">
        <v>5400</v>
      </c>
      <c r="D21" s="18" t="n">
        <v>5535</v>
      </c>
      <c r="E21" s="18" t="n">
        <v>3240</v>
      </c>
      <c r="F21" s="18" t="n">
        <v>5423</v>
      </c>
      <c r="AT21" s="3"/>
      <c r="AU21" s="3"/>
      <c r="AV21" s="3"/>
      <c r="AW21" s="3"/>
      <c r="AZ21" s="18"/>
      <c r="BA21" s="18"/>
      <c r="BB21" s="18"/>
      <c r="BC21" s="18"/>
      <c r="BJ21" s="3"/>
      <c r="BK21" s="3"/>
      <c r="BL21" s="3"/>
      <c r="BM21" s="3"/>
      <c r="BN21" s="3"/>
      <c r="BO21" s="3"/>
    </row>
    <row r="22" customFormat="false" ht="12.8" hidden="false" customHeight="false" outlineLevel="0" collapsed="false">
      <c r="A22" s="46" t="str">
        <f aca="false">_xlfn.CONCAT($A$1, ".CALC.", CALC!A53)</f>
        <v>LSD.RID.0.AL.FPITREV.CALC.18</v>
      </c>
      <c r="B22" s="22" t="str">
        <f aca="false">CALC!C53</f>
        <v>Educational Services</v>
      </c>
      <c r="C22" s="18" t="n">
        <v>12285</v>
      </c>
      <c r="D22" s="18" t="n">
        <v>12470</v>
      </c>
      <c r="E22" s="18" t="n">
        <v>8833</v>
      </c>
      <c r="F22" s="18" t="n">
        <v>12332</v>
      </c>
      <c r="AT22" s="3"/>
      <c r="AU22" s="3"/>
      <c r="AV22" s="3"/>
      <c r="AW22" s="3"/>
      <c r="AZ22" s="18"/>
      <c r="BA22" s="18"/>
      <c r="BB22" s="18"/>
      <c r="BC22" s="18"/>
      <c r="BJ22" s="3"/>
      <c r="BK22" s="3"/>
      <c r="BL22" s="3"/>
      <c r="BM22" s="3"/>
      <c r="BN22" s="3"/>
      <c r="BO22" s="3"/>
    </row>
    <row r="23" customFormat="false" ht="12.8" hidden="false" customHeight="false" outlineLevel="0" collapsed="false">
      <c r="A23" s="46" t="str">
        <f aca="false">_xlfn.CONCAT($A$1, ".CALC.", CALC!A54)</f>
        <v>LSD.RID.0.AL.FPITREV.CALC.19</v>
      </c>
      <c r="B23" s="50" t="str">
        <f aca="false">CALC!C54</f>
        <v>Health Care and Social Assistance</v>
      </c>
      <c r="C23" s="18" t="n">
        <v>13300</v>
      </c>
      <c r="D23" s="18" t="n">
        <v>13503</v>
      </c>
      <c r="E23" s="18" t="n">
        <v>9576</v>
      </c>
      <c r="F23" s="18" t="n">
        <v>13348</v>
      </c>
      <c r="AT23" s="3"/>
      <c r="AU23" s="3"/>
      <c r="AV23" s="3"/>
      <c r="AW23" s="3"/>
      <c r="AZ23" s="18"/>
      <c r="BA23" s="18"/>
      <c r="BB23" s="18"/>
      <c r="BC23" s="18"/>
      <c r="BJ23" s="3"/>
      <c r="BK23" s="3"/>
      <c r="BL23" s="3"/>
      <c r="BM23" s="3"/>
      <c r="BN23" s="3"/>
      <c r="BO23" s="3"/>
    </row>
    <row r="24" customFormat="false" ht="12.8" hidden="false" customHeight="false" outlineLevel="0" collapsed="false">
      <c r="A24" s="46" t="str">
        <f aca="false">_xlfn.CONCAT($A$1, ".CALC.", CALC!A55)</f>
        <v>LSD.RID.0.AL.FPITREV.CALC.20</v>
      </c>
      <c r="B24" s="50" t="str">
        <f aca="false">CALC!C55</f>
        <v>Arts, Entertainment,and Recreation</v>
      </c>
      <c r="C24" s="18" t="n">
        <v>4420</v>
      </c>
      <c r="D24" s="18" t="n">
        <v>4531</v>
      </c>
      <c r="E24" s="18" t="n">
        <v>2564</v>
      </c>
      <c r="F24" s="18" t="n">
        <v>4437</v>
      </c>
      <c r="AT24" s="3"/>
      <c r="AU24" s="3"/>
      <c r="AV24" s="3"/>
      <c r="AW24" s="3"/>
      <c r="AZ24" s="18"/>
      <c r="BA24" s="18"/>
      <c r="BB24" s="18"/>
      <c r="BC24" s="18"/>
      <c r="BJ24" s="3"/>
      <c r="BK24" s="3"/>
      <c r="BL24" s="3"/>
      <c r="BM24" s="3"/>
      <c r="BN24" s="3"/>
      <c r="BO24" s="3"/>
    </row>
    <row r="25" customFormat="false" ht="12.8" hidden="false" customHeight="false" outlineLevel="0" collapsed="false">
      <c r="A25" s="46" t="str">
        <f aca="false">_xlfn.CONCAT($A$1, ".CALC.", CALC!A56)</f>
        <v>LSD.RID.0.AL.FPITREV.CALC.21</v>
      </c>
      <c r="B25" s="50" t="str">
        <f aca="false">CALC!C56</f>
        <v>Accommodation and Food Services</v>
      </c>
      <c r="C25" s="18" t="n">
        <v>2304</v>
      </c>
      <c r="D25" s="18" t="n">
        <v>2385</v>
      </c>
      <c r="E25" s="18" t="n">
        <v>1267</v>
      </c>
      <c r="F25" s="18" t="n">
        <v>2315</v>
      </c>
      <c r="AT25" s="3"/>
      <c r="AU25" s="3"/>
      <c r="AV25" s="3"/>
      <c r="AW25" s="3"/>
      <c r="AZ25" s="18"/>
      <c r="BA25" s="18"/>
      <c r="BB25" s="18"/>
      <c r="BC25" s="18"/>
      <c r="BJ25" s="3"/>
      <c r="BK25" s="3"/>
      <c r="BL25" s="3"/>
      <c r="BM25" s="3"/>
      <c r="BN25" s="3"/>
      <c r="BO25" s="3"/>
    </row>
    <row r="26" customFormat="false" ht="12.8" hidden="false" customHeight="false" outlineLevel="0" collapsed="false">
      <c r="A26" s="46" t="str">
        <f aca="false">_xlfn.CONCAT($A$1, ".CALC.", CALC!A57)</f>
        <v>LSD.RID.0.AL.FPITREV.CALC.22</v>
      </c>
      <c r="B26" s="50" t="str">
        <f aca="false">CALC!C57</f>
        <v>Other Services (except Public Administration)</v>
      </c>
      <c r="C26" s="18" t="n">
        <v>6475</v>
      </c>
      <c r="D26" s="18" t="n">
        <v>6659</v>
      </c>
      <c r="E26" s="18" t="n">
        <v>3885</v>
      </c>
      <c r="F26" s="18" t="n">
        <v>6501</v>
      </c>
      <c r="AT26" s="3"/>
      <c r="AU26" s="3"/>
      <c r="AV26" s="3"/>
      <c r="AW26" s="3"/>
      <c r="AZ26" s="18"/>
      <c r="BA26" s="18"/>
      <c r="BB26" s="18"/>
      <c r="BC26" s="18"/>
      <c r="BJ26" s="3"/>
      <c r="BK26" s="3"/>
      <c r="BL26" s="3"/>
      <c r="BM26" s="3"/>
      <c r="BN26" s="3"/>
      <c r="BO26" s="3"/>
    </row>
    <row r="27" customFormat="false" ht="12.8" hidden="false" customHeight="false" outlineLevel="0" collapsed="false">
      <c r="A27" s="46" t="str">
        <f aca="false">_xlfn.CONCAT($A$1, ".CALC.", CALC!A58)</f>
        <v>LSD.RID.0.AL.FPITREV.CALC.23</v>
      </c>
      <c r="B27" s="22" t="str">
        <f aca="false">CALC!C58</f>
        <v>Public Administration</v>
      </c>
      <c r="C27" s="18" t="n">
        <v>14560</v>
      </c>
      <c r="D27" s="18" t="n">
        <v>14792</v>
      </c>
      <c r="E27" s="18" t="n">
        <v>10980</v>
      </c>
      <c r="F27" s="18" t="n">
        <v>14608</v>
      </c>
      <c r="AT27" s="3"/>
      <c r="AU27" s="3"/>
      <c r="AV27" s="3"/>
      <c r="AW27" s="3"/>
      <c r="AZ27" s="18"/>
      <c r="BA27" s="18"/>
      <c r="BB27" s="18"/>
      <c r="BC27" s="18"/>
      <c r="BJ27" s="3"/>
      <c r="BK27" s="3"/>
      <c r="BL27" s="3"/>
      <c r="BM27" s="3"/>
      <c r="BN27" s="3"/>
      <c r="BO27" s="3"/>
    </row>
    <row r="29" customFormat="false" ht="12.8" hidden="false" customHeight="false" outlineLevel="0" collapsed="false">
      <c r="A29" s="46" t="str">
        <f aca="false">_xlfn.CONCAT(A1,".", "FORM")</f>
        <v>LSD.RID.0.AL.FPITREV.FORM</v>
      </c>
      <c r="B29" s="47" t="s">
        <v>3232</v>
      </c>
    </row>
    <row r="30" customFormat="false" ht="12.8" hidden="false" customHeight="false" outlineLevel="0" collapsed="false">
      <c r="A30" s="17" t="s">
        <v>848</v>
      </c>
      <c r="B30" s="18" t="s">
        <v>1801</v>
      </c>
      <c r="C30" s="18" t="s">
        <v>283</v>
      </c>
      <c r="D30" s="18" t="s">
        <v>2056</v>
      </c>
      <c r="E30" s="18" t="s">
        <v>286</v>
      </c>
      <c r="F30" s="18" t="s">
        <v>287</v>
      </c>
    </row>
    <row r="31" customFormat="false" ht="12.8" hidden="false" customHeight="false" outlineLevel="0" collapsed="false">
      <c r="A31" s="17" t="s">
        <v>3233</v>
      </c>
      <c r="B31" s="18" t="s">
        <v>3234</v>
      </c>
      <c r="C31" s="18" t="s">
        <v>3235</v>
      </c>
      <c r="D31" s="18" t="s">
        <v>3236</v>
      </c>
      <c r="E31" s="18" t="s">
        <v>3237</v>
      </c>
      <c r="F31" s="18" t="s">
        <v>417</v>
      </c>
    </row>
    <row r="32" customFormat="false" ht="12.8" hidden="false" customHeight="false" outlineLevel="0" collapsed="false">
      <c r="A32" s="17" t="s">
        <v>3238</v>
      </c>
      <c r="B32" s="18" t="s">
        <v>3234</v>
      </c>
      <c r="C32" s="18" t="s">
        <v>2063</v>
      </c>
      <c r="D32" s="18" t="s">
        <v>3239</v>
      </c>
      <c r="E32" s="18" t="s">
        <v>3040</v>
      </c>
      <c r="F32" s="18" t="s">
        <v>417</v>
      </c>
    </row>
    <row r="33" customFormat="false" ht="12.8" hidden="false" customHeight="false" outlineLevel="0" collapsed="false">
      <c r="A33" s="17" t="s">
        <v>3240</v>
      </c>
      <c r="B33" s="18" t="s">
        <v>3234</v>
      </c>
      <c r="C33" s="18" t="s">
        <v>2066</v>
      </c>
      <c r="D33" s="18" t="s">
        <v>3241</v>
      </c>
      <c r="E33" s="18" t="s">
        <v>3242</v>
      </c>
      <c r="F33" s="18" t="s">
        <v>417</v>
      </c>
    </row>
    <row r="35" customFormat="false" ht="12.8" hidden="false" customHeight="false" outlineLevel="0" collapsed="false">
      <c r="A35" s="46" t="str">
        <f aca="false">_xlfn.CONCAT(A7,".", "PARAM")</f>
        <v>LSD.RID.0.AL.FPITREV.CALC.3.PARAM</v>
      </c>
      <c r="B35" s="47" t="s">
        <v>3243</v>
      </c>
    </row>
    <row r="36" customFormat="false" ht="12.8" hidden="false" customHeight="false" outlineLevel="0" collapsed="false">
      <c r="A36" s="17" t="s">
        <v>848</v>
      </c>
      <c r="B36" s="18" t="s">
        <v>283</v>
      </c>
      <c r="C36" s="18" t="s">
        <v>2073</v>
      </c>
      <c r="D36" s="18" t="s">
        <v>286</v>
      </c>
      <c r="E36" s="18" t="s">
        <v>850</v>
      </c>
      <c r="F36" s="18" t="s">
        <v>851</v>
      </c>
      <c r="G36" s="18" t="s">
        <v>852</v>
      </c>
      <c r="H36" s="18" t="s">
        <v>287</v>
      </c>
    </row>
    <row r="37" customFormat="false" ht="12.8" hidden="false" customHeight="false" outlineLevel="0" collapsed="false">
      <c r="A37" s="17" t="s">
        <v>3244</v>
      </c>
      <c r="B37" s="18" t="s">
        <v>3245</v>
      </c>
      <c r="C37" s="18" t="s">
        <v>3246</v>
      </c>
      <c r="D37" s="18" t="s">
        <v>3247</v>
      </c>
      <c r="E37" s="18" t="s">
        <v>857</v>
      </c>
      <c r="F37" s="18" t="s">
        <v>1546</v>
      </c>
      <c r="G37" s="24" t="s">
        <v>859</v>
      </c>
      <c r="H37" s="18" t="s">
        <v>3248</v>
      </c>
    </row>
    <row r="38" customFormat="false" ht="12.8" hidden="false" customHeight="false" outlineLevel="0" collapsed="false">
      <c r="A38" s="17" t="s">
        <v>3249</v>
      </c>
      <c r="B38" s="18" t="s">
        <v>3250</v>
      </c>
      <c r="C38" s="18" t="s">
        <v>3251</v>
      </c>
      <c r="D38" s="18" t="s">
        <v>3252</v>
      </c>
      <c r="E38" s="18" t="s">
        <v>2081</v>
      </c>
      <c r="F38" s="18" t="s">
        <v>2082</v>
      </c>
      <c r="G38" s="24" t="s">
        <v>859</v>
      </c>
      <c r="H38" s="18" t="s">
        <v>417</v>
      </c>
    </row>
    <row r="39" customFormat="false" ht="12.8" hidden="false" customHeight="false" outlineLevel="0" collapsed="false">
      <c r="A39" s="17" t="s">
        <v>3253</v>
      </c>
      <c r="B39" s="18" t="s">
        <v>3254</v>
      </c>
      <c r="C39" s="18" t="s">
        <v>3255</v>
      </c>
      <c r="D39" s="18" t="s">
        <v>3256</v>
      </c>
      <c r="E39" s="18" t="s">
        <v>2081</v>
      </c>
      <c r="F39" s="18" t="s">
        <v>2082</v>
      </c>
      <c r="G39" s="24" t="s">
        <v>859</v>
      </c>
      <c r="H39" s="18" t="s">
        <v>417</v>
      </c>
    </row>
    <row r="40" customFormat="false" ht="12.8" hidden="false" customHeight="false" outlineLevel="0" collapsed="false">
      <c r="A40" s="17" t="s">
        <v>3257</v>
      </c>
      <c r="B40" s="18" t="s">
        <v>3258</v>
      </c>
      <c r="C40" s="18" t="s">
        <v>3259</v>
      </c>
      <c r="D40" s="18" t="s">
        <v>3053</v>
      </c>
      <c r="E40" s="18" t="s">
        <v>2081</v>
      </c>
      <c r="F40" s="18" t="s">
        <v>2082</v>
      </c>
      <c r="G40" s="24" t="s">
        <v>859</v>
      </c>
      <c r="H40" s="18" t="s">
        <v>417</v>
      </c>
    </row>
    <row r="41" customFormat="false" ht="12.8" hidden="false" customHeight="false" outlineLevel="0" collapsed="false">
      <c r="A41" s="17" t="s">
        <v>3260</v>
      </c>
      <c r="B41" s="18" t="s">
        <v>3261</v>
      </c>
      <c r="C41" s="18" t="s">
        <v>3262</v>
      </c>
      <c r="D41" s="18" t="s">
        <v>3057</v>
      </c>
      <c r="E41" s="18" t="s">
        <v>2081</v>
      </c>
      <c r="F41" s="18" t="s">
        <v>2082</v>
      </c>
      <c r="G41" s="24" t="s">
        <v>859</v>
      </c>
      <c r="H41" s="18" t="s">
        <v>417</v>
      </c>
    </row>
    <row r="42" customFormat="false" ht="12.8" hidden="false" customHeight="false" outlineLevel="0" collapsed="false">
      <c r="A42" s="17" t="s">
        <v>3263</v>
      </c>
      <c r="B42" s="18" t="s">
        <v>3264</v>
      </c>
      <c r="C42" s="18" t="s">
        <v>3265</v>
      </c>
      <c r="D42" s="18" t="s">
        <v>2080</v>
      </c>
      <c r="E42" s="18" t="s">
        <v>2081</v>
      </c>
      <c r="F42" s="18" t="s">
        <v>2082</v>
      </c>
      <c r="G42" s="24" t="s">
        <v>859</v>
      </c>
      <c r="H42" s="18" t="s">
        <v>417</v>
      </c>
    </row>
    <row r="43" customFormat="false" ht="12.8" hidden="false" customHeight="false" outlineLevel="0" collapsed="false">
      <c r="A43" s="17" t="s">
        <v>3266</v>
      </c>
      <c r="B43" s="18" t="s">
        <v>3267</v>
      </c>
      <c r="C43" s="18" t="s">
        <v>3268</v>
      </c>
      <c r="D43" s="18" t="s">
        <v>3269</v>
      </c>
      <c r="E43" s="18" t="s">
        <v>2081</v>
      </c>
      <c r="F43" s="18" t="s">
        <v>2082</v>
      </c>
      <c r="G43" s="24" t="s">
        <v>859</v>
      </c>
      <c r="H43" s="18" t="s">
        <v>417</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BO2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2" activeCellId="0" sqref="A2"/>
    </sheetView>
  </sheetViews>
  <sheetFormatPr defaultColWidth="11.53515625" defaultRowHeight="12.8" customHeight="false" zeroHeight="false" outlineLevelRow="0" outlineLevelCol="0"/>
  <cols>
    <col collapsed="false" customWidth="true" hidden="false" outlineLevel="0" max="1" min="1" style="17" width="18.45"/>
    <col collapsed="false" customWidth="true" hidden="false" outlineLevel="0" max="2" min="2" style="18" width="34.59"/>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75</v>
      </c>
      <c r="B1" s="22" t="s">
        <v>3270</v>
      </c>
      <c r="C1" s="6" t="s">
        <v>2</v>
      </c>
      <c r="D1" s="48" t="s">
        <v>3271</v>
      </c>
      <c r="AZ1" s="18"/>
      <c r="BA1" s="18"/>
      <c r="BB1" s="18"/>
      <c r="BC1" s="18"/>
    </row>
    <row r="2" customFormat="false" ht="12.8" hidden="false" customHeight="false" outlineLevel="0" collapsed="false">
      <c r="A2" s="46" t="str">
        <f aca="false">_xlfn.CONCAT($A$1, ".", "CALC")</f>
        <v>LSD.RID.0.AL.FPPTREV.CALC</v>
      </c>
      <c r="B2" s="47" t="str">
        <f aca="false">_xlfn.CONCAT($B$1, " ", "Calculations")</f>
        <v>Alabama Federal Personal Payroll Tax Revenue (FPPTREV) Calculations</v>
      </c>
      <c r="C2" s="3"/>
      <c r="D2" s="3"/>
      <c r="E2" s="3"/>
      <c r="F2" s="3"/>
    </row>
    <row r="3" customFormat="false" ht="12.8" hidden="false" customHeight="false" outlineLevel="0" collapsed="false">
      <c r="A3" s="46" t="str">
        <f aca="false">CALC!A34</f>
        <v>LSID</v>
      </c>
      <c r="B3" s="50" t="str">
        <f aca="false">CALC!C34</f>
        <v>Labor Sector</v>
      </c>
      <c r="C3" s="62" t="str">
        <f aca="false">CALC!H93</f>
        <v>Overall FPPTREV</v>
      </c>
      <c r="D3" s="62" t="str">
        <f aca="false">CALC!I93</f>
        <v>Authorized FPPTREV</v>
      </c>
      <c r="E3" s="62" t="str">
        <f aca="false">CALC!J93</f>
        <v>Unauthorized FPPTREV</v>
      </c>
      <c r="F3" s="62" t="str">
        <f aca="false">CALC!K93</f>
        <v>American FPPTREV</v>
      </c>
      <c r="AT3" s="3"/>
      <c r="AU3" s="3"/>
      <c r="AV3" s="3"/>
      <c r="AW3" s="3"/>
      <c r="AZ3" s="18"/>
      <c r="BA3" s="18"/>
      <c r="BB3" s="18"/>
      <c r="BC3" s="18"/>
      <c r="BJ3" s="3"/>
      <c r="BK3" s="3"/>
      <c r="BL3" s="3"/>
      <c r="BM3" s="3"/>
      <c r="BN3" s="3"/>
      <c r="BO3" s="3"/>
    </row>
    <row r="4" customFormat="false" ht="12.8" hidden="false" customHeight="false" outlineLevel="0" collapsed="false">
      <c r="A4" s="46" t="str">
        <f aca="false">_xlfn.CONCAT($A$1, ".CALC.", CALC!A35)</f>
        <v>LSD.RID.0.AL.FPPTREV.CALC.0</v>
      </c>
      <c r="B4" s="50" t="str">
        <f aca="false">CALC!C35</f>
        <v>All Industries</v>
      </c>
      <c r="C4" s="18" t="n">
        <v>9640</v>
      </c>
      <c r="D4" s="18" t="n">
        <v>10398</v>
      </c>
      <c r="E4" s="18" t="n">
        <v>3257</v>
      </c>
      <c r="F4" s="18" t="n">
        <v>9678</v>
      </c>
      <c r="AT4" s="3"/>
      <c r="AU4" s="3"/>
      <c r="AV4" s="3"/>
      <c r="AW4" s="3"/>
      <c r="AZ4" s="18"/>
      <c r="BA4" s="18"/>
      <c r="BB4" s="18"/>
      <c r="BC4" s="18"/>
      <c r="BJ4" s="3"/>
      <c r="BK4" s="3"/>
      <c r="BL4" s="3"/>
      <c r="BM4" s="3"/>
      <c r="BN4" s="3"/>
      <c r="BO4" s="3"/>
    </row>
    <row r="5" customFormat="false" ht="22.8" hidden="false" customHeight="false" outlineLevel="0" collapsed="false">
      <c r="A5" s="46" t="str">
        <f aca="false">_xlfn.CONCAT($A$1, ".CALC.", CALC!A36)</f>
        <v>LSD.RID.0.AL.FPPTREV.CALC.1</v>
      </c>
      <c r="B5" s="50" t="str">
        <f aca="false">CALC!C36</f>
        <v>Agriculture, Forestry, Fishing and Hunting</v>
      </c>
      <c r="C5" s="18" t="n">
        <v>2812</v>
      </c>
      <c r="D5" s="18" t="n">
        <v>2896</v>
      </c>
      <c r="E5" s="18" t="n">
        <v>1257</v>
      </c>
      <c r="F5" s="18" t="n">
        <v>2826</v>
      </c>
      <c r="AT5" s="3"/>
      <c r="AU5" s="3"/>
      <c r="AV5" s="3"/>
      <c r="AW5" s="3"/>
      <c r="AZ5" s="18"/>
      <c r="BA5" s="18"/>
      <c r="BB5" s="18"/>
      <c r="BC5" s="18"/>
      <c r="BJ5" s="3"/>
      <c r="BK5" s="3"/>
      <c r="BL5" s="3"/>
      <c r="BM5" s="3"/>
      <c r="BN5" s="3"/>
      <c r="BO5" s="3"/>
    </row>
    <row r="6" customFormat="false" ht="22.8" hidden="false" customHeight="false" outlineLevel="0" collapsed="false">
      <c r="A6" s="46" t="str">
        <f aca="false">_xlfn.CONCAT($A$1, ".CALC.", CALC!A37)</f>
        <v>LSD.RID.0.AL.FPPTREV.CALC.2</v>
      </c>
      <c r="B6" s="50" t="str">
        <f aca="false">CALC!C37</f>
        <v>Mining, Quarrying, and Oil and Gas Extraction</v>
      </c>
      <c r="C6" s="18" t="n">
        <v>14700</v>
      </c>
      <c r="D6" s="18" t="n">
        <v>14994</v>
      </c>
      <c r="E6" s="18" t="n">
        <v>8820</v>
      </c>
      <c r="F6" s="18" t="n">
        <v>14755</v>
      </c>
      <c r="AT6" s="3"/>
      <c r="AU6" s="3"/>
      <c r="AV6" s="3"/>
      <c r="AW6" s="3"/>
      <c r="AZ6" s="18"/>
      <c r="BA6" s="18"/>
      <c r="BB6" s="18"/>
      <c r="BC6" s="18"/>
      <c r="BJ6" s="3"/>
      <c r="BK6" s="3"/>
      <c r="BL6" s="3"/>
      <c r="BM6" s="3"/>
      <c r="BN6" s="3"/>
      <c r="BO6" s="3"/>
    </row>
    <row r="7" customFormat="false" ht="12.8" hidden="false" customHeight="false" outlineLevel="0" collapsed="false">
      <c r="A7" s="46" t="str">
        <f aca="false">_xlfn.CONCAT($A$1, ".CALC.", CALC!A38)</f>
        <v>LSD.RID.0.AL.FPPTREV.CALC.3</v>
      </c>
      <c r="B7" s="50" t="str">
        <f aca="false">CALC!C38</f>
        <v>Utilities</v>
      </c>
      <c r="C7" s="18" t="n">
        <v>18304</v>
      </c>
      <c r="D7" s="18" t="n">
        <v>18671</v>
      </c>
      <c r="E7" s="18" t="n">
        <v>14169</v>
      </c>
      <c r="F7" s="18" t="n">
        <v>18345</v>
      </c>
      <c r="AT7" s="3"/>
      <c r="AU7" s="3"/>
      <c r="AV7" s="3"/>
      <c r="AW7" s="3"/>
      <c r="AZ7" s="18"/>
      <c r="BA7" s="18"/>
      <c r="BB7" s="18"/>
      <c r="BC7" s="18"/>
      <c r="BJ7" s="3"/>
      <c r="BK7" s="3"/>
      <c r="BL7" s="3"/>
      <c r="BM7" s="3"/>
      <c r="BN7" s="3"/>
      <c r="BO7" s="3"/>
    </row>
    <row r="8" customFormat="false" ht="12.8" hidden="false" customHeight="false" outlineLevel="0" collapsed="false">
      <c r="A8" s="46" t="str">
        <f aca="false">_xlfn.CONCAT($A$1, ".CALC.", CALC!A39)</f>
        <v>LSD.RID.0.AL.FPPTREV.CALC.4</v>
      </c>
      <c r="B8" s="50" t="str">
        <f aca="false">CALC!C39</f>
        <v>Construction</v>
      </c>
      <c r="C8" s="18" t="n">
        <v>9184</v>
      </c>
      <c r="D8" s="18" t="n">
        <v>9424</v>
      </c>
      <c r="E8" s="18" t="n">
        <v>5835</v>
      </c>
      <c r="F8" s="18" t="n">
        <v>9228</v>
      </c>
      <c r="AT8" s="3"/>
      <c r="AU8" s="3"/>
      <c r="AV8" s="3"/>
      <c r="AW8" s="3"/>
      <c r="AZ8" s="18"/>
      <c r="BA8" s="18"/>
      <c r="BB8" s="18"/>
      <c r="BC8" s="18"/>
      <c r="BJ8" s="3"/>
      <c r="BK8" s="3"/>
      <c r="BL8" s="3"/>
      <c r="BM8" s="3"/>
      <c r="BN8" s="3"/>
      <c r="BO8" s="3"/>
    </row>
    <row r="9" customFormat="false" ht="12.8" hidden="false" customHeight="false" outlineLevel="0" collapsed="false">
      <c r="A9" s="46" t="str">
        <f aca="false">_xlfn.CONCAT($A$1, ".CALC.", CALC!A40)</f>
        <v>LSD.RID.0.AL.FPPTREV.CALC.5</v>
      </c>
      <c r="B9" s="50" t="str">
        <f aca="false">CALC!C40</f>
        <v>Manufacturing (Food,Textile, etc.)</v>
      </c>
      <c r="C9" s="18" t="n">
        <v>9600</v>
      </c>
      <c r="D9" s="18" t="n">
        <v>9792</v>
      </c>
      <c r="E9" s="18" t="n">
        <v>6269</v>
      </c>
      <c r="F9" s="18" t="n">
        <v>9634</v>
      </c>
      <c r="AT9" s="3"/>
      <c r="AU9" s="3"/>
      <c r="AV9" s="3"/>
      <c r="AW9" s="3"/>
      <c r="AZ9" s="18"/>
      <c r="BA9" s="18"/>
      <c r="BB9" s="18"/>
      <c r="BC9" s="18"/>
      <c r="BJ9" s="3"/>
      <c r="BK9" s="3"/>
      <c r="BL9" s="3"/>
      <c r="BM9" s="3"/>
      <c r="BN9" s="3"/>
      <c r="BO9" s="3"/>
    </row>
    <row r="10" customFormat="false" ht="22.8" hidden="false" customHeight="false" outlineLevel="0" collapsed="false">
      <c r="A10" s="46" t="str">
        <f aca="false">_xlfn.CONCAT($A$1, ".CALC.", CALC!A41)</f>
        <v>LSD.RID.0.AL.FPPTREV.CALC.6</v>
      </c>
      <c r="B10" s="50" t="str">
        <f aca="false">CALC!C41</f>
        <v>Manufacturing (Wood, Paper, Printing, etc.)</v>
      </c>
      <c r="C10" s="18" t="n">
        <v>8400</v>
      </c>
      <c r="D10" s="18" t="n">
        <v>8568</v>
      </c>
      <c r="E10" s="18" t="n">
        <v>5712</v>
      </c>
      <c r="F10" s="18" t="n">
        <v>8430</v>
      </c>
      <c r="AT10" s="3"/>
      <c r="AU10" s="3"/>
      <c r="AV10" s="3"/>
      <c r="AW10" s="3"/>
      <c r="AZ10" s="18"/>
      <c r="BA10" s="18"/>
      <c r="BB10" s="18"/>
      <c r="BC10" s="18"/>
      <c r="BJ10" s="3"/>
      <c r="BK10" s="3"/>
      <c r="BL10" s="3"/>
      <c r="BM10" s="3"/>
      <c r="BN10" s="3"/>
      <c r="BO10" s="3"/>
    </row>
    <row r="11" customFormat="false" ht="12.8" hidden="false" customHeight="false" outlineLevel="0" collapsed="false">
      <c r="A11" s="46" t="str">
        <f aca="false">_xlfn.CONCAT($A$1, ".CALC.", CALC!A42)</f>
        <v>LSD.RID.0.AL.FPPTREV.CALC.7</v>
      </c>
      <c r="B11" s="50" t="str">
        <f aca="false">CALC!C42</f>
        <v>Manufacturing (Machinery, Transport)</v>
      </c>
      <c r="C11" s="18" t="n">
        <v>13230</v>
      </c>
      <c r="D11" s="18" t="n">
        <v>13495</v>
      </c>
      <c r="E11" s="18" t="n">
        <v>9504</v>
      </c>
      <c r="F11" s="18" t="n">
        <v>13277</v>
      </c>
      <c r="AT11" s="3"/>
      <c r="AU11" s="3"/>
      <c r="AV11" s="3"/>
      <c r="AW11" s="3"/>
      <c r="AZ11" s="18"/>
      <c r="BA11" s="18"/>
      <c r="BB11" s="18"/>
      <c r="BC11" s="18"/>
      <c r="BJ11" s="3"/>
      <c r="BK11" s="3"/>
      <c r="BL11" s="3"/>
      <c r="BM11" s="3"/>
      <c r="BN11" s="3"/>
      <c r="BO11" s="3"/>
    </row>
    <row r="12" customFormat="false" ht="12.8" hidden="false" customHeight="false" outlineLevel="0" collapsed="false">
      <c r="A12" s="46" t="str">
        <f aca="false">_xlfn.CONCAT($A$1, ".CALC.", CALC!A43)</f>
        <v>LSD.RID.0.AL.FPPTREV.CALC.8</v>
      </c>
      <c r="B12" s="50" t="str">
        <f aca="false">CALC!C43</f>
        <v>Wholesale Trade</v>
      </c>
      <c r="C12" s="18" t="n">
        <v>10496</v>
      </c>
      <c r="D12" s="18" t="n">
        <v>10655</v>
      </c>
      <c r="E12" s="18" t="n">
        <v>7885</v>
      </c>
      <c r="F12" s="18" t="n">
        <v>10523</v>
      </c>
      <c r="AT12" s="3"/>
      <c r="AU12" s="3"/>
      <c r="AV12" s="3"/>
      <c r="AW12" s="3"/>
      <c r="AZ12" s="18"/>
      <c r="BA12" s="18"/>
      <c r="BB12" s="18"/>
      <c r="BC12" s="18"/>
      <c r="BJ12" s="3"/>
      <c r="BK12" s="3"/>
      <c r="BL12" s="3"/>
      <c r="BM12" s="3"/>
      <c r="BN12" s="3"/>
      <c r="BO12" s="3"/>
    </row>
    <row r="13" customFormat="false" ht="22.8" hidden="false" customHeight="false" outlineLevel="0" collapsed="false">
      <c r="A13" s="46" t="str">
        <f aca="false">_xlfn.CONCAT($A$1, ".CALC.", CALC!A44)</f>
        <v>LSD.RID.0.AL.FPPTREV.CALC.9</v>
      </c>
      <c r="B13" s="50" t="str">
        <f aca="false">CALC!C44</f>
        <v>Retail Trade (Motor Vehicle, Electronics)</v>
      </c>
      <c r="C13" s="18" t="n">
        <v>5850</v>
      </c>
      <c r="D13" s="18" t="n">
        <v>5996</v>
      </c>
      <c r="E13" s="18" t="n">
        <v>3510</v>
      </c>
      <c r="F13" s="18" t="n">
        <v>5873</v>
      </c>
      <c r="AT13" s="3"/>
      <c r="AU13" s="3"/>
      <c r="AV13" s="3"/>
      <c r="AW13" s="3"/>
      <c r="AZ13" s="18"/>
      <c r="BA13" s="18"/>
      <c r="BB13" s="18"/>
      <c r="BC13" s="18"/>
      <c r="BJ13" s="3"/>
      <c r="BK13" s="3"/>
      <c r="BL13" s="3"/>
      <c r="BM13" s="3"/>
      <c r="BN13" s="3"/>
      <c r="BO13" s="3"/>
    </row>
    <row r="14" customFormat="false" ht="22.8" hidden="false" customHeight="false" outlineLevel="0" collapsed="false">
      <c r="A14" s="46" t="str">
        <f aca="false">_xlfn.CONCAT($A$1, ".CALC.", CALC!A45)</f>
        <v>LSD.RID.0.AL.FPPTREV.CALC.10</v>
      </c>
      <c r="B14" s="50" t="str">
        <f aca="false">CALC!C45</f>
        <v>Retail Trade (Food, Clothing, General Merchandise, etc.)</v>
      </c>
      <c r="C14" s="18" t="n">
        <v>4235</v>
      </c>
      <c r="D14" s="18" t="n">
        <v>4358</v>
      </c>
      <c r="E14" s="18" t="n">
        <v>2459</v>
      </c>
      <c r="F14" s="18" t="n">
        <v>4253</v>
      </c>
      <c r="AT14" s="3"/>
      <c r="AU14" s="3"/>
      <c r="AV14" s="3"/>
      <c r="AW14" s="3"/>
      <c r="AZ14" s="18"/>
      <c r="BA14" s="18"/>
      <c r="BB14" s="18"/>
      <c r="BC14" s="18"/>
      <c r="BJ14" s="3"/>
      <c r="BK14" s="3"/>
      <c r="BL14" s="3"/>
      <c r="BM14" s="3"/>
      <c r="BN14" s="3"/>
      <c r="BO14" s="3"/>
    </row>
    <row r="15" customFormat="false" ht="12.8" hidden="false" customHeight="false" outlineLevel="0" collapsed="false">
      <c r="A15" s="46" t="str">
        <f aca="false">_xlfn.CONCAT($A$1, ".CALC.", CALC!A46)</f>
        <v>LSD.RID.0.AL.FPPTREV.CALC.11</v>
      </c>
      <c r="B15" s="50" t="str">
        <f aca="false">CALC!C46</f>
        <v>Transportation</v>
      </c>
      <c r="C15" s="18" t="n">
        <v>9000</v>
      </c>
      <c r="D15" s="18" t="n">
        <v>9180</v>
      </c>
      <c r="E15" s="18" t="n">
        <v>5850</v>
      </c>
      <c r="F15" s="18" t="n">
        <v>9036</v>
      </c>
      <c r="AT15" s="3"/>
      <c r="AU15" s="3"/>
      <c r="AV15" s="3"/>
      <c r="AW15" s="3"/>
      <c r="AZ15" s="18"/>
      <c r="BA15" s="18"/>
      <c r="BB15" s="18"/>
      <c r="BC15" s="18"/>
      <c r="BJ15" s="3"/>
      <c r="BK15" s="3"/>
      <c r="BL15" s="3"/>
      <c r="BM15" s="3"/>
      <c r="BN15" s="3"/>
      <c r="BO15" s="3"/>
    </row>
    <row r="16" customFormat="false" ht="12.8" hidden="false" customHeight="false" outlineLevel="0" collapsed="false">
      <c r="A16" s="46" t="str">
        <f aca="false">_xlfn.CONCAT($A$1, ".CALC.", CALC!A47)</f>
        <v>LSD.RID.0.AL.FPPTREV.CALC.12</v>
      </c>
      <c r="B16" s="50" t="str">
        <f aca="false">CALC!C47</f>
        <v>Warehousing and Storage</v>
      </c>
      <c r="C16" s="18" t="n">
        <v>7644</v>
      </c>
      <c r="D16" s="18" t="n">
        <v>7797</v>
      </c>
      <c r="E16" s="18" t="n">
        <v>4969</v>
      </c>
      <c r="F16" s="18" t="n">
        <v>7672</v>
      </c>
      <c r="AT16" s="3"/>
      <c r="AU16" s="3"/>
      <c r="AV16" s="3"/>
      <c r="AW16" s="3"/>
      <c r="AZ16" s="18"/>
      <c r="BA16" s="18"/>
      <c r="BB16" s="18"/>
      <c r="BC16" s="18"/>
      <c r="BJ16" s="3"/>
      <c r="BK16" s="3"/>
      <c r="BL16" s="3"/>
      <c r="BM16" s="3"/>
      <c r="BN16" s="3"/>
      <c r="BO16" s="3"/>
    </row>
    <row r="17" customFormat="false" ht="12.8" hidden="false" customHeight="false" outlineLevel="0" collapsed="false">
      <c r="A17" s="46" t="str">
        <f aca="false">_xlfn.CONCAT($A$1, ".CALC.", CALC!A48)</f>
        <v>LSD.RID.0.AL.FPPTREV.CALC.13</v>
      </c>
      <c r="B17" s="50" t="str">
        <f aca="false">CALC!C48</f>
        <v>Information</v>
      </c>
      <c r="C17" s="18" t="n">
        <v>18304</v>
      </c>
      <c r="D17" s="18" t="n">
        <v>18671</v>
      </c>
      <c r="E17" s="18" t="n">
        <v>14169</v>
      </c>
      <c r="F17" s="18" t="n">
        <v>18345</v>
      </c>
      <c r="AT17" s="3"/>
      <c r="AU17" s="3"/>
      <c r="AV17" s="3"/>
      <c r="AW17" s="3"/>
      <c r="AZ17" s="18"/>
      <c r="BA17" s="18"/>
      <c r="BB17" s="18"/>
      <c r="BC17" s="18"/>
      <c r="BJ17" s="3"/>
      <c r="BK17" s="3"/>
      <c r="BL17" s="3"/>
      <c r="BM17" s="3"/>
      <c r="BN17" s="3"/>
      <c r="BO17" s="3"/>
    </row>
    <row r="18" customFormat="false" ht="12.8" hidden="false" customHeight="false" outlineLevel="0" collapsed="false">
      <c r="A18" s="46" t="str">
        <f aca="false">_xlfn.CONCAT($A$1, ".CALC.", CALC!A49)</f>
        <v>LSD.RID.0.AL.FPPTREV.CALC.14</v>
      </c>
      <c r="B18" s="50" t="str">
        <f aca="false">CALC!C49</f>
        <v>Finance and Insurance</v>
      </c>
      <c r="C18" s="18" t="n">
        <v>32032</v>
      </c>
      <c r="D18" s="18" t="n">
        <v>32352</v>
      </c>
      <c r="E18" s="18" t="n">
        <v>24887</v>
      </c>
      <c r="F18" s="18" t="n">
        <v>32099</v>
      </c>
      <c r="AT18" s="3"/>
      <c r="AU18" s="3"/>
      <c r="AV18" s="3"/>
      <c r="AW18" s="3"/>
      <c r="AZ18" s="18"/>
      <c r="BA18" s="18"/>
      <c r="BB18" s="18"/>
      <c r="BC18" s="18"/>
      <c r="BJ18" s="3"/>
      <c r="BK18" s="3"/>
      <c r="BL18" s="3"/>
      <c r="BM18" s="3"/>
      <c r="BN18" s="3"/>
      <c r="BO18" s="3"/>
    </row>
    <row r="19" customFormat="false" ht="12.8" hidden="false" customHeight="false" outlineLevel="0" collapsed="false">
      <c r="A19" s="46" t="str">
        <f aca="false">_xlfn.CONCAT($A$1, ".CALC.", CALC!A50)</f>
        <v>LSD.RID.0.AL.FPPTREV.CALC.15</v>
      </c>
      <c r="B19" s="50" t="str">
        <f aca="false">CALC!C50</f>
        <v>Real Estate and Rental and Leasing</v>
      </c>
      <c r="C19" s="18" t="n">
        <v>10880</v>
      </c>
      <c r="D19" s="18" t="n">
        <v>11098</v>
      </c>
      <c r="E19" s="18" t="n">
        <v>7616</v>
      </c>
      <c r="F19" s="18" t="n">
        <v>10930</v>
      </c>
      <c r="AT19" s="3"/>
      <c r="AU19" s="3"/>
      <c r="AV19" s="3"/>
      <c r="AW19" s="3"/>
      <c r="AZ19" s="18"/>
      <c r="BA19" s="18"/>
      <c r="BB19" s="18"/>
      <c r="BC19" s="18"/>
      <c r="BJ19" s="3"/>
      <c r="BK19" s="3"/>
      <c r="BL19" s="3"/>
      <c r="BM19" s="3"/>
      <c r="BN19" s="3"/>
      <c r="BO19" s="3"/>
    </row>
    <row r="20" customFormat="false" ht="22.8" hidden="false" customHeight="false" outlineLevel="0" collapsed="false">
      <c r="A20" s="46" t="str">
        <f aca="false">_xlfn.CONCAT($A$1, ".CALC.", CALC!A51)</f>
        <v>LSD.RID.0.AL.FPPTREV.CALC.16</v>
      </c>
      <c r="B20" s="50" t="str">
        <f aca="false">CALC!C51</f>
        <v>Professional, Scientific, and Technical Services</v>
      </c>
      <c r="C20" s="18" t="n">
        <v>24188</v>
      </c>
      <c r="D20" s="18" t="n">
        <v>24430</v>
      </c>
      <c r="E20" s="18" t="n">
        <v>19522</v>
      </c>
      <c r="F20" s="18" t="n">
        <v>24248</v>
      </c>
      <c r="AT20" s="3"/>
      <c r="AU20" s="3"/>
      <c r="AV20" s="3"/>
      <c r="AW20" s="3"/>
      <c r="AZ20" s="18"/>
      <c r="BA20" s="18"/>
      <c r="BB20" s="18"/>
      <c r="BC20" s="18"/>
      <c r="BJ20" s="3"/>
      <c r="BK20" s="3"/>
      <c r="BL20" s="3"/>
      <c r="BM20" s="3"/>
      <c r="BN20" s="3"/>
      <c r="BO20" s="3"/>
    </row>
    <row r="21" customFormat="false" ht="22.8" hidden="false" customHeight="false" outlineLevel="0" collapsed="false">
      <c r="A21" s="46" t="str">
        <f aca="false">_xlfn.CONCAT($A$1, ".CALC.", CALC!A52)</f>
        <v>LSD.RID.0.AL.FPPTREV.CALC.17</v>
      </c>
      <c r="B21" s="50" t="str">
        <f aca="false">CALC!C52</f>
        <v>Administrative and Support and Waste Management and Remediation Services</v>
      </c>
      <c r="C21" s="18" t="n">
        <v>5400</v>
      </c>
      <c r="D21" s="18" t="n">
        <v>5535</v>
      </c>
      <c r="E21" s="18" t="n">
        <v>3240</v>
      </c>
      <c r="F21" s="18" t="n">
        <v>5423</v>
      </c>
      <c r="AT21" s="3"/>
      <c r="AU21" s="3"/>
      <c r="AV21" s="3"/>
      <c r="AW21" s="3"/>
      <c r="AZ21" s="18"/>
      <c r="BA21" s="18"/>
      <c r="BB21" s="18"/>
      <c r="BC21" s="18"/>
      <c r="BJ21" s="3"/>
      <c r="BK21" s="3"/>
      <c r="BL21" s="3"/>
      <c r="BM21" s="3"/>
      <c r="BN21" s="3"/>
      <c r="BO21" s="3"/>
    </row>
    <row r="22" customFormat="false" ht="12.8" hidden="false" customHeight="false" outlineLevel="0" collapsed="false">
      <c r="A22" s="46" t="str">
        <f aca="false">_xlfn.CONCAT($A$1, ".CALC.", CALC!A53)</f>
        <v>LSD.RID.0.AL.FPPTREV.CALC.18</v>
      </c>
      <c r="B22" s="50" t="str">
        <f aca="false">CALC!C53</f>
        <v>Educational Services</v>
      </c>
      <c r="C22" s="18" t="n">
        <v>12285</v>
      </c>
      <c r="D22" s="18" t="n">
        <v>12470</v>
      </c>
      <c r="E22" s="18" t="n">
        <v>8833</v>
      </c>
      <c r="F22" s="18" t="n">
        <v>12332</v>
      </c>
      <c r="AT22" s="3"/>
      <c r="AU22" s="3"/>
      <c r="AV22" s="3"/>
      <c r="AW22" s="3"/>
      <c r="AZ22" s="18"/>
      <c r="BA22" s="18"/>
      <c r="BB22" s="18"/>
      <c r="BC22" s="18"/>
      <c r="BJ22" s="3"/>
      <c r="BK22" s="3"/>
      <c r="BL22" s="3"/>
      <c r="BM22" s="3"/>
      <c r="BN22" s="3"/>
      <c r="BO22" s="3"/>
    </row>
    <row r="23" customFormat="false" ht="12.8" hidden="false" customHeight="false" outlineLevel="0" collapsed="false">
      <c r="A23" s="46" t="str">
        <f aca="false">_xlfn.CONCAT($A$1, ".CALC.", CALC!A54)</f>
        <v>LSD.RID.0.AL.FPPTREV.CALC.19</v>
      </c>
      <c r="B23" s="50" t="str">
        <f aca="false">CALC!C54</f>
        <v>Health Care and Social Assistance</v>
      </c>
      <c r="C23" s="18" t="n">
        <v>13300</v>
      </c>
      <c r="D23" s="18" t="n">
        <v>13503</v>
      </c>
      <c r="E23" s="18" t="n">
        <v>9576</v>
      </c>
      <c r="F23" s="18" t="n">
        <v>13348</v>
      </c>
      <c r="AT23" s="3"/>
      <c r="AU23" s="3"/>
      <c r="AV23" s="3"/>
      <c r="AW23" s="3"/>
      <c r="AZ23" s="18"/>
      <c r="BA23" s="18"/>
      <c r="BB23" s="18"/>
      <c r="BC23" s="18"/>
      <c r="BJ23" s="3"/>
      <c r="BK23" s="3"/>
      <c r="BL23" s="3"/>
      <c r="BM23" s="3"/>
      <c r="BN23" s="3"/>
      <c r="BO23" s="3"/>
    </row>
    <row r="24" customFormat="false" ht="12.8" hidden="false" customHeight="false" outlineLevel="0" collapsed="false">
      <c r="A24" s="46" t="str">
        <f aca="false">_xlfn.CONCAT($A$1, ".CALC.", CALC!A55)</f>
        <v>LSD.RID.0.AL.FPPTREV.CALC.20</v>
      </c>
      <c r="B24" s="50" t="str">
        <f aca="false">CALC!C55</f>
        <v>Arts, Entertainment,and Recreation</v>
      </c>
      <c r="C24" s="18" t="n">
        <v>4420</v>
      </c>
      <c r="D24" s="18" t="n">
        <v>4531</v>
      </c>
      <c r="E24" s="18" t="n">
        <v>2564</v>
      </c>
      <c r="F24" s="18" t="n">
        <v>4437</v>
      </c>
      <c r="AT24" s="3"/>
      <c r="AU24" s="3"/>
      <c r="AV24" s="3"/>
      <c r="AW24" s="3"/>
      <c r="AZ24" s="18"/>
      <c r="BA24" s="18"/>
      <c r="BB24" s="18"/>
      <c r="BC24" s="18"/>
      <c r="BJ24" s="3"/>
      <c r="BK24" s="3"/>
      <c r="BL24" s="3"/>
      <c r="BM24" s="3"/>
      <c r="BN24" s="3"/>
      <c r="BO24" s="3"/>
    </row>
    <row r="25" customFormat="false" ht="12.8" hidden="false" customHeight="false" outlineLevel="0" collapsed="false">
      <c r="A25" s="46" t="str">
        <f aca="false">_xlfn.CONCAT($A$1, ".CALC.", CALC!A56)</f>
        <v>LSD.RID.0.AL.FPPTREV.CALC.21</v>
      </c>
      <c r="B25" s="50" t="str">
        <f aca="false">CALC!C56</f>
        <v>Accommodation and Food Services</v>
      </c>
      <c r="C25" s="18" t="n">
        <v>2304</v>
      </c>
      <c r="D25" s="18" t="n">
        <v>2385</v>
      </c>
      <c r="E25" s="18" t="n">
        <v>1267</v>
      </c>
      <c r="F25" s="18" t="n">
        <v>2315</v>
      </c>
      <c r="AT25" s="3"/>
      <c r="AU25" s="3"/>
      <c r="AV25" s="3"/>
      <c r="AW25" s="3"/>
      <c r="AZ25" s="18"/>
      <c r="BA25" s="18"/>
      <c r="BB25" s="18"/>
      <c r="BC25" s="18"/>
      <c r="BJ25" s="3"/>
      <c r="BK25" s="3"/>
      <c r="BL25" s="3"/>
      <c r="BM25" s="3"/>
      <c r="BN25" s="3"/>
      <c r="BO25" s="3"/>
    </row>
    <row r="26" customFormat="false" ht="22.8" hidden="false" customHeight="false" outlineLevel="0" collapsed="false">
      <c r="A26" s="46" t="str">
        <f aca="false">_xlfn.CONCAT($A$1, ".CALC.", CALC!A57)</f>
        <v>LSD.RID.0.AL.FPPTREV.CALC.22</v>
      </c>
      <c r="B26" s="50" t="str">
        <f aca="false">CALC!C57</f>
        <v>Other Services (except Public Administration)</v>
      </c>
      <c r="C26" s="18" t="n">
        <v>6475</v>
      </c>
      <c r="D26" s="18" t="n">
        <v>6659</v>
      </c>
      <c r="E26" s="18" t="n">
        <v>3885</v>
      </c>
      <c r="F26" s="18" t="n">
        <v>6501</v>
      </c>
      <c r="AT26" s="3"/>
      <c r="AU26" s="3"/>
      <c r="AV26" s="3"/>
      <c r="AW26" s="3"/>
      <c r="AZ26" s="18"/>
      <c r="BA26" s="18"/>
      <c r="BB26" s="18"/>
      <c r="BC26" s="18"/>
      <c r="BJ26" s="3"/>
      <c r="BK26" s="3"/>
      <c r="BL26" s="3"/>
      <c r="BM26" s="3"/>
      <c r="BN26" s="3"/>
      <c r="BO26" s="3"/>
    </row>
    <row r="27" customFormat="false" ht="12.8" hidden="false" customHeight="false" outlineLevel="0" collapsed="false">
      <c r="A27" s="46" t="str">
        <f aca="false">_xlfn.CONCAT($A$1, ".CALC.", CALC!A58)</f>
        <v>LSD.RID.0.AL.FPPTREV.CALC.23</v>
      </c>
      <c r="B27" s="50" t="str">
        <f aca="false">CALC!C58</f>
        <v>Public Administration</v>
      </c>
      <c r="C27" s="18" t="n">
        <v>14560</v>
      </c>
      <c r="D27" s="18" t="n">
        <v>14792</v>
      </c>
      <c r="E27" s="18" t="n">
        <v>10980</v>
      </c>
      <c r="F27" s="18" t="n">
        <v>14608</v>
      </c>
      <c r="AT27" s="3"/>
      <c r="AU27" s="3"/>
      <c r="AV27" s="3"/>
      <c r="AW27" s="3"/>
      <c r="AZ27" s="18"/>
      <c r="BA27" s="18"/>
      <c r="BB27" s="18"/>
      <c r="BC27" s="18"/>
      <c r="BJ27" s="3"/>
      <c r="BK27" s="3"/>
      <c r="BL27" s="3"/>
      <c r="BM27" s="3"/>
      <c r="BN27" s="3"/>
      <c r="BO27" s="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A7500"/>
    <pageSetUpPr fitToPage="false"/>
  </sheetPr>
  <dimension ref="A1:BP5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B2" activeCellId="0" sqref="B2"/>
    </sheetView>
  </sheetViews>
  <sheetFormatPr defaultColWidth="11.53515625" defaultRowHeight="12.8" customHeight="false" zeroHeight="false" outlineLevelRow="0" outlineLevelCol="0"/>
  <cols>
    <col collapsed="false" customWidth="true" hidden="false" outlineLevel="0" max="1" min="1" style="17" width="25.37"/>
    <col collapsed="false" customWidth="true" hidden="false" outlineLevel="0" max="2" min="2" style="18" width="36.9"/>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3272</v>
      </c>
      <c r="B1" s="12" t="s">
        <v>3273</v>
      </c>
      <c r="C1" s="6" t="s">
        <v>2</v>
      </c>
      <c r="D1" s="48"/>
      <c r="AZ1" s="18"/>
      <c r="BP1" s="18"/>
    </row>
    <row r="2" customFormat="false" ht="12.8" hidden="false" customHeight="false" outlineLevel="0" collapsed="false">
      <c r="A2" s="46" t="str">
        <f aca="false">_xlfn.CONCAT($A$1, ".", "CALC")</f>
        <v>LSD.RID.0.AL.EITCREF.CALC</v>
      </c>
      <c r="B2" s="47" t="str">
        <f aca="false">_xlfn.CONCAT($B$1, " ", "Calculations")</f>
        <v>Alabama Earned Income Tax Credit Refund (EITC) Calculations</v>
      </c>
      <c r="C2" s="62"/>
      <c r="D2" s="61"/>
      <c r="E2" s="61"/>
      <c r="F2" s="61"/>
    </row>
    <row r="3" customFormat="false" ht="12.8" hidden="false" customHeight="false" outlineLevel="0" collapsed="false">
      <c r="A3" s="46" t="str">
        <f aca="false">CALC!A34</f>
        <v>LSID</v>
      </c>
      <c r="B3" s="22" t="str">
        <f aca="false">CALC!C34</f>
        <v>Labor Sector</v>
      </c>
      <c r="C3" s="62"/>
      <c r="D3" s="61"/>
      <c r="E3" s="61"/>
      <c r="F3" s="61"/>
    </row>
    <row r="4" customFormat="false" ht="12.8" hidden="false" customHeight="false" outlineLevel="0" collapsed="false">
      <c r="A4" s="46" t="str">
        <f aca="false">_xlfn.CONCAT($A$1, ".CALC.", CALC!A35)</f>
        <v>LSD.RID.0.AL.EITCREF.CALC.0</v>
      </c>
      <c r="B4" s="22" t="str">
        <f aca="false">CALC!C35</f>
        <v>All Industries</v>
      </c>
      <c r="C4" s="62"/>
      <c r="D4" s="63"/>
      <c r="E4" s="63"/>
      <c r="F4" s="63"/>
    </row>
    <row r="5" customFormat="false" ht="12.8" hidden="false" customHeight="false" outlineLevel="0" collapsed="false">
      <c r="A5" s="46" t="str">
        <f aca="false">_xlfn.CONCAT($A$1, ".CALC.", CALC!A36)</f>
        <v>LSD.RID.0.AL.EITCREF.CALC.1</v>
      </c>
      <c r="B5" s="50" t="str">
        <f aca="false">CALC!C36</f>
        <v>Agriculture, Forestry, Fishing and Hunting</v>
      </c>
      <c r="C5" s="62"/>
      <c r="D5" s="63"/>
      <c r="E5" s="63"/>
      <c r="F5" s="63"/>
    </row>
    <row r="6" customFormat="false" ht="22.8" hidden="false" customHeight="false" outlineLevel="0" collapsed="false">
      <c r="A6" s="46" t="str">
        <f aca="false">_xlfn.CONCAT($A$1, ".CALC.", CALC!A37)</f>
        <v>LSD.RID.0.AL.EITCREF.CALC.2</v>
      </c>
      <c r="B6" s="50" t="str">
        <f aca="false">CALC!C37</f>
        <v>Mining, Quarrying, and Oil and Gas Extraction</v>
      </c>
      <c r="C6" s="62"/>
      <c r="D6" s="63"/>
      <c r="E6" s="63"/>
      <c r="F6" s="63"/>
    </row>
    <row r="7" customFormat="false" ht="12.8" hidden="false" customHeight="false" outlineLevel="0" collapsed="false">
      <c r="A7" s="46" t="str">
        <f aca="false">_xlfn.CONCAT($A$1, ".CALC.", CALC!A38)</f>
        <v>LSD.RID.0.AL.EITCREF.CALC.3</v>
      </c>
      <c r="B7" s="22" t="str">
        <f aca="false">CALC!C38</f>
        <v>Utilities</v>
      </c>
      <c r="C7" s="62"/>
      <c r="D7" s="63"/>
      <c r="E7" s="63"/>
      <c r="F7" s="63"/>
    </row>
    <row r="8" customFormat="false" ht="12.8" hidden="false" customHeight="false" outlineLevel="0" collapsed="false">
      <c r="A8" s="46" t="str">
        <f aca="false">_xlfn.CONCAT($A$1, ".CALC.", CALC!A39)</f>
        <v>LSD.RID.0.AL.EITCREF.CALC.4</v>
      </c>
      <c r="B8" s="22" t="str">
        <f aca="false">CALC!C39</f>
        <v>Construction</v>
      </c>
      <c r="C8" s="62"/>
      <c r="D8" s="63"/>
      <c r="E8" s="63"/>
      <c r="F8" s="63"/>
    </row>
    <row r="9" customFormat="false" ht="12.8" hidden="false" customHeight="false" outlineLevel="0" collapsed="false">
      <c r="A9" s="46" t="str">
        <f aca="false">_xlfn.CONCAT($A$1, ".CALC.", CALC!A40)</f>
        <v>LSD.RID.0.AL.EITCREF.CALC.5</v>
      </c>
      <c r="B9" s="50" t="str">
        <f aca="false">CALC!C40</f>
        <v>Manufacturing (Food,Textile, etc.)</v>
      </c>
      <c r="C9" s="62"/>
      <c r="D9" s="63"/>
      <c r="E9" s="63"/>
      <c r="F9" s="63"/>
    </row>
    <row r="10" customFormat="false" ht="22.8" hidden="false" customHeight="false" outlineLevel="0" collapsed="false">
      <c r="A10" s="46" t="str">
        <f aca="false">_xlfn.CONCAT($A$1, ".CALC.", CALC!A41)</f>
        <v>LSD.RID.0.AL.EITCREF.CALC.6</v>
      </c>
      <c r="B10" s="50" t="str">
        <f aca="false">CALC!C41</f>
        <v>Manufacturing (Wood, Paper, Printing, etc.)</v>
      </c>
      <c r="C10" s="62"/>
      <c r="D10" s="63"/>
      <c r="E10" s="63"/>
      <c r="F10" s="63"/>
    </row>
    <row r="11" customFormat="false" ht="12.8" hidden="false" customHeight="false" outlineLevel="0" collapsed="false">
      <c r="A11" s="46" t="str">
        <f aca="false">_xlfn.CONCAT($A$1, ".CALC.", CALC!A42)</f>
        <v>LSD.RID.0.AL.EITCREF.CALC.7</v>
      </c>
      <c r="B11" s="50" t="str">
        <f aca="false">CALC!C42</f>
        <v>Manufacturing (Machinery, Transport)</v>
      </c>
      <c r="C11" s="62"/>
      <c r="D11" s="63"/>
      <c r="E11" s="63"/>
      <c r="F11" s="63"/>
    </row>
    <row r="12" customFormat="false" ht="12.8" hidden="false" customHeight="false" outlineLevel="0" collapsed="false">
      <c r="A12" s="46" t="str">
        <f aca="false">_xlfn.CONCAT($A$1, ".CALC.", CALC!A43)</f>
        <v>LSD.RID.0.AL.EITCREF.CALC.8</v>
      </c>
      <c r="B12" s="22" t="str">
        <f aca="false">CALC!C43</f>
        <v>Wholesale Trade</v>
      </c>
      <c r="C12" s="62"/>
      <c r="D12" s="63"/>
      <c r="E12" s="63"/>
      <c r="F12" s="63"/>
    </row>
    <row r="13" customFormat="false" ht="12.8" hidden="false" customHeight="false" outlineLevel="0" collapsed="false">
      <c r="A13" s="46" t="str">
        <f aca="false">_xlfn.CONCAT($A$1, ".CALC.", CALC!A44)</f>
        <v>LSD.RID.0.AL.EITCREF.CALC.9</v>
      </c>
      <c r="B13" s="50" t="str">
        <f aca="false">CALC!C44</f>
        <v>Retail Trade (Motor Vehicle, Electronics)</v>
      </c>
      <c r="C13" s="62"/>
      <c r="D13" s="63"/>
      <c r="E13" s="63"/>
      <c r="F13" s="63"/>
    </row>
    <row r="14" customFormat="false" ht="22.8" hidden="false" customHeight="false" outlineLevel="0" collapsed="false">
      <c r="A14" s="46" t="str">
        <f aca="false">_xlfn.CONCAT($A$1, ".CALC.", CALC!A45)</f>
        <v>LSD.RID.0.AL.EITCREF.CALC.10</v>
      </c>
      <c r="B14" s="50" t="str">
        <f aca="false">CALC!C45</f>
        <v>Retail Trade (Food, Clothing, General Merchandise, etc.)</v>
      </c>
      <c r="C14" s="62"/>
      <c r="D14" s="63"/>
      <c r="E14" s="63"/>
      <c r="F14" s="63"/>
    </row>
    <row r="15" customFormat="false" ht="12.8" hidden="false" customHeight="false" outlineLevel="0" collapsed="false">
      <c r="A15" s="46" t="str">
        <f aca="false">_xlfn.CONCAT($A$1, ".CALC.", CALC!A46)</f>
        <v>LSD.RID.0.AL.EITCREF.CALC.11</v>
      </c>
      <c r="B15" s="22" t="str">
        <f aca="false">CALC!C46</f>
        <v>Transportation</v>
      </c>
      <c r="C15" s="62"/>
      <c r="D15" s="63"/>
      <c r="E15" s="63"/>
      <c r="F15" s="63"/>
    </row>
    <row r="16" customFormat="false" ht="12.8" hidden="false" customHeight="false" outlineLevel="0" collapsed="false">
      <c r="A16" s="46" t="str">
        <f aca="false">_xlfn.CONCAT($A$1, ".CALC.", CALC!A47)</f>
        <v>LSD.RID.0.AL.EITCREF.CALC.12</v>
      </c>
      <c r="B16" s="22" t="str">
        <f aca="false">CALC!C47</f>
        <v>Warehousing and Storage</v>
      </c>
      <c r="C16" s="62"/>
      <c r="D16" s="63"/>
      <c r="E16" s="63"/>
      <c r="F16" s="63"/>
    </row>
    <row r="17" customFormat="false" ht="12.8" hidden="false" customHeight="false" outlineLevel="0" collapsed="false">
      <c r="A17" s="46" t="str">
        <f aca="false">_xlfn.CONCAT($A$1, ".CALC.", CALC!A48)</f>
        <v>LSD.RID.0.AL.EITCREF.CALC.13</v>
      </c>
      <c r="B17" s="22" t="str">
        <f aca="false">CALC!C48</f>
        <v>Information</v>
      </c>
      <c r="C17" s="62"/>
      <c r="D17" s="63"/>
      <c r="E17" s="63"/>
      <c r="F17" s="63"/>
    </row>
    <row r="18" customFormat="false" ht="12.8" hidden="false" customHeight="false" outlineLevel="0" collapsed="false">
      <c r="A18" s="46" t="str">
        <f aca="false">_xlfn.CONCAT($A$1, ".CALC.", CALC!A49)</f>
        <v>LSD.RID.0.AL.EITCREF.CALC.14</v>
      </c>
      <c r="B18" s="22" t="str">
        <f aca="false">CALC!C49</f>
        <v>Finance and Insurance</v>
      </c>
      <c r="C18" s="62"/>
      <c r="D18" s="63"/>
      <c r="E18" s="63"/>
      <c r="F18" s="63"/>
    </row>
    <row r="19" customFormat="false" ht="12.8" hidden="false" customHeight="false" outlineLevel="0" collapsed="false">
      <c r="A19" s="46" t="str">
        <f aca="false">_xlfn.CONCAT($A$1, ".CALC.", CALC!A50)</f>
        <v>LSD.RID.0.AL.EITCREF.CALC.15</v>
      </c>
      <c r="B19" s="50" t="str">
        <f aca="false">CALC!C50</f>
        <v>Real Estate and Rental and Leasing</v>
      </c>
      <c r="C19" s="62"/>
      <c r="D19" s="63"/>
      <c r="E19" s="63"/>
      <c r="F19" s="63"/>
    </row>
    <row r="20" customFormat="false" ht="22.8" hidden="false" customHeight="false" outlineLevel="0" collapsed="false">
      <c r="A20" s="46" t="str">
        <f aca="false">_xlfn.CONCAT($A$1, ".CALC.", CALC!A51)</f>
        <v>LSD.RID.0.AL.EITCREF.CALC.16</v>
      </c>
      <c r="B20" s="50" t="str">
        <f aca="false">CALC!C51</f>
        <v>Professional, Scientific, and Technical Services</v>
      </c>
      <c r="C20" s="62"/>
      <c r="D20" s="63"/>
      <c r="E20" s="63"/>
      <c r="F20" s="63"/>
    </row>
    <row r="21" customFormat="false" ht="22.8" hidden="false" customHeight="false" outlineLevel="0" collapsed="false">
      <c r="A21" s="46" t="str">
        <f aca="false">_xlfn.CONCAT($A$1, ".CALC.", CALC!A52)</f>
        <v>LSD.RID.0.AL.EITCREF.CALC.17</v>
      </c>
      <c r="B21" s="50" t="str">
        <f aca="false">CALC!C52</f>
        <v>Administrative and Support and Waste Management and Remediation Services</v>
      </c>
      <c r="C21" s="62"/>
      <c r="D21" s="63"/>
      <c r="E21" s="63"/>
      <c r="F21" s="63"/>
    </row>
    <row r="22" customFormat="false" ht="12.8" hidden="false" customHeight="false" outlineLevel="0" collapsed="false">
      <c r="A22" s="46" t="str">
        <f aca="false">_xlfn.CONCAT($A$1, ".CALC.", CALC!A53)</f>
        <v>LSD.RID.0.AL.EITCREF.CALC.18</v>
      </c>
      <c r="B22" s="22" t="str">
        <f aca="false">CALC!C53</f>
        <v>Educational Services</v>
      </c>
      <c r="C22" s="62"/>
      <c r="D22" s="63"/>
      <c r="E22" s="63"/>
      <c r="F22" s="63"/>
    </row>
    <row r="23" customFormat="false" ht="12.8" hidden="false" customHeight="false" outlineLevel="0" collapsed="false">
      <c r="A23" s="46" t="str">
        <f aca="false">_xlfn.CONCAT($A$1, ".CALC.", CALC!A54)</f>
        <v>LSD.RID.0.AL.EITCREF.CALC.19</v>
      </c>
      <c r="B23" s="50" t="str">
        <f aca="false">CALC!C54</f>
        <v>Health Care and Social Assistance</v>
      </c>
      <c r="C23" s="62"/>
      <c r="D23" s="63"/>
      <c r="E23" s="63"/>
      <c r="F23" s="63"/>
    </row>
    <row r="24" customFormat="false" ht="12.8" hidden="false" customHeight="false" outlineLevel="0" collapsed="false">
      <c r="A24" s="46" t="str">
        <f aca="false">_xlfn.CONCAT($A$1, ".CALC.", CALC!A55)</f>
        <v>LSD.RID.0.AL.EITCREF.CALC.20</v>
      </c>
      <c r="B24" s="50" t="str">
        <f aca="false">CALC!C55</f>
        <v>Arts, Entertainment,and Recreation</v>
      </c>
      <c r="C24" s="62"/>
      <c r="D24" s="63"/>
      <c r="E24" s="63"/>
      <c r="F24" s="63"/>
    </row>
    <row r="25" customFormat="false" ht="12.8" hidden="false" customHeight="false" outlineLevel="0" collapsed="false">
      <c r="A25" s="46" t="str">
        <f aca="false">_xlfn.CONCAT($A$1, ".CALC.", CALC!A56)</f>
        <v>LSD.RID.0.AL.EITCREF.CALC.21</v>
      </c>
      <c r="B25" s="50" t="str">
        <f aca="false">CALC!C56</f>
        <v>Accommodation and Food Services</v>
      </c>
      <c r="C25" s="62"/>
      <c r="D25" s="63"/>
      <c r="E25" s="63"/>
      <c r="F25" s="63"/>
    </row>
    <row r="26" customFormat="false" ht="22.8" hidden="false" customHeight="false" outlineLevel="0" collapsed="false">
      <c r="A26" s="46" t="str">
        <f aca="false">_xlfn.CONCAT($A$1, ".CALC.", CALC!A57)</f>
        <v>LSD.RID.0.AL.EITCREF.CALC.22</v>
      </c>
      <c r="B26" s="50" t="str">
        <f aca="false">CALC!C57</f>
        <v>Other Services (except Public Administration)</v>
      </c>
      <c r="C26" s="62"/>
      <c r="D26" s="63"/>
      <c r="E26" s="63"/>
      <c r="F26" s="63"/>
    </row>
    <row r="27" customFormat="false" ht="12.8" hidden="false" customHeight="false" outlineLevel="0" collapsed="false">
      <c r="A27" s="46" t="str">
        <f aca="false">_xlfn.CONCAT($A$1, ".CALC.", CALC!A58)</f>
        <v>LSD.RID.0.AL.EITCREF.CALC.23</v>
      </c>
      <c r="B27" s="22" t="str">
        <f aca="false">CALC!C58</f>
        <v>Public Administration</v>
      </c>
      <c r="D27" s="63"/>
      <c r="E27" s="63"/>
      <c r="F27" s="63"/>
    </row>
    <row r="28" customFormat="false" ht="12.8" hidden="false" customHeight="false" outlineLevel="0" collapsed="false">
      <c r="B28" s="51"/>
      <c r="C28" s="63"/>
      <c r="D28" s="63"/>
      <c r="E28" s="63"/>
      <c r="F28" s="63"/>
    </row>
    <row r="29" customFormat="false" ht="12.8" hidden="false" customHeight="false" outlineLevel="0" collapsed="false">
      <c r="B29" s="51"/>
      <c r="C29" s="63"/>
      <c r="D29" s="63"/>
      <c r="E29" s="63"/>
      <c r="F29" s="63"/>
    </row>
    <row r="30" customFormat="false" ht="12.8" hidden="false" customHeight="false" outlineLevel="0" collapsed="false">
      <c r="B30" s="51"/>
      <c r="C30" s="63"/>
      <c r="D30" s="63"/>
      <c r="E30" s="63"/>
      <c r="F30" s="63"/>
    </row>
    <row r="31" customFormat="false" ht="12.8" hidden="false" customHeight="false" outlineLevel="0" collapsed="false">
      <c r="B31" s="51"/>
      <c r="C31" s="63"/>
      <c r="D31" s="63"/>
      <c r="E31" s="63"/>
      <c r="F31" s="63"/>
    </row>
    <row r="32" customFormat="false" ht="12.8" hidden="false" customHeight="false" outlineLevel="0" collapsed="false">
      <c r="B32" s="51"/>
      <c r="C32" s="63"/>
      <c r="D32" s="63"/>
      <c r="E32" s="63"/>
      <c r="F32" s="63"/>
    </row>
    <row r="33" customFormat="false" ht="12.8" hidden="false" customHeight="false" outlineLevel="0" collapsed="false">
      <c r="B33" s="51"/>
      <c r="C33" s="63"/>
      <c r="D33" s="63"/>
      <c r="E33" s="63"/>
      <c r="F33" s="63"/>
    </row>
    <row r="34" customFormat="false" ht="12.8" hidden="false" customHeight="false" outlineLevel="0" collapsed="false">
      <c r="B34" s="51"/>
      <c r="C34" s="63"/>
      <c r="D34" s="63"/>
      <c r="E34" s="63"/>
      <c r="F34" s="63"/>
    </row>
    <row r="35" customFormat="false" ht="12.8" hidden="false" customHeight="false" outlineLevel="0" collapsed="false">
      <c r="B35" s="51"/>
      <c r="C35" s="63"/>
      <c r="D35" s="63"/>
      <c r="E35" s="63"/>
      <c r="F35" s="63"/>
    </row>
    <row r="36" customFormat="false" ht="12.8" hidden="false" customHeight="false" outlineLevel="0" collapsed="false">
      <c r="B36" s="51"/>
      <c r="C36" s="63"/>
      <c r="D36" s="63"/>
      <c r="E36" s="63"/>
      <c r="F36" s="63"/>
    </row>
    <row r="37" customFormat="false" ht="12.8" hidden="false" customHeight="false" outlineLevel="0" collapsed="false">
      <c r="B37" s="51"/>
      <c r="C37" s="63"/>
      <c r="D37" s="63"/>
      <c r="E37" s="63"/>
      <c r="F37" s="63"/>
    </row>
    <row r="38" customFormat="false" ht="12.8" hidden="false" customHeight="false" outlineLevel="0" collapsed="false">
      <c r="B38" s="51"/>
      <c r="C38" s="63"/>
      <c r="D38" s="63"/>
      <c r="E38" s="63"/>
      <c r="F38" s="63"/>
    </row>
    <row r="39" customFormat="false" ht="12.8" hidden="false" customHeight="false" outlineLevel="0" collapsed="false">
      <c r="B39" s="51"/>
      <c r="C39" s="63"/>
      <c r="D39" s="63"/>
      <c r="E39" s="63"/>
      <c r="F39" s="63"/>
    </row>
    <row r="40" customFormat="false" ht="12.8" hidden="false" customHeight="false" outlineLevel="0" collapsed="false">
      <c r="B40" s="51"/>
      <c r="C40" s="63"/>
      <c r="D40" s="63"/>
      <c r="E40" s="63"/>
      <c r="F40" s="63"/>
    </row>
    <row r="41" customFormat="false" ht="12.8" hidden="false" customHeight="false" outlineLevel="0" collapsed="false">
      <c r="B41" s="51"/>
      <c r="C41" s="63"/>
      <c r="D41" s="63"/>
      <c r="E41" s="63"/>
      <c r="F41" s="63"/>
    </row>
    <row r="42" customFormat="false" ht="12.8" hidden="false" customHeight="false" outlineLevel="0" collapsed="false">
      <c r="B42" s="51"/>
      <c r="C42" s="63"/>
      <c r="D42" s="63"/>
      <c r="E42" s="63"/>
      <c r="F42" s="63"/>
    </row>
    <row r="43" customFormat="false" ht="12.8" hidden="false" customHeight="false" outlineLevel="0" collapsed="false">
      <c r="B43" s="51"/>
      <c r="C43" s="63"/>
      <c r="D43" s="63"/>
      <c r="E43" s="63"/>
      <c r="F43" s="63"/>
    </row>
    <row r="44" customFormat="false" ht="12.8" hidden="false" customHeight="false" outlineLevel="0" collapsed="false">
      <c r="B44" s="51"/>
      <c r="C44" s="63"/>
      <c r="D44" s="63"/>
      <c r="E44" s="63"/>
      <c r="F44" s="63"/>
    </row>
    <row r="45" customFormat="false" ht="12.8" hidden="false" customHeight="false" outlineLevel="0" collapsed="false">
      <c r="B45" s="51"/>
      <c r="C45" s="63"/>
      <c r="D45" s="63"/>
      <c r="E45" s="63"/>
      <c r="F45" s="63"/>
    </row>
    <row r="46" customFormat="false" ht="12.8" hidden="false" customHeight="false" outlineLevel="0" collapsed="false">
      <c r="B46" s="51"/>
      <c r="C46" s="63"/>
      <c r="D46" s="63"/>
      <c r="E46" s="63"/>
      <c r="F46" s="63"/>
    </row>
    <row r="47" customFormat="false" ht="12.8" hidden="false" customHeight="false" outlineLevel="0" collapsed="false">
      <c r="B47" s="51"/>
      <c r="C47" s="63"/>
      <c r="D47" s="63"/>
      <c r="E47" s="63"/>
      <c r="F47" s="63"/>
    </row>
    <row r="48" customFormat="false" ht="12.8" hidden="false" customHeight="false" outlineLevel="0" collapsed="false">
      <c r="B48" s="51"/>
      <c r="C48" s="63"/>
      <c r="D48" s="63"/>
      <c r="E48" s="63"/>
      <c r="F48" s="63"/>
    </row>
    <row r="49" customFormat="false" ht="12.8" hidden="false" customHeight="false" outlineLevel="0" collapsed="false">
      <c r="B49" s="51"/>
      <c r="C49" s="63"/>
      <c r="D49" s="63"/>
      <c r="E49" s="63"/>
      <c r="F49" s="63"/>
    </row>
    <row r="50" customFormat="false" ht="12.8" hidden="false" customHeight="false" outlineLevel="0" collapsed="false">
      <c r="B50" s="51"/>
      <c r="C50" s="63"/>
      <c r="D50" s="63"/>
      <c r="E50" s="63"/>
      <c r="F50" s="63"/>
    </row>
    <row r="51" customFormat="false" ht="12.8" hidden="false" customHeight="false" outlineLevel="0" collapsed="false">
      <c r="B51" s="51"/>
      <c r="C51" s="63"/>
      <c r="D51" s="63"/>
      <c r="E51" s="63"/>
      <c r="F51" s="63"/>
    </row>
    <row r="52" customFormat="false" ht="12.8" hidden="false" customHeight="false" outlineLevel="0" collapsed="false">
      <c r="B52" s="51"/>
      <c r="C52" s="63"/>
      <c r="D52" s="63"/>
      <c r="E52" s="63"/>
      <c r="F52" s="63"/>
    </row>
    <row r="53" customFormat="false" ht="12.8" hidden="false" customHeight="false" outlineLevel="0" collapsed="false">
      <c r="B53" s="51"/>
      <c r="C53" s="63"/>
      <c r="D53" s="63"/>
      <c r="E53" s="63"/>
      <c r="F53" s="63"/>
    </row>
    <row r="54" customFormat="false" ht="12.8" hidden="false" customHeight="false" outlineLevel="0" collapsed="false">
      <c r="B54" s="51"/>
      <c r="C54" s="63"/>
      <c r="D54" s="63"/>
      <c r="E54" s="63"/>
      <c r="F54" s="63"/>
    </row>
    <row r="55" customFormat="false" ht="12.8" hidden="false" customHeight="false" outlineLevel="0" collapsed="false">
      <c r="B55" s="51"/>
      <c r="C55" s="63"/>
      <c r="D55" s="63"/>
      <c r="E55" s="63"/>
      <c r="F55" s="6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202"/>
    <pageSetUpPr fitToPage="false"/>
  </sheetPr>
  <dimension ref="A1:BP5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2" activeCellId="0" sqref="A2"/>
    </sheetView>
  </sheetViews>
  <sheetFormatPr defaultColWidth="11.53515625" defaultRowHeight="12.8" customHeight="false" zeroHeight="false" outlineLevelRow="0" outlineLevelCol="0"/>
  <cols>
    <col collapsed="false" customWidth="true" hidden="false" outlineLevel="0" max="1" min="1" style="17" width="13.84"/>
    <col collapsed="false" customWidth="true" hidden="false" outlineLevel="0" max="2" min="2" style="18" width="36.9"/>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3274</v>
      </c>
      <c r="B1" s="12" t="s">
        <v>3275</v>
      </c>
      <c r="C1" s="6" t="s">
        <v>2</v>
      </c>
      <c r="D1" s="48"/>
      <c r="AZ1" s="18"/>
      <c r="BP1" s="18"/>
    </row>
    <row r="2" customFormat="false" ht="12.8" hidden="false" customHeight="false" outlineLevel="0" collapsed="false">
      <c r="A2" s="46" t="str">
        <f aca="false">_xlfn.CONCAT($A$1, ".", "CALC")</f>
        <v>LSD.RID.0.AL.ACTCREF.CALC</v>
      </c>
      <c r="B2" s="47" t="str">
        <f aca="false">_xlfn.CONCAT($B$1, " ", "Calculations")</f>
        <v>Alabama Additional Child Tax Credit Refund (ACTC) Calculations</v>
      </c>
      <c r="C2" s="62"/>
      <c r="D2" s="61"/>
      <c r="E2" s="61"/>
      <c r="F2" s="61"/>
    </row>
    <row r="3" customFormat="false" ht="12.8" hidden="false" customHeight="false" outlineLevel="0" collapsed="false">
      <c r="A3" s="46" t="str">
        <f aca="false">CALC!A34</f>
        <v>LSID</v>
      </c>
      <c r="B3" s="22" t="str">
        <f aca="false">CALC!C34</f>
        <v>Labor Sector</v>
      </c>
      <c r="C3" s="62"/>
      <c r="D3" s="61"/>
      <c r="E3" s="61"/>
      <c r="F3" s="61"/>
    </row>
    <row r="4" customFormat="false" ht="12.8" hidden="false" customHeight="false" outlineLevel="0" collapsed="false">
      <c r="A4" s="46" t="str">
        <f aca="false">_xlfn.CONCAT($A$1, ".CALC.", CALC!A35)</f>
        <v>LSD.RID.0.AL.ACTCREF.CALC.0</v>
      </c>
      <c r="B4" s="22" t="str">
        <f aca="false">CALC!C35</f>
        <v>All Industries</v>
      </c>
      <c r="C4" s="62"/>
      <c r="D4" s="63"/>
      <c r="E4" s="63"/>
      <c r="F4" s="63"/>
    </row>
    <row r="5" customFormat="false" ht="12.8" hidden="false" customHeight="false" outlineLevel="0" collapsed="false">
      <c r="A5" s="46" t="str">
        <f aca="false">_xlfn.CONCAT($A$1, ".CALC.", CALC!A36)</f>
        <v>LSD.RID.0.AL.ACTCREF.CALC.1</v>
      </c>
      <c r="B5" s="50" t="str">
        <f aca="false">CALC!C36</f>
        <v>Agriculture, Forestry, Fishing and Hunting</v>
      </c>
      <c r="C5" s="62"/>
      <c r="D5" s="63"/>
      <c r="E5" s="63"/>
      <c r="F5" s="63"/>
    </row>
    <row r="6" customFormat="false" ht="22.8" hidden="false" customHeight="false" outlineLevel="0" collapsed="false">
      <c r="A6" s="46" t="str">
        <f aca="false">_xlfn.CONCAT($A$1, ".CALC.", CALC!A37)</f>
        <v>LSD.RID.0.AL.ACTCREF.CALC.2</v>
      </c>
      <c r="B6" s="50" t="str">
        <f aca="false">CALC!C37</f>
        <v>Mining, Quarrying, and Oil and Gas Extraction</v>
      </c>
      <c r="C6" s="62"/>
      <c r="D6" s="63"/>
      <c r="E6" s="63"/>
      <c r="F6" s="63"/>
    </row>
    <row r="7" customFormat="false" ht="12.8" hidden="false" customHeight="false" outlineLevel="0" collapsed="false">
      <c r="A7" s="46" t="str">
        <f aca="false">_xlfn.CONCAT($A$1, ".CALC.", CALC!A38)</f>
        <v>LSD.RID.0.AL.ACTCREF.CALC.3</v>
      </c>
      <c r="B7" s="22" t="str">
        <f aca="false">CALC!C38</f>
        <v>Utilities</v>
      </c>
      <c r="C7" s="62"/>
      <c r="D7" s="63"/>
      <c r="E7" s="63"/>
      <c r="F7" s="63"/>
    </row>
    <row r="8" customFormat="false" ht="12.8" hidden="false" customHeight="false" outlineLevel="0" collapsed="false">
      <c r="A8" s="46" t="str">
        <f aca="false">_xlfn.CONCAT($A$1, ".CALC.", CALC!A39)</f>
        <v>LSD.RID.0.AL.ACTCREF.CALC.4</v>
      </c>
      <c r="B8" s="22" t="str">
        <f aca="false">CALC!C39</f>
        <v>Construction</v>
      </c>
      <c r="C8" s="62"/>
      <c r="D8" s="63"/>
      <c r="E8" s="63"/>
      <c r="F8" s="63"/>
    </row>
    <row r="9" customFormat="false" ht="12.8" hidden="false" customHeight="false" outlineLevel="0" collapsed="false">
      <c r="A9" s="46" t="str">
        <f aca="false">_xlfn.CONCAT($A$1, ".CALC.", CALC!A40)</f>
        <v>LSD.RID.0.AL.ACTCREF.CALC.5</v>
      </c>
      <c r="B9" s="50" t="str">
        <f aca="false">CALC!C40</f>
        <v>Manufacturing (Food,Textile, etc.)</v>
      </c>
      <c r="C9" s="62"/>
      <c r="D9" s="63"/>
      <c r="E9" s="63"/>
      <c r="F9" s="63"/>
    </row>
    <row r="10" customFormat="false" ht="22.8" hidden="false" customHeight="false" outlineLevel="0" collapsed="false">
      <c r="A10" s="46" t="str">
        <f aca="false">_xlfn.CONCAT($A$1, ".CALC.", CALC!A41)</f>
        <v>LSD.RID.0.AL.ACTCREF.CALC.6</v>
      </c>
      <c r="B10" s="50" t="str">
        <f aca="false">CALC!C41</f>
        <v>Manufacturing (Wood, Paper, Printing, etc.)</v>
      </c>
      <c r="C10" s="62"/>
      <c r="D10" s="63"/>
      <c r="E10" s="63"/>
      <c r="F10" s="63"/>
    </row>
    <row r="11" customFormat="false" ht="12.8" hidden="false" customHeight="false" outlineLevel="0" collapsed="false">
      <c r="A11" s="46" t="str">
        <f aca="false">_xlfn.CONCAT($A$1, ".CALC.", CALC!A42)</f>
        <v>LSD.RID.0.AL.ACTCREF.CALC.7</v>
      </c>
      <c r="B11" s="50" t="str">
        <f aca="false">CALC!C42</f>
        <v>Manufacturing (Machinery, Transport)</v>
      </c>
      <c r="C11" s="62"/>
      <c r="D11" s="63"/>
      <c r="E11" s="63"/>
      <c r="F11" s="63"/>
    </row>
    <row r="12" customFormat="false" ht="12.8" hidden="false" customHeight="false" outlineLevel="0" collapsed="false">
      <c r="A12" s="46" t="str">
        <f aca="false">_xlfn.CONCAT($A$1, ".CALC.", CALC!A43)</f>
        <v>LSD.RID.0.AL.ACTCREF.CALC.8</v>
      </c>
      <c r="B12" s="22" t="str">
        <f aca="false">CALC!C43</f>
        <v>Wholesale Trade</v>
      </c>
      <c r="C12" s="62"/>
      <c r="D12" s="63"/>
      <c r="E12" s="63"/>
      <c r="F12" s="63"/>
    </row>
    <row r="13" customFormat="false" ht="12.8" hidden="false" customHeight="false" outlineLevel="0" collapsed="false">
      <c r="A13" s="46" t="str">
        <f aca="false">_xlfn.CONCAT($A$1, ".CALC.", CALC!A44)</f>
        <v>LSD.RID.0.AL.ACTCREF.CALC.9</v>
      </c>
      <c r="B13" s="50" t="str">
        <f aca="false">CALC!C44</f>
        <v>Retail Trade (Motor Vehicle, Electronics)</v>
      </c>
      <c r="C13" s="62"/>
      <c r="D13" s="63"/>
      <c r="E13" s="63"/>
      <c r="F13" s="63"/>
    </row>
    <row r="14" customFormat="false" ht="22.8" hidden="false" customHeight="false" outlineLevel="0" collapsed="false">
      <c r="A14" s="46" t="str">
        <f aca="false">_xlfn.CONCAT($A$1, ".CALC.", CALC!A45)</f>
        <v>LSD.RID.0.AL.ACTCREF.CALC.10</v>
      </c>
      <c r="B14" s="50" t="str">
        <f aca="false">CALC!C45</f>
        <v>Retail Trade (Food, Clothing, General Merchandise, etc.)</v>
      </c>
      <c r="C14" s="62"/>
      <c r="D14" s="63"/>
      <c r="E14" s="63"/>
      <c r="F14" s="63"/>
    </row>
    <row r="15" customFormat="false" ht="12.8" hidden="false" customHeight="false" outlineLevel="0" collapsed="false">
      <c r="A15" s="46" t="str">
        <f aca="false">_xlfn.CONCAT($A$1, ".CALC.", CALC!A46)</f>
        <v>LSD.RID.0.AL.ACTCREF.CALC.11</v>
      </c>
      <c r="B15" s="22" t="str">
        <f aca="false">CALC!C46</f>
        <v>Transportation</v>
      </c>
      <c r="C15" s="62"/>
      <c r="D15" s="63"/>
      <c r="E15" s="63"/>
      <c r="F15" s="63"/>
    </row>
    <row r="16" customFormat="false" ht="12.8" hidden="false" customHeight="false" outlineLevel="0" collapsed="false">
      <c r="A16" s="46" t="str">
        <f aca="false">_xlfn.CONCAT($A$1, ".CALC.", CALC!A47)</f>
        <v>LSD.RID.0.AL.ACTCREF.CALC.12</v>
      </c>
      <c r="B16" s="22" t="str">
        <f aca="false">CALC!C47</f>
        <v>Warehousing and Storage</v>
      </c>
      <c r="C16" s="62"/>
      <c r="D16" s="63"/>
      <c r="E16" s="63"/>
      <c r="F16" s="63"/>
    </row>
    <row r="17" customFormat="false" ht="12.8" hidden="false" customHeight="false" outlineLevel="0" collapsed="false">
      <c r="A17" s="46" t="str">
        <f aca="false">_xlfn.CONCAT($A$1, ".CALC.", CALC!A48)</f>
        <v>LSD.RID.0.AL.ACTCREF.CALC.13</v>
      </c>
      <c r="B17" s="22" t="str">
        <f aca="false">CALC!C48</f>
        <v>Information</v>
      </c>
      <c r="C17" s="62"/>
      <c r="D17" s="63"/>
      <c r="E17" s="63"/>
      <c r="F17" s="63"/>
    </row>
    <row r="18" customFormat="false" ht="12.8" hidden="false" customHeight="false" outlineLevel="0" collapsed="false">
      <c r="A18" s="46" t="str">
        <f aca="false">_xlfn.CONCAT($A$1, ".CALC.", CALC!A49)</f>
        <v>LSD.RID.0.AL.ACTCREF.CALC.14</v>
      </c>
      <c r="B18" s="22" t="str">
        <f aca="false">CALC!C49</f>
        <v>Finance and Insurance</v>
      </c>
      <c r="C18" s="62"/>
      <c r="D18" s="63"/>
      <c r="E18" s="63"/>
      <c r="F18" s="63"/>
    </row>
    <row r="19" customFormat="false" ht="12.8" hidden="false" customHeight="false" outlineLevel="0" collapsed="false">
      <c r="A19" s="46" t="str">
        <f aca="false">_xlfn.CONCAT($A$1, ".CALC.", CALC!A50)</f>
        <v>LSD.RID.0.AL.ACTCREF.CALC.15</v>
      </c>
      <c r="B19" s="50" t="str">
        <f aca="false">CALC!C50</f>
        <v>Real Estate and Rental and Leasing</v>
      </c>
      <c r="C19" s="62"/>
      <c r="D19" s="63"/>
      <c r="E19" s="63"/>
      <c r="F19" s="63"/>
    </row>
    <row r="20" customFormat="false" ht="22.8" hidden="false" customHeight="false" outlineLevel="0" collapsed="false">
      <c r="A20" s="46" t="str">
        <f aca="false">_xlfn.CONCAT($A$1, ".CALC.", CALC!A51)</f>
        <v>LSD.RID.0.AL.ACTCREF.CALC.16</v>
      </c>
      <c r="B20" s="50" t="str">
        <f aca="false">CALC!C51</f>
        <v>Professional, Scientific, and Technical Services</v>
      </c>
      <c r="C20" s="62"/>
      <c r="D20" s="63"/>
      <c r="E20" s="63"/>
      <c r="F20" s="63"/>
    </row>
    <row r="21" customFormat="false" ht="22.8" hidden="false" customHeight="false" outlineLevel="0" collapsed="false">
      <c r="A21" s="46" t="str">
        <f aca="false">_xlfn.CONCAT($A$1, ".CALC.", CALC!A52)</f>
        <v>LSD.RID.0.AL.ACTCREF.CALC.17</v>
      </c>
      <c r="B21" s="50" t="str">
        <f aca="false">CALC!C52</f>
        <v>Administrative and Support and Waste Management and Remediation Services</v>
      </c>
      <c r="C21" s="62"/>
      <c r="D21" s="63"/>
      <c r="E21" s="63"/>
      <c r="F21" s="63"/>
    </row>
    <row r="22" customFormat="false" ht="12.8" hidden="false" customHeight="false" outlineLevel="0" collapsed="false">
      <c r="A22" s="46" t="str">
        <f aca="false">_xlfn.CONCAT($A$1, ".CALC.", CALC!A53)</f>
        <v>LSD.RID.0.AL.ACTCREF.CALC.18</v>
      </c>
      <c r="B22" s="22" t="str">
        <f aca="false">CALC!C53</f>
        <v>Educational Services</v>
      </c>
      <c r="C22" s="62"/>
      <c r="D22" s="63"/>
      <c r="E22" s="63"/>
      <c r="F22" s="63"/>
    </row>
    <row r="23" customFormat="false" ht="12.8" hidden="false" customHeight="false" outlineLevel="0" collapsed="false">
      <c r="A23" s="46" t="str">
        <f aca="false">_xlfn.CONCAT($A$1, ".CALC.", CALC!A54)</f>
        <v>LSD.RID.0.AL.ACTCREF.CALC.19</v>
      </c>
      <c r="B23" s="50" t="str">
        <f aca="false">CALC!C54</f>
        <v>Health Care and Social Assistance</v>
      </c>
      <c r="C23" s="62"/>
      <c r="D23" s="63"/>
      <c r="E23" s="63"/>
      <c r="F23" s="63"/>
    </row>
    <row r="24" customFormat="false" ht="12.8" hidden="false" customHeight="false" outlineLevel="0" collapsed="false">
      <c r="A24" s="46" t="str">
        <f aca="false">_xlfn.CONCAT($A$1, ".CALC.", CALC!A55)</f>
        <v>LSD.RID.0.AL.ACTCREF.CALC.20</v>
      </c>
      <c r="B24" s="50" t="str">
        <f aca="false">CALC!C55</f>
        <v>Arts, Entertainment,and Recreation</v>
      </c>
      <c r="C24" s="62"/>
      <c r="D24" s="63"/>
      <c r="E24" s="63"/>
      <c r="F24" s="63"/>
    </row>
    <row r="25" customFormat="false" ht="12.8" hidden="false" customHeight="false" outlineLevel="0" collapsed="false">
      <c r="A25" s="46" t="str">
        <f aca="false">_xlfn.CONCAT($A$1, ".CALC.", CALC!A56)</f>
        <v>LSD.RID.0.AL.ACTCREF.CALC.21</v>
      </c>
      <c r="B25" s="50" t="str">
        <f aca="false">CALC!C56</f>
        <v>Accommodation and Food Services</v>
      </c>
      <c r="C25" s="62"/>
      <c r="D25" s="63"/>
      <c r="E25" s="63"/>
      <c r="F25" s="63"/>
    </row>
    <row r="26" customFormat="false" ht="22.8" hidden="false" customHeight="false" outlineLevel="0" collapsed="false">
      <c r="A26" s="46" t="str">
        <f aca="false">_xlfn.CONCAT($A$1, ".CALC.", CALC!A57)</f>
        <v>LSD.RID.0.AL.ACTCREF.CALC.22</v>
      </c>
      <c r="B26" s="50" t="str">
        <f aca="false">CALC!C57</f>
        <v>Other Services (except Public Administration)</v>
      </c>
      <c r="C26" s="62"/>
      <c r="D26" s="63"/>
      <c r="E26" s="63"/>
      <c r="F26" s="63"/>
    </row>
    <row r="27" customFormat="false" ht="12.8" hidden="false" customHeight="false" outlineLevel="0" collapsed="false">
      <c r="A27" s="46" t="str">
        <f aca="false">_xlfn.CONCAT($A$1, ".CALC.", CALC!A58)</f>
        <v>LSD.RID.0.AL.ACTCREF.CALC.23</v>
      </c>
      <c r="B27" s="22" t="str">
        <f aca="false">CALC!C58</f>
        <v>Public Administration</v>
      </c>
      <c r="D27" s="63"/>
      <c r="E27" s="63"/>
      <c r="F27" s="63"/>
    </row>
    <row r="28" customFormat="false" ht="12.8" hidden="false" customHeight="false" outlineLevel="0" collapsed="false">
      <c r="B28" s="51"/>
      <c r="C28" s="63"/>
      <c r="D28" s="63"/>
      <c r="E28" s="63"/>
      <c r="F28" s="63"/>
    </row>
    <row r="29" customFormat="false" ht="12.8" hidden="false" customHeight="false" outlineLevel="0" collapsed="false">
      <c r="B29" s="51"/>
      <c r="C29" s="63"/>
      <c r="D29" s="63"/>
      <c r="E29" s="63"/>
      <c r="F29" s="63"/>
    </row>
    <row r="30" customFormat="false" ht="12.8" hidden="false" customHeight="false" outlineLevel="0" collapsed="false">
      <c r="B30" s="51"/>
      <c r="C30" s="63"/>
      <c r="D30" s="63"/>
      <c r="E30" s="63"/>
      <c r="F30" s="63"/>
    </row>
    <row r="31" customFormat="false" ht="12.8" hidden="false" customHeight="false" outlineLevel="0" collapsed="false">
      <c r="B31" s="51"/>
      <c r="C31" s="63"/>
      <c r="D31" s="63"/>
      <c r="E31" s="63"/>
      <c r="F31" s="63"/>
    </row>
    <row r="32" customFormat="false" ht="12.8" hidden="false" customHeight="false" outlineLevel="0" collapsed="false">
      <c r="B32" s="51"/>
      <c r="C32" s="63"/>
      <c r="D32" s="63"/>
      <c r="E32" s="63"/>
      <c r="F32" s="63"/>
    </row>
    <row r="33" customFormat="false" ht="12.8" hidden="false" customHeight="false" outlineLevel="0" collapsed="false">
      <c r="B33" s="51"/>
      <c r="C33" s="63"/>
      <c r="D33" s="63"/>
      <c r="E33" s="63"/>
      <c r="F33" s="63"/>
    </row>
    <row r="34" customFormat="false" ht="12.8" hidden="false" customHeight="false" outlineLevel="0" collapsed="false">
      <c r="B34" s="51"/>
      <c r="C34" s="63"/>
      <c r="D34" s="63"/>
      <c r="E34" s="63"/>
      <c r="F34" s="63"/>
    </row>
    <row r="35" customFormat="false" ht="12.8" hidden="false" customHeight="false" outlineLevel="0" collapsed="false">
      <c r="B35" s="51"/>
      <c r="C35" s="63"/>
      <c r="D35" s="63"/>
      <c r="E35" s="63"/>
      <c r="F35" s="63"/>
    </row>
    <row r="36" customFormat="false" ht="12.8" hidden="false" customHeight="false" outlineLevel="0" collapsed="false">
      <c r="B36" s="51"/>
      <c r="C36" s="63"/>
      <c r="D36" s="63"/>
      <c r="E36" s="63"/>
      <c r="F36" s="63"/>
    </row>
    <row r="37" customFormat="false" ht="12.8" hidden="false" customHeight="false" outlineLevel="0" collapsed="false">
      <c r="B37" s="51"/>
      <c r="C37" s="63"/>
      <c r="D37" s="63"/>
      <c r="E37" s="63"/>
      <c r="F37" s="63"/>
    </row>
    <row r="38" customFormat="false" ht="12.8" hidden="false" customHeight="false" outlineLevel="0" collapsed="false">
      <c r="B38" s="51"/>
      <c r="C38" s="63"/>
      <c r="D38" s="63"/>
      <c r="E38" s="63"/>
      <c r="F38" s="63"/>
    </row>
    <row r="39" customFormat="false" ht="12.8" hidden="false" customHeight="false" outlineLevel="0" collapsed="false">
      <c r="B39" s="51"/>
      <c r="C39" s="63"/>
      <c r="D39" s="63"/>
      <c r="E39" s="63"/>
      <c r="F39" s="63"/>
    </row>
    <row r="40" customFormat="false" ht="12.8" hidden="false" customHeight="false" outlineLevel="0" collapsed="false">
      <c r="B40" s="51"/>
      <c r="C40" s="63"/>
      <c r="D40" s="63"/>
      <c r="E40" s="63"/>
      <c r="F40" s="63"/>
    </row>
    <row r="41" customFormat="false" ht="12.8" hidden="false" customHeight="false" outlineLevel="0" collapsed="false">
      <c r="B41" s="51"/>
      <c r="C41" s="63"/>
      <c r="D41" s="63"/>
      <c r="E41" s="63"/>
      <c r="F41" s="63"/>
    </row>
    <row r="42" customFormat="false" ht="12.8" hidden="false" customHeight="false" outlineLevel="0" collapsed="false">
      <c r="B42" s="51"/>
      <c r="C42" s="63"/>
      <c r="D42" s="63"/>
      <c r="E42" s="63"/>
      <c r="F42" s="63"/>
    </row>
    <row r="43" customFormat="false" ht="12.8" hidden="false" customHeight="false" outlineLevel="0" collapsed="false">
      <c r="B43" s="51"/>
      <c r="C43" s="63"/>
      <c r="D43" s="63"/>
      <c r="E43" s="63"/>
      <c r="F43" s="63"/>
    </row>
    <row r="44" customFormat="false" ht="12.8" hidden="false" customHeight="false" outlineLevel="0" collapsed="false">
      <c r="B44" s="51"/>
      <c r="C44" s="63"/>
      <c r="D44" s="63"/>
      <c r="E44" s="63"/>
      <c r="F44" s="63"/>
    </row>
    <row r="45" customFormat="false" ht="12.8" hidden="false" customHeight="false" outlineLevel="0" collapsed="false">
      <c r="B45" s="51"/>
      <c r="C45" s="63"/>
      <c r="D45" s="63"/>
      <c r="E45" s="63"/>
      <c r="F45" s="63"/>
    </row>
    <row r="46" customFormat="false" ht="12.8" hidden="false" customHeight="false" outlineLevel="0" collapsed="false">
      <c r="B46" s="51"/>
      <c r="C46" s="63"/>
      <c r="D46" s="63"/>
      <c r="E46" s="63"/>
      <c r="F46" s="63"/>
    </row>
    <row r="47" customFormat="false" ht="12.8" hidden="false" customHeight="false" outlineLevel="0" collapsed="false">
      <c r="B47" s="51"/>
      <c r="C47" s="63"/>
      <c r="D47" s="63"/>
      <c r="E47" s="63"/>
      <c r="F47" s="63"/>
    </row>
    <row r="48" customFormat="false" ht="12.8" hidden="false" customHeight="false" outlineLevel="0" collapsed="false">
      <c r="B48" s="51"/>
      <c r="C48" s="63"/>
      <c r="D48" s="63"/>
      <c r="E48" s="63"/>
      <c r="F48" s="63"/>
    </row>
    <row r="49" customFormat="false" ht="12.8" hidden="false" customHeight="false" outlineLevel="0" collapsed="false">
      <c r="B49" s="51"/>
      <c r="C49" s="63"/>
      <c r="D49" s="63"/>
      <c r="E49" s="63"/>
      <c r="F49" s="63"/>
    </row>
    <row r="50" customFormat="false" ht="12.8" hidden="false" customHeight="false" outlineLevel="0" collapsed="false">
      <c r="B50" s="51"/>
      <c r="C50" s="63"/>
      <c r="D50" s="63"/>
      <c r="E50" s="63"/>
      <c r="F50" s="63"/>
    </row>
    <row r="51" customFormat="false" ht="12.8" hidden="false" customHeight="false" outlineLevel="0" collapsed="false">
      <c r="B51" s="51"/>
      <c r="C51" s="63"/>
      <c r="D51" s="63"/>
      <c r="E51" s="63"/>
      <c r="F51" s="63"/>
    </row>
    <row r="52" customFormat="false" ht="12.8" hidden="false" customHeight="false" outlineLevel="0" collapsed="false">
      <c r="B52" s="51"/>
      <c r="C52" s="63"/>
      <c r="D52" s="63"/>
      <c r="E52" s="63"/>
      <c r="F52" s="63"/>
    </row>
    <row r="53" customFormat="false" ht="12.8" hidden="false" customHeight="false" outlineLevel="0" collapsed="false">
      <c r="B53" s="51"/>
      <c r="C53" s="63"/>
      <c r="D53" s="63"/>
      <c r="E53" s="63"/>
      <c r="F53" s="63"/>
    </row>
    <row r="54" customFormat="false" ht="12.8" hidden="false" customHeight="false" outlineLevel="0" collapsed="false">
      <c r="B54" s="51"/>
      <c r="C54" s="63"/>
      <c r="D54" s="63"/>
      <c r="E54" s="63"/>
      <c r="F54" s="63"/>
    </row>
    <row r="55" customFormat="false" ht="12.8" hidden="false" customHeight="false" outlineLevel="0" collapsed="false">
      <c r="B55" s="51"/>
      <c r="C55" s="63"/>
      <c r="D55" s="63"/>
      <c r="E55" s="63"/>
      <c r="F55" s="63"/>
    </row>
    <row r="56" customFormat="false" ht="12.8" hidden="false" customHeight="false" outlineLevel="0" collapsed="false">
      <c r="C56" s="61"/>
      <c r="D56" s="61"/>
      <c r="E56" s="61"/>
      <c r="F56" s="61"/>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E905"/>
    <pageSetUpPr fitToPage="false"/>
  </sheetPr>
  <dimension ref="A1:BP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1.53515625" defaultRowHeight="12.8" customHeight="false" zeroHeight="false" outlineLevelRow="1" outlineLevelCol="0"/>
  <cols>
    <col collapsed="false" customWidth="true" hidden="false" outlineLevel="0" max="1" min="1" style="17" width="25.37"/>
    <col collapsed="false" customWidth="true" hidden="false" outlineLevel="0" max="2" min="2" style="20" width="36.9"/>
    <col collapsed="false" customWidth="true" hidden="false" outlineLevel="0" max="3" min="3" style="18" width="21.47"/>
    <col collapsed="false" customWidth="true" hidden="false" outlineLevel="0" max="34" min="4" style="18" width="16.84"/>
    <col collapsed="false" customWidth="true" hidden="false" outlineLevel="0" max="48" min="35" style="18" width="17.78"/>
    <col collapsed="false" customWidth="true" hidden="false" outlineLevel="0" max="51" min="49" style="18" width="15.48"/>
    <col collapsed="false" customWidth="true" hidden="false" outlineLevel="0" max="56" min="56" style="18" width="18.45"/>
    <col collapsed="false" customWidth="true" hidden="false" outlineLevel="0" max="59" min="57" style="18" width="16.14"/>
    <col collapsed="false" customWidth="true" hidden="false" outlineLevel="0" max="67" min="60" style="18" width="13.84"/>
  </cols>
  <sheetData>
    <row r="1" customFormat="false" ht="12.8" hidden="false" customHeight="false" outlineLevel="0" collapsed="false">
      <c r="A1" s="4" t="s">
        <v>3276</v>
      </c>
      <c r="B1" s="12" t="s">
        <v>3277</v>
      </c>
      <c r="C1" s="6" t="s">
        <v>2</v>
      </c>
      <c r="D1" s="18" t="s">
        <v>3278</v>
      </c>
      <c r="AZ1" s="18"/>
      <c r="BP1" s="18"/>
    </row>
    <row r="2" customFormat="false" ht="12.8" hidden="false" customHeight="false" outlineLevel="0" collapsed="false">
      <c r="A2" s="46" t="str">
        <f aca="false">_xlfn.CONCAT($A$1, ".", "CALC")</f>
        <v>LSD.RID.0.AL.AOTCREF.CALC</v>
      </c>
      <c r="B2" s="47" t="str">
        <f aca="false">_xlfn.CONCAT($B$1, " ", "Calculations")</f>
        <v>Alabama American Opportunity Tax Credit Refund (AOTC) Calculations</v>
      </c>
      <c r="C2" s="62"/>
      <c r="D2" s="62"/>
      <c r="E2" s="62"/>
      <c r="F2" s="62"/>
    </row>
    <row r="3" customFormat="false" ht="12.8" hidden="false" customHeight="false" outlineLevel="0" collapsed="false">
      <c r="A3" s="46" t="str">
        <f aca="false">CALC!A34</f>
        <v>LSID</v>
      </c>
      <c r="B3" s="22" t="str">
        <f aca="false">CALC!C34</f>
        <v>Labor Sector</v>
      </c>
      <c r="C3" s="62"/>
      <c r="D3" s="62"/>
      <c r="E3" s="62"/>
      <c r="F3" s="62"/>
    </row>
    <row r="4" customFormat="false" ht="12.8" hidden="false" customHeight="false" outlineLevel="0" collapsed="false">
      <c r="A4" s="46" t="str">
        <f aca="false">_xlfn.CONCAT($A$1, ".CALC.", CALC!A35)</f>
        <v>LSD.RID.0.AL.AOTCREF.CALC.0</v>
      </c>
      <c r="B4" s="22" t="str">
        <f aca="false">CALC!C35</f>
        <v>All Industries</v>
      </c>
      <c r="C4" s="62"/>
      <c r="D4" s="62"/>
      <c r="E4" s="62"/>
      <c r="F4" s="62"/>
    </row>
    <row r="5" customFormat="false" ht="12.8" hidden="false" customHeight="false" outlineLevel="0" collapsed="false">
      <c r="A5" s="46" t="str">
        <f aca="false">_xlfn.CONCAT($A$1, ".CALC.", CALC!A36)</f>
        <v>LSD.RID.0.AL.AOTCREF.CALC.1</v>
      </c>
      <c r="B5" s="50" t="str">
        <f aca="false">CALC!C36</f>
        <v>Agriculture, Forestry, Fishing and Hunting</v>
      </c>
      <c r="C5" s="62"/>
      <c r="D5" s="62"/>
      <c r="E5" s="62"/>
      <c r="F5" s="62"/>
    </row>
    <row r="6" customFormat="false" ht="22.8" hidden="false" customHeight="false" outlineLevel="0" collapsed="false">
      <c r="A6" s="46" t="str">
        <f aca="false">_xlfn.CONCAT($A$1, ".CALC.", CALC!A37)</f>
        <v>LSD.RID.0.AL.AOTCREF.CALC.2</v>
      </c>
      <c r="B6" s="50" t="str">
        <f aca="false">CALC!C37</f>
        <v>Mining, Quarrying, and Oil and Gas Extraction</v>
      </c>
      <c r="C6" s="62"/>
      <c r="D6" s="62"/>
      <c r="E6" s="62"/>
      <c r="F6" s="62"/>
    </row>
    <row r="7" customFormat="false" ht="12.8" hidden="false" customHeight="false" outlineLevel="0" collapsed="false">
      <c r="A7" s="46" t="str">
        <f aca="false">_xlfn.CONCAT($A$1, ".CALC.", CALC!A38)</f>
        <v>LSD.RID.0.AL.AOTCREF.CALC.3</v>
      </c>
      <c r="B7" s="22" t="str">
        <f aca="false">CALC!C38</f>
        <v>Utilities</v>
      </c>
      <c r="C7" s="62"/>
      <c r="D7" s="62"/>
      <c r="E7" s="62"/>
      <c r="F7" s="62"/>
    </row>
    <row r="8" customFormat="false" ht="12.8" hidden="false" customHeight="false" outlineLevel="0" collapsed="false">
      <c r="A8" s="46" t="str">
        <f aca="false">_xlfn.CONCAT($A$1, ".CALC.", CALC!A39)</f>
        <v>LSD.RID.0.AL.AOTCREF.CALC.4</v>
      </c>
      <c r="B8" s="22" t="str">
        <f aca="false">CALC!C39</f>
        <v>Construction</v>
      </c>
      <c r="C8" s="62"/>
      <c r="D8" s="62"/>
      <c r="E8" s="62"/>
      <c r="F8" s="62"/>
    </row>
    <row r="9" customFormat="false" ht="12.8" hidden="false" customHeight="false" outlineLevel="0" collapsed="false">
      <c r="A9" s="46" t="str">
        <f aca="false">_xlfn.CONCAT($A$1, ".CALC.", CALC!A40)</f>
        <v>LSD.RID.0.AL.AOTCREF.CALC.5</v>
      </c>
      <c r="B9" s="50" t="str">
        <f aca="false">CALC!C40</f>
        <v>Manufacturing (Food,Textile, etc.)</v>
      </c>
      <c r="C9" s="62"/>
      <c r="D9" s="62"/>
      <c r="E9" s="62"/>
      <c r="F9" s="62"/>
    </row>
    <row r="10" customFormat="false" ht="22.8" hidden="false" customHeight="false" outlineLevel="0" collapsed="false">
      <c r="A10" s="46" t="str">
        <f aca="false">_xlfn.CONCAT($A$1, ".CALC.", CALC!A41)</f>
        <v>LSD.RID.0.AL.AOTCREF.CALC.6</v>
      </c>
      <c r="B10" s="50" t="str">
        <f aca="false">CALC!C41</f>
        <v>Manufacturing (Wood, Paper, Printing, etc.)</v>
      </c>
      <c r="C10" s="62"/>
      <c r="D10" s="62"/>
      <c r="E10" s="62"/>
      <c r="F10" s="62"/>
    </row>
    <row r="11" customFormat="false" ht="12.8" hidden="false" customHeight="false" outlineLevel="0" collapsed="false">
      <c r="A11" s="46" t="str">
        <f aca="false">_xlfn.CONCAT($A$1, ".CALC.", CALC!A42)</f>
        <v>LSD.RID.0.AL.AOTCREF.CALC.7</v>
      </c>
      <c r="B11" s="50" t="str">
        <f aca="false">CALC!C42</f>
        <v>Manufacturing (Machinery, Transport)</v>
      </c>
      <c r="C11" s="62"/>
      <c r="D11" s="62"/>
      <c r="E11" s="62"/>
      <c r="F11" s="62"/>
    </row>
    <row r="12" customFormat="false" ht="12.8" hidden="false" customHeight="false" outlineLevel="0" collapsed="false">
      <c r="A12" s="46" t="str">
        <f aca="false">_xlfn.CONCAT($A$1, ".CALC.", CALC!A43)</f>
        <v>LSD.RID.0.AL.AOTCREF.CALC.8</v>
      </c>
      <c r="B12" s="22" t="str">
        <f aca="false">CALC!C43</f>
        <v>Wholesale Trade</v>
      </c>
      <c r="C12" s="62"/>
      <c r="D12" s="62"/>
      <c r="E12" s="62"/>
      <c r="F12" s="62"/>
    </row>
    <row r="13" customFormat="false" ht="12.8" hidden="false" customHeight="false" outlineLevel="0" collapsed="false">
      <c r="A13" s="46" t="str">
        <f aca="false">_xlfn.CONCAT($A$1, ".CALC.", CALC!A44)</f>
        <v>LSD.RID.0.AL.AOTCREF.CALC.9</v>
      </c>
      <c r="B13" s="50" t="str">
        <f aca="false">CALC!C44</f>
        <v>Retail Trade (Motor Vehicle, Electronics)</v>
      </c>
      <c r="C13" s="62"/>
      <c r="D13" s="62"/>
      <c r="E13" s="62"/>
      <c r="F13" s="62"/>
    </row>
    <row r="14" customFormat="false" ht="22.8" hidden="false" customHeight="false" outlineLevel="0" collapsed="false">
      <c r="A14" s="46" t="str">
        <f aca="false">_xlfn.CONCAT($A$1, ".CALC.", CALC!A45)</f>
        <v>LSD.RID.0.AL.AOTCREF.CALC.10</v>
      </c>
      <c r="B14" s="50" t="str">
        <f aca="false">CALC!C45</f>
        <v>Retail Trade (Food, Clothing, General Merchandise, etc.)</v>
      </c>
      <c r="C14" s="62"/>
      <c r="D14" s="62"/>
      <c r="E14" s="62"/>
      <c r="F14" s="62"/>
    </row>
    <row r="15" customFormat="false" ht="12.8" hidden="false" customHeight="false" outlineLevel="0" collapsed="false">
      <c r="A15" s="46" t="str">
        <f aca="false">_xlfn.CONCAT($A$1, ".CALC.", CALC!A46)</f>
        <v>LSD.RID.0.AL.AOTCREF.CALC.11</v>
      </c>
      <c r="B15" s="22" t="str">
        <f aca="false">CALC!C46</f>
        <v>Transportation</v>
      </c>
      <c r="C15" s="62"/>
      <c r="D15" s="62"/>
      <c r="E15" s="62"/>
      <c r="F15" s="62"/>
    </row>
    <row r="16" customFormat="false" ht="12.8" hidden="false" customHeight="false" outlineLevel="0" collapsed="false">
      <c r="A16" s="46" t="str">
        <f aca="false">_xlfn.CONCAT($A$1, ".CALC.", CALC!A47)</f>
        <v>LSD.RID.0.AL.AOTCREF.CALC.12</v>
      </c>
      <c r="B16" s="22" t="str">
        <f aca="false">CALC!C47</f>
        <v>Warehousing and Storage</v>
      </c>
      <c r="C16" s="62"/>
      <c r="D16" s="62"/>
      <c r="E16" s="62"/>
      <c r="F16" s="62"/>
    </row>
    <row r="17" customFormat="false" ht="12.8" hidden="false" customHeight="false" outlineLevel="0" collapsed="false">
      <c r="A17" s="46" t="str">
        <f aca="false">_xlfn.CONCAT($A$1, ".CALC.", CALC!A48)</f>
        <v>LSD.RID.0.AL.AOTCREF.CALC.13</v>
      </c>
      <c r="B17" s="22" t="str">
        <f aca="false">CALC!C48</f>
        <v>Information</v>
      </c>
      <c r="C17" s="62"/>
      <c r="D17" s="62"/>
      <c r="E17" s="62"/>
      <c r="F17" s="62"/>
    </row>
    <row r="18" customFormat="false" ht="12.8" hidden="false" customHeight="false" outlineLevel="0" collapsed="false">
      <c r="A18" s="46" t="str">
        <f aca="false">_xlfn.CONCAT($A$1, ".CALC.", CALC!A49)</f>
        <v>LSD.RID.0.AL.AOTCREF.CALC.14</v>
      </c>
      <c r="B18" s="22" t="str">
        <f aca="false">CALC!C49</f>
        <v>Finance and Insurance</v>
      </c>
      <c r="C18" s="62"/>
      <c r="D18" s="62"/>
      <c r="E18" s="62"/>
      <c r="F18" s="62"/>
    </row>
    <row r="19" customFormat="false" ht="12.8" hidden="false" customHeight="false" outlineLevel="0" collapsed="false">
      <c r="A19" s="46" t="str">
        <f aca="false">_xlfn.CONCAT($A$1, ".CALC.", CALC!A50)</f>
        <v>LSD.RID.0.AL.AOTCREF.CALC.15</v>
      </c>
      <c r="B19" s="50" t="str">
        <f aca="false">CALC!C50</f>
        <v>Real Estate and Rental and Leasing</v>
      </c>
      <c r="C19" s="62"/>
      <c r="D19" s="62"/>
      <c r="E19" s="62"/>
      <c r="F19" s="62"/>
    </row>
    <row r="20" customFormat="false" ht="22.8" hidden="false" customHeight="false" outlineLevel="0" collapsed="false">
      <c r="A20" s="46" t="str">
        <f aca="false">_xlfn.CONCAT($A$1, ".CALC.", CALC!A51)</f>
        <v>LSD.RID.0.AL.AOTCREF.CALC.16</v>
      </c>
      <c r="B20" s="50" t="str">
        <f aca="false">CALC!C51</f>
        <v>Professional, Scientific, and Technical Services</v>
      </c>
      <c r="C20" s="62"/>
      <c r="D20" s="62"/>
      <c r="E20" s="62"/>
      <c r="F20" s="62"/>
    </row>
    <row r="21" customFormat="false" ht="22.8" hidden="false" customHeight="false" outlineLevel="0" collapsed="false">
      <c r="A21" s="46" t="str">
        <f aca="false">_xlfn.CONCAT($A$1, ".CALC.", CALC!A52)</f>
        <v>LSD.RID.0.AL.AOTCREF.CALC.17</v>
      </c>
      <c r="B21" s="50" t="str">
        <f aca="false">CALC!C52</f>
        <v>Administrative and Support and Waste Management and Remediation Services</v>
      </c>
      <c r="C21" s="62"/>
      <c r="D21" s="62"/>
      <c r="E21" s="62"/>
      <c r="F21" s="62"/>
    </row>
    <row r="22" customFormat="false" ht="12.8" hidden="false" customHeight="false" outlineLevel="0" collapsed="false">
      <c r="A22" s="46" t="str">
        <f aca="false">_xlfn.CONCAT($A$1, ".CALC.", CALC!A53)</f>
        <v>LSD.RID.0.AL.AOTCREF.CALC.18</v>
      </c>
      <c r="B22" s="22" t="str">
        <f aca="false">CALC!C53</f>
        <v>Educational Services</v>
      </c>
      <c r="C22" s="62"/>
      <c r="D22" s="62"/>
      <c r="E22" s="62"/>
      <c r="F22" s="62"/>
    </row>
    <row r="23" customFormat="false" ht="12.8" hidden="false" customHeight="false" outlineLevel="0" collapsed="false">
      <c r="A23" s="46" t="str">
        <f aca="false">_xlfn.CONCAT($A$1, ".CALC.", CALC!A54)</f>
        <v>LSD.RID.0.AL.AOTCREF.CALC.19</v>
      </c>
      <c r="B23" s="50" t="str">
        <f aca="false">CALC!C54</f>
        <v>Health Care and Social Assistance</v>
      </c>
      <c r="C23" s="62"/>
      <c r="D23" s="62"/>
      <c r="E23" s="62"/>
      <c r="F23" s="62"/>
    </row>
    <row r="24" customFormat="false" ht="12.8" hidden="false" customHeight="false" outlineLevel="0" collapsed="false">
      <c r="A24" s="46" t="str">
        <f aca="false">_xlfn.CONCAT($A$1, ".CALC.", CALC!A55)</f>
        <v>LSD.RID.0.AL.AOTCREF.CALC.20</v>
      </c>
      <c r="B24" s="50" t="str">
        <f aca="false">CALC!C55</f>
        <v>Arts, Entertainment,and Recreation</v>
      </c>
      <c r="C24" s="62"/>
      <c r="D24" s="62"/>
      <c r="E24" s="62"/>
      <c r="F24" s="62"/>
    </row>
    <row r="25" customFormat="false" ht="12.8" hidden="false" customHeight="false" outlineLevel="0" collapsed="false">
      <c r="A25" s="46" t="str">
        <f aca="false">_xlfn.CONCAT($A$1, ".CALC.", CALC!A56)</f>
        <v>LSD.RID.0.AL.AOTCREF.CALC.21</v>
      </c>
      <c r="B25" s="50" t="str">
        <f aca="false">CALC!C56</f>
        <v>Accommodation and Food Services</v>
      </c>
      <c r="C25" s="62"/>
      <c r="D25" s="62"/>
      <c r="E25" s="62"/>
      <c r="F25" s="62"/>
    </row>
    <row r="26" customFormat="false" ht="22.8" hidden="false" customHeight="false" outlineLevel="0" collapsed="false">
      <c r="A26" s="46" t="str">
        <f aca="false">_xlfn.CONCAT($A$1, ".CALC.", CALC!A57)</f>
        <v>LSD.RID.0.AL.AOTCREF.CALC.22</v>
      </c>
      <c r="B26" s="50" t="str">
        <f aca="false">CALC!C57</f>
        <v>Other Services (except Public Administration)</v>
      </c>
      <c r="C26" s="62"/>
      <c r="D26" s="62"/>
      <c r="E26" s="62"/>
      <c r="F26" s="62"/>
    </row>
    <row r="27" customFormat="false" ht="12.8" hidden="false" customHeight="false" outlineLevel="0" collapsed="false">
      <c r="A27" s="46" t="str">
        <f aca="false">_xlfn.CONCAT($A$1, ".CALC.", CALC!A58)</f>
        <v>LSD.RID.0.AL.AOTCREF.CALC.23</v>
      </c>
      <c r="B27" s="22" t="str">
        <f aca="false">CALC!C58</f>
        <v>Public Administration</v>
      </c>
    </row>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7124</TotalTime>
  <Application>LibreOffice/26.2.0.3$Linux_X86_64 LibreOffice_project/afbbd0df0edb6d40b450b0337ac646b0913a760c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2026-02-21T09:03:47Z</dcterms:modified>
  <cp:revision>917</cp:revision>
  <dc:subject/>
  <dc:title/>
</cp:coreProperties>
</file>

<file path=docProps/custom.xml><?xml version="1.0" encoding="utf-8"?>
<Properties xmlns="http://schemas.openxmlformats.org/officeDocument/2006/custom-properties" xmlns:vt="http://schemas.openxmlformats.org/officeDocument/2006/docPropsVTypes"/>
</file>